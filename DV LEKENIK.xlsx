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codeName="ThisWorkbook" defaultThemeVersion="124226"/>
  <mc:AlternateContent xmlns:mc="http://schemas.openxmlformats.org/markup-compatibility/2006">
    <mc:Choice Requires="x15">
      <x15ac:absPath xmlns:x15ac="http://schemas.microsoft.com/office/spreadsheetml/2010/11/ac" url="C:\Users\danijel\Documents\PONUDE\2024\GRADNJA DJEČJEG VRTIĆA LEKENIK\"/>
    </mc:Choice>
  </mc:AlternateContent>
  <xr:revisionPtr revIDLastSave="0" documentId="8_{5BB42C5E-9FE2-4C5B-BE25-5AAA2227BF36}" xr6:coauthVersionLast="47" xr6:coauthVersionMax="47" xr10:uidLastSave="{00000000-0000-0000-0000-000000000000}"/>
  <bookViews>
    <workbookView xWindow="-108" yWindow="-108" windowWidth="23256" windowHeight="12456" tabRatio="586" activeTab="3" xr2:uid="{00000000-000D-0000-FFFF-FFFF00000000}"/>
  </bookViews>
  <sheets>
    <sheet name="naslovnica" sheetId="18" r:id="rId1"/>
    <sheet name="rekapitulacija" sheetId="19" r:id="rId2"/>
    <sheet name="OUT" sheetId="21" r:id="rId3"/>
    <sheet name="1.GOR" sheetId="22" r:id="rId4"/>
    <sheet name="2.Krajobraz" sheetId="25" r:id="rId5"/>
    <sheet name="3.ViO" sheetId="27" r:id="rId6"/>
    <sheet name="4.Strojarstvo" sheetId="52" r:id="rId7"/>
    <sheet name="5.Elektro" sheetId="49" r:id="rId8"/>
    <sheet name="6.Vatrodojava" sheetId="50" r:id="rId9"/>
    <sheet name="7.Dizalo" sheetId="44" r:id="rId10"/>
    <sheet name="8.Kuhinja-praonica" sheetId="36" r:id="rId11"/>
    <sheet name="9.Opremanje" sheetId="51" r:id="rId12"/>
  </sheets>
  <externalReferences>
    <externalReference r:id="rId13"/>
  </externalReferences>
  <definedNames>
    <definedName name="__xlnm.Print_Area_5" localSheetId="9">#REF!</definedName>
    <definedName name="__xlnm.Print_Area_5">#REF!</definedName>
    <definedName name="__xlnm.Print_Titles_5" localSheetId="9">#REF!</definedName>
    <definedName name="__xlnm.Print_Titles_5">#REF!</definedName>
    <definedName name="beton" localSheetId="9">[1]AB!#REF!</definedName>
    <definedName name="beton" localSheetId="10">[1]AB!#REF!</definedName>
    <definedName name="beton" localSheetId="11">[1]AB!#REF!</definedName>
    <definedName name="beton">[1]AB!#REF!</definedName>
    <definedName name="_xlnm.Print_Titles" localSheetId="3">'1.GOR'!$1:$4</definedName>
    <definedName name="_xlnm.Print_Titles" localSheetId="4">'2.Krajobraz'!$1:$4</definedName>
    <definedName name="_xlnm.Print_Titles" localSheetId="5">'3.ViO'!$1:$4</definedName>
    <definedName name="_xlnm.Print_Titles" localSheetId="6">'4.Strojarstvo'!$1:$4</definedName>
    <definedName name="_xlnm.Print_Titles" localSheetId="7">'5.Elektro'!$1:$4</definedName>
    <definedName name="_xlnm.Print_Titles" localSheetId="8">'6.Vatrodojava'!$1:$4</definedName>
    <definedName name="_xlnm.Print_Titles" localSheetId="9">'7.Dizalo'!$1:$4</definedName>
    <definedName name="_xlnm.Print_Titles" localSheetId="10">'8.Kuhinja-praonica'!$1:$4</definedName>
    <definedName name="_xlnm.Print_Titles" localSheetId="11">'9.Opremanje'!$1:$4</definedName>
    <definedName name="_xlnm.Print_Titles" localSheetId="2">OUT!$1:$3</definedName>
    <definedName name="OLE_LINK1" localSheetId="6">'4.Strojarstvo'!#REF!</definedName>
    <definedName name="OLE_LINK3" localSheetId="6">'4.Strojarstvo'!#REF!</definedName>
    <definedName name="OLE_LINK5" localSheetId="6">'4.Strojarstvo'!#REF!</definedName>
    <definedName name="OLE_LINK7" localSheetId="6">'4.Strojarstvo'!#REF!</definedName>
    <definedName name="pausal" localSheetId="9">#REF!</definedName>
    <definedName name="pausal" localSheetId="10">#REF!</definedName>
    <definedName name="pausal" localSheetId="11">#REF!</definedName>
    <definedName name="pausal">#REF!</definedName>
    <definedName name="_xlnm.Print_Area" localSheetId="3">'1.GOR'!$A$1:$F$2026</definedName>
    <definedName name="_xlnm.Print_Area" localSheetId="4">'2.Krajobraz'!$A$1:$F$106</definedName>
    <definedName name="_xlnm.Print_Area" localSheetId="5">'3.ViO'!$A$1:$F$477</definedName>
    <definedName name="_xlnm.Print_Area" localSheetId="6">'4.Strojarstvo'!$A$1:$F$1018</definedName>
    <definedName name="_xlnm.Print_Area" localSheetId="7">'5.Elektro'!$A$1:$F$786</definedName>
    <definedName name="_xlnm.Print_Area" localSheetId="8">'6.Vatrodojava'!$A$1:$F$178</definedName>
    <definedName name="_xlnm.Print_Area" localSheetId="9">'7.Dizalo'!$A$1:$F$34</definedName>
    <definedName name="_xlnm.Print_Area" localSheetId="10">'8.Kuhinja-praonica'!$A$1:$F$271</definedName>
    <definedName name="_xlnm.Print_Area" localSheetId="11">'9.Opremanje'!$A$1:$F$1423</definedName>
    <definedName name="_xlnm.Print_Area" localSheetId="0">naslovnica!$A$1:$G$128</definedName>
    <definedName name="_xlnm.Print_Area" localSheetId="2">OUT!$A$1:$H$1519</definedName>
    <definedName name="_xlnm.Print_Area" localSheetId="1">rekapitulacija!$A$1:$F$26</definedName>
    <definedName name="rbr" localSheetId="9">#REF!</definedName>
    <definedName name="rbr" localSheetId="11">#REF!</definedName>
    <definedName name="rbr">#REF!</definedName>
    <definedName name="tekuci" localSheetId="6">'4.Strojarstvo'!#REF!</definedName>
    <definedName name="ž" localSheetId="9">#REF!</definedName>
    <definedName name="ž" localSheetId="11">#REF!</definedName>
    <definedName name="ž">#REF!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2" i="49" l="1"/>
  <c r="F1730" i="22"/>
  <c r="F1728" i="22"/>
  <c r="F1729" i="22"/>
  <c r="F1725" i="22"/>
  <c r="F1726" i="22"/>
  <c r="F1727" i="22"/>
  <c r="F1972" i="22" l="1"/>
  <c r="F1973" i="22"/>
  <c r="F1971" i="22"/>
  <c r="F1960" i="22"/>
  <c r="F1961" i="22"/>
  <c r="F388" i="22" l="1"/>
  <c r="F387" i="22"/>
  <c r="F893" i="22" l="1"/>
  <c r="F894" i="22"/>
  <c r="F1700" i="22" l="1"/>
  <c r="F1699" i="22"/>
  <c r="F1698" i="22"/>
  <c r="F956" i="22" l="1"/>
  <c r="F1920" i="22"/>
  <c r="F954" i="22"/>
  <c r="F711" i="52" l="1"/>
  <c r="F562" i="22"/>
  <c r="F534" i="22"/>
  <c r="F638" i="22" l="1"/>
  <c r="F732" i="22" l="1"/>
  <c r="F895" i="22" l="1"/>
  <c r="F697" i="22"/>
  <c r="F538" i="22"/>
  <c r="F1333" i="22" l="1"/>
  <c r="F1314" i="22" l="1"/>
  <c r="F1270" i="22" l="1"/>
  <c r="F621" i="22" l="1"/>
  <c r="F795" i="52" l="1"/>
  <c r="F1985" i="22" l="1"/>
  <c r="F1984" i="22"/>
  <c r="F715" i="52" l="1"/>
  <c r="F714" i="52"/>
  <c r="B1016" i="52" l="1"/>
  <c r="A1016" i="52"/>
  <c r="B1015" i="52"/>
  <c r="A1015" i="52"/>
  <c r="B1014" i="52"/>
  <c r="A1014" i="52"/>
  <c r="B1013" i="52"/>
  <c r="A1013" i="52"/>
  <c r="B1012" i="52"/>
  <c r="A1012" i="52"/>
  <c r="B1011" i="52"/>
  <c r="A1011" i="52"/>
  <c r="F1003" i="52"/>
  <c r="F1001" i="52"/>
  <c r="F999" i="52"/>
  <c r="F996" i="52"/>
  <c r="F994" i="52"/>
  <c r="F992" i="52"/>
  <c r="F990" i="52"/>
  <c r="F988" i="52"/>
  <c r="F981" i="52"/>
  <c r="F979" i="52"/>
  <c r="F969" i="52"/>
  <c r="F958" i="52"/>
  <c r="F951" i="52"/>
  <c r="F949" i="52"/>
  <c r="F946" i="52"/>
  <c r="F939" i="52"/>
  <c r="F935" i="52"/>
  <c r="F928" i="52"/>
  <c r="F916" i="52"/>
  <c r="F909" i="52"/>
  <c r="F900" i="52"/>
  <c r="F887" i="52"/>
  <c r="F878" i="52"/>
  <c r="F861" i="52"/>
  <c r="F859" i="52"/>
  <c r="F857" i="52"/>
  <c r="F855" i="52"/>
  <c r="F853" i="52"/>
  <c r="F851" i="52"/>
  <c r="F849" i="52"/>
  <c r="F847" i="52"/>
  <c r="F845" i="52"/>
  <c r="F842" i="52"/>
  <c r="F841" i="52"/>
  <c r="F838" i="52"/>
  <c r="F837" i="52"/>
  <c r="F836" i="52"/>
  <c r="F835" i="52"/>
  <c r="F831" i="52"/>
  <c r="F828" i="52"/>
  <c r="F826" i="52"/>
  <c r="F823" i="52"/>
  <c r="F820" i="52"/>
  <c r="F819" i="52"/>
  <c r="F818" i="52"/>
  <c r="F814" i="52"/>
  <c r="F813" i="52"/>
  <c r="F810" i="52"/>
  <c r="F807" i="52"/>
  <c r="F804" i="52"/>
  <c r="F791" i="52"/>
  <c r="F787" i="52"/>
  <c r="F783" i="52"/>
  <c r="F779" i="52"/>
  <c r="F771" i="52"/>
  <c r="F758" i="52"/>
  <c r="F756" i="52"/>
  <c r="F754" i="52"/>
  <c r="F752" i="52"/>
  <c r="F750" i="52"/>
  <c r="F748" i="52"/>
  <c r="F746" i="52"/>
  <c r="F744" i="52"/>
  <c r="F742" i="52"/>
  <c r="F739" i="52"/>
  <c r="F738" i="52"/>
  <c r="F735" i="52"/>
  <c r="F734" i="52"/>
  <c r="F733" i="52"/>
  <c r="F729" i="52"/>
  <c r="F727" i="52"/>
  <c r="F724" i="52"/>
  <c r="F723" i="52"/>
  <c r="F722" i="52"/>
  <c r="F719" i="52"/>
  <c r="F713" i="52"/>
  <c r="F712" i="52"/>
  <c r="F710" i="52"/>
  <c r="F706" i="52"/>
  <c r="F705" i="52"/>
  <c r="F702" i="52"/>
  <c r="F699" i="52"/>
  <c r="F696" i="52"/>
  <c r="F694" i="52"/>
  <c r="F690" i="52"/>
  <c r="F688" i="52"/>
  <c r="F662" i="52"/>
  <c r="F614" i="52"/>
  <c r="F612" i="52"/>
  <c r="F610" i="52"/>
  <c r="F608" i="52"/>
  <c r="F606" i="52"/>
  <c r="F604" i="52"/>
  <c r="F602" i="52"/>
  <c r="F600" i="52"/>
  <c r="F598" i="52"/>
  <c r="F596" i="52"/>
  <c r="F593" i="52"/>
  <c r="F590" i="52"/>
  <c r="F587" i="52"/>
  <c r="F584" i="52"/>
  <c r="F581" i="52"/>
  <c r="F580" i="52"/>
  <c r="F579" i="52"/>
  <c r="F575" i="52"/>
  <c r="F574" i="52"/>
  <c r="F573" i="52"/>
  <c r="F570" i="52"/>
  <c r="F568" i="52"/>
  <c r="F567" i="52"/>
  <c r="F566" i="52"/>
  <c r="F565" i="52"/>
  <c r="F564" i="52"/>
  <c r="F563" i="52"/>
  <c r="F560" i="52"/>
  <c r="F559" i="52"/>
  <c r="F558" i="52"/>
  <c r="F557" i="52"/>
  <c r="F556" i="52"/>
  <c r="F555" i="52"/>
  <c r="F552" i="52"/>
  <c r="F551" i="52"/>
  <c r="F550" i="52"/>
  <c r="F547" i="52"/>
  <c r="F546" i="52"/>
  <c r="F545" i="52"/>
  <c r="F542" i="52"/>
  <c r="F541" i="52"/>
  <c r="F540" i="52"/>
  <c r="F537" i="52"/>
  <c r="F535" i="52"/>
  <c r="F534" i="52"/>
  <c r="F533" i="52"/>
  <c r="F530" i="52"/>
  <c r="F510" i="52"/>
  <c r="F494" i="52"/>
  <c r="F478" i="52"/>
  <c r="F463" i="52"/>
  <c r="F441" i="52"/>
  <c r="F439" i="52"/>
  <c r="F437" i="52"/>
  <c r="F435" i="52"/>
  <c r="F433" i="52"/>
  <c r="F431" i="52"/>
  <c r="F429" i="52"/>
  <c r="F427" i="52"/>
  <c r="F425" i="52"/>
  <c r="F423" i="52"/>
  <c r="F421" i="52"/>
  <c r="F419" i="52"/>
  <c r="F417" i="52"/>
  <c r="F415" i="52"/>
  <c r="F413" i="52"/>
  <c r="F411" i="52"/>
  <c r="F409" i="52"/>
  <c r="F400" i="52"/>
  <c r="F398" i="52"/>
  <c r="F396" i="52"/>
  <c r="F394" i="52"/>
  <c r="F392" i="52"/>
  <c r="F390" i="52"/>
  <c r="F388" i="52"/>
  <c r="F386" i="52"/>
  <c r="F384" i="52"/>
  <c r="F383" i="52"/>
  <c r="F382" i="52"/>
  <c r="F381" i="52"/>
  <c r="F380" i="52"/>
  <c r="F379" i="52"/>
  <c r="F378" i="52"/>
  <c r="F377" i="52"/>
  <c r="F374" i="52"/>
  <c r="F373" i="52"/>
  <c r="F370" i="52"/>
  <c r="F369" i="52"/>
  <c r="F366" i="52"/>
  <c r="F362" i="52"/>
  <c r="F361" i="52"/>
  <c r="F360" i="52"/>
  <c r="F359" i="52"/>
  <c r="F358" i="52"/>
  <c r="F357" i="52"/>
  <c r="F356" i="52"/>
  <c r="F352" i="52"/>
  <c r="F351" i="52"/>
  <c r="F348" i="52"/>
  <c r="F345" i="52"/>
  <c r="F344" i="52"/>
  <c r="F341" i="52"/>
  <c r="F338" i="52"/>
  <c r="F336" i="52"/>
  <c r="F333" i="52"/>
  <c r="F332" i="52"/>
  <c r="F329" i="52"/>
  <c r="F328" i="52"/>
  <c r="F327" i="52"/>
  <c r="F324" i="52"/>
  <c r="F323" i="52"/>
  <c r="F322" i="52"/>
  <c r="F319" i="52"/>
  <c r="F318" i="52"/>
  <c r="F315" i="52"/>
  <c r="F314" i="52"/>
  <c r="F313" i="52"/>
  <c r="F310" i="52"/>
  <c r="F309" i="52"/>
  <c r="F306" i="52"/>
  <c r="F305" i="52"/>
  <c r="F292" i="52"/>
  <c r="F291" i="52"/>
  <c r="F290" i="52"/>
  <c r="F287" i="52"/>
  <c r="F286" i="52"/>
  <c r="F285" i="52"/>
  <c r="F284" i="52"/>
  <c r="F283" i="52"/>
  <c r="F280" i="52"/>
  <c r="F272" i="52"/>
  <c r="F265" i="52"/>
  <c r="F258" i="52"/>
  <c r="F251" i="52"/>
  <c r="F244" i="52"/>
  <c r="F237" i="52"/>
  <c r="F230" i="52"/>
  <c r="F228" i="52"/>
  <c r="F226" i="52"/>
  <c r="F224" i="52"/>
  <c r="F222" i="52"/>
  <c r="F220" i="52"/>
  <c r="F218" i="52"/>
  <c r="F216" i="52"/>
  <c r="F214" i="52"/>
  <c r="F211" i="52"/>
  <c r="F201" i="52"/>
  <c r="F196" i="52"/>
  <c r="F190" i="52"/>
  <c r="F166" i="52"/>
  <c r="F164" i="52"/>
  <c r="F162" i="52"/>
  <c r="F151" i="52"/>
  <c r="F148" i="52"/>
  <c r="F146" i="52"/>
  <c r="F144" i="52"/>
  <c r="F140" i="52"/>
  <c r="F123" i="52"/>
  <c r="F93" i="52"/>
  <c r="F91" i="52"/>
  <c r="F88" i="52"/>
  <c r="F86" i="52"/>
  <c r="F863" i="52" l="1"/>
  <c r="F1014" i="52" s="1"/>
  <c r="F1005" i="52"/>
  <c r="F1016" i="52" s="1"/>
  <c r="F402" i="52"/>
  <c r="F1011" i="52" s="1"/>
  <c r="F617" i="52"/>
  <c r="F1012" i="52" s="1"/>
  <c r="F983" i="52"/>
  <c r="F1015" i="52" s="1"/>
  <c r="F760" i="52"/>
  <c r="F1013" i="52" s="1"/>
  <c r="A1394" i="51"/>
  <c r="B1394" i="51"/>
  <c r="F683" i="51"/>
  <c r="F681" i="51"/>
  <c r="F679" i="51"/>
  <c r="F677" i="51"/>
  <c r="F632" i="51"/>
  <c r="F631" i="51"/>
  <c r="F630" i="51"/>
  <c r="F629" i="51"/>
  <c r="F626" i="51"/>
  <c r="F624" i="51"/>
  <c r="F622" i="51"/>
  <c r="F620" i="51"/>
  <c r="F618" i="51"/>
  <c r="F616" i="51"/>
  <c r="F614" i="51"/>
  <c r="F612" i="51"/>
  <c r="F610" i="51"/>
  <c r="F608" i="51"/>
  <c r="F606" i="51"/>
  <c r="F540" i="51"/>
  <c r="F528" i="51"/>
  <c r="F526" i="51"/>
  <c r="F647" i="51"/>
  <c r="F675" i="51"/>
  <c r="F673" i="51"/>
  <c r="F671" i="51"/>
  <c r="F669" i="51"/>
  <c r="F667" i="51"/>
  <c r="F665" i="51"/>
  <c r="F663" i="51"/>
  <c r="F661" i="51"/>
  <c r="F659" i="51"/>
  <c r="F657" i="51"/>
  <c r="F655" i="51"/>
  <c r="F653" i="51"/>
  <c r="F651" i="51"/>
  <c r="F649" i="51"/>
  <c r="F1018" i="52" l="1"/>
  <c r="F12" i="19" s="1"/>
  <c r="F556" i="51"/>
  <c r="F554" i="51"/>
  <c r="F552" i="51"/>
  <c r="B584" i="51"/>
  <c r="A584" i="51"/>
  <c r="F582" i="51"/>
  <c r="F580" i="51"/>
  <c r="F578" i="51"/>
  <c r="F576" i="51"/>
  <c r="F567" i="51"/>
  <c r="F643" i="51"/>
  <c r="F645" i="51"/>
  <c r="F644" i="51"/>
  <c r="F642" i="51"/>
  <c r="F639" i="51"/>
  <c r="A1420" i="51"/>
  <c r="B1420" i="51"/>
  <c r="B1415" i="51"/>
  <c r="A1415" i="51"/>
  <c r="B1373" i="51"/>
  <c r="A1373" i="51"/>
  <c r="F1371" i="51"/>
  <c r="F1369" i="51"/>
  <c r="F1367" i="51"/>
  <c r="F1365" i="51"/>
  <c r="F1363" i="51"/>
  <c r="F1361" i="51"/>
  <c r="F1359" i="51"/>
  <c r="F1357" i="51"/>
  <c r="F1355" i="51"/>
  <c r="F1353" i="51"/>
  <c r="F1351" i="51"/>
  <c r="F1349" i="51"/>
  <c r="F1347" i="51"/>
  <c r="F1345" i="51"/>
  <c r="F1344" i="51"/>
  <c r="F1200" i="51"/>
  <c r="F685" i="51" l="1"/>
  <c r="F584" i="51"/>
  <c r="F1394" i="51" s="1"/>
  <c r="F1373" i="51"/>
  <c r="F1420" i="51" s="1"/>
  <c r="F1161" i="51"/>
  <c r="F1160" i="51"/>
  <c r="B1152" i="51"/>
  <c r="A1152" i="51"/>
  <c r="F1150" i="51"/>
  <c r="F1149" i="51"/>
  <c r="F1148" i="51"/>
  <c r="F1147" i="51"/>
  <c r="F1146" i="51"/>
  <c r="F847" i="51"/>
  <c r="F827" i="51"/>
  <c r="F1152" i="51" l="1"/>
  <c r="F1415" i="51" s="1"/>
  <c r="F508" i="51"/>
  <c r="F487" i="51"/>
  <c r="F512" i="51"/>
  <c r="F510" i="51"/>
  <c r="F428" i="51"/>
  <c r="F275" i="51"/>
  <c r="F273" i="51"/>
  <c r="F271" i="51"/>
  <c r="F269" i="51"/>
  <c r="F265" i="51"/>
  <c r="F193" i="51"/>
  <c r="F191" i="51"/>
  <c r="F138" i="51" l="1"/>
  <c r="F136" i="51"/>
  <c r="F134" i="51"/>
  <c r="F132" i="51"/>
  <c r="F128" i="51"/>
  <c r="F84" i="51"/>
  <c r="B1419" i="51" l="1"/>
  <c r="A1419" i="51"/>
  <c r="B1418" i="51"/>
  <c r="A1418" i="51"/>
  <c r="B1417" i="51"/>
  <c r="A1417" i="51"/>
  <c r="B1416" i="51"/>
  <c r="A1416" i="51"/>
  <c r="B1414" i="51"/>
  <c r="A1414" i="51"/>
  <c r="B1413" i="51"/>
  <c r="A1413" i="51"/>
  <c r="B1412" i="51"/>
  <c r="A1412" i="51"/>
  <c r="B1409" i="51"/>
  <c r="A1409" i="51"/>
  <c r="B1408" i="51"/>
  <c r="A1408" i="51"/>
  <c r="B1407" i="51"/>
  <c r="A1407" i="51"/>
  <c r="B1406" i="51"/>
  <c r="A1406" i="51"/>
  <c r="B1405" i="51"/>
  <c r="A1405" i="51"/>
  <c r="B1404" i="51"/>
  <c r="A1404" i="51"/>
  <c r="B1403" i="51"/>
  <c r="A1403" i="51"/>
  <c r="B1402" i="51"/>
  <c r="A1402" i="51"/>
  <c r="B1401" i="51"/>
  <c r="A1401" i="51"/>
  <c r="B1398" i="51"/>
  <c r="A1398" i="51"/>
  <c r="B1397" i="51"/>
  <c r="A1397" i="51"/>
  <c r="B1396" i="51"/>
  <c r="A1396" i="51"/>
  <c r="B1395" i="51"/>
  <c r="A1395" i="51"/>
  <c r="B1393" i="51"/>
  <c r="A1393" i="51"/>
  <c r="B1392" i="51"/>
  <c r="A1392" i="51"/>
  <c r="B1391" i="51"/>
  <c r="A1391" i="51"/>
  <c r="B1388" i="51"/>
  <c r="A1388" i="51"/>
  <c r="B1387" i="51"/>
  <c r="A1387" i="51"/>
  <c r="B1386" i="51"/>
  <c r="A1386" i="51"/>
  <c r="B1385" i="51"/>
  <c r="A1385" i="51"/>
  <c r="B1384" i="51"/>
  <c r="A1384" i="51"/>
  <c r="B1383" i="51"/>
  <c r="A1383" i="51"/>
  <c r="B1376" i="51"/>
  <c r="A1376" i="51"/>
  <c r="B1338" i="51"/>
  <c r="A1338" i="51"/>
  <c r="F1336" i="51"/>
  <c r="F1334" i="51"/>
  <c r="F1332" i="51"/>
  <c r="F1330" i="51"/>
  <c r="B1325" i="51"/>
  <c r="A1325" i="51"/>
  <c r="F1323" i="51"/>
  <c r="F1321" i="51"/>
  <c r="F1319" i="51"/>
  <c r="F1317" i="51"/>
  <c r="F1315" i="51"/>
  <c r="F1313" i="51"/>
  <c r="F1311" i="51"/>
  <c r="F1309" i="51"/>
  <c r="F1307" i="51"/>
  <c r="F1305" i="51"/>
  <c r="F1303" i="51"/>
  <c r="F1301" i="51"/>
  <c r="F1299" i="51"/>
  <c r="F1297" i="51"/>
  <c r="F1295" i="51"/>
  <c r="F1293" i="51"/>
  <c r="F1291" i="51"/>
  <c r="F1289" i="51"/>
  <c r="F1287" i="51"/>
  <c r="F1285" i="51"/>
  <c r="F1283" i="51"/>
  <c r="F1281" i="51"/>
  <c r="F1279" i="51"/>
  <c r="F1277" i="51"/>
  <c r="F1275" i="51"/>
  <c r="F1273" i="51"/>
  <c r="F1271" i="51"/>
  <c r="F1269" i="51"/>
  <c r="F1267" i="51"/>
  <c r="F1265" i="51"/>
  <c r="F1263" i="51"/>
  <c r="F1261" i="51"/>
  <c r="F1259" i="51"/>
  <c r="F1257" i="51"/>
  <c r="F1255" i="51"/>
  <c r="F1253" i="51"/>
  <c r="F1251" i="51"/>
  <c r="F1249" i="51"/>
  <c r="F1247" i="51"/>
  <c r="F1245" i="51"/>
  <c r="F1243" i="51"/>
  <c r="F1241" i="51"/>
  <c r="F1239" i="51"/>
  <c r="F1237" i="51"/>
  <c r="F1235" i="51"/>
  <c r="F1233" i="51"/>
  <c r="F1231" i="51"/>
  <c r="F1229" i="51"/>
  <c r="F1227" i="51"/>
  <c r="F1225" i="51"/>
  <c r="F1223" i="51"/>
  <c r="F1221" i="51"/>
  <c r="F1219" i="51"/>
  <c r="F1217" i="51"/>
  <c r="F1215" i="51"/>
  <c r="F1213" i="51"/>
  <c r="F1211" i="51"/>
  <c r="F1209" i="51"/>
  <c r="F1207" i="51"/>
  <c r="F1205" i="51"/>
  <c r="F1203" i="51"/>
  <c r="F1201" i="51"/>
  <c r="F1197" i="51"/>
  <c r="F1195" i="51"/>
  <c r="B1190" i="51"/>
  <c r="A1190" i="51"/>
  <c r="F1188" i="51"/>
  <c r="F1190" i="51" s="1"/>
  <c r="F1417" i="51" s="1"/>
  <c r="B1183" i="51"/>
  <c r="A1183" i="51"/>
  <c r="F1181" i="51"/>
  <c r="F1179" i="51"/>
  <c r="F1177" i="51"/>
  <c r="F1175" i="51"/>
  <c r="F1173" i="51"/>
  <c r="F1171" i="51"/>
  <c r="F1169" i="51"/>
  <c r="F1167" i="51"/>
  <c r="F1165" i="51"/>
  <c r="F1163" i="51"/>
  <c r="F1157" i="51"/>
  <c r="B1141" i="51"/>
  <c r="A1141" i="51"/>
  <c r="F1139" i="51"/>
  <c r="B1134" i="51"/>
  <c r="A1134" i="51"/>
  <c r="F1132" i="51"/>
  <c r="F1130" i="51"/>
  <c r="F1128" i="51"/>
  <c r="F1126" i="51"/>
  <c r="F1124" i="51"/>
  <c r="F1122" i="51"/>
  <c r="F1120" i="51"/>
  <c r="F1118" i="51"/>
  <c r="F1116" i="51"/>
  <c r="F1114" i="51"/>
  <c r="F1112" i="51"/>
  <c r="F1110" i="51"/>
  <c r="F1108" i="51"/>
  <c r="F1106" i="51"/>
  <c r="F1104" i="51"/>
  <c r="F1102" i="51"/>
  <c r="F1100" i="51"/>
  <c r="F1098" i="51"/>
  <c r="F1096" i="51"/>
  <c r="F1094" i="51"/>
  <c r="F1092" i="51"/>
  <c r="F1090" i="51"/>
  <c r="F1088" i="51"/>
  <c r="F1086" i="51"/>
  <c r="F1084" i="51"/>
  <c r="F1082" i="51"/>
  <c r="F1080" i="51"/>
  <c r="F1078" i="51"/>
  <c r="F1076" i="51"/>
  <c r="F1074" i="51"/>
  <c r="F1072" i="51"/>
  <c r="F1070" i="51"/>
  <c r="F1068" i="51"/>
  <c r="F1066" i="51"/>
  <c r="F1064" i="51"/>
  <c r="F1062" i="51"/>
  <c r="F1060" i="51"/>
  <c r="F1058" i="51"/>
  <c r="F1056" i="51"/>
  <c r="F1054" i="51"/>
  <c r="F1052" i="51"/>
  <c r="F1050" i="51"/>
  <c r="F1048" i="51"/>
  <c r="F1046" i="51"/>
  <c r="F1044" i="51"/>
  <c r="F1042" i="51"/>
  <c r="F1040" i="51"/>
  <c r="F1038" i="51"/>
  <c r="F1036" i="51"/>
  <c r="F1034" i="51"/>
  <c r="F1032" i="51"/>
  <c r="F1030" i="51"/>
  <c r="F1028" i="51"/>
  <c r="F1026" i="51"/>
  <c r="F1024" i="51"/>
  <c r="F1022" i="51"/>
  <c r="F1020" i="51"/>
  <c r="F1018" i="51"/>
  <c r="F1016" i="51"/>
  <c r="F1014" i="51"/>
  <c r="F1012" i="51"/>
  <c r="F1010" i="51"/>
  <c r="F1008" i="51"/>
  <c r="F1006" i="51"/>
  <c r="F1004" i="51"/>
  <c r="F1002" i="51"/>
  <c r="F1000" i="51"/>
  <c r="F998" i="51"/>
  <c r="F996" i="51"/>
  <c r="F994" i="51"/>
  <c r="F992" i="51"/>
  <c r="F990" i="51"/>
  <c r="F988" i="51"/>
  <c r="F986" i="51"/>
  <c r="F984" i="51"/>
  <c r="F982" i="51"/>
  <c r="F980" i="51"/>
  <c r="F978" i="51"/>
  <c r="F976" i="51"/>
  <c r="F974" i="51"/>
  <c r="F972" i="51"/>
  <c r="F970" i="51"/>
  <c r="F968" i="51"/>
  <c r="F966" i="51"/>
  <c r="F964" i="51"/>
  <c r="F962" i="51"/>
  <c r="F960" i="51"/>
  <c r="F958" i="51"/>
  <c r="F956" i="51"/>
  <c r="F954" i="51"/>
  <c r="F952" i="51"/>
  <c r="F950" i="51"/>
  <c r="B941" i="51"/>
  <c r="A941" i="51"/>
  <c r="B938" i="51"/>
  <c r="A938" i="51"/>
  <c r="F936" i="51"/>
  <c r="F934" i="51"/>
  <c r="F932" i="51"/>
  <c r="B922" i="51"/>
  <c r="A922" i="51"/>
  <c r="F920" i="51"/>
  <c r="B915" i="51"/>
  <c r="A915" i="51"/>
  <c r="F913" i="51"/>
  <c r="F911" i="51"/>
  <c r="F909" i="51"/>
  <c r="B904" i="51"/>
  <c r="A904" i="51"/>
  <c r="F902" i="51"/>
  <c r="F900" i="51"/>
  <c r="F898" i="51"/>
  <c r="F896" i="51"/>
  <c r="F894" i="51"/>
  <c r="F893" i="51"/>
  <c r="F892" i="51"/>
  <c r="F891" i="51"/>
  <c r="F890" i="51"/>
  <c r="F888" i="51"/>
  <c r="F887" i="51"/>
  <c r="F886" i="51"/>
  <c r="F885" i="51"/>
  <c r="F884" i="51"/>
  <c r="F882" i="51"/>
  <c r="F880" i="51"/>
  <c r="F878" i="51"/>
  <c r="F876" i="51"/>
  <c r="B871" i="51"/>
  <c r="A871" i="51"/>
  <c r="F869" i="51"/>
  <c r="F867" i="51"/>
  <c r="F865" i="51"/>
  <c r="F863" i="51"/>
  <c r="F861" i="51"/>
  <c r="F859" i="51"/>
  <c r="F857" i="51"/>
  <c r="F855" i="51"/>
  <c r="F853" i="51"/>
  <c r="F851" i="51"/>
  <c r="F849" i="51"/>
  <c r="F845" i="51"/>
  <c r="F843" i="51"/>
  <c r="F841" i="51"/>
  <c r="F839" i="51"/>
  <c r="F838" i="51"/>
  <c r="F837" i="51"/>
  <c r="F836" i="51"/>
  <c r="F835" i="51"/>
  <c r="F833" i="51"/>
  <c r="F832" i="51"/>
  <c r="F831" i="51"/>
  <c r="F829" i="51"/>
  <c r="F826" i="51"/>
  <c r="F825" i="51"/>
  <c r="F823" i="51"/>
  <c r="F822" i="51"/>
  <c r="F821" i="51"/>
  <c r="F819" i="51"/>
  <c r="F817" i="51"/>
  <c r="B812" i="51"/>
  <c r="A812" i="51"/>
  <c r="F810" i="51"/>
  <c r="F809" i="51"/>
  <c r="F808" i="51"/>
  <c r="F806" i="51"/>
  <c r="F804" i="51"/>
  <c r="F802" i="51"/>
  <c r="F800" i="51"/>
  <c r="F799" i="51"/>
  <c r="F798" i="51"/>
  <c r="F797" i="51"/>
  <c r="F796" i="51"/>
  <c r="F794" i="51"/>
  <c r="F793" i="51"/>
  <c r="F792" i="51"/>
  <c r="F791" i="51"/>
  <c r="F790" i="51"/>
  <c r="F788" i="51"/>
  <c r="F787" i="51"/>
  <c r="F786" i="51"/>
  <c r="F784" i="51"/>
  <c r="F783" i="51"/>
  <c r="F782" i="51"/>
  <c r="F780" i="51"/>
  <c r="F778" i="51"/>
  <c r="B773" i="51"/>
  <c r="A773" i="51"/>
  <c r="F771" i="51"/>
  <c r="F769" i="51"/>
  <c r="F767" i="51"/>
  <c r="F765" i="51"/>
  <c r="F764" i="51"/>
  <c r="F763" i="51"/>
  <c r="F762" i="51"/>
  <c r="F761" i="51"/>
  <c r="F759" i="51"/>
  <c r="F758" i="51"/>
  <c r="F757" i="51"/>
  <c r="F756" i="51"/>
  <c r="F755" i="51"/>
  <c r="F753" i="51"/>
  <c r="F752" i="51"/>
  <c r="F751" i="51"/>
  <c r="F749" i="51"/>
  <c r="F748" i="51"/>
  <c r="F747" i="51"/>
  <c r="F745" i="51"/>
  <c r="F743" i="51"/>
  <c r="B738" i="51"/>
  <c r="A738" i="51"/>
  <c r="F736" i="51"/>
  <c r="F734" i="51"/>
  <c r="F732" i="51"/>
  <c r="F730" i="51"/>
  <c r="F729" i="51"/>
  <c r="F728" i="51"/>
  <c r="F727" i="51"/>
  <c r="F726" i="51"/>
  <c r="F724" i="51"/>
  <c r="F723" i="51"/>
  <c r="F722" i="51"/>
  <c r="F721" i="51"/>
  <c r="F720" i="51"/>
  <c r="F718" i="51"/>
  <c r="F717" i="51"/>
  <c r="F716" i="51"/>
  <c r="F714" i="51"/>
  <c r="F713" i="51"/>
  <c r="F712" i="51"/>
  <c r="F710" i="51"/>
  <c r="F708" i="51"/>
  <c r="B699" i="51"/>
  <c r="A699" i="51"/>
  <c r="B696" i="51"/>
  <c r="A696" i="51"/>
  <c r="F694" i="51"/>
  <c r="F692" i="51"/>
  <c r="F690" i="51"/>
  <c r="B685" i="51"/>
  <c r="A685" i="51"/>
  <c r="B634" i="51"/>
  <c r="A634" i="51"/>
  <c r="F602" i="51"/>
  <c r="F601" i="51"/>
  <c r="F598" i="51"/>
  <c r="B593" i="51"/>
  <c r="A593" i="51"/>
  <c r="F591" i="51"/>
  <c r="F590" i="51"/>
  <c r="F589" i="51"/>
  <c r="B571" i="51"/>
  <c r="A571" i="51"/>
  <c r="F569" i="51"/>
  <c r="F565" i="51"/>
  <c r="F563" i="51"/>
  <c r="B558" i="51"/>
  <c r="A558" i="51"/>
  <c r="F550" i="51"/>
  <c r="F548" i="51"/>
  <c r="F546" i="51"/>
  <c r="F544" i="51"/>
  <c r="F542" i="51"/>
  <c r="F538" i="51"/>
  <c r="F536" i="51"/>
  <c r="F534" i="51"/>
  <c r="F532" i="51"/>
  <c r="F530" i="51"/>
  <c r="B517" i="51"/>
  <c r="A517" i="51"/>
  <c r="B514" i="51"/>
  <c r="A514" i="51"/>
  <c r="F506" i="51"/>
  <c r="F504" i="51"/>
  <c r="F502" i="51"/>
  <c r="F500" i="51"/>
  <c r="F498" i="51"/>
  <c r="F497" i="51"/>
  <c r="F496" i="51"/>
  <c r="F494" i="51"/>
  <c r="B489" i="51"/>
  <c r="A489" i="51"/>
  <c r="F485" i="51"/>
  <c r="F483" i="51"/>
  <c r="F481" i="51"/>
  <c r="F479" i="51"/>
  <c r="F475" i="51"/>
  <c r="F473" i="51"/>
  <c r="F472" i="51"/>
  <c r="F471" i="51"/>
  <c r="F469" i="51"/>
  <c r="B464" i="51"/>
  <c r="A464" i="51"/>
  <c r="F462" i="51"/>
  <c r="F460" i="51"/>
  <c r="F458" i="51"/>
  <c r="F456" i="51"/>
  <c r="F454" i="51"/>
  <c r="F452" i="51"/>
  <c r="F450" i="51"/>
  <c r="F448" i="51"/>
  <c r="F446" i="51"/>
  <c r="F444" i="51"/>
  <c r="F442" i="51"/>
  <c r="F440" i="51"/>
  <c r="F438" i="51"/>
  <c r="F436" i="51"/>
  <c r="F434" i="51"/>
  <c r="F432" i="51"/>
  <c r="F430" i="51"/>
  <c r="F426" i="51"/>
  <c r="F424" i="51"/>
  <c r="F422" i="51"/>
  <c r="F420" i="51"/>
  <c r="F418" i="51"/>
  <c r="F416" i="51"/>
  <c r="F414" i="51"/>
  <c r="F412" i="51"/>
  <c r="F410" i="51"/>
  <c r="F408" i="51"/>
  <c r="F406" i="51"/>
  <c r="F404" i="51"/>
  <c r="F402" i="51"/>
  <c r="F400" i="51"/>
  <c r="F398" i="51"/>
  <c r="F396" i="51"/>
  <c r="F394" i="51"/>
  <c r="F392" i="51"/>
  <c r="F390" i="51"/>
  <c r="F388" i="51"/>
  <c r="F386" i="51"/>
  <c r="F384" i="51"/>
  <c r="F382" i="51"/>
  <c r="F380" i="51"/>
  <c r="F378" i="51"/>
  <c r="F376" i="51"/>
  <c r="F374" i="51"/>
  <c r="F372" i="51"/>
  <c r="F370" i="51"/>
  <c r="F368" i="51"/>
  <c r="F367" i="51"/>
  <c r="F366" i="51"/>
  <c r="F364" i="51"/>
  <c r="F362" i="51"/>
  <c r="F360" i="51"/>
  <c r="F358" i="51"/>
  <c r="F356" i="51"/>
  <c r="F354" i="51"/>
  <c r="F352" i="51"/>
  <c r="F350" i="51"/>
  <c r="F348" i="51"/>
  <c r="F346" i="51"/>
  <c r="F344" i="51"/>
  <c r="F342" i="51"/>
  <c r="F340" i="51"/>
  <c r="F338" i="51"/>
  <c r="F336" i="51"/>
  <c r="F334" i="51"/>
  <c r="F332" i="51"/>
  <c r="B327" i="51"/>
  <c r="A327" i="51"/>
  <c r="F325" i="51"/>
  <c r="F323" i="51"/>
  <c r="F321" i="51"/>
  <c r="F319" i="51"/>
  <c r="F317" i="51"/>
  <c r="F315" i="51"/>
  <c r="F313" i="51"/>
  <c r="F311" i="51"/>
  <c r="F309" i="51"/>
  <c r="F307" i="51"/>
  <c r="F305" i="51"/>
  <c r="F303" i="51"/>
  <c r="F301" i="51"/>
  <c r="F299" i="51"/>
  <c r="F297" i="51"/>
  <c r="F295" i="51"/>
  <c r="F293" i="51"/>
  <c r="F291" i="51"/>
  <c r="F289" i="51"/>
  <c r="F287" i="51"/>
  <c r="F285" i="51"/>
  <c r="F283" i="51"/>
  <c r="F281" i="51"/>
  <c r="F279" i="51"/>
  <c r="F277" i="51"/>
  <c r="F267" i="51"/>
  <c r="F263" i="51"/>
  <c r="F261" i="51"/>
  <c r="F259" i="51"/>
  <c r="F257" i="51"/>
  <c r="F255" i="51"/>
  <c r="F253" i="51"/>
  <c r="F251" i="51"/>
  <c r="F249" i="51"/>
  <c r="F247" i="51"/>
  <c r="F245" i="51"/>
  <c r="F243" i="51"/>
  <c r="F241" i="51"/>
  <c r="F239" i="51"/>
  <c r="F237" i="51"/>
  <c r="F235" i="51"/>
  <c r="F233" i="51"/>
  <c r="F231" i="51"/>
  <c r="F229" i="51"/>
  <c r="F227" i="51"/>
  <c r="F226" i="51"/>
  <c r="F225" i="51"/>
  <c r="F223" i="51"/>
  <c r="F221" i="51"/>
  <c r="F219" i="51"/>
  <c r="F217" i="51"/>
  <c r="F215" i="51"/>
  <c r="F213" i="51"/>
  <c r="F211" i="51"/>
  <c r="F209" i="51"/>
  <c r="F207" i="51"/>
  <c r="F205" i="51"/>
  <c r="F203" i="51"/>
  <c r="F201" i="51"/>
  <c r="F199" i="51"/>
  <c r="F197" i="51"/>
  <c r="F195" i="51"/>
  <c r="B186" i="51"/>
  <c r="A186" i="51"/>
  <c r="F184" i="51"/>
  <c r="F182" i="51"/>
  <c r="F180" i="51"/>
  <c r="F178" i="51"/>
  <c r="F176" i="51"/>
  <c r="F174" i="51"/>
  <c r="F172" i="51"/>
  <c r="F170" i="51"/>
  <c r="F168" i="51"/>
  <c r="F166" i="51"/>
  <c r="F164" i="51"/>
  <c r="F162" i="51"/>
  <c r="F160" i="51"/>
  <c r="F158" i="51"/>
  <c r="F156" i="51"/>
  <c r="F154" i="51"/>
  <c r="F152" i="51"/>
  <c r="F150" i="51"/>
  <c r="F148" i="51"/>
  <c r="F146" i="51"/>
  <c r="F144" i="51"/>
  <c r="F142" i="51"/>
  <c r="F140" i="51"/>
  <c r="F130" i="51"/>
  <c r="F126" i="51"/>
  <c r="F124" i="51"/>
  <c r="F122" i="51"/>
  <c r="F120" i="51"/>
  <c r="F118" i="51"/>
  <c r="F116" i="51"/>
  <c r="F114" i="51"/>
  <c r="F112" i="51"/>
  <c r="F110" i="51"/>
  <c r="F108" i="51"/>
  <c r="F106" i="51"/>
  <c r="F104" i="51"/>
  <c r="F102" i="51"/>
  <c r="F100" i="51"/>
  <c r="F98" i="51"/>
  <c r="F96" i="51"/>
  <c r="F94" i="51"/>
  <c r="F92" i="51"/>
  <c r="F90" i="51"/>
  <c r="F88" i="51"/>
  <c r="F86" i="51"/>
  <c r="F82" i="51"/>
  <c r="F489" i="51" l="1"/>
  <c r="F1387" i="51" s="1"/>
  <c r="F696" i="51"/>
  <c r="F1398" i="51" s="1"/>
  <c r="F773" i="51"/>
  <c r="F1403" i="51" s="1"/>
  <c r="F1134" i="51"/>
  <c r="F938" i="51"/>
  <c r="F1409" i="51" s="1"/>
  <c r="F915" i="51"/>
  <c r="F1407" i="51" s="1"/>
  <c r="F1141" i="51"/>
  <c r="F1414" i="51" s="1"/>
  <c r="F514" i="51"/>
  <c r="F1388" i="51" s="1"/>
  <c r="F738" i="51"/>
  <c r="F1402" i="51" s="1"/>
  <c r="F871" i="51"/>
  <c r="F1405" i="51" s="1"/>
  <c r="F904" i="51"/>
  <c r="F1406" i="51" s="1"/>
  <c r="F922" i="51"/>
  <c r="F1408" i="51" s="1"/>
  <c r="F1183" i="51"/>
  <c r="F1416" i="51" s="1"/>
  <c r="F571" i="51"/>
  <c r="F1393" i="51" s="1"/>
  <c r="F593" i="51"/>
  <c r="F1395" i="51" s="1"/>
  <c r="F1325" i="51"/>
  <c r="F1397" i="51"/>
  <c r="F186" i="51"/>
  <c r="F558" i="51"/>
  <c r="F327" i="51"/>
  <c r="F1385" i="51" s="1"/>
  <c r="F464" i="51"/>
  <c r="F1386" i="51" s="1"/>
  <c r="F1338" i="51"/>
  <c r="F1419" i="51" s="1"/>
  <c r="F634" i="51"/>
  <c r="F1396" i="51" s="1"/>
  <c r="F812" i="51"/>
  <c r="F1404" i="51" s="1"/>
  <c r="F517" i="51" l="1"/>
  <c r="F1392" i="51"/>
  <c r="F699" i="51"/>
  <c r="F1413" i="51"/>
  <c r="F1376" i="51"/>
  <c r="F1418" i="51"/>
  <c r="F1384" i="51"/>
  <c r="F1383" i="51" s="1"/>
  <c r="F941" i="51"/>
  <c r="F1391" i="51"/>
  <c r="F1401" i="51"/>
  <c r="F1412" i="51" l="1"/>
  <c r="F420" i="27"/>
  <c r="F419" i="27"/>
  <c r="F418" i="27"/>
  <c r="F429" i="27"/>
  <c r="F428" i="27"/>
  <c r="F427" i="27"/>
  <c r="F426" i="27"/>
  <c r="F425" i="27"/>
  <c r="F417" i="27"/>
  <c r="F416" i="27"/>
  <c r="F1423" i="51" l="1"/>
  <c r="F17" i="19" s="1"/>
  <c r="F164" i="50"/>
  <c r="F162" i="50"/>
  <c r="F160" i="50"/>
  <c r="F158" i="50"/>
  <c r="F156" i="50"/>
  <c r="F154" i="50"/>
  <c r="F152" i="50"/>
  <c r="F149" i="50"/>
  <c r="F147" i="50"/>
  <c r="F145" i="50"/>
  <c r="F143" i="50"/>
  <c r="F141" i="50"/>
  <c r="F139" i="50"/>
  <c r="F137" i="50"/>
  <c r="F135" i="50"/>
  <c r="F133" i="50"/>
  <c r="F131" i="50"/>
  <c r="F129" i="50"/>
  <c r="F127" i="50"/>
  <c r="F125" i="50"/>
  <c r="F123" i="50"/>
  <c r="F121" i="50"/>
  <c r="F119" i="50"/>
  <c r="F117" i="50"/>
  <c r="F115" i="50"/>
  <c r="F112" i="50"/>
  <c r="F110" i="50"/>
  <c r="F108" i="50"/>
  <c r="F106" i="50"/>
  <c r="F104" i="50"/>
  <c r="F94" i="50"/>
  <c r="F92" i="50"/>
  <c r="F90" i="50"/>
  <c r="F88" i="50"/>
  <c r="F86" i="50"/>
  <c r="F84" i="50"/>
  <c r="F82" i="50"/>
  <c r="F80" i="50"/>
  <c r="F78" i="50"/>
  <c r="F76" i="50"/>
  <c r="F74" i="50"/>
  <c r="F72" i="50"/>
  <c r="F70" i="50"/>
  <c r="F68" i="50"/>
  <c r="F66" i="50"/>
  <c r="F64" i="50"/>
  <c r="F62" i="50"/>
  <c r="F60" i="50"/>
  <c r="F57" i="50"/>
  <c r="F55" i="50"/>
  <c r="F53" i="50"/>
  <c r="F51" i="50"/>
  <c r="F49" i="50"/>
  <c r="F47" i="50"/>
  <c r="F45" i="50"/>
  <c r="F43" i="50"/>
  <c r="F41" i="50"/>
  <c r="F39" i="50"/>
  <c r="F37" i="50"/>
  <c r="F35" i="50"/>
  <c r="F33" i="50"/>
  <c r="F31" i="50"/>
  <c r="F29" i="50"/>
  <c r="F27" i="50"/>
  <c r="F768" i="49"/>
  <c r="F765" i="49"/>
  <c r="F744" i="49"/>
  <c r="F742" i="49"/>
  <c r="F740" i="49"/>
  <c r="F738" i="49"/>
  <c r="F736" i="49"/>
  <c r="F734" i="49"/>
  <c r="F732" i="49"/>
  <c r="F730" i="49"/>
  <c r="F728" i="49"/>
  <c r="F726" i="49"/>
  <c r="F724" i="49"/>
  <c r="F722" i="49"/>
  <c r="F720" i="49"/>
  <c r="F718" i="49"/>
  <c r="F716" i="49"/>
  <c r="F706" i="49"/>
  <c r="F704" i="49"/>
  <c r="F702" i="49"/>
  <c r="F700" i="49"/>
  <c r="F698" i="49"/>
  <c r="F696" i="49"/>
  <c r="F694" i="49"/>
  <c r="F692" i="49"/>
  <c r="F690" i="49"/>
  <c r="F688" i="49"/>
  <c r="F685" i="49"/>
  <c r="F674" i="49"/>
  <c r="F649" i="49"/>
  <c r="F647" i="49"/>
  <c r="F645" i="49"/>
  <c r="F640" i="49"/>
  <c r="F638" i="49"/>
  <c r="F636" i="49"/>
  <c r="F631" i="49"/>
  <c r="F630" i="49"/>
  <c r="F627" i="49"/>
  <c r="F625" i="49"/>
  <c r="F623" i="49"/>
  <c r="F621" i="49"/>
  <c r="F615" i="49"/>
  <c r="F613" i="49"/>
  <c r="F611" i="49"/>
  <c r="F609" i="49"/>
  <c r="F607" i="49"/>
  <c r="F605" i="49"/>
  <c r="F603" i="49"/>
  <c r="F601" i="49"/>
  <c r="F599" i="49"/>
  <c r="F597" i="49"/>
  <c r="F595" i="49"/>
  <c r="F593" i="49"/>
  <c r="F591" i="49"/>
  <c r="F566" i="49"/>
  <c r="F564" i="49"/>
  <c r="F561" i="49"/>
  <c r="F559" i="49"/>
  <c r="F557" i="49"/>
  <c r="F555" i="49"/>
  <c r="F553" i="49"/>
  <c r="F551" i="49"/>
  <c r="F541" i="49"/>
  <c r="F539" i="49"/>
  <c r="F537" i="49"/>
  <c r="F535" i="49"/>
  <c r="F533" i="49"/>
  <c r="F531" i="49"/>
  <c r="F529" i="49"/>
  <c r="F527" i="49"/>
  <c r="F525" i="49"/>
  <c r="F523" i="49"/>
  <c r="F521" i="49"/>
  <c r="F519" i="49"/>
  <c r="F517" i="49"/>
  <c r="F515" i="49"/>
  <c r="F513" i="49"/>
  <c r="F503" i="49"/>
  <c r="F501" i="49"/>
  <c r="F499" i="49"/>
  <c r="F497" i="49"/>
  <c r="F495" i="49"/>
  <c r="F493" i="49"/>
  <c r="F491" i="49"/>
  <c r="F489" i="49"/>
  <c r="F487" i="49"/>
  <c r="F485" i="49"/>
  <c r="F483" i="49"/>
  <c r="F481" i="49"/>
  <c r="F479" i="49"/>
  <c r="F477" i="49"/>
  <c r="F475" i="49"/>
  <c r="F473" i="49"/>
  <c r="F470" i="49"/>
  <c r="F467" i="49"/>
  <c r="F462" i="49"/>
  <c r="F452" i="49"/>
  <c r="F450" i="49"/>
  <c r="F448" i="49"/>
  <c r="F446" i="49"/>
  <c r="F444" i="49"/>
  <c r="F442" i="49"/>
  <c r="F440" i="49"/>
  <c r="F438" i="49"/>
  <c r="F436" i="49"/>
  <c r="F430" i="49"/>
  <c r="F423" i="49"/>
  <c r="F422" i="49"/>
  <c r="F419" i="49"/>
  <c r="F418" i="49"/>
  <c r="F415" i="49"/>
  <c r="F414" i="49"/>
  <c r="F413" i="49"/>
  <c r="F408" i="49"/>
  <c r="F407" i="49"/>
  <c r="F406" i="49"/>
  <c r="F405" i="49"/>
  <c r="F404" i="49"/>
  <c r="F402" i="49"/>
  <c r="F401" i="49"/>
  <c r="F400" i="49"/>
  <c r="F399" i="49"/>
  <c r="F398" i="49"/>
  <c r="F396" i="49"/>
  <c r="F390" i="49"/>
  <c r="F385" i="49"/>
  <c r="F380" i="49"/>
  <c r="F375" i="49"/>
  <c r="F369" i="49"/>
  <c r="F364" i="49"/>
  <c r="F357" i="49"/>
  <c r="F348" i="49"/>
  <c r="F346" i="49"/>
  <c r="F341" i="49"/>
  <c r="F336" i="49"/>
  <c r="F332" i="49"/>
  <c r="F327" i="49"/>
  <c r="F321" i="49"/>
  <c r="F316" i="49"/>
  <c r="F311" i="49"/>
  <c r="F306" i="49"/>
  <c r="F301" i="49"/>
  <c r="F296" i="49"/>
  <c r="F287" i="49"/>
  <c r="F285" i="49"/>
  <c r="F283" i="49"/>
  <c r="F281" i="49"/>
  <c r="F279" i="49"/>
  <c r="F276" i="49"/>
  <c r="F273" i="49"/>
  <c r="F270" i="49"/>
  <c r="F267" i="49"/>
  <c r="F264" i="49"/>
  <c r="F261" i="49"/>
  <c r="F258" i="49"/>
  <c r="F255" i="49"/>
  <c r="F254" i="49"/>
  <c r="F253" i="49"/>
  <c r="F250" i="49"/>
  <c r="F247" i="49"/>
  <c r="F246" i="49"/>
  <c r="F243" i="49"/>
  <c r="F240" i="49"/>
  <c r="F237" i="49"/>
  <c r="F234" i="49"/>
  <c r="F231" i="49"/>
  <c r="F228" i="49"/>
  <c r="F225" i="49"/>
  <c r="F222" i="49"/>
  <c r="F220" i="49"/>
  <c r="F205" i="49"/>
  <c r="F196" i="49"/>
  <c r="F188" i="49"/>
  <c r="F187" i="49"/>
  <c r="F186" i="49"/>
  <c r="F183" i="49"/>
  <c r="F181" i="49"/>
  <c r="F179" i="49"/>
  <c r="F177" i="49"/>
  <c r="F176" i="49"/>
  <c r="F175" i="49"/>
  <c r="F174" i="49"/>
  <c r="F173" i="49"/>
  <c r="F172" i="49"/>
  <c r="F171" i="49"/>
  <c r="F170" i="49"/>
  <c r="F169" i="49"/>
  <c r="F168" i="49"/>
  <c r="F167" i="49"/>
  <c r="F142" i="49"/>
  <c r="F115" i="49"/>
  <c r="F96" i="49"/>
  <c r="F79" i="49"/>
  <c r="F62" i="49"/>
  <c r="F29" i="49"/>
  <c r="F771" i="49" l="1"/>
  <c r="F784" i="49" s="1"/>
  <c r="F167" i="50"/>
  <c r="F175" i="50" s="1"/>
  <c r="F209" i="49"/>
  <c r="F777" i="49" s="1"/>
  <c r="F97" i="50"/>
  <c r="F173" i="50" s="1"/>
  <c r="F709" i="49"/>
  <c r="F782" i="49" s="1"/>
  <c r="F652" i="49"/>
  <c r="F781" i="49" s="1"/>
  <c r="F569" i="49"/>
  <c r="F780" i="49" s="1"/>
  <c r="F455" i="49"/>
  <c r="F778" i="49" s="1"/>
  <c r="F747" i="49"/>
  <c r="F783" i="49" s="1"/>
  <c r="F506" i="49"/>
  <c r="F779" i="49" s="1"/>
  <c r="F178" i="50" l="1"/>
  <c r="F14" i="19" s="1"/>
  <c r="F786" i="49"/>
  <c r="F13" i="19" s="1"/>
  <c r="B15" i="19"/>
  <c r="F31" i="44"/>
  <c r="F34" i="44" s="1"/>
  <c r="F15" i="19" s="1"/>
  <c r="F259" i="36" l="1"/>
  <c r="F255" i="36"/>
  <c r="F251" i="36"/>
  <c r="F247" i="36"/>
  <c r="F223" i="36"/>
  <c r="F191" i="36" l="1"/>
  <c r="F187" i="36"/>
  <c r="F183" i="36"/>
  <c r="F179" i="36"/>
  <c r="F175" i="36"/>
  <c r="F171" i="36"/>
  <c r="F164" i="36"/>
  <c r="F160" i="36"/>
  <c r="F156" i="36"/>
  <c r="F152" i="36"/>
  <c r="F148" i="36" l="1"/>
  <c r="F144" i="36"/>
  <c r="F141" i="36"/>
  <c r="F137" i="36"/>
  <c r="F133" i="36"/>
  <c r="F129" i="36"/>
  <c r="F125" i="36"/>
  <c r="F121" i="36"/>
  <c r="F114" i="36"/>
  <c r="F110" i="36"/>
  <c r="F106" i="36"/>
  <c r="F99" i="36"/>
  <c r="F95" i="36"/>
  <c r="F91" i="36"/>
  <c r="F87" i="36"/>
  <c r="F83" i="36"/>
  <c r="F79" i="36"/>
  <c r="F75" i="36"/>
  <c r="F71" i="36"/>
  <c r="F67" i="36"/>
  <c r="F63" i="36"/>
  <c r="F60" i="36"/>
  <c r="F56" i="36"/>
  <c r="F52" i="36"/>
  <c r="F48" i="36"/>
  <c r="F44" i="36"/>
  <c r="F41" i="36"/>
  <c r="F37" i="36"/>
  <c r="F31" i="36"/>
  <c r="F27" i="36"/>
  <c r="F282" i="27" l="1"/>
  <c r="F278" i="27"/>
  <c r="F262" i="27"/>
  <c r="F274" i="27"/>
  <c r="F270" i="27"/>
  <c r="F266" i="27"/>
  <c r="F396" i="27" l="1"/>
  <c r="F397" i="27"/>
  <c r="F398" i="27"/>
  <c r="F399" i="27"/>
  <c r="F400" i="27"/>
  <c r="F320" i="27"/>
  <c r="F307" i="27"/>
  <c r="F306" i="27"/>
  <c r="F305" i="27"/>
  <c r="F304" i="27"/>
  <c r="F236" i="27"/>
  <c r="F186" i="27"/>
  <c r="F151" i="27"/>
  <c r="F149" i="27"/>
  <c r="F147" i="27"/>
  <c r="F161" i="27"/>
  <c r="F159" i="27"/>
  <c r="F156" i="27"/>
  <c r="F155" i="27"/>
  <c r="F152" i="27"/>
  <c r="F150" i="27"/>
  <c r="F148" i="27"/>
  <c r="F146" i="27"/>
  <c r="F143" i="27"/>
  <c r="F142" i="27"/>
  <c r="F141" i="27"/>
  <c r="F110" i="27"/>
  <c r="F107" i="27"/>
  <c r="F99" i="27"/>
  <c r="F98" i="27"/>
  <c r="F44" i="27"/>
  <c r="F42" i="27"/>
  <c r="F30" i="27"/>
  <c r="F26" i="27"/>
  <c r="F23" i="27"/>
  <c r="F163" i="27" l="1"/>
  <c r="F468" i="27" s="1"/>
  <c r="F1934" i="22"/>
  <c r="F1930" i="22"/>
  <c r="F1910" i="22"/>
  <c r="F1802" i="22"/>
  <c r="F1740" i="22"/>
  <c r="F1683" i="22" l="1"/>
  <c r="F1691" i="22"/>
  <c r="F1654" i="22"/>
  <c r="F1653" i="22"/>
  <c r="F1631" i="22"/>
  <c r="F1620" i="22"/>
  <c r="F1618" i="22"/>
  <c r="F1644" i="22"/>
  <c r="F1643" i="22"/>
  <c r="F1641" i="22"/>
  <c r="F1573" i="22"/>
  <c r="F1571" i="22"/>
  <c r="F1572" i="22"/>
  <c r="F1551" i="22"/>
  <c r="F1372" i="22" l="1"/>
  <c r="F1323" i="22"/>
  <c r="F1305" i="22"/>
  <c r="F1295" i="22"/>
  <c r="F1285" i="22"/>
  <c r="F1284" i="22"/>
  <c r="F1283" i="22"/>
  <c r="F1282" i="22"/>
  <c r="F1281" i="22"/>
  <c r="F1271" i="22"/>
  <c r="F1269" i="22"/>
  <c r="F1268" i="22"/>
  <c r="F1267" i="22"/>
  <c r="F1266" i="22"/>
  <c r="F1265" i="22"/>
  <c r="F1264" i="22"/>
  <c r="F1253" i="22" l="1"/>
  <c r="F1252" i="22"/>
  <c r="F1251" i="22"/>
  <c r="F1250" i="22"/>
  <c r="F1249" i="22"/>
  <c r="F1248" i="22"/>
  <c r="F1247" i="22"/>
  <c r="F1236" i="22" l="1"/>
  <c r="F1235" i="22"/>
  <c r="F1213" i="22"/>
  <c r="F1209" i="22"/>
  <c r="F1208" i="22"/>
  <c r="F1207" i="22"/>
  <c r="F1206" i="22"/>
  <c r="F1135" i="22" l="1"/>
  <c r="F1130" i="22"/>
  <c r="F1119" i="22" l="1"/>
  <c r="F497" i="22" l="1"/>
  <c r="F1025" i="22" l="1"/>
  <c r="F993" i="22"/>
  <c r="F987" i="22"/>
  <c r="A2012" i="22"/>
  <c r="B2012" i="22"/>
  <c r="F696" i="22"/>
  <c r="F695" i="22"/>
  <c r="B699" i="22"/>
  <c r="A699" i="22"/>
  <c r="F694" i="22"/>
  <c r="F955" i="22"/>
  <c r="F957" i="22"/>
  <c r="F929" i="22"/>
  <c r="F919" i="22"/>
  <c r="F918" i="22"/>
  <c r="F917" i="22"/>
  <c r="F912" i="22"/>
  <c r="F891" i="22"/>
  <c r="F880" i="22"/>
  <c r="F860" i="22"/>
  <c r="F491" i="22"/>
  <c r="F481" i="22"/>
  <c r="F852" i="22"/>
  <c r="F830" i="22"/>
  <c r="F831" i="22"/>
  <c r="F699" i="22" l="1"/>
  <c r="F2012" i="22" s="1"/>
  <c r="F662" i="22"/>
  <c r="F661" i="22"/>
  <c r="F601" i="22"/>
  <c r="F600" i="22"/>
  <c r="F581" i="22"/>
  <c r="F582" i="22"/>
  <c r="F583" i="22"/>
  <c r="F580" i="22"/>
  <c r="F561" i="22"/>
  <c r="F560" i="22"/>
  <c r="F563" i="22"/>
  <c r="F559" i="22"/>
  <c r="F535" i="22" l="1"/>
  <c r="F536" i="22"/>
  <c r="F533" i="22"/>
  <c r="F537" i="22"/>
  <c r="F532" i="22"/>
  <c r="F466" i="22" l="1"/>
  <c r="F450" i="22" l="1"/>
  <c r="F434" i="22"/>
  <c r="F418" i="22"/>
  <c r="F361" i="22" l="1"/>
  <c r="F360" i="22"/>
  <c r="F328" i="22"/>
  <c r="F327" i="22"/>
  <c r="F317" i="22"/>
  <c r="F265" i="22"/>
  <c r="F261" i="22"/>
  <c r="F264" i="22"/>
  <c r="F263" i="22"/>
  <c r="F262" i="22"/>
  <c r="F260" i="22"/>
  <c r="F243" i="22"/>
  <c r="F241" i="22"/>
  <c r="F242" i="22"/>
  <c r="F247" i="22"/>
  <c r="F157" i="22" l="1"/>
  <c r="F158" i="22"/>
  <c r="F125" i="22"/>
  <c r="F930" i="22" l="1"/>
  <c r="B17" i="19"/>
  <c r="F366" i="27"/>
  <c r="F367" i="27"/>
  <c r="F368" i="27"/>
  <c r="F369" i="27"/>
  <c r="F364" i="27"/>
  <c r="F365" i="27"/>
  <c r="F353" i="27"/>
  <c r="F354" i="27"/>
  <c r="F355" i="27"/>
  <c r="F356" i="27"/>
  <c r="F357" i="27"/>
  <c r="F358" i="27"/>
  <c r="F363" i="27"/>
  <c r="F375" i="27"/>
  <c r="F376" i="27"/>
  <c r="F377" i="27"/>
  <c r="F378" i="27"/>
  <c r="F379" i="27"/>
  <c r="F380" i="27"/>
  <c r="F386" i="27"/>
  <c r="F387" i="27"/>
  <c r="F388" i="27"/>
  <c r="F389" i="27"/>
  <c r="F390" i="27"/>
  <c r="F391" i="27"/>
  <c r="F406" i="27"/>
  <c r="F407" i="27"/>
  <c r="F408" i="27"/>
  <c r="F409" i="27"/>
  <c r="F410" i="27"/>
  <c r="F411" i="27"/>
  <c r="F434" i="27"/>
  <c r="F439" i="27"/>
  <c r="F440" i="27"/>
  <c r="F441" i="27"/>
  <c r="F446" i="27"/>
  <c r="F447" i="27"/>
  <c r="F448" i="27"/>
  <c r="F449" i="27"/>
  <c r="F454" i="27"/>
  <c r="F11" i="27"/>
  <c r="F14" i="27" s="1"/>
  <c r="F463" i="27" s="1"/>
  <c r="F20" i="27"/>
  <c r="F28" i="27"/>
  <c r="F32" i="27"/>
  <c r="F35" i="27"/>
  <c r="F38" i="27"/>
  <c r="F40" i="27"/>
  <c r="F46" i="27"/>
  <c r="F55" i="27"/>
  <c r="F57" i="27" s="1"/>
  <c r="F465" i="27" s="1"/>
  <c r="F70" i="27"/>
  <c r="F81" i="27"/>
  <c r="F93" i="27"/>
  <c r="F113" i="27"/>
  <c r="F114" i="27"/>
  <c r="F115" i="27"/>
  <c r="F116" i="27"/>
  <c r="F119" i="27"/>
  <c r="F120" i="27"/>
  <c r="F121" i="27"/>
  <c r="F122" i="27"/>
  <c r="F125" i="27"/>
  <c r="F126" i="27"/>
  <c r="F127" i="27"/>
  <c r="F130" i="27"/>
  <c r="F131" i="27"/>
  <c r="F133" i="27"/>
  <c r="F168" i="27"/>
  <c r="F190" i="27"/>
  <c r="F191" i="27"/>
  <c r="F194" i="27"/>
  <c r="F197" i="27"/>
  <c r="F199" i="27"/>
  <c r="F201" i="27"/>
  <c r="F208" i="27"/>
  <c r="F209" i="27"/>
  <c r="F210" i="27"/>
  <c r="F213" i="27"/>
  <c r="F214" i="27"/>
  <c r="F217" i="27"/>
  <c r="F218" i="27"/>
  <c r="F220" i="27"/>
  <c r="F223" i="27"/>
  <c r="F226" i="27"/>
  <c r="F227" i="27"/>
  <c r="F230" i="27"/>
  <c r="F233" i="27"/>
  <c r="F243" i="27"/>
  <c r="F250" i="27"/>
  <c r="F252" i="27"/>
  <c r="F260" i="27"/>
  <c r="F261" i="27"/>
  <c r="F285" i="27"/>
  <c r="F287" i="27"/>
  <c r="F298" i="27"/>
  <c r="F299" i="27"/>
  <c r="F310" i="27"/>
  <c r="F311" i="27"/>
  <c r="F312" i="27"/>
  <c r="F313" i="27"/>
  <c r="F314" i="27"/>
  <c r="F316" i="27"/>
  <c r="F318" i="27"/>
  <c r="F329" i="27"/>
  <c r="F337" i="27"/>
  <c r="F339" i="27"/>
  <c r="F210" i="36"/>
  <c r="F206" i="36"/>
  <c r="F202" i="36"/>
  <c r="F201" i="36"/>
  <c r="F19" i="25"/>
  <c r="F21" i="25" s="1"/>
  <c r="F100" i="25" s="1"/>
  <c r="F29" i="25"/>
  <c r="F32" i="25" s="1"/>
  <c r="F102" i="25" s="1"/>
  <c r="F40" i="25"/>
  <c r="F41" i="25"/>
  <c r="F42" i="25"/>
  <c r="F43" i="25"/>
  <c r="F44" i="25"/>
  <c r="F45" i="25"/>
  <c r="F47" i="25"/>
  <c r="F48" i="25"/>
  <c r="F55" i="25"/>
  <c r="F56" i="25"/>
  <c r="F57" i="25"/>
  <c r="F59" i="25"/>
  <c r="F60" i="25"/>
  <c r="F65" i="25"/>
  <c r="F67" i="25"/>
  <c r="F68" i="25"/>
  <c r="F73" i="25"/>
  <c r="F74" i="25"/>
  <c r="F76" i="25"/>
  <c r="F77" i="25"/>
  <c r="F81" i="25"/>
  <c r="F82" i="25"/>
  <c r="F83" i="25"/>
  <c r="F84" i="25"/>
  <c r="F87" i="25"/>
  <c r="F90" i="25"/>
  <c r="F18" i="36"/>
  <c r="F22" i="36"/>
  <c r="F26" i="36"/>
  <c r="F195" i="36"/>
  <c r="F198" i="36"/>
  <c r="A212" i="36"/>
  <c r="B212" i="36"/>
  <c r="F219" i="36"/>
  <c r="F227" i="36"/>
  <c r="F231" i="36"/>
  <c r="F235" i="36"/>
  <c r="F239" i="36"/>
  <c r="F243" i="36"/>
  <c r="A261" i="36"/>
  <c r="B261" i="36"/>
  <c r="A267" i="36"/>
  <c r="B267" i="36"/>
  <c r="A269" i="36"/>
  <c r="B269" i="36"/>
  <c r="F23" i="22"/>
  <c r="F24" i="22"/>
  <c r="F28" i="22"/>
  <c r="F29" i="22"/>
  <c r="F35" i="22"/>
  <c r="F36" i="22"/>
  <c r="F39" i="22"/>
  <c r="F40" i="22"/>
  <c r="F44" i="22"/>
  <c r="F49" i="22"/>
  <c r="F54" i="22"/>
  <c r="F55" i="22"/>
  <c r="F59" i="22"/>
  <c r="F63" i="22"/>
  <c r="F64" i="22"/>
  <c r="F69" i="22"/>
  <c r="F78" i="22"/>
  <c r="A80" i="22"/>
  <c r="B80" i="22"/>
  <c r="F87" i="22"/>
  <c r="F88" i="22"/>
  <c r="A90" i="22"/>
  <c r="B90" i="22"/>
  <c r="F100" i="22"/>
  <c r="F107" i="22"/>
  <c r="F108" i="22"/>
  <c r="F114" i="22"/>
  <c r="F115" i="22"/>
  <c r="F116" i="22"/>
  <c r="F119" i="22"/>
  <c r="F120" i="22"/>
  <c r="F124" i="22"/>
  <c r="F126" i="22"/>
  <c r="F134" i="22"/>
  <c r="F135" i="22"/>
  <c r="F136" i="22"/>
  <c r="F140" i="22"/>
  <c r="F141" i="22"/>
  <c r="F145" i="22"/>
  <c r="F146" i="22"/>
  <c r="F147" i="22"/>
  <c r="F148" i="22"/>
  <c r="F151" i="22"/>
  <c r="F154" i="22"/>
  <c r="F162" i="22"/>
  <c r="F163" i="22"/>
  <c r="F164" i="22"/>
  <c r="F165" i="22"/>
  <c r="F166" i="22"/>
  <c r="F169" i="22"/>
  <c r="F170" i="22"/>
  <c r="F171" i="22"/>
  <c r="F172" i="22"/>
  <c r="F173" i="22"/>
  <c r="A175" i="22"/>
  <c r="B175" i="22"/>
  <c r="F189" i="22"/>
  <c r="F190" i="22"/>
  <c r="F191" i="22"/>
  <c r="F202" i="22"/>
  <c r="F203" i="22"/>
  <c r="F212" i="22"/>
  <c r="F213" i="22"/>
  <c r="F214" i="22"/>
  <c r="F215" i="22"/>
  <c r="F216" i="22"/>
  <c r="A218" i="22"/>
  <c r="B218" i="22"/>
  <c r="F235" i="22"/>
  <c r="F240" i="22"/>
  <c r="F246" i="22"/>
  <c r="F250" i="22"/>
  <c r="F251" i="22"/>
  <c r="F259" i="22"/>
  <c r="F272" i="22"/>
  <c r="F273" i="22"/>
  <c r="F281" i="22"/>
  <c r="F282" i="22"/>
  <c r="F290" i="22"/>
  <c r="F291" i="22"/>
  <c r="F292" i="22"/>
  <c r="F298" i="22"/>
  <c r="F299" i="22"/>
  <c r="F307" i="22"/>
  <c r="F308" i="22"/>
  <c r="F316" i="22"/>
  <c r="F318" i="22"/>
  <c r="F337" i="22"/>
  <c r="F338" i="22"/>
  <c r="F339" i="22"/>
  <c r="F347" i="22"/>
  <c r="F348" i="22"/>
  <c r="F349" i="22"/>
  <c r="F359" i="22"/>
  <c r="F362" i="22"/>
  <c r="F363" i="22"/>
  <c r="F368" i="22"/>
  <c r="A370" i="22"/>
  <c r="B370" i="22"/>
  <c r="F382" i="22"/>
  <c r="F383" i="22"/>
  <c r="A390" i="22"/>
  <c r="B390" i="22"/>
  <c r="F402" i="22"/>
  <c r="F410" i="22"/>
  <c r="F426" i="22"/>
  <c r="F433" i="22"/>
  <c r="F435" i="22"/>
  <c r="F449" i="22"/>
  <c r="F451" i="22"/>
  <c r="F452" i="22"/>
  <c r="F465" i="22"/>
  <c r="F480" i="22"/>
  <c r="F501" i="22"/>
  <c r="F502" i="22"/>
  <c r="A504" i="22"/>
  <c r="B504" i="22"/>
  <c r="F531" i="22"/>
  <c r="F603" i="22" s="1"/>
  <c r="F2009" i="22" s="1"/>
  <c r="A603" i="22"/>
  <c r="B603" i="22"/>
  <c r="F620" i="22"/>
  <c r="F622" i="22"/>
  <c r="F637" i="22"/>
  <c r="F639" i="22"/>
  <c r="A641" i="22"/>
  <c r="B641" i="22"/>
  <c r="F658" i="22"/>
  <c r="F659" i="22"/>
  <c r="F660" i="22"/>
  <c r="A664" i="22"/>
  <c r="B664" i="22"/>
  <c r="F720" i="22"/>
  <c r="F726" i="22"/>
  <c r="F745" i="22"/>
  <c r="F749" i="22"/>
  <c r="F752" i="22"/>
  <c r="F763" i="22"/>
  <c r="F764" i="22"/>
  <c r="F765" i="22"/>
  <c r="F774" i="22"/>
  <c r="F782" i="22"/>
  <c r="F790" i="22"/>
  <c r="F807" i="22"/>
  <c r="F808" i="22"/>
  <c r="A810" i="22"/>
  <c r="B810" i="22"/>
  <c r="F822" i="22"/>
  <c r="F828" i="22"/>
  <c r="F829" i="22"/>
  <c r="F839" i="22"/>
  <c r="F840" i="22"/>
  <c r="F846" i="22"/>
  <c r="F870" i="22"/>
  <c r="F871" i="22"/>
  <c r="F872" i="22"/>
  <c r="F892" i="22"/>
  <c r="A897" i="22"/>
  <c r="B897" i="22"/>
  <c r="F911" i="22"/>
  <c r="F913" i="22"/>
  <c r="F914" i="22"/>
  <c r="F915" i="22"/>
  <c r="F916" i="22"/>
  <c r="F928" i="22"/>
  <c r="F938" i="22"/>
  <c r="F942" i="22"/>
  <c r="F953" i="22"/>
  <c r="F961" i="22"/>
  <c r="A963" i="22"/>
  <c r="B963" i="22"/>
  <c r="F985" i="22"/>
  <c r="F989" i="22"/>
  <c r="F991" i="22"/>
  <c r="F995" i="22"/>
  <c r="F1008" i="22"/>
  <c r="F1009" i="22"/>
  <c r="F1021" i="22"/>
  <c r="F1022" i="22"/>
  <c r="F1023" i="22"/>
  <c r="F1024" i="22"/>
  <c r="F1033" i="22"/>
  <c r="F1041" i="22"/>
  <c r="A1043" i="22"/>
  <c r="B1043" i="22"/>
  <c r="F1089" i="22"/>
  <c r="F1091" i="22"/>
  <c r="F1093" i="22"/>
  <c r="F1095" i="22"/>
  <c r="F1097" i="22"/>
  <c r="F1099" i="22"/>
  <c r="F1101" i="22"/>
  <c r="F1103" i="22"/>
  <c r="F1105" i="22"/>
  <c r="F1107" i="22"/>
  <c r="F1109" i="22"/>
  <c r="F1111" i="22"/>
  <c r="F1113" i="22"/>
  <c r="F1115" i="22"/>
  <c r="F1117" i="22"/>
  <c r="F1125" i="22"/>
  <c r="F1154" i="22"/>
  <c r="F1156" i="22"/>
  <c r="F1158" i="22"/>
  <c r="F1160" i="22"/>
  <c r="F1164" i="22"/>
  <c r="F1162" i="22"/>
  <c r="F1166" i="22"/>
  <c r="F1168" i="22"/>
  <c r="A1170" i="22"/>
  <c r="B1170" i="22"/>
  <c r="F1210" i="22"/>
  <c r="F1211" i="22"/>
  <c r="F1212" i="22"/>
  <c r="A1215" i="22"/>
  <c r="B1215" i="22"/>
  <c r="F1345" i="22"/>
  <c r="F1346" i="22"/>
  <c r="F1359" i="22"/>
  <c r="F1385" i="22"/>
  <c r="F1396" i="22"/>
  <c r="F1400" i="22"/>
  <c r="A1402" i="22"/>
  <c r="B1402" i="22"/>
  <c r="F1420" i="22"/>
  <c r="F1421" i="22"/>
  <c r="F1422" i="22"/>
  <c r="F1423" i="22"/>
  <c r="A1425" i="22"/>
  <c r="B1425" i="22"/>
  <c r="F1458" i="22"/>
  <c r="F1459" i="22"/>
  <c r="F1460" i="22"/>
  <c r="F1461" i="22"/>
  <c r="F1489" i="22"/>
  <c r="F1490" i="22"/>
  <c r="F1491" i="22"/>
  <c r="F1492" i="22"/>
  <c r="F1502" i="22"/>
  <c r="F1503" i="22"/>
  <c r="A1505" i="22"/>
  <c r="B1505" i="22"/>
  <c r="F1518" i="22"/>
  <c r="F1519" i="22"/>
  <c r="F1520" i="22"/>
  <c r="F1521" i="22"/>
  <c r="F1526" i="22"/>
  <c r="F1536" i="22"/>
  <c r="F1544" i="22"/>
  <c r="F1548" i="22"/>
  <c r="F1549" i="22"/>
  <c r="F1550" i="22"/>
  <c r="F1570" i="22"/>
  <c r="F1585" i="22"/>
  <c r="F1589" i="22"/>
  <c r="A1591" i="22"/>
  <c r="B1591" i="22"/>
  <c r="F1617" i="22"/>
  <c r="F1619" i="22"/>
  <c r="F1629" i="22"/>
  <c r="F1630" i="22"/>
  <c r="F1640" i="22"/>
  <c r="F1642" i="22"/>
  <c r="F1669" i="22"/>
  <c r="F1670" i="22"/>
  <c r="F1706" i="22"/>
  <c r="F1707" i="22"/>
  <c r="F1708" i="22"/>
  <c r="F1713" i="22"/>
  <c r="F1714" i="22"/>
  <c r="A1716" i="22"/>
  <c r="B1716" i="22"/>
  <c r="F1724" i="22"/>
  <c r="F1731" i="22"/>
  <c r="F1739" i="22"/>
  <c r="F1741" i="22"/>
  <c r="F1746" i="22"/>
  <c r="F1747" i="22"/>
  <c r="F1748" i="22"/>
  <c r="F1749" i="22"/>
  <c r="F1755" i="22"/>
  <c r="F1756" i="22"/>
  <c r="F1773" i="22"/>
  <c r="F1787" i="22"/>
  <c r="F1817" i="22"/>
  <c r="F1829" i="22"/>
  <c r="F1830" i="22"/>
  <c r="F1843" i="22"/>
  <c r="F1858" i="22"/>
  <c r="F1869" i="22"/>
  <c r="F1879" i="22"/>
  <c r="F1889" i="22"/>
  <c r="F1899" i="22"/>
  <c r="F1925" i="22"/>
  <c r="F1933" i="22"/>
  <c r="F1945" i="22"/>
  <c r="F1951" i="22"/>
  <c r="F1959" i="22"/>
  <c r="F1962" i="22"/>
  <c r="F1963" i="22"/>
  <c r="F1989" i="22"/>
  <c r="A1992" i="22"/>
  <c r="B1992" i="22"/>
  <c r="A2001" i="22"/>
  <c r="B2001" i="22"/>
  <c r="A2002" i="22"/>
  <c r="B2002" i="22"/>
  <c r="A2003" i="22"/>
  <c r="B2003" i="22"/>
  <c r="A2004" i="22"/>
  <c r="B2004" i="22"/>
  <c r="A2005" i="22"/>
  <c r="B2005" i="22"/>
  <c r="A2006" i="22"/>
  <c r="B2006" i="22"/>
  <c r="A2007" i="22"/>
  <c r="B2007" i="22"/>
  <c r="A2008" i="22"/>
  <c r="B2008" i="22"/>
  <c r="A2009" i="22"/>
  <c r="B2009" i="22"/>
  <c r="A2010" i="22"/>
  <c r="B2010" i="22"/>
  <c r="A2011" i="22"/>
  <c r="B2011" i="22"/>
  <c r="A2013" i="22"/>
  <c r="B2013" i="22"/>
  <c r="A2014" i="22"/>
  <c r="B2014" i="22"/>
  <c r="A2015" i="22"/>
  <c r="B2015" i="22"/>
  <c r="A2016" i="22"/>
  <c r="B2016" i="22"/>
  <c r="A2017" i="22"/>
  <c r="B2017" i="22"/>
  <c r="A2018" i="22"/>
  <c r="B2018" i="22"/>
  <c r="A2019" i="22"/>
  <c r="B2019" i="22"/>
  <c r="A2020" i="22"/>
  <c r="B2020" i="22"/>
  <c r="A2021" i="22"/>
  <c r="B2021" i="22"/>
  <c r="A2022" i="22"/>
  <c r="B2022" i="22"/>
  <c r="A2023" i="22"/>
  <c r="B2023" i="22"/>
  <c r="A2024" i="22"/>
  <c r="B2024" i="22"/>
  <c r="A2025" i="22"/>
  <c r="B2025" i="22"/>
  <c r="D176" i="21"/>
  <c r="D177" i="21"/>
  <c r="D178" i="21"/>
  <c r="D179" i="21"/>
  <c r="D180" i="21"/>
  <c r="D181" i="21"/>
  <c r="D182" i="21"/>
  <c r="D183" i="21"/>
  <c r="D184" i="21"/>
  <c r="D185" i="21"/>
  <c r="D186" i="21"/>
  <c r="D187" i="21"/>
  <c r="D188" i="21"/>
  <c r="D189" i="21"/>
  <c r="D190" i="21"/>
  <c r="D191" i="21"/>
  <c r="D192" i="21"/>
  <c r="D193" i="21"/>
  <c r="D194" i="21"/>
  <c r="D195" i="21"/>
  <c r="D196" i="21"/>
  <c r="D197" i="21"/>
  <c r="B9" i="19"/>
  <c r="B16" i="19"/>
  <c r="B10" i="19"/>
  <c r="B11" i="19"/>
  <c r="B12" i="19"/>
  <c r="B13" i="19"/>
  <c r="B14" i="19"/>
  <c r="F101" i="27" l="1"/>
  <c r="F1402" i="22"/>
  <c r="F2020" i="22" s="1"/>
  <c r="F261" i="36"/>
  <c r="F269" i="36" s="1"/>
  <c r="F212" i="36"/>
  <c r="F267" i="36" s="1"/>
  <c r="F135" i="27"/>
  <c r="F467" i="27" s="1"/>
  <c r="F466" i="27"/>
  <c r="F323" i="27"/>
  <c r="F472" i="27" s="1"/>
  <c r="F289" i="27"/>
  <c r="F471" i="27" s="1"/>
  <c r="F48" i="27"/>
  <c r="F464" i="27" s="1"/>
  <c r="F203" i="27"/>
  <c r="F469" i="27" s="1"/>
  <c r="F341" i="27"/>
  <c r="F473" i="27" s="1"/>
  <c r="F457" i="27"/>
  <c r="F474" i="27" s="1"/>
  <c r="F254" i="27"/>
  <c r="F470" i="27" s="1"/>
  <c r="F92" i="25"/>
  <c r="F104" i="25" s="1"/>
  <c r="F90" i="22"/>
  <c r="F2003" i="22" s="1"/>
  <c r="F218" i="22"/>
  <c r="F2005" i="22" s="1"/>
  <c r="F897" i="22"/>
  <c r="F2015" i="22" s="1"/>
  <c r="F810" i="22"/>
  <c r="F2014" i="22" s="1"/>
  <c r="F664" i="22"/>
  <c r="F2011" i="22" s="1"/>
  <c r="F1170" i="22"/>
  <c r="F2018" i="22" s="1"/>
  <c r="F1043" i="22"/>
  <c r="F2017" i="22" s="1"/>
  <c r="F963" i="22"/>
  <c r="F2016" i="22" s="1"/>
  <c r="F504" i="22"/>
  <c r="F2008" i="22" s="1"/>
  <c r="F370" i="22"/>
  <c r="F2006" i="22" s="1"/>
  <c r="F1215" i="22"/>
  <c r="F2019" i="22" s="1"/>
  <c r="F175" i="22"/>
  <c r="F2004" i="22" s="1"/>
  <c r="F641" i="22"/>
  <c r="F2010" i="22" s="1"/>
  <c r="F1716" i="22"/>
  <c r="F2024" i="22" s="1"/>
  <c r="F390" i="22"/>
  <c r="F2007" i="22" s="1"/>
  <c r="F1425" i="22"/>
  <c r="F2021" i="22" s="1"/>
  <c r="F1591" i="22"/>
  <c r="F2023" i="22" s="1"/>
  <c r="F1505" i="22"/>
  <c r="F2022" i="22" s="1"/>
  <c r="F1992" i="22"/>
  <c r="F2025" i="22" s="1"/>
  <c r="F80" i="22"/>
  <c r="F2002" i="22" s="1"/>
  <c r="F2001" i="22" l="1"/>
  <c r="F271" i="36"/>
  <c r="F16" i="19" s="1"/>
  <c r="F477" i="27"/>
  <c r="F11" i="19" s="1"/>
  <c r="F106" i="25"/>
  <c r="F10" i="19" s="1"/>
  <c r="F2013" i="22"/>
  <c r="F2026" i="22" l="1"/>
  <c r="F9" i="19" s="1"/>
  <c r="F22" i="19" l="1"/>
  <c r="F23" i="19" s="1"/>
  <c r="F24" i="19" s="1"/>
</calcChain>
</file>

<file path=xl/sharedStrings.xml><?xml version="1.0" encoding="utf-8"?>
<sst xmlns="http://schemas.openxmlformats.org/spreadsheetml/2006/main" count="10533" uniqueCount="5718">
  <si>
    <t>TROŠKOVNIK PROJEKTIRANIH RADOVA</t>
  </si>
  <si>
    <t>INVESTITOR:</t>
  </si>
  <si>
    <t>DATUM:</t>
  </si>
  <si>
    <t>MJESTO:</t>
  </si>
  <si>
    <t>GLAVNI PROJEKTANT:</t>
  </si>
  <si>
    <t>GRAĐEVINA I LOKACIJA:</t>
  </si>
  <si>
    <t>ZOP:</t>
  </si>
  <si>
    <t>Zagreb</t>
  </si>
  <si>
    <t>1.</t>
  </si>
  <si>
    <t>2.</t>
  </si>
  <si>
    <t>3.</t>
  </si>
  <si>
    <t>4.</t>
  </si>
  <si>
    <t>5.</t>
  </si>
  <si>
    <t>6.</t>
  </si>
  <si>
    <t>7.</t>
  </si>
  <si>
    <t>Damir Petric, dipl. ing. arh.</t>
  </si>
  <si>
    <t>pdv (25%)</t>
  </si>
  <si>
    <t>IZVEDBENI PROJEKT</t>
  </si>
  <si>
    <t>RADOVI IZ:</t>
  </si>
  <si>
    <t>GLAVNI PROJEKT</t>
  </si>
  <si>
    <t>IZRADIO:</t>
  </si>
  <si>
    <t>DIREKTOR:</t>
  </si>
  <si>
    <t>OPĆI UVJETI TROŠKOVNIKA</t>
  </si>
  <si>
    <t>SADRŽAJ</t>
  </si>
  <si>
    <t>slučaju nejasnoća tražiti objašnjenje od projektanta, odnosno iznijeti svoje primjedbe. Nepoznavanje crtanog dijela</t>
  </si>
  <si>
    <r>
      <t xml:space="preserve">projekta i tehničkog opisa </t>
    </r>
    <r>
      <rPr>
        <b/>
        <sz val="9"/>
        <rFont val="Arial CE"/>
        <charset val="238"/>
      </rPr>
      <t xml:space="preserve">neće </t>
    </r>
    <r>
      <rPr>
        <sz val="9"/>
        <rFont val="Arial CE"/>
        <charset val="238"/>
      </rPr>
      <t xml:space="preserve">se </t>
    </r>
    <r>
      <rPr>
        <sz val="9"/>
        <rFont val="Arial CE"/>
        <family val="2"/>
        <charset val="238"/>
      </rPr>
      <t>prihvatiti kao razlog za povišenje jediničnih cijena ili greške u izvedbi.</t>
    </r>
  </si>
  <si>
    <t>Izvođač je dužan pridržavati se važećih zakona i propisa i to naročito:</t>
  </si>
  <si>
    <t>►</t>
  </si>
  <si>
    <t>Zakona o zaštiti na radu (ZNR),</t>
  </si>
  <si>
    <t>Hrvatskih normi (HRN),</t>
  </si>
  <si>
    <t>Općih tehničkih uvjeta (OTU).</t>
  </si>
  <si>
    <t>koji su i dio ugovorne dokumentacije. Izvođač je dužan pridržavati se svih navedenih zakona i uvjeta, osim ako</t>
  </si>
  <si>
    <t xml:space="preserve">projektom nije drugačije navedeno. Svi radovi moraju se izvesti solidno i stručno prema važećim propisima i </t>
  </si>
  <si>
    <r>
      <t xml:space="preserve">gradilišta </t>
    </r>
    <r>
      <rPr>
        <sz val="9"/>
        <rFont val="Arial CE"/>
        <family val="2"/>
        <charset val="238"/>
      </rPr>
      <t>kvalificiranog za dotične vrste poslova i koji će stalno boraviti na gradilištu.</t>
    </r>
  </si>
  <si>
    <t xml:space="preserve">Izvođač je dužan prilikom uvođenja u posao, u okviru ugovorene cijene, preuzeti parcelu, te obavijestiti nadležne </t>
  </si>
  <si>
    <t xml:space="preserve">službe o otvaranju gradilišta. Od tog trenutka pa do primopredaje zgrade izvođač je odgovoran za stvari i osobe </t>
  </si>
  <si>
    <t>koje se nalaze unutar gradilišta. Od ulaska na gradilište izvođač je dužan voditi građevinski dnevnik i građevinsku</t>
  </si>
  <si>
    <t xml:space="preserve">knjigu. U građevinski dnevnik se unose svi bitni podaci i događaji tijekom građenja (npr. meteorološke prilike, </t>
  </si>
  <si>
    <t>temperatura zraka,  eventualne nepogode i sl.), upisuju se primjedbe Projektanta, nalozi nadzornog inženjera i</t>
  </si>
  <si>
    <t xml:space="preserve">građevinske inspekcije. Tako registrirani zahtjevi obavezni su za Izvođača radova, s tim da je za svaku nepredviđenu </t>
  </si>
  <si>
    <t>Količine radova, koje nakon izvršenja čitavog posla nije moguće mjeriti neposrednom izmjerom, treba po izvršenju</t>
  </si>
  <si>
    <t>jamčiti njihovu točnost. Samo tako utvrđeni radovi mogu se uzeti u obzir kod izrade privremenog ili konačnog</t>
  </si>
  <si>
    <t>ugovoreni po sistemu "ključ u ruke".</t>
  </si>
  <si>
    <t>Radovi se izvode prema Izvedbenom projektu, a u svim slučajevima potrebne izmjene ili dopune projekta ili njegovih</t>
  </si>
  <si>
    <t>neće se obračunavati ni po privremenom, ni po konačnom obračunu. Da bi izmjena bila pravovaljana mora je</t>
  </si>
  <si>
    <t>Izražene cijene odnose se na jediničnu mjeru izvršenog rada. Prema tome, jedinične cijene obuhvaćaju: sav rad,</t>
  </si>
  <si>
    <t>troškovnika obuhvaćaju u cijelosti dovršene radove, ispitane po količini i kvaliteti, te preuzete po nadzornoj službi.</t>
  </si>
  <si>
    <t>Za sve naknadne radove izvođač je dužan izraditi analize cijena koje moraju sadržavati:</t>
  </si>
  <si>
    <t>a)</t>
  </si>
  <si>
    <t>b)</t>
  </si>
  <si>
    <t>sve brutto plaće na izvedbi radova date po grupama i kvalifikacijama (B)</t>
  </si>
  <si>
    <t>c)</t>
  </si>
  <si>
    <t>razradu faktora poduzeća (opravdanje veličina) (F)</t>
  </si>
  <si>
    <t>d)</t>
  </si>
  <si>
    <t>važeće normative za izvedbu radova</t>
  </si>
  <si>
    <t xml:space="preserve">U jedinične cijene ulaze svi troškovi za izradu građevine s dobavom predviđenih materijala, pomoćnim radovima, </t>
  </si>
  <si>
    <t>pomoćnim napravama i drugim sredstvima koja su potrebna za ispravnu izvedbu ili bi se mogla tijekom rada ukazati</t>
  </si>
  <si>
    <t>nabavke gradiva, nadzorni i rukovodeći poslovi poduzeća, troškovi skela, alata, strojeva i sprava, sav sitan i pomoćni</t>
  </si>
  <si>
    <t xml:space="preserve">crpljenje vode, signalizacija gradilišta danju i noću, čuvanje, dovodi sve potrebne infrastrukture i sl. ukratko, sve </t>
  </si>
  <si>
    <t xml:space="preserve">Vrsta i kvaliteta građe za skele, vrsta i kvaliteta čeličnih elemenata, način temeljenja skele, moraju odgovarati </t>
  </si>
  <si>
    <t>statičkom proračunu i projektu skele i moraju biti usklađeni s važećim propisima i standardima za čelične</t>
  </si>
  <si>
    <t>poluproizvoda, te konačno dovršenih radova, u skladu s važećim tehničkim propisima, pravilnicima i zakonima.</t>
  </si>
  <si>
    <t xml:space="preserve">materijal. Za svaki ugrađeni materijal Izvođač je dužan priložiti izjavu o sukladnosti proizvoda. Izvođač je dužan </t>
  </si>
  <si>
    <t>Ponuđač je dužan uz ponudu priložiti obavezne priloge kojima dokazuje kompetentnost i obilježja koje materijal,</t>
  </si>
  <si>
    <t>proizvod ili usluga mora imati, a to su:</t>
  </si>
  <si>
    <t>tehničke specifikacije kojima se određuje ukupnost tehničkih uvjeta, a koja određuju obilježja koje</t>
  </si>
  <si>
    <t>materijal, proizvod, oprema ili usluga mora imati</t>
  </si>
  <si>
    <t>specifikacija su norme koje je odobrilo priznato tijelo za normizaciju, a mogu se koristiti:</t>
  </si>
  <si>
    <t>●</t>
  </si>
  <si>
    <t>međunarodna norma,</t>
  </si>
  <si>
    <t>nacionalna norma</t>
  </si>
  <si>
    <t>Za instalacijske sustave izvođač je dužan, u okviru ugovorene cijene, osim izjava o sukladnosti za pojedine materijale</t>
  </si>
  <si>
    <t>trošku. Izvođač je dužan, u okviru ugovorene cijene, osigurati gradilište od djelovanja više sile i krađe.</t>
  </si>
  <si>
    <t>te konačni rok završetka građevine.</t>
  </si>
  <si>
    <t>Izvođač je dužan čistiti gradilište minimalno tri puta u tijeku građenja, a na kraju treba izvesti završno fino čišćenja</t>
  </si>
  <si>
    <t xml:space="preserve">zidova, podova, vrata, prozora, stijena, stakala i dr. što se neće posebno opisivati u stavkama. Nakon dovršenja </t>
  </si>
  <si>
    <t>gradnje Izvođač radova predaje posve uređenu građevinu i pripadajući okoliš predstavniku Investitora, a uz obaveznu</t>
  </si>
  <si>
    <t>prisutnost Projektanta. Eventualne primjedbe Projektanta imaju istu težinu kao primjedbe nadzornog inženjera i</t>
  </si>
  <si>
    <t xml:space="preserve">Izvođač je dužan postupiti po njima. Sve tri strane u preuzimanju sastavljaju pismeni zapisnik o primopredaji </t>
  </si>
  <si>
    <t xml:space="preserve">Nakon otklanjanja svih eventualnih nedostataka Investitor i Izvođač je napraviti okončani obračun, odrediti </t>
  </si>
  <si>
    <t>RUŠENJE</t>
  </si>
  <si>
    <t>Opći uvjeti:</t>
  </si>
  <si>
    <t>Prilikom uklanjanja građevine ili njezinog izvođač radova mora se pridržavati svih uvjeta i opisa u projektnoj</t>
  </si>
  <si>
    <t>dokumentaciji kao i važećih propisa i normi.</t>
  </si>
  <si>
    <t xml:space="preserve">Za rušenje objekta ili nekog njegovog dijela, bez obzira da li se rušenje vrši ručno, pomoću strojeva ili miniranjem, </t>
  </si>
  <si>
    <t xml:space="preserve">mora se prethodno izraditi odgovarajući program radova i mjera zaštite na radu, zavisno od vrste objekta i stupnja </t>
  </si>
  <si>
    <t>opasnosti koje pri tom radu prijete.</t>
  </si>
  <si>
    <t>Rušenje objekta smije se vršiti samo s radnicima stručno osposobljenim i obučenim za odnosni način rušenja i pod</t>
  </si>
  <si>
    <t xml:space="preserve"> neposrednim i stalnim nadzorom određene stručne osobe na radilištu.</t>
  </si>
  <si>
    <t>Ručno rušenje objekta mora se izvoditi postepeno odozgo naniže. Pojedini dijelovi zidova i dimnjaci ne smiju se</t>
  </si>
  <si>
    <t>ostavljati neporušeni, nego se moraju rušiti istovremeno s ostalim dijelovima objekta.</t>
  </si>
  <si>
    <t xml:space="preserve">Rušenje međukatne odnosno tavanske konstrukcije smije otpočeti tek po rušenju i uklanjanju svih porušenih dijelova </t>
  </si>
  <si>
    <t>iznad nivoa te konstrukcije.</t>
  </si>
  <si>
    <t xml:space="preserve">Ručno rušenje slobodno stojećeg zida (obimni i pregradni zid, ograda, stup i slično) smije se izvoditi samo pomoću </t>
  </si>
  <si>
    <t xml:space="preserve">odgovarajućih radnih skela. </t>
  </si>
  <si>
    <t>Rušenje zidova potkopavanjem, zabranjeno je.</t>
  </si>
  <si>
    <t xml:space="preserve">Kod uklanjanja građevina ne smije se utjecati na stabilnost okolnog i drugog zemljišta i/ili ispunjavanje bitnih zahtjeva </t>
  </si>
  <si>
    <t xml:space="preserve">okolnih i drugih građevina, niti ugroziti javni interes na drugi način, a s građevnim otpadom nastalim uklanjanjem građevine </t>
  </si>
  <si>
    <t>mora se postupati sukladno odredbama posebnog zakona.</t>
  </si>
  <si>
    <t>PRIJENOSI I TRANSPORTI</t>
  </si>
  <si>
    <t>Prijenos građevinskog materijala obuhvaća ručni prijenos, prijenos kolicima, transporterom, dizalicom, kranom i sl.</t>
  </si>
  <si>
    <t>Prijenosi i transporti mogu biti iskazani kao zasebni rad (stavka) ili prijenos i transport mogu biti uključeni u</t>
  </si>
  <si>
    <t>obračunati rad.</t>
  </si>
  <si>
    <t xml:space="preserve">prijevoza i mjesnih terenskih prilika. </t>
  </si>
  <si>
    <t>PRIPREMNI RADOVI</t>
  </si>
  <si>
    <t>Prilikom uređenja terena izvođač radova mora se pridržavati svih uvjeta i opisa u projektnoj dokumentaciji kao i</t>
  </si>
  <si>
    <t>važećih propisa i normi.</t>
  </si>
  <si>
    <t>Gradiva (materijali):</t>
  </si>
  <si>
    <t>Ovi radovi vezani su za uspostavljanje i osposobljavanje terena za građevinsku djelatnost, a odnose se na rezanje</t>
  </si>
  <si>
    <t>čišćenje gradilišta od svih nečistoća.</t>
  </si>
  <si>
    <t>Na gradilištu se moraju, kako u pripremi tako i u izgradnji, organizirati i sprovoditi svi radovi tako da se ne ošteti</t>
  </si>
  <si>
    <t xml:space="preserve">prirodna slika okoline, da se ne oštete razni uređaji ili komunalna infrastruktura (vodovod, kanalizacija, elektrorazvod i sl.). </t>
  </si>
  <si>
    <t>izvršenje radova i građenje. Čišćenje obuhvaća i uklanjanje svega nepotrebnog materijala zaostalog nakon tih radova.</t>
  </si>
  <si>
    <t>Obaranje drveća vrši se sječenjem drveća i vađenjem korijenja i panjeva. Poslije krčenja sve rupe treba ispuniti</t>
  </si>
  <si>
    <t>zemljom. Izvođač mora rušiti stabla uz punu primjenu higijensko - tehničkih zaštitnih mjera i bez nanošenja štete susjednim</t>
  </si>
  <si>
    <t>objektima i imovini uopće. Rušenjem stabala ne smiju se oštetiti stabla koja nisu predviđena za rušenje.</t>
  </si>
  <si>
    <t>Obračun rada:</t>
  </si>
  <si>
    <t>Uklanjanje grmlja i šiblja (do ø10 cm) obračunava se po četvornom metru očišćene zarasle površine.</t>
  </si>
  <si>
    <t xml:space="preserve">Uklanjanje drveća i panjeva obračunava se po komadu, uzimajući u obzir debljinu (profil) stabla - mjereno na visini </t>
  </si>
  <si>
    <t>jedan metar od zemlje i to: profili ø10 - 30 cm i profil veći od ø30 cm.</t>
  </si>
  <si>
    <t>ZEMLJANI RADOVI</t>
  </si>
  <si>
    <t>ISKOPI</t>
  </si>
  <si>
    <t>Rad obuhvaća iskop zemlje raznih debljina i njegovo prebacivanje u stalno i privremeno odlagalište. Rad mora biti</t>
  </si>
  <si>
    <t xml:space="preserve">obavljen u skladu s projektom, propisima, programom kontrole i osiguranje kakvoće (PKOK), projektom organizacije </t>
  </si>
  <si>
    <t>građenja (POG), zahtjevima nadzornog inženjera i općim tehničkim uvjetima za građenje (OTU).</t>
  </si>
  <si>
    <t>Svi iskopi moraju se izvesti  prema planu iskolčenja, a radovi pojedine faze zemljanih radova moraju se obavezno</t>
  </si>
  <si>
    <t>te će se samo u iznimnim slučajevima nadzorni organ investitora priznati izvođaču vanprofilski iskop.</t>
  </si>
  <si>
    <t>Iskopanu zemlju treba upotrijebiti za nasipavanje između temeljnih stopa, zidova građevine, za zatrpavanje rovova,</t>
  </si>
  <si>
    <t>propisno nabijati da se postigne potrebna zbijenost propisana projektom.</t>
  </si>
  <si>
    <t>A</t>
  </si>
  <si>
    <t>stjenovita tla, naslage krutog pijeska ili šljunka, prekonsolidirane gline,</t>
  </si>
  <si>
    <t>B</t>
  </si>
  <si>
    <t>duboke naslage srednje zbijenog pijeska, šljunka ili srednje krutih glina,</t>
  </si>
  <si>
    <t>C</t>
  </si>
  <si>
    <t>naslage rastresitog tla s mekim ili srednje krutim koherentnim slojevima.</t>
  </si>
  <si>
    <t>Kod izvedbe zemljanih radova izvođač se mora pridržavati svih uvjeta i opisa iz troškovnika kao i važećih propisa i to</t>
  </si>
  <si>
    <t>posebno:</t>
  </si>
  <si>
    <t>Iskolčenje:</t>
  </si>
  <si>
    <t>Izvođač će izvesti sva potrebna iskolčenja, biti odgovoran za izmjere, te poduzeti potrebnu predostrožnost provjere</t>
  </si>
  <si>
    <t>dimenzija (širine, dubine, visinske kote, poprečni i uzdužni profili).</t>
  </si>
  <si>
    <t>Pri iskolčenju treba posebnu pažnju posvetiti da ne bi došlo do povreda tuđeg prava i vlasništva. Izvođač je odgovoran</t>
  </si>
  <si>
    <t>za eventualno diranje prava vlasništva susjeda.</t>
  </si>
  <si>
    <t>Iskop terena:</t>
  </si>
  <si>
    <t xml:space="preserve">Radove na otkopima i iskopima treba započeti po skidanju humusnog sloja i njegovog deponiranja na posebnu </t>
  </si>
  <si>
    <t>deponiju, ako je humusni sloj potreban i pogodan za kasniju uporabu.</t>
  </si>
  <si>
    <t>Odbacivanje  iskopa minimalno 1,0 m od ruba iskopa. Ručno otkopavanje zemlje izvoditi obavezno odozgo na niže -</t>
  </si>
  <si>
    <t>bez potkopavanja. Kopanje zemlje na dubinama većim od 1,0 m izvoditi obavezno pod nadzorom ovlaštene osobe.</t>
  </si>
  <si>
    <t>Rovove i kanale izvoditi u širini koja osigurava nesmetan rad u njima. Pri strojnom iskopu treba voditi računa o</t>
  </si>
  <si>
    <t>stabilnosti zemlje ispod stroja kao i o odlaganju iskopanog materijala na razmak koji ne ugrožava stabilnost bočnih strana</t>
  </si>
  <si>
    <t>iskopa.</t>
  </si>
  <si>
    <t>Oplata za razupiranje bočnih strana iskopa treba izlaziti minimalno 20 cm iznad ruba iskopa, kako bi se spriječio pad</t>
  </si>
  <si>
    <t>građevina podzidavanjem.</t>
  </si>
  <si>
    <t>Postojeće instalacije:</t>
  </si>
  <si>
    <t>Pravila i propisi koji se odnose na pojedine vrste instalacija moraju se poštivati za vrijeme izvođenja radova. Instalacije</t>
  </si>
  <si>
    <t>koje su u uporabi moraju se odgovarajući zaštititi od oštećenja, ukloniti ili premjestiti kako je naznačeno ili projektom</t>
  </si>
  <si>
    <t>specificirano. 'Mrtve' instalacije treba odstraniti ili zatvoriti.</t>
  </si>
  <si>
    <t>Privremeni pristupi:</t>
  </si>
  <si>
    <t>Svi pomoćni pristupi i prilazi, ceste i slično, za potrebe gradilišta uključeni su u jediničnu cijenu i neće se priznati kao</t>
  </si>
  <si>
    <t>posebni troškovi.</t>
  </si>
  <si>
    <t>Obveze izvoditelja prije davanja ponude:</t>
  </si>
  <si>
    <t xml:space="preserve">Izvođač radova treba prije davanja ponude provjeriti kategoriju zemljišta i konfiguraciju terena, te na temelju provjere </t>
  </si>
  <si>
    <t>sastaviti cijenu radova, koja u tom pogledu treba biti fiksna i neće se radi promjene kategorije zemlje moći mijenjati.</t>
  </si>
  <si>
    <t>kategorije materijala ("A", "B" i "C").</t>
  </si>
  <si>
    <t xml:space="preserve">U jediničnu cijenu uračunati su svi radovi na uređenju i čišćenju građevinske jame, planiranje iskopanih i susjednih </t>
  </si>
  <si>
    <t>površina, eventualna manja razupiranja, odvod oborinske vode, kao i crpljenje podzemne vode, te izvođač nema pravo</t>
  </si>
  <si>
    <t>TRANSPORT</t>
  </si>
  <si>
    <t>Izbor transportnih sredstava i način transporta u zavisnosti je od vrste i količine iskopanog materijala, načina njegovog</t>
  </si>
  <si>
    <t>utovara i istovara, daljine prijevoza i mjesnih terenskih prilika.</t>
  </si>
  <si>
    <t>Vrstu transportnih sredstava bira izvoditelj radova i uračunava u svojoj jediničnoj cijeni.</t>
  </si>
  <si>
    <r>
      <t xml:space="preserve">Rad se plaća po kubičnom metru iskopa u </t>
    </r>
    <r>
      <rPr>
        <b/>
        <sz val="9"/>
        <rFont val="Arial CE"/>
        <charset val="238"/>
      </rPr>
      <t>sraslom</t>
    </r>
    <r>
      <rPr>
        <sz val="9"/>
        <rFont val="Arial CE"/>
        <family val="2"/>
        <charset val="238"/>
      </rPr>
      <t xml:space="preserve"> stanju po jediničnim cijenama iz ugovora i to odvojeno za pojedine</t>
    </r>
  </si>
  <si>
    <t>kategorije materijala ("A", "B" i "C") i to na stvarno prevezenu određenu udaljenost.</t>
  </si>
  <si>
    <t>TESARSKI RADOVI</t>
  </si>
  <si>
    <t>Kod izvedbe tesarskih radova izvođač se mora pridržavati svih uvjeta i opisa iz troškovnika kao i važećih propisa i to</t>
  </si>
  <si>
    <t>OPLATA</t>
  </si>
  <si>
    <t xml:space="preserve">Ovim uvjetima propisuje se način izrade i osobine materijala, čega se treba pridržavati kod izrade oplata, razupiranja </t>
  </si>
  <si>
    <t>i sličnih radova.</t>
  </si>
  <si>
    <t>Pri izradi oplata treba se pridržavati propisa iz Općih uvjeta (OU), te odredaba iz statičkog proračuna građevine.</t>
  </si>
  <si>
    <t>opterećenja i utjecaje koji nastaju za vrijeme izvedbe radova. Konstrukcije oplata moraju biti tako izvedene da osiguraju</t>
  </si>
  <si>
    <t xml:space="preserve">punu sigurnost radnika i sredstava rada, kao i sigurnost prolaznika, prometa, susjednih građevina i općenitu potpunu </t>
  </si>
  <si>
    <t>sigurnost gradilišta.</t>
  </si>
  <si>
    <t>Gradiva:</t>
  </si>
  <si>
    <t>Korištenje građe dopušteno je više puta osim na onim dijelovima konstrukcije gdje se projektom izričito traži glatka</t>
  </si>
  <si>
    <t>oplata. Kod normalne oporabe predviđa se:</t>
  </si>
  <si>
    <t>daske 48 mm, za oplatu</t>
  </si>
  <si>
    <t>puta</t>
  </si>
  <si>
    <t>gredice raznih veličina, za oplatu</t>
  </si>
  <si>
    <t>daske 24 mm, za podgrađu</t>
  </si>
  <si>
    <t>gredice raznih veličina, za podgrađu</t>
  </si>
  <si>
    <r>
      <t xml:space="preserve">blažuj </t>
    </r>
    <r>
      <rPr>
        <sz val="9"/>
        <rFont val="Arial CE"/>
        <family val="2"/>
        <charset val="238"/>
      </rPr>
      <t>oplata, dobro održavana</t>
    </r>
  </si>
  <si>
    <t>tipske oplate (npr. Doka i sl)</t>
  </si>
  <si>
    <r>
      <t xml:space="preserve">Kada se rabi građa bolje kakvoće od </t>
    </r>
    <r>
      <rPr>
        <b/>
        <sz val="9"/>
        <rFont val="Arial CE"/>
        <charset val="238"/>
      </rPr>
      <t xml:space="preserve">IV </t>
    </r>
    <r>
      <rPr>
        <sz val="9"/>
        <rFont val="Arial CE"/>
        <family val="2"/>
        <charset val="238"/>
      </rPr>
      <t>klase, višestrukost uporabe može se povećati za cca 25%.</t>
    </r>
  </si>
  <si>
    <t>Sav materijal potreban za izradu oplate treba pravovremeno dostavljati na gradilište u dovoljnoj količini.</t>
  </si>
  <si>
    <t>Izrada:</t>
  </si>
  <si>
    <t xml:space="preserve">Oplate moraju biti stabilne, otporne i dovoljno poduprte da se ne bi izvile ili popustile u bilo kojem pravcu. Oplate </t>
  </si>
  <si>
    <t>moraju biti izgrađene točno prema mjerama označenim u crtežima plana oplate za pojedine dijelove konstrukcija koja će se</t>
  </si>
  <si>
    <t>nagnute. Nastavci pojedinih dasaka ne smiju izlaziti iz ravnine, tako da nakon njihovog skidanja vidljive površine betona</t>
  </si>
  <si>
    <t>budu ravne i s oštrim rubovima, te da se osigura dobro brtvljenje i sprečavanje deformacija. Za oplatu se ne smiju koristiti</t>
  </si>
  <si>
    <r>
      <t xml:space="preserve">konstrukcije čije će površine ostati vidljive, potrebno je izvesti u glatkoj </t>
    </r>
    <r>
      <rPr>
        <i/>
        <sz val="9"/>
        <rFont val="Arial CE"/>
        <family val="2"/>
        <charset val="238"/>
      </rPr>
      <t xml:space="preserve">blažuj, </t>
    </r>
    <r>
      <rPr>
        <sz val="9"/>
        <rFont val="Arial CE"/>
        <family val="2"/>
        <charset val="238"/>
      </rPr>
      <t>blanjanoj ili profiliranoj građi, a sve prema</t>
    </r>
  </si>
  <si>
    <t>posebnom nacrtu oblikovanja betona.</t>
  </si>
  <si>
    <t>Ako se u projektu traži blanjana oplate, onda treba koristiti daske istih širina, osim ako nije drugačije predviđeno,</t>
  </si>
  <si>
    <t xml:space="preserve">s vidljivom strukturom drveta, a slaganje dasaka prema projektu ili uputi projektanta. Kada su betonskim zidovima i drugim </t>
  </si>
  <si>
    <t>predviđene instalacije mogu provući kroz konstrukciju i propisno zabrtviti.</t>
  </si>
  <si>
    <t xml:space="preserve">Kod nastavljanja betoniranja po visini, prilikom postavljanja oplate za tu konstrukciju treba izvesti zaštitu već izvedenih </t>
  </si>
  <si>
    <t>betonskih konstrukcija od procjeđivanja cementnog mlijeka. Neposredno prije početka ugrađivanja betona oplata se mora</t>
  </si>
  <si>
    <t>temeljito očistiti.</t>
  </si>
  <si>
    <t xml:space="preserve">Oplate moraju biti tako izvedene da se mogu skidati bez potresanja i oštećenja konstrukcije. Oplata se smije skinuti </t>
  </si>
  <si>
    <t>tek nakon što ugrađeni beton postigne propisanu čvrstoću.</t>
  </si>
  <si>
    <t xml:space="preserve">slaganje i sortiranje na za to predviđenim mjestima. Također je uključeno i čišćenje dasaka, gredica, podupora i sl., </t>
  </si>
  <si>
    <t>vađenje čavala i skidanja mogućih ostataka stvrdnutog betona.</t>
  </si>
  <si>
    <t>Oplata se obračunava u kvadratnim metrima razvijene širine, po ugovorenim jediničnim cijenama koje uključuju sav</t>
  </si>
  <si>
    <t>rad, prijevoz i sve ostalo što je potrebno za potpunu dovršetak rada.</t>
  </si>
  <si>
    <t>SKELE</t>
  </si>
  <si>
    <t>Izrada lakih pokretnih skela visine do 2,0 m uključena je u jediničnoj cijeni ostalih građevinskih radova i ne obračunava</t>
  </si>
  <si>
    <t>se posebno.</t>
  </si>
  <si>
    <t xml:space="preserve">Lake fasadne skele mogu se izrađivati od metalnih cijevi ili drveta, a sve prema tehnološkom projektu izvođača, </t>
  </si>
  <si>
    <t>projektom nije zadan tip skele, već se to prepušta izvođaču, koji je dužan izraditi projekt skele i osigurati statičku sigurnost.</t>
  </si>
  <si>
    <t xml:space="preserve"> Nosive skele izrađuju se da prenesu opterećenja od oplata kod betoniranja ili se pa služe za pridržavanje teških </t>
  </si>
  <si>
    <t>→</t>
  </si>
  <si>
    <t>Lake pokretne, lake nepokretne i konzolne skele obračunavaju se po kvadratnom metru horizontalne projekcije skele.</t>
  </si>
  <si>
    <t xml:space="preserve">Fasadne skele obračunavaju se po kvadratnom metru vertikalne projekcije skele mjerene po vanjskom rubu s </t>
  </si>
  <si>
    <t>dodatkom od 1,2 metra iznad njene ravne površine.</t>
  </si>
  <si>
    <t>Nosive skele obračunavaju s po metru kubnom zapremine skele, mjereno po vanjskim konturama skele.</t>
  </si>
  <si>
    <t>Visina skele do 6,0 m  ne obračunava se posebno već ulazi u cijenu oplate.</t>
  </si>
  <si>
    <t xml:space="preserve">Tamo gdje se pojavljuje visina podupiranja iznad 6,0 m kao i za skele iznad 3,0 m podupiranja kod kojih opterećenje </t>
  </si>
  <si>
    <t>BETONSKI I ARMIRANO BETONSKI RADOVI</t>
  </si>
  <si>
    <t>BETON</t>
  </si>
  <si>
    <t xml:space="preserve">Kod izvedbe betonskih i armirano betonskih konstrukcija treba se u svemu pridržavati važećih propisa, statičkog </t>
  </si>
  <si>
    <t>računa, te odredaba iz:</t>
  </si>
  <si>
    <t xml:space="preserve">Prije početka izvedbe betonskih radova treba pregledati i zapisnički ustanoviti podatke (isprava o sukladnosti) o </t>
  </si>
  <si>
    <t>agregatu, cementu i vodi, odnosno faktorima koji će utjecati na kakvoću radova i ugrađenog betona.</t>
  </si>
  <si>
    <t>Obračun betonskih presjeka:</t>
  </si>
  <si>
    <r>
      <t>mali presjek do 0,12 m</t>
    </r>
    <r>
      <rPr>
        <vertAlign val="superscript"/>
        <sz val="9"/>
        <rFont val="Arial CE"/>
        <family val="2"/>
        <charset val="238"/>
      </rPr>
      <t>3</t>
    </r>
    <r>
      <rPr>
        <sz val="9"/>
        <rFont val="Arial CE"/>
        <family val="2"/>
        <charset val="238"/>
      </rPr>
      <t>/m</t>
    </r>
    <r>
      <rPr>
        <vertAlign val="superscript"/>
        <sz val="9"/>
        <rFont val="Arial CE"/>
        <family val="2"/>
        <charset val="238"/>
      </rPr>
      <t>2</t>
    </r>
    <r>
      <rPr>
        <sz val="9"/>
        <rFont val="Arial CE"/>
        <family val="2"/>
        <charset val="238"/>
      </rPr>
      <t>,</t>
    </r>
  </si>
  <si>
    <r>
      <t>srednji presjek od 0,12 do 0,30 m</t>
    </r>
    <r>
      <rPr>
        <vertAlign val="superscript"/>
        <sz val="9"/>
        <rFont val="Arial CE"/>
        <family val="2"/>
        <charset val="238"/>
      </rPr>
      <t>3</t>
    </r>
    <r>
      <rPr>
        <sz val="9"/>
        <rFont val="Arial CE"/>
        <family val="2"/>
        <charset val="238"/>
      </rPr>
      <t>/m</t>
    </r>
    <r>
      <rPr>
        <vertAlign val="superscript"/>
        <sz val="9"/>
        <rFont val="Arial CE"/>
        <family val="2"/>
        <charset val="238"/>
      </rPr>
      <t>2</t>
    </r>
    <r>
      <rPr>
        <sz val="9"/>
        <rFont val="Arial CE"/>
        <family val="2"/>
        <charset val="238"/>
      </rPr>
      <t>,</t>
    </r>
  </si>
  <si>
    <r>
      <t>veliki presjek preko 0,30 m</t>
    </r>
    <r>
      <rPr>
        <vertAlign val="superscript"/>
        <sz val="9"/>
        <rFont val="Arial CE"/>
        <family val="2"/>
        <charset val="238"/>
      </rPr>
      <t>3</t>
    </r>
    <r>
      <rPr>
        <sz val="9"/>
        <rFont val="Arial CE"/>
        <family val="2"/>
        <charset val="238"/>
      </rPr>
      <t>/m</t>
    </r>
    <r>
      <rPr>
        <vertAlign val="superscript"/>
        <sz val="9"/>
        <rFont val="Arial CE"/>
        <family val="2"/>
        <charset val="238"/>
      </rPr>
      <t>2</t>
    </r>
    <r>
      <rPr>
        <sz val="9"/>
        <rFont val="Arial CE"/>
        <family val="2"/>
        <charset val="238"/>
      </rPr>
      <t>,</t>
    </r>
  </si>
  <si>
    <t>Cement:</t>
  </si>
  <si>
    <t xml:space="preserve">Prilikom isporuke cementa isporučitelj je dužan dostaviti ispravu o sukladnosti. Kod centralne pripreme betona </t>
  </si>
  <si>
    <t>isporučitelj betona mora dostaviti isprave o sukladnosti za isporučeni beton.</t>
  </si>
  <si>
    <t>Agregat:</t>
  </si>
  <si>
    <t>Za izradu betona predviđa se prirodno granuliran šljunak ili drobljeni agregat. Agregat za beton s gustoćom zrna</t>
  </si>
  <si>
    <r>
      <t>većom od 2000 kg/m</t>
    </r>
    <r>
      <rPr>
        <vertAlign val="superscript"/>
        <sz val="9"/>
        <rFont val="Arial CE"/>
        <family val="2"/>
        <charset val="238"/>
      </rPr>
      <t>3</t>
    </r>
    <r>
      <rPr>
        <sz val="9"/>
        <rFont val="Arial CE"/>
        <family val="2"/>
        <charset val="238"/>
      </rPr>
      <t xml:space="preserve"> (dalje: agregat za beton) i lagani agregat i punila s gustoćom zrna ne većom od 2000 kg/m</t>
    </r>
    <r>
      <rPr>
        <vertAlign val="superscript"/>
        <sz val="9"/>
        <rFont val="Arial CE"/>
        <family val="2"/>
        <charset val="238"/>
      </rPr>
      <t>3</t>
    </r>
    <r>
      <rPr>
        <sz val="9"/>
        <rFont val="Arial CE"/>
        <family val="2"/>
        <charset val="238"/>
      </rPr>
      <t xml:space="preserve"> (dalje: </t>
    </r>
  </si>
  <si>
    <t xml:space="preserve">lagani agregat za beton), proizveden (dobiven) preradom prirodnih, umjetnih (industrijski proizvedenih) ili recikliranih </t>
  </si>
  <si>
    <t>materijala i mješavina tih agregata u pogonima za proizvodnju agregata.</t>
  </si>
  <si>
    <t>Kameni agregat mora biti dovoljno čvrst i postojan, ne smije sadržavati zemljanih i organskih sastojaka, niti drugih</t>
  </si>
  <si>
    <t>primjesa štetnih za beton i armaturu.</t>
  </si>
  <si>
    <t>Provjera agregata provodi se u centralnoj betonari (tvornici betona), u betonari pogona za proizvodnju predgotovljenih</t>
  </si>
  <si>
    <t>Voda:</t>
  </si>
  <si>
    <t>Tehnička svojstva vode za spravljanje betona moraju zadovoljiti opće i posebne zahtjeve bitne za krajnju namjenu i</t>
  </si>
  <si>
    <t>Količina štetnih primjesa za svojstva svježeg i očvrsnulog betona ne smije biti veća od količine specificirane normom</t>
  </si>
  <si>
    <t>Voda iz nepouzdanih lokalnih izvora prije uporabe ispituje se na sadržaj štetnih primjesa prema normi HRN EN 1008.</t>
  </si>
  <si>
    <t>Pitka voda iz gradskih izvora može se rabiti bez provjere uporabljivosti ili potvrđivanja sukladnosti.</t>
  </si>
  <si>
    <t>Provjera vode provodi se u centralnoj betonari (tvornici betona), u betonari pogona za proizvodnju predgotovljenih</t>
  </si>
  <si>
    <t>Voda za pripremu betona.</t>
  </si>
  <si>
    <t>Beton:</t>
  </si>
  <si>
    <t>Beton može biti obični, lagani ili teški beton proizveden u centralnoj betonari (u tvornici betona), u betonari pogona</t>
  </si>
  <si>
    <t>predgotovljenih betonskih elemenata ili u betonari na gradilištu.</t>
  </si>
  <si>
    <t>Tehnička svojstva, proizvodnja, dokazivanje uporabljivosti i potvrđivanje sukladnosti moraju biti u skladu s odredbama</t>
  </si>
  <si>
    <t>Beton se proizvodi kao:</t>
  </si>
  <si>
    <t>projektirani beton (beton sa specificiranim tehničkim svojstvima),</t>
  </si>
  <si>
    <t>beton zadanog sastava,</t>
  </si>
  <si>
    <t>beton normiranog zadanog sastava.</t>
  </si>
  <si>
    <t>Beton iz točke b) i c) proizvodi se samo do razreda tlačne čvrstoće C16/20.</t>
  </si>
  <si>
    <t>Tehnička svojstva očvrsnulog betona moraju biti specificirana u projektu betonske konstrukcije ovisno o uvjetima</t>
  </si>
  <si>
    <t>njezine uporabe. Kod projektiranog betona u projektu mora biti specificiran razred tlačne čvrstoće betona (marka betona)</t>
  </si>
  <si>
    <t>Sastavni materijali od kojih se beton proizvodi ili koji mu se u proizvodnji dodaju, moraju ispunjavati zahtjeve iz normi</t>
  </si>
  <si>
    <t>Zahtjevi za isporuku betona i informacije proizvođača betona korisniku trebaju sadržavati podatke prema točki 7. iz</t>
  </si>
  <si>
    <t>Kontrola proizvodnje betona koja uključuje tvorničku kontrolu proizvodnje ili kontrolu proizvodnje na gradilištu</t>
  </si>
  <si>
    <t>(stalna unutarnja kontrola proizvodnje koju provodi proizvođač u tvornici betona, u betonari pogona za predgotovljene</t>
  </si>
  <si>
    <t>-</t>
  </si>
  <si>
    <t>kada se betonira, a sve sukladno propisima prema razredu izloženosti betona,</t>
  </si>
  <si>
    <t>ocjenjivanje rezultata ispitivanja i dokazivanje karakteristične tlačne čvrstoće treba provoditi ovlašteno (priznato,</t>
  </si>
  <si>
    <t>čvrstoće betona),</t>
  </si>
  <si>
    <t>uzimanju kontrolnih uzoraka, jednolično raspoređenih prema količinama ugrađenog betona i značaju (važnosti)</t>
  </si>
  <si>
    <t>konstrukcijskog elementa, obvezno prisustvuje i zapisnik potpisuje nadzorni inženjer i izvođač.</t>
  </si>
  <si>
    <t>S ugradnjom može se započeti tek kada je oplata i armatura u potpunosti zgotovljena i učvršćena. Sabijanje betona</t>
  </si>
  <si>
    <t>vrši se vibratorima i pri tome valja paziti da ne dođe do segregacije betona. Zaštita betonske konstrukcije vrši se</t>
  </si>
  <si>
    <t xml:space="preserve">Ukoliko se betoniranje izvodi pri niskim temperaturama treba osigurati mogućnost zagrijavanja betonske mase i </t>
  </si>
  <si>
    <t>mogućnost zaštite svježeg betona za vrijeme manipuliranja.</t>
  </si>
  <si>
    <t>Tijekom transporta i manipulacije svježim betonom ne smije doći do promjene konzistencije betona.</t>
  </si>
  <si>
    <t>Transportna sredstva moraju biti takova da se spriječi segregacija beton tijekom transporta. Dopuštena visina</t>
  </si>
  <si>
    <t>slobodnog pada tijekom ugradnje betona je 1,0 m.</t>
  </si>
  <si>
    <t>Prekidi betoniranja dopušteni su samo na mjestima predviđenim u nacrtima i u projektu betona. Prekidi betoniranja</t>
  </si>
  <si>
    <t>(radne reške) moraju biti vodonepropusne. Radni spojevi moraju se očistiti ispiranjem ili ispuhivanjem smjesom zraka i</t>
  </si>
  <si>
    <t xml:space="preserve">vode neposredno prije nastavka betoniranja. Neposredno prije nastavka betoniranja na površinu radne reške nanosi se </t>
  </si>
  <si>
    <t xml:space="preserve">Prekide betoniranja u vodonepropusnom betonu izvoditi prema tehnološkom projektu betona, a u sljubnice trebaju </t>
  </si>
  <si>
    <t xml:space="preserve">dokumentaciju o preuzimanju betona po grupama-rezultate nadzornih radnji i kontrolnih postupaka koji se </t>
  </si>
  <si>
    <t xml:space="preserve">dokaze uporabljivosti (rezultate ispitivanja, zapise o provedenim postupcima i dr.) koje je izvoditelj osigurao </t>
  </si>
  <si>
    <t>tijekom građenja betonske konstrukcije</t>
  </si>
  <si>
    <t xml:space="preserve">mišljenje o kvaliteti ugrađenog betona koje se donosi na temelju vizualnog pregleda konstrukcije, pregleda </t>
  </si>
  <si>
    <t>dokumentacije u tijeku izvođenja</t>
  </si>
  <si>
    <t>rezultate ispitivanja pokusnim opterećenjem betonske konstrukcije i njezinih dijelova</t>
  </si>
  <si>
    <t>uvjete građenja i druge okolnosti koje prema građevinskom dnevniku i drugoj dokumentaciji  izvoditelj mora i</t>
  </si>
  <si>
    <t xml:space="preserve">mati na gradilištu, te dokumentacija koju mora imati proizvođač građevinskog proizvoda, a mogu biti od utjecaja </t>
  </si>
  <si>
    <t>na tehnička svojstva betonske konstrukcije.</t>
  </si>
  <si>
    <t xml:space="preserve">Završnu ocjenu kvalitete betona u konstrukciji će dati zadužena stručna osoba naručitelja (nadzorni inženjer) ili po </t>
  </si>
  <si>
    <t xml:space="preserve">njemu angažirana pravna osoba za djelatnost kontrole i osiguranja kvalitete betona. Na osnovu ove ocjene se dokazuje </t>
  </si>
  <si>
    <t>uporabljivost i trajnost konstrukcije uvjetovana projektom konstrukcije i važećim propisima, ili se traži naknadni dokaz</t>
  </si>
  <si>
    <t>kvalitete betona.</t>
  </si>
  <si>
    <t>Armatura:</t>
  </si>
  <si>
    <t>Svaka stavka armiračkih radova mora sadržavati:</t>
  </si>
  <si>
    <t>sječenje, ravnanje i savijanje armature na gradilištu, s horizontalnim i vertikalnim transportom gotove armature</t>
  </si>
  <si>
    <t>do mjesta ugradnje na gradilištu</t>
  </si>
  <si>
    <t>sječenje, ravnanje i savijanje armature u središnjem savijalištu, s horizontalnim i vertikalnim transportom gotove</t>
  </si>
  <si>
    <t>armature do mjesta ugradnje na gradilištu</t>
  </si>
  <si>
    <t>pregled i preuzimanje armature od strane nadzornog inženjera prije početka betoniranja</t>
  </si>
  <si>
    <t>Prije betoniranja nadzorni inženjer mora:</t>
  </si>
  <si>
    <t>provjeriti postoji li isprava o sukladnosti za čelik za armiranje i/ili čelik za prednapinjanje, odnosno armaturu,</t>
  </si>
  <si>
    <t>provjeriti dali je armatura izrađena, postavljena i povezana u skladu s projektom, odnosno tehničkom uputom,</t>
  </si>
  <si>
    <t>nalaze provedenih provjera dokumentirati zapisom u građevinski dnevnik.</t>
  </si>
  <si>
    <t>i pozicijama iz nacrta savijanja armature. Armatura na gradilištu mora biti pregledno deponirana. Prije polaganja armatura</t>
  </si>
  <si>
    <t>mora biti očišćena od hrđe i nečistoće. Žica plastični i drugi ulošci koji se polažu radi održavanja razmaka kao i sav drugi</t>
  </si>
  <si>
    <t>pomoćni materijal uključeni su u jediničnu cijenu.</t>
  </si>
  <si>
    <r>
      <t xml:space="preserve">Obračun ugrađenog betona obračunava se po metru kubnom. Jedinična cijena obuhvaća </t>
    </r>
    <r>
      <rPr>
        <b/>
        <sz val="9"/>
        <rFont val="Arial CE"/>
        <charset val="238"/>
      </rPr>
      <t>sve</t>
    </r>
    <r>
      <rPr>
        <sz val="9"/>
        <rFont val="Arial CE"/>
        <family val="2"/>
        <charset val="238"/>
      </rPr>
      <t xml:space="preserve"> troškove rada, </t>
    </r>
  </si>
  <si>
    <t>materijala, prijevoza završne obrade, njegovanja i zaštite betona.</t>
  </si>
  <si>
    <t xml:space="preserve">Armatura se obračunava po kg (toni) ugrađene armature. Jedinična cijena obuhvaća nabavu čelika, pregled, </t>
  </si>
  <si>
    <t>čišćenje i razvrstavanje prije izrade, savijanje, sječenje i dopremu na gradilište te postavljanje na mjesto ugradnje.</t>
  </si>
  <si>
    <t>ZIDARSKI RADOVI</t>
  </si>
  <si>
    <t>ZIDANJE</t>
  </si>
  <si>
    <t xml:space="preserve">Pri izvedbi zidarskih radova izvođač je dužan pridržavati se svih uvjeta i opisa u troškovniku, kao i važećih propisa </t>
  </si>
  <si>
    <t>i to posebno:</t>
  </si>
  <si>
    <t>Izvedba i proračun zidanih konstrukcija mora u svemu biti u skladu sa:</t>
  </si>
  <si>
    <t>unreinforced masonry</t>
  </si>
  <si>
    <r>
      <t>EUROCODE 8</t>
    </r>
    <r>
      <rPr>
        <sz val="9"/>
        <rFont val="Arial CE"/>
        <family val="2"/>
        <charset val="238"/>
      </rPr>
      <t xml:space="preserve"> - Design provisions for earthquake resistance of structures - Part 1-1: General rules - Seismic</t>
    </r>
  </si>
  <si>
    <t>actions and general requirements for structures.</t>
  </si>
  <si>
    <t>Materijali:</t>
  </si>
  <si>
    <t>Zidovi od opeke koji ostaju vidljivi izvode se od probrane pune jednolike i neoštećene dobro pečene fasadne opeke</t>
  </si>
  <si>
    <t>koja izgledom i kvalitetom odgovara željenom izgledu zida.</t>
  </si>
  <si>
    <t>izlučivanje o svom trošku.</t>
  </si>
  <si>
    <t>Zidanje zidova do debljine 12 cm uključujući i zid debljine 12 cm obračunava se po metru kvadratnom.</t>
  </si>
  <si>
    <t>Zidanje zidova debljine veće od 12 cm obračunava se po metru kubnom.</t>
  </si>
  <si>
    <t>ŽBUKANJA I GLAZURE</t>
  </si>
  <si>
    <t>Zidovi od opeke moraju se prije žbukanja očistiti kako bi se žbuka mogla dobro primiti.</t>
  </si>
  <si>
    <t>Uporabljeni dodaci mortu koji služe za poboljšanje ugradljivosti, za postizanje nepromočivosti ili za poboljšanje kemijskih</t>
  </si>
  <si>
    <t>mehaničkih svojstava moraju odgovarati utvrđenim standardima i moraju biti dokumentirani ispravom o sukladnosti.</t>
  </si>
  <si>
    <t xml:space="preserve">Žbukanje se izvodi na dobro očišćenoj, oprašenoj i vodom ispranom površini. Žbukanje izvoditi samo u povoljnim </t>
  </si>
  <si>
    <t>oborina. Prije početka žbukanja plohu zida dobro navlažiti.</t>
  </si>
  <si>
    <t>Kvalitetu žbuke izvođač mora dokazati pribavljanjem stručnih nalaza (izjave o sukladnosti) od ovlaštene organizacije</t>
  </si>
  <si>
    <t>za ispitivanje građevinskog materijala.</t>
  </si>
  <si>
    <t>Žbukanje se obračunava po metru kvadratnom.</t>
  </si>
  <si>
    <t>UGRADNJE</t>
  </si>
  <si>
    <t>Ugradnja vratiju:</t>
  </si>
  <si>
    <t>Za ugradnju standardnih vratiju od drveta vratni otvor - zidarske mjere, potrebno je pravilno dimenzionirati prema</t>
  </si>
  <si>
    <t>važećem standardu. Zidarske širine sa 'slijepim' dovratnikom trebaju biti:</t>
  </si>
  <si>
    <t>cm</t>
  </si>
  <si>
    <t>Visina vratiju od kote gotovog poda iznosi: 203,5 cm</t>
  </si>
  <si>
    <t>Širina dovratnika dimenzionirana je na debljinu zida 10+0,5 cm i 16+0,5 cm.</t>
  </si>
  <si>
    <t>dali se element ugrađuje sa/bez 'slijepog' dovratnika, te broj sidara po elementu, ovisno o dizajnu elementa.</t>
  </si>
  <si>
    <t>Za ugradnju vrata (suha montaža) ugrađuje se slijepi dovratnik, koji se obično ugrađuje prilikom zidanja. Valja točno</t>
  </si>
  <si>
    <t>paziti na vertikalno i horizontalno podešavanje. Umjesto 'slijepog' dovratnika u zidarski otvor mogu se namjestiti i zidni</t>
  </si>
  <si>
    <t xml:space="preserve">ulošci. uz svaku vertikalnu stranu dovratnika moraju se postaviti barem (minimalno) po tri drvena uloška, koji se sidre u </t>
  </si>
  <si>
    <t>zid posebnim sidrima od plosnog željeza ili sidrenim vijcima (npr.: Fischer vijci)</t>
  </si>
  <si>
    <t>Ugradnja prozora:</t>
  </si>
  <si>
    <t>Prozori se u zid ugrađuju na sljedeći način:</t>
  </si>
  <si>
    <t>a).</t>
  </si>
  <si>
    <t>mokra ugradnja:</t>
  </si>
  <si>
    <t>sa sidrima od plosnog željeza i kotvom, te obostranim žbukanjem cementnom žbukom nakon ugradnje,</t>
  </si>
  <si>
    <t>b).</t>
  </si>
  <si>
    <t>suha ugradnja sa slijepim doprozornikom:</t>
  </si>
  <si>
    <t>u slijepi doprozornik (okvir),</t>
  </si>
  <si>
    <t>c).</t>
  </si>
  <si>
    <t>suha ugradnja u neožbukane zidove:</t>
  </si>
  <si>
    <t>prekrivanje utora s drvenim letvicama, brtvljenje doprozornika s trajno plastičnim kitom i trakom za brtvljenje,</t>
  </si>
  <si>
    <t>Ugradnja raznih metalnih predmeta u gotovo ziđe od betona ili opeke izvodi se pomoću cementnog morta M-10, ili</t>
  </si>
  <si>
    <t>pomoću posebnih sidrenih vijaka, kao što su npr.: Fischer vijci.</t>
  </si>
  <si>
    <t>posebnih sidrenih vijaka.</t>
  </si>
  <si>
    <t>PRIPOMOĆI I ČIŠĆENJE</t>
  </si>
  <si>
    <t xml:space="preserve">Obračun pripomoći građevinskih radnika kod izvedbe raznih obrtničkih i instalaterskih radova vrši se prema utrošku </t>
  </si>
  <si>
    <t>sati na pojedinim radovima, koji se evidentiraju u građevinskom dnevniku i ovjeravaju od strane nadzornog inženjera.</t>
  </si>
  <si>
    <t>ASFALTERSKI RADOVI</t>
  </si>
  <si>
    <t>propisa i to posebno:</t>
  </si>
  <si>
    <t>Opći tehnički uvjeti za radove na cestama (knjiga III. - kolnička konstrukcija),</t>
  </si>
  <si>
    <t>Ako se u međuvremenu neka norma ili propis stavi van snage, vrijedi zamjenjujuća norma ili propis.</t>
  </si>
  <si>
    <r>
      <t>Asfalt po vrućem postupku</t>
    </r>
    <r>
      <rPr>
        <sz val="9"/>
        <rFont val="Arial CE"/>
        <family val="2"/>
        <charset val="238"/>
      </rPr>
      <t xml:space="preserve"> dobiva se umješavanjem vrućeg bitumena u vrući kameni materijal.</t>
    </r>
  </si>
  <si>
    <r>
      <t>Asfalt po hladnom postupku</t>
    </r>
    <r>
      <rPr>
        <sz val="9"/>
        <rFont val="Arial CE"/>
        <family val="2"/>
        <charset val="238"/>
      </rPr>
      <t xml:space="preserve"> dobiva se umješavanjem bitumenske emulzije ili razrijeđenog bitumena u kameni</t>
    </r>
  </si>
  <si>
    <t>materijal.</t>
  </si>
  <si>
    <t>Obračun hidroizolaterskih radova vrši se po metru kvadratnom ugrađenog asfalta.</t>
  </si>
  <si>
    <t>IZOLATERSKI RADOVI</t>
  </si>
  <si>
    <t>HIDROIZOLACIJE</t>
  </si>
  <si>
    <t xml:space="preserve">Pri izvedbi hidroizolaterskih radova izvođač je dužan pridržavati se svih uvjeta i opisa u troškovniku, kao i važećih </t>
  </si>
  <si>
    <t>Sve radove treba izvoditi prema detaljnim nacrtima, opisima troškovnika, tehničkim propisima te uputama projektanta</t>
  </si>
  <si>
    <t>i nadzornog inženjera. Sav uporabljeni materijal mora zadovoljiti propise i mora imati odgovarajuće isprave o sukladnosti.</t>
  </si>
  <si>
    <t>Ukoliko opis neke od vrsta radova dovodi izvođača u sumnju o načinu izvedbe dužan je pravovremeno od projektanta</t>
  </si>
  <si>
    <t xml:space="preserve">tražiti objašnjenje. </t>
  </si>
  <si>
    <t>Prije početka radova izvođač mora ustanoviti kvalitetu podloge na kojoj se izvodi hidroizolacija i ako nije pogodna za</t>
  </si>
  <si>
    <t>Obračun hidroizolaterskih radova vrši se po metru kvadratnom razvijene površine hidroizolacije.</t>
  </si>
  <si>
    <t>ZVUČNA I TOPLINSKA IZOLACIJA</t>
  </si>
  <si>
    <t xml:space="preserve">Pri izvedbi zvučnih i toplinskih izolacija izvođač je dužan pridržavati se svih uvjeta i opisa u troškovniku, kao i važećih </t>
  </si>
  <si>
    <t>KROVOPOKRIVAČKI RADOVI</t>
  </si>
  <si>
    <t xml:space="preserve">Pri izvedbi krovopokrivačkih radova izvođač je dužan pridržavati se svih uvjeta i opisa u troškovniku, kao i važećih </t>
  </si>
  <si>
    <t>Prije početka radova izvođač je dužan pregledati krovnu konstrukciju na kojoj leži pokrov, a o njenoj eventualnoj</t>
  </si>
  <si>
    <t>neispravnosti obavijestiti izvođača, odnosno investitora, te zatražiti popravke. Ukoliko izvođač krovnog pokrova položi</t>
  </si>
  <si>
    <t>pokrov na neispravnu krovnu konstrukciju, kasniji popravci obaviti će se na teret izvođača pokrova (krovopokrivača).</t>
  </si>
  <si>
    <t xml:space="preserve">Izvođač je dužan na zahtjev investitora i nadzornog inženjera predočiti uzorke i prospekte za pojedine materijale </t>
  </si>
  <si>
    <t>Eventualne izmjene materijala i načina izvedbe tijekom gradnje moraju se definirati isključivo pisanim dogovorom sa</t>
  </si>
  <si>
    <t>projektantom i nadzornim inženjerom.</t>
  </si>
  <si>
    <t>zadovoljavaju važeće propise i standarde, te ne smije propuštati vodu. Pokrivanje se izvodi prema propisima i pravilima</t>
  </si>
  <si>
    <t>zanata. Pokrivene plohe moraju biti ravne, bez uleknuća koje bi skupljalo vodu.</t>
  </si>
  <si>
    <t>Prije početka pokrivanja krova sva potrebna limarija mora biti postavljena.</t>
  </si>
  <si>
    <t>U jedinične cijene uračunati su svi radovi, dobava potrebnog materijala i građevnih dijelova s istovarom i skladištenjem</t>
  </si>
  <si>
    <t>na gradilištu, dopremom do mjesta ugradbe, sve potrebne skele, radna snaga i ostali troškovi ako troškovnikom nije</t>
  </si>
  <si>
    <t>drugačije određeno.</t>
  </si>
  <si>
    <t>Sav materijal za krovopokrivačke radove mora biti prvorazredan, čist, neupotrijebljen i mora odgovarati propisima i</t>
  </si>
  <si>
    <t>zahtjevima iz normi. Rabljeni materijal može se uporabiti samo uz izričitu pismenu privolu investitora i nadzornog inženjera.</t>
  </si>
  <si>
    <t>Obračun krovopokrivačkih radova vrši se po metru kvadratnom izvedenog krova.</t>
  </si>
  <si>
    <t>LIMARSKI RADOVI</t>
  </si>
  <si>
    <t xml:space="preserve">Pri izvedbi limarskih radova izvođač je dužan pridržavati se svih uvjeta i opisa u troškovniku, kao i važećih </t>
  </si>
  <si>
    <t>U principu se ne smije upotrijebiti više vrsta limova na istom elementu, a ako se iznimno upotrijebi, onda spojeve treba</t>
  </si>
  <si>
    <t>Eventualne promjene detalja i vrste materijala obavezno dogovoriti s projektantom i nadzornim inženjerom.</t>
  </si>
  <si>
    <t>Mogu se upotrebljavati pocinčani, bakreni, olovni, cinkotit, čelični i aluminijski limovi.</t>
  </si>
  <si>
    <t>Svi materijali koji nisu obuhvaćeni važećim normama moraju obavezno imati izjave o sukladnosti od za to ovlaštene</t>
  </si>
  <si>
    <t>projektanta.</t>
  </si>
  <si>
    <t>Ne standardni materijal mora imati izjavu o sukladnosti kvalitete izdanu od ovlaštene organizacije za provođenje</t>
  </si>
  <si>
    <t>lakom ili odgovarajućim sredstvima. Kod polaganja lima na masivne podloge potrebno je podlogu obložiti slojem krovne</t>
  </si>
  <si>
    <t>ljepenke br. 120, radi sprečavanja štetnih kemijskih djelovanja na lim.</t>
  </si>
  <si>
    <t>Sva potrebna učvršćenja i povezivanja limova moraju biti tako izvedena da konstrukcija bude osigurana od nevremena,</t>
  </si>
  <si>
    <t xml:space="preserve">Izvođač radova dužan je prije izrade limarije uzeti sve mjere u naravi, također je dužan prije početka montaže ispitati </t>
  </si>
  <si>
    <t>sve dijelove konstrukcije na kojoj se izvode limarski radovi i ako uoči određene nepravilnosti mora upozoriti nadzornog</t>
  </si>
  <si>
    <t>inženjera i tražiti otklanjanje nepravilnosti, a u slučaju da to ne učini svi eventualni naknadni popravci idu na teret izvođača</t>
  </si>
  <si>
    <t>limarskih radova.</t>
  </si>
  <si>
    <t xml:space="preserve">Obračun limarskih radova vrši se po metru kvadratnom ili po metru dužnom izvedenog rada, a sve ovisno o vrsti rada </t>
  </si>
  <si>
    <t>koji se obračunava. Kod vrste rada koja se obračunava po metru dužnom obavezno navesti razvijenu širinu elementa.</t>
  </si>
  <si>
    <t>ALUMINIJSKI  RADOVI</t>
  </si>
  <si>
    <t>Svi radovi moraju se izvoditi prema podacima iz projektne dokumentacije i prema važećim standardima.</t>
  </si>
  <si>
    <t>bojom. Sidra za pričvršćenje aluminijskih stijena od L profila moraju se pocinčati.</t>
  </si>
  <si>
    <t>Profili za brtvljenje i ostakljenje su iz plastične mase koja mora biti elastična i postojana na promjenu temperature.</t>
  </si>
  <si>
    <t>spajanje izrađeni su od nehrđajućeg čelika, aluminija ili nekog drugog antikorozivnog materijala.</t>
  </si>
  <si>
    <t>Konstrukcija:</t>
  </si>
  <si>
    <t>i da pri tome ispune zahtjeve arhitektonskog oblikovanja.</t>
  </si>
  <si>
    <t>Konstrukcija mora zadovoljiti dilatiranje svake vertikale i horizontale posredstvom specijalnih umetaka od aluminija</t>
  </si>
  <si>
    <t>s dodatkom neoprenske brtve.</t>
  </si>
  <si>
    <t xml:space="preserve"> </t>
  </si>
  <si>
    <t>brtviti.</t>
  </si>
  <si>
    <t>Svi dijelovi okova koji se ugrađuju u aluminijsku konstrukciju (vrata, prozori i dr.) moraju biti iz materijala otpornih na</t>
  </si>
  <si>
    <t>koroziju.</t>
  </si>
  <si>
    <t>Ostakljenje treba izvesti aluminijskim letvicama pomoću plastičnih profila i dvokomponentnog kita. Plastične profile</t>
  </si>
  <si>
    <t>treba na uglovima zavariti. Osigurati odgovarajuće provrte u staklu za odvođenje kondenzirane vode.</t>
  </si>
  <si>
    <t xml:space="preserve">Obračun aluminijskih radova vrši se po metru kvadratnom ili po metru dužnom izvedenog rada, a sve ovisno o vrsti </t>
  </si>
  <si>
    <t xml:space="preserve">rada koji se obračunava. </t>
  </si>
  <si>
    <t>STOLARSKI  RADOVI</t>
  </si>
  <si>
    <t xml:space="preserve">Pri izvedbi stolarskih radova izvođač je dužan pridržavati se svih uvjeta i opisa u troškovniku, kao i važećih </t>
  </si>
  <si>
    <t>Prozori i vrata:</t>
  </si>
  <si>
    <t>Prozori i vrata moraju ispunjavati tehnička svojstva, specificiranje, potvrđivanje sukladnosti, dokazivanje uporabljivosti</t>
  </si>
  <si>
    <t>označavanje i ispitivanje prozora/vrata. Svi kontrolni postupci moraju biti u skladu s Tehničkim propisom za prozore i</t>
  </si>
  <si>
    <t>vrata i njegovim prilozima.</t>
  </si>
  <si>
    <t>otpornost na opterećenje vjetrom,</t>
  </si>
  <si>
    <t>vodonepropusnost,</t>
  </si>
  <si>
    <t>propusnost zraka (za prostorije koje moraju ispunjavati uvjete izmjene zraka),</t>
  </si>
  <si>
    <t>prolazak topline,</t>
  </si>
  <si>
    <t>zvučnu izolaciju</t>
  </si>
  <si>
    <t>otpornost na požar i propuštanje dima i vatre</t>
  </si>
  <si>
    <t xml:space="preserve">Obračun stolarskih radova vrši se po metru kvadratnom, po metru dužnom izvedenog rada ili po komadu, a sve </t>
  </si>
  <si>
    <t xml:space="preserve">ovisno o vrsti rada koji se obračunava. </t>
  </si>
  <si>
    <t>BRAVARSKI RADOVI</t>
  </si>
  <si>
    <t xml:space="preserve">Pri izvedbi bravarskih radova izvođač je dužan pridržavati se svih uvjeta i opisa u troškovniku, kao i važećih </t>
  </si>
  <si>
    <t>Površinska obrada:</t>
  </si>
  <si>
    <t>vratiju i stijena površinska obrada se izvodi eloksiranjem ili plastificiranjem u boji po izboru projektanta.</t>
  </si>
  <si>
    <t>materijala (zaštitnog sredstva).</t>
  </si>
  <si>
    <t>Prije početka izrade bravarije obavezno se moraju uskladiti mjere i količine iz nacrta prema stvarnom stanju na</t>
  </si>
  <si>
    <t>gradilištu.Željezni dijelovi konstrukcije spajaju se varenjem ili vijčanim spojevima.</t>
  </si>
  <si>
    <t>Svaki vijčani spoj mora biti tako riješen da na vidljivim vanjskim površinama nema vidljivih vijaka. Ovisno o vrsti</t>
  </si>
  <si>
    <t>materijala od kojih se izvode bravarski radovi, spojna sredstava moraju se odabrati iz iste grupe materijala. Posebni umetci</t>
  </si>
  <si>
    <t>od PVC materijala moraju osigurati kvalitetan i čist sastav dvaju elemenata.</t>
  </si>
  <si>
    <t xml:space="preserve">Radioničke nacrte i detalje izrađuje izvoditelj i obavezno ih daje na suglasnost projektantu. </t>
  </si>
  <si>
    <t xml:space="preserve">Svi tehnički i fizikalni zahtjevi trebaju biti ispunjeni prema propisima ili prema posebnim traženjima projektanta. </t>
  </si>
  <si>
    <t>moraju biti statički provjereni.</t>
  </si>
  <si>
    <t>postavljena sidra varenjem ili vijcima ili pak pomoću plastičnih ili metalnih čepova. Sve sudarnice između matala i betona</t>
  </si>
  <si>
    <t>moraju biti brtvljene ili kitane akrilnim, silikonskim ili TIO kitom.</t>
  </si>
  <si>
    <t>Za sve predviđene bravarske radove izvođač je dužan pribaviti odgovarajuće ateste, izjave o sukladnosti.</t>
  </si>
  <si>
    <t xml:space="preserve">Obračun bravarskih radova vrši se po metru kvadratnom, po metru dužnom izvedenog rada, kilogramu ili po komadu, </t>
  </si>
  <si>
    <t xml:space="preserve">a sve ovisno o vrsti rada koji se obračunava. </t>
  </si>
  <si>
    <t>STAKLARSKI RADOVI</t>
  </si>
  <si>
    <t xml:space="preserve">Pri izvedbi staklarskih radova izvođač je dužan pridržavati se svih uvjeta i opisa u troškovniku, kao i važećih </t>
  </si>
  <si>
    <t>Obrada:</t>
  </si>
  <si>
    <t>cm, međuprostor između stakala mogu biti 6, 9, 12 i 16 mm, a standardna debljina stakla iznosi 4, 5-6 i 8 mm.</t>
  </si>
  <si>
    <t>obrađeno staklo može biti jedna od sastavnica IZO stakla.</t>
  </si>
  <si>
    <t>površina ili dizajnirati samo određeni elementi.</t>
  </si>
  <si>
    <t>Aluminijski fasadni elementi ostakljuju se posebnim dvoslojnim reflektirajućim izolacijskim staklom iz float stakla</t>
  </si>
  <si>
    <t>debljine 6+16+5 mm, dvoslojno izolacijskim float staklom 6+16+5 mm.</t>
  </si>
  <si>
    <t>Izvođač je dužan sve mjere ostakljenja kontrolirati na gradilištu i na gotovim stolarskim i bravarskim elementima.</t>
  </si>
  <si>
    <t>Ugrađivanje stakla u fasadne elemente i prozorska krila mora biti izvedeno neoprenskom gumom i trajno elastičnim</t>
  </si>
  <si>
    <t>provodljivosti koji su profilirani za pojedine vrste elemenata.</t>
  </si>
  <si>
    <t xml:space="preserve">Obračun staklarskih radova vrši se po metru kvadratnom ugrađenog stakla, uključujući sav spojni pribor i materijal </t>
  </si>
  <si>
    <t>za ugradnju.</t>
  </si>
  <si>
    <t>SOBOSLIKARSKI I LIČILAČKI RADOVI</t>
  </si>
  <si>
    <t xml:space="preserve">Pri izvedbi soboslikarskih i ličilačkih radova izvođač je dužan pridržavati se svih uvjeta i opisa u troškovniku, kao </t>
  </si>
  <si>
    <t>važećih propisa i to posebno:</t>
  </si>
  <si>
    <t>Posebna uputstva proizvođača</t>
  </si>
  <si>
    <t>Izvođač radova treba prije izvođenja radova izraditi sve uzorke, te iste dati projektantu na pismeno odobrenje.</t>
  </si>
  <si>
    <t>Izvođač radova treba uporabiti materijale koji u svemu (vrsti, boji i kvaliteti) jednak uzorku što ga odabere projektant</t>
  </si>
  <si>
    <t>od uzoraka predloženih od strane izvođača.</t>
  </si>
  <si>
    <t xml:space="preserve">Bojanje mora biti kvalitetno i stručno izvedeno. Na obojenim površinama ne smije biti mrlja, površine moraju biti </t>
  </si>
  <si>
    <t xml:space="preserve">rad mora o tome pismeno obavijestiti naručitelja radova kako bi se podloga na vrijeme mogla popraviti. Naknadno </t>
  </si>
  <si>
    <t>pozivanje na nekvalitetnu podlogu neće se uzeti u obzir.</t>
  </si>
  <si>
    <t>Ličenje bravarskih dijelova izvodi se nakon čišćenja od hrđe, premazom temeljne boje i potom ličenjem u dva sloja</t>
  </si>
  <si>
    <t>vanjskom bojom za metale.</t>
  </si>
  <si>
    <t>Obračun soboslikarskih i  ličilačkih radova vrši se po metru kvadratnom, uključujući sav materijal, rad i pribor</t>
  </si>
  <si>
    <t>za izvođenje.</t>
  </si>
  <si>
    <t>FASADERSKI RADOVI</t>
  </si>
  <si>
    <t>Pri izvedbi fasaderskih radova izvođač je dužan pridržavati se svih uvjeta i opisa u troškovniku, kao i važećih</t>
  </si>
  <si>
    <t>Materijali za fasaderske radove u pogledu kakvoće moraju odgovarati svim važećim standardima i pojedinačnim</t>
  </si>
  <si>
    <t>standardima i normama za svaki ugrađeni materijal koji je sastavni dio fasadne žbuke</t>
  </si>
  <si>
    <t>Materijali za žbuke od poliakrilne mase sastoje se iz agregata, postojanih pigmenata, te akrilnog veziva.</t>
  </si>
  <si>
    <t>za dobivanje vodoodbojnih svojstava žbuke.</t>
  </si>
  <si>
    <t>Svi nanosi žbuke i premazi moraju imati:</t>
  </si>
  <si>
    <t>dobra fizičko - mehanička svojstva</t>
  </si>
  <si>
    <t>dobra vlažnosna svojstva</t>
  </si>
  <si>
    <t>visoku rezidentnost i vremensko postojanje</t>
  </si>
  <si>
    <t>povoljnu i laganu ugradljivost</t>
  </si>
  <si>
    <t>Fizičko - mehanička svojstva:</t>
  </si>
  <si>
    <t>otpornost na habanje</t>
  </si>
  <si>
    <t>otpornost na udarce</t>
  </si>
  <si>
    <t>Vlažnosna svojstva:</t>
  </si>
  <si>
    <t>otpornost na ispiranje kišom</t>
  </si>
  <si>
    <t>otpornosti prema atmosferskoj vlazi</t>
  </si>
  <si>
    <t>paropropusnost</t>
  </si>
  <si>
    <t>Rezistentnost:</t>
  </si>
  <si>
    <t>otpornost prema povišenim temperaturama</t>
  </si>
  <si>
    <t>promjene boje pod djelovanjem sunca i kiše</t>
  </si>
  <si>
    <t>otpornost prema brzom starenju</t>
  </si>
  <si>
    <t>otpornost prema kemikalijama</t>
  </si>
  <si>
    <t>Podloga na koju se nanosi žbuka za fasadu od sintetičkih materijala treba biti suha, bez masnih mrlja i prašine.</t>
  </si>
  <si>
    <r>
      <t>kod silikatnih žbuka najmanje +7</t>
    </r>
    <r>
      <rPr>
        <vertAlign val="superscript"/>
        <sz val="9"/>
        <rFont val="Arial CE"/>
        <charset val="238"/>
      </rPr>
      <t>0</t>
    </r>
    <r>
      <rPr>
        <sz val="9"/>
        <rFont val="Arial CE"/>
        <family val="2"/>
        <charset val="238"/>
      </rPr>
      <t>C.</t>
    </r>
  </si>
  <si>
    <t>cijele ploče. Prvi red ploča obavezno se postavlja na aluminijski 'sokl' profil. Sokl koji je u dodiru s vodom izvodi se</t>
  </si>
  <si>
    <t>iz ekstrudiranog polistirena XPS, koji ne upija vodu. Nanošenje ljepila na ploču izvodi se po sistemu 'rubno - točkasto'.</t>
  </si>
  <si>
    <r>
      <t>Sve ploče trebaju se na zid dodatno učvrstiti tipskim fasadnim pričvrsnicama (6kom/m</t>
    </r>
    <r>
      <rPr>
        <vertAlign val="superscript"/>
        <sz val="9"/>
        <rFont val="Arial CE"/>
        <charset val="238"/>
      </rPr>
      <t>2</t>
    </r>
    <r>
      <rPr>
        <sz val="9"/>
        <rFont val="Arial CE"/>
        <family val="2"/>
        <charset val="238"/>
      </rPr>
      <t>). S ugradbom pričvrsnica</t>
    </r>
  </si>
  <si>
    <t>može se započeti kada se ljepilo dovoljno učvrsti. Svi uglovi na pročelju trebaju se zaštititi  kutnim profilima, a svi</t>
  </si>
  <si>
    <t>kutevi otvora dodatno armirati staklenom mrežicom. Nakon izrade termoizolacije nanosi se prvi sloj ljepila debljine</t>
  </si>
  <si>
    <t>stvrdne na propisanu čvrstoću nanosi se završna dekorativna žbuka (... silikat, mineralna žbuka i sl.) u debljini cca</t>
  </si>
  <si>
    <t>4 mm. ETICS pročelja na bazi druge vrste termoizolacije izvodi se po istom tehnološkom principu. Izvođač pročelja</t>
  </si>
  <si>
    <t>odgovoran je za sve slojeve pročelja od zida do završne žbuke, i za taj dio konstrukcije izdaje certifikat i garanciju.</t>
  </si>
  <si>
    <t xml:space="preserve">Obračun fasaderskih radova vrši se po metru kvadratnom, uključujući sav materijal, rad, pribor za izvođenje i skelu, </t>
  </si>
  <si>
    <t>ako u opisu stavke nije drugačije navedeno.</t>
  </si>
  <si>
    <t>KERAMIČARSKI RADOVI</t>
  </si>
  <si>
    <t>Pri izvedbi keramičarskih radova izvođač je dužan pridržavati se svih uvjeta i opisa u troškovniku, kao i važećih</t>
  </si>
  <si>
    <t xml:space="preserve">Obračun keramičarskih radova vrši se po metru kvadratnom, uključujući sav materijal, rad, pribor za izvođenje i skelu, </t>
  </si>
  <si>
    <t>PODOPOLAGAČKI RADOVI</t>
  </si>
  <si>
    <t>Pri izvedbi podopolagačkih radova izvođač je dužan pridržavati se svih uvjeta i opisa u troškovniku, kao i važećih</t>
  </si>
  <si>
    <t>Obračun podopolagačkih radova vrši se po metru kvadratnom, uključujući sav materijal, rad, pribor za izvođenje</t>
  </si>
  <si>
    <t>i skelu, ako u opisu stavke nije drugačije navedeno.</t>
  </si>
  <si>
    <t>GIPSARSKI RADOVI</t>
  </si>
  <si>
    <t>Pri izvedbi gipsarskih radova izvođač je dužan pridržavati se svih uvjeta i opisa u troškovniku, kao i važećih propisa</t>
  </si>
  <si>
    <t>Prije početka radova izvoditelj je dužan provjeriti na gradilištu dali su osigurani svi uvjeti za njegov nesmetan rad.</t>
  </si>
  <si>
    <t xml:space="preserve">Ustanove se veće razlike koje bi utjecale na njegov rad dužan je o tome obavijestiti projektanta i nadzornog inženjera i </t>
  </si>
  <si>
    <t>zatražiti rješenje. U slučaju da izvođač upotrijebi drugu vrstu materijala nego što je određeno projektom ili radove loše</t>
  </si>
  <si>
    <t>Izvođač mora upotrijebiti materijal koji u svemu (vrsti, boji i kvaliteti) odgovara uzorku što ga odabere projektant.</t>
  </si>
  <si>
    <t>nastalo oštećenje o vlastitom trošku.</t>
  </si>
  <si>
    <t>Visine:</t>
  </si>
  <si>
    <t xml:space="preserve">Ako nisu navedene visine, tada se smatra da su zidovi kalkulirani, ovisno o njihovoj konstrukciji, do </t>
  </si>
  <si>
    <t xml:space="preserve">maksimalno dozvoljene visine zida prema ONORM B 3415. Za visine preko 3,2 m zaračunava se doplata koja uključuje </t>
  </si>
  <si>
    <t>eventualne troškove skele. Doplata se zaračunava za cijelu površinu onih zidova koji prekoračuju graničnu visinu.</t>
  </si>
  <si>
    <t>Metalni profili:</t>
  </si>
  <si>
    <t xml:space="preserve">Potkonstrukcija iz pocinčanih čeličnih profila sa štancanim otvorima za vodovodne ili električne instalacije je čvrsto </t>
  </si>
  <si>
    <t xml:space="preserve">postavljena. Svi učvrsni elementi, kao što su vijci i čavli, pocinčani su ili fosforizirani. Spoj s konstrukcijom odvojiti </t>
  </si>
  <si>
    <t>brtvenom trakom. Lim za profile debljine je od min. 0,6 mm.</t>
  </si>
  <si>
    <t>Priključci:</t>
  </si>
  <si>
    <t>Sve priključne površine na zidovima, na stropu ili podu izvode se s brtvenom trakom.</t>
  </si>
  <si>
    <t>Izolacijski sloj:</t>
  </si>
  <si>
    <t xml:space="preserve">Izolacijski sloj se postavlja po čitavoj površini i osigurava se od micanja. Ako nije drugačije navedeno mogu se </t>
  </si>
  <si>
    <t>Razred vatrootpornosti:</t>
  </si>
  <si>
    <t xml:space="preserve">atesta ovlaštene institucije, ako razred vatrootpornosti ne proizlazi iz normi: ONORM B 3800 / HRN U.J1.090 / DIN 4102. </t>
  </si>
  <si>
    <t>Obrada površina:</t>
  </si>
  <si>
    <t>K1</t>
  </si>
  <si>
    <t xml:space="preserve">Stupanj K1 zadovoljava zahtjeve prema površinama gipskartonskih sustava bez posebnih opisa. Primjena se </t>
  </si>
  <si>
    <t xml:space="preserve">odnosi uglavnom na područje površina ispod keramičkih pločica ili drugih vrsta završnih dekorativnih zidnih obloga </t>
  </si>
  <si>
    <t>koje u potpunosti prekrivaju površinu suhomontažnog sustava, npr. pregradnog zida ili zidne obloge. Kod višeslojne i</t>
  </si>
  <si>
    <t>svakako trebaju zapuniti.</t>
  </si>
  <si>
    <t>K2</t>
  </si>
  <si>
    <t xml:space="preserve">Stupanj kvalitete K2 predstavlja uobičajenu vrstu obrade površine kod koje se obrađuje samo površina na </t>
  </si>
  <si>
    <t>udaljenosti od približno 20 cm lijevo i desno od spoja dvaju ploča, kako bi se ublažio prijelaz prema površini gips</t>
  </si>
  <si>
    <t>kartonske ploče. Ovako obrađena površina može biti pogodna za uobičajene završne premaze koji se nanose valjkom i</t>
  </si>
  <si>
    <t>li za lijepljenje tapeta</t>
  </si>
  <si>
    <t>K3</t>
  </si>
  <si>
    <t xml:space="preserve">Stupanj kvalitete K3 je u troškovnicima završnih radova posebno opisan postupak završne obrade zidnih ili </t>
  </si>
  <si>
    <t>stropnih površina i predstavlja zahtjev za izradom visokokvalitetne površine. Takva je površina pogodna za nanošenje</t>
  </si>
  <si>
    <t>posebnih premaza koji ne dopuštaju neravnine na podlozi ili za primjenu uobičajenih talijanskih tehnika završne obrade</t>
  </si>
  <si>
    <t>ploha. U pravilu postupak obuhvaća zaglađivanje cijele površine s jednim slojem debljine od približno 1 – 2 mm, što</t>
  </si>
  <si>
    <t>ovisi o vrsti upotrebljenog materijala</t>
  </si>
  <si>
    <t>K4</t>
  </si>
  <si>
    <t xml:space="preserve">Stupanj kvalitete K4 podrazumijeva izradu izuzetno glatke i ravne površine koja zadovoljava i najviše zahtjeve. </t>
  </si>
  <si>
    <t xml:space="preserve">Vrhunski obrađena površina potrebna je u prostorima u kojima prevladavaju nepogodni uvjeti rasvjete. Takva vrsta </t>
  </si>
  <si>
    <t xml:space="preserve">završne obrade koristi se prije nanošenja metaliziranih premaza ili posebnih tankih dekorativnih tapeta te za ostvarenje </t>
  </si>
  <si>
    <t xml:space="preserve">raznih drugih umjetničkih i interijerskih izražaja. Radovi za ostvarenje kvalitete stupnja K4 u pravilu zahtijevaju </t>
  </si>
  <si>
    <t xml:space="preserve">zaglađivanje u minimalno dva sloja, uz stalnu provjeru glatkoće. Zahtjev za kvalitetom K4 je također posebno naveden </t>
  </si>
  <si>
    <t>u opisu radova</t>
  </si>
  <si>
    <t>Instalacije:</t>
  </si>
  <si>
    <t xml:space="preserve">Radovi za prilagodbu na instalacijske i ugradbene dijelove, koji su ugrađeni prije oblaganja, posebno se ne </t>
  </si>
  <si>
    <t>obračunavaju.</t>
  </si>
  <si>
    <t>Prekidi rada:</t>
  </si>
  <si>
    <t>Prekidi rada (vrijeme čekanja) koji su posljedica instalacijskih radova ukalkulirani su u jedinične cijene.</t>
  </si>
  <si>
    <t>sav materijal, rad, pribor za izvođenje i skelu, ako u opisu stavke nije drugačije navedeno.</t>
  </si>
  <si>
    <r>
      <t>m</t>
    </r>
    <r>
      <rPr>
        <vertAlign val="superscript"/>
        <sz val="9"/>
        <rFont val="Arial CE"/>
        <charset val="238"/>
      </rPr>
      <t>2</t>
    </r>
  </si>
  <si>
    <t>sve obložne površine zidova</t>
  </si>
  <si>
    <r>
      <t>m</t>
    </r>
    <r>
      <rPr>
        <vertAlign val="superscript"/>
        <sz val="9"/>
        <rFont val="Arial CE"/>
        <charset val="238"/>
      </rPr>
      <t>1</t>
    </r>
  </si>
  <si>
    <t>špalete, čela zidova, gornje plohe parapeta, ako su posebno specificirani troškovnikom</t>
  </si>
  <si>
    <t>Odbitak otvora:</t>
  </si>
  <si>
    <t>zaračunava.</t>
  </si>
  <si>
    <t>SPUŠTENI STROPOVI</t>
  </si>
  <si>
    <t xml:space="preserve">Pri izvedbi radova na spuštenim stropovima izvođač je dužan pridržavati se svih uvjeta i opisa u troškovniku, kao i </t>
  </si>
  <si>
    <t xml:space="preserve">Obračun izrade spuštenih stropova vrši se po metru kvadratnom ili po metru dužnom ovisno o vrsti obloge i rada, </t>
  </si>
  <si>
    <t>uključujući sav materijal, rad, pribor za izvođenje i skelu, ako u opisu stavke nije drugačije navedeno.</t>
  </si>
  <si>
    <t>ČELIČNE KONSTRUKCIJE</t>
  </si>
  <si>
    <t xml:space="preserve">Pri izvedbi radova na čeličnim konstrukcijama izvođač je dužan pridržavati se svih uvjeta i opisa u troškovniku, kao i </t>
  </si>
  <si>
    <t>Proračun čelične konstrukcije i prostorne čelične konstrukcije, radioničke nacrte izrađuje izvođač čelične konstrukcije.</t>
  </si>
  <si>
    <t>Obračun izrade čelične konstrukcije vrši se po kilogramu ugrađene konstrukcije, uključujući sav materijal, rad,</t>
  </si>
  <si>
    <t>pribor za izvođenje i skelu, ako u opisu stavke nije drugačije navedeno.</t>
  </si>
  <si>
    <t>Stavke troškovnika uključuju i sve radove i predradnje potrebne kod primjene zaštite na radu, zaštitne skele oko zgrade i gradilišta, privremene ograde i zaštitne konstrukcije do kompletnog završetka izgradnje, a sve uzimajući u obzir da je gradilište u izgrađenom okolišu okruženo zgradama koje se koriste.</t>
  </si>
  <si>
    <t>KRATICE</t>
  </si>
  <si>
    <t>OTU</t>
  </si>
  <si>
    <t>Opći tehnički uvjeti za radove</t>
  </si>
  <si>
    <t>POG</t>
  </si>
  <si>
    <t>Projekt organizacije građenja</t>
  </si>
  <si>
    <t>PTU</t>
  </si>
  <si>
    <t>Posebni tehnički uvjeti</t>
  </si>
  <si>
    <t>OUG</t>
  </si>
  <si>
    <t>Opći uvjeti ugovora o građenju</t>
  </si>
  <si>
    <t>PUG</t>
  </si>
  <si>
    <t>Posebni uvjeti ugovora o građenju</t>
  </si>
  <si>
    <t>OUT</t>
  </si>
  <si>
    <t>Opći uvjeti za troškovničke radove</t>
  </si>
  <si>
    <t>PKOK</t>
  </si>
  <si>
    <t>Program kontrole i osiguranja kvalitete</t>
  </si>
  <si>
    <t>ZoPU</t>
  </si>
  <si>
    <t>Zakon o prostornom uređenju RH</t>
  </si>
  <si>
    <t>ZoG</t>
  </si>
  <si>
    <t>Zakon o gradnji RH</t>
  </si>
  <si>
    <t>ZON</t>
  </si>
  <si>
    <t>Zakon o normizaciji</t>
  </si>
  <si>
    <t>HRN</t>
  </si>
  <si>
    <t>hrvatska norma</t>
  </si>
  <si>
    <t>ISO</t>
  </si>
  <si>
    <t>Međunarodna norma (International Organisation of Standardazion)</t>
  </si>
  <si>
    <t>EN</t>
  </si>
  <si>
    <t>Evropska norma</t>
  </si>
  <si>
    <t>DIN</t>
  </si>
  <si>
    <t>Njemačka norma</t>
  </si>
  <si>
    <t>ASTM</t>
  </si>
  <si>
    <t>Američka norma za ispitivanje materijala</t>
  </si>
  <si>
    <t>OTU HC-HACZ</t>
  </si>
  <si>
    <t>OTU izdanih od Hrvatskih cesta - Hrvatskih autocesta Zagreb, prosinac 2001</t>
  </si>
  <si>
    <t xml:space="preserve">    za radove na cestama</t>
  </si>
  <si>
    <r>
      <t>m</t>
    </r>
    <r>
      <rPr>
        <b/>
        <vertAlign val="superscript"/>
        <sz val="10"/>
        <rFont val="Arial"/>
        <family val="2"/>
      </rPr>
      <t>1</t>
    </r>
  </si>
  <si>
    <t>obračun po metru dužnom</t>
  </si>
  <si>
    <r>
      <t>m</t>
    </r>
    <r>
      <rPr>
        <b/>
        <vertAlign val="superscript"/>
        <sz val="10"/>
        <rFont val="Arial"/>
        <family val="2"/>
      </rPr>
      <t>2</t>
    </r>
  </si>
  <si>
    <t>obračun po metru kvadratnom</t>
  </si>
  <si>
    <r>
      <t>m</t>
    </r>
    <r>
      <rPr>
        <b/>
        <vertAlign val="superscript"/>
        <sz val="10"/>
        <rFont val="Arial"/>
        <family val="2"/>
      </rPr>
      <t>3</t>
    </r>
    <r>
      <rPr>
        <sz val="10"/>
        <rFont val="Arial"/>
        <family val="2"/>
      </rPr>
      <t/>
    </r>
  </si>
  <si>
    <t>obračun po metru kubnom</t>
  </si>
  <si>
    <t>kg</t>
  </si>
  <si>
    <t>obračun po kilogramu</t>
  </si>
  <si>
    <t>t</t>
  </si>
  <si>
    <t>obračun po toni</t>
  </si>
  <si>
    <t>kom</t>
  </si>
  <si>
    <t>obračun po komadu</t>
  </si>
  <si>
    <t>km</t>
  </si>
  <si>
    <t>obračun po kilometru</t>
  </si>
  <si>
    <t>obračun po satu</t>
  </si>
  <si>
    <t>obj</t>
  </si>
  <si>
    <t>obračun po objektu</t>
  </si>
  <si>
    <t>pau</t>
  </si>
  <si>
    <t>paušalna obračunska vrijednost</t>
  </si>
  <si>
    <t>stavka</t>
  </si>
  <si>
    <t>jed.mj.</t>
  </si>
  <si>
    <t>količina</t>
  </si>
  <si>
    <t>ukupna cijena</t>
  </si>
  <si>
    <t>4x5=6</t>
  </si>
  <si>
    <t>A.</t>
  </si>
  <si>
    <t>GRAĐEVINSKI RADOVI</t>
  </si>
  <si>
    <t/>
  </si>
  <si>
    <t>Napomena:</t>
  </si>
  <si>
    <t>*</t>
  </si>
  <si>
    <t>iskolčenje građevine:</t>
  </si>
  <si>
    <t>iskolčenje građevine u skladu s elaboratom iskolčenja i projektom</t>
  </si>
  <si>
    <t>kpl</t>
  </si>
  <si>
    <t>geodetski elaborat:</t>
  </si>
  <si>
    <t xml:space="preserve">izrada geodetskog elaborata za građevine (sa snimkom izvedenog stanja), obveza izvođača
</t>
  </si>
  <si>
    <t xml:space="preserve">izrada geodetskog elaborata instalacija (sa snimkom izvedenog stanja), obveza izvođača
</t>
  </si>
  <si>
    <t>čišćenje terena:</t>
  </si>
  <si>
    <t>m2</t>
  </si>
  <si>
    <t>zaštita i izmještanje infrastrukture:</t>
  </si>
  <si>
    <t>zaštita postojeće infrastrukture</t>
  </si>
  <si>
    <t>zahvati na postojećoj infrastrukturi</t>
  </si>
  <si>
    <t>rušenja</t>
  </si>
  <si>
    <t>rušenje betonskih i armirano-betonskih elemenata</t>
  </si>
  <si>
    <t>m3</t>
  </si>
  <si>
    <t>8.</t>
  </si>
  <si>
    <t>rušenje asfaltnih i betonskih elemenata</t>
  </si>
  <si>
    <t>iskop</t>
  </si>
  <si>
    <t>čiščenja</t>
  </si>
  <si>
    <t>9.</t>
  </si>
  <si>
    <t>Obračun po m2 očišćene površine.</t>
  </si>
  <si>
    <t>čišćenje gradilišta nakon završetka svih radova</t>
  </si>
  <si>
    <t>transport zemlje:</t>
  </si>
  <si>
    <t>iskop:</t>
  </si>
  <si>
    <t xml:space="preserve">Stavka uključuje svo potrebno podupiranje i zaštitu iskopa i građevinske jame (zaštitu stabilnosti jame, razupiranje, odvodnja, zbijanje). Stavka uključuje iskop i utovar u vozilo, a odvoz je obračunat posebno. Obračun po m3 iskopa u sraslom stanju.
</t>
  </si>
  <si>
    <t xml:space="preserve">Stavka uključuje iskop i utovar u vozilo, a odvoz je obračunat posebno. Obračun po m3 iskopa u sraslom stanju.
</t>
  </si>
  <si>
    <t>planiranje građevne jame:</t>
  </si>
  <si>
    <t>planiranje kolno-pješačkih površina:</t>
  </si>
  <si>
    <t>12.</t>
  </si>
  <si>
    <t>nasipavanje šljunkom:</t>
  </si>
  <si>
    <t>m1</t>
  </si>
  <si>
    <t>e)</t>
  </si>
  <si>
    <t>f)</t>
  </si>
  <si>
    <t>ostali zemljani radovi:</t>
  </si>
  <si>
    <t>travna rešetka, d=cca 4 cm</t>
  </si>
  <si>
    <t>10.</t>
  </si>
  <si>
    <t>Obračun po komadu.</t>
  </si>
  <si>
    <t>11.</t>
  </si>
  <si>
    <t>rebrasta armatura B500B</t>
  </si>
  <si>
    <t>BETONSKI RADOVI</t>
  </si>
  <si>
    <t>rubnjaci:</t>
  </si>
  <si>
    <t xml:space="preserve">Gotovi betonski rubnjaci moraju biti prvoklasno izrađeni, vidljive plohe betona i pripadajući bridovi moraju biti obrađeni i oprani.
</t>
  </si>
  <si>
    <t>Obračun po m1.</t>
  </si>
  <si>
    <t>betonske ploče:</t>
  </si>
  <si>
    <t>BETONSKI I ARMIRANOBETONSKI RADOVI</t>
  </si>
  <si>
    <t xml:space="preserve">Armiranje izvesti prema armaturnim nacrtima i statičkom proračunu. Prije betoniranja ugraditi nastavke, odnosno sidrenu armaturu za armirano betonske zidove i stupove.
</t>
  </si>
  <si>
    <t>Armatura za sve stavke iskazana je u armiračkim radovima, osim ako u stavci nije drugačije naznačeno.</t>
  </si>
  <si>
    <t>Smjernice za 'vidljivi beton' - GB S</t>
  </si>
  <si>
    <t>projekt betona:</t>
  </si>
  <si>
    <t>betoni C25/30, (MB 30)</t>
  </si>
  <si>
    <t>podložni betoni:</t>
  </si>
  <si>
    <t>podložni beton debljine d=10 cm, beton C16/20</t>
  </si>
  <si>
    <t>armatura B500B - mrežasta armatura</t>
  </si>
  <si>
    <t>armiranobetonska temeljna i podna ploča:</t>
  </si>
  <si>
    <t>armiranobetonski zidovi:</t>
  </si>
  <si>
    <t>dvostrana velikoplošna oplata, glatka</t>
  </si>
  <si>
    <t>armiranobetonske ploče:</t>
  </si>
  <si>
    <t>oplata stropnih ploča, glatka</t>
  </si>
  <si>
    <t xml:space="preserve">Umjesto monolitnih temelja mogu se izvesti montažni temelji, ugradnja sa pravilnim nabijanje zemlje oko temelja.
</t>
  </si>
  <si>
    <t>armatura B500B</t>
  </si>
  <si>
    <t>temelji opreme, beton C25/30</t>
  </si>
  <si>
    <t>jednostrana oplata, glatka</t>
  </si>
  <si>
    <t>beton za pad:</t>
  </si>
  <si>
    <t>ARMIRAČKI RADOVI</t>
  </si>
  <si>
    <t>Čelik za armiranje upotrebljava se sukladno slijedećim oznakama:</t>
  </si>
  <si>
    <t>•</t>
  </si>
  <si>
    <t>B500B -  rebrasti čelik</t>
  </si>
  <si>
    <t>B500B - mrežasta armatura</t>
  </si>
  <si>
    <t>Dio armature je iskazan i u sklopu drugih stavki troškovnika.</t>
  </si>
  <si>
    <t>zgrada:</t>
  </si>
  <si>
    <t>armaturne mreže B500B</t>
  </si>
  <si>
    <t>žbukanje unutarnjih zidova i stropova</t>
  </si>
  <si>
    <t>cementni estrih:</t>
  </si>
  <si>
    <t>čišćenje građevine:</t>
  </si>
  <si>
    <t xml:space="preserve">grubo zidarsko čišćenje objekta u svim fazama građenja s odvozom šute i otpadaka na gradsku deponiju, udaljenost do 20 km, predviđeno čišćenje 3x
</t>
  </si>
  <si>
    <t>fino čišćenje i pranje svih keramičkih opločenja, podova, svih sanitarnih uređaja, svih stakala, prozora, vrata i slično.</t>
  </si>
  <si>
    <t xml:space="preserve">Fasaderski radovi NE smiju se izvoditi po lošem vremenu (kiša, snjeg, magla, vjetar, temperatura ispod +3 stupnja C), koje bi moglo utjecati na kvalitetu radova.
</t>
  </si>
  <si>
    <t xml:space="preserve">Za radove na visini preko 2 m od poda mora se predhodno postaviti skela. Zaštitu od sunca izvesti pomoću jutene tkanine koja se pričvršćuje na fasadnu skelu.
</t>
  </si>
  <si>
    <t>g)</t>
  </si>
  <si>
    <t>U jediničnu cijenu uključiti zaštitni zastor od jutenih ili plastičnih traka, koje se postavljaju s vanjske strane skele po cijeloj površini. Skelu je potrebno osigurati od prevrtanja sidrenjem u građevinu, a od udara groma uzemljenjem. Potrebno je izvesti pomoćne željezne ili drvene ljestve - penjalice za osiguranje vertikalne komunikacije po skeli.</t>
  </si>
  <si>
    <t>nosivi sloj:</t>
  </si>
  <si>
    <t>Nosivost završene asfaltirane površine mora zadovoljiti osovinski pritisak od 100 kN (teška vozila).</t>
  </si>
  <si>
    <t>habajući sloj:</t>
  </si>
  <si>
    <t>B.</t>
  </si>
  <si>
    <t>OBRTNIČKI RADOVI</t>
  </si>
  <si>
    <t>podzemne hidroizolacije:</t>
  </si>
  <si>
    <t>Hidroizolacija se sastoji iz slijedećih slojeva:</t>
  </si>
  <si>
    <t xml:space="preserve">Hidroizolaciju izvodi tvrtka s potrebnim iskustvom i ovlaštenjem od proizvođača.
</t>
  </si>
  <si>
    <t>Kod izvođenja radova u svemu se pridržavati uputa iz tehničkih listova proizvođača.</t>
  </si>
  <si>
    <t>Izvođač je dužan za predloženi sustav hidroizolacije dobiti od proizvođača pismenu suglasnost o međusobnoj kompatibilnosti pojedinih slojeva.</t>
  </si>
  <si>
    <t>Stavka obuhvaća izradu svih vrsta opšava i spojeva hidroizolacije te izvedbu prodora kroz hidroizolaciju, sve do pune funkcionalnosti. Obračun po m2 horizontalne ili vertikalne površine izolacije.</t>
  </si>
  <si>
    <t>Hidroizolacijski sustav na bazi polimer bitumenskih hidroizolacija. Obrađuju se sljedeće površine:</t>
  </si>
  <si>
    <t>parne brane:</t>
  </si>
  <si>
    <t>opterećeni ravni krov (zeleni krov):</t>
  </si>
  <si>
    <t xml:space="preserve">Krovna membrana otporna je na starenje, mikroorganizme, gljivice, korijenje i UV zračenje.
</t>
  </si>
  <si>
    <t xml:space="preserve">Spojevi se obrađuju toplinskim ili kemijskim putem sa širinom spoja od min 40 mm i preklopom traka min. 10 cm, u skladu s propisanim normama od strane proizvođača trake. Hidroizolacija se na detaljima učvršćuje plastificiranim limovima i hermetizira po potrebi poliuretanskim kitovima uz prethodno nanošenje odgovarajućeg primer-a (kitanje je uključeno u cijenu stavke). U cijenu uključiti sav rad, materijal i prefabricirane kutove, ojačanja, opšave oko slivnika, rubne krovne žlijebove u padu i elemente za cijevne i ostale  prodore, sve do pune funkcionalnosti. </t>
  </si>
  <si>
    <t xml:space="preserve">Obračun po m2 horizontalne ili vertikalne površine izolacije.
</t>
  </si>
  <si>
    <t>Obrađuju se sljedeće površine:</t>
  </si>
  <si>
    <t>holker  (prijelaz u vertikalu)</t>
  </si>
  <si>
    <t>odzračnik - odparivač</t>
  </si>
  <si>
    <t>razdjelni slojevi - geotekstil:</t>
  </si>
  <si>
    <t>Kod izvođenja radova u svemu se pridržavati uputa iz tehničkih listova proizvođača. Vrsta geotekstila kompatibilna sa ostalim slojevima.</t>
  </si>
  <si>
    <t>U cijenu uključiti sav potreban rad i materijal.</t>
  </si>
  <si>
    <t>Obračun po m2 položenog geotekstila.</t>
  </si>
  <si>
    <t>hidroizolacija sanitarnih prostora:</t>
  </si>
  <si>
    <t>TERMOIZOLACIJE</t>
  </si>
  <si>
    <t>ekstrudirani polistiren XPS:</t>
  </si>
  <si>
    <t xml:space="preserve">U cijenu uključen sav potreban materijal i rad. Obračun po m2 površine.
</t>
  </si>
  <si>
    <t xml:space="preserve">U cijenu uključen sav potreban materijal i rad. Obračun po m2 tlocrtne površine.
</t>
  </si>
  <si>
    <t>ekstrudirani polistiren XPS, d=20 cm</t>
  </si>
  <si>
    <t>ekspandirani polistiren EPS:</t>
  </si>
  <si>
    <t xml:space="preserve">U stavci uključiti postavu rubna traka d=1 cm uz zid od elastificiranog polistirena EPS - T.
</t>
  </si>
  <si>
    <t>mineralna vuna MW:</t>
  </si>
  <si>
    <r>
      <rPr>
        <b/>
        <sz val="10"/>
        <color indexed="12"/>
        <rFont val="Calibri"/>
        <family val="2"/>
        <charset val="238"/>
      </rPr>
      <t>vanjske prozorske klupčice:</t>
    </r>
    <r>
      <rPr>
        <sz val="10"/>
        <color indexed="12"/>
        <rFont val="Calibri"/>
        <family val="2"/>
        <charset val="238"/>
      </rPr>
      <t xml:space="preserve">
Napomena:
Prije izrade vanjskih prozorskih klupčica, izvođač je dužan uzeti sve mjere (širini i dužinu) u naravi, zbog mogućnosti odstupanja izvedenog stanja od projekta.</t>
    </r>
  </si>
  <si>
    <t>STOLARSKI RADOVI</t>
  </si>
  <si>
    <t>Sva vrata ugrađuju se sistemom 'suhe' ugradbe i to ovisno o vrsti zidova u koje se stolarija ugrađuje. U gips kartonske zidove stolarija se ugrađuje u limenu podkonstrukciju za dovratnike, a u zidove od opeke, porastog betona i betona dovratnici  se ugrađuju pomoću 'slijepih' dovratnika, sve prema tehničkom uputstvu proizvođača vrata.</t>
  </si>
  <si>
    <t xml:space="preserve">Svi stolarski elementi moraju se na spoju sa zidom brtviti PUR pjenom u punoj površini (puna zrakotijesnost reške).
</t>
  </si>
  <si>
    <t>Na svim vratima sanitarnih prostora, a koji se prisilno ventiliraju, treba vratno krilo primjereno podrezati (skratiti).</t>
  </si>
  <si>
    <t>Izvođač je dužan izraditi detaljnu projektnu dokumentaciju vrata na temelju mjera uzetih na licu mjesta, izraditi uzorke karakterističnih detalja, te ostale uzorke dati projektantu na uvid i sve izvesti nakon pismenog odobrenja projektanta.</t>
  </si>
  <si>
    <t>Sve prema shemi stolarije.</t>
  </si>
  <si>
    <t>U cijenu uključiti kompletnu izradu vrata, dobavu i dostavu na gradilište, ugradnju, zaštitu u tijeku ugradnje, postava okova i završno čišćenje.</t>
  </si>
  <si>
    <t>puna jednokrilna/dvokrilna zaokretna vrata:</t>
  </si>
  <si>
    <t>Vratna krila na svim sanitarnim prostorima i prostorima sa prisilnom ventilacijom moraju se primjereno podrezati ili se mora ugraditi rešetka za zračenje, sve prema konačnoj odluci projektanta.</t>
  </si>
  <si>
    <t>Nadsvijetlo ostakljeno float staklom debljine d=4 mm.</t>
  </si>
  <si>
    <t>sanitarne kabine:</t>
  </si>
  <si>
    <t>Izvođač kabina dužan je prije izvedbe izraditi izvedbeni nacrt kabina, ponuditi paletu boja (RAL), vrstu pregrade, vrstu okova (nylon ili inox linija), prezentirati izvedbene detalje projektantu, zatražiti i dobiti pismeno odobrenje za izvedbu.</t>
  </si>
  <si>
    <t>Sve prema shemi kabina.</t>
  </si>
  <si>
    <t>U cijenu uključiti kompletnu izradu kabina, dobavu i dostavu na gradilište, ugradnju, zaštitu u tijeku ugradnje, postava okova i završno čišćenje.</t>
  </si>
  <si>
    <t>unutarnje prozorske klupčice:</t>
  </si>
  <si>
    <t xml:space="preserve">U cijenu uključiti izmjeru na gradilištu, kompletnu izradu klupčica, dobavu i dostavu na gradilište, ugradnju, zaštitu u tijeku ugradnje i završno čišćenje. 
Obračun po m1.
</t>
  </si>
  <si>
    <t>vanjska aluminijska bravarija:</t>
  </si>
  <si>
    <t>Izvođač je dužan izraditi detaljnu projektnu dokumentaciju za sve prozore na temelju mjera uzetih na licu mjesta, izraditi uzorke karakterističnih detalja, te uzorke dati projektantu na uvid i sve izvesti nakon pismenog odobrenja projektanta.</t>
  </si>
  <si>
    <t>Aluminijski profili s prekinutim toplinskim mostom, osnovne ugradbene debljine 70 mm, prekinuti toplinski most (PT). Brtvljenje između krila i štoka EPDM brtvom. Okapni profil na dnu prozora/stijene.</t>
  </si>
  <si>
    <t xml:space="preserve">Svi fiksni puni dijelovi toplinski su izolirani slojem PUR izolacije i obostrano zatvoreni aluminijskim limom debljine t=1 mm, završna obrada lima ista kao kompletna stijena.
</t>
  </si>
  <si>
    <t>Sve prema shemi bravarije.</t>
  </si>
  <si>
    <t xml:space="preserve">U cijenu stavke treba uključiti: kompletan okov,  zaštitu od sunca, sve elemente prema shemi bravarije, kompletnu dobavu i dostavu na gradilište, ugradnju, zaštitu u tijeku ugradnje, postavu okova i završno čišćenje.
</t>
  </si>
  <si>
    <t>h)</t>
  </si>
  <si>
    <t>i)</t>
  </si>
  <si>
    <t>j)</t>
  </si>
  <si>
    <t>unutarnja aluminijska bravarija:</t>
  </si>
  <si>
    <t xml:space="preserve">Ostakljenje: (1) vrata i sve stijene i dijelovi stijena koje su do poda (nemaju parapet) - sigurnosno staklo lamistal 4+4 mm, (2) ostali dijelovi stijena s parapetom lamistal 4+4 mm.
</t>
  </si>
  <si>
    <t>Brtve, statičke i dimamičke izvedene su od elastomera EPDM.</t>
  </si>
  <si>
    <t xml:space="preserve">Izvođač je dužan izraditi detaljnu projektnu dokumentaciju za svaku stijenu i oblogu, izvesti na temelju uzetih mjera na licu mjesta. U cijeni su uključene sve radnje i materijal, sve do potpune gotovosti. Konačni odabir stijene po izboru projektanta. Obračun po komadu kompletne stijene/vrata.
</t>
  </si>
  <si>
    <t xml:space="preserve">U cijenu uključiti kompletnu izradu stijene s ostakljenjem, dobavu i dostavu na gradilište, ugradnju, zaštitu u tijeku ugradnje, postava okova i završno čišćenje.
</t>
  </si>
  <si>
    <t>BRAVARSKI RADOVI - PROTUPOŽARNA</t>
  </si>
  <si>
    <t xml:space="preserve">Čelični dovratnici s futerom, širine koja odgovara debljini gotovog zida. Mjere za futer obavezno uzimati na gradilištu.
</t>
  </si>
  <si>
    <t>Oprema protupožarnih vrata:</t>
  </si>
  <si>
    <t xml:space="preserve">BRAVARSKI RADOVI </t>
  </si>
  <si>
    <t xml:space="preserve">U cijenu uključiti kompletnu izradu ograde, dobavu i dostavu na gradilište, montažu okova i spojnih elemenata, izvedbu svih potrebnih ukruta, potkonstrukcije, ugradnju, zaštitu u tijeku ugradnje, sve do pune funkcionalnosti. Svi spojni elementi su vruće cinčani.
</t>
  </si>
  <si>
    <t>Završne obrade i boje po odabiru projektanta.</t>
  </si>
  <si>
    <t>ograda oko parcele:</t>
  </si>
  <si>
    <t>ljestve za pristup krovu:</t>
  </si>
  <si>
    <t>Profili su odgovarajuće pričvršćeni na konstrukciju zgrade preko čeličnih profila i pločica sidrenih u  armiranobetonsku konstrukciju zida.</t>
  </si>
  <si>
    <t>razni radovi:</t>
  </si>
  <si>
    <t>razna nespecificirana crna bravarija</t>
  </si>
  <si>
    <t>SOBOSLIKARSKI RADOVI</t>
  </si>
  <si>
    <t>disperzivne boje:</t>
  </si>
  <si>
    <t xml:space="preserve">Bojanje izvesti u slijedećim fazama: brušenje i čišćenje površina, neutraliziranje, bandažiranje spojeva između različitih materijala, gletanje, impregniranje disperzivnom bojom i  završno bojanje disperzivnim bojama, a sve prema uputama proizvođača.
</t>
  </si>
  <si>
    <t>U stavku uključene tzv. "svjetlosne probe" nakon gletanja (kontrola ravnine ploha u zamračenim prostorijama, sa osvjetljavanjem reflektorima) uz pismeni prijem uredno izvedenih ploha od strane nadzornog inženjera. Uključivo sva potrebna kitanja (kitovi u boji i nijansi prema izboru projektanta) trajnoelastičnim kitovima (razni spojevi različitih materijala, uglovi, fuge, dilatacije i sl.)</t>
  </si>
  <si>
    <t>Vrsta i tip boje prema konačnom odabiru projektanta.</t>
  </si>
  <si>
    <t xml:space="preserve">U cijenu uključiti sav rad i materijal. Obračun po m2 zidne/stropne površine.
</t>
  </si>
  <si>
    <t xml:space="preserve">bojanje zidova (žbukani zid) disperzivnim bojama, 2x premaza s gletanjem
</t>
  </si>
  <si>
    <t xml:space="preserve">bojanje stropova (žbukani strop) disperzivnim bojama, 2x premaza s gletanjem
</t>
  </si>
  <si>
    <t xml:space="preserve">bojanje stropova (gipskartonski spušteni strop) disperzivnim bojama, 2x premaza s gletanjem
</t>
  </si>
  <si>
    <t xml:space="preserve">Napomena:
Izvođač je kod ponude dužan u svakoj stavci iskazati posebno materijal i posebno rad.
Kod davanja ponude izvođač mora obratiti pozornost na veličinu pločica i veličinu prostorije, te na shemu polaganja da bi mogao procjeniti količinu otpada (% rastura).
</t>
  </si>
  <si>
    <t>podne keramičke pločice:</t>
  </si>
  <si>
    <t xml:space="preserve">postava keramike, vezni materijal, fugir masa i čišćenje
</t>
  </si>
  <si>
    <t>zidne keramičke pločice:</t>
  </si>
  <si>
    <t>postava keramike, vezni materijal, fugir masa i čišćenje</t>
  </si>
  <si>
    <t>otirač:</t>
  </si>
  <si>
    <t>Podna prostirka od vinila sa specijalnim premazom za visoku trajnost i bez poleđine radi bolje propusnosti.</t>
  </si>
  <si>
    <t>aluminijski rubni L profil</t>
  </si>
  <si>
    <t>Dopuštene su granične vrijednosti neravnina gotove podloge prema DIN 18202 mjerena na razmaku od:
0,1 m - 2 mm, 1m - 4mm, 4m - 10 mm
10 m - 12 mm, 15 m - 15 mm.
Obračun po m2.</t>
  </si>
  <si>
    <t xml:space="preserve">priprema podloge </t>
  </si>
  <si>
    <t>Boja i shema polaganja prema odabiru projektanta</t>
  </si>
  <si>
    <t>pod linoleum:</t>
  </si>
  <si>
    <t xml:space="preserve">Podna obloga mora imati ekstremnu otpornost na habanje. Podna obloga se cijelom površinom lijepi za podlogu specijalnim disperzijskim ljepilom (utrošak ca 350-400 g/m²). 
Podna obloga mora u sastavu sadržavati pluto.
Rubovi traka moraju biti krojeni i pripremljeni za zavarivanje spojeva. Sve spojeve rola zavariti specijalnom taljivom trakom prema preporuci proizvođača podne obloge.
</t>
  </si>
  <si>
    <t xml:space="preserve">U cijenu je uključena dobava i postava materijala, pribor,  te upotreba svih potrebnih alata i uređaja.U cijenu uključiti i završno čišćenje i premazivanje linoleuma sredstvom prema preporuci proizvođača, u 2 sloja.
Obračun po m2.
</t>
  </si>
  <si>
    <t xml:space="preserve">U cijenu uključiti i završno čišćenje i premazivanje linoleuma sredstvom </t>
  </si>
  <si>
    <t>elastična podna obloga od linoleuma</t>
  </si>
  <si>
    <t>sokl - MDF:</t>
  </si>
  <si>
    <t>Sokl se postavlja na zid ljepljenjem univerzalnim, visokokvalitetnim konstrukcijskim ljepilom na bazi SM polimera. Ljepilo sa visokom početnom čvrstoćom i brzom snagom ljepljenja. Na uglovima zarezati pod kutem od 45°. Na zidovima dužim od 4 m dopušten je samo jedan spoj.</t>
  </si>
  <si>
    <t xml:space="preserve">Vrsta medijapan ploče (MDF), a oblik i završna obrada letvice prema odabiru projektanta.
</t>
  </si>
  <si>
    <t xml:space="preserve">Uključivo dobava i postava materijala, pribor, otpad pri ukrajanju te upotreba svih potrebnih alata i uređaja.
Obračun po m1.
</t>
  </si>
  <si>
    <t>sokl uz zid od lakiranog MDF-a 10 x 60 mm</t>
  </si>
  <si>
    <t>podni profili:</t>
  </si>
  <si>
    <t>premazi:</t>
  </si>
  <si>
    <t>- Priprema podloge strojno kugličnim sačmarenjem ili brušenjem. Priprema se izvodi u svrhu uklanjanja cementne skramice, ostataka ulja i drugih nečistoća.
U cijeni je uklanjanje prašine postupkom usisavanja, a sve zbog potrebne prionjivosti podne obloge za podlogu (vlačna čvrstoća min. 1,5 N/mm) m2.</t>
  </si>
  <si>
    <t>Prije postave obavezno prekontrolirati vlagu u podlozi, kvalitetu podloge i ostale uvjete na gradilištu potrebne za nesmetanu i kvalitetnu postavu. Sve ostalo prema uputama proizvođača i prema pravilima za epoxy i poliuretanske podove.</t>
  </si>
  <si>
    <t>Pod se sastoji iz sljedećih slojeva:</t>
  </si>
  <si>
    <t xml:space="preserve">- Završna zaštita sustava namjenskim lakom. </t>
  </si>
  <si>
    <t>Dobava i ugradba gumenih odbojnika za vrata. Postaviti na gotov pod sa bušenjem rupa i ugradbom u  plastične tiple pomoću odgovarajućeg mjedenog vijka. Prije postavljanja odbojnika projektant treba odrediti položaj u prostoru.
Boja po odabiru projektanta.</t>
  </si>
  <si>
    <t>gumeni odbojnici za vrata</t>
  </si>
  <si>
    <t>Napomene:</t>
  </si>
  <si>
    <t>stropovi u 'suhim' prostorima:</t>
  </si>
  <si>
    <t>stropovi u 'mokrim' prostorima:</t>
  </si>
  <si>
    <t>akustični' stropovi:</t>
  </si>
  <si>
    <t xml:space="preserve">Raspored apsorpcijskih i refleksnih ploha prema posebnom projektu.
</t>
  </si>
  <si>
    <t>otvori u stropu za instalacije:</t>
  </si>
  <si>
    <t>Kod većih otvora u cijenu treba uključiti eventualna pojačanje konstrukcije stropa, obradu spojeva otvora, eventualno pojačanje kuteva i ostale radnje koje se mogu pojaviti kod većih otvora u stropu.</t>
  </si>
  <si>
    <t xml:space="preserve">izrezivanje manjih otvora, do profila 30 cm ili kvadratnog otvora 30x30 cm
</t>
  </si>
  <si>
    <t xml:space="preserve">izrezivanje i obrada većih otvora, preko profila 30 cm ili kvadratnog otvora 30x30 cm
</t>
  </si>
  <si>
    <t>revizijski otvori:</t>
  </si>
  <si>
    <t>standardni otvori s revizijskim poklopcima, veličine 400x400 mm, predviđen jedan otvor po prostoriji</t>
  </si>
  <si>
    <t>standardni otvori s revizijskim poklopcima, veličine 600x600 mm</t>
  </si>
  <si>
    <t>RAZNI OBRTNIČKI RADOVI</t>
  </si>
  <si>
    <t>bušenja armiranobetonske ploče:</t>
  </si>
  <si>
    <t>horizontalna prometna signalizacija:</t>
  </si>
  <si>
    <t>Obrađuju se slijedeće površine:</t>
  </si>
  <si>
    <t>vanjske kolno-pješačke asfaltne i betonske  površine</t>
  </si>
  <si>
    <t>Obračun po m1 i kom.</t>
  </si>
  <si>
    <t>vertikalna prometna signalizacija:</t>
  </si>
  <si>
    <t>vatrogasni aparati:</t>
  </si>
  <si>
    <t>vatrogasni aparat oznake S-6, (43A - 12JG)</t>
  </si>
  <si>
    <t>Temelji se ankerima u betonske temelje (temelji 2 x 30/40/40 cm - obračunati u armiranobetonskim radovima).</t>
  </si>
  <si>
    <t>Svi  materijali zaštićeni su odgovarajućim  postupcima koji uključuju plastificiranje,  bojanje ekološkim bojama i pocinčavanje. 
Sve obrade materijala i boje  po odabiru projektanta.</t>
  </si>
  <si>
    <t xml:space="preserve">Osnovna konstrukcija izvedena od vruće cinčanih metalnih profila, završno elektrostatski plastificiranih u mat boju.
</t>
  </si>
  <si>
    <t>vrtuljak</t>
  </si>
  <si>
    <t>njihalica na opruzi</t>
  </si>
  <si>
    <t>signalizacija:</t>
  </si>
  <si>
    <t>ispitivanja:</t>
  </si>
  <si>
    <t>ispitivanje zrakopropusnosti</t>
  </si>
  <si>
    <t>REKAPITULACIJA</t>
  </si>
  <si>
    <t xml:space="preserve">         opis stavke</t>
  </si>
  <si>
    <t>jedinična cijena</t>
  </si>
  <si>
    <t>2</t>
  </si>
  <si>
    <t>OPĆI TEHNIČKI UVJETI</t>
  </si>
  <si>
    <t>UVJETI ODRŽAVANJA</t>
  </si>
  <si>
    <t>Obračun radova po m2 očišćene površine.</t>
  </si>
  <si>
    <t xml:space="preserve">čišćenje zelenih površina </t>
  </si>
  <si>
    <t xml:space="preserve">Obračun po m2, prema stvarno izvršenim radovima uključujući sve radnje prema opisu.
</t>
  </si>
  <si>
    <t>RADOVI S BILJNIM MATERIJALOM</t>
  </si>
  <si>
    <t>SADNJA DRVEĆA</t>
  </si>
  <si>
    <t>iskop jama za sadnju i sadnja drveća</t>
  </si>
  <si>
    <t>SADNJA GRMLJA</t>
  </si>
  <si>
    <t>iskop jama za sadnju i sadnja grmlja</t>
  </si>
  <si>
    <t>SADNJA VOĆKI - JABUKA</t>
  </si>
  <si>
    <t>NAPOMENA</t>
  </si>
  <si>
    <r>
      <t>Treba nabavljati kultivirane domaće sorte koje su dostupne u rasadnicima. U slučaju da navedene odabrane sorte nisu dostupne, mogu se nabaviti i druge domaće sorte.</t>
    </r>
    <r>
      <rPr>
        <i/>
        <sz val="10"/>
        <color indexed="10"/>
        <rFont val="Calibri"/>
        <family val="2"/>
        <charset val="238"/>
      </rPr>
      <t xml:space="preserve">
</t>
    </r>
  </si>
  <si>
    <t>iskop jama za sadnju jabuka i sadnja</t>
  </si>
  <si>
    <t>PODIZANJE TRAVNJAKA</t>
  </si>
  <si>
    <t>nabava i doprema travne smjese</t>
  </si>
  <si>
    <t>sjetva travne smjese na zelenim površinama čestice</t>
  </si>
  <si>
    <t>REKAPITULACIJA:</t>
  </si>
  <si>
    <t>Obračun po m1 iskolčene trase.</t>
  </si>
  <si>
    <t>PRIPREMNI RADOVI UKUPNO:</t>
  </si>
  <si>
    <t xml:space="preserve">Stavka uključuje nabavu i dopremu pijeska granulacije 4-8 mm, te sav potreban rad za izvedbu posteljice.
Obračun po m3. </t>
  </si>
  <si>
    <t xml:space="preserve">Stavka uključuje nabavu i dopremu pijeska granulacije 8-16 mm, te sav potreban rad. Obračun po m3. </t>
  </si>
  <si>
    <t>ZEMLJANI RADOVI UKUPNO:</t>
  </si>
  <si>
    <t>Predviđeno je 50% - tno razupiranje.</t>
  </si>
  <si>
    <t xml:space="preserve">Stvarnu količinu razupiranja odrediti će nadzorni inženjer prema stvarnim prilikama na terenu. Obračun po m2. </t>
  </si>
  <si>
    <t>TESARSKI RADOVI UKUPNO:</t>
  </si>
  <si>
    <t>Na dnu okna potrebno je betonom klase C12/15 izraditi beton u padu od 1% prema otvoru.</t>
  </si>
  <si>
    <t>Unutarnje površine zidova i dna  okna ožbukati  cementnim mortom  omjera smjese 1:2, upotrebom čistog prosijanog pijeska bez organskih primjesa s dodatkom sredstva za postizanje vodonepropusnosti prema odredbi nadzornog inženjera, uključivo nabavu i dopremu sveg potrebnog materijala, čišćenje i močenje zidova i dna, popunjavanje rupa eventualno zaostalih nakon betoniranja, izradu morta, donos na mjesto žbukanja, dodavanje i nabacivanje te zaglađivanje uz posipanje cementom, ali ne do crnog sjaja.</t>
  </si>
  <si>
    <t>U okno se ugrađuju čelične penjalice na međusobnom razmaku od 30 cm. Stavka uključuje nabavu, dopremu bušenje rupa za ugrađivanje, potrebni cementni mort omjera smjese 1:2, pripremu i donos morta, učvršćivanje stupaljki te nabavu i dopremu sveg potrebnog materijala.</t>
  </si>
  <si>
    <t>Okno je predviđeno obostrano armirati s mrežama B500B, Q335.</t>
  </si>
  <si>
    <t xml:space="preserve">Obračun po komadu. </t>
  </si>
  <si>
    <t>Na dnu revizijskog okna potrebno je betonom klase C16/20 izraditi kinetu u skladu s veličinom i profilom kanala priključenim na revizijsko okno.</t>
  </si>
  <si>
    <t>Unutarnje površine zidova i dna revizijskog okna ožbukati  cementnim mortom  omjera smjese 1:2, upotrebom čistog prosijanog pijeska bez organskih primjesa s dodatkom sredstva za postizanje vodonepropusnosti prema odredbi nadzornog inženjera, uključivo nabavu i dopremu sveg potrebnog materijala, čišćenje i močenje zidova i dna, popunjavanje rupa eventualno zaostalih nakon betoniranja, izradu morta, donos na mjesto žbukanja, dodavanje i nabacivanje te zaglađivanje uz posipanje cementom, ali ne do crnog sjaja.</t>
  </si>
  <si>
    <t>U okno se ugrađuju penjalice od rebrastog željeza na međusobnom razmaku od 30 cm. Stavka uključuje nabavu, dopremu bušenje rupa za ugrađivanje, potrebni cementni mort omjera smjese 1:2, pripremu i donos morta, učvršćivanje penjalica te nabavu i dopremu sveg potrebnog materijala.</t>
  </si>
  <si>
    <t>Na ulazu okna se ugrađuje ljevano željezni poklopac  veličine 60x60 cm, nosivosti 25 t. Stavka uključuje nabavu, dopremu, ugradnju poklopaca uključivo podložni sloj cementnog morta omjera smjese 1:2, pripremu i dopremu morta.</t>
  </si>
  <si>
    <t>Stavka uključuje nabavu i dopremu sveg potrebnog materijala, pripremu, dovoz i ugradnju betonske smjese, zbijanje pervibratorima, zaštitu betona poslije ugradnje od utjecaja atmosfere, te održavanje betona vlažnim za vrijeme procesa vezivanja.</t>
  </si>
  <si>
    <t>BETONSKI I ARMIRANO BETONSKI RADOVI UKUPNO:</t>
  </si>
  <si>
    <t>UKC d160</t>
  </si>
  <si>
    <t>UKC d200</t>
  </si>
  <si>
    <t>d160/L=240 mm</t>
  </si>
  <si>
    <t>d200/L=240 mm</t>
  </si>
  <si>
    <t>VANJSKA INSTALACIJA VODOVODA</t>
  </si>
  <si>
    <t>Stavka uključuje nabavu, dopremu i ugradnju elektro spojnica.</t>
  </si>
  <si>
    <t>no 50 / d63</t>
  </si>
  <si>
    <t xml:space="preserve">Ispitivanje cjevovoda na tlak vodom s izdavanjem atesta o vodonepropusnosti. Punjenje cjevovoda vodom, tlačenje sa uporabom tlačne pumpe, trajanje tlačne probe sa preuzimanjem te pražnjenje cjevovoda nakon dovršene tlačne probe. Uključivo izrada potrebnih uporišta, cjelokupna privremena ugradnja i deugradnja radi ispitivanja cjevovoda, sa svim utrošenim spojnim materijalom i svi potrebni prijenosi. Obračun po m1. </t>
  </si>
  <si>
    <t xml:space="preserve">Ispiranje i dezinfekcija cjevovoda . Obračun po m1. </t>
  </si>
  <si>
    <t>VANJSKA INSTALACIJA VODOVODA UKUPNO:</t>
  </si>
  <si>
    <t xml:space="preserve">INSTALACIJE FEKALNE I SANITARNE ODVODNJE </t>
  </si>
  <si>
    <t>d50</t>
  </si>
  <si>
    <t>d110</t>
  </si>
  <si>
    <t>PP d110</t>
  </si>
  <si>
    <t>PP d75</t>
  </si>
  <si>
    <t>d75</t>
  </si>
  <si>
    <t>jedan ulaz d40/50 i jedan izlaz d50</t>
  </si>
  <si>
    <t>INSTALACIJE FEKALNE I SANITARNE ODVODNJE UKUPNO:</t>
  </si>
  <si>
    <t>INSTALACIJE OBORINSKE ODVODNJE</t>
  </si>
  <si>
    <t>INSTALACIJE OBORINSKE ODVODNJE UKUPNO:</t>
  </si>
  <si>
    <t>UNUTARNJA INSTALACIJA VODOVODA</t>
  </si>
  <si>
    <t>dn 15 (d20)</t>
  </si>
  <si>
    <t>dn 20 (d25)</t>
  </si>
  <si>
    <t>dn 25 (d32)</t>
  </si>
  <si>
    <t>dn 32 (d40)</t>
  </si>
  <si>
    <t>dn 40 (d50)</t>
  </si>
  <si>
    <t>UNUTARNJA INSTALACIJA VODOVODA UKUPNO:</t>
  </si>
  <si>
    <t>UNUTARNJA HIDRANTSKA MREŽA</t>
  </si>
  <si>
    <t>NO 50 (R 2”)</t>
  </si>
  <si>
    <t>b) tlačna cijev Ø52 dužine 15 m sa spojnicama - kom 1</t>
  </si>
  <si>
    <t>c) kutni ventil 2'' sa stabilnom spojnicom - kom 1</t>
  </si>
  <si>
    <t>d) okretni nastavak 2'' - kom 1</t>
  </si>
  <si>
    <t>e) mlaznica Ø52 - kom 1</t>
  </si>
  <si>
    <t>UNUTARNJA HIDRANTSKA MREŽA UKUPNO:</t>
  </si>
  <si>
    <t>SANITARNI ELEMENTI</t>
  </si>
  <si>
    <t xml:space="preserve">Obračun se vrši po kompletu i komadu montirane elementa, tlačne mješalice i opreme, sa spojevima dovoda i odvoda i ostalim spojevima, uključivši sav potreban materijal za montažu i spojno-brtveni materijal, sve do pune funkcionalnosti. U stavci obračunati sva potrebna štemanja i krpanja. </t>
  </si>
  <si>
    <t>tlačna mješalica</t>
  </si>
  <si>
    <t>držač posude i posuda za sapun</t>
  </si>
  <si>
    <t>kanta za smeće</t>
  </si>
  <si>
    <t>držač toaletnih listića</t>
  </si>
  <si>
    <t xml:space="preserve">Obračun se vrši po kompletu i komadu montiranog umivaonika, tlačne mješalice i opreme, sa spojevima dovoda i odvoda i ostalim spojevima, uključivši sav potreban materijal za montažu i spojno-brtveni materijal, sve do pune funkcionalnosti. U stavci obračunati sva potrebna štemanja i krpanja. </t>
  </si>
  <si>
    <t>invalidska tlačna mješalica</t>
  </si>
  <si>
    <t>nagnuto zidno ogledalo 70 x 90 cm</t>
  </si>
  <si>
    <t>zidni nosač s WC četkom i držač toalet papira</t>
  </si>
  <si>
    <t>preklopni rukohvat</t>
  </si>
  <si>
    <t>fiksni rukohvat</t>
  </si>
  <si>
    <t>zidna vješalica</t>
  </si>
  <si>
    <t xml:space="preserve">Obračun se vrši po komadu kompletno montirane pisoara, instalacijskog elementa  i opreme, sa spojevima dovoda i odvoda i ostalim spojevima, uključivši sav potreban materijal za montažu i spojno-brtveni materijal, sve do pune funkcionalnosti. U stavci obračunati sva potrebna štemanja i krpanja. </t>
  </si>
  <si>
    <t xml:space="preserve">Obračun se vrši po kompletu i komadu montirane tuš kade i opreme, uključuje odljevnu garnituru, dovod hladne i tople vode f1/2'', sa spojevima dovoda i odvoda i ostalim spojevima, uključivši sav potreban materijal za montažu i spojno-brtveni materijal, sve do pune funkcionalnosti. U stavci obračunati sva potrebna štemanja i krpanja. </t>
  </si>
  <si>
    <t>tuš kada dimenzija 90 x 90 cm sa sifonom</t>
  </si>
  <si>
    <t>armatura tuš kade</t>
  </si>
  <si>
    <t>tuš zavjesa</t>
  </si>
  <si>
    <t>držač za sapun</t>
  </si>
  <si>
    <t>mješalica</t>
  </si>
  <si>
    <t>SANITARNI ELEMENTI UKUPNO:</t>
  </si>
  <si>
    <t>INSTALACIJA OBORINSKE ODVODNJE</t>
  </si>
  <si>
    <t>A.1.</t>
  </si>
  <si>
    <t>A.1.1.</t>
  </si>
  <si>
    <t>A.1.2.</t>
  </si>
  <si>
    <t>A.1.3.</t>
  </si>
  <si>
    <t>A.2.</t>
  </si>
  <si>
    <t>A.2.1.</t>
  </si>
  <si>
    <t>A.3.</t>
  </si>
  <si>
    <t>A.3.1.</t>
  </si>
  <si>
    <t>A.3.2.</t>
  </si>
  <si>
    <t>A.3.3.</t>
  </si>
  <si>
    <t>A.3.4.</t>
  </si>
  <si>
    <t>A.3.5.</t>
  </si>
  <si>
    <t>A.3.6.</t>
  </si>
  <si>
    <t>A.3.7.</t>
  </si>
  <si>
    <t>A.3.8.</t>
  </si>
  <si>
    <t>A.4.</t>
  </si>
  <si>
    <t>A.4.1.</t>
  </si>
  <si>
    <t>A.5.</t>
  </si>
  <si>
    <t>A.5.1.</t>
  </si>
  <si>
    <t>A.5.2.</t>
  </si>
  <si>
    <t>A.5.3.</t>
  </si>
  <si>
    <t>A.5.4.</t>
  </si>
  <si>
    <t>A.6.</t>
  </si>
  <si>
    <t>A.6.1.</t>
  </si>
  <si>
    <t>B.1.1.</t>
  </si>
  <si>
    <t>B.1.2.</t>
  </si>
  <si>
    <t>B.1.3.</t>
  </si>
  <si>
    <t>B.1.4.</t>
  </si>
  <si>
    <t>B.1.5.</t>
  </si>
  <si>
    <t>B.1.6.</t>
  </si>
  <si>
    <t>B.1.7.</t>
  </si>
  <si>
    <t>B.1.</t>
  </si>
  <si>
    <t>OSTALO</t>
  </si>
  <si>
    <t>A.7.</t>
  </si>
  <si>
    <t>A.8.</t>
  </si>
  <si>
    <t>A.9.</t>
  </si>
  <si>
    <t>A.10.</t>
  </si>
  <si>
    <t>k)</t>
  </si>
  <si>
    <t>l)</t>
  </si>
  <si>
    <t>m)</t>
  </si>
  <si>
    <t>n)</t>
  </si>
  <si>
    <t>o)</t>
  </si>
  <si>
    <t>VAŽNE NAPOMENE UZ TROŠKOVNIK:</t>
  </si>
  <si>
    <t>Za pojedine elemente dani su normativi važeči na dan pisanja ovog troškovnika. U slučaju da isti u razdoblju do početka realizacije ovih radova ili u njihovom tijeku budu izmijenjeni, primjenjuju se normativi važeći u vrijeme izvođenja radova.</t>
  </si>
  <si>
    <t>Sav ugrađeni materijal treba odgovarati uvjetima iz opisa troškovnika i nacrta, te odgovarajućim Hrvatskim normama ili tehničkim uvjetima za izvođenje istih radova, a ukoliko se to posebno traži opisom i drugim propisima.</t>
  </si>
  <si>
    <t>Izvođač treba kvalitetu ugrađenih materijala i stručnosti radnika dokazati odgovarajućim atestima i uvjerenjima izdanim od strane za to ovlaštene organizacije i to uračunati u cijenu pojedinih stavaka.</t>
  </si>
  <si>
    <t>Trošak pribavljanja sve atestne dokumentacije uključiti u cijenu  nuđenih stavaka, jer se posebni troškovi neće priznati.</t>
  </si>
  <si>
    <t xml:space="preserve">Gradir d.o.o., Damir Petric, dipl. ing. arh. </t>
  </si>
  <si>
    <t xml:space="preserve">Gradir d.o.o., Milan Petric, dipl. ing. građ., Damir Petric, dipl. ing. arh. </t>
  </si>
  <si>
    <t>SADRŽAJ TROŠKOVNIKA:</t>
  </si>
  <si>
    <t xml:space="preserve">Čiščenje zelenih površina nakon završetka svih radova, a prije izvođenja radova krajobraznog uređenja.   
Stavka obuhvaća čišćenje zelenih  površina od otpada i zaostalog građevinskog materijala, utovar na kamion, odvoz i zbrinjavanje nastalog otpada na propisanu gradsku deponiju.
</t>
  </si>
  <si>
    <t xml:space="preserve">Nakon sjetve i sadnje izvođač je dužan njegovati travnjak i sadnice do primopredaje krajnjem korisniku:
- redovito zalijevanje u sušno doba
- okopavanje i plijevljenje te zamjenska sadnja ukoliko se biljka posušila
- fitosanitetska zaštita tijekom jedogodišnjeg razdoblja nakon sadnje 
- izvođač je dužan na vlastiti trošak ispraviti loše izvedene radove
</t>
  </si>
  <si>
    <t>obračun po kompletu</t>
  </si>
  <si>
    <t>Imena proizvođača određenih materijala i dijelova konstrukcije koja su navedena u troškovniku NE OBAVEZUJU ponuđača da iste i nudi, već je potrebno ponuditi materijale i dijelove konstrukcije jednakovrijedne (jednakih svojstava i tehničkih karakteristika) kao što su imenovani u troškovniku.
Kriteriji mjerodavni za ocjenu jednakovrijednosti navedeni su u tehničkim specifikacijama u opisu troškovničke stavke. Dokaz jednakovrijednosti mora podnijeti ponuditelj.
Proizvodi koji su u dokumentaciji za nadmetanje navedeni kao primjer smatraju se ponuđenima ako ponuditelj ne navede nikakve druge proizvode na za to predviđenom mjestu troškovnika predmeta nabave.</t>
  </si>
  <si>
    <t>VAŽNA NAPOMENA UZ TROŠKOVNIKE (odnosi se na sve troškovnike):
IMENA PROIZVOĐAČA OPREME, ODREĐENIH MATERIJALA I DIJELOVA KONSTRUKCIJE KOJA SU NAVEDENA U TROŠKOVNIKU NE OBVEZUJU PONUĐAČA DA ISTE I NUDI, VEĆ JE POTREBNO PONUDITI OPREMU, MATERIJALE I DIJELOVE KONSTRUKCIJE JEDNAKOVRIJEDNE (JEDNAKIH SVOJSTAVA I TEHNIČKIH KARAKTERISTIKA) KAO ŠTO SU IMENOVANI U TROŠKOVNIKU. 
Kriteriji mjerodavni za ocjenu jednakovrijednosti navedeni su u tehničkim specifikacijama u opisu troškovničke stavke. Dokaz jednakovrijednosti mora podnijeti ponuditelj.
Proizvodi koji su u dokumentaciji za nadmetanje navedeni kao primjer smatraju se ponuđenima ako ponuditelj ne navede nikakve druge proizvode na za to predviđenom mjestu troškovnika predmeta nabave.</t>
  </si>
  <si>
    <t>Glavni projektant:</t>
  </si>
  <si>
    <t>Ponuđena cijena je konačna cijena za realizaciju pojedine troškovničke stavka te obuhvaća i sve radnje koje u stavci nisu posebno navedene, a nužne su za izvedbu pojedine stavke do potpune funkcionalne i uporabne gotovosti.</t>
  </si>
  <si>
    <t>7.1.</t>
  </si>
  <si>
    <t>A.1.4.</t>
  </si>
  <si>
    <t>A.1.5.</t>
  </si>
  <si>
    <t>A.1.6.</t>
  </si>
  <si>
    <t>A.1.7.</t>
  </si>
  <si>
    <t>A.1.8.</t>
  </si>
  <si>
    <t>A.1.9.</t>
  </si>
  <si>
    <t>A.1.10.</t>
  </si>
  <si>
    <t>A.1.11.</t>
  </si>
  <si>
    <t>A.3.9.</t>
  </si>
  <si>
    <t>B.1.8.</t>
  </si>
  <si>
    <t>B.1.9.</t>
  </si>
  <si>
    <t>B.1.10.</t>
  </si>
  <si>
    <t>B.2.</t>
  </si>
  <si>
    <t>B.2.1.</t>
  </si>
  <si>
    <t>B.2.2.</t>
  </si>
  <si>
    <t>B.2.3.</t>
  </si>
  <si>
    <t>B.2.4.</t>
  </si>
  <si>
    <t>B.2.5.</t>
  </si>
  <si>
    <t>B.2.6.</t>
  </si>
  <si>
    <t>B.2.7.</t>
  </si>
  <si>
    <t>B.3.</t>
  </si>
  <si>
    <t>B.3.1.</t>
  </si>
  <si>
    <t>B.3.2.</t>
  </si>
  <si>
    <t>B.3.3.</t>
  </si>
  <si>
    <t>B.3.4.</t>
  </si>
  <si>
    <t>B.3.5.</t>
  </si>
  <si>
    <t>B.3.6.</t>
  </si>
  <si>
    <t>B.4.</t>
  </si>
  <si>
    <t>B.4.1.</t>
  </si>
  <si>
    <t>B.4.2.</t>
  </si>
  <si>
    <t>B.4.3.</t>
  </si>
  <si>
    <t>B.4.4.</t>
  </si>
  <si>
    <t>B.4.5.</t>
  </si>
  <si>
    <t>1.1.</t>
  </si>
  <si>
    <t>2.1.</t>
  </si>
  <si>
    <t>2.2.</t>
  </si>
  <si>
    <t>2.3.</t>
  </si>
  <si>
    <t>2.4.</t>
  </si>
  <si>
    <t>2.5.</t>
  </si>
  <si>
    <t>2.6.</t>
  </si>
  <si>
    <t>3.1.</t>
  </si>
  <si>
    <t>4.1.</t>
  </si>
  <si>
    <t>4.2.</t>
  </si>
  <si>
    <t>4.3.</t>
  </si>
  <si>
    <t>5.1.</t>
  </si>
  <si>
    <t>5.2.</t>
  </si>
  <si>
    <t>5.3.</t>
  </si>
  <si>
    <t>5.4.</t>
  </si>
  <si>
    <t>5.5.</t>
  </si>
  <si>
    <t>6.1.</t>
  </si>
  <si>
    <t>6.2.</t>
  </si>
  <si>
    <t>6.3.</t>
  </si>
  <si>
    <t>6.4.</t>
  </si>
  <si>
    <t>6.5.</t>
  </si>
  <si>
    <t>6.6.</t>
  </si>
  <si>
    <t>7.2.</t>
  </si>
  <si>
    <t>7.3.</t>
  </si>
  <si>
    <t>7.4.</t>
  </si>
  <si>
    <t>7.5.</t>
  </si>
  <si>
    <t>7.6.</t>
  </si>
  <si>
    <t>7.7.</t>
  </si>
  <si>
    <t>7.8.</t>
  </si>
  <si>
    <t>8.1.</t>
  </si>
  <si>
    <t>8.2.</t>
  </si>
  <si>
    <t>8.3.</t>
  </si>
  <si>
    <t>8.4.</t>
  </si>
  <si>
    <t>9.1.</t>
  </si>
  <si>
    <t>9.2.</t>
  </si>
  <si>
    <t>9.3.</t>
  </si>
  <si>
    <t>9.4.</t>
  </si>
  <si>
    <t>10.1.</t>
  </si>
  <si>
    <t>10.2.</t>
  </si>
  <si>
    <t>10.3.</t>
  </si>
  <si>
    <t>11.1.</t>
  </si>
  <si>
    <t>11.2.</t>
  </si>
  <si>
    <t>11.3.</t>
  </si>
  <si>
    <t>12.1.</t>
  </si>
  <si>
    <t>PRIPREMNI RADOVI UKUPNO</t>
  </si>
  <si>
    <t>ZEMLJANI RADOVI UKUPNO</t>
  </si>
  <si>
    <t>RADOVI S BILJNIM MATERIJALOM UKUPNO</t>
  </si>
  <si>
    <t>A.3.10.</t>
  </si>
  <si>
    <t>A.3.11.</t>
  </si>
  <si>
    <t>A.3.12.</t>
  </si>
  <si>
    <t>A.3.13.</t>
  </si>
  <si>
    <t>A.4.2.</t>
  </si>
  <si>
    <t>A.4.3.</t>
  </si>
  <si>
    <t>A.4.4.</t>
  </si>
  <si>
    <t>B.5.</t>
  </si>
  <si>
    <t>B.5.1.</t>
  </si>
  <si>
    <t>B.5.3.</t>
  </si>
  <si>
    <t>B.6.</t>
  </si>
  <si>
    <t>B.7.</t>
  </si>
  <si>
    <t>B.7.1.</t>
  </si>
  <si>
    <t>B.7.2.</t>
  </si>
  <si>
    <t>B.7.3.</t>
  </si>
  <si>
    <t>B.7.4.</t>
  </si>
  <si>
    <t>B.7.5.</t>
  </si>
  <si>
    <t>B.9.</t>
  </si>
  <si>
    <t>B.9.1.</t>
  </si>
  <si>
    <t>B.10.</t>
  </si>
  <si>
    <t>B.10.1.</t>
  </si>
  <si>
    <t>B.10.2.</t>
  </si>
  <si>
    <t>B.10.3.</t>
  </si>
  <si>
    <t>B.11.</t>
  </si>
  <si>
    <t>B.11.1.</t>
  </si>
  <si>
    <t>B.11.2.</t>
  </si>
  <si>
    <t>B.11.3.</t>
  </si>
  <si>
    <t>B.11.4.</t>
  </si>
  <si>
    <t>B.11.5.</t>
  </si>
  <si>
    <t>B.11.6.</t>
  </si>
  <si>
    <t>B.11.7.</t>
  </si>
  <si>
    <t>B.11.8.</t>
  </si>
  <si>
    <t>B.12.</t>
  </si>
  <si>
    <t>B.12.1.</t>
  </si>
  <si>
    <t>B.12.2.</t>
  </si>
  <si>
    <t>B.12.3.</t>
  </si>
  <si>
    <t>B.12.4.</t>
  </si>
  <si>
    <t>B.12.5.</t>
  </si>
  <si>
    <t>B.12.6.</t>
  </si>
  <si>
    <t>B.12.7.</t>
  </si>
  <si>
    <t>sat, h</t>
  </si>
  <si>
    <t xml:space="preserve">U stavci je uračunat sav potreban rad i materijal za ugradnju prema preporuci proizvođača. Obračun po kompletu. </t>
  </si>
  <si>
    <t xml:space="preserve">Okov izgleda prema odabiru projektanta.
</t>
  </si>
  <si>
    <r>
      <t>Tehničke karakteristike:</t>
    </r>
    <r>
      <rPr>
        <sz val="10"/>
        <color indexed="8"/>
        <rFont val="Calibri"/>
        <family val="2"/>
      </rPr>
      <t xml:space="preserve">
- za razinu prometa (dnevno) 1500-5000
- ukupna težina: 5,0 kg/m2
- vitičasto omčaste strukture, ˝špageti˝, ukupne visine: cca 16 mm.
 </t>
    </r>
  </si>
  <si>
    <t>OPĆI UVJETI GRAĐENJA</t>
  </si>
  <si>
    <t>IZGRADNJA GRAĐEVINE</t>
  </si>
  <si>
    <t>Ove opće napomene odnose se na sve vrste radova.</t>
  </si>
  <si>
    <t>Nacrti, tehnički opis i troškovnik čine cjelinu projekta. Izvođač je dužan proučiti sve navedene dijelove projekta, te u</t>
  </si>
  <si>
    <t>Zakona o gradnji,</t>
  </si>
  <si>
    <t>Zakona o prostornom uređenju,</t>
  </si>
  <si>
    <t>Zakona o građevnim proizvodima,</t>
  </si>
  <si>
    <t>Uredbe i odluke EU</t>
  </si>
  <si>
    <r>
      <t xml:space="preserve">pravilima dobrog zanata. Na gradilištu Izvođač radova, u skladu sa Zakonom o gradnji mora imati </t>
    </r>
    <r>
      <rPr>
        <b/>
        <sz val="9"/>
        <rFont val="Arial CE"/>
        <charset val="238"/>
      </rPr>
      <t xml:space="preserve">Glavnog inženjera </t>
    </r>
  </si>
  <si>
    <t>višu radnju, koja bi povećala ukupne troškove predviđene za izgradnju po ovom troškovniku, potrebna pisana</t>
  </si>
  <si>
    <t>suglasnost investitora. U građevinsku knjigu bilježe se i dokumentiraju mjerenja i kalkulacije svih faza izvršenih</t>
  </si>
  <si>
    <t>radova i ostali podaci bitni za obračune prema stavkama troškovnika i projektu.</t>
  </si>
  <si>
    <t xml:space="preserve">takvog posla preuzeti i ovjeriti nadzorni inženjer. Nadzorni inženjer i predstavnik Izvođača radova upisivat će u </t>
  </si>
  <si>
    <t>Građevnu knjigu količine pojedinih takvih radova, sa svim potrebnim skicama i izmjerom, te će svojim potpisima</t>
  </si>
  <si>
    <t>obračuna radova. Izvođač je dužan na gradilištu čuvati Građevinsku dozvolu, Glavni i Izvedbeni projekt i dati ih po</t>
  </si>
  <si>
    <t xml:space="preserve">potrebi na uvid ovlaštenim inspekcijskim službama. Izvođač je dužan voditi građevinsku knjigu, i ako su radovi </t>
  </si>
  <si>
    <t xml:space="preserve">dijelova, odluku o tome donosit će sporazumno Projektant i Nadzorni inženjer (kao predstavnik Investitora) i </t>
  </si>
  <si>
    <t>predstavnik Izvođača radova, a tu svoju odluku unijeti će u Građevinski dnevnik. Sve izmjene ili dopune projekta</t>
  </si>
  <si>
    <t xml:space="preserve">ili njegovih dijelova, za koje se po Građevinskom dnevniku ne može dokazati da su uslijedile po opisanom postupku, </t>
  </si>
  <si>
    <t>odobriti i potpisati Projektant. Svaka izmjena bez suglasnosti Projektanta neće se smatrati pravovaljanom i za sobom</t>
  </si>
  <si>
    <t>povlači narušavanje autorskog djela Projektanta.</t>
  </si>
  <si>
    <t xml:space="preserve">opremu, materijal, prijevoz, režiju gradilišta i poduzeća, puteve na gradilištu, sva davanja i dobitak poduzeća. Stavke </t>
  </si>
  <si>
    <t>sav materijal fco radilište (A)</t>
  </si>
  <si>
    <t>Sav rad i materijal vezan za organizaciju građevinske proizvodnje: ograde, vrata gradilišta, putevi na gradilištu,</t>
  </si>
  <si>
    <t>prilazi do gradilišta s lokalnih prometnica, privremena regulacija prometa, uredi, blagovaonice, svlačionice,</t>
  </si>
  <si>
    <t>sanitarije gradilišta, spremišta materijala i alata, telefonski, električni, vodovodni i sl. priključci gradilišta kao i</t>
  </si>
  <si>
    <t>cijena priključaka uključeni su u ugovorenu sumu.</t>
  </si>
  <si>
    <t>potrebnim. U stavkama su uračunati i sporedni radovi potrebni za ispravno dovršenje pojedinih radova, a sve na</t>
  </si>
  <si>
    <t>osnovi norma, propisa, priznatih pravila tehničke nauke i prakse. Tako su u stavkama obračunata gradiva, troškovi</t>
  </si>
  <si>
    <t>materijal potreban za izvođenje radova, osiguranje odvijanja prometa, njega betona i ostalih dijelova konstrukcije,</t>
  </si>
  <si>
    <t>što je posredno i neposredno potrebno za kvalitetno izvođenje radova po ovom projektu.</t>
  </si>
  <si>
    <t>Ovisno vrsti radova sastavni dio jediničnih cijena su i: donošenje na uvid i izrada oglednih primjeraka, izrada</t>
  </si>
  <si>
    <t>tražene izvedbene i radioničke dokumentacije, te nacrti polaganja pojedinih elemenata.</t>
  </si>
  <si>
    <t>Svi materijali i složeni sustavi moraju se izvesti u skladi s tehničkim listovima (uputi ili slično) izvođača, te ukoliko</t>
  </si>
  <si>
    <t>je potrebno konzultirati tehnologa za određeni sustav. Izvođač je dužan složeni sustav (kao npr. pod, spušteni</t>
  </si>
  <si>
    <t>strop, krov,  fasadu i sl.) izvesti sa svim potrebnim slojevima prema tehničkim listovina izvođača sustava, bez</t>
  </si>
  <si>
    <t xml:space="preserve">obzira dali su u troškovniku specificirani svi potrebni slojevi. Izostanak bilo kojeg potrebnog sloja složenih </t>
  </si>
  <si>
    <t>sustava smatrat će se greškom u izvođenju, a cijenu popravka u cijelosti snosi izvođač.</t>
  </si>
  <si>
    <t xml:space="preserve">konstrukcije. Skele za pojedinačne radove se ne obračunavaju posebno, već su sadržane u jediničnim cijenama </t>
  </si>
  <si>
    <t>ostalih radova. Posebno se obračunava samo glavna fasadna skela.</t>
  </si>
  <si>
    <t xml:space="preserve">Sastavni dio jediničnih cijena za pojedine radove su: razne priručne skele, poduporne konstrukcije, razupore </t>
  </si>
  <si>
    <t>kanala i raznih elemenata, pristupne rampe i sve pomoćne oplate koje proizlaze iz tehnologije građenja, a nisu</t>
  </si>
  <si>
    <t xml:space="preserve">sastavni dio konstrukcije. Ovisno o vremenskim utjecajima (vrućina, zima, kiša, vjetar i sl.) izvođač je dužan </t>
  </si>
  <si>
    <t>zaštititi konstrukciju od oštećenja. Ako dođe do oštećenja građevine ili pojedinog elementa izvođač se obvezan</t>
  </si>
  <si>
    <t>sve popravke izvesti o svom trošku.</t>
  </si>
  <si>
    <t>Također je dužan u okviru ugovorene cijene postaviti nanosnu skelu u skladu s izvedbenim projektom i projektom</t>
  </si>
  <si>
    <t>iskolčenja građevine, te je obvezan održavati iskolčene oznake na terenu od početka do završetka gradnje.</t>
  </si>
  <si>
    <t>Jediničnim cijenama obuhvaćeni su troškovi svih prethodnih i tekućih ispitivanja kako osnovnih materijala, tako i</t>
  </si>
  <si>
    <t xml:space="preserve">O ispitivanjima i pregledima vodi se posebna evidencija. Ako Izvođač smatra da pojedinim prethodno navedenim </t>
  </si>
  <si>
    <t>zahtjevima dolazi do štetnih posljedica po stabilnost ili trajnost građevine ili su oni u protivnosti s ostalim podacima</t>
  </si>
  <si>
    <t>iskazanim u projektu, dužan je na iste upozoriti i zatražiti odluku u svezi s tim.</t>
  </si>
  <si>
    <t xml:space="preserve">Izvođač je dužan u okviru ugovorene cijene, ugraditi propisani adekvatan i prema Hrvatskim normama atestiran </t>
  </si>
  <si>
    <t>kod izrade konstrukcije, prema projektnom planu ispitivanja materijala, kontrolirati ugrađeni konstruktivni materijal.</t>
  </si>
  <si>
    <t>Također je obvezan izraditi Plan kvalitete izvedbe betonske konstrukcije tzv. 'Projekt betona'.</t>
  </si>
  <si>
    <t>potvrda o sukladnosti (certifikat) kojom se potvrđuje sukladnost opreme sa zahtijevanim standardima,</t>
  </si>
  <si>
    <t>Tehničke specifikacije moraju biti određene u suglasju sa Zakonom o javnoj nabavi, a sastavni dio</t>
  </si>
  <si>
    <t>europska norma,</t>
  </si>
  <si>
    <t>europska tehnička odobrenja,</t>
  </si>
  <si>
    <t>nacionalna tehnička odobrenja</t>
  </si>
  <si>
    <t xml:space="preserve">priložiti ateste za kompletne instalacijske sustave, te u okviru ugovorene cijene iskolčiti trase instalacija prije </t>
  </si>
  <si>
    <t>izvođenja istih.</t>
  </si>
  <si>
    <t>Izvođač je dužan u okviru ugovorene cijene koordinirati radove svih kooperanata, tako da omogući kontinuirano</t>
  </si>
  <si>
    <t>odvijanje posla i zaštitu već izvedenih radova. Sva oštećenja nastala u tijeku gradnje otklonit će Izvođač o svom</t>
  </si>
  <si>
    <t xml:space="preserve">Izvođač je dužan u suradnji s nadzornim inženjerom Investitora izraditi vremenski plan (gantogram) aktivnosti na </t>
  </si>
  <si>
    <t>gradilištu i njime odrediti: dinamiku izvođenja, dobave materijala, financiranja, uključivanja pojedinih kooperanata,</t>
  </si>
  <si>
    <t>građevine, s popisom nedostataka i definiranim vremenskim periodom za njihovo otklanjanje, te ga potpisuju.</t>
  </si>
  <si>
    <t>instrumente garancije prema zakonskom roku, te u pisanom obliku izvršiti predaju građevine Investitoru na korištenje.</t>
  </si>
  <si>
    <t>Prijenos i transport</t>
  </si>
  <si>
    <t>Prijenos materijala vrši se horizontalno, po kosini (do 30%) i vertikalno. Za svaki radni proces treba unaprijed odrediti</t>
  </si>
  <si>
    <t xml:space="preserve">vrstu horizontalnog i vertikalnog transporta. Uz vrstu transporta treba definirati i vrstu utovara / istovara. </t>
  </si>
  <si>
    <t xml:space="preserve">Izbor transportnih sredstava i način transporta ovisi o vrsti i količini materijala, način utovara i istovara, duljine </t>
  </si>
  <si>
    <t>GRAĐEVINSKO OBRTNIČKI RADOVI</t>
  </si>
  <si>
    <t>Zakon o zaštiti na radu (NN 71/14, NN 118/14 i NN 154/14)</t>
  </si>
  <si>
    <t>Pravilnik o građevnom otpadu i otpadu koji sadrži azbest (NN 69/16),</t>
  </si>
  <si>
    <t>Prije rušenja mora se radno područje ograditi zaštitnom ogradom ili osigurati na odgovarajući način, ovisno o načinu</t>
  </si>
  <si>
    <t>rušenja. Zaštita mora trajati do završetka radova na uklanjanju građevine.</t>
  </si>
  <si>
    <t xml:space="preserve">Pregledom cesta  i utvrđivanjem njihove nosivosti mora se odrediti transportni put do odlagališta građevinskog </t>
  </si>
  <si>
    <t>otpada.</t>
  </si>
  <si>
    <t xml:space="preserve">Demontirane grede, nosači i drugi teški ili glomazni dijelovi konstrukcije smiju se s građevine uklanjati odnosno </t>
  </si>
  <si>
    <t>spuštati samo uz pomoć dizalica određenih nosivosti.</t>
  </si>
  <si>
    <t>Građevinska šuta mora se polijevati tijekom rušenja i utovara, da se okoliš osigura od onečišćenja.</t>
  </si>
  <si>
    <t>Ako se rušenje građevine obavlja pomoću strojeva isti mora biti udaljen najmanje 1.5 visine građevine koja se ruši.</t>
  </si>
  <si>
    <t>Nakon rušenja zgrade gradilište mora biti očišćeno od građevinskog materijala i smeća.</t>
  </si>
  <si>
    <t>Rad se obračunava po metru kubnom, metru kvadratnom, komadu i izvršenom radu, sve kao je specificirano u</t>
  </si>
  <si>
    <t>pojedinoj stavci.</t>
  </si>
  <si>
    <t>POSTOJEĆE INSTALACIJE</t>
  </si>
  <si>
    <t xml:space="preserve">Prije početka rušenja izvođač mora naručiti od ovlaštenih komunalnih organizacija otpajanje i umrtvljivanje </t>
  </si>
  <si>
    <t>postojećih priključaka struje, telefona, vode, kanalizacije i drugih instalacija ako postoje.</t>
  </si>
  <si>
    <t xml:space="preserve">Otpajanje i umrtvljivanje instalacija obavezno izvodi ovlaštena komunalna organizacija, koja će o tome napisati zapisnik. </t>
  </si>
  <si>
    <t>Izvođač je dužan zapisnike predati investitoru kod obračuna radova.</t>
  </si>
  <si>
    <t>stabala, grana, čišćenje i sječenje šiblja, otkopavanje i vađenje panjeva i skidanje travnatih busena (humusni sloj) i</t>
  </si>
  <si>
    <t>Čišćenje terena sastoji se u vađenju šiblja, rušenju ograda, postojećih građevina i svih postrojenja koja bi ometala</t>
  </si>
  <si>
    <t>snimiti i uvesti u građevinsku knjigu. Iskop zemlje izvodit će se ručno i strojno. Van profilski iskop ide na teret izvođača,</t>
  </si>
  <si>
    <t>instalacijskih kanala, te za razna planiranja, a sve u skladu s projektom. Materijal koji se ugrađuje za nasipavanje treba</t>
  </si>
  <si>
    <r>
      <t xml:space="preserve">Norma EC8 ENV 1998-1-1 razlikuje </t>
    </r>
    <r>
      <rPr>
        <b/>
        <sz val="9"/>
        <rFont val="Arial CE"/>
        <charset val="238"/>
      </rPr>
      <t>tri</t>
    </r>
    <r>
      <rPr>
        <sz val="9"/>
        <rFont val="Arial CE"/>
        <family val="2"/>
        <charset val="238"/>
      </rPr>
      <t xml:space="preserve"> razreda tla:</t>
    </r>
  </si>
  <si>
    <t>Iskop zemlje za kanalske rovove izvesti s pravilnim odsijecanjem bočnih strana i dna jame.</t>
  </si>
  <si>
    <t>i urušavanje materijala s terena u iskop (rov, kanal ili jamu). Eventualno ako je potrebno izvršiti osiguranje susjednih</t>
  </si>
  <si>
    <t>Izvođač radova dužan je izvijestiti nadzornog organa o položaju takvih instalacija.</t>
  </si>
  <si>
    <t>Obračun iskopa: širina/dužina temelja + 50 cm radnog prostora + propisani nagib bočnih strana iskopa.</t>
  </si>
  <si>
    <t>Kut nagiba pokosa građevne jame (DIN 4124):</t>
  </si>
  <si>
    <r>
      <t>nevezano tlo: 45</t>
    </r>
    <r>
      <rPr>
        <vertAlign val="superscript"/>
        <sz val="9"/>
        <rFont val="Arial CE"/>
        <charset val="238"/>
      </rPr>
      <t>0</t>
    </r>
  </si>
  <si>
    <t>kategorija tla: C</t>
  </si>
  <si>
    <r>
      <t>čvrsto i polučvrsto tlo: 60</t>
    </r>
    <r>
      <rPr>
        <vertAlign val="superscript"/>
        <sz val="9"/>
        <rFont val="Arial CE"/>
        <charset val="238"/>
      </rPr>
      <t>0</t>
    </r>
  </si>
  <si>
    <t>kategorija tla: B</t>
  </si>
  <si>
    <r>
      <t>meka stijena: 80</t>
    </r>
    <r>
      <rPr>
        <vertAlign val="superscript"/>
        <sz val="9"/>
        <rFont val="Arial CE"/>
        <charset val="238"/>
      </rPr>
      <t>0</t>
    </r>
  </si>
  <si>
    <t>kategorija tla: A</t>
  </si>
  <si>
    <r>
      <t>čvrsta stijena: 90</t>
    </r>
    <r>
      <rPr>
        <vertAlign val="superscript"/>
        <sz val="9"/>
        <rFont val="Arial CE"/>
        <charset val="238"/>
      </rPr>
      <t>0</t>
    </r>
  </si>
  <si>
    <t>zahtijevati bilo kakvu dodatnu naknadu za taj rad.</t>
  </si>
  <si>
    <t>Svi ugrađeni materijali moraju biti u skladu sa smjernicama i zahtjevima iz normi koje su navedene u Tehničkom</t>
  </si>
  <si>
    <t>propisu o građevnim proizvodima, te drugim važećim normama za to područje.</t>
  </si>
  <si>
    <t>Oplate i razna podupiranja moraju imati takvu sigurnost i krutost da bez slijeganja i štetnih deformacija mogu primiti</t>
  </si>
  <si>
    <t>Elementi za skele i oplate moraju zadovoljavati mjerodavne hrvatske i europske norme za to područje.</t>
  </si>
  <si>
    <t xml:space="preserve">betonirati, sa svim potrebnim podupiračima. Unutarnje plohe oplate moraju biti ravne, bilo da su vodoravne, okomite ili </t>
  </si>
  <si>
    <t xml:space="preserve">materijali koji se ne bi mogli oprati s gotovog betona ili bi nakon pranja ostale mrlje na tim površinama. Oplatu za betonske </t>
  </si>
  <si>
    <t>konstrukcijama predviđeni otvori i udubine za prolaz vodovodne i kanalizacijske cijevi, cijevi centralnog grijanja i sl., kao i</t>
  </si>
  <si>
    <t xml:space="preserve">dimovodni i ventilacijski kanali i otvori, treba prije betoniranja izvesti otvore ili postaviti cijevi većeg profila, tako da se </t>
  </si>
  <si>
    <t>Pod skidanjem oplate podrazumijeva se odstranjivanje iste sa zidova ili konstrukcija, sa svim njenim elementima, te</t>
  </si>
  <si>
    <t>Svi opći uvjeti za materijal i osobine (karakteristike) konstrukcije za oplate vrijede i za skele.</t>
  </si>
  <si>
    <t>elemenata kod montaže.</t>
  </si>
  <si>
    <r>
      <t xml:space="preserve">Lake fasadne </t>
    </r>
    <r>
      <rPr>
        <sz val="9"/>
        <rFont val="Arial"/>
        <family val="2"/>
        <charset val="238"/>
      </rPr>
      <t>skele od metalnih cijevi grade se od čeličnih cijevi vanjskog promjera ø48.25 mm, debljine stijenke</t>
    </r>
  </si>
  <si>
    <t>t=4.25 mm. Cijevi su dužine od 1.60 – 6.0 m. Povezivanje cijevi izvodi se pomoću nastavaka i spojnica. Skele se oslanjaju</t>
  </si>
  <si>
    <t>na podlogu pomoću podložnih ploča kružnog ili kvadratnog oblika površine veće od 250 cm2, debljine lima 3 – 10 mm.</t>
  </si>
  <si>
    <t>Podloga na koju se montira skela mora biti čvrsta i stabilna.</t>
  </si>
  <si>
    <t xml:space="preserve">Na podlogu se prvo postave talpe debljine 5 – 6 cm, a preko njih se postavljaju podložne ploče. Na podložne ploče </t>
  </si>
  <si>
    <t>postavljaju se vertikalni stupovi, koji se ukrućuju horizontalnim nosačima. Prvi horizontalni nosač postavlja se na visini od 30</t>
  </si>
  <si>
    <t xml:space="preserve"> cm od podloge. Poprečni nosači postavljaju se na razmaku od 100 – 150 cm, oni nose radnu platformu i održavaju širinu </t>
  </si>
  <si>
    <r>
      <t>skele. U uzdužnom smjeru obvezna su dijagonalna ukrućenja od podnožja do vrha skele pod kutem od 45</t>
    </r>
    <r>
      <rPr>
        <vertAlign val="superscript"/>
        <sz val="9"/>
        <rFont val="Arial CE"/>
        <charset val="238"/>
      </rPr>
      <t>0</t>
    </r>
    <r>
      <rPr>
        <sz val="9"/>
        <rFont val="Arial CE"/>
        <family val="2"/>
        <charset val="238"/>
      </rPr>
      <t xml:space="preserve">. Na krajevima </t>
    </r>
  </si>
  <si>
    <t xml:space="preserve">skele montiraju se dijagonalna ukrućenja u bočnom smjeru. </t>
  </si>
  <si>
    <t xml:space="preserve">Fasadne skele moraju se sidriti za građevinu. Razmak sidara u horizontalnom i vertikalnom smjeru mora biti manji od </t>
  </si>
  <si>
    <t xml:space="preserve">6.0 matara. Slobodna visina skele ne smije biti veća od 3.0 m. Svaka skela od čeličnih elemenata mora biti uzemljena i </t>
  </si>
  <si>
    <t>osigurana od udara munje.</t>
  </si>
  <si>
    <t xml:space="preserve">Fasadna skela mora biti najmanje širine 80 cm, razmak skele i fasadnog zida građevine ne smije biti veći od 20 cm </t>
  </si>
  <si>
    <t xml:space="preserve">(u protivnim se mora raditi i ograda s unutrašnje strane). Za izradu radnog poda upotrebljavaju se daske minimalnog </t>
  </si>
  <si>
    <t>presjeka 250/40 mm. Pod radne platforme mora biti postavljen po čitavoj širini skele. Visina zaštitne ograde ne smije biti</t>
  </si>
  <si>
    <t xml:space="preserve"> manja od 100 cm. </t>
  </si>
  <si>
    <r>
      <t xml:space="preserve">Izvođač je dužan izraditi </t>
    </r>
    <r>
      <rPr>
        <b/>
        <sz val="10"/>
        <rFont val="Arial"/>
        <family val="2"/>
        <charset val="238"/>
      </rPr>
      <t>projekt skele</t>
    </r>
    <r>
      <rPr>
        <sz val="10"/>
        <rFont val="Arial"/>
        <family val="2"/>
        <charset val="238"/>
      </rPr>
      <t xml:space="preserve"> koji sadrži statički proračun nosivih elementa, vrstu materijala i</t>
    </r>
  </si>
  <si>
    <t xml:space="preserve"> kvalitetu, dopušteno opterećenje, način sidrenja skele za građevinu, način oslanjanja na tlo, raspored nosivih elemenata i </t>
  </si>
  <si>
    <t xml:space="preserve">druge potrebne detalje. </t>
  </si>
  <si>
    <t>Svi elementi skela (metalni i drveni) moraju odgovarati važećim hrvatskim i europskim normama.</t>
  </si>
  <si>
    <r>
      <t>koje moraju nositi prelazi 1000 kg/m</t>
    </r>
    <r>
      <rPr>
        <vertAlign val="superscript"/>
        <sz val="9"/>
        <rFont val="Arial CE"/>
        <family val="2"/>
        <charset val="238"/>
      </rPr>
      <t>2</t>
    </r>
    <r>
      <rPr>
        <sz val="9"/>
        <rFont val="Arial CE"/>
        <family val="2"/>
        <charset val="238"/>
      </rPr>
      <t xml:space="preserve"> izradit će se skela čija cijena nije uračunata u cijenu oplate, već se posebno</t>
    </r>
  </si>
  <si>
    <t>obračunava, prema stvarnim troškovima izrade takvih skela.</t>
  </si>
  <si>
    <t xml:space="preserve">U betonsku konstrukciju smije se ugrađivati cement specificiran kao glavni tip CEM I i CEM II. ako ima </t>
  </si>
  <si>
    <t>zadovoljavajuću tlačnu čvrstoću, također se smije ugrađivati i cement specificiran kao glavni tip CEM III, CEM IV i</t>
  </si>
  <si>
    <t xml:space="preserve"> CEM V, ako se projektom dokaže da je uporabiv za tu betonsku konstrukciju. Za betonske konstrukcije kod kojih </t>
  </si>
  <si>
    <t xml:space="preserve">postoji opasnost od korozije armature ne smiju se ugrađivati cementi vrste CEM III/C, te glavnog tipa CEM IV i CEM V, </t>
  </si>
  <si>
    <t>ako je konstrukcija izložena agresivnim sredinama.</t>
  </si>
  <si>
    <r>
      <t xml:space="preserve">betonskih elemenata i u betonari na radilištu, a sve prema tablici 22 i 24 norme </t>
    </r>
    <r>
      <rPr>
        <sz val="9"/>
        <rFont val="Arial CE"/>
        <charset val="238"/>
      </rPr>
      <t>HRN EN 206:2014</t>
    </r>
  </si>
  <si>
    <t>moraju se specificirati prema normi HRH EN 1008:2002.</t>
  </si>
  <si>
    <t>Potvrđivanje sukladnosti vode je u skladu s odredbama norma HRN EN 1008:2002.</t>
  </si>
  <si>
    <t>HRN EN 1008:2002.</t>
  </si>
  <si>
    <t>Reciklirana voda iz proizvodnje betona rabi se prema uvjetima iz norme HRN EN 1008:2002.</t>
  </si>
  <si>
    <t>betonskih elemenata i u betonari na radilištu, a sve prema odredbama norme HRN EN 206:2013+A1:2016.</t>
  </si>
  <si>
    <t>Voda u pogledu kakvoće mora odgovarati sljedećem standardu:</t>
  </si>
  <si>
    <t>HRN EN 1008:2002</t>
  </si>
  <si>
    <t>norma HRN EN 206:2013+A1:2016.</t>
  </si>
  <si>
    <t>i to kao karakteristična vrijednost 95%-tne vjerojatnosti s kriterijima potvrđivanja sukladnosti prema HRN EN 206.</t>
  </si>
  <si>
    <t>na koje upućuje HRN EN 206:2013+A1:2016.</t>
  </si>
  <si>
    <t>norme HRN EN 206:2013+A1:2016.</t>
  </si>
  <si>
    <t>betonske elemente ili izvođač u betonari na gradilištu) i potvrđivanje sukladnosti provodi se u skladu s važećim</t>
  </si>
  <si>
    <t>hrvatskim propisima i normama za to područje.</t>
  </si>
  <si>
    <t>Tlačnu čvrstoću betona iz projekta konstrukcije treba kontrolirati ocjenjivati prema sljedećem:</t>
  </si>
  <si>
    <r>
      <t>najmanje 1 uzorak na svakih 100 m</t>
    </r>
    <r>
      <rPr>
        <vertAlign val="superscript"/>
        <sz val="9"/>
        <rFont val="Arial CE"/>
        <family val="2"/>
        <charset val="238"/>
      </rPr>
      <t>3</t>
    </r>
    <r>
      <rPr>
        <sz val="9"/>
        <rFont val="Arial CE"/>
        <family val="2"/>
        <charset val="238"/>
      </rPr>
      <t xml:space="preserve"> ugrađenog betona s time da se uzima najmanje po jedan uzorak svaki dan</t>
    </r>
  </si>
  <si>
    <t xml:space="preserve">imenovano) tijelo jednom polugodišnje prema kriterijima iz Dodatka B HRN EN 206 (za ispitivanje tlačne </t>
  </si>
  <si>
    <t>polijevanjem vodom ili prekrivanjem vlažnim jutenim platnom, ovisno o temperaturi i osunčanju. Intenzivna zaštita betona</t>
  </si>
  <si>
    <t>od isušivanja mora se provoditi najmanje 7 dana. Temperatura vode za polijevanje mora biti približno ista temperaturi</t>
  </si>
  <si>
    <t>štićene betonske površine da ne bi došlo do diferencijalnih stezanja betona koje uzrokuje površinske pukotine.</t>
  </si>
  <si>
    <t>sloj mikrobetona debljine 3 mm koji je pomiješan sa sredstvom za povećanje prionljivosti i vlačne čvrstoće betona.</t>
  </si>
  <si>
    <t>biti ugrađena spojna sredstva (gumene dilatacijske trake, plastične trake, aluminijski profili i sl.) na način kako je to</t>
  </si>
  <si>
    <t>predviđeno tehnološkim projektom. Spojna dilatacijska sredstva uključena su u cijenu betona.</t>
  </si>
  <si>
    <t>Za ugrađeni beton u skladu s propisima mora se dati Završna ocjena kvalitete betona koja obuhvaća:</t>
  </si>
  <si>
    <t>sukladno propisu obavezno provode prije ugradnje građevnih proizvoda u betonsku konstrukciju</t>
  </si>
  <si>
    <t>pregled armature prije savijanja i sječenja, s čišćenjem i sortiranjem</t>
  </si>
  <si>
    <t>postavljanje i vezivanje armature točno prema nacrtima, s podmetanjem potrebnih podložaka i distancera, kako</t>
  </si>
  <si>
    <t>bi se osigurala propisana udaljenost između armature i oplate (zaštitni sloj)</t>
  </si>
  <si>
    <t>Prilikom transporta armature iz središnjeg savijališta na gradilište, armatura mora biti vezana i označena po stavkama</t>
  </si>
  <si>
    <t>Održavanje betonske konstrukcije:</t>
  </si>
  <si>
    <t>Redoviti pregledi u svrhu održavanja betonske konstrukcije moraju se obavljati minimalno svakih 10 godina za</t>
  </si>
  <si>
    <t>zgrade javne i stambene namjene.</t>
  </si>
  <si>
    <t>Pregled mora uključivati sljedeće radnje:</t>
  </si>
  <si>
    <t>vizualni pregled, u kojeg je uključeno utvrđivanje položaja i veličine napuklina i pukotina te drugih oštećenja</t>
  </si>
  <si>
    <t xml:space="preserve"> bitnih za očuvanje mehaničke otpornosti i stabilnosti građevine,</t>
  </si>
  <si>
    <t>utvrđivanje stanja zaštitnog sloja armature, za betonske konstrukcije u umjereno ili jako agresivnom okolišu</t>
  </si>
  <si>
    <t>utvrđivanje veličine pomaka glavnih nosivih elemenata betonske konstrukcije za slučaj osnovnog djelovanja</t>
  </si>
  <si>
    <t>ako se na temelju vizualnog pregleda sumnja u ispunjavanje bitnog zahtjeva mehaničke otpornosti i stabilnosti.</t>
  </si>
  <si>
    <r>
      <t>EUROCODE 6</t>
    </r>
    <r>
      <rPr>
        <sz val="9"/>
        <rFont val="Arial CE"/>
        <family val="2"/>
        <charset val="238"/>
      </rPr>
      <t xml:space="preserve"> - Design of masonry structures - Part 1-1: General rules for buildings - Rule for reinforced and</t>
    </r>
  </si>
  <si>
    <t>Sve reške moraju biti potpuno vodoravne, odnosno okomite, jednakih debljina i uvučene za oko 10 mm od lica zida.</t>
  </si>
  <si>
    <t>U slučaju da na zidu nastane izlučivanje soli ili karbonata, izvođač je dužan te zidove očistiti i spriječiti daljnje</t>
  </si>
  <si>
    <t>Žbukanje zidova može se izvesti tek kada se utvrdi da su svi zidovi izvedeni u skladu s tehničkim uvjetima i propisima.</t>
  </si>
  <si>
    <t>vremenskim uvjetima, uz odgovarajuće osiguranje i zaštitu svježe ožbukanih površina od štetnog djelovanja sunaca i</t>
  </si>
  <si>
    <t>Smjernice za ugradnju:</t>
  </si>
  <si>
    <t>Stolariju ugraditi prema sljedećim smjernicama:</t>
  </si>
  <si>
    <t>građevinski otvor mora biti veći za 2-3 cm od veličine prozora po širini i po visini,</t>
  </si>
  <si>
    <t>postava prozora u predviđeni otvor,</t>
  </si>
  <si>
    <t>horizontalno i vertikalno namještanje prozora,</t>
  </si>
  <si>
    <t>učvršćivanje prozora vijcima i limovima za ugradnju,</t>
  </si>
  <si>
    <t>ispunjavanje zračnih razmaka poliuretanskom termo pjenom,</t>
  </si>
  <si>
    <t>spriječiti ulazak vode s vanjske strane na unutra (silikonskim kitanjem ili brtvenim letvicama),</t>
  </si>
  <si>
    <t>osigurati izlazak vodene pare iz prostora na van (vodonepropusnom paropropusnom folijom)</t>
  </si>
  <si>
    <t>za vrata svijetlog otvora 61 cm</t>
  </si>
  <si>
    <t>za vrata svijetlog otvora 71 cm</t>
  </si>
  <si>
    <t>za vrata svijetlog otvora 81 cm</t>
  </si>
  <si>
    <t>za vrata svijetlog otvora 91 cm</t>
  </si>
  <si>
    <t>Veličina zidarskog otvora nestandardne stolarije i bravarije određuje se u shemama dotičnih radova, gdje se određuje</t>
  </si>
  <si>
    <t>prethodna ugradnja slijepog doprozornika učvršćenog u zid, te naknadno pričvršćenje doprozornika s vijkom</t>
  </si>
  <si>
    <t>brtvljenje doprozornika nakon ugradnje izvesti poliuretanom (pur pjena).</t>
  </si>
  <si>
    <t xml:space="preserve">Za utvrđivanje limarije potrebno je ugraditi drvene uloške u beton tijekom betoniranja ili držače sidriti pomoću </t>
  </si>
  <si>
    <r>
      <t>Ugradnje vrata i prozora obračunava se po metru kvadratnom i to zasebno do 2,0 m</t>
    </r>
    <r>
      <rPr>
        <vertAlign val="superscript"/>
        <sz val="9"/>
        <rFont val="Arial CE"/>
        <family val="2"/>
        <charset val="238"/>
      </rPr>
      <t>2</t>
    </r>
    <r>
      <rPr>
        <sz val="9"/>
        <rFont val="Arial CE"/>
        <family val="2"/>
        <charset val="238"/>
      </rPr>
      <t>, od 2,0 - 4,0 m</t>
    </r>
    <r>
      <rPr>
        <vertAlign val="superscript"/>
        <sz val="9"/>
        <rFont val="Arial CE"/>
        <family val="2"/>
        <charset val="238"/>
      </rPr>
      <t>2</t>
    </r>
    <r>
      <rPr>
        <sz val="9"/>
        <rFont val="Arial CE"/>
        <family val="2"/>
        <charset val="238"/>
      </rPr>
      <t xml:space="preserve"> i preko 4,0 m</t>
    </r>
    <r>
      <rPr>
        <vertAlign val="superscript"/>
        <sz val="9"/>
        <rFont val="Arial CE"/>
        <family val="2"/>
        <charset val="238"/>
      </rPr>
      <t>2</t>
    </r>
    <r>
      <rPr>
        <sz val="9"/>
        <rFont val="Arial CE"/>
        <family val="2"/>
        <charset val="238"/>
      </rPr>
      <t>.</t>
    </r>
  </si>
  <si>
    <t>Čišćenje koje se obavlja tijekom građenja, te završna čišćenja obračunavaju se po metru kvadratnom bruto površine.</t>
  </si>
  <si>
    <t xml:space="preserve">Pri izvedbi asfalterskih radova izvođač je dužan pridržavati se svih uvjeta i opisa u troškovniku, kao i važećih </t>
  </si>
  <si>
    <r>
      <t>Asfalt beton AC 22 base, 50/70, AG6, M2-E</t>
    </r>
    <r>
      <rPr>
        <sz val="10"/>
        <rFont val="Arial"/>
        <family val="2"/>
        <charset val="238"/>
      </rPr>
      <t xml:space="preserve"> je bitumenizirani nosivi sloj izveden od asfaltne mješavine </t>
    </r>
  </si>
  <si>
    <r>
      <t xml:space="preserve">najveće nazivne veličine zrna 22 mm za </t>
    </r>
    <r>
      <rPr>
        <b/>
        <sz val="9"/>
        <rFont val="Arial CE"/>
        <charset val="238"/>
      </rPr>
      <t>teško prometno opterećenje</t>
    </r>
    <r>
      <rPr>
        <sz val="9"/>
        <rFont val="Arial CE"/>
        <family val="2"/>
        <charset val="238"/>
      </rPr>
      <t xml:space="preserve">, sastavljene prema načelu najgušćega pakiranja </t>
    </r>
  </si>
  <si>
    <t>zrna, a upotrebljava se za izvedbu nosivih asfaltnih slojeva kolničke konstrukcije.</t>
  </si>
  <si>
    <r>
      <t>Asfalt beton AC 16 base, 50/70, AG6, M2-E</t>
    </r>
    <r>
      <rPr>
        <sz val="10"/>
        <rFont val="Arial"/>
        <family val="2"/>
        <charset val="238"/>
      </rPr>
      <t xml:space="preserve"> je bitumenizirani nosivi sloj izveden od asfaltne mješavine </t>
    </r>
  </si>
  <si>
    <r>
      <t xml:space="preserve">najveće nazivne veličine zrna 16 mm za </t>
    </r>
    <r>
      <rPr>
        <b/>
        <sz val="9"/>
        <rFont val="Arial CE"/>
        <charset val="238"/>
      </rPr>
      <t>teško prometno opterećenje</t>
    </r>
    <r>
      <rPr>
        <sz val="9"/>
        <rFont val="Arial CE"/>
        <family val="2"/>
        <charset val="238"/>
      </rPr>
      <t xml:space="preserve">, sastavljene prema načelu najgušćega pakiranja </t>
    </r>
  </si>
  <si>
    <r>
      <t>Asfalt beton AC 11 surf, 50/70, AG4, M4-E</t>
    </r>
    <r>
      <rPr>
        <sz val="10"/>
        <rFont val="Arial"/>
        <family val="2"/>
        <charset val="238"/>
      </rPr>
      <t xml:space="preserve"> je bitumenizirani nosivi sloj izveden od asfaltne mješavine </t>
    </r>
  </si>
  <si>
    <r>
      <t xml:space="preserve">najveće nazivne veličine zrna 11 mm za </t>
    </r>
    <r>
      <rPr>
        <b/>
        <sz val="9"/>
        <rFont val="Arial CE"/>
        <charset val="238"/>
      </rPr>
      <t>srednje prometno opterećenje</t>
    </r>
    <r>
      <rPr>
        <sz val="9"/>
        <rFont val="Arial CE"/>
        <family val="2"/>
        <charset val="238"/>
      </rPr>
      <t xml:space="preserve">, sastavljene prema načelu najgušćega pakiranja </t>
    </r>
  </si>
  <si>
    <r>
      <t>Asfalt beton AC 8 surf, 50/70, AG4, M4-E</t>
    </r>
    <r>
      <rPr>
        <sz val="10"/>
        <rFont val="Arial"/>
        <family val="2"/>
        <charset val="238"/>
      </rPr>
      <t xml:space="preserve"> je bitumenizirani nosivi sloj izveden od asfaltne mješavine </t>
    </r>
  </si>
  <si>
    <r>
      <t xml:space="preserve">najveće nazivne veličine zrna 8 mm za </t>
    </r>
    <r>
      <rPr>
        <b/>
        <sz val="9"/>
        <rFont val="Arial CE"/>
        <charset val="238"/>
      </rPr>
      <t>lako prometno opterećenje</t>
    </r>
    <r>
      <rPr>
        <sz val="9"/>
        <rFont val="Arial CE"/>
        <family val="2"/>
        <charset val="238"/>
      </rPr>
      <t xml:space="preserve">, sastavljene prema načelu najgušćega pakiranja </t>
    </r>
  </si>
  <si>
    <t>rad mora se o tome pismeno obavijestiti naručitelj radova, kako bi se podloga na vrijeme popravila i pripremila za izvođenje.</t>
  </si>
  <si>
    <t>Izvođenje hidroizolacije mora biti tehnološki ispravno u svim fazama rada i mora se izvoditi propisanim redoslijedom.</t>
  </si>
  <si>
    <t xml:space="preserve">Materijali za toplinsku izolaciju moraju zadovoljiti propise o proračunu elemenata na toplinsku otpornost i smiju se </t>
  </si>
  <si>
    <t>ugrađivati samo materijali s propisanim toplinskim otporom i toplinskom vrijednosti prema važećim normama.</t>
  </si>
  <si>
    <t>Obračun termoizolacijskih radova vrši se po metru kvadratnom ugrađene izolacije.</t>
  </si>
  <si>
    <t>koji se planiraju upotrijebiti, te predočiti izjave o sukladnosti, izdane od ovlaštene organizacije.</t>
  </si>
  <si>
    <t xml:space="preserve">Krovište mora biti pokriveno kvalitetnim materijalom, pravilnog oblika, traženih dimenzija, koje u potpunosti </t>
  </si>
  <si>
    <t>Limarske radove vezane za pokrov i izolaterske radove obavezno izvoditi paralelno. Ispod lima uvijek treba postavljati</t>
  </si>
  <si>
    <t xml:space="preserve">traku bitumenske ljepenke br. 80 da se izbjegnu galvanski procesi s drugim metalima. Hidroizolacijske trake treba s </t>
  </si>
  <si>
    <t>limenim opšavom povezivati prema detalju i pomoću spojnih sredstava, a sve ovisno o tipu uporabljene hidroizolacije.</t>
  </si>
  <si>
    <t>na pogodan način izolirati (premaz, izolacione trake i sl.) kako ne bi došlo do pojave galvanskog elektriciteta.</t>
  </si>
  <si>
    <t>ustanove. Ako je opis stavke izvođaču nejasan treba prije početka radova ili predaje ponude tražiti objašnjenje od</t>
  </si>
  <si>
    <t>kontrole kvalitete materijala. Različite vrste metala, koje se uslijed elektrolitskih pojava međusobno razaraju, ne smiju</t>
  </si>
  <si>
    <t>se međusobno dodirivati. Sve željezne dijelove koje dolaze u dodir s cinkom ili pocinčanim limom treba preličiti asfaltnim</t>
  </si>
  <si>
    <t>atmosferilija, prodora vode u građevinu, te da pojedini dijelovi mogu nesmetano 'raditi' uslijed temperaturnih promjena bez</t>
  </si>
  <si>
    <t>bilo kakve štete na konstrukciji.</t>
  </si>
  <si>
    <t>Pričvršćenje lima izvodi se mehaničkim alatima, vijcima, plastičnim čepovima i drugim nosačima (trakama).</t>
  </si>
  <si>
    <t>Tehnički propis za prozore i vrata (NN 69/06)</t>
  </si>
  <si>
    <t>Prozori i vrata moraju sljedeće uvjete propisane TP:</t>
  </si>
  <si>
    <t>Antikorozivna zaštita čeličnih dijelova i konstrukcija mora biti u skladu s važećim propisima.</t>
  </si>
  <si>
    <t>Završna obrada čeličnih dijelova je ličenje uljanim naličjem u boji po izboru projektanta. Kod aluminijskih prozora,</t>
  </si>
  <si>
    <t>Kompletna površinska obrada materijala mora biti u skladu s važećim propisima i uputama proizvođača primijenjenog</t>
  </si>
  <si>
    <t>Konstrukcija mora biti dimenzionirana tako da sigurno prihvaća opterećenje i funkcije elemenata. Svi nosivi dijelovi</t>
  </si>
  <si>
    <t>Ugradnja:</t>
  </si>
  <si>
    <r>
      <t xml:space="preserve">Svi bravarski elementi u pravilu trebaju se ugrađivati </t>
    </r>
    <r>
      <rPr>
        <i/>
        <sz val="9"/>
        <rFont val="Arial CE"/>
        <family val="2"/>
        <charset val="238"/>
      </rPr>
      <t xml:space="preserve">suhim </t>
    </r>
    <r>
      <rPr>
        <sz val="9"/>
        <rFont val="Arial CE"/>
        <family val="2"/>
        <charset val="238"/>
      </rPr>
      <t xml:space="preserve">postupkom bez uporabe morta, tj. na prethodno </t>
    </r>
  </si>
  <si>
    <t>Pri izvedbi bravarskih radova od aluminija izvođač je dužan pridržavati se svih uvjeta i opisa u troškovniku, kao i</t>
  </si>
  <si>
    <r>
      <t>Aluminijski profili izrađeni su od aluminijske legure AlMgSi 05, čvrstoće F=22 do 26 kg/mm</t>
    </r>
    <r>
      <rPr>
        <vertAlign val="superscript"/>
        <sz val="9"/>
        <rFont val="Arial CE"/>
        <family val="2"/>
        <charset val="238"/>
      </rPr>
      <t>2</t>
    </r>
    <r>
      <rPr>
        <sz val="9"/>
        <rFont val="Arial CE"/>
        <family val="2"/>
        <charset val="238"/>
      </rPr>
      <t>. Čelični okviri za sidrenje</t>
    </r>
  </si>
  <si>
    <t>aluminijskih stijena moraju se premazati radi zaštite od korozije s najmanje dva premaza cinkotitom ili drugom zaštitnom</t>
  </si>
  <si>
    <r>
      <t>Postojanost na temperaturu do -40</t>
    </r>
    <r>
      <rPr>
        <vertAlign val="superscript"/>
        <sz val="9"/>
        <rFont val="Arial CE"/>
        <family val="2"/>
        <charset val="238"/>
      </rPr>
      <t>0</t>
    </r>
    <r>
      <rPr>
        <sz val="9"/>
        <rFont val="Arial CE"/>
        <family val="2"/>
        <charset val="238"/>
      </rPr>
      <t>C i na toplinu do 110</t>
    </r>
    <r>
      <rPr>
        <vertAlign val="superscript"/>
        <sz val="9"/>
        <rFont val="Arial CE"/>
        <family val="2"/>
        <charset val="238"/>
      </rPr>
      <t>0</t>
    </r>
    <r>
      <rPr>
        <sz val="9"/>
        <rFont val="Arial CE"/>
        <family val="2"/>
        <charset val="238"/>
      </rPr>
      <t xml:space="preserve">C, a tvrdoća treba biti oko 60 SM. Vijci i ostala sredstva za </t>
    </r>
  </si>
  <si>
    <t>Svi dijelovi trebaju biti tako dimenzionirani da sigurno prihvaćaju sva opterećenja nastala od vjetra, vlastite težine</t>
  </si>
  <si>
    <t>Primijenjena konstrukcija mora osigurati zvučnu izolaciju sukladno propisima za ograđenu konstrukciju i vrsti</t>
  </si>
  <si>
    <t>građevine.</t>
  </si>
  <si>
    <t>Ugaoni spojevi moraju biti izvedeni besprijekorno, mjesta koja su posebno osjetljiva na propuštanje treba dodatno</t>
  </si>
  <si>
    <r>
      <t xml:space="preserve">IZO staklo </t>
    </r>
    <r>
      <rPr>
        <sz val="9"/>
        <rFont val="Arial CE"/>
        <family val="2"/>
        <charset val="238"/>
      </rPr>
      <t>izrađuje se od dva stakla međusobno spojena okvirom u čvrstu cjelinu. Dimenzija stakla može biti 4+16+4</t>
    </r>
  </si>
  <si>
    <t xml:space="preserve">Izvođač treba odrediti minimalnu debljinu stakla ovisno o površini, sigurnosnim zahtjevima, te izloženosti </t>
  </si>
  <si>
    <t>površine stakla vjetru prema HRN EN 1991-2-4.</t>
  </si>
  <si>
    <r>
      <t xml:space="preserve">Termoizolacijsko staklo </t>
    </r>
    <r>
      <rPr>
        <sz val="9"/>
        <rFont val="Arial CE"/>
        <family val="2"/>
        <charset val="238"/>
      </rPr>
      <t>reflektira sunčevu svjetlost i sprječava prodor vrućine u prostor, dok vidljivu svjetlost propušta</t>
    </r>
  </si>
  <si>
    <t>u prostor. Na staklo nanosi se tanak reflektirajući sloj koji djeluje kao reflektor (odbijač) štetne sunčeve svjetlosti. Tako</t>
  </si>
  <si>
    <r>
      <t>Metaliziranje i nijansiranje stakla</t>
    </r>
    <r>
      <rPr>
        <sz val="9"/>
        <rFont val="Arial CE"/>
        <family val="2"/>
        <charset val="238"/>
      </rPr>
      <t xml:space="preserve"> izvodi se prozirnim, mat ili transparentnim materijalom raznih nijansi i boja. Ovakva</t>
    </r>
  </si>
  <si>
    <t>obrada sprječava bliještanje i pregrijavanje u prostoru.</t>
  </si>
  <si>
    <r>
      <t>Pjeskarenje</t>
    </r>
    <r>
      <rPr>
        <sz val="9"/>
        <rFont val="Arial CE"/>
        <family val="2"/>
        <charset val="238"/>
      </rPr>
      <t xml:space="preserve"> je nanošenje abrazivnog sredstva (aluminijski oksid) na staklo pod pritiskom. Može se pjeskariti cijela</t>
    </r>
  </si>
  <si>
    <t>silikonskim prozorskim kitom, a sve prema normama i DIN 18056.</t>
  </si>
  <si>
    <t>Koso ugrađene izolacijske staklene ploče moraju biti izrađene iz kaljenih i lijepljenih stakala kvalitete float s faktorima</t>
  </si>
  <si>
    <t>jednolične i čiste i ne smiju se ljuštiti. Kit za ispunjavanje udubina i pukotina mora biti iz iste grupe proizvoda kao i boja.</t>
  </si>
  <si>
    <t>Izvođač mora prije početka radova ustanoviti kvalitetu podloge na koju se treba nanijeti boja i ako nije pogodna za</t>
  </si>
  <si>
    <t>Nalič stolarije, bravarije, limarije i drugih podloga mora u svim fazama radova biti kvalitetno izveden.</t>
  </si>
  <si>
    <t>Ličenje drvenih proizvoda:</t>
  </si>
  <si>
    <t>Površinu lagano prebrusiti, a neravnine prekitati akrilnim kitom za drvo. Nakon sušenja kita površinu fino izbrusiti.</t>
  </si>
  <si>
    <t>Temeljni premaz brzo sušećom temeljnom bojom na bazi alkidnih smola visoke neprozirnosti. Boja mora dobro</t>
  </si>
  <si>
    <t xml:space="preserve">prianjati i prodirati u drvo. Nanosi se kistom ili valjkom u dva sloja. Nakon sušenja prvog sloja, lagano prebrusiti te </t>
  </si>
  <si>
    <t>nanijeti drugi sloj temeljne boje. Temperatura nanošenja +5°C do +30°C.</t>
  </si>
  <si>
    <t>Završni premaz emalj lakom za zaštitu metalnih i drvenih površina, za vanjske i unutarnje radove.</t>
  </si>
  <si>
    <t>Materijali za vodoodbojne fasadne žbuke sastoje se iz žbuka na bazi cementa i vapna s dodatkom raznih aditiva</t>
  </si>
  <si>
    <t>prionljivost na podlogu u suhom i mokrom stanju</t>
  </si>
  <si>
    <t>otpornost na hidrostatski tlak</t>
  </si>
  <si>
    <t>Stare i jako porozne podloge potrebno je prethodno odstraniti ili sanirati.</t>
  </si>
  <si>
    <r>
      <t>Temperatura okoline, podloge i materijala za vrijeme sušenja završnog sloja pročelja mora biti najmanje +5</t>
    </r>
    <r>
      <rPr>
        <vertAlign val="superscript"/>
        <sz val="9"/>
        <rFont val="Arial CE"/>
        <charset val="238"/>
      </rPr>
      <t>0</t>
    </r>
    <r>
      <rPr>
        <sz val="9"/>
        <rFont val="Arial CE"/>
        <family val="2"/>
        <charset val="238"/>
      </rPr>
      <t>C, a</t>
    </r>
  </si>
  <si>
    <r>
      <t>ETICS</t>
    </r>
    <r>
      <rPr>
        <sz val="9"/>
        <rFont val="Arial CE"/>
        <family val="2"/>
        <charset val="238"/>
      </rPr>
      <t xml:space="preserve"> pročelja na bazi ekspandiranog polistirena EPS-F izvode se lijepljenjem ploča na površinu pročelnog zida</t>
    </r>
  </si>
  <si>
    <t>pomoću mineralnog fleksibilnog ljepila. Prije početka lijepljenja izvođač je dužan provjeriti kvalitetu podloge i sve</t>
  </si>
  <si>
    <t>eventualne nepravilnosti otkloniti. Ploče se lijepe s preklopom od 50%, počevši od uglova gdje se uvijek postavljaju</t>
  </si>
  <si>
    <t>cca 3 mm, a zatim se u još svježe ljepilo ugrađuje odozdo prema dolje staklena mrežica. Kada se nosivi sloj osuši i</t>
  </si>
  <si>
    <t>Klase kvalitete parketa:</t>
  </si>
  <si>
    <r>
      <t xml:space="preserve">E klasa (extra): </t>
    </r>
    <r>
      <rPr>
        <sz val="9"/>
        <rFont val="Arial CE"/>
        <charset val="238"/>
      </rPr>
      <t xml:space="preserve"> daščice ravnog goda (žice), ujednačene boje, bez grešaka (mušica, bjelika, kvržica), dopušten</t>
    </r>
  </si>
  <si>
    <t>blagi otklon žice i sržni trakovi (blistača).</t>
  </si>
  <si>
    <r>
      <t xml:space="preserve">N klasa (natur): </t>
    </r>
    <r>
      <rPr>
        <sz val="9"/>
        <rFont val="Arial CE"/>
        <charset val="238"/>
      </rPr>
      <t xml:space="preserve"> lijepo izražena struktura bočnica/polubočnica (flader), čista, mala razlika u boji, jedinična svijetla</t>
    </r>
  </si>
  <si>
    <t>kvržica u boji drveta, bet bjelike i uboda mušice.</t>
  </si>
  <si>
    <r>
      <t xml:space="preserve">N2 klasa (natur 2): </t>
    </r>
    <r>
      <rPr>
        <sz val="9"/>
        <rFont val="Arial CE"/>
        <charset val="238"/>
      </rPr>
      <t>Prisutnost jače izražene strukture, srednja razlika u boji, kvržice do max promjera 5 mm, bez</t>
    </r>
  </si>
  <si>
    <t>bjelike.</t>
  </si>
  <si>
    <r>
      <t xml:space="preserve">G klasa (gestreif): </t>
    </r>
    <r>
      <rPr>
        <sz val="9"/>
        <rFont val="Arial CE"/>
        <charset val="238"/>
      </rPr>
      <t xml:space="preserve"> osnovno je da je dopuštena bjelika na licu, uzdužno po rubovima do max 1/3 širine daščice.</t>
    </r>
  </si>
  <si>
    <r>
      <t xml:space="preserve">R klasa (rustik): </t>
    </r>
    <r>
      <rPr>
        <sz val="9"/>
        <rFont val="Arial CE"/>
        <charset val="238"/>
      </rPr>
      <t xml:space="preserve"> dopuštena grubo izražena struktura, velike kvržice do max promjera 15 mm, veće razlika u boji,</t>
    </r>
  </si>
  <si>
    <t>moguć pojedinačni ubod mušice, bez bijelike.</t>
  </si>
  <si>
    <r>
      <t xml:space="preserve">VS klasa (van standard): </t>
    </r>
    <r>
      <rPr>
        <sz val="9"/>
        <rFont val="Arial CE"/>
        <charset val="238"/>
      </rPr>
      <t xml:space="preserve"> bjelika na licu neograničeno, ubodi mušica dopušteni, velike promjene boje, velike</t>
    </r>
  </si>
  <si>
    <t>kvrge, tehnički potpuno ispravno drvo, estetski šareno.</t>
  </si>
  <si>
    <t>Klase kvalitete laminata:</t>
  </si>
  <si>
    <t>stambeni prostori, privatni stanovi i kuće:</t>
  </si>
  <si>
    <t>intenzitet trošenja:</t>
  </si>
  <si>
    <t>spavaće sobe, sobe za goste</t>
  </si>
  <si>
    <t>dnevni boravak, blagovaonica, predsoblje</t>
  </si>
  <si>
    <t>stubišta, ulazni hodnici, kuhinje</t>
  </si>
  <si>
    <t>poslovni i javni objekti:</t>
  </si>
  <si>
    <t>hotelske sobe, konferencijske dvorane, manje ljudi</t>
  </si>
  <si>
    <t>dječji vrtići, uredi, čekaonice, hotelske dvorane, butici</t>
  </si>
  <si>
    <t>hodnici, veliki uredi, robne kuće, školske učionice</t>
  </si>
  <si>
    <r>
      <t xml:space="preserve">Ugrađeni laminat mora biti izrađen prema normi HRN EN 13229:2016, na osnovi pravila koje određuje </t>
    </r>
    <r>
      <rPr>
        <b/>
        <sz val="9"/>
        <rFont val="Arial CE"/>
        <charset val="238"/>
      </rPr>
      <t>EPLF</t>
    </r>
  </si>
  <si>
    <r>
      <t>Europsko udruženje proizvođača laminatnih podova</t>
    </r>
    <r>
      <rPr>
        <sz val="9"/>
        <rFont val="Arial CE"/>
        <family val="2"/>
        <charset val="238"/>
      </rPr>
      <t xml:space="preserve"> (European Producers of Laminate Flooring).</t>
    </r>
  </si>
  <si>
    <t>Jezgra laminatnog poda mora biti izrađena od tvrde i guste vlaknaste ploče (HDF), a završni sloj je izrađen od</t>
  </si>
  <si>
    <t>tankih folija impregniran melaminskim smolama.</t>
  </si>
  <si>
    <t>Izvođač je dužan prije početka radova provjeriti na licu mjesta uvjete za izvođenje: ispravnost mjera podloga i otvora</t>
  </si>
  <si>
    <t xml:space="preserve">ravninu podloge, kvaliteta podloge. Eventualne neravnine mogu biti najviše 1 cm/m2 za podno oblaganje. </t>
  </si>
  <si>
    <t>Podloga za podni sustav mora biti:</t>
  </si>
  <si>
    <t>homogena</t>
  </si>
  <si>
    <t>suha i čvrsta (max. površinska vlaga 4,0%)</t>
  </si>
  <si>
    <t>ravna i bez šupljina na površini</t>
  </si>
  <si>
    <t>slobodna od ulja i masti, prašine, rastresitih ili trošnih čestica</t>
  </si>
  <si>
    <t>izvedena u projektiranim padovima ili slično</t>
  </si>
  <si>
    <t>Slojevi poda polažu se samo na posve suhu i očišćenu podlogu kod temperature koju definira proizvođač i</t>
  </si>
  <si>
    <t>materijal odabranog podopolagačkog sistema. Svi slojevi moraju biti izvedeni sukladno specifikaciji proizvođača te</t>
  </si>
  <si>
    <t xml:space="preserve">vođeni projektnom dokumentacijom. </t>
  </si>
  <si>
    <t>Epoxy podovi:</t>
  </si>
  <si>
    <t xml:space="preserve">Epoxy podovi sadrže epoxy smolu bez otapala, učvršćivač te obojeni i prirodni pijesak. Služi za zaštitu </t>
  </si>
  <si>
    <t>betonskih podnih površina u prostorima s visokim zahtjevima za korištenje.</t>
  </si>
  <si>
    <t>Pod nema fuga, izuzetno ga je lako održavati.</t>
  </si>
  <si>
    <t>Osnovna svojstva epoxy podova su:</t>
  </si>
  <si>
    <t>visoka mehanička otpornost (habanje)</t>
  </si>
  <si>
    <t>visoka kemijska otpornost</t>
  </si>
  <si>
    <t>visoka postojanost i prionljivost</t>
  </si>
  <si>
    <t>protukliznost</t>
  </si>
  <si>
    <t>otpornost prema sredstvima za pranje i dezinfekciju</t>
  </si>
  <si>
    <t>dekorativnost</t>
  </si>
  <si>
    <t xml:space="preserve">Izvođač je dužan ponuditi i izvesti sve komponente poda koje zahtjeva tehnologija izvođenja predmetnog </t>
  </si>
  <si>
    <t>poda, bez obzira dali su detaljno specificirane u pripadajućoj troškovničkoj stavci.</t>
  </si>
  <si>
    <t>Za suhe prostore: upotrebljavaju se standardne gips kartonske ploče</t>
  </si>
  <si>
    <t>Za vlažne prostore - mali % vlage: upotrebljavaju se impregnirane ploče</t>
  </si>
  <si>
    <t>Za vlažne prostore - veliki % vlage: upotrebljavaju se cementne ploče</t>
  </si>
  <si>
    <t>Za prostore s protupožarnim zahtjevima: upotrebljavaju se protupožarne gips kartonske ploče</t>
  </si>
  <si>
    <t>izvede dužan je na zahtjev nadzornog inženjera odstraniti nepropisno izveden materijal i zamijeniti sa propisanim.</t>
  </si>
  <si>
    <t>Sva učvršćenja i nosive potkonstrukcije moraju biti izvedene tako da su osigurane od bilo kakvog pomicanja, a da</t>
  </si>
  <si>
    <t>pojedini dijelovi  mogu nesmetano se pomicati uslijed promjene temperature.</t>
  </si>
  <si>
    <t>U slučaju da kod izrade zidova od gips ploča dođe do oštećenja drugih dijelova zgrade izvođač je dužan otkloniti</t>
  </si>
  <si>
    <t>koristiti izolacijske ploče mineralne vune (MW).</t>
  </si>
  <si>
    <t xml:space="preserve">Dokaz za postizanje zahtijevanih razreda vatrootpornosti za zidnu konstrukciju osigurava izvođač radova putem </t>
  </si>
  <si>
    <t xml:space="preserve">izvedbe je bitno napomenuti da se spojevi ploča kod zahtjeva za povišenom zvučnom izolacijom ili vatrootpornošću </t>
  </si>
  <si>
    <t>Obračun izrade gips zidova vrši se po metru kvadratnom ili po metru dužnom ovisno o vrsti obloge i rada, uključujući</t>
  </si>
  <si>
    <r>
      <t>zato ne odbija površina tog otvora. Kod svijetlog otvora ili prolaza većih od 2,5 m</t>
    </r>
    <r>
      <rPr>
        <vertAlign val="superscript"/>
        <sz val="9"/>
        <rFont val="Arial CE"/>
        <charset val="238"/>
      </rPr>
      <t>2</t>
    </r>
    <r>
      <rPr>
        <sz val="9"/>
        <rFont val="Arial CE"/>
        <family val="2"/>
        <charset val="238"/>
      </rPr>
      <t xml:space="preserve"> odbijaju se površine otvora, ali se</t>
    </r>
  </si>
  <si>
    <t>posebno zaračunava izrada slijepog otvora. Postavljanje dovratnika i izrada obloge s Knauf - pločama posebno se</t>
  </si>
  <si>
    <t>izvede dužan je na zahtjev nadzornog inženjera odstraniti nepropisno izveden materijal i zamijeniti s propisanim.</t>
  </si>
  <si>
    <t>pojedini dijelovi mogu nesmetano se pomicati uslijed promjene temperature.</t>
  </si>
  <si>
    <t>U slučaju da kod izrade spuštenih stropova dođe do oštećenja drugih dijelova zgrade izvođač je dužan otkloniti</t>
  </si>
  <si>
    <t>Kontrola čelične konstrukcije:</t>
  </si>
  <si>
    <t>Prije izrade čelične konstrukcije izvođač je dužan izraditi plan rad po pojedinim fazama, iz kojeg će biti vidljiva</t>
  </si>
  <si>
    <t xml:space="preserve">tehnologija zavarivanja, tehnologija spajanja te primijenjena oprema. Materijal za zavarivanje treba odgovarati </t>
  </si>
  <si>
    <t>osnovnom materijalu. Pri izradi čelične konstrukcije treba neprekidno kontrolirati kvalitetu i rad putem ovlaštenih</t>
  </si>
  <si>
    <t>predstavnika investitora i izvođača radova.</t>
  </si>
  <si>
    <t>Izvođač je dužan voditi dnevnik izrade čelične konstrukcije s upisom podataka vezanih za izradu pojedine</t>
  </si>
  <si>
    <t>pozicije s podacima o kvaliteti osnovnog i spojnog materijala, porijeklu materijala i dokazima kvalitete.</t>
  </si>
  <si>
    <t>Posebno treba voditi dnevnik zavarivanja kao i dnevnik izvedene zaštite čelične konstrukcije.</t>
  </si>
  <si>
    <t>U dnevnik zavarivanja potrebno je upisati podatke o zavarivanju, propisanoj kvaliteti vara, elektrodama i žicama</t>
  </si>
  <si>
    <t>za zavarivanje, variocima te postignutim rezultatima ispitivanja.</t>
  </si>
  <si>
    <t>U dnevnik zaštite od korozije treba evidentirati podatke o preuzimanju očišćene čelične površine prije postupka</t>
  </si>
  <si>
    <t>same antikorozivne zaštite od strane ovlaštene stručne institucije.</t>
  </si>
  <si>
    <t>Prije nanošenja zaštite ud korozija konstrukciju preuzimaju ovlašteni predstavnici investitora i izvođača, o čemu</t>
  </si>
  <si>
    <t>treba biti sačinjen zapisnik o preuzimanju.</t>
  </si>
  <si>
    <t>Zaštita čeličnih konstrukcija od korozije:</t>
  </si>
  <si>
    <t>Svi radovi za zaštitu čeličnih konstrukcija od korozije treba izvoditi prema važećim HRN EN normama.</t>
  </si>
  <si>
    <t>Svi čelični dijelovi fasadne konstrukcije moraju biti vruće pocinčani slojem cinka debljine 125 mikrona ili u</t>
  </si>
  <si>
    <t>debljini minimalno 300 g/m2. Priprema površine za anti korozivnu zaštitu treba biti prema uputi proizvođača, a u skladu</t>
  </si>
  <si>
    <t>s odabranom tehnologijom zaštite.</t>
  </si>
  <si>
    <t>Konstrukcija mora biti oblikovana tako bude što otpornija utjecaju korozije. Treba izbjegavati udubljenja,</t>
  </si>
  <si>
    <t>mrtve kuteve, svi dijelovi moraju biti pristupačni, a s površina voda mora brzo otjecati. Konstrukcija mora očišćena</t>
  </si>
  <si>
    <t>od mrlja, masnoća, te otprašena komprimiranim zrakom, te zaštićena do ugradnje na predviđeno mjesto.</t>
  </si>
  <si>
    <t>Protupožarna zaštita čeličnih konstrukcije:</t>
  </si>
  <si>
    <t>Projektirana vatrootpornost čelične konstrukcije mora se postići adekvatnom zaštitom.</t>
  </si>
  <si>
    <t>Proračun otpornosti na požar nosivih konstruktivnih elemenata izloženih standardnom požaru, i/ili njihova</t>
  </si>
  <si>
    <t>adekvatna zaštita (u skladu s važećim propisima i normama) sastavni je dio glavnog projekta mehaničke otpornosti</t>
  </si>
  <si>
    <t xml:space="preserve">i stabilnosti. </t>
  </si>
  <si>
    <t xml:space="preserve">Prilikom tehničkog pregleda, a radi dokazivanja projektirane vatrootpornosti, potrebno je dostaviti pozitivno </t>
  </si>
  <si>
    <t xml:space="preserve">završno izvješće izvoditelja radova, pozitivno završno izvješće nadzornog inženjera, te pozitivno završno izvješće </t>
  </si>
  <si>
    <t>revidenta za mehaničku otpornost i stabilnost, kojima će se potvrditi da izvedena čelična konstrukcija ima projektiranu</t>
  </si>
  <si>
    <t>vatrootpornost.</t>
  </si>
  <si>
    <t>Kontrola izvođenja, prijam radova i održavanje:</t>
  </si>
  <si>
    <t>Za izvođenje radova na zaštiti čelične konstrukcije moraju se upotrebljavati samo atestirani materijali s</t>
  </si>
  <si>
    <t>atestom izdanim od ovlaštene organizacije. Klasa izvođenja čelične konstrukcije EXC2.</t>
  </si>
  <si>
    <t>U tijeku izvedbe zaštite moraju se kontrolirati sve faze radova.</t>
  </si>
  <si>
    <t>Čelična konstrukcija ne može se pustiti u funkciju ako propisna zaštita nije izvedena u skladu s projektom.</t>
  </si>
  <si>
    <t>Tijekom eksploatacije čelične konstrukcije antikorozivna zaštita se mora održavati u ispravnom stanju, te se</t>
  </si>
  <si>
    <t>povremenim pregledima utvrđuje stvarno stanje zaštite.</t>
  </si>
  <si>
    <t>Transport i uskladištenje konstrukcije:</t>
  </si>
  <si>
    <t xml:space="preserve">Čelična konstrukcija se prevozi se u skladu s odredbama propisa o gabaritima i prometnim uvjetima </t>
  </si>
  <si>
    <t xml:space="preserve">transporta u cestovnom i željezničkom prometu. </t>
  </si>
  <si>
    <t>Mjesta za pričvršćenje opreme za dizanje mora se nalaziti na dijelu konstrukcije koji neće izazvati deformacije</t>
  </si>
  <si>
    <t>osnovne konstrukcije. Za vrijeme skladištenje i transporta treba osigurati nalijeganje konstrukcije na drvenim</t>
  </si>
  <si>
    <t xml:space="preserve"> podmetačima i razupiračima da ne dođe do oštećenja konstrukcije. </t>
  </si>
  <si>
    <t>Izvođenje i montaža konstrukcije:</t>
  </si>
  <si>
    <t>Montažu konstrukcije obaviti prema Pravilniku o tehničkim mjerama i uvjetima za montažu čeličnih</t>
  </si>
  <si>
    <t>konstrukcija.</t>
  </si>
  <si>
    <t>Prije montaže čelične konstrukcije moraju se prekontrolirati geodetski podaci koji određuju položaj objekta</t>
  </si>
  <si>
    <t xml:space="preserve"> u prostoru. Prije izvođenja radova na montaži izvoditelj je dužan izraditi plan montaže iz kojeg će biti vidljiv redoslijed</t>
  </si>
  <si>
    <t xml:space="preserve"> montaže kao i pomoćna sredstva za montažu ( dizalice, skele, i sl.). U planu montaže moraju biti vidljive kontrole u </t>
  </si>
  <si>
    <t xml:space="preserve">pojedinim fazama montaže. Ukoliko se pri montaži spajanje konstrukcije vrši zavarivanjem potrebno je izraditi plan </t>
  </si>
  <si>
    <t>zavarivanja. O izvođenju radova na montaži čelične konstrukcije izvoditelj radova dužan je voditi dnevnik montaže.</t>
  </si>
  <si>
    <t xml:space="preserve"> U dnevnik montaže se upisuju podaci o montažnim spojevima, izvođenju radova zavarivanja montažnih spojeva kao i </t>
  </si>
  <si>
    <t>radovi na zaštiti konstrukcije od korozije.</t>
  </si>
  <si>
    <t>Izvoditelj radova dužan je prije početka radova izraditi i predočiti projektantu konstrukcije:</t>
  </si>
  <si>
    <t>planove redoslijeda zavarivanja</t>
  </si>
  <si>
    <t>plan montaže konstrukcije u kojem će biti razrađen način i redoslijed montaže</t>
  </si>
  <si>
    <t>Prije početka radova izvoditelj je dužan pribaviti i staviti na uvid sljedeće dokumente:</t>
  </si>
  <si>
    <t>ateste materijala od kojih će biti izrađena čelična konstrukcija</t>
  </si>
  <si>
    <t>ateste za spojni materijal (vijci, elektrode)</t>
  </si>
  <si>
    <t>ateste zavarivača koji će raditi na ovoj konstrukciji</t>
  </si>
  <si>
    <t>Preporučuje se da spajala: vijci i trnovi imaju klasu čvrstoće 8.8.</t>
  </si>
  <si>
    <t>Poslije završetka radioničkih radova na dijelovima konstrukcije mora se izvršiti geometrijska kontrola i po</t>
  </si>
  <si>
    <t>potrebi probno sklapanje, o čemu se vodi zapisnik koji ovjerava nadzorni inženjer.</t>
  </si>
  <si>
    <t xml:space="preserve">Djelatnici na montaži moraju biti osposobljeni za rad na visini. Izvoditelj je dužan izraditi plan zaštite na </t>
  </si>
  <si>
    <t>radu sa svim mjerama sukladno Zakonu o zaštiti na radu.</t>
  </si>
  <si>
    <t>Preuzimanje čelične konstrukcije:</t>
  </si>
  <si>
    <t xml:space="preserve">Preuzimanje čelične konstrukcije vrši se postupno i to radova koji se pokrivaju pa kasnije postaju nevidljivi </t>
  </si>
  <si>
    <t>te konačno preuzimanje čelične konstrukcije od ovlaštenih predstavnika investitora i izvođača, s izradom zapisnika o</t>
  </si>
  <si>
    <t>preuzimanju.</t>
  </si>
  <si>
    <t>Izvedbeni projekt čelične konstrukcije:</t>
  </si>
  <si>
    <t xml:space="preserve">PREDMET OVE DOKUMENTACIJE JE IZGRADNJA DJEČJEG VRTIĆA LEKENIK.
Prije davanja ponude ponuđač može obići i detaljno izvršiti pregled lokacije, kako bi kod formiranja cijene obuhvatio sve potrebne radove i troškove na pripremnim radovima.
PRIJE PREDAJE PONUDE, U SLUČAJU KAKVIH NEJASNOĆA ILI OCJENE PONUĐAČA DA JE NEKO OD RJEŠENJA NEPRIHVATLJIVO POSTAVITI UPIT NARUČITELJU KOJI ĆE KONTAKTIRATI PROJEKTANTA RADI RAZRJEŠENJA DETALJA.
U PROTIVNOM OD IZVOĐAČA ĆE SE ZAHTIJEVATI IZVOĐENJE DETALJA KAO ŠTO JE PROJEKTANT PREDLOŽIO.
</t>
  </si>
  <si>
    <t xml:space="preserve">iskolčenje ostalih planiranih građevina i zahvata  (ogradnih zidova, elemenata uređenja okoliša, infrastrukturnih trasa) unutar obuhvata u skladu s elaboratom iskolčenja i projektom
</t>
  </si>
  <si>
    <t>strojno i ručno sječenje stabala, te strojno čupanje i vađenje korijenja, prijenos na deponiju, panj promjera 25-50 cm, stabla u granicama obuhvata.</t>
  </si>
  <si>
    <t>strojno i ručno sječenje stabala, te strojno čupanje i vađenje korijenja, prijenos na deponiju, panj promjera 50-100 cm, stabla u granicama obuhvata.</t>
  </si>
  <si>
    <t xml:space="preserve">čišćenje žičanih ograda uključivo metalne i betonske stupove ohrade i vađenje temelja stupova
</t>
  </si>
  <si>
    <t xml:space="preserve">čišćenje terena od raslinja, šiblja, korijenja u granicama obuhvata.
</t>
  </si>
  <si>
    <t>izmještanje infrastrukture - stup uz sjeverni i sjeveroistočni rub čestice</t>
  </si>
  <si>
    <t>uklanjanje infrastrukture - stup uz zapadni rub čestice</t>
  </si>
  <si>
    <t xml:space="preserve">Kod svih radova izvođač je dužan držati se Općih  Uvjeta Troškovnika (OUT), važećih zakona i propisa iz pojedine grupe radova, tehničkih uputstava pojedinih proizvođača, koji moraju biti u skladu sa HRN i EU normama.
</t>
  </si>
  <si>
    <t xml:space="preserve">Kod kalkuliranja cijena za pojedine radove izvođač mora uzeti u obzir sve faze radova, sve potebne elemente i radnje koji čine tehnološku cijelinu izvedbe, jer se VTR neće priznavati zbog 'nepotpune' kalkulacije cijene.
</t>
  </si>
  <si>
    <t>U okviru pripremnih radova potrebno je funkcionalno organizirati gradilište. Izvođač mora osigurati prostor za održavanje koordinacija, privremene priključke komunalne infrastrukture za potrebe gradilišta, privremeni deponij materijala i sl., osigurati ili izvesti sve pristupne putove. Shemu gradilišta i dinamički plan izvođenja radova izvođač će dostaviti stručnom nadzoru i investitoru 8 dana prije početka radova.</t>
  </si>
  <si>
    <t>Rad uključuje sva potrebna mjerenja u vezi prijenosa podataka iz projekta na teren i obrnuto:
- preuzimanje podataka u nadležnom katastru o stalnim geodetskim točkama i njihova obrada,
- provjera međe na terenu,
- iskolčenje građevine prema izvedbenom projektu,
- postavljanje i održavanje iskolčenih oznaka na terenu od početka radova do predaje svih radova investitoru
- izrada i ovjera geodetskog elaborata iskolčenja sa skicom iskolčenja,
- iskolčenje nanosne skele i glavnih visinskih točaka</t>
  </si>
  <si>
    <t>Izvedba, kontrola kakvoće i obračun prema OTU.</t>
  </si>
  <si>
    <t xml:space="preserve">Prije početka radova provodi se iskolčenje. Osnovna iskolčenja i poligonske točke i pomoćne točke moraju se na odgovarajući način osigurati od uništenja i biti jasno označeni cijelo vrijeme radova.
Iskolčenje trase i objekata obuhvaća sva geodetska mjerenja i geodetska praćenja, kojima se podaci iz projekta prenose na teren ili s terena u projekte, osiguranje osi iskolčene potporne konstrukcije, profiliranje, obnavljanje i održavanje iskolčenih oznaka na terenu za sve vrijeme građenja, odnosno do predaje radova investitoru.
</t>
  </si>
  <si>
    <t>fasadna skela</t>
  </si>
  <si>
    <t>Prije izvedbe skele izvođač je dužan izraditi projekt skele što je uključeno u cijenu stavke.</t>
  </si>
  <si>
    <t>Obračun se vrši po m2 projekcije skele; horizontalno - na uzdužnu dužinu zgrade dodaje se 1,2 m1, dok se bočne stranice zgrade obračunavaju bez dodatka, vertikalno - visina se obračunava od kote terena do posljednje platforme + 1,0 m1.</t>
  </si>
  <si>
    <t>skidanje sloja humusa debljine d=20 cm</t>
  </si>
  <si>
    <r>
      <rPr>
        <b/>
        <sz val="10"/>
        <color indexed="8"/>
        <rFont val="Calibri"/>
        <family val="2"/>
      </rPr>
      <t xml:space="preserve">Strojni, široki iskop građevne jame u tlu 'B' kategorije </t>
    </r>
    <r>
      <rPr>
        <sz val="10"/>
        <color indexed="8"/>
        <rFont val="Calibri"/>
        <family val="2"/>
        <charset val="238"/>
      </rPr>
      <t>bagerom s utovarom u vozilo. Iskop izvesti do donje kote šljunčanog tampona ispod donje ploče poda na tlu i/ili donje kote šljunčanog tampona na mjestu uređenog terena i/ili kote uređenog terena oko građevina, a sve prema uzdužnim i poprečnim presjecima, odnosno visinskim kotama iz projekta.</t>
    </r>
  </si>
  <si>
    <r>
      <rPr>
        <b/>
        <sz val="10"/>
        <rFont val="Calibri"/>
        <family val="2"/>
      </rPr>
      <t xml:space="preserve">Montaža i demontaža fasadne skele. </t>
    </r>
    <r>
      <rPr>
        <sz val="10"/>
        <rFont val="Calibri"/>
        <family val="2"/>
      </rPr>
      <t>Skela se izvodi od čeličnih bešavnih cijevi. U  jediničnu cijenu uključen je transport cijevi na gradilište i sa gradilišta, izrada prilaza na skelu, kao i  zaštitna  ograda prema propisima. Skela se izvodi za sve sudionike u izvedbi radova na fasadi te će izvoditelj građevinskih radova izraditi detaljni operativni plan, u koji će uključiti sve aktivnosti radova na fasadi.</t>
    </r>
  </si>
  <si>
    <r>
      <rPr>
        <b/>
        <sz val="10"/>
        <color indexed="8"/>
        <rFont val="Calibri"/>
        <family val="2"/>
      </rPr>
      <t>Izmještanje odnosno uklanjanje betonskog uličnog stupa</t>
    </r>
    <r>
      <rPr>
        <sz val="10"/>
        <color indexed="8"/>
        <rFont val="Calibri"/>
        <family val="2"/>
        <charset val="238"/>
      </rPr>
      <t xml:space="preserve"> rasvjete/elektroinstalacij/telekomunikacija zajedno sa svim vodovima koji su na njega spojeni (rasvjeta, elektoinstalacije, telekomunikacije). 
Stupovi koji se izmještaju/uklanjaju: </t>
    </r>
  </si>
  <si>
    <r>
      <rPr>
        <b/>
        <sz val="10"/>
        <color indexed="8"/>
        <rFont val="Calibri"/>
        <family val="2"/>
      </rPr>
      <t>Zaštita postojeće komunalne i ostale infrastrukture</t>
    </r>
    <r>
      <rPr>
        <sz val="10"/>
        <color indexed="8"/>
        <rFont val="Calibri"/>
        <family val="2"/>
        <charset val="238"/>
      </rPr>
      <t xml:space="preserve"> unutar obuhvata i u kontaktnoj zoni obuhvata (elektroinstalacije, telekomunikacije, vodovod, odvodnja), a sve prema uvjetima i uz suglasnost vlasnika/upravitelja infrastrukture.
Obračun komplet.</t>
    </r>
  </si>
  <si>
    <r>
      <rPr>
        <b/>
        <sz val="10"/>
        <color indexed="8"/>
        <rFont val="Calibri"/>
        <family val="2"/>
      </rPr>
      <t>Strojno i ručno sječenje stabala i vađenje panjeva i korijenja.</t>
    </r>
    <r>
      <rPr>
        <sz val="10"/>
        <color indexed="8"/>
        <rFont val="Calibri"/>
        <family val="2"/>
        <charset val="238"/>
      </rPr>
      <t xml:space="preserve"> Stabla posjeći i ispiliti na dužine pogodne za transport. Promjer stabla do 50 cm, koji se mjeri na visini cca 1,30 m od terena. Stavka obuhvaća slijedeće radove:
</t>
    </r>
  </si>
  <si>
    <r>
      <rPr>
        <b/>
        <sz val="10"/>
        <color indexed="8"/>
        <rFont val="Calibri"/>
        <family val="2"/>
      </rPr>
      <t>Geodetsko iskolčenje radova.</t>
    </r>
    <r>
      <rPr>
        <sz val="10"/>
        <color indexed="8"/>
        <rFont val="Calibri"/>
        <family val="2"/>
        <charset val="238"/>
      </rPr>
      <t xml:space="preserve"> Elaborat o iskolčenju izrađuje osoba registrirana za obavljanje te djelatnosti. Geodetsko iskolčenje radova provodi se prema elaboratu iskolčenja, a sve u skladu s izvedbenim projektom. 
</t>
    </r>
  </si>
  <si>
    <t xml:space="preserve">transport zemljanog materijala B ktg
</t>
  </si>
  <si>
    <t>Visina iskopa za temeljne trake ograde širine 40 cm: od kote postojećeg terena do donje kote podbetona h=cca 90 cm.
Stavka uključuje svo potrebno podupiranje i zaštitu iskopa i građevinske jame pošto se iskop vrši uz sam rub čestice  (razupiranje, odvodnja, zbijanje)</t>
  </si>
  <si>
    <t>Obračunate sljedeće površine:
Izrada površina parkiralište i kolni pristup, pješački pristupi te izrada spoja kolnih i pješačkih ulaza s postojećim kolnim i pješačkim površinama postojeće javne prometnice s popravkom u kontaktnoj zoni.
Obračun po m2.</t>
  </si>
  <si>
    <r>
      <rPr>
        <b/>
        <sz val="10"/>
        <color indexed="8"/>
        <rFont val="Calibri"/>
        <family val="2"/>
      </rPr>
      <t>Strojno planiranje površine dna građevne jame ispod kolno-pješačkih površina</t>
    </r>
    <r>
      <rPr>
        <sz val="10"/>
        <color indexed="8"/>
        <rFont val="Calibri"/>
        <family val="2"/>
        <charset val="238"/>
      </rPr>
      <t xml:space="preserve"> s točnošću ± 2 cm s prosječnim otkopom 0,05 m3/m2, na koti projektiranog iskopa i nabijanje, s odvozom viška zemlje na odlagalište. Zbijanje temeljnog tla u odnosu na standardni Proctor-ov postupak Sz≥100%, odnosno modul stišljivosti Ms≥20MN/m2. 
</t>
    </r>
  </si>
  <si>
    <r>
      <rPr>
        <b/>
        <sz val="10"/>
        <color indexed="8"/>
        <rFont val="Calibri"/>
        <family val="2"/>
      </rPr>
      <t>Strojno planiranje dna građevne jame</t>
    </r>
    <r>
      <rPr>
        <sz val="10"/>
        <color indexed="8"/>
        <rFont val="Calibri"/>
        <family val="2"/>
        <charset val="238"/>
      </rPr>
      <t xml:space="preserve"> sa točnošću ± 2 cm s prosječnim otkopom 0,05 m3/m2, na koti projektiranog iskopa i nabijanje, s odvozom viška zemlje na odlagalište. Zbijanje temeljnog tla u odnosu na standardni Proctor-ov postupak Sz≥100%, odnosno modul stišljivosti Ms≥20MN/m2. 
Obračun po m2.
</t>
    </r>
  </si>
  <si>
    <t>Površina iskopa, nasipa i završnog planiranja mora biti pripremljena za nasipavanje plodnog supstrata.</t>
  </si>
  <si>
    <r>
      <rPr>
        <b/>
        <sz val="10"/>
        <color indexed="8"/>
        <rFont val="Calibri"/>
        <family val="2"/>
      </rPr>
      <t>Strojno planiranje, zatrpavanje iskopa i nasipavanje</t>
    </r>
    <r>
      <rPr>
        <sz val="10"/>
        <color indexed="8"/>
        <rFont val="Calibri"/>
        <family val="2"/>
        <charset val="238"/>
      </rPr>
      <t xml:space="preserve"> okolnog terena i terena uz zgrade, sa skidanjem neravnina na  terenu, usjecanje i fino formiranje kosina i dovođenja u prirodne i projektirane nagibe, a sve prema uzdužnim i poprečnim presjecima, odnosno visinskim kotama iz projekta.</t>
    </r>
  </si>
  <si>
    <t>planiranje okolnog terena i nasipavanje zemljom:</t>
  </si>
  <si>
    <t>nasipavanje šljunka d=50 cm -  intervencijska ploha - HDPE travna rešetka</t>
  </si>
  <si>
    <t xml:space="preserve">šljunčani oblutci granulacije do 20-40 mm, širine š=40 cm i u sloju debljine d=20 cm
</t>
  </si>
  <si>
    <t>geotekstil 300 g/m2</t>
  </si>
  <si>
    <t>geotekstil 400 g/m3</t>
  </si>
  <si>
    <r>
      <rPr>
        <b/>
        <sz val="10"/>
        <color indexed="8"/>
        <rFont val="Calibri"/>
        <family val="2"/>
      </rPr>
      <t>Dobava šljunka, oblutaka granulacije 20 mm do 40 mm i izvedba sloja šljunka</t>
    </r>
    <r>
      <rPr>
        <sz val="10"/>
        <color indexed="8"/>
        <rFont val="Calibri"/>
        <family val="2"/>
        <charset val="238"/>
      </rPr>
      <t xml:space="preserve"> u širine 40 cm i debljine 20 cm, uz rub pročelja zgrade na dijelu gdje nema vanjskog opločenja ili sl. Dobaviti vrstu i boju oblutaka po izboru projektanta.
Obračun po m3.
</t>
    </r>
  </si>
  <si>
    <r>
      <rPr>
        <b/>
        <sz val="10"/>
        <color indexed="8"/>
        <rFont val="Calibri"/>
        <family val="2"/>
      </rPr>
      <t>Dobava materijala, razastiranje prirodnog ili drobljenog šljunka 0-32 mm</t>
    </r>
    <r>
      <rPr>
        <sz val="10"/>
        <color indexed="8"/>
        <rFont val="Calibri"/>
        <family val="2"/>
        <charset val="238"/>
      </rPr>
      <t xml:space="preserve">, koji se ugrađuje u slojevima s odgovarajućom mehanizacijom. Zbijanje materijala se vrši vibovaljkom do projektiranog modula stišljivosti </t>
    </r>
    <r>
      <rPr>
        <sz val="10"/>
        <rFont val="Calibri"/>
        <family val="2"/>
        <charset val="238"/>
      </rPr>
      <t>Ms=100 MN/m2, te stupnja zbijenosti Sz=100%.</t>
    </r>
    <r>
      <rPr>
        <sz val="10"/>
        <color indexed="8"/>
        <rFont val="Calibri"/>
        <family val="2"/>
        <charset val="238"/>
      </rPr>
      <t xml:space="preserve"> Ukupna debljine šljunčanog tampona 50 cm. Ako je potrebno šljunčani nasip se stabilizira cementnim mlijekom radi postizanja projektiranog modula stišljivosti.</t>
    </r>
  </si>
  <si>
    <t>Prema potrebi određeni dio rubnjaka će se izraditi tlocrtno zakrivljeni bez posebne naplate.</t>
  </si>
  <si>
    <t>Obračun obuhvaća materijal, transport, rad, izradu oglednih uzoraka, sve kompletno.</t>
  </si>
  <si>
    <t>Obračun je po m1 izvedenog rubnjaka.</t>
  </si>
  <si>
    <t xml:space="preserve">betonski rubnjak veličine 8x20 cm - rub antitraumatske plohe
</t>
  </si>
  <si>
    <t xml:space="preserve">betonski rubnjak veličine 8x20 cm - rub pješačkih površina
</t>
  </si>
  <si>
    <t xml:space="preserve">upušteni betonski rubnjak veličine 8x20 cm - rub između travne rešetke parkirališta i asfalta parkirališta
</t>
  </si>
  <si>
    <t>Obračun po m2 i m3.</t>
  </si>
  <si>
    <t>Betonski opločnici sive boje i glatke obrade, boje i obrade prema odluci projektanta.</t>
  </si>
  <si>
    <r>
      <rPr>
        <b/>
        <sz val="10"/>
        <color indexed="8"/>
        <rFont val="Calibri"/>
        <family val="2"/>
      </rPr>
      <t>Dobava i postava gotovih betonskih travnih rešetki</t>
    </r>
    <r>
      <rPr>
        <sz val="10"/>
        <color indexed="8"/>
        <rFont val="Calibri"/>
        <family val="2"/>
        <charset val="238"/>
      </rPr>
      <t xml:space="preserve">  s izradom donjeg nosivog sloja. Ploče su dimenzija 40x60x8 cm, boje i obrade po odabiru projektanta. </t>
    </r>
  </si>
  <si>
    <t>Šupljine travne rešetke se ispunjavaju plodnim supstratom debljine 8 cm.</t>
  </si>
  <si>
    <t>betonske travna rešetka</t>
  </si>
  <si>
    <t>Prije betoniranja potrebno je proučiti sve projekte instalacija i postaviti kutije za sve instalacione prodore i razvode. Naknadna probijanja se neće obračunati.</t>
  </si>
  <si>
    <t>Izvedba i kontrola kakvoće prema OTU.</t>
  </si>
  <si>
    <t>pijesak 0-4 mm, d=5 cm</t>
  </si>
  <si>
    <t>obodna oplata, h=10 cm</t>
  </si>
  <si>
    <t>A.5.5.</t>
  </si>
  <si>
    <t>A.5.6.</t>
  </si>
  <si>
    <r>
      <rPr>
        <b/>
        <sz val="10"/>
        <color indexed="8"/>
        <rFont val="Calibri"/>
        <family val="2"/>
      </rPr>
      <t>Izrada projekta betona</t>
    </r>
    <r>
      <rPr>
        <sz val="10"/>
        <color indexed="8"/>
        <rFont val="Calibri"/>
        <family val="2"/>
        <charset val="238"/>
      </rPr>
      <t xml:space="preserve"> za sve armiranobetonske radove na građevini - obveza izvođača. Projekt betona treba obraditi po konstruktivnim cjelinama.</t>
    </r>
  </si>
  <si>
    <t>Obračun po m3 ugrađenog betona i m2 oplate.</t>
  </si>
  <si>
    <t>Uključena ugradba umetaka za sve prodore, šliceve, ugradba temeljnog uzemljivača i slično, te njega betona.</t>
  </si>
  <si>
    <t>Betoniranje se izvodi prema projektu betona s prekidima betoniranja označenim u nacrtima armature i prema posebnom naputku konstruktera.
Armatura B500B obračunata u armiračkim radovima.</t>
  </si>
  <si>
    <t>A.5.7.</t>
  </si>
  <si>
    <t>A.5.8.</t>
  </si>
  <si>
    <t xml:space="preserve">Podložni beton treba izvesti zbog polaganja horizontalne hidroizolacije. Gornju površinu obraditi prema zahtjevu iz tehničkih listova proizvođača hidroizolacije.
</t>
  </si>
  <si>
    <t>jednostrana obodna oplata, h=15 cm.</t>
  </si>
  <si>
    <r>
      <rPr>
        <b/>
        <sz val="10"/>
        <color indexed="8"/>
        <rFont val="Calibri"/>
        <family val="2"/>
      </rPr>
      <t>Betoniranje armiranobetonske podne ploče terasa</t>
    </r>
    <r>
      <rPr>
        <sz val="10"/>
        <color indexed="8"/>
        <rFont val="Calibri"/>
        <family val="2"/>
        <charset val="238"/>
      </rPr>
      <t>, beton C25/30, debljine od 15 cm,  konstrukcija srednjih presjeka 0,12 - 0,30 m3/m2/m1, razred izloženosti XC2, vodonepropusni beton. Dobava i doprema materijala, te strojno betoniranje. Izvodi se iznad sloja podložnog betona, nasipa šljunka i geotekstila.</t>
    </r>
  </si>
  <si>
    <t xml:space="preserve">Obračun po m3 ugrađenog betona, m2 oplate.
</t>
  </si>
  <si>
    <t xml:space="preserve">armirano betonski zidovi d=20 cm, beton C25/30 
</t>
  </si>
  <si>
    <t xml:space="preserve">armirano betonske grede, d=20 cm, beton C25/30 
</t>
  </si>
  <si>
    <t>trostrana oplata, glatka</t>
  </si>
  <si>
    <t>A.5.9.</t>
  </si>
  <si>
    <t>A.5.10.</t>
  </si>
  <si>
    <t>vijenci i kontragrede:</t>
  </si>
  <si>
    <t>A.5.11.</t>
  </si>
  <si>
    <t>armiranobetonski temelji:</t>
  </si>
  <si>
    <t>dvostrana oplata</t>
  </si>
  <si>
    <t>A.5.12.</t>
  </si>
  <si>
    <t>A.5.13.</t>
  </si>
  <si>
    <t>A.5.14.</t>
  </si>
  <si>
    <t xml:space="preserve">armiranobetonska stropna ploča d=20 cm, beton C25/30
</t>
  </si>
  <si>
    <t>temelji ograde i opreme na čestici:</t>
  </si>
  <si>
    <t>dvostrana glatka oplata</t>
  </si>
  <si>
    <t xml:space="preserve">armiranobetonske temeljne trake ograde s nadtemeljnim zidom, beton C25/30
</t>
  </si>
  <si>
    <t xml:space="preserve">Uključena ugradba umetaka za sve prodore, šliceve, ugradba temeljnog uzemljivača i slično, te njega betona.
Uključena ugradba sidara za sidrenje stupa ograde. </t>
  </si>
  <si>
    <t xml:space="preserve">Obračun po m3 ugrađenog betona, m2 oplate, kg ugrađene armature.
</t>
  </si>
  <si>
    <r>
      <rPr>
        <b/>
        <sz val="10"/>
        <color indexed="8"/>
        <rFont val="Calibri"/>
        <family val="2"/>
      </rPr>
      <t>Betoniranje armiranobetonskih temelja opreme dječjeg igrališta i klupa</t>
    </r>
    <r>
      <rPr>
        <sz val="10"/>
        <color indexed="8"/>
        <rFont val="Calibri"/>
        <family val="2"/>
      </rPr>
      <t>, beton C25/30, k</t>
    </r>
    <r>
      <rPr>
        <sz val="10"/>
        <color indexed="8"/>
        <rFont val="Calibri"/>
        <family val="2"/>
        <charset val="238"/>
      </rPr>
      <t xml:space="preserve">onstrukcija velikog presjeka &gt; 0,30 m3/m2/m1, razred izloženosti XC2. Dobava i doprema materijala, te strojno betoniranje. Betoniranje se izvodi u oplati. </t>
    </r>
  </si>
  <si>
    <t>četverostrana oplata</t>
  </si>
  <si>
    <t>A.5.15.</t>
  </si>
  <si>
    <t xml:space="preserve">Betoniranje se izvodi prema projektu betona. Armirano armaturom B500B, armirano centralno u presjeku s mrežastom armaturom Q 166 (B500B). </t>
  </si>
  <si>
    <t>A.5.16.</t>
  </si>
  <si>
    <t>zidanje blok opekom:</t>
  </si>
  <si>
    <t>A.7.1.</t>
  </si>
  <si>
    <t>U cijenu uključiti sve potrebne zidarske radove i priručnu radnu skelu.</t>
  </si>
  <si>
    <t>Obračun po m3 zida.</t>
  </si>
  <si>
    <t>pregradni zidovi od opeke d=20 cm</t>
  </si>
  <si>
    <t>A.7.2.</t>
  </si>
  <si>
    <t>pregradni zidovi od opeke d=12 cm</t>
  </si>
  <si>
    <t>Obračun po m2 zida.</t>
  </si>
  <si>
    <t>A.7.3.</t>
  </si>
  <si>
    <t>Obrađuju se slijedeće konstrukcije: pregradni zidovi oznake [ZPU.3] u dječjim sanitarijama.</t>
  </si>
  <si>
    <t>A.7.4.</t>
  </si>
  <si>
    <t>Obračun po kom.</t>
  </si>
  <si>
    <t>A.7.5.</t>
  </si>
  <si>
    <t>Prije nanošenja žbuke se mora pregledati i sve nepravilnosti otkloniti. Podloga mora biti suha, bez prljavštine, prašine, ulja i masnoća. 
Na svim uglovima zidova, špaletama otvora treba postaviti pocinčane kutnike. Žbuka mora biti ravna, uglovi okomiti i oštri. Na sudarima različitih materijala obavezno postaviti plastičnu ili pocinčanu mrežicu za sprečavanje pukotina, (preporuča se polaganje mrežice po čitavoj površini zida).</t>
  </si>
  <si>
    <t>Visina žbukanja preko 300 cm.</t>
  </si>
  <si>
    <t>strojno žbukanje zidova od opeke, vapneno cementnom žbukom, d=2 cm</t>
  </si>
  <si>
    <t>A.7.6.</t>
  </si>
  <si>
    <t>strojno žbukanje zidova od armiranog betona, vapneno cementnom žbukom, d=2 cm</t>
  </si>
  <si>
    <t>strojno žbukanje zidova obloženim pločama od pjenobetona, vapneno cementnom žbukom, d=2 cm</t>
  </si>
  <si>
    <t xml:space="preserve">Faze izvođenja:  </t>
  </si>
  <si>
    <t xml:space="preserve">Obračun po m2 vertikalne površine zida.
</t>
  </si>
  <si>
    <t>Žbukanje zidova vapnenocementnom žbukom.</t>
  </si>
  <si>
    <t>Žbukanje stropova vapnenocementnom žbukom.</t>
  </si>
  <si>
    <t>Obračun po m2 stropa.</t>
  </si>
  <si>
    <t>strojno žbukanje stropova od armiranog betona, vapneno cementnom žbukom, d=2 cm</t>
  </si>
  <si>
    <t>A.7.7.</t>
  </si>
  <si>
    <t>Estrih oznake: CT C20 F5</t>
  </si>
  <si>
    <t>Cementni estrih mora se od zida odvojiti trakom polistirena debljine 1 cm, minimalne visine kao debljina estriha (obračunato u termoizolaterskim radovima).</t>
  </si>
  <si>
    <t>Obračun po m2 izvedenog estriha.</t>
  </si>
  <si>
    <t>A.7.9.</t>
  </si>
  <si>
    <t>Na prijelazima između prostorija izvesti dilatacionu fugu, a također na površinama većim od 20 m2 izvesti dilatacione reške.</t>
  </si>
  <si>
    <t>Čišćenje zgrade u toku gradnje, te završno čišćenje i pranje prije primopredaje. Obračun po tlocrtnoj bruto površini etaža građevine (m2). U ovoj stavci treba ponuditi kompletne troškove rada, transporta i materijala za čišćenje koje obuhvaća slijedeće:</t>
  </si>
  <si>
    <t>A.7.10.</t>
  </si>
  <si>
    <t>A.8.1.</t>
  </si>
  <si>
    <r>
      <rPr>
        <b/>
        <sz val="10"/>
        <color indexed="8"/>
        <rFont val="Calibri"/>
        <family val="2"/>
      </rPr>
      <t>Izrada, nabava i ugradnja asfaltne mješavine za nosive slojeve od bitumeniziranog materijala AC 32 base</t>
    </r>
    <r>
      <rPr>
        <sz val="10"/>
        <color indexed="8"/>
        <rFont val="Calibri"/>
        <family val="2"/>
        <charset val="238"/>
      </rPr>
      <t xml:space="preserve">, 50/70, AG6, M2-E, po vrućem postupku. </t>
    </r>
  </si>
  <si>
    <t>Zbijenost posteljice minimalno: Ms=100 MN/m2. Odstupanje od ravnosti površine max 0,5%.</t>
  </si>
  <si>
    <t>Srednje prometno opterećenje.</t>
  </si>
  <si>
    <t>U cijeni su sadržani svi troškovi nabave materijala, proizvodnje i ugradnje asfaltne mješavine, prijevoz, oprema i sve ostalo što je potrebno za izvođenje radova, do potpune  gotovosti.</t>
  </si>
  <si>
    <t>Izvode se kolne i pješačke površine te spoj kolnih i pješačkih ulaza s postojećim kolnim i pješačkim površinama postojeće javne prometnice te popravak u kontaktnoj zoni izvan predmetne čestice.</t>
  </si>
  <si>
    <r>
      <rPr>
        <b/>
        <sz val="10"/>
        <color indexed="8"/>
        <rFont val="Calibri"/>
        <family val="2"/>
      </rPr>
      <t xml:space="preserve">Nabava i izrada i ugradnja asfaltne mješavine za habajući sloj (AC surf). </t>
    </r>
    <r>
      <rPr>
        <sz val="10"/>
        <color indexed="8"/>
        <rFont val="Calibri"/>
        <family val="2"/>
        <charset val="238"/>
      </rPr>
      <t xml:space="preserve">
Rad obuhvaća nabavu, polaganje i zbijanje materijala, prijevoz, opremu i sve što je potrebno za potpuno dovršenje rada. Obračun po m2 gornje površine stvarno položenog i utvrđenog sloja, sve do pogonske gotovosti - O.T.U.  Asfalt beton AB 8, BIT 60 (prema EN 12591:1999, 50/70).</t>
    </r>
  </si>
  <si>
    <t>A.9.1.</t>
  </si>
  <si>
    <t>A.9.2.</t>
  </si>
  <si>
    <t>bitumenska traka s uloškom od Al - folije, s oksidiranim bitumenom, d=4 mm</t>
  </si>
  <si>
    <r>
      <rPr>
        <b/>
        <sz val="10"/>
        <rFont val="Calibri"/>
        <family val="2"/>
      </rPr>
      <t>Dobava i postava specijalnih profila od galvaniziranog čeličnog lima 0,6mm laminiranog sa slojem TPO/FPO membrane 1,1 mm, tipa usklađenog s tipom hidroizolacije.</t>
    </r>
    <r>
      <rPr>
        <sz val="10"/>
        <rFont val="Calibri"/>
        <family val="2"/>
        <charset val="238"/>
      </rPr>
      <t xml:space="preserve"> Dodatno brtvljenje odgovarajućim trajnoelastičnim kitom na bazi poliuretana, odgovarajućim temeljnim premazom i PE ispunom za fuge. U cijenu uključen sav potreban materijal i rad. 
Obračun po m1.
</t>
    </r>
  </si>
  <si>
    <t xml:space="preserve">Geotekstil se postavlja u svrhu zaštite hidroizolacije i razdvajanja slojeva. </t>
  </si>
  <si>
    <r>
      <rPr>
        <b/>
        <sz val="10"/>
        <rFont val="Calibri"/>
        <family val="2"/>
      </rPr>
      <t>Dobava i postava razdjelog i/ili zaštitnog sloja netkanog tekstila (filc), na bazi polipropilena, termo fiksiran.</t>
    </r>
    <r>
      <rPr>
        <sz val="10"/>
        <rFont val="Calibri"/>
        <family val="2"/>
      </rPr>
      <t xml:space="preserve"> </t>
    </r>
    <r>
      <rPr>
        <sz val="10"/>
        <rFont val="Calibri"/>
        <family val="2"/>
        <charset val="238"/>
      </rPr>
      <t xml:space="preserve">Gustoća 200-400 g/m2, debljine 1,6-2,5mm, s preklopom od 15 cm. 
</t>
    </r>
  </si>
  <si>
    <t>folije HDPE:</t>
  </si>
  <si>
    <t>Obračun po m2 položene folije.</t>
  </si>
  <si>
    <t xml:space="preserve">Kod izvođenja radova u svemu se pridržavati uputa iz tehničkih listova proizvođača. </t>
  </si>
  <si>
    <t>PEHD čepasta folija, d=0,6 mm</t>
  </si>
  <si>
    <t>PE folije:</t>
  </si>
  <si>
    <t>B.1.11.</t>
  </si>
  <si>
    <r>
      <rPr>
        <b/>
        <sz val="10"/>
        <rFont val="Calibri"/>
        <family val="2"/>
      </rPr>
      <t>Dobava i postava PE folije</t>
    </r>
    <r>
      <rPr>
        <sz val="10"/>
        <rFont val="Calibri"/>
        <family val="2"/>
      </rPr>
      <t>, u slojevima poda. Folija se polaže s preklopima min. 10 cm.</t>
    </r>
  </si>
  <si>
    <t xml:space="preserve">Folija je sljedećih karakteristika:
- materijal: polietilen 
- težina folije: 125 gr/m2
- debljina: 0,2 mm
</t>
  </si>
  <si>
    <t>PE folija, d=0,2 mm</t>
  </si>
  <si>
    <t>- Hladni bitumenski temeljni premaz koji se sastoji od oplemenjenog bitumena i brzo sušivog organskog otapala. Prije nanošenja treba podlogu dobro očistiti od nevezanih čestica, ulja ili masti. Prednamaz se mora u potpunosti osušiti prije nanošenja ostalih slojeva. Namaz se nanosi špricom, četkom ili valjkom i ima sljedeće karakteristike:
•udio bitumenskog veziva: min 30%
•točka razmekšavanja: min 55°C
•pokrivna moć: cca 300 g/m2</t>
  </si>
  <si>
    <t>Izolacija se sastoji iz sljedećih elemenata:</t>
  </si>
  <si>
    <t>Obračun po m2 izvedene hidroizolacije.</t>
  </si>
  <si>
    <t>Mort se nanosi u dva sloja ukupne debljine 2 mm. Između dva namaza, u sviježi mort utisne se staklena mrežica za armiranje, a na spoju zida i poda sloj se dodatno ojačava gumiranom poliesterskom  trakom, sve prema uputama proizvođača.</t>
  </si>
  <si>
    <t xml:space="preserve">- Podložna traka (razdjelni sloj) u višeslojnom izolacijskom sustavu od bitumeniziranog anorganskog uloška od staklenog voala.Traka se polaže u jednom sloju (1x) i ima sljedeće karakteristike:
•težina trake: cca 28 kg
•ukupna debljina: ktg 3
•masa bitumenskog veziva: min. 2.000 g/m2
•vrsta uloška: stakleni voal
•masa uloška: min 60 g/m2
•prekidna sila: &gt;300 N
•izduženje: &gt;2%
•udio punila: max 25%
</t>
  </si>
  <si>
    <t>- ljepilo za međusobno ljepljenje traka
•specifična težina: 0.99 g/cm3
•viskoznost: 2000 cPs</t>
  </si>
  <si>
    <t>- sistemski holker element za prijelaz s poda i zida</t>
  </si>
  <si>
    <t>- sistemski spoj za podni sifon</t>
  </si>
  <si>
    <t>horizontalna izolacija visoko elastičnim mortom, debljina namaza  d=2x1 mm, podovi u sanitarnim prostorima, kuhinji i pomoćnim prostorima</t>
  </si>
  <si>
    <t>vertikalna izolacija visoko elastičnim mortom, debljina namaza  d=2x1 mm, zidovi u sanitarnim prostorima, kuhinji i pomoćnim prostorima</t>
  </si>
  <si>
    <t>B.1.12.</t>
  </si>
  <si>
    <t>B.1.13.</t>
  </si>
  <si>
    <t xml:space="preserve">Dobava materijala i izrada hidroizolacije podova i zidova sanitarnih prostora dvokomponentnim visoko elastičnim cementnim mortom s dodatkom sintetičkih polimera.
</t>
  </si>
  <si>
    <r>
      <rPr>
        <b/>
        <sz val="10"/>
        <color indexed="8"/>
        <rFont val="Calibri"/>
        <family val="2"/>
      </rPr>
      <t xml:space="preserve">Dobava i postava toplinskoizolacijske ploče od ekspandiranog polistirena EPS 150 za toplinsku i zvučnu izolaciju podova. </t>
    </r>
    <r>
      <rPr>
        <sz val="10"/>
        <color indexed="8"/>
        <rFont val="Calibri"/>
        <family val="2"/>
        <charset val="238"/>
      </rPr>
      <t xml:space="preserve">
</t>
    </r>
  </si>
  <si>
    <t xml:space="preserve">Ploče kamene vune se postavljaju u konstrukciju krova, u 2 sloja, između drvene potkonstrukcije u 2 smjera, te nisu izložene tlačnom opterećenju.
</t>
  </si>
  <si>
    <t>Obračun po m2 razvijene površine.</t>
  </si>
  <si>
    <t>kosi krovovi:</t>
  </si>
  <si>
    <t>A.10.1.</t>
  </si>
  <si>
    <t>Drvena potkonstrukcija krova se sastoji iz sljedećih elemenata:</t>
  </si>
  <si>
    <t xml:space="preserve">- daščana oplata od OSB ploča d=22 mm, klase 4, položene na letve
</t>
  </si>
  <si>
    <t>Obračun po m2 krova i m3 krovne građe.</t>
  </si>
  <si>
    <t>kosi krov, drvena potkonstrukcija - gredice</t>
  </si>
  <si>
    <t>kosi krov, letve</t>
  </si>
  <si>
    <t>limeni pokrov s opšavima:</t>
  </si>
  <si>
    <t>Rub opšava je prilagođen na način da štiti od prodora kiše nošene vjetrom. Stavka obuhvaća podvlačenje opšava pod pokrov, vertikalno podizanje i horizontalno povijanje na vrhu opšava s vertikalnim prijevojem lima da se spriječi ulaz vode.</t>
  </si>
  <si>
    <t>U cijeni su svi ventilacijski elementi u plohi krova.</t>
  </si>
  <si>
    <t>limeni opšav donjeg ruba kose plohe - okapnog lima koji se postavlja na rub podaščane plohe iznad žlijeba, ispod paropropusne, vodonepropusne folije,  r.š. do 35 cm.</t>
  </si>
  <si>
    <t xml:space="preserve">Opšavi je prilagođen na način da štiti od prodora kiše nošene vjetrom. </t>
  </si>
  <si>
    <t>Obračun po  m1.</t>
  </si>
  <si>
    <t>Snjegobrani se postavljaju u dva reda smaknuto, sa razmakom cca. 30 cm ukupne dužine kao dužina krova.</t>
  </si>
  <si>
    <t>snjegobran</t>
  </si>
  <si>
    <t>Obračun po  m1 i kom.</t>
  </si>
  <si>
    <t>Izvođač kabina dužan je prije izvedbe izvršiti izmjeru u naravi i izraditi izvedbeni nacrt kabina, ponuditi paletu boja (RAL), vrstu pregrade, vrstu okova (nylon ili inox linija), prezentirati izvedbene detalje, te ostale uzorke dati projektantu na uvid i sve izvesti nakon pismenog odobrenja projektanta.</t>
  </si>
  <si>
    <t xml:space="preserve">Kabine su visine 120 cm uključivo  i inox nogice visine 15 cm. U profili 20x20 mm, po donjem i gornjem rubu pregrade. Svi spojevi između stijena i dovratnika, te stijena i zidova izvedeni su od aluminijskih U profila po čitavoj visini spoja. Prednja linija je ojačana i ukručena s ovalnim G aluminijskim profilom. Na dovratnicima su po čitavoj visini ugrađeni profili sa silikonskom brtvom za bešumno zatvaranje. Kabine su od poda odignute za 15 cm pomoću inox nogica s regulatorom visine. </t>
  </si>
  <si>
    <t>Vrata su opremljena s leptir bravom i kuglom, s oznakom položaja zauzeto - slobodno i s mogućnošću sigurnosnog otvaranja izvana. Svaka vrata imaju 3 spojnice (vratne petlje) s integriranom oprugom za samozatvaranje, te vješalicom za odjeću.U tuš kabini još 2 dodatne kukice za vješanje na bočnoj stijeni ispred tuša. Sve kukice od inox-a.</t>
  </si>
  <si>
    <t xml:space="preserve">Kabine su visine 220 cm uključivo  i inox nogice visine 15 cm. U profili 20x20 mm, po donjem i gornjem rubu pregrade. Svi spojevi između stijena i dovratnika, te stijena i zidova izvedeni su od aluminijskih U profila po čitavoj visini spoja. Prednja linija je ojačana i ukručena s ovalnim G aluminijskim profilom. Na dovratnicima su po čitavoj visini ugrađeni profili sa silikonskom brtvom za bešumno zatvaranje. Kabine su od poda odignute za 15 cm pomoću inox nogica s regulatorom visine. </t>
  </si>
  <si>
    <r>
      <rPr>
        <b/>
        <sz val="10"/>
        <color indexed="8"/>
        <rFont val="Calibri"/>
        <family val="2"/>
      </rPr>
      <t xml:space="preserve">Dobava, izrada i ugradnja unutarnjih punih drvenih jednokrilnih zaokretnih vrata s fiksnim ostakljenim nadsvijetlom. </t>
    </r>
    <r>
      <rPr>
        <sz val="10"/>
        <color indexed="8"/>
        <rFont val="Calibri"/>
        <family val="2"/>
        <charset val="238"/>
      </rPr>
      <t xml:space="preserve">
Vratno krilo s ojačanim masivnim rubovima, ispunjeno kartonskim sačem. Debljina vratnog krila 40 mm. Krilo izvesti u ravnini sa vanjskim rubom dovratnika.
Krilo tvornički lakirano mat lakom, boja i tekstura prema odabiru projektanta.
Dovratnik metalni, prašno plastificiran i izvodi se u čitavoj širini zida, spoj između krila i dovratnika brtvi se EPDM profilom. Sve tvornički plastificirano, boja i tekstura plastifikacije prema odabiru projektanta.</t>
    </r>
  </si>
  <si>
    <r>
      <t xml:space="preserve">Dobava i montaža pregrade pisoara. </t>
    </r>
    <r>
      <rPr>
        <sz val="10"/>
        <color indexed="8"/>
        <rFont val="Calibri"/>
        <family val="2"/>
      </rPr>
      <t>Pregrada je izrađena od visokotlačno prešane laminat ploče (HPL) prema standardu EN 438, minimalne debljine 15 mm. Svi vanjski rubovi obrađeni su  radijusom od 2 mm.</t>
    </r>
  </si>
  <si>
    <t>Izvođač kabina dužan je prije izvedbe izvršiti izmjeru u naravi i izraditi izvedbeni nacrt, ponuditi paletu boja (RAL), vrstu pregrade, vrstu okova (nylon ili inox linija), prezentirati izvedbene detalje, te ostale uzorke dati projektantu na uvid i sve izvesti nakon pismenog odobrenja projektanta.</t>
  </si>
  <si>
    <t>Obvezna koordinacija sa izvođačem zida i izvođačem soboslikarskih radova i izvođačem podopolagačkih radova (ovisno o položaju ugradnje) na završnoj obradi kontaktne plohe i pripremi za ugradnju vrata.</t>
  </si>
  <si>
    <t>Radovi moraju biti izvedeni u skladu sa važećom zakonskom regulativom, tehničkim propisima i normama, uz obveznu ispravu o sukladnosti materijala i proizvoda, te u skladu s pravilima struke.</t>
  </si>
  <si>
    <t>Promjene nisu dopuštene bez suglasnosti ovlaštenog projektanta.</t>
  </si>
  <si>
    <t>gr.o.=građevinski otvor: š/v</t>
  </si>
  <si>
    <t>+</t>
  </si>
  <si>
    <t>Ugradnja prema RAL smjernicama, s parnim branama i vodonepropusnim spojnim elementima, bez toplinskih mostova:</t>
  </si>
  <si>
    <t>ugradnju vrata na pravilnu liniju izoterme (vanjska strana špalete),</t>
  </si>
  <si>
    <t>ugradnju vrata na sistemski PVC bazni profil - nema toplinskog mosta,</t>
  </si>
  <si>
    <t>ugradnju hidroizolacijskih paropropusnih folija s vanjske strane,</t>
  </si>
  <si>
    <t>širinu bočne fuge između štoka i zida širine prema RAL tabeli,</t>
  </si>
  <si>
    <t>ugradnju stakla s okvirom u skladu sa zahtjevima zaštite od buke,</t>
  </si>
  <si>
    <t>Napomena: u cijenu radova treba uključiti izradu i postavu svih potrebnih metalnih slijepih dovratnika/doprozornika.</t>
  </si>
  <si>
    <t xml:space="preserve">Sastavni dio troškovničkog opisa je specifikacija opreme i shema bravarije, te se kod kalkuliranje cijene treba pridržavati opisa opreme i detalja u shemi bravarije. Stijene, prozore i vrata u svemu izvoditi prema shemama aluminijske bravarije, opisu i uputi projektanta.
</t>
  </si>
  <si>
    <r>
      <t xml:space="preserve">Svi elementi ugrađuju prema smjernicama </t>
    </r>
    <r>
      <rPr>
        <b/>
        <sz val="10"/>
        <color indexed="12"/>
        <rFont val="Calibri"/>
        <family val="2"/>
      </rPr>
      <t>RAL 'suhe' ugradnje</t>
    </r>
    <r>
      <rPr>
        <sz val="10"/>
        <color indexed="12"/>
        <rFont val="Calibri"/>
        <family val="2"/>
        <charset val="238"/>
      </rPr>
      <t>. Smjernice za RAL ugradnju:</t>
    </r>
  </si>
  <si>
    <r>
      <rPr>
        <b/>
        <sz val="10"/>
        <rFont val="Calibri"/>
        <family val="2"/>
      </rPr>
      <t>Dobava, izrada i ugradnja kompletnih vanjskih stijena, prozora i vrata iz aluminijskih profila</t>
    </r>
    <r>
      <rPr>
        <sz val="10"/>
        <rFont val="Calibri"/>
        <family val="2"/>
        <charset val="238"/>
      </rPr>
      <t xml:space="preserve"> s prekinutim toplinskim mostom u toplinski i zvučno izoliranoj konstrukciji, elementi su izrađeni od horizontala i vertikala. 
Završna obrada profila prašnim plastificiranjem u boji po odabiru projektanta.
</t>
    </r>
  </si>
  <si>
    <t>p)</t>
  </si>
  <si>
    <t>napomena za sve stavke:</t>
  </si>
  <si>
    <t xml:space="preserve">Sastavni dio troškovničkog opisa je specifikacija opreme i shema bravarije, te se kod kalkuliranje cijene treba pridržavati opisa opreme i detalja u shemi bravarije.
</t>
  </si>
  <si>
    <t>Vanjske ostakljene stijene ugrađuju u ravnini s vanjskim rubom nosivog dijela zida.</t>
  </si>
  <si>
    <t>unutarnja protupožarna bravarija:</t>
  </si>
  <si>
    <t>Ograda se temelji na betonskim trakastim temeljima - ogradni zid širine 20 cm (obračunato posebno).</t>
  </si>
  <si>
    <t>B.5.4.</t>
  </si>
  <si>
    <t>B.7.6.</t>
  </si>
  <si>
    <t>B.7.7.</t>
  </si>
  <si>
    <t>vanjski krovni otvori:</t>
  </si>
  <si>
    <t>B.5.5.</t>
  </si>
  <si>
    <t>ČELIČNA KONSTRUKCIJA</t>
  </si>
  <si>
    <t>Izvođač mora na gradilištu uzeti sve izmjere, jer pojedine mjere mogu odstupati od stvarnog stanja.</t>
  </si>
  <si>
    <t>Izvođač je dužan izraditi radioničke nacrte i izvedbeni projekt svakog elementa, dimenzionirati podkonstrukciju, izraditi detalje priključenja na konstrukciju, detalje brtvljenja, itd.</t>
  </si>
  <si>
    <t>Elementi čelične konstrukcije moraju odgovarati slijedećim standardima:</t>
  </si>
  <si>
    <t>Konstrukcija se iz čeličnih profila.</t>
  </si>
  <si>
    <t>Čelična konstrukcija sastoji se iz sljedećih elemenata:</t>
  </si>
  <si>
    <t>U cijenu uračunata spojna sredstva, zaštitno i završno ličenje, zavari te sve definirane kontrole kvalitete.</t>
  </si>
  <si>
    <t>Obračun po težini (kg) čelične konstrukcije uključivo sav potreban rad i materijal.</t>
  </si>
  <si>
    <t xml:space="preserve">Podloga na koju nanosimo boju mora biti čvrsta, suha i čista, bez slabo vezajućih djelova, praha, masnih mrlja i nečistoća. Nove žbuke prije bojanja sušiti 3 - 4 tjedna (ili najmanje 7 - 10 dana za svaki centimetar žbuke).
</t>
  </si>
  <si>
    <t>B.7.8.</t>
  </si>
  <si>
    <t>B.7.9.</t>
  </si>
  <si>
    <t>Pločice su sljedećih karakteristika:</t>
  </si>
  <si>
    <t>- upijanje vode: &lt;0.5%</t>
  </si>
  <si>
    <t>- čvrstoća na slom: min 1.000 N/mm2</t>
  </si>
  <si>
    <t>- čvrstoća na savijanje: 30 N/mm2</t>
  </si>
  <si>
    <t>- Otpornost na kamenac (mrlje): classe 3</t>
  </si>
  <si>
    <t>Kvaliteta veznog i fugirnog materijala:</t>
  </si>
  <si>
    <t>- temeljni premaz: vodena disperzija na bazi sintetičke smole.</t>
  </si>
  <si>
    <t>Postavljanje pločica prema shemi polaganja.</t>
  </si>
  <si>
    <t>U cijenu uključiti sav potreban rad i materijal,  vezni i brtveni materijal  te čiščenje keramike nakon opločenja i fugiranja od ostataka ljepila i fugir mase.</t>
  </si>
  <si>
    <t>Obračun po m2 položenih pločica.</t>
  </si>
  <si>
    <t>Pločice se postavljaju na pripremljenu podlogu premazanu temeljnim upojno regulacijskim premazom, u poboljšano polimer - cementno fleksibilno ljepilo s produženim djelovanjem bez klizanja pločica na vertikalnim površinama, te se fugiraju fugir masom u boji prema odabiru projektanta. Svi rubni završeci i spojevi izvedeni su profiliranim pločicama (bez dodatnih lajsni).
Pločice polagati fugu na fugu, s paralelnim reškama, fuge širine 1-2 mm, u vodonepropusnoj izvedbi.</t>
  </si>
  <si>
    <t>- upijanje vode: &lt;0,5%</t>
  </si>
  <si>
    <t>- Protukliznost keramičkih pločica prema DIN 51130, koeficijent R10, 0.5 Sanitary  i R 11, 9.2 Kitchens day nursery</t>
  </si>
  <si>
    <t>- klase BIa po EN 14411</t>
  </si>
  <si>
    <t>- PEI kategorija IV</t>
  </si>
  <si>
    <t>- otpornost na kiseline i lužine</t>
  </si>
  <si>
    <t>- veličine: 10 x 10 cm i 20 x 20 ±0.6 %</t>
  </si>
  <si>
    <t xml:space="preserve">postava zidne keramike, vezni materijal, fugir masa i čišćenje
</t>
  </si>
  <si>
    <t>sokl keramičke pločice:</t>
  </si>
  <si>
    <t>Obračun po m1 položenog sokla.</t>
  </si>
  <si>
    <t>dobava keramičkih pločica, h=10 cm</t>
  </si>
  <si>
    <t>- debljina: 7 mm ±5.0 %</t>
  </si>
  <si>
    <r>
      <rPr>
        <b/>
        <sz val="10"/>
        <color indexed="8"/>
        <rFont val="Calibri"/>
        <family val="2"/>
      </rPr>
      <t xml:space="preserve">Dobava i postava zidnih keramičkih pločica </t>
    </r>
    <r>
      <rPr>
        <sz val="10"/>
        <color indexed="8"/>
        <rFont val="Calibri"/>
        <family val="2"/>
      </rPr>
      <t xml:space="preserve"> za unutarnje prostore.</t>
    </r>
    <r>
      <rPr>
        <b/>
        <sz val="10"/>
        <color indexed="8"/>
        <rFont val="Calibri"/>
        <family val="2"/>
      </rPr>
      <t xml:space="preserve"> </t>
    </r>
    <r>
      <rPr>
        <sz val="10"/>
        <color indexed="8"/>
        <rFont val="Calibri"/>
        <family val="2"/>
        <charset val="238"/>
      </rPr>
      <t xml:space="preserve">
Pločice dimenzija 10 x 10 x 0,7 cm i 20 x 20 x 0,7 cm.</t>
    </r>
  </si>
  <si>
    <t>- debljina: 10 i 9 mm ±5,0 %</t>
  </si>
  <si>
    <r>
      <rPr>
        <b/>
        <sz val="10"/>
        <color indexed="8"/>
        <rFont val="Calibri"/>
        <family val="2"/>
      </rPr>
      <t xml:space="preserve">Dobava i postava podnih keramičkih pločica </t>
    </r>
    <r>
      <rPr>
        <sz val="10"/>
        <color indexed="8"/>
        <rFont val="Calibri"/>
        <family val="2"/>
      </rPr>
      <t xml:space="preserve"> za unutarnje prostore. 
Pločice dimenzija 60 x 60 x 1 cm i 30 x 30 x 0,9 cm.</t>
    </r>
  </si>
  <si>
    <r>
      <rPr>
        <b/>
        <sz val="10"/>
        <color indexed="8"/>
        <rFont val="Calibri"/>
        <family val="2"/>
      </rPr>
      <t>Dobava i postava podne prostirke - otirača u ulaznim prostorima</t>
    </r>
    <r>
      <rPr>
        <b/>
        <sz val="10"/>
        <rFont val="Calibri"/>
        <family val="2"/>
      </rPr>
      <t xml:space="preserve">. </t>
    </r>
  </si>
  <si>
    <t xml:space="preserve">Otirač se polaže u rupu minimalne dubine 16 mm omeđenu aluminijskim L profilom (visina AL profila: 18 mm, deb. AL profila: 1 mm).
</t>
  </si>
  <si>
    <t xml:space="preserve">Kompletna izrada otirača s pripadajućim ugradbenim aluminijskim okvirom u podu i ugradba na gradilištu, sve kompletno. Uključivo dobava i postava materijala, pribor,  te upotreba svih potrebnih alata i uređaja. 
Obračun po komadu.
</t>
  </si>
  <si>
    <r>
      <rPr>
        <b/>
        <sz val="10"/>
        <color indexed="8"/>
        <rFont val="Calibri"/>
        <family val="2"/>
      </rPr>
      <t>Dobava i izrada izravnavajućeg sloja</t>
    </r>
    <r>
      <rPr>
        <sz val="10"/>
        <color indexed="8"/>
        <rFont val="Calibri"/>
        <family val="2"/>
        <charset val="238"/>
      </rPr>
      <t xml:space="preserve"> na već suhi (maksimalna dozvoljena vlažnost estriha prema DIN 18560 je 2,0 % cm), očišćeni i predpremazom obrađeni  te helikopterom zaglađeni cementni estrih.</t>
    </r>
  </si>
  <si>
    <r>
      <rPr>
        <b/>
        <sz val="10"/>
        <color indexed="8"/>
        <rFont val="Calibri"/>
        <family val="2"/>
      </rPr>
      <t>Dobava i postava homogene elastične podne obloge od linoleuma</t>
    </r>
    <r>
      <rPr>
        <sz val="10"/>
        <color indexed="8"/>
        <rFont val="Calibri"/>
        <family val="2"/>
        <charset val="238"/>
      </rPr>
      <t xml:space="preserve">, u trakama širine 200 cm, trajno antistatične. 
</t>
    </r>
  </si>
  <si>
    <t xml:space="preserve"> Završetak i učvršćenje ruba poda prema staklenim stijenama (fasada) po tehničkom detalju proizvođača sa svim potrebnim profilima.</t>
  </si>
  <si>
    <r>
      <rPr>
        <b/>
        <sz val="10"/>
        <color indexed="8"/>
        <rFont val="Calibri"/>
        <family val="2"/>
      </rPr>
      <t>Dobava i postava sokl letvice od lakiranog MDF-a</t>
    </r>
    <r>
      <rPr>
        <sz val="10"/>
        <color indexed="8"/>
        <rFont val="Calibri"/>
        <family val="2"/>
        <charset val="238"/>
      </rPr>
      <t xml:space="preserve"> visine 60 mm i debljine 10 mm, ravne gornje plohe s minimalnim zaobljenjem, na podovima s elastičnom podnom oblogom.
</t>
    </r>
  </si>
  <si>
    <t>spojni profil između dvije različite vrste keramičkih pločica, L oblika, nehrđajući čelik, visina 
profila H=10 mm</t>
  </si>
  <si>
    <t>spojni profil između keramičkih pločica i elastične podne obloge, L oblika, nehrđajući čelik, visina 
profila H=10 mm</t>
  </si>
  <si>
    <r>
      <rPr>
        <b/>
        <sz val="10"/>
        <color indexed="8"/>
        <rFont val="Calibri"/>
        <family val="2"/>
      </rPr>
      <t>Dobava i montaža dilatacionih traka na spoju dva različita poda</t>
    </r>
    <r>
      <rPr>
        <sz val="10"/>
        <color indexed="8"/>
        <rFont val="Calibri"/>
        <family val="2"/>
        <charset val="238"/>
      </rPr>
      <t xml:space="preserve">, ugraditi profil za:
- spoj keramičkih pločica i elastične podne obloge 
- spoj između dvije različite elastične podne podloge
- spoj između dvije različite vrste keramičkih pločica
Tip profila prema odabiru projektanta. Obračun po m1 ugrađenog profila.
</t>
    </r>
  </si>
  <si>
    <t xml:space="preserve">U cijenu uključiti sve zaštitne kutne pocinčane profile, revizione otvore, dilatacijske spojeve, ojačanja za ugradbu dovratnika i ostakljenih stijena, razne premaze; sve prema naputku proizvođača.
</t>
  </si>
  <si>
    <t>Sa spojevima s podom, stropom i zidom na profile treba nanjeti brtvenu masu ili naljepiti PE brtvenu traku.</t>
  </si>
  <si>
    <t>Spojevi između dva raznovrsna materijala (npr. beton - GK ploče) izvode se tzv. kontroliranom fugom s završnim profilom na svakom materijalu.</t>
  </si>
  <si>
    <r>
      <rPr>
        <b/>
        <sz val="10"/>
        <color indexed="8"/>
        <rFont val="Calibri"/>
        <family val="2"/>
      </rPr>
      <t>Dobava materijala i montaža ovješenog stropa s vodoravnim neprekinutim podgledom od jednostrukih standardnih gipskartonskih ploča</t>
    </r>
    <r>
      <rPr>
        <sz val="10"/>
        <color indexed="8"/>
        <rFont val="Calibri"/>
        <family val="2"/>
      </rPr>
      <t xml:space="preserve"> GKB</t>
    </r>
    <r>
      <rPr>
        <sz val="10"/>
        <color indexed="8"/>
        <rFont val="Calibri"/>
        <family val="2"/>
        <charset val="238"/>
      </rPr>
      <t>, d=12,5 mm, na prekrivenoj metalnoj podkonstrukciji od pocinčanih profila t=0,6 mm, u istoj razini, učvršćenoj visilicama na nosivi strop.</t>
    </r>
  </si>
  <si>
    <t xml:space="preserve">Rezani rubovi i spojevi između gips kartonskih ploča se obavezno obrađuju s bandažnom trakom. Kod jednostruke obloge potrebno je ispuniti spojeve sloja ploča, a površinu ploča treba temeljito završno obraditi. Vidljive glave vijaka treba isto tako pregletati i završno obraditi. Prije završne obrade površinu ploče premazati zaštitnim premazom - sve prema uputi proizvođača.
Površina GKB ploča pripremljena za izvođenje soboslikarskih radova.
</t>
  </si>
  <si>
    <r>
      <rPr>
        <b/>
        <sz val="10"/>
        <color indexed="8"/>
        <rFont val="Calibri"/>
        <family val="2"/>
      </rPr>
      <t>Dobava materijala i montaža ovješenog stropa s vodoravnim neprekinutim podgledom od jednostrukih impregniranih gipskartonskih ploča GKB-I</t>
    </r>
    <r>
      <rPr>
        <sz val="10"/>
        <color indexed="8"/>
        <rFont val="Calibri"/>
        <family val="2"/>
        <charset val="238"/>
      </rPr>
      <t>, d=12,5 mm, na prekrivenoj metalnoj podkonstrukciji od pocinčanih profila t=0,6 mm, u istoj razini, učvršćenoj visilicama na nosivi strop.</t>
    </r>
  </si>
  <si>
    <t xml:space="preserve">Rezani rubovi i spojevi između gipskartonskih ploča se obavezno obrađuju s bandažnom trakom. Kod jednostruke obloge potrebno je ispuniti spojeve sloja ploča, a površinu ploča treba temeljito završno obraditi. Vidljive glave vijaka treba isto tako pregletati i završno obraditi. Prije završne obrade površinu ploče premazati zaštitnim premazom - sve prema uputi proizvođača.
Površina GKB ploča pripremljena za izvođenje soboslikarskih radova.
</t>
  </si>
  <si>
    <r>
      <rPr>
        <b/>
        <sz val="10"/>
        <color indexed="8"/>
        <rFont val="Calibri"/>
        <family val="2"/>
      </rPr>
      <t>Dobava materijala i montaža ovješenog stropa s vodoravnim neprekinutim podgledom od gipskartonskih akustičnih ploča</t>
    </r>
    <r>
      <rPr>
        <sz val="10"/>
        <color indexed="8"/>
        <rFont val="Calibri"/>
        <family val="2"/>
        <charset val="238"/>
      </rPr>
      <t xml:space="preserve">, d=12,5 mm, udio rupica 15,8%, faktor prigušenja alfa=0,60 prema EN 20354, na prekrivenoj metalnoj podkonstrukciji od pocinčanih profila u istoj razini, učvršćenoj visilicama na nosivi strop.
</t>
    </r>
  </si>
  <si>
    <r>
      <t>Izrada svijetlog otvora za dovratnik ili druge prodore do površine od 2,5 m</t>
    </r>
    <r>
      <rPr>
        <vertAlign val="superscript"/>
        <sz val="9"/>
        <rFont val="Tahoma"/>
        <family val="2"/>
        <charset val="238"/>
      </rPr>
      <t>2</t>
    </r>
    <r>
      <rPr>
        <sz val="9"/>
        <rFont val="Tahoma"/>
        <family val="2"/>
        <charset val="238"/>
      </rPr>
      <t xml:space="preserve"> posebno se ne zaračunava, ali se</t>
    </r>
  </si>
  <si>
    <t>Visina ovješenja: do 10 cm; do 20 cm.</t>
  </si>
  <si>
    <t xml:space="preserve">Visina ovješenja: od 40 do 60 cm; od 160 do 245 cm; od 23 do 245 cm. </t>
  </si>
  <si>
    <t>spušteni strop od GKB-I, 12,5 mm, visina ovješenja od 40 do 60 cm</t>
  </si>
  <si>
    <t xml:space="preserve">Prije nanošenja žbuke se mora pregledati i sve nepravilnosti otkloniti. Podloga mora biti suha, bez prljavštine, prašine, ulja i masnoća. 
Žbuka mora biti ravna, uglovi pravocrtni. Na sudarima različitih materijala obavezno postaviti plastičnu ili pocinčanu mrežicu za sprečavanje pukotina, (preporuča se polaganje mrežice po čitavoj površini).
</t>
  </si>
  <si>
    <r>
      <rPr>
        <b/>
        <sz val="10"/>
        <color indexed="8"/>
        <rFont val="Calibri"/>
        <family val="2"/>
      </rPr>
      <t>Dobava materijala i zidanje zidova blok opekom 50x10x19 cm, debljina zida d=10 cm</t>
    </r>
    <r>
      <rPr>
        <sz val="10"/>
        <color indexed="8"/>
        <rFont val="Calibri"/>
        <family val="2"/>
      </rPr>
      <t xml:space="preserve">, MO-15,  u produžnom mortu 1:2:6, M-5. Zidanje mora biti pravilno s čistim vezom, spojnice među opekom dobro zalivene, debljine do 1 cm. Ozidani dijelovi moraju biti ravni i vertikalni.
Visina zidanja do 150 cm.
</t>
    </r>
  </si>
  <si>
    <r>
      <rPr>
        <b/>
        <sz val="10"/>
        <color indexed="8"/>
        <rFont val="Calibri"/>
        <family val="2"/>
      </rPr>
      <t>Dobava materijala i zidanje zidova blok opekom 50x12x19 cm, debljina zida d=12 cm</t>
    </r>
    <r>
      <rPr>
        <sz val="10"/>
        <color indexed="8"/>
        <rFont val="Calibri"/>
        <family val="2"/>
      </rPr>
      <t xml:space="preserve">, MO-15,  u produžnom mortu 1:2:6, M-5. Zidanje mora biti pravilno s čistim vezom, spojnice među opekom dobro zalivene, debljine do 1 cm. Ozidani dijelovi moraju biti ravni i vertikalni.
Visina zidanja preko 300 cm (zidanje do krovne ploče).
</t>
    </r>
  </si>
  <si>
    <t xml:space="preserve">Posebno su obračunate vertikalne plohe u sklopu stropa (dijelovi oko krovnih otvora). Vertikalne plohe su na odgovarajuće fiksiranoj prekrivenoj metalnoj podkonstrukciji od pocinčanih profila t=0,6 mm.
</t>
  </si>
  <si>
    <t xml:space="preserve">Posebno su obračunate vertikalne plohe u sklopu stropa (promjene visine stropa). Vertikalne plohe su na odgovarajuće fiksiranoj prekrivenoj metalnoj podkonstrukciji od pocinčanih profila t=0,6 mm.
</t>
  </si>
  <si>
    <t>bojanje zidova i obloga (gipskartonska obloga) disperzivnim bojama, 2x premaza s gletanjem</t>
  </si>
  <si>
    <t>vertikalne plohe u sklopu stropa, 12,5 mm, visina ovješenja od 23 do 245 cm</t>
  </si>
  <si>
    <t>Sastav GK zida:</t>
  </si>
  <si>
    <t xml:space="preserve">Rezani rubovi i spojevi između gipskartonskih ploča se obavezno obrađuju s bandažnom trakom. Kod jednostruke obloge potrebno je ispuniti spojeve sloja ploča, a površinu ploča treba temeljito završno obraditi. Vidljive glave vijaka treba isto tako pregletati i završno obraditi. Prije završne obrade površinu ploče premazati zaštitnim premazom - sve prema uputi proizvođača.
Površina GK ploča pripremljena za ljepljenje keramičkih pločica / izvođenje soboslikarskih radova.
</t>
  </si>
  <si>
    <t>Površinu ploča potrebno je prije ljepljenja pločica treba premazati impregnacijskim premazom.</t>
  </si>
  <si>
    <t xml:space="preserve">kamena vuna, d=5 cm </t>
  </si>
  <si>
    <t>Sastav GK obloge:</t>
  </si>
  <si>
    <t xml:space="preserve">Dobava materijala i montaža gipskartonske obloge, na pocinčanim zidnim i rubnim profilima š=50 mm, t=0,6 mm i fleksibilnim kutnim profilima, razmak između nosivih profila 62,5 cm, nenosiva, kruta izvedba okolnih spojeva, obloga je izvedena od gipskartonskih ploča, d=2x12,5 mm, dvoslojna. Potkonstrukciju odgovarajuće konstrukcijski povezati na okolne nosive i nenosive zidove te spušteni strop.
</t>
  </si>
  <si>
    <t>Obloga se izvodi do AB stropa. Visina zida do 350 cm.</t>
  </si>
  <si>
    <r>
      <rPr>
        <b/>
        <sz val="10"/>
        <color indexed="8"/>
        <rFont val="Calibri"/>
        <family val="2"/>
      </rPr>
      <t xml:space="preserve">Dobava materijala i izrada otvora u stropu za ugradnju standardnih revizijskih poklopaca </t>
    </r>
    <r>
      <rPr>
        <sz val="10"/>
        <color indexed="8"/>
        <rFont val="Calibri"/>
        <family val="2"/>
        <charset val="238"/>
      </rPr>
      <t xml:space="preserve">do veličine 400x400 mm i 600x600 mm, uključivo s izradom konstrukcijskih zamjena od CW profila i revizijskim poklopcem. Poklopce uskladiti s oblogom stropa koja je izvedena od standardne, impregnirane ili akustične gipskartonske ploče, d=12,5 mm.
</t>
    </r>
  </si>
  <si>
    <r>
      <rPr>
        <b/>
        <sz val="10"/>
        <color indexed="8"/>
        <rFont val="Calibri"/>
        <family val="2"/>
      </rPr>
      <t>Ispitivanje zrakopropusnosti zgrade od ovlaštene osobe</t>
    </r>
    <r>
      <rPr>
        <sz val="10"/>
        <color indexed="8"/>
        <rFont val="Calibri"/>
        <family val="2"/>
        <charset val="238"/>
      </rPr>
      <t xml:space="preserve"> sukladno Tehničkom propisu o racionalnoj uporabi energije i toplinskoj zaštiti u zgradama.</t>
    </r>
  </si>
  <si>
    <t>Razrada rješenja za signalistiku</t>
  </si>
  <si>
    <t>Stavka obuhvaća sljedeće:</t>
  </si>
  <si>
    <t>- piktogrami - oznake prostora i prostorija</t>
  </si>
  <si>
    <t>- sva ostala signalistika potrebna za potpunu funkcionalnost građevine</t>
  </si>
  <si>
    <t>- sigurnosna signalistika (planovi evakuacije)</t>
  </si>
  <si>
    <t>razrada rješenja za signalistiku.</t>
  </si>
  <si>
    <t>Dobava, izrada i montaža unutarnje sigurnosne signalistike</t>
  </si>
  <si>
    <t>Planovi evakuacije izrađuju se digitalnim tiskom u boji na papiru formata A4 min. 200 gr/m2 i kaširaju se na laganu nesavitljivu podlogu debljine 10 mm.</t>
  </si>
  <si>
    <t>izvedba sigurnosne signalistike (planovi evakuacije)</t>
  </si>
  <si>
    <t>Dobava, izrada i montaža unutarnje signalistike.</t>
  </si>
  <si>
    <t>Signalistiku izvoditi samoljepivim PVC folijama debljine 80μm. Naljepnice izrezati laserski.</t>
  </si>
  <si>
    <t>Naljepnice izrezati laserski, prema predlošku.</t>
  </si>
  <si>
    <r>
      <rPr>
        <b/>
        <sz val="10"/>
        <rFont val="Calibri"/>
        <family val="2"/>
      </rPr>
      <t>Dobava materijala i izrada horizontalne signalizacije</t>
    </r>
    <r>
      <rPr>
        <sz val="10"/>
        <rFont val="Calibri"/>
        <family val="2"/>
        <charset val="238"/>
      </rPr>
      <t xml:space="preserve"> na kolnom prilazu i parkiralištu. Oznake su bijele i žute boje.</t>
    </r>
  </si>
  <si>
    <r>
      <rPr>
        <b/>
        <sz val="10"/>
        <color indexed="8"/>
        <rFont val="Calibri"/>
        <family val="2"/>
      </rPr>
      <t xml:space="preserve">Nabava i postavljanje prometnih znakova na kolnim površinama i prometnici. 
</t>
    </r>
    <r>
      <rPr>
        <sz val="10"/>
        <color indexed="8"/>
        <rFont val="Calibri"/>
        <family val="2"/>
        <charset val="238"/>
      </rPr>
      <t>Znakovi se pričvršćuju na stupove izrađene od šavne čelične cijevi i zaštićene od korozije postupkom vrućeg cinčanja ili na aluminijske stupove, promjera 63,5 mm koji se ugrađuje u betonski temelj kakvoće betona C16/20 s min. 0,2 m3. Iskop temelja stupa min. dubine 70 cm. Znakove postavljati pod kutem od 3 - 5° u odnosu na os prometnice. Znakovi se izrađuju s folijom "High Intensity" (minimalne retrorefleksije klase II) na aluminijskoj podlozi minimalne debljine 3 mm s pojačanim okvirom.</t>
    </r>
  </si>
  <si>
    <t xml:space="preserve">znak "zona u kojoj je ograničena brzina 30 km/h" (C22), promjera 60 cm, (prometnica)
</t>
  </si>
  <si>
    <t xml:space="preserve">znak "završetak zone u kojoj je ograničena brzina 30 km/h" (C23), promjera 60 cm, (prometnica)
</t>
  </si>
  <si>
    <t xml:space="preserve">znak "djeca na cesti" (C03), promjera 60 cm, (prometnica)
</t>
  </si>
  <si>
    <t xml:space="preserve">znak "parkiralište" (C39), promjera 60 cm, (kolne površine)
</t>
  </si>
  <si>
    <t>oprema vanjskih igrališta i prostora:</t>
  </si>
  <si>
    <r>
      <rPr>
        <b/>
        <sz val="10"/>
        <color indexed="8"/>
        <rFont val="Calibri"/>
        <family val="2"/>
      </rPr>
      <t>Dobava, izrada i postava vanjske pravokutne drvene klupe be</t>
    </r>
    <r>
      <rPr>
        <b/>
        <sz val="10"/>
        <rFont val="Calibri"/>
        <family val="2"/>
      </rPr>
      <t>z naslona</t>
    </r>
    <r>
      <rPr>
        <sz val="10"/>
        <rFont val="Calibri"/>
        <family val="2"/>
        <charset val="238"/>
      </rPr>
      <t>. Dimenzije 40 x 180 x 30 cm (širina x dužina x visina).</t>
    </r>
    <r>
      <rPr>
        <sz val="10"/>
        <color indexed="8"/>
        <rFont val="Calibri"/>
        <family val="2"/>
        <charset val="238"/>
      </rPr>
      <t xml:space="preserve">
</t>
    </r>
  </si>
  <si>
    <t>pravokutna klupa 40 x 180 x 30 cm</t>
  </si>
  <si>
    <r>
      <rPr>
        <b/>
        <sz val="10"/>
        <color indexed="8"/>
        <rFont val="Calibri"/>
        <family val="2"/>
      </rPr>
      <t>Dobava, izrada i postava vanjskog pravokutnog stola</t>
    </r>
    <r>
      <rPr>
        <sz val="10"/>
        <rFont val="Calibri"/>
        <family val="2"/>
        <charset val="238"/>
      </rPr>
      <t>. Dimenzije 60 x 180 x 50 cm (širina x dužina x visina).</t>
    </r>
    <r>
      <rPr>
        <sz val="10"/>
        <color indexed="8"/>
        <rFont val="Calibri"/>
        <family val="2"/>
        <charset val="238"/>
      </rPr>
      <t xml:space="preserve">
</t>
    </r>
  </si>
  <si>
    <t>Temelji se ankerima u betonske temelje (temelji 2 x 40/50/40 cm - obračunati u armiranobetonskim radovima).</t>
  </si>
  <si>
    <t>pravokutni stol 60 x 180 x 50 cm</t>
  </si>
  <si>
    <r>
      <rPr>
        <b/>
        <sz val="10"/>
        <color indexed="8"/>
        <rFont val="Calibri"/>
        <family val="2"/>
      </rPr>
      <t>Nabava, doprema i postava opreme vanjskog dječjeg igrališta - njihalica na opruzi.</t>
    </r>
    <r>
      <rPr>
        <sz val="10"/>
        <color indexed="8"/>
        <rFont val="Calibri"/>
        <family val="2"/>
        <charset val="238"/>
      </rPr>
      <t xml:space="preserve">
</t>
    </r>
  </si>
  <si>
    <t>Metalna konstrukcija je od čeličnih vruće cinčanih profila, završno elektrostatski plastificiranih u mat boju.</t>
  </si>
  <si>
    <t>Konstrukcija drvenih stupova se montira na tlo preko čeličnih elemenata (vruće cinčani) koji se sidre u temelj, tako da  drveni dijelovi nisu u doticaju sa zemljom.</t>
  </si>
  <si>
    <t>Lanci su od pocinčanog čelika sa silikonskom zaštitom.</t>
  </si>
  <si>
    <t>Sigurnosna sjedalica sa povišenim rubom koja sprječava ispadanje ili prevrtanje djeteta izrađena je od gumenog materijala s čeličnom jezgrom, vrlo otporna na habanje i sve vremenske uvjete.</t>
  </si>
  <si>
    <t>Temelji se u betonske temelje (temelji 4 x 50/60/50 cm - obračunati u armiranobetonskim radovima).</t>
  </si>
  <si>
    <r>
      <rPr>
        <b/>
        <sz val="10"/>
        <color indexed="8"/>
        <rFont val="Calibri"/>
        <family val="2"/>
      </rPr>
      <t>Nabava, doprema i postava opreme vanjskog dječjeg igrališta - ljuljačke s dvije sigurnosne sjedalice za jaslički uzrast.</t>
    </r>
    <r>
      <rPr>
        <sz val="10"/>
        <rFont val="Calibri"/>
        <family val="2"/>
        <charset val="238"/>
      </rPr>
      <t xml:space="preserve">
Okvirne dimenzije: 
290-380 x 185-220 x 220-240 cm 
(širina x dužina x visina).</t>
    </r>
    <r>
      <rPr>
        <sz val="10"/>
        <color indexed="8"/>
        <rFont val="Calibri"/>
        <family val="2"/>
        <charset val="238"/>
      </rPr>
      <t xml:space="preserve">
</t>
    </r>
  </si>
  <si>
    <t>Dostaviti ateste, certifikate, tehnički opis, nacrt, fotografiju. Konačan odabir izgleda sprave po odabiru projektanta.</t>
  </si>
  <si>
    <t>ljuljačka za jaslički uzrast</t>
  </si>
  <si>
    <t xml:space="preserve">Drvo su od tvrdog postojanog bjelogoričnog drveta (ariš, jasen, hrast), sa zaobljenim rubovima. Drvo tretira u 3 sloja lazurom u tonu koja ne sadrži škodljive komponente i neopasna je za ljude.
Lazura za bojanje  sadrži 6-struku zaštitu za drvo na otvorenom (vlaga, plavilo, truljenje, plijesni i alge, UV-zračenje, zaštita od osa). </t>
  </si>
  <si>
    <t>Metalni spojni i vezni elementi su od čelični vruće cinčani.</t>
  </si>
  <si>
    <t>Temelji se u betonske trakaste temelje (temelji 30/50 cm - obračunati u armiranobetonskim radovima).</t>
  </si>
  <si>
    <t>pijesak za pješčanik</t>
  </si>
  <si>
    <t>pješčanik</t>
  </si>
  <si>
    <r>
      <rPr>
        <b/>
        <sz val="10"/>
        <color indexed="8"/>
        <rFont val="Calibri"/>
        <family val="2"/>
      </rPr>
      <t xml:space="preserve">Nabava, doprema i postava opreme vanjskog dječjeg igrališta - pješčanik i pijeska za pješčanik.
</t>
    </r>
    <r>
      <rPr>
        <sz val="10"/>
        <color indexed="8"/>
        <rFont val="Calibri"/>
        <family val="2"/>
      </rPr>
      <t>Okvirne dimenzije: 
200 x 200 x 35-45 cm
(širina x dužina x visina).</t>
    </r>
    <r>
      <rPr>
        <sz val="10"/>
        <color indexed="8"/>
        <rFont val="Calibri"/>
        <family val="2"/>
        <charset val="238"/>
      </rPr>
      <t xml:space="preserve">
</t>
    </r>
  </si>
  <si>
    <t>Konstrukcija  se montira na tlo preko čeličnih elemenata (vruće cinčani) koji se sidre u temelj.</t>
  </si>
  <si>
    <t xml:space="preserve">Pijesak za dječja igrališta je prirodno vlažni fini kvarcni pijesak zrnatosti 0,063 – 0,355 mm dekorativno bijele boje.
Izvađen iz sloja duboko pod zemljom, dvostruko ispran i prosijan.
Bakteriološki čist, te je potpuno ispravan za upotrebu u pješčanicima za dječju igru.
Visina punjenja pješčanika pijeskom je cca 50 cm. Stavka uključuje dostavu pijeska.
</t>
  </si>
  <si>
    <t xml:space="preserve">Ploha za stajanje izrađena od  aluminijskog rebrastog protukliznog lima. </t>
  </si>
  <si>
    <t>Klupice  vrtuljka izrađene su od troslojnih  HDPE ili HPL  ploča u boji debljine min. 19 mm. Svi rubovi ploha su zaobljeni u  radijusu  min. 10 mm.</t>
  </si>
  <si>
    <t xml:space="preserve"> Vrtuljak  predviđen za igru više djece koja se  prilikom vrtnje  oslanjaju za središnji stup sa okruglim stolom na cijevi okruglog  presjeka. 
</t>
  </si>
  <si>
    <t>Temelji se ankerima u betonski temelj (temelj 80/80/50 cm)  - obračunati u armiranobetonskim radovima).</t>
  </si>
  <si>
    <t>dvostruka klackalica</t>
  </si>
  <si>
    <t xml:space="preserve">Sastoji se od:
- konstruktivnih elemenata (stupova i grede) s temeljnim elementima
- sjedala
- elementa za pridržanje
- podnih odbojnika
</t>
  </si>
  <si>
    <t>Konstruktivni elementi su od:</t>
  </si>
  <si>
    <t>Podni odbojnici su gumeni</t>
  </si>
  <si>
    <t>Temeljni element - podnožje stupa je od čeličnog profila sa bazom koja se sidri u temelj. Antikorozivno je zaštićeno postupkom vrućeg cinčanja. 
Temelji se u betonske temelje (temelji  80/80/50 cm  - obračunati u armiranobetonskim radovima).</t>
  </si>
  <si>
    <r>
      <rPr>
        <b/>
        <sz val="10"/>
        <color indexed="8"/>
        <rFont val="Calibri"/>
        <family val="2"/>
      </rPr>
      <t xml:space="preserve">Nabava, doprema i postava opreme vanjskog dječjeg igrališta - dvostruka klackalica </t>
    </r>
    <r>
      <rPr>
        <sz val="10"/>
        <rFont val="Calibri"/>
        <family val="2"/>
        <charset val="238"/>
      </rPr>
      <t xml:space="preserve">
Okvirne dimenzije: 
45-60 x 350-420 x 50-110 cm 
(širina x dužina x visina).</t>
    </r>
    <r>
      <rPr>
        <sz val="10"/>
        <color indexed="8"/>
        <rFont val="Calibri"/>
        <family val="2"/>
        <charset val="238"/>
      </rPr>
      <t xml:space="preserve">
</t>
    </r>
  </si>
  <si>
    <r>
      <rPr>
        <b/>
        <sz val="10"/>
        <color indexed="8"/>
        <rFont val="Calibri"/>
        <family val="2"/>
      </rPr>
      <t xml:space="preserve">Nabava, doprema i postava opreme vanjskog dječjeg igrališta - vrtuljak
</t>
    </r>
    <r>
      <rPr>
        <sz val="10"/>
        <color indexed="8"/>
        <rFont val="Calibri"/>
        <family val="2"/>
      </rPr>
      <t>Okvirne dimenzije: 
vanjski promjer cca 150 cm.</t>
    </r>
    <r>
      <rPr>
        <sz val="10"/>
        <color indexed="8"/>
        <rFont val="Calibri"/>
        <family val="2"/>
        <charset val="238"/>
      </rPr>
      <t xml:space="preserve">
</t>
    </r>
  </si>
  <si>
    <t xml:space="preserve">Konstruktivni elementi su nosači od:
- impregniranog ljepljenog laminiranog drva
(drvo visokokvalitetno - nordijski bor, zaštićeno
vodootpornom zaštitom koja ne sadrži škodljive
komponente i neopasna je za ljude)
ili
- aluminija, završno elektrostatski plastificiran u mat boju.
</t>
  </si>
  <si>
    <t>Osnovna konstrukcija izvedena u kombinaciji vruće cinčanih metalnih profila, završno elektrostatski plastificirani u mat boju, te polietilen ploča.</t>
  </si>
  <si>
    <t>Temelji se ankerima u betonski temelj (temelj 50/50/50 cm)  - obračunati u armiranobetonskim radovima).</t>
  </si>
  <si>
    <r>
      <rPr>
        <b/>
        <sz val="10"/>
        <color indexed="8"/>
        <rFont val="Calibri"/>
        <family val="2"/>
      </rPr>
      <t>Nabava, doprema i postava opreme vanjskog dječjeg igrališta - tunel-provlačilica</t>
    </r>
    <r>
      <rPr>
        <sz val="10"/>
        <rFont val="Calibri"/>
        <family val="2"/>
        <charset val="238"/>
      </rPr>
      <t xml:space="preserve">
Okvirne dimenzije: 
100-120 x 100-120 x 100-120 cm, Ø 100-120 cm
(širina x dužina x visina).</t>
    </r>
    <r>
      <rPr>
        <sz val="10"/>
        <color indexed="8"/>
        <rFont val="Calibri"/>
        <family val="2"/>
        <charset val="238"/>
      </rPr>
      <t xml:space="preserve">
</t>
    </r>
  </si>
  <si>
    <t>Dekorativni element je od:
- HDPE ili HPL ploče, troslojne u boji min. 19mm</t>
  </si>
  <si>
    <t>tunel-provlačilica</t>
  </si>
  <si>
    <t>Temeljni element -  od čeličnog profila sa bazom koja se sidri u temelj. Antikorozivno je zaštićen postupkom vrućeg cinčanja. 
Temelji se u betonske temelje (temelji  2 x 80/30/50 cm  - obračunati u armiranobetonskim radovima).</t>
  </si>
  <si>
    <t>Visina iskopa za temeljne stope opreme je 60-100 cm, tlocrtnih dimenzija 30-120 x 30-120 cm.</t>
  </si>
  <si>
    <t>strojni iskop zemlje u tlu 'B' kategorije - temeljne stope opreme</t>
  </si>
  <si>
    <t xml:space="preserve">dekorativne black-out akustična zavjese, visina zavjesa jednaka visini prostora = 3,0 m
</t>
  </si>
  <si>
    <t>- opća usmjeravajuća signalistika</t>
  </si>
  <si>
    <t>KRAJOBRAZNO UREĐENJE</t>
  </si>
  <si>
    <r>
      <t xml:space="preserve">Od voćaka treba odabrati domaće sorte koje također trebaju biti uzgojene u rasadniku.
Odabrane vrste drveća trebaju biti starosti 4-5 godina, s pravilnom produljnicom debla.
</t>
    </r>
    <r>
      <rPr>
        <i/>
        <sz val="10"/>
        <rFont val="Calibri"/>
        <family val="2"/>
        <charset val="238"/>
      </rPr>
      <t>Ukrasno grmlje i grmlje bobičastog voća treba biti starosti 3 godine, kvalitetnog rasadničkog uzgoja. 
Sav biljni materijal mora biti dopremljen na radlište sa zaštićenim korijenovim sistemom, s certifikatom i označen etiketom vrste.</t>
    </r>
    <r>
      <rPr>
        <b/>
        <i/>
        <sz val="10"/>
        <rFont val="Calibri"/>
        <family val="2"/>
        <charset val="238"/>
      </rPr>
      <t xml:space="preserve">
</t>
    </r>
    <r>
      <rPr>
        <i/>
        <sz val="10"/>
        <rFont val="Calibri"/>
        <family val="2"/>
        <charset val="238"/>
      </rPr>
      <t xml:space="preserve">
Stavke uključuju sve radove i predradnje potrebne kod primjene zaštite na rad, zaštitne i radne skele.
Izvođač radova obvezan je dati garanciju od jedne godine.
Održavanje nakon izvedbe mora biti osigurano.
</t>
    </r>
  </si>
  <si>
    <t>Božićnica (dozrijeva u listopadu), [H.2.1.]</t>
  </si>
  <si>
    <t>Deutzia gracilis</t>
  </si>
  <si>
    <t>Zlatna zimska parmenka (dozrijeva u rujnu), [H.2.2.]</t>
  </si>
  <si>
    <t>Idared (dozrijeva u listopadu), [H.2.3.]</t>
  </si>
  <si>
    <t>priprema terena za sijanje trave - HDPE travna rešetka, [H.8.1.]</t>
  </si>
  <si>
    <t>priprema terena za sijanje trave - travnjak, [H.6.1.]</t>
  </si>
  <si>
    <t>priprema terena za sijanje trave - betonska travna rešetka (obračunato cca. 50% površine betonske travne rešetke), [H.9.1.]</t>
  </si>
  <si>
    <t>SADNJA ŽIVICE</t>
  </si>
  <si>
    <r>
      <t xml:space="preserve">Prunus laurocerasus </t>
    </r>
    <r>
      <rPr>
        <sz val="10"/>
        <rFont val="Calibri"/>
        <family val="2"/>
      </rPr>
      <t>- lovor višnja, [H.4.1]</t>
    </r>
  </si>
  <si>
    <r>
      <t xml:space="preserve">Ligustrum ovalifolium - </t>
    </r>
    <r>
      <rPr>
        <sz val="10"/>
        <rFont val="Calibri"/>
        <family val="2"/>
      </rPr>
      <t>kalina</t>
    </r>
    <r>
      <rPr>
        <i/>
        <sz val="10"/>
        <rFont val="Calibri"/>
        <family val="2"/>
        <charset val="238"/>
      </rPr>
      <t xml:space="preserve">, </t>
    </r>
    <r>
      <rPr>
        <sz val="10"/>
        <rFont val="Calibri"/>
        <family val="2"/>
      </rPr>
      <t>[H.4.1]</t>
    </r>
  </si>
  <si>
    <r>
      <rPr>
        <i/>
        <sz val="10"/>
        <rFont val="Calibri"/>
        <family val="2"/>
        <charset val="238"/>
      </rPr>
      <t xml:space="preserve">Carpinus petulus Pyramidalis </t>
    </r>
    <r>
      <rPr>
        <sz val="10"/>
        <rFont val="Calibri"/>
        <family val="2"/>
      </rPr>
      <t>- grab piramidalni (visina grananje od 2,5-3m)</t>
    </r>
    <r>
      <rPr>
        <sz val="10"/>
        <rFont val="Calibri"/>
        <family val="2"/>
        <charset val="238"/>
      </rPr>
      <t>, [H.1.3.]</t>
    </r>
  </si>
  <si>
    <r>
      <rPr>
        <i/>
        <sz val="10"/>
        <rFont val="Calibri"/>
        <family val="2"/>
      </rPr>
      <t>Sorbus aucuparia - Jarebika</t>
    </r>
    <r>
      <rPr>
        <sz val="10"/>
        <rFont val="Calibri"/>
        <family val="2"/>
        <charset val="238"/>
      </rPr>
      <t>, (visina grananja 2m), [H.1.5.]</t>
    </r>
  </si>
  <si>
    <r>
      <t>Prunus serrulata "Pink Perfection"</t>
    </r>
    <r>
      <rPr>
        <sz val="10"/>
        <rFont val="Calibri"/>
        <family val="2"/>
      </rPr>
      <t xml:space="preserve"> - ukrasna trešnja</t>
    </r>
    <r>
      <rPr>
        <i/>
        <sz val="10"/>
        <rFont val="Calibri"/>
        <family val="2"/>
      </rPr>
      <t xml:space="preserve">, </t>
    </r>
    <r>
      <rPr>
        <sz val="10"/>
        <rFont val="Calibri"/>
        <family val="2"/>
      </rPr>
      <t>(visina grananja 2m), [H.1.5.]</t>
    </r>
  </si>
  <si>
    <r>
      <t xml:space="preserve">Gleditsia triacanthos "Sunburst", </t>
    </r>
    <r>
      <rPr>
        <sz val="10"/>
        <rFont val="Calibri"/>
        <family val="2"/>
      </rPr>
      <t>(visina grananja od 2m), [H.1.4.]</t>
    </r>
  </si>
  <si>
    <r>
      <rPr>
        <i/>
        <sz val="10"/>
        <rFont val="Calibri"/>
        <family val="2"/>
        <charset val="238"/>
      </rPr>
      <t xml:space="preserve">Fraxinus augustifolia Raywood </t>
    </r>
    <r>
      <rPr>
        <sz val="10"/>
        <rFont val="Calibri"/>
        <family val="2"/>
      </rPr>
      <t>- ukrasni jasen</t>
    </r>
    <r>
      <rPr>
        <sz val="10"/>
        <rFont val="Calibri"/>
        <family val="2"/>
        <charset val="238"/>
      </rPr>
      <t>, (visina grananje od 2m), [H.1.2.]</t>
    </r>
  </si>
  <si>
    <r>
      <rPr>
        <i/>
        <sz val="10"/>
        <rFont val="Calibri"/>
        <family val="2"/>
        <charset val="238"/>
      </rPr>
      <t>Fraxinus augustifolia -</t>
    </r>
    <r>
      <rPr>
        <sz val="10"/>
        <rFont val="Calibri"/>
        <family val="2"/>
      </rPr>
      <t xml:space="preserve"> poljski jasen,</t>
    </r>
    <r>
      <rPr>
        <sz val="10"/>
        <rFont val="Calibri"/>
        <family val="2"/>
        <charset val="238"/>
      </rPr>
      <t xml:space="preserve"> (visina grananja od 2m),  [H.1.1.]</t>
    </r>
  </si>
  <si>
    <t>3.2.</t>
  </si>
  <si>
    <t>3.3.</t>
  </si>
  <si>
    <t>3.4.</t>
  </si>
  <si>
    <t>3.5.</t>
  </si>
  <si>
    <t>3.6.</t>
  </si>
  <si>
    <t>3.7.</t>
  </si>
  <si>
    <t>3.8.</t>
  </si>
  <si>
    <t>3.9.</t>
  </si>
  <si>
    <t>3.10.</t>
  </si>
  <si>
    <t>3.11.</t>
  </si>
  <si>
    <t>3.12.</t>
  </si>
  <si>
    <t>3.13.</t>
  </si>
  <si>
    <t>3.14.</t>
  </si>
  <si>
    <r>
      <rPr>
        <b/>
        <sz val="10"/>
        <rFont val="Calibri"/>
        <family val="2"/>
      </rPr>
      <t>Nabava i doprema sadnica do mjesta sadnje.</t>
    </r>
    <r>
      <rPr>
        <sz val="10"/>
        <rFont val="Calibri"/>
        <family val="2"/>
        <charset val="238"/>
      </rPr>
      <t xml:space="preserve">
</t>
    </r>
    <r>
      <rPr>
        <sz val="10"/>
        <rFont val="Calibri"/>
        <family val="2"/>
        <charset val="238"/>
      </rPr>
      <t xml:space="preserve">Sav biljni materijal treba biti starosti 4-5 godina, promjera debla cca 8 cm, s pravilnom produljnicom debla, kvalitetnog rasadničkog uzgoja. 
Sadnice za drvorednu sadnju.
Sadnice moraju biti dopremljene na radilište sa zaštićenim korijenovim sistemom, balirane ili u kontejnerima te čitljive oznake (etikete) vrste sadnice.
Obračun po komadu dobavljene sadnice. </t>
    </r>
  </si>
  <si>
    <r>
      <rPr>
        <b/>
        <sz val="10"/>
        <rFont val="Calibri"/>
        <family val="2"/>
      </rPr>
      <t xml:space="preserve">Iskop jama za sadnju i sadnja drveća. 
</t>
    </r>
    <r>
      <rPr>
        <sz val="10"/>
        <rFont val="Calibri"/>
        <family val="2"/>
        <charset val="238"/>
      </rPr>
      <t>Stavka obuhvaća:
- Iskop kružne jame za sadnju drveća i sadnja.
Dimenzije jame su 100 x 100 x 100 cm, odnosno dimenzija jame prilagođena veličini korjenove grude-bale. 
- Rahljenje dna jame, zatrpavanje jame do polovice, bez nabijanja, gnojenje "Humovitom" ili kompostom  (20 litara po jami), sadnju sadnice, zatrpavanje jame, učvšćivanje s tri kolca od bagrema ili kestena, formiranje zdjelice, vezivanje jutenom trakom te jednokratno zalijevanje. 
Obračun po komadu sadnice sa svim pripadajućim radovima.</t>
    </r>
  </si>
  <si>
    <r>
      <rPr>
        <b/>
        <sz val="10"/>
        <rFont val="Calibri"/>
        <family val="2"/>
      </rPr>
      <t>Nabava i doprema sadnica jabuka do mjesta sadnje.</t>
    </r>
    <r>
      <rPr>
        <sz val="10"/>
        <rFont val="Calibri"/>
        <family val="2"/>
        <charset val="238"/>
      </rPr>
      <t xml:space="preserve">
</t>
    </r>
    <r>
      <rPr>
        <sz val="10"/>
        <rFont val="Calibri"/>
        <family val="2"/>
        <charset val="238"/>
      </rPr>
      <t>Sav biljni materijal treba biti starosti 4-5 godina, s pravilnom provodnicom debla, kvalitetnog rasadničkog uzgoja. 
Sadnice moraju biti dopremljene na radilište sa zaštićenim korijenovim sistemom, balirane ili u kontejnerima te čitljive oznake (etikete) vrste sadnice.                                                                        Obračun po komadu dobavljene sadnice.</t>
    </r>
  </si>
  <si>
    <r>
      <rPr>
        <b/>
        <sz val="10"/>
        <rFont val="Calibri"/>
        <family val="2"/>
      </rPr>
      <t xml:space="preserve">Iskop jama za sadnju jabuka i sadnja. 
</t>
    </r>
    <r>
      <rPr>
        <sz val="10"/>
        <rFont val="Calibri"/>
        <family val="2"/>
        <charset val="238"/>
      </rPr>
      <t xml:space="preserve">Stavka obuhvaća:
- Iskop jama za sadnju jabuka. Dimenzija jame je 60 x 60 x 80 cm,  odnosno dimenzija jame prilagođena veličini korjenove grude-bale. 
- Rahljenje dna jame, zatrpavanje jame do polovice, bez nabijanja, gnojenje "Humovitom" ili kompostom  (20 litara po jami), sadnju sadnice, zatrpavanje jame, učvšćivanje s tri kolca od bagrema ili kestena, formiranje zdjelice, vezivanje jutenom trakom te jednokratno zalijevanje. </t>
    </r>
    <r>
      <rPr>
        <sz val="10"/>
        <rFont val="Calibri"/>
        <family val="2"/>
        <charset val="238"/>
      </rPr>
      <t xml:space="preserve">
Obračun po komadu sadnice sa svim pripadajućim radovima.</t>
    </r>
  </si>
  <si>
    <r>
      <rPr>
        <b/>
        <sz val="10"/>
        <rFont val="Calibri"/>
        <family val="2"/>
      </rPr>
      <t xml:space="preserve">Nabava i doprema sadnica do mjesta sadnje. </t>
    </r>
    <r>
      <rPr>
        <sz val="10"/>
        <rFont val="Calibri"/>
        <family val="2"/>
        <charset val="238"/>
      </rPr>
      <t xml:space="preserve">
</t>
    </r>
    <r>
      <rPr>
        <sz val="10"/>
        <rFont val="Calibri"/>
        <family val="2"/>
        <charset val="238"/>
      </rPr>
      <t xml:space="preserve">Sav biljni materijal treba biti starosti 3 godine, kvalitetnog rasadničkog uzgoja. 
Sadnice moraju biti dopremljene na radilište s razvijenim i zaštićenim korijenovim sistemom, balirane ili u kontejnerima te čitljive oznake (etikete) vrste sadnice.
Obračun po komadu dobavljene sadnice.
</t>
    </r>
  </si>
  <si>
    <r>
      <rPr>
        <b/>
        <sz val="10"/>
        <rFont val="Calibri"/>
        <family val="2"/>
      </rPr>
      <t>Iskop jama za sadnju i sadnja grmlja.</t>
    </r>
    <r>
      <rPr>
        <sz val="10"/>
        <rFont val="Calibri"/>
        <family val="2"/>
        <charset val="238"/>
      </rPr>
      <t xml:space="preserve"> 
Stavka obuhvaća:
- Iskop jama za sadnju grmlja. Dimenzija jame 40 x 40 x 60 cm, odnosno dimenzija jame prilagođena veličini korjenove grude-bale. 
- Rahljenje dna jame, gnojenje "Humovitom" ili kompostom (10 litara po jami), sadnja sadnice, zatrpavanje jame, poravnjavanje površine s jednokratnim zalijevanjem. 
Razmak sadnje 70 cm (trokut sadnja).                                  
Obračun po komadu sadnice sa svim pripadajućim radovima.
</t>
    </r>
  </si>
  <si>
    <r>
      <rPr>
        <b/>
        <sz val="10"/>
        <rFont val="Calibri"/>
        <family val="2"/>
      </rPr>
      <t>Iskop jama za sadnju i sadnja grmlja.</t>
    </r>
    <r>
      <rPr>
        <sz val="10"/>
        <rFont val="Calibri"/>
        <family val="2"/>
        <charset val="238"/>
      </rPr>
      <t xml:space="preserve"> 
Stavka obuhvaća:
- Iskop jama za sadnju grmlja. Dimenzija jame 40 x 40 x 60 cm, odnosno dimenzija jame prilagođena veličini korjenove grude-bale. 
- Rahljenje dna jame, gnojenje "Humovitom" ili kompostom (10 litara po jami), sadnja sadnice, zatrpavanje jame, poravnjavanje površine s jednokratnim zalijevanjem. 
Razmak sadnje za lovor višnju je 80 cm, a za kalinu je 60 cm.                                 
Obračun po komadu sadnice sa svim pripadajućim radovima.
</t>
    </r>
  </si>
  <si>
    <r>
      <rPr>
        <b/>
        <sz val="10"/>
        <rFont val="Calibri"/>
        <family val="2"/>
      </rPr>
      <t>Priprema terena za sijanje trave:</t>
    </r>
    <r>
      <rPr>
        <sz val="10"/>
        <rFont val="Calibri"/>
        <family val="2"/>
        <charset val="238"/>
      </rPr>
      <t xml:space="preserve">
Plitko prekopavanje površine tla dubine 5-8 cm dijelom ozelenjenih površina s čišćenjem i usitnjavanjem tla, gnojenjem te ukapanjem umjetnog gnojiva (5 dkg/m2). Umjetno gnojivo za gnojenje travnjaka. Fino planiranje s niveliranjem pripremljenog tla na zadanu niveletu. Također uključeno ježenje, valjanje te rošenje vodom.
Obračun po m2.  
</t>
    </r>
  </si>
  <si>
    <r>
      <rPr>
        <b/>
        <sz val="10"/>
        <rFont val="Calibri"/>
        <family val="2"/>
      </rPr>
      <t>Nabava i doprema travne smjese</t>
    </r>
    <r>
      <rPr>
        <sz val="10"/>
        <rFont val="Calibri"/>
        <family val="2"/>
        <charset val="238"/>
      </rPr>
      <t xml:space="preserve"> (4dkg/m2) za kontinentalne krajeve, za sjetvu na zelenim površinama čestice:
</t>
    </r>
    <r>
      <rPr>
        <i/>
        <sz val="10"/>
        <rFont val="Calibri"/>
        <family val="2"/>
      </rPr>
      <t>Festuca rubra ssp. commutata "Koket"</t>
    </r>
    <r>
      <rPr>
        <sz val="10"/>
        <rFont val="Calibri"/>
        <family val="2"/>
        <charset val="238"/>
      </rPr>
      <t xml:space="preserve">, 20 %
</t>
    </r>
    <r>
      <rPr>
        <i/>
        <sz val="10"/>
        <rFont val="Calibri"/>
        <family val="2"/>
      </rPr>
      <t>Festuca rubra trichophilla "Lorita"</t>
    </r>
    <r>
      <rPr>
        <sz val="10"/>
        <rFont val="Calibri"/>
        <family val="2"/>
        <charset val="238"/>
      </rPr>
      <t xml:space="preserve">, 20 %
</t>
    </r>
    <r>
      <rPr>
        <i/>
        <sz val="10"/>
        <rFont val="Calibri"/>
        <family val="2"/>
      </rPr>
      <t>Lolium perenne "Lorette"</t>
    </r>
    <r>
      <rPr>
        <sz val="10"/>
        <rFont val="Calibri"/>
        <family val="2"/>
        <charset val="238"/>
      </rPr>
      <t xml:space="preserve">, 20 %
</t>
    </r>
    <r>
      <rPr>
        <i/>
        <sz val="10"/>
        <rFont val="Calibri"/>
        <family val="2"/>
      </rPr>
      <t>Lolium perenne "Lorine"</t>
    </r>
    <r>
      <rPr>
        <sz val="10"/>
        <rFont val="Calibri"/>
        <family val="2"/>
        <charset val="238"/>
      </rPr>
      <t xml:space="preserve">, 10 %
</t>
    </r>
    <r>
      <rPr>
        <i/>
        <sz val="10"/>
        <rFont val="Calibri"/>
        <family val="2"/>
      </rPr>
      <t>Poa pratensis saskia</t>
    </r>
    <r>
      <rPr>
        <sz val="10"/>
        <rFont val="Calibri"/>
        <family val="2"/>
        <charset val="238"/>
      </rPr>
      <t xml:space="preserve">, 20 %
</t>
    </r>
    <r>
      <rPr>
        <i/>
        <sz val="10"/>
        <rFont val="Calibri"/>
        <family val="2"/>
      </rPr>
      <t>Poa pratensis supra</t>
    </r>
    <r>
      <rPr>
        <sz val="10"/>
        <rFont val="Calibri"/>
        <family val="2"/>
        <charset val="238"/>
      </rPr>
      <t xml:space="preserve">, 10 % 
Obračun po kg.  
</t>
    </r>
  </si>
  <si>
    <t>KUHINJA I PRAONICA</t>
  </si>
  <si>
    <t>KUHINJA</t>
  </si>
  <si>
    <t>1.2.</t>
  </si>
  <si>
    <t xml:space="preserve">Zamrzivač </t>
  </si>
  <si>
    <t>1.3.</t>
  </si>
  <si>
    <t xml:space="preserve">Regal </t>
  </si>
  <si>
    <t>spremište:</t>
  </si>
  <si>
    <t>1.4.</t>
  </si>
  <si>
    <t xml:space="preserve">Radni stol </t>
  </si>
  <si>
    <t xml:space="preserve">- otvoreni 
- podesive inox inogice
- svi oštri rubovi pertlani zbog lakšeg održavanja i zaštite od povreda
- izvedba komplet inox lim AISI 304 SB + PVC
</t>
  </si>
  <si>
    <t>1.5.</t>
  </si>
  <si>
    <t>1.6.</t>
  </si>
  <si>
    <t>1.7.</t>
  </si>
  <si>
    <t>1.8.</t>
  </si>
  <si>
    <t xml:space="preserve">- poklopac 
- otvaranje na pedalu
- kotačići 
- izvedba inox lim
- kapacitet 50 litara
</t>
  </si>
  <si>
    <t>Kanta za otpatke</t>
  </si>
  <si>
    <t>kanta za otpatke, dimenzija Ø380 x 605 mm</t>
  </si>
  <si>
    <t>1.9.</t>
  </si>
  <si>
    <t>1.10.</t>
  </si>
  <si>
    <t>viseći ormarić, dimenzija 1400 x 400 x 600 mm</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</si>
  <si>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</si>
  <si>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</si>
  <si>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</si>
  <si>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</si>
  <si>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</si>
  <si>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</si>
  <si>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</si>
  <si>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</si>
  <si>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</si>
  <si>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</si>
  <si>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</si>
  <si>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</si>
  <si>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</si>
  <si>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</si>
  <si>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</si>
  <si>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</si>
  <si>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</si>
  <si>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</si>
  <si>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</si>
  <si>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</si>
  <si>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</si>
  <si>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</si>
  <si>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</si>
  <si>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 xml:space="preserve">Postolje za konvektomat </t>
  </si>
  <si>
    <t>1.34.</t>
  </si>
  <si>
    <t>1.35.</t>
  </si>
  <si>
    <t>1.36.</t>
  </si>
  <si>
    <t xml:space="preserve">Ulazni stol stroja za pranje suđa </t>
  </si>
  <si>
    <t>1.37.</t>
  </si>
  <si>
    <t>1.38.</t>
  </si>
  <si>
    <t>Profesionalna tuš mješalica</t>
  </si>
  <si>
    <t>1.39.</t>
  </si>
  <si>
    <t xml:space="preserve">Izlazni stol stroja za pranje suđa </t>
  </si>
  <si>
    <t>1.40.</t>
  </si>
  <si>
    <t>Omekšivač vode</t>
  </si>
  <si>
    <t>1.41.</t>
  </si>
  <si>
    <t>1.42.</t>
  </si>
  <si>
    <t>1.43.</t>
  </si>
  <si>
    <t>Praonik-sudoper</t>
  </si>
  <si>
    <t>1.44.</t>
  </si>
  <si>
    <t>1.45.</t>
  </si>
  <si>
    <t>Sanitarni rukoper</t>
  </si>
  <si>
    <t>1.46.</t>
  </si>
  <si>
    <t xml:space="preserve">- 4 kotača (2 s kočnicom)
- inox izvedba
</t>
  </si>
  <si>
    <t>Set gastro posuda</t>
  </si>
  <si>
    <t xml:space="preserve">- GN1/1 - dubina 40 mm 
- GN1/1 - dubina 65 mm - 2 kom
- GN1/1 - dubina 65 mm perforirana - 2 komada
- GN1/1 inox rešetka
</t>
  </si>
  <si>
    <t>set gastro posuda</t>
  </si>
  <si>
    <t>1.47.</t>
  </si>
  <si>
    <t>1.48.</t>
  </si>
  <si>
    <t>PRAONICA RUBLJA</t>
  </si>
  <si>
    <t>2.7.</t>
  </si>
  <si>
    <t>2.8.</t>
  </si>
  <si>
    <t>2.9.</t>
  </si>
  <si>
    <t>2.10.</t>
  </si>
  <si>
    <t>2.11.</t>
  </si>
  <si>
    <t>2.12.</t>
  </si>
  <si>
    <t>Prije početka radova na hortikulturnom uređenju i oblikovanju potrebno je završiti sve građevinske radove, očistiti površine, te završiti radove na infrastrukturi vezano na zelene površine kao i radove na izgradnji ogradnog zida.
Biljni materijal planiran za sadnju mora odgovarati standardima i imati certifikate. Sve sadnice moraju imati kvalitetno razvijen nadzemni dio i dobro razvijen korijenov sistem. Drveća trebaju biti školovana u rasadnicima, s formiranom krošnjom, pravilnom provodnicom debla i standardnih opsega debla za sadnju u odnosu na pojedinu vrstu.</t>
  </si>
  <si>
    <t>VODOVOD I ODVODNJA</t>
  </si>
  <si>
    <t>STROJARSKE INSTALACIJE</t>
  </si>
  <si>
    <t>ELEKTROINSTALACIJE</t>
  </si>
  <si>
    <t>SUSTAV ZA DOJAVU POŽARA</t>
  </si>
  <si>
    <t>Profesionalna deka za gašenje požara</t>
  </si>
  <si>
    <t>profesionalna deka za gašenje požara</t>
  </si>
  <si>
    <t>1.49.</t>
  </si>
  <si>
    <t>zidno ogledalo 60 x 80 cm</t>
  </si>
  <si>
    <t xml:space="preserve">Obračun se vrši po kompletu i komadu montiranog umivaonika, tlačne mješalice i opreme, sa spojevima dovoda i odvoda i ostalim spojevima, uključivši sav potreban materijal za montažu i spojno-brtveni materijal, sve do pune funkcionalnosti. U stavci obračunati sva potrebna štemanja i krpanja.
 </t>
  </si>
  <si>
    <t>invalidski umivaonik dimenzija 60 x 55 cm (dim. ±5%)</t>
  </si>
  <si>
    <t>umivaonik-vindabona dimenzija 50 x 40 cm (dim. ±5%)</t>
  </si>
  <si>
    <t>zidno ogledalo 40 x 60 cm</t>
  </si>
  <si>
    <t xml:space="preserve">Obračun se vrši po kompletu i komadu montiranog umivaonika, tlačne mješalice i opreme, sa spojevima dovoda i odvoda i ostalim spojevima, uključivši sav potreban materijal za montažu i spojno-brtveni materijal, sve do pune funkcionalnosti. U stavci obračunati sva potrebna štemanja i krpanja. 
</t>
  </si>
  <si>
    <r>
      <rPr>
        <b/>
        <sz val="10"/>
        <rFont val="Calibri"/>
        <family val="2"/>
      </rPr>
      <t>Nabava, doprema i ugradnja kompletnog zidnog umivaonika u prostorima sanitarija za djecu</t>
    </r>
    <r>
      <rPr>
        <sz val="10"/>
        <rFont val="Calibri"/>
        <family val="2"/>
      </rPr>
      <t xml:space="preserve"> koji se sastoji od:
</t>
    </r>
  </si>
  <si>
    <r>
      <rPr>
        <b/>
        <sz val="10"/>
        <rFont val="Calibri"/>
        <family val="2"/>
      </rPr>
      <t>Nabava, doprema i ugradnja kompletnog zidnog umivaonika-vindabona</t>
    </r>
    <r>
      <rPr>
        <sz val="10"/>
        <rFont val="Calibri"/>
        <family val="2"/>
      </rPr>
      <t xml:space="preserve"> namjenjenog pomoćnim prostorima (tehnički prostor i spremište za čišćenje) koji se sastoji od:
</t>
    </r>
  </si>
  <si>
    <r>
      <rPr>
        <b/>
        <sz val="10"/>
        <rFont val="Calibri"/>
        <family val="2"/>
      </rPr>
      <t xml:space="preserve">Nabava, doprema i ugradnja kompletnog zidnog umivaonika namjenjenog WC-u prilagođenom osobama smanjene pokretljivosti </t>
    </r>
    <r>
      <rPr>
        <sz val="10"/>
        <rFont val="Calibri"/>
        <family val="2"/>
      </rPr>
      <t>koji se sastoji od:</t>
    </r>
  </si>
  <si>
    <r>
      <rPr>
        <b/>
        <sz val="10"/>
        <rFont val="Calibri"/>
        <family val="2"/>
      </rPr>
      <t>Nabava, doprema i montaža kompletnog  WC-a za djecu</t>
    </r>
    <r>
      <rPr>
        <sz val="10"/>
        <rFont val="Calibri"/>
        <family val="2"/>
      </rPr>
      <t xml:space="preserve"> koji se sastoji od:
</t>
    </r>
  </si>
  <si>
    <r>
      <rPr>
        <b/>
        <sz val="10"/>
        <rFont val="Calibri"/>
        <family val="2"/>
      </rPr>
      <t xml:space="preserve">Nabava, doprema i montaža kompletnog WC-a  sanitarnog čvora prilagođenog osobama smanjene pokretljivosti </t>
    </r>
    <r>
      <rPr>
        <sz val="10"/>
        <rFont val="Calibri"/>
        <family val="2"/>
      </rPr>
      <t xml:space="preserve">koji se sastoji od:
</t>
    </r>
  </si>
  <si>
    <t xml:space="preserve">- Preklopni rukohvat uz WC školjku s držačem WC rolo papira duljine 90 cm, nosivosti 100 kg, zakretanje prema gore, medicinski proizvod klase 1
- Fiksni rukohvat uz WC školjku duljine 90 cm, nosivosti 100kg, medicinski proizvod klase 1
- Zidni nosač od inoxa s WC četkom i zidni držač inox toalet papira.
- Zidna vješalica (trostruka) izrađena od INOX materijala za potrebe vješanja odjeće.
</t>
  </si>
  <si>
    <r>
      <rPr>
        <b/>
        <sz val="10"/>
        <rFont val="Calibri"/>
        <family val="2"/>
      </rPr>
      <t xml:space="preserve">Nabava, doprema i montaža kompletnog  pisoara </t>
    </r>
    <r>
      <rPr>
        <sz val="10"/>
        <rFont val="Calibri"/>
        <family val="2"/>
      </rPr>
      <t xml:space="preserve">koji se sastoji od:
</t>
    </r>
  </si>
  <si>
    <t xml:space="preserve">- Zidni pisoar, bijele boje, keramika I. klase,  s podžbuknim priključkom vode i skrivenim sifonom. U stavku uračunati kutni ventil NO15, te vijke za pričvršćenje pisoara. 
Stavka uključuje potisni aktivator za ispiranje.
</t>
  </si>
  <si>
    <t>pisoar dimenzija s potisnim aktivatorom za ispiranje</t>
  </si>
  <si>
    <r>
      <rPr>
        <b/>
        <sz val="10"/>
        <rFont val="Calibri"/>
        <family val="2"/>
      </rPr>
      <t xml:space="preserve">Nabava, doprema i montaža kompletne tuš kade </t>
    </r>
    <r>
      <rPr>
        <sz val="10"/>
        <rFont val="Calibri"/>
        <family val="2"/>
      </rPr>
      <t xml:space="preserve"> u sanitarijama osoblja koja se sastoji od:
</t>
    </r>
  </si>
  <si>
    <r>
      <rPr>
        <b/>
        <sz val="10"/>
        <rFont val="Calibri"/>
        <family val="2"/>
      </rPr>
      <t xml:space="preserve">Nabava, doprema i montaža kompletne tuš kade </t>
    </r>
    <r>
      <rPr>
        <sz val="10"/>
        <rFont val="Calibri"/>
        <family val="2"/>
      </rPr>
      <t xml:space="preserve"> u dječjim sanitarijama koja se sastoji od:
</t>
    </r>
  </si>
  <si>
    <t>- zidna varijanta
- mješalica za vodu
- aktivacija pritiska koljenom
- izvedba komplet inox lim AISI 304 SB + PVC
- s kompletom sifona i PVC cijevi za odvod Ø50 mm 
- svi potrebni priključni elementi i spojni materijal</t>
  </si>
  <si>
    <t>Obračun se vrši po kompletu montirane armature, uključivši sav potreban materijal za montažu i spojno-brtveni materijal, sve do pune funkcionalnosti. Montira se na kuhinjski element.</t>
  </si>
  <si>
    <r>
      <rPr>
        <b/>
        <sz val="10"/>
        <rFont val="Calibri"/>
        <family val="2"/>
      </rPr>
      <t xml:space="preserve">Nabava, doprema i ugradnja uzidnih, ugradbenih  unutarnjih hidranata </t>
    </r>
    <r>
      <rPr>
        <sz val="10"/>
        <rFont val="Calibri"/>
        <family val="2"/>
      </rPr>
      <t>NO50, opremljenih s:</t>
    </r>
  </si>
  <si>
    <t>DN 110</t>
  </si>
  <si>
    <r>
      <rPr>
        <b/>
        <sz val="10"/>
        <rFont val="Calibri"/>
        <family val="2"/>
      </rPr>
      <t>Dobava i montaža dvostrukih okomitih odzračnika - odparivača na bazi TPO/FPO</t>
    </r>
    <r>
      <rPr>
        <sz val="10"/>
        <rFont val="Calibri"/>
        <family val="2"/>
        <charset val="238"/>
      </rPr>
      <t>, toplinski izoliranih sa ekspandiranim polietilenom (EFE), s mogućnošću spajanja na hidroizolaciju, promjera Ǿ 110 i visine 1000 mm. Jedan na svakih 250 m2. Obračun po komadu ugrađenog elementa.</t>
    </r>
  </si>
  <si>
    <t>Zvučne karakteristike: Rw = min. 35dB (min. 33 ugrađeno).</t>
  </si>
  <si>
    <t>U zidove od betona/opeke dovratnici  se ugrađuju pomoću 'slijepih' metalnih dovratnika 60x40x3 mm ili  na točkastu čeličnu konstrukciju od L-profila, sve prema tehničkom uputstvu proizvođača prozora.</t>
  </si>
  <si>
    <t xml:space="preserve">Kod višedijelnih ostakljenih stijena, spoj između fiksnih dijelova izvesti bez okvira, spoj stakla na dodir, silikoniziran.
</t>
  </si>
  <si>
    <r>
      <rPr>
        <b/>
        <sz val="10"/>
        <color indexed="8"/>
        <rFont val="Calibri"/>
        <family val="2"/>
      </rPr>
      <t>Dobava, izrada i ugradnja kompletnih unutarnjih stijena i vrata</t>
    </r>
    <r>
      <rPr>
        <sz val="10"/>
        <color indexed="8"/>
        <rFont val="Calibri"/>
        <family val="2"/>
        <charset val="238"/>
      </rPr>
      <t>.</t>
    </r>
  </si>
  <si>
    <t xml:space="preserve">Krila i okviri u istoj ravnini. Svi profili bez prekinutog toplinskog mosta, za ugradnju u uvjetima izjednačene temperature (unutarnji grijani prostori). 
Završna obrada profila prašnim plastificiranjem u boji po odabiru projektanta.
</t>
  </si>
  <si>
    <t>ispuna međuprostora plodnim supstratom, d= 8 cm</t>
  </si>
  <si>
    <t>šljunak 4-8 mm, d=6 cm</t>
  </si>
  <si>
    <t>nasipavanje šljunka d=47 cm -  parkiralište - betonska travna rešetka</t>
  </si>
  <si>
    <r>
      <rPr>
        <b/>
        <sz val="10"/>
        <color indexed="8"/>
        <rFont val="Calibri"/>
        <family val="2"/>
      </rPr>
      <t>Dobava materijala i zidanje zidova blok opekom 29-50x19x19-25 cm, debljina zida d=19 (20) cm</t>
    </r>
    <r>
      <rPr>
        <sz val="10"/>
        <color indexed="8"/>
        <rFont val="Calibri"/>
        <family val="2"/>
      </rPr>
      <t xml:space="preserve">, MO-15,  u produžnom mortu 1:2:6, M-5. Zidanje mora biti pravilno s čistim vezom, spojnice među opekom dobro zalivene, debljine do 1 cm. Ozidani dijelovi moraju biti ravni i vertikalni.
Visina zidanja preko 300 cm (zidanje do krovne ploče).
</t>
    </r>
  </si>
  <si>
    <t>pregradni zidovi od opeke d=10 cm, pregrade u dječjim sanitarijama</t>
  </si>
  <si>
    <r>
      <rPr>
        <b/>
        <sz val="10"/>
        <color indexed="8"/>
        <rFont val="Calibri"/>
        <family val="2"/>
      </rPr>
      <t>Dobava i strojna ugradba cementnog estriha za izvedbu 'plivajućeg' poda</t>
    </r>
    <r>
      <rPr>
        <sz val="10"/>
        <color indexed="8"/>
        <rFont val="Calibri"/>
        <family val="2"/>
      </rPr>
      <t>, armiran laganom mrežom 2 mm, okna 5/5 cm (armatura za glazure). Mješavina kamenog agregata 0 - 4 mm s aditivima, količina cementa do 360 kg/m3, s aditivima za plastifikaciju (zbog ugradnje podnog grijanja). Tlačna čvrstoća minimalno 20 N/mm2, čvrstoća na savijanje minimalno 5 N/mm2, pronjivost B1.0, reakcija na požar: razred E. Ostatak vlage nakon 4 dana ispod 2 CM%.</t>
    </r>
  </si>
  <si>
    <t>zidovi i obloge:</t>
  </si>
  <si>
    <t>Gipskartonska obloga oko vertikala odvodnje.</t>
  </si>
  <si>
    <t>unutarnji pregradni zid od opeke, d=20 cm, svjetlog raspona do 150 cm</t>
  </si>
  <si>
    <t>Predgotovljeni elementi se sastoje od opečnih kanalica, betona i armature. 
Izvode se iznad otvora instalacija.</t>
  </si>
  <si>
    <r>
      <t>Toplinske karakteristike: profil Uf=2,0 W/m2K, staklo Ug=1,10 W/m2K, g</t>
    </r>
    <r>
      <rPr>
        <sz val="10"/>
        <rFont val="Calibri"/>
        <family val="2"/>
        <charset val="238"/>
      </rPr>
      <t xml:space="preserve">ꓕ=0,6, ostakljenje dvostrukim low-E IZO staklom 8+16+8 mm,  vanjska i unutarnja stakla (8 mm) su lamelirana 4+4 mm, međuprostor punjen argonom ili kriptonom, unutarnje staklo toplinski niskopropusno. Zrakonepropusnost otvora klase 4.
Ukupni prolaz topline cijelog otvora Uw≤1,30. Ukupni prolaz topline cijelog otvora Uw≤2,00 W/m2K (puna vrata).
</t>
    </r>
  </si>
  <si>
    <t xml:space="preserve">temeljne trake terasa, vodonepropusni beton, C25/30
</t>
  </si>
  <si>
    <t>U jamu se ugrađuju penjalice od rebrastog željeza na međusobnom razmaku od 30 cm. Stavka uključuje nabavu, dopremu bušenje rupa za ugrađivanje, potrebni cementni mort omjera smjese 1:2, pripremu i donos morta, učvršćivanje penjalica te nabavu i dopremu sveg potrebnog materijala.</t>
  </si>
  <si>
    <t>Unutarnje površine zidova i dna sabirne jame ožbukati  cementnim mortom  omjera smjese 1:2, upotrebom čistog prosijanog pijeska bez organskih primjesa s dodatkom sredstva za postizanje vodonepropusnosti prema odredbi nadzornog inženjera, uključivo nabavu i dopremu sveg potrebnog materijala, čišćenje i močenje zidova i dna , popunjavanje rupa eventualno zaostalih nakon betoniranja, izradu morta, donos na mjesto žbukanja, dodavanje i nabacivanje te zaglađivanje uz posipanje cementom, ali ne do crnog sjaja.</t>
  </si>
  <si>
    <t xml:space="preserve">Na ulazu se ugrađuje ljevano željezni poklopac  veličine 60x60 cm, nosivosti 25 t. Stavka uključuje nabavu, dopremu, ugradnju poklopaca uključivo podložni sloj cementnog morta omjera smjese 1:2, pripremu i dopremu morta.
</t>
  </si>
  <si>
    <r>
      <rPr>
        <b/>
        <sz val="10"/>
        <rFont val="Calibri"/>
        <family val="2"/>
        <scheme val="minor"/>
      </rPr>
      <t>Planiranje dna rova</t>
    </r>
    <r>
      <rPr>
        <sz val="10"/>
        <rFont val="Calibri"/>
        <family val="2"/>
        <scheme val="minor"/>
      </rPr>
      <t xml:space="preserve"> kanala s točnošću ±1cm . Obračun po m2. </t>
    </r>
  </si>
  <si>
    <r>
      <rPr>
        <b/>
        <sz val="10"/>
        <rFont val="Calibri"/>
        <family val="2"/>
        <scheme val="minor"/>
      </rPr>
      <t>Izrada pješčane posteljice</t>
    </r>
    <r>
      <rPr>
        <sz val="10"/>
        <rFont val="Calibri"/>
        <family val="2"/>
        <scheme val="minor"/>
      </rPr>
      <t xml:space="preserve"> granulacije 4-8 mm za vodovodne cijevi i cjevovod odvodnje, visina posteljice 10 cm.</t>
    </r>
  </si>
  <si>
    <r>
      <rPr>
        <b/>
        <sz val="10"/>
        <rFont val="Calibri"/>
        <family val="2"/>
        <scheme val="minor"/>
      </rPr>
      <t>Zatrpavanje rova</t>
    </r>
    <r>
      <rPr>
        <sz val="10"/>
        <rFont val="Calibri"/>
        <family val="2"/>
        <scheme val="minor"/>
      </rPr>
      <t xml:space="preserve"> nakon izvedbe kanala i revizijskih okana i provedenog ispitivanja vodonepropusnosti.  Rov zatrpavati pijeskom granulacije 8-16 mm do visine 30 cm od tjemena cijevi uz ručno nabijanje.</t>
    </r>
  </si>
  <si>
    <r>
      <rPr>
        <b/>
        <sz val="10"/>
        <rFont val="Calibri"/>
        <family val="2"/>
        <scheme val="minor"/>
      </rPr>
      <t>Zatrpavanje preostale visine rova</t>
    </r>
    <r>
      <rPr>
        <sz val="10"/>
        <rFont val="Calibri"/>
        <family val="2"/>
        <scheme val="minor"/>
      </rPr>
      <t xml:space="preserve"> materijalom iz iskopa uz strojno nabijanje u slojevima od 30cm. Obračun po m3. </t>
    </r>
  </si>
  <si>
    <r>
      <rPr>
        <b/>
        <sz val="10"/>
        <rFont val="Calibri"/>
        <family val="2"/>
        <scheme val="minor"/>
      </rPr>
      <t>Razupiranje</t>
    </r>
    <r>
      <rPr>
        <sz val="10"/>
        <rFont val="Calibri"/>
        <family val="2"/>
        <scheme val="minor"/>
      </rPr>
      <t xml:space="preserve"> bočnih strana rova. U stavku je uračunata dobava, doprema i ugradnja čelične oplate te demontaža. Razupiranje izvesti prema propisima zaštite na radu, tako da se osigura i omogući siguran rad u rovu i van rova. 
</t>
    </r>
  </si>
  <si>
    <r>
      <rPr>
        <b/>
        <sz val="10"/>
        <rFont val="Calibri"/>
        <family val="2"/>
        <scheme val="minor"/>
      </rPr>
      <t>Izrada vodomjernog okna</t>
    </r>
    <r>
      <rPr>
        <sz val="10"/>
        <rFont val="Calibri"/>
        <family val="2"/>
        <scheme val="minor"/>
      </rPr>
      <t xml:space="preserve"> svijetlih tlocrtnih dimenzija 350 x 150 / 20 cm te minimalne svjetle visine 180 cm, betonom klase C25/30 s dodatkom sredstva za postizanje vodonepropusnosti.</t>
    </r>
  </si>
  <si>
    <r>
      <rPr>
        <b/>
        <sz val="10"/>
        <rFont val="Calibri"/>
        <family val="2"/>
        <scheme val="minor"/>
      </rPr>
      <t>Izrada armirano-betonskog revizijskog okna</t>
    </r>
    <r>
      <rPr>
        <sz val="10"/>
        <rFont val="Calibri"/>
        <family val="2"/>
        <scheme val="minor"/>
      </rPr>
      <t>, betonom klase C25/30 s dodatkom aditiva za vodonepropusnost i otpornost prema agresivnim vodama.</t>
    </r>
  </si>
  <si>
    <t>koljeno 45⁰ d110</t>
  </si>
  <si>
    <t>koljeno 45⁰ d160</t>
  </si>
  <si>
    <t>račva 45⁰ d160/160</t>
  </si>
  <si>
    <t>račva 45⁰ d250/160</t>
  </si>
  <si>
    <t>UKC d110</t>
  </si>
  <si>
    <t>UKC d250</t>
  </si>
  <si>
    <t>d250/L=240 mm</t>
  </si>
  <si>
    <t xml:space="preserve">PEHD d50 </t>
  </si>
  <si>
    <t>PEHD d63</t>
  </si>
  <si>
    <t>dn 40 / d50</t>
  </si>
  <si>
    <t>jedan izlaz d50</t>
  </si>
  <si>
    <t>7.9.</t>
  </si>
  <si>
    <r>
      <rPr>
        <b/>
        <sz val="10"/>
        <rFont val="Calibri"/>
        <family val="2"/>
        <scheme val="minor"/>
      </rPr>
      <t xml:space="preserve">Nabava, doprema i ugradnja metalnih kromiranih vratašca </t>
    </r>
    <r>
      <rPr>
        <sz val="10"/>
        <rFont val="Calibri"/>
        <family val="2"/>
        <scheme val="minor"/>
      </rPr>
      <t xml:space="preserve">250x250mm  sa okvirom. Obračun se vrši po komadu kompletno montiranih vratašca uključivši sav potreban pomoćni materijal. </t>
    </r>
  </si>
  <si>
    <r>
      <rPr>
        <b/>
        <sz val="10"/>
        <rFont val="Calibri"/>
        <family val="2"/>
        <scheme val="minor"/>
      </rPr>
      <t>Nabava, doprema i ugradnja PVC odzračnika</t>
    </r>
    <r>
      <rPr>
        <sz val="10"/>
        <rFont val="Calibri"/>
        <family val="2"/>
        <scheme val="minor"/>
      </rPr>
      <t xml:space="preserve"> koji se ugrađuju na završetke fekalnih vertikala na krovu. Obračun po komadu. </t>
    </r>
  </si>
  <si>
    <r>
      <rPr>
        <b/>
        <sz val="10"/>
        <rFont val="Calibri"/>
        <family val="2"/>
        <scheme val="minor"/>
      </rPr>
      <t>Nabava, doprema i ugradnja automatskog dozračnog ventila.</t>
    </r>
    <r>
      <rPr>
        <sz val="10"/>
        <rFont val="Calibri"/>
        <family val="2"/>
        <scheme val="minor"/>
      </rPr>
      <t xml:space="preserve"> 
U stavku uračunati i rešetku 200x200cm. Obračun po komadu. </t>
    </r>
  </si>
  <si>
    <r>
      <rPr>
        <b/>
        <sz val="10"/>
        <rFont val="Calibri"/>
        <family val="2"/>
        <scheme val="minor"/>
      </rPr>
      <t>Nabava, doprema i ugradnja podnog slivnika</t>
    </r>
    <r>
      <rPr>
        <sz val="10"/>
        <rFont val="Calibri"/>
        <family val="2"/>
        <scheme val="minor"/>
      </rPr>
      <t xml:space="preserve"> s horizontalnim ulazom d40/50 i izlazom d50, završnim okvirom 123x123 mm podesivim po visini, inox rešetkom 115x115 mm, umetkom sifona s nepovratnom zaštitom. Obračun po komadu. </t>
    </r>
  </si>
  <si>
    <r>
      <rPr>
        <b/>
        <sz val="10"/>
        <rFont val="Calibri"/>
        <family val="2"/>
        <scheme val="minor"/>
      </rPr>
      <t xml:space="preserve">Nabava, doprema i ugradnja podnog slivnika </t>
    </r>
    <r>
      <rPr>
        <sz val="10"/>
        <rFont val="Calibri"/>
        <family val="2"/>
        <scheme val="minor"/>
      </rPr>
      <t xml:space="preserve">s horizontalnim izlazom d40/50, završnim okvirom od inoxa 123x123 mm podesivim po visini, umetkom sifona primus - suhi sifon. Obračun po komadu. </t>
    </r>
  </si>
  <si>
    <r>
      <rPr>
        <b/>
        <sz val="10"/>
        <rFont val="Calibri"/>
        <family val="2"/>
        <scheme val="minor"/>
      </rPr>
      <t>Nabava, doprema i ugradnja kolektora za kišnicu</t>
    </r>
    <r>
      <rPr>
        <sz val="10"/>
        <rFont val="Calibri"/>
        <family val="2"/>
        <scheme val="minor"/>
      </rPr>
      <t xml:space="preserve"> sa bočnim priključkom DN110 i izlazom DN110/125, sa kuglastim zglobom, hvatačem lišća i otvorom za čišćenje s poklopcem. U stavci je uračunat sav potreban rad i materijal za ugradnju prema preporuci proizvođača.
Obračun po komadu.
</t>
    </r>
  </si>
  <si>
    <t>kolektor za kišnicu</t>
  </si>
  <si>
    <t>U cijenu uključiti aparat, nosač i tipsku naljepnicu sa oznakom aparata, veličine cca. 100x120 mm.</t>
  </si>
  <si>
    <r>
      <rPr>
        <b/>
        <sz val="10"/>
        <rFont val="Calibri"/>
        <family val="2"/>
        <scheme val="minor"/>
      </rPr>
      <t>Ispitivanje cjevovoda</t>
    </r>
    <r>
      <rPr>
        <sz val="10"/>
        <rFont val="Calibri"/>
        <family val="2"/>
        <scheme val="minor"/>
      </rPr>
      <t xml:space="preserve"> na tlak vodom sa izdavanjem atesta o vodonepropusnosti. Punjenje cjevovoda vodom, tlačenje sa uporabom tlačne pumpe, trajanje tlačne probe sa preuzimanjem te pražnjenje cjevovoda nakon dovršene tlačne probe. Uključivo izrada potrebnih uporišta, cjelokupna privremena ugradnja i deugradnja radi ispitivanja cjevovoda, sa svim utrošenim spojnim materijalom i svi potrebni prijenosi. Obračun po m1. </t>
    </r>
  </si>
  <si>
    <r>
      <rPr>
        <b/>
        <sz val="10"/>
        <rFont val="Calibri"/>
        <family val="2"/>
        <scheme val="minor"/>
      </rPr>
      <t xml:space="preserve">Ispitivanje cjevovoda </t>
    </r>
    <r>
      <rPr>
        <sz val="10"/>
        <rFont val="Calibri"/>
        <family val="2"/>
        <scheme val="minor"/>
      </rPr>
      <t xml:space="preserve">na tlak vodom s izdavanjem atesta o vodonepropusnosti. Punjenje cjevovoda vodom, tlačenje sa uporabom tlačne pumpe, trajanje tlačne probe sa preuzimanjem te pražnjenje cjevovoda nakon dovršene tlačne probe. Uključivo izrada potrebnih uporišta, cjelokupna privremena ugradnja i deugradnja radi ispitivanja cjevovoda, sa svim utrošenim spojnim materijalom i svi potrebni prijenosi. Obračun po m1. </t>
    </r>
  </si>
  <si>
    <r>
      <rPr>
        <b/>
        <sz val="10"/>
        <rFont val="Calibri"/>
        <family val="2"/>
        <scheme val="minor"/>
      </rPr>
      <t>Detaljno iskolčenje trase</t>
    </r>
    <r>
      <rPr>
        <sz val="10"/>
        <rFont val="Calibri"/>
        <family val="2"/>
        <scheme val="minor"/>
      </rPr>
      <t xml:space="preserve"> temeljnog razvoda vodovoda, oborinske i fekalne odvodnje, označavanje pozicija revizijskih okana.</t>
    </r>
  </si>
  <si>
    <t>Obračun komplet.</t>
  </si>
  <si>
    <t xml:space="preserve">Nabava, doprema i ugradnja kuhinjskog podnog slivnika (250x250 mm, DN 70) s rešetkom i sitom za nečistoće </t>
  </si>
  <si>
    <t xml:space="preserve">kuhinjski podni slivnik (250x250 mm, DN 70) </t>
  </si>
  <si>
    <t>TROŠKOVNIK - DJEČJI VRTIĆ LEKENIK</t>
  </si>
  <si>
    <t>VODOVOD I ODVODNJA - SVEUKUPNO:</t>
  </si>
  <si>
    <t>KRAJOBRAZNO UREĐENJE - SVEUKUPNO</t>
  </si>
  <si>
    <t>KUHINJA I PRAONICA - SVEUKUPNO:</t>
  </si>
  <si>
    <t>GRAĐEVINSKO OBRTNIČKI RADOVI - SVEUKUPNO:</t>
  </si>
  <si>
    <t>GRADIR  d.o.o.
Zagreb, Solinska 19, ured: Ilica 124/1, tel./faks.: +385(0)13760383, e-pošta: info@gradir.com, OIB: 02776388180</t>
  </si>
  <si>
    <t>OPĆE ODREDBE TROŠKOVNIKA:</t>
  </si>
  <si>
    <t>Svi radovi iz ovog troškovnika moraju biti izvedeni stručno, precizno i veoma savjesno prema danom troškovničkom opisu i projektu, te moraju odgovarati važećim tehničkim propisima i normativima.</t>
  </si>
  <si>
    <t>U cijeni pojedinih stavaka obuhvaćeni su svi troškovi za puno dovršenje stavke, sav rad, materijal, sve zidarske pripomoći, svi prijevozi i prijenosi, razni doprinosi, dodaci i režijski troškovi, sva potrebna ispitivanja i funkcionalne probe do potpune funkcionalnosti, čišćenje, ispiranje i dezinfekcije cjevovoda, izdavanje atesta, izrada svih projekata izvedenog stanja, izrada katastra svih vanjskih instalacija, obučavanja korisnika opreme, sitni spojni, montažni i brtveni materijal, tehnička dokumentacija sustava, tehnički listovi i certifikati ugrađene opreme, dokumentacija za rukovanje i održavanje sustava, certifikati o protokolarnim mjerenjima, te svi ini troškovi izvoditelja vezani na organizaciju gradilišta.</t>
  </si>
  <si>
    <t>Svi radovi iz troškovnika obračunat će se prema "Prosječnim normama u graditeljstvu" ukoliko u pojedinim stavkama nije drugačije označeno.</t>
  </si>
  <si>
    <t xml:space="preserve">Sav upotrijebljeni materijal mora biti kvalitetan i odgovarati odredbama odgovarajućih standarda i propisa. Nekvalitetan materijal ne smije se upotrebljavati. Za sav materijal koji će se upotrijebiti za građenje, izvoditelj radova mora pribaviti uvjerenje o kvaliteti materijala koji se mora priložiti primopredaji izvedenih radova. Radovi moraju biti izvedeni prema projektu, te izvoditelj ne smije vršiti nikakve promjene ili odstupanja od projekta bez odobrenja stručnog nadzora, investitora i projektanta. Sva eventualna odstupanja od projekta moraju se upisati u građevinski dnevnik od strane nadzornog inženjera i moraju biti usuglašena od strane investitora. Bez odobrenja investitora , izvoditelj ne smije upotrebljavati materijale koji nisu predviđeni projektom. Za čitavo vrijeme građenja izvoditelj je dužan održavati potrebnu čistoću na gradilištu. </t>
  </si>
  <si>
    <t xml:space="preserve">Ukoliko investitor utvrdi da neki materijal ne odgovara kvaliteti i važećim propisima izvoditelj je dužan isti materijal ukloniti sa gradilišta o svom trošku i zamijeniti ga sa propisanim. </t>
  </si>
  <si>
    <t>Obračun radova vršiti će se prema odredbama iz ugovora između izvoditelja i investitora. Nakon završetka izgradnje odnosno primopredaje radova, izvoditelj je dužan s gradilišta ukloniti o svom trošku sve privremene objekte, deponije materijala i sl. Za vrijeme izvođenja radova izvoditelj mora primjenjivati sva potrebna sredstva zaštite na radu kako bi osigurao izvođenje radova na siguran način, a u  svrhu zaštite života i zdravlja svojih i inih djelatnika, slučajnih prolaznika i sl., te osiguranja uvjeta da ne dođe do oštećenja susjednih objekata. Izvoditelj se u tijeku gradnje mora pridržavati odredaba zakona o gradnji, Zakona o zaštiti na radu i drugih važećih pozitivnih propisa RH.</t>
  </si>
  <si>
    <t>U slučaju da nuđeni proizvodi ne zadovoljavaju uvjete troškovnika, ponuditelj je obavezan pronaći alternativne proizvode koji zadovoljavaju tražene karakteristike. Ukoliko alternativni proizvodi imaju veću cijenu od ponuđenih, ponuditelj mora snositi razliku na svoju štetu, odnosno ne dozvoljava se povećanje ugovorne cijene nuđenih stavki.</t>
  </si>
  <si>
    <t>Imenovanje pojedinog proizvoda i proizvođača ima samo značenje tehničko - tehnoloških i približno oblikovnih osobitosti proizvoda koji će se ugraditi, a nikako naredbodavnu obaveznu dobavu, proizvodnju i ugradbu imenovanog proizvoda</t>
  </si>
  <si>
    <t>INSTALACIJA ENERGETSKOG RAZVODA</t>
  </si>
  <si>
    <t>SPMO</t>
  </si>
  <si>
    <t>GRO</t>
  </si>
  <si>
    <t>MREŽNO POLJE</t>
  </si>
  <si>
    <t>RO1</t>
  </si>
  <si>
    <t>RO2</t>
  </si>
  <si>
    <t>RO3</t>
  </si>
  <si>
    <t>RK</t>
  </si>
  <si>
    <t>RP</t>
  </si>
  <si>
    <t>Isporuka i polaganje kabela sa instalacijskom cijevi:</t>
  </si>
  <si>
    <t>Isporuka, ugradnja i spajanje tipkala za slučaj nužnog isklopa (žute boje) JPr-10</t>
  </si>
  <si>
    <t>50mm</t>
  </si>
  <si>
    <t>100 mm</t>
  </si>
  <si>
    <t>200 mm</t>
  </si>
  <si>
    <t>Postojeća trasa NN kabela</t>
  </si>
  <si>
    <t>Zaštita postojećeg NN kabela prema pravilima struke</t>
  </si>
  <si>
    <t>Točno locirati postojeće kabele</t>
  </si>
  <si>
    <t>Odrediti lokaciju kebelske trase</t>
  </si>
  <si>
    <t>Pažljivo ručno okopati u području kabelskog koridora</t>
  </si>
  <si>
    <t>Postojeća EKI</t>
  </si>
  <si>
    <t>Zaštita postojećeg EKI trase prema pravilima struke</t>
  </si>
  <si>
    <t>Obavijestiti nadležni telekomunikacijeke operatere prije radova koji zahvačaju postojeći EKI trasu u njihovom vlasništvu.</t>
  </si>
  <si>
    <t>INSTALACIJA ENERGETSKOG RAZVODA - UKUPNO:</t>
  </si>
  <si>
    <t>INSTALACIJA RASVJETE I UTIČNICA</t>
  </si>
  <si>
    <t xml:space="preserve">2.1. </t>
  </si>
  <si>
    <t>RASVJETNA TIJELA</t>
  </si>
  <si>
    <t>2.1.1.</t>
  </si>
  <si>
    <t>2.1.2.</t>
  </si>
  <si>
    <t>2.1.3.</t>
  </si>
  <si>
    <t>2.1.4.</t>
  </si>
  <si>
    <r>
      <t xml:space="preserve">Oznaka na nacrtu: </t>
    </r>
    <r>
      <rPr>
        <b/>
        <sz val="10"/>
        <rFont val="Calibri"/>
        <family val="2"/>
        <scheme val="minor"/>
      </rPr>
      <t>C1</t>
    </r>
  </si>
  <si>
    <t>2.1.5.</t>
  </si>
  <si>
    <r>
      <t xml:space="preserve">Oznaka na nacrtu: </t>
    </r>
    <r>
      <rPr>
        <b/>
        <sz val="10"/>
        <rFont val="Calibri"/>
        <family val="2"/>
        <scheme val="minor"/>
      </rPr>
      <t>D1</t>
    </r>
  </si>
  <si>
    <t>2.1.6.</t>
  </si>
  <si>
    <r>
      <t xml:space="preserve">Oznaka na nacrtu: </t>
    </r>
    <r>
      <rPr>
        <b/>
        <sz val="10"/>
        <rFont val="Calibri"/>
        <family val="2"/>
        <scheme val="minor"/>
      </rPr>
      <t>E1</t>
    </r>
  </si>
  <si>
    <t>2.1.7.</t>
  </si>
  <si>
    <t>2.1.8.</t>
  </si>
  <si>
    <t>2.1.9.</t>
  </si>
  <si>
    <t>2.1.10.</t>
  </si>
  <si>
    <r>
      <t xml:space="preserve">Oznaka na nacrtu: </t>
    </r>
    <r>
      <rPr>
        <b/>
        <sz val="10"/>
        <rFont val="Calibri"/>
        <family val="2"/>
        <scheme val="minor"/>
      </rPr>
      <t>G1</t>
    </r>
  </si>
  <si>
    <t>2.1.11.</t>
  </si>
  <si>
    <t>2.1.12.</t>
  </si>
  <si>
    <r>
      <t xml:space="preserve">Oznaka na nacrtu: </t>
    </r>
    <r>
      <rPr>
        <b/>
        <sz val="10"/>
        <rFont val="Calibri"/>
        <family val="2"/>
        <scheme val="minor"/>
      </rPr>
      <t>H1</t>
    </r>
  </si>
  <si>
    <t>2.1.13.</t>
  </si>
  <si>
    <r>
      <t xml:space="preserve">Oznaka na nacrtu: </t>
    </r>
    <r>
      <rPr>
        <b/>
        <sz val="10"/>
        <rFont val="Calibri"/>
        <family val="2"/>
        <scheme val="minor"/>
      </rPr>
      <t>R1</t>
    </r>
  </si>
  <si>
    <t>2.1.14.</t>
  </si>
  <si>
    <r>
      <t>Oznaka na nacrtu:</t>
    </r>
    <r>
      <rPr>
        <b/>
        <sz val="10"/>
        <rFont val="Calibri"/>
        <family val="2"/>
        <scheme val="minor"/>
      </rPr>
      <t xml:space="preserve"> S1</t>
    </r>
  </si>
  <si>
    <t>2.1.15.</t>
  </si>
  <si>
    <r>
      <t xml:space="preserve">Oznaka na nacrtu: </t>
    </r>
    <r>
      <rPr>
        <b/>
        <sz val="10"/>
        <rFont val="Calibri"/>
        <family val="2"/>
        <scheme val="minor"/>
      </rPr>
      <t>S2</t>
    </r>
  </si>
  <si>
    <t>2.1.16.</t>
  </si>
  <si>
    <t>2.1.17.</t>
  </si>
  <si>
    <t>2.1.18.</t>
  </si>
  <si>
    <t>Programiranje sustava sigurnosne rasvjete, adresiranje svjetiljaka, puštanje u pogon, ispis izvještaja o ispravnoj funkcionalnosti  i edukacija korisnika.</t>
  </si>
  <si>
    <t>2.1.19.</t>
  </si>
  <si>
    <t>Izrada projekta izvedenog stanja sustava sigurnosne rasvjete sa prikazom adresa svih svjetiljaka (tlocrtno i na blok shemi). Projekt mora biti izrađen od strane ovlaštenog inženjera elektrotehnike.</t>
  </si>
  <si>
    <t>SKLOPKE</t>
  </si>
  <si>
    <t>2.2.1.</t>
  </si>
  <si>
    <t>Sklopke za podžbuknu ugradnju</t>
  </si>
  <si>
    <t>sve</t>
  </si>
  <si>
    <t>2.2.2.</t>
  </si>
  <si>
    <t>2.2.3.</t>
  </si>
  <si>
    <t>2.2.4.</t>
  </si>
  <si>
    <t>2.2.5.</t>
  </si>
  <si>
    <t>2.2.6.</t>
  </si>
  <si>
    <t>2.2.7.</t>
  </si>
  <si>
    <t>2.2.8.</t>
  </si>
  <si>
    <t>2.2.9.</t>
  </si>
  <si>
    <t>2.2.10.</t>
  </si>
  <si>
    <t>2.2.11.</t>
  </si>
  <si>
    <t>UTIČNICE</t>
  </si>
  <si>
    <t>2.3.1.</t>
  </si>
  <si>
    <t>Utičnice za podžbuknu ugradnju</t>
  </si>
  <si>
    <t>2.3.2.</t>
  </si>
  <si>
    <t>2.3.3.</t>
  </si>
  <si>
    <t>2.3.4.</t>
  </si>
  <si>
    <t>2.3.5.</t>
  </si>
  <si>
    <t>2.3.6.</t>
  </si>
  <si>
    <t>Utičnice za podžbuknu ugradnju sa poklopcem</t>
  </si>
  <si>
    <t>2.3.7.</t>
  </si>
  <si>
    <t>2.3.8.</t>
  </si>
  <si>
    <t>Izrada izvoda za fiksni priključak</t>
  </si>
  <si>
    <t>iz zida</t>
  </si>
  <si>
    <t>PRAONICA</t>
  </si>
  <si>
    <t>GRAĐEVINA</t>
  </si>
  <si>
    <t>KABEL I PRIBOR</t>
  </si>
  <si>
    <t>2.4.1.</t>
  </si>
  <si>
    <t>NYM 3x1,5mm2</t>
  </si>
  <si>
    <t>NYM 3x2,5mm2</t>
  </si>
  <si>
    <t>2.4.2.</t>
  </si>
  <si>
    <t>Isporuka ugradnja plastičnih kutija:</t>
  </si>
  <si>
    <t>ugradna PVC kutija, Φ=60mm</t>
  </si>
  <si>
    <t>ugradna PVC kutija 100x100mmm</t>
  </si>
  <si>
    <t>2.4.3.</t>
  </si>
  <si>
    <t>PVC cijev Φ=20mm</t>
  </si>
  <si>
    <t>Obujmice</t>
  </si>
  <si>
    <t>ZAŠTITNO ELEKTRIČNO GRIJANJE  PROTIV SMRZAVANJA</t>
  </si>
  <si>
    <t>Sve stavke obuhvaćaju isporuku i montažu.</t>
  </si>
  <si>
    <t>2.6.1.</t>
  </si>
  <si>
    <t>Samoregulirajuća grijaća traka za ugradnju u horizontalni i vertikalni oluk, snaga grijanja ovisna o  temperaturi okoline, snaga 18W/m u zraku, 36W/m u ledu, traka je s metalnim opletom i vanjskom vodonepropusnom zaštitom otpornom na ultravioletne zrake, napajanje 220V, 50 Hz</t>
  </si>
  <si>
    <t>2.6.2.</t>
  </si>
  <si>
    <t>Početna i krajnja spojnica grijaće trake, termostezna, vodonepropusna</t>
  </si>
  <si>
    <t>2.6.3.</t>
  </si>
  <si>
    <t>Gumeni kabel za produženje grijača do razvodne kutije</t>
  </si>
  <si>
    <t>2.6.4.</t>
  </si>
  <si>
    <t>Učvrsni limovi za učvršćenje grijača u žlijebu</t>
  </si>
  <si>
    <t>2.6.5.</t>
  </si>
  <si>
    <t>Razvodna kutija u IP65 zaštiti, za priključak grijača na napajanje i produženje senzora vlage i temperature</t>
  </si>
  <si>
    <t>2.6.6.</t>
  </si>
  <si>
    <t>2.6.7.</t>
  </si>
  <si>
    <t>2.6.8.</t>
  </si>
  <si>
    <t>2.6.9.</t>
  </si>
  <si>
    <t>Montažni materijal i montaža specificirane opreme, ispitivanje i izdavanje ispitnih protokola te puštanje u rad</t>
  </si>
  <si>
    <t>INSTALACIJA RASVJETE I UTIČNICA - UKUPNO:</t>
  </si>
  <si>
    <t>INSTALACIJA SUSTAVA ZAŠTITE OD MUNJE I  IZJEDNAČENJA POTENCIJALA</t>
  </si>
  <si>
    <t>Isporuka, ugradnja i spajanje kutija za izjednačenje potencijala u sanitarnim čvorovima, tehničkim prostorijama i kod razdjelnika</t>
  </si>
  <si>
    <t>Isporuka, polaganje i spajanje vodiča P/Y</t>
  </si>
  <si>
    <t xml:space="preserve">Dobava i polaganje u vertikalnim serklažama pocinčane čelične trake Fe/Zn 25 x 3 od krovne hvataljke do mjernog spoja.
</t>
  </si>
  <si>
    <t xml:space="preserve">Povezivanje u instalaciju zaštite od udara munje kolektora krovnih voda i limenih opšava premosnicama Cu 16mm2 prosječne dužine po jendom spoju 1m, komplet sa stopicom
</t>
  </si>
  <si>
    <t>Povezivanje u instalaciju sustava zaštite od munje metalnih konstrukcija spojnicama INOX ili legura aluminija AH1 za Ø8mm</t>
  </si>
  <si>
    <t>Dobava i polaganje pocinčane čelične trake Fe/Zn 25x4mm u iskopani zemljani rov za metalnu ogradul s izradom svih spojeva i premosta ispod hidroizolacije. Stavci pripada spajanje metalnu masu ograde. Prosječne dužine 10m</t>
  </si>
  <si>
    <t>3.15.</t>
  </si>
  <si>
    <t>3.16.</t>
  </si>
  <si>
    <t>INSTALACIJE IZJEDNAČENJA POTENCIJALA I ZAŠTITA OD UDARA MUNJE - UKUPNO:</t>
  </si>
  <si>
    <t>INSTALACIJE STROJARSKIH UREĐAJA</t>
  </si>
  <si>
    <r>
      <t xml:space="preserve">NAPOMENA:
</t>
    </r>
    <r>
      <rPr>
        <i/>
        <sz val="10"/>
        <rFont val="Calibri"/>
        <family val="2"/>
        <scheme val="minor"/>
      </rPr>
      <t xml:space="preserve">Spajanje ne strani strojarske opreme vrši ovlašteni serviser strojarske opreme!
</t>
    </r>
  </si>
  <si>
    <t>4.4.</t>
  </si>
  <si>
    <t>4.5.</t>
  </si>
  <si>
    <t>4.6.</t>
  </si>
  <si>
    <t>4.7.</t>
  </si>
  <si>
    <t>4.8.</t>
  </si>
  <si>
    <t>4.9.</t>
  </si>
  <si>
    <t>4.10.</t>
  </si>
  <si>
    <t>4.11.</t>
  </si>
  <si>
    <t>4.12.</t>
  </si>
  <si>
    <t>4.13.</t>
  </si>
  <si>
    <t>4.14.</t>
  </si>
  <si>
    <t xml:space="preserve">Isporuka i polaganje kabela za ventilacijske i klima sustave na kabelske police, a vertikalno u savitljive cijevi Ø16mm, sa spajanjem na oba kraja (spajanje vrši  automatičar strojara):
</t>
  </si>
  <si>
    <t>CNUS</t>
  </si>
  <si>
    <t>4.15.</t>
  </si>
  <si>
    <t>4.16.</t>
  </si>
  <si>
    <t>4.17.</t>
  </si>
  <si>
    <t>4.18.</t>
  </si>
  <si>
    <t>4.19.</t>
  </si>
  <si>
    <t>Izrada elastičnih premosnica ventila i prirubnica cijevi fleksibilnim kabelom Cu 16 mm² prosječne dužine po jednom spoju 0,3 m, komplet sa stopicom</t>
  </si>
  <si>
    <t>4.20.</t>
  </si>
  <si>
    <t>Izrada svih potrebnih proboja kroz zidove ili grede potrebnih za vođenje elektro instalacija</t>
  </si>
  <si>
    <t>4.21.</t>
  </si>
  <si>
    <t>Dobava i montaža sapa cijevi</t>
  </si>
  <si>
    <t>INSTALACIJE STROJARSKIH UREĐAJA - UKUPNO:</t>
  </si>
  <si>
    <t>INSTALACIJE STRUKTURNOG KABLIRANJA</t>
  </si>
  <si>
    <t>5.2.1.</t>
  </si>
  <si>
    <t>5.2.2.</t>
  </si>
  <si>
    <t>Dobava i ugradanja optičkog panela za 24 LC SM adaptera sa keramičkim tijelom</t>
  </si>
  <si>
    <t>5.2.3.</t>
  </si>
  <si>
    <t>5.2.4.</t>
  </si>
  <si>
    <t>Dobava, ugradanja i spajanje LC/duplex adapter sa keramičkim tijelom</t>
  </si>
  <si>
    <t>5.2.5.</t>
  </si>
  <si>
    <t>Varenje niti sa zaštitnom cijevčicom</t>
  </si>
  <si>
    <t>Dobava i ugradnja kazete za varenje</t>
  </si>
  <si>
    <t>Mjerenje i izdavanje certifikata o izvršenom mjerenju kvalitete instaliranih SM 9/125 svjetlovodnih veza OTDR instrumentom, sukladnost izmjerenih vrijednosti s vrijednostima prema normi ISO/IEC11801:2002 za svjetlovodni "Link". Mjerenje obaviti za obje valne duljine i na 1310nm i na 1550nm. Rezultate dostaviti u elektroničkom obliku s odgovarajućim oznakama.</t>
  </si>
  <si>
    <t>Dobava i ugradanja  adaptera za R&amp;M modul</t>
  </si>
  <si>
    <t xml:space="preserve">Montaža i spajanje modula S/FTP  i adaptera sa numeracijom </t>
  </si>
  <si>
    <t>Mjerenje i izdavanje certifikata o izvršenom mjerenju kvalitete instaliranih S/FTP veza kalibriranim instrumentom, sukladnost izmjerenih vrijednosti s vrijednostima prema normi ISO/IEC11801:2002 2nd edition za ClassE,odnosno TIA/EIA 568-B.1:2001, za Cat.6 "Permanent Link".
Rezultate dostaviti u elektroničkom obliku s odgovarajućim oznakama.</t>
  </si>
  <si>
    <t>KABLOVI</t>
  </si>
  <si>
    <t>5.3.1.</t>
  </si>
  <si>
    <t>Dobava, ugradanja i spajanje u pripremljenu trasu FTP kabel kategorije 6e, s LSOH izolacijom, certificiran od min. 2 neovisna laboratorija, 4x2x0,55</t>
  </si>
  <si>
    <t>5.3.2.</t>
  </si>
  <si>
    <t>5.3.3.</t>
  </si>
  <si>
    <t>PVC i Ticino samogasivih cijevi, te obujmica:</t>
  </si>
  <si>
    <t>AKTIVNA OPREMA</t>
  </si>
  <si>
    <t>5.4.1.</t>
  </si>
  <si>
    <t>5.4.2.</t>
  </si>
  <si>
    <t>5.4.3.</t>
  </si>
  <si>
    <t>Puštanje u rad i obuka korisnika</t>
  </si>
  <si>
    <t>Iskop rova i zatrpavnje rova 0,8x0,4 m  sa trakom upozorenja u dva sloja</t>
  </si>
  <si>
    <t>Dobava i postava cijevi PEHD promjera Ø75 u rov iz predhodne stavke do ormarića TK prosječne dužine 30m</t>
  </si>
  <si>
    <t>INSTALACIJE STRUKTURNOG KABLIRANJA - UKUPNO:</t>
  </si>
  <si>
    <t>ZAJEDNIČKI ANTENSKI SUSTAV</t>
  </si>
  <si>
    <t>Dobava, postava i spajanje RTV stanice sastavljene iz sljedećih elemenata</t>
  </si>
  <si>
    <t xml:space="preserve">Dobava i uvlačenje koaksijalnog kabela, 75 ohm </t>
  </si>
  <si>
    <t>Dobava, postava i spajanje Cu vodiča za izjednačenje potencijala 1xP/F 16mm2 između ormarića stanice i gromobranske hvataljke uz stup</t>
  </si>
  <si>
    <t>6.7.</t>
  </si>
  <si>
    <t>6.8.</t>
  </si>
  <si>
    <t>Ostali nespecificirani materijala i pribor</t>
  </si>
  <si>
    <t>6.9.</t>
  </si>
  <si>
    <t>6.10.</t>
  </si>
  <si>
    <t>Dvosmjeravanje antena, podešavanje i programiranje RTV stanice</t>
  </si>
  <si>
    <t>6.11.</t>
  </si>
  <si>
    <t>Ispitivanje rada cijelog sustava sa pismenim protokolom</t>
  </si>
  <si>
    <t>6.12.</t>
  </si>
  <si>
    <t>Pribavljanje potrebnih atesta i suglasnosti od ovlaštene pravne osobe</t>
  </si>
  <si>
    <t>ANTENSKI SUSTAV - UKUPNO:</t>
  </si>
  <si>
    <t>INSTALACIJA VIDEOFONA</t>
  </si>
  <si>
    <t>Ostali sitni spojni i montažni materijal i pribor, potreban za potpuno funkcioniranje sistema</t>
  </si>
  <si>
    <t>INSTALACIJA VIDEOFONA - UKUPNO:</t>
  </si>
  <si>
    <t>Razna ispitivanja funkcionalnosti, propisana mjerenja, te izdavanje kompleta dokaza kvalitete:</t>
  </si>
  <si>
    <t>funkcionalnost svih instalacija</t>
  </si>
  <si>
    <t>otpor izolacije svih instalacija</t>
  </si>
  <si>
    <t>zaštita od KS</t>
  </si>
  <si>
    <t>otpor uzemljenja</t>
  </si>
  <si>
    <t>propusnost svih cijevi</t>
  </si>
  <si>
    <t>povezanost metalnih masa (izjednačenje potencijala)</t>
  </si>
  <si>
    <t>atesti elektro opreme i materijala</t>
  </si>
  <si>
    <t>efikasnost isključivanja tipkala u slučaju nužde</t>
  </si>
  <si>
    <t>jačina polja na antenskim utičnicama</t>
  </si>
  <si>
    <t>ostalo</t>
  </si>
  <si>
    <t>OSTALO - UKUPNO:</t>
  </si>
  <si>
    <t>INSTALACIJA RASVJETA I UTIČNICA</t>
  </si>
  <si>
    <t>INSTALACIJA  IZJEDNAČENJA POTENCIJALA</t>
  </si>
  <si>
    <t>ELEKTROINSTALACIJE STROJARSKIH UREĐAJA</t>
  </si>
  <si>
    <t>INSTALACIJA STRUKTURNOG KABLIRANJA</t>
  </si>
  <si>
    <t>VIDEOPORTAFON</t>
  </si>
  <si>
    <t>ELEKTROINSTALACIJE - SVEUKUPNO:</t>
  </si>
  <si>
    <t xml:space="preserve">Nacrti, detalji i napomene na nacrtima, tehnički opis i program kontrole i osiguranja kvalitete,  kao i opisi radova u pojedinim stavkama obavezni su kod izvođenja radova. </t>
  </si>
  <si>
    <t>Ukoliko je u određenim stavkama naveden tip proizvoda/proizvođača koji je korišten kao referentni proizvod u projektu, njegovo imenovanje ima samo značenje tehničko - tehnoloških i približno oblikovnih osobitosti proizvoda koji  trebaju ugraditi, a nikako naredbodavnu obaveznu dobavu i ugradbu imenovanog proizvoda. Dozvoljava se ugradnja drugog proizvoda uz obavezno dokazivanje jednakovrijednosti s navedenim tehničkim karakteristikama u troškovniku.</t>
  </si>
  <si>
    <t>SUSTAV ZA DOJAVU POŽARA - SVEUKUPNO:</t>
  </si>
  <si>
    <t>RADOVI SVEUKUPNO:</t>
  </si>
  <si>
    <t>RADOVI SVEUKUPNO s pdv-om:</t>
  </si>
  <si>
    <t>SVEUKUPNA REKAPITULACIJA</t>
  </si>
  <si>
    <t>OPĆINA LEKENIK</t>
  </si>
  <si>
    <t>HR-44272 Lekenik</t>
  </si>
  <si>
    <t>Zagrebačka 44</t>
  </si>
  <si>
    <t>HR-44272 Lekenik, Zagrebačka 25A</t>
  </si>
  <si>
    <t>(novoformirana k.č.br. 2231/1); z.k.ul. 2529, 2533, 2210</t>
  </si>
  <si>
    <t>k.o. Lekenik; k.č.br. 2232/1, 2232/2, 2231/1</t>
  </si>
  <si>
    <t xml:space="preserve"> KRAJOBRAZNO UREĐENJE</t>
  </si>
  <si>
    <t xml:space="preserve"> VODOVOD I ODVODNJA</t>
  </si>
  <si>
    <t>OPREMANJE</t>
  </si>
  <si>
    <t>PROJEKT OPREMANJA</t>
  </si>
  <si>
    <t>Gradir d.o.o., Damir Šiljeg, mag. ing. el.</t>
  </si>
  <si>
    <t>1.50.</t>
  </si>
  <si>
    <r>
      <rPr>
        <b/>
        <sz val="10"/>
        <color indexed="8"/>
        <rFont val="Calibri"/>
        <family val="2"/>
        <scheme val="minor"/>
      </rPr>
      <t xml:space="preserve">Radna ploča od koterna za rezanje </t>
    </r>
    <r>
      <rPr>
        <sz val="10"/>
        <color indexed="8"/>
        <rFont val="Calibri"/>
        <family val="2"/>
        <charset val="238"/>
        <scheme val="minor"/>
      </rPr>
      <t xml:space="preserve">
dim. 50x35x2 cm (± 10%) </t>
    </r>
  </si>
  <si>
    <t>zelena za rezanje povrća</t>
  </si>
  <si>
    <t>crvena za rezanje mesa</t>
  </si>
  <si>
    <r>
      <rPr>
        <b/>
        <sz val="10"/>
        <color indexed="8"/>
        <rFont val="Calibri"/>
        <family val="2"/>
        <scheme val="minor"/>
      </rPr>
      <t>Stolna vaga</t>
    </r>
    <r>
      <rPr>
        <sz val="10"/>
        <color indexed="8"/>
        <rFont val="Calibri"/>
        <family val="2"/>
        <charset val="238"/>
        <scheme val="minor"/>
      </rPr>
      <t xml:space="preserve"> – digitalna od 2g do 15kg  (± 5%)</t>
    </r>
  </si>
  <si>
    <t>1.51.</t>
  </si>
  <si>
    <t>stolna vaga</t>
  </si>
  <si>
    <t xml:space="preserve">- vodo otporno kućište izrađeno od inoxa
- izolirano od utjecaja vlage i vode_digitalni LCD displej s LED osvjetljenjem
- Auto Off funkcija
- dim. mjerne površine 230x190 mm. (± 10%)
- ugrađena baterija sa punjačem
- dim. 20x29x12 cm. (± 10%)
</t>
  </si>
  <si>
    <t>stolni mikser</t>
  </si>
  <si>
    <t>DN32</t>
  </si>
  <si>
    <t>Za vanjsku jedinicu potrebno je izraditi postolje minimalne visine 30cm od kote ravnog terena.</t>
  </si>
  <si>
    <t>Jedinica je sastavljena iz jednog modula sljedećih tehničkih karakteristika:</t>
  </si>
  <si>
    <t>Priključna snaga:</t>
  </si>
  <si>
    <t>Tv = 35°C ST</t>
  </si>
  <si>
    <t>Tp = 27°C ST, 46%RH</t>
  </si>
  <si>
    <t>COP: 4,4 (100% opterećenja)</t>
  </si>
  <si>
    <t>Tv= 7°C ST</t>
  </si>
  <si>
    <t>Tp = 20°C ST</t>
  </si>
  <si>
    <t>Temperaturni uvjeti:</t>
  </si>
  <si>
    <t>Raspoloživi kapacitet grijanja:</t>
  </si>
  <si>
    <t xml:space="preserve">Funkcije: on/off, režim rada, set point, brzina ventilatora, postavke ESP, signalizacija greške, signalizacija zaprljanosti filtera.
</t>
  </si>
  <si>
    <t>Tehnički podaci:</t>
  </si>
  <si>
    <t>3.17.</t>
  </si>
  <si>
    <t>3.18.</t>
  </si>
  <si>
    <t>DN25</t>
  </si>
  <si>
    <t>Tehničke karakteristike:</t>
  </si>
  <si>
    <t>5.10.</t>
  </si>
  <si>
    <t>Ø125</t>
  </si>
  <si>
    <t>Ø100</t>
  </si>
  <si>
    <t>5.11.</t>
  </si>
  <si>
    <t>5.12.</t>
  </si>
  <si>
    <t>5.13.</t>
  </si>
  <si>
    <t>5.14.</t>
  </si>
  <si>
    <t>5.15.</t>
  </si>
  <si>
    <t>Ø315</t>
  </si>
  <si>
    <t>-nadzor nad ugradnjom opreme u polju</t>
  </si>
  <si>
    <t>-ugađanje opreme u polju</t>
  </si>
  <si>
    <t>-puštanje u rad</t>
  </si>
  <si>
    <t>-izrada uputstava za rad</t>
  </si>
  <si>
    <t>-obuka osoblja krajnjeg korisnika</t>
  </si>
  <si>
    <t>-programiranje DDC regulatora</t>
  </si>
  <si>
    <t>-statička i dinamička simulacija cjelogodišnjeg rada sustava</t>
  </si>
  <si>
    <t>-izrada funkcionalnih testiranja svih komponenti sustava (OQ test)</t>
  </si>
  <si>
    <t>-spajanje DDC podstanice na korisničku ethernet mrežu</t>
  </si>
  <si>
    <t>-izrada i programiranje grafičkih prikaza</t>
  </si>
  <si>
    <t>-programiranje grafičkih prikaza</t>
  </si>
  <si>
    <t>-programiranje alarmnih prikaza</t>
  </si>
  <si>
    <t>-programiranje history prikaza</t>
  </si>
  <si>
    <t>-programiranje e-mail alarmiranja</t>
  </si>
  <si>
    <t>ZAJEDNIČKE STAVKE</t>
  </si>
  <si>
    <t>ZAJEDNIČKE STAVKE UKUPNO:</t>
  </si>
  <si>
    <t>STROJARSKE INSTALACIJE - SVEUKUPNO:</t>
  </si>
  <si>
    <t>U jediničnu cijenu svake stavke obvezno uključiti transport elemenata opreme, tj. svu nabavu, transport do objekta, transport na objektu, montažu, sastavljanje, sav potreban rad vezan za montažu, osnovni i pomoćni materijal (dijelove) i pomoćne radnje, razne pripomoći, izradu radioničke dokumentacije, sva ispitivanja i nabavu atestne dokumentacije na hrvatskom jeziku, sva čišćenja objekta u tijeku i nakon završetka montaže, a sve do potpune funkcionalne gotovosti svake pojedine stavke opreme i troškovnika u cjelini - ako opisom stavke nije drugačije određeno. 
Jedinična cijena također uključuje sva potrebna ispitivanja, kontrole, mjerenja, ateste i certifikate za sve izvedene montaže i ugrađene materijale elemenata opreme u svrhu dokazivanja njihove kvalitete.</t>
  </si>
  <si>
    <t xml:space="preserve">Namještaj namijenjen djeci mora biti usklađen s odgovarajućim normama, jednostavne i stabilne konstrukcije i dimenzioniran prema uzrastu
djece kojoj je namijenjen. Sav namještaj treba biti bez oštrih rubova i uglova s mogućnošću lakog
pranja i čišćenja a površine izvedene bez sjaja i refleksije. Boje moraju biti bez otrovnih sastojaka.
Sve površine koje djeca mogu mehanički oštetiti trebaju biti jednostavno izmjenjive.
</t>
  </si>
  <si>
    <t xml:space="preserve">Oprema i namještaj moraju biti funkcionalni i sigurni, prenosivi, stabilni, od kvalitetnog materijala, po mogućnosti prirodnog, lakog za održavanje, postojanih boja, estetskog izgleda i primjerenog dječjoj dobi. 
Sav namještaj treba biti dimenzioniran prema visini i dobi, te zadovoljavati ergonomske zahtjeve. 
</t>
  </si>
  <si>
    <t xml:space="preserve">Isporučitelj je dužan  priložiti svu obveznu tehničku i prospektnu dokumentaciju i ateste sukladno propisima.
Sva dokumentacija koja se prilaže mora biti na hrvatskom jeziku.
</t>
  </si>
  <si>
    <t>NAPOMENA UZ ELEMENTE KOJI SE IZRAĐUJU PREMA SHEMAMA I NACRTIMA:</t>
  </si>
  <si>
    <t>Izvođač je dužan izraditi detaljne radioničke nacrte za sve elemente namještaja (opreme) te sve uzorke materijala dati projektantu na uvid i odabir, a dotični element opreme izraditi nakon pismenog odobrenja projektanta. Boje svih elemenata odabire i pismeno odobrava projektant.</t>
  </si>
  <si>
    <t>Sve stavke uključuju montažu ili postavu artikala na definiranu poziciju.</t>
  </si>
  <si>
    <t>Obavezno zaštiti prethodne radove i zbrinuti otpad od ambalaže.</t>
  </si>
  <si>
    <t>Sve mjere kontrolirati na objektu - obavezna izmjera.</t>
  </si>
  <si>
    <t xml:space="preserve">Svi uzorci 'custom-made' (izrada po nacrtu) elemenata obavezno moraju biti ovjereni od strane projektanta radi usklađivanja s ostalim elementima građevine i/ili interieura.
</t>
  </si>
  <si>
    <t>ODREDBA O NORMAMA:</t>
  </si>
  <si>
    <t xml:space="preserve">U dokumentaciji su navedena tehnička pravila koja opisuju predmet nabave pomoću hrvatskih odnosno europskih odnosno međunarodnih normi. Ponuditelj treba ponuditi predmet nabave u skladu s normama iz dokumentacije o nabavi ili jednakovrijednim normama. Stoga za svaku normu koja je navedena pod dotičnom normizacijskom sustavu dozvoljeno je nuditi jednakovrijednu normu, tehničko odobrenje odnosno uputu iz odgovarajuće hrvatske, europske ili međunarodne nomenklature.
  </t>
  </si>
  <si>
    <t>NORME</t>
  </si>
  <si>
    <t>ZA STOLICE:</t>
  </si>
  <si>
    <t>HRN EN 1729-1:2016</t>
  </si>
  <si>
    <t>HRN EN 1729-2:2012</t>
  </si>
  <si>
    <t>HRN EN 1728:2012</t>
  </si>
  <si>
    <t>ZA STOLOVE:</t>
  </si>
  <si>
    <t>HRN EN 1729-1:2008</t>
  </si>
  <si>
    <t>HRN EN 14074:2008</t>
  </si>
  <si>
    <t>HRN EN 527-1:2011</t>
  </si>
  <si>
    <t>HRN EN 527-2:2003</t>
  </si>
  <si>
    <t>HRN EN 527-3:2003</t>
  </si>
  <si>
    <t>ZA KORPUSNE ELEMENTE:</t>
  </si>
  <si>
    <t>HRN EN 12221-1:2008</t>
  </si>
  <si>
    <t>HRN EN 14749:2008</t>
  </si>
  <si>
    <t>HRN EN 15372:2008</t>
  </si>
  <si>
    <t>HRI CEN/TT 14073-1:2008</t>
  </si>
  <si>
    <t>HRN EN 14073-3:2008</t>
  </si>
  <si>
    <t>HRN EN 1727:2001</t>
  </si>
  <si>
    <t>ZA DIDAKTIKU:</t>
  </si>
  <si>
    <t>HRN EN 71-1:2011</t>
  </si>
  <si>
    <t>HRN EN 71-2:2011</t>
  </si>
  <si>
    <t>ZA LEŽALJKE:</t>
  </si>
  <si>
    <t>HRN EN 716-1:2013</t>
  </si>
  <si>
    <t>HRN EN 716-2:2013</t>
  </si>
  <si>
    <t>Dozvoljeno odstupanje u dimenzijama (visina, širina, dužina, debljina, promjeri) do ± 3%.</t>
  </si>
  <si>
    <t>Dozvoljeno odstupanje u masi, težini, gustoći i volumenu do ± 10%.</t>
  </si>
  <si>
    <t>Minimalni zahtjevi vezani za nosivosti te opterećenja dani su u opisu stavke.</t>
  </si>
  <si>
    <t>Kolorimetrijsko odstupanje boje &lt; 1,5.</t>
  </si>
  <si>
    <t>SKUPNE JEDINICE, GARDEROBE I SANITARIJE</t>
  </si>
  <si>
    <t>A.1.13.</t>
  </si>
  <si>
    <t>A.1.14.</t>
  </si>
  <si>
    <t>A.1.15.</t>
  </si>
  <si>
    <t>A.1.16.</t>
  </si>
  <si>
    <t>A.1.17.</t>
  </si>
  <si>
    <t>A.1.18.</t>
  </si>
  <si>
    <r>
      <rPr>
        <b/>
        <sz val="10"/>
        <rFont val="Calibri"/>
        <family val="2"/>
        <charset val="238"/>
      </rPr>
      <t>Plastična kutija duboka</t>
    </r>
    <r>
      <rPr>
        <sz val="10"/>
        <rFont val="Calibri"/>
        <family val="2"/>
        <charset val="238"/>
      </rPr>
      <t>, dim. (ŠDV) 31,2x37,7x15 cm, s dvostrukim žlijebom na bočnim stranama, te upuštenom ručkom na prednjem dijelu, za ormar iz stavke A.1.18., boja kutije transparentna bijela.</t>
    </r>
  </si>
  <si>
    <t>A.1.19.</t>
  </si>
  <si>
    <t>A.1.20.</t>
  </si>
  <si>
    <t>A.1.21.</t>
  </si>
  <si>
    <t>A.1.22.</t>
  </si>
  <si>
    <t>A.1.23.</t>
  </si>
  <si>
    <t>A.1.24.</t>
  </si>
  <si>
    <t>A.1.25.</t>
  </si>
  <si>
    <t>A.1.26.</t>
  </si>
  <si>
    <t>A.1.27.</t>
  </si>
  <si>
    <r>
      <t>Dječja ležaljka</t>
    </r>
    <r>
      <rPr>
        <sz val="10"/>
        <rFont val="Calibri"/>
        <family val="2"/>
        <scheme val="minor"/>
      </rPr>
      <t>, lako prenosiva,  konstrukcija od metalnih plastificiranih profila, s čvrstim plastičnim nogama od tvrde umjetne mase, ležaj od čvrste antibakterijske tkanine (vatrootporno, prozračno, čvrsto, otporno na mehaničke utjecaje, otporno na zadržavanje bakterija, a koje se može prati vodom), kakvoća i izrada materijala visoka (Q2), izdržljivost i otpornost materijala posebno visoka (Q1).
dimenzije: širina od 54 do 60 cm, dužina od
130 do 135 cm, visina 13-15 cm.
Mogućnost slaganja više ležaljki jedna na drugu zbog utora za noge na uglovima. U boji po izboru projektanta.</t>
    </r>
    <r>
      <rPr>
        <b/>
        <sz val="10"/>
        <rFont val="Calibri"/>
        <family val="2"/>
        <charset val="238"/>
        <scheme val="minor"/>
      </rPr>
      <t xml:space="preserve">
</t>
    </r>
  </si>
  <si>
    <t>A.1.28.</t>
  </si>
  <si>
    <t>A.1.29.</t>
  </si>
  <si>
    <t>A.1.30.</t>
  </si>
  <si>
    <t>A.1.31.</t>
  </si>
  <si>
    <t>A.1.32.</t>
  </si>
  <si>
    <t>A.1.33.</t>
  </si>
  <si>
    <t>A.1.34.</t>
  </si>
  <si>
    <r>
      <rPr>
        <b/>
        <sz val="10"/>
        <rFont val="Calibri"/>
        <family val="2"/>
      </rPr>
      <t>Zidni pano</t>
    </r>
    <r>
      <rPr>
        <sz val="10"/>
        <rFont val="Calibri"/>
        <family val="2"/>
      </rPr>
      <t xml:space="preserve">, dim. 80x120 cm, pluto u metalnom plastificiranom okviru sa zaobljenim rubovima  u bijeloj mat boji, RAL po izboru projektanta. Stavka uključuje montažu na zid te sav spojni i pričvrsni materijal.
</t>
    </r>
  </si>
  <si>
    <t>A.1.35.</t>
  </si>
  <si>
    <r>
      <rPr>
        <b/>
        <sz val="10"/>
        <rFont val="Calibri"/>
        <family val="2"/>
      </rPr>
      <t>Zidni pano magnetni</t>
    </r>
    <r>
      <rPr>
        <sz val="10"/>
        <rFont val="Calibri"/>
        <family val="2"/>
      </rPr>
      <t xml:space="preserve"> 80x120 cm,  metalnom plastificiranom okviru sa zaobljenim rubovima  u bijeloj mat boji, RAL po izboru projektanta. Stavka uključuje montažu na zid te sav spojni i pričvrsni materijal.
</t>
    </r>
  </si>
  <si>
    <t>A.1.36.</t>
  </si>
  <si>
    <t>A.1.37.</t>
  </si>
  <si>
    <r>
      <rPr>
        <b/>
        <sz val="10"/>
        <rFont val="Calibri"/>
        <family val="2"/>
      </rPr>
      <t>Koš za otpatke</t>
    </r>
    <r>
      <rPr>
        <sz val="10"/>
        <rFont val="Calibri"/>
        <family val="2"/>
        <charset val="238"/>
      </rPr>
      <t xml:space="preserve"> 25-30 l, metalni perforirani lim plastificiran u bijeloj boji, ABS zaštita na podnožju.
</t>
    </r>
  </si>
  <si>
    <t>A.1.38.</t>
  </si>
  <si>
    <t>A.1.39.</t>
  </si>
  <si>
    <t>A.1.40.</t>
  </si>
  <si>
    <t>A.1.41.</t>
  </si>
  <si>
    <t>A.1.42.</t>
  </si>
  <si>
    <t xml:space="preserve">Elementi za sjedenje napravljeni od pjenaste spužve i presvučeni mekanom navlakom od polivinila u dvije boje. Set sadrži: dva pravokutna elementa (66x45x10 cm), 4 kvadratna elementa (45x45x10 cm). </t>
  </si>
  <si>
    <t>A.1.43.</t>
  </si>
  <si>
    <t>A.1.44.</t>
  </si>
  <si>
    <t>A.1.45.</t>
  </si>
  <si>
    <t>A.1.46.</t>
  </si>
  <si>
    <t>Krevetić za lutku izrađen od bukovog masiva (dim. 58x30x33 cm) s pamučnom posteljinom  u 3 dijela.</t>
  </si>
  <si>
    <t>A.1.47.</t>
  </si>
  <si>
    <t>Kolijevka za lutku izrađena od bukovog masiva (dim. 56x37x79 cm) s pamučnom posteljinom u 3 dijela te baldahinom.</t>
  </si>
  <si>
    <t>A.1.48.</t>
  </si>
  <si>
    <t xml:space="preserve">Lagane i čvrste kocke napravljene od visokokvalitetnog netoksičnog EVA materijala, na sebi imaju šare pravog drveta. Set sadrži kocke, valjke, trokute, pravokutnike (ukupan broj komada minimalno 50). Ne upijaju vodu i plutaju. Dimenzija kocke: 8x8x8 cm.
</t>
  </si>
  <si>
    <t>A.1.49.</t>
  </si>
  <si>
    <t xml:space="preserve">Poly-M konstruktor kocke izrađene od plastike sastoje se od minimalno 50 elemenata (zaobljenih kocaka, figurica, kotačića, piramida i valjaka). Pakirani u plastičnu kutiju s poklopcem dim: 38x28x10 cm.
</t>
  </si>
  <si>
    <t>A.1.50.</t>
  </si>
  <si>
    <t>Set taktilnih lopti u torbi: gumene lopte, ugodne bodljikave površine, idealne su za senzomotoričke vježbe. Set se sastoji od taktilne lopte Ø7 cm - 3 kom, taktilne lopte Ø8 cm - 3 kom, taktilne lopte Ø9 cm - 3 kom, taktilne lopte Ø10 cm - 3 kom, taktilne lopte Ø15 cm - 1 kom, taktilne lopte Ø25 cm - 1 kom i taktilne lopte Ø75 cm - 1 kom.</t>
  </si>
  <si>
    <t>A.1.51.</t>
  </si>
  <si>
    <t xml:space="preserve">Ogledalo s rukohvatom, jasličko. Materijal: akrilno nesalomljivo ogledalo u drvenom okviru.
Dim. 127×69 cm. Uključivo materijal za montažu na zid. Uključuje i drveni rukohvat.  
</t>
  </si>
  <si>
    <t>A.1.52.</t>
  </si>
  <si>
    <t>Zidni panel, drveni, vodilica labirint s oblicima. Dim. 29×29 cm.</t>
  </si>
  <si>
    <t>Senzorička zidna ploča, optička. Drvena, s 2 pokretna diska. Dim 42×41 cm</t>
  </si>
  <si>
    <t>Senzorička zidna ploča s 5 drvenih povezanih zupčanika. Dim 42×41 cm</t>
  </si>
  <si>
    <t>Senzorička zidna ploča zvučna. Šesterokutna drvena zidna ploča s 1 pokretnim diskom, unutar kojeg je labirint s drvenim kuglicama. Dim 42×41 cm.</t>
  </si>
  <si>
    <r>
      <rPr>
        <b/>
        <sz val="10"/>
        <rFont val="Calibri"/>
        <family val="2"/>
        <scheme val="minor"/>
      </rPr>
      <t>Zidni sat</t>
    </r>
    <r>
      <rPr>
        <sz val="10"/>
        <rFont val="Calibri"/>
        <family val="2"/>
        <charset val="238"/>
        <scheme val="minor"/>
      </rPr>
      <t xml:space="preserve"> na baterije s kazaljkama promjera minimalno 30 cm, dizajn prilagođen dječjem uzrastu.
</t>
    </r>
  </si>
  <si>
    <r>
      <rPr>
        <b/>
        <sz val="10"/>
        <rFont val="Calibri"/>
        <family val="2"/>
        <scheme val="minor"/>
      </rPr>
      <t>Prva pomoć</t>
    </r>
    <r>
      <rPr>
        <sz val="10"/>
        <rFont val="Calibri"/>
        <family val="2"/>
        <charset val="238"/>
        <scheme val="minor"/>
      </rPr>
      <t xml:space="preserve"> - komplet pribor za pružanje prve pomoći</t>
    </r>
  </si>
  <si>
    <t>A.2.2.</t>
  </si>
  <si>
    <t>A.2.3.</t>
  </si>
  <si>
    <t>A.2.4.</t>
  </si>
  <si>
    <t>A.2.6.</t>
  </si>
  <si>
    <t>A.2.7.</t>
  </si>
  <si>
    <t>A.2.8.</t>
  </si>
  <si>
    <r>
      <rPr>
        <b/>
        <sz val="10"/>
        <rFont val="Calibri"/>
        <family val="2"/>
        <charset val="238"/>
      </rPr>
      <t>Plastična kutija duboka</t>
    </r>
    <r>
      <rPr>
        <sz val="10"/>
        <rFont val="Calibri"/>
        <family val="2"/>
      </rPr>
      <t xml:space="preserve">, dim. (ŠDV) 31,2x37,7x15 cm, </t>
    </r>
    <r>
      <rPr>
        <sz val="10"/>
        <rFont val="Calibri"/>
        <family val="2"/>
        <charset val="238"/>
      </rPr>
      <t xml:space="preserve">s dvostrukim žlijebom na bočnim stranama, te upuštenom ručkom na prednjem dijelu, za ormar iz stavke A.2.7., boja kutije transparentna bijela.
</t>
    </r>
  </si>
  <si>
    <t>A.2.9.</t>
  </si>
  <si>
    <t>A.2.10.</t>
  </si>
  <si>
    <r>
      <rPr>
        <b/>
        <sz val="10"/>
        <rFont val="Calibri"/>
        <family val="2"/>
        <charset val="238"/>
      </rPr>
      <t>Plastična kutija duboka,</t>
    </r>
    <r>
      <rPr>
        <sz val="10"/>
        <rFont val="Calibri"/>
        <family val="2"/>
        <charset val="238"/>
      </rPr>
      <t xml:space="preserve"> dim. (ŠDV) 31,2x37,7x15 cm, s dvostrukim žlijebom na bočnim stranama, te upuštenom ručkom na prednjem dijelu, za ormar iz stavke A.2.9., boja kutije transparentna bijela.
</t>
    </r>
  </si>
  <si>
    <t>A.2.11.</t>
  </si>
  <si>
    <r>
      <rPr>
        <b/>
        <sz val="10"/>
        <rFont val="Calibri"/>
        <family val="2"/>
        <charset val="238"/>
      </rPr>
      <t>Plastična kutija plitka</t>
    </r>
    <r>
      <rPr>
        <sz val="10"/>
        <rFont val="Calibri"/>
        <family val="2"/>
      </rPr>
      <t xml:space="preserve">, dim. (ŠDV) 31,2x37,7x7,5 cm, </t>
    </r>
    <r>
      <rPr>
        <sz val="10"/>
        <rFont val="Calibri"/>
        <family val="2"/>
        <charset val="238"/>
      </rPr>
      <t xml:space="preserve">s dvostrukim žlijebom na bočnim stranama, te upuštenom ručkom na prednjem dijelu, za ormar iz stavke A.2.9., boja kutije transparentna bijela.
</t>
    </r>
  </si>
  <si>
    <t>A.2.12.</t>
  </si>
  <si>
    <t>A.2.13.</t>
  </si>
  <si>
    <r>
      <rPr>
        <b/>
        <sz val="10"/>
        <rFont val="Calibri"/>
        <family val="2"/>
        <charset val="238"/>
      </rPr>
      <t>Plastična kutija duboka,</t>
    </r>
    <r>
      <rPr>
        <sz val="10"/>
        <rFont val="Calibri"/>
        <family val="2"/>
        <charset val="238"/>
      </rPr>
      <t xml:space="preserve"> dim. (ŠDV) 31,2x37,7x15 cm, s dvostrukim žlijebom na bočnim stranama, te upuštenom ručkom na prednjem dijelu, za ormar iz stavke A.2.12., boja kutije transparentna bijela.
</t>
    </r>
  </si>
  <si>
    <t>A.2.14.</t>
  </si>
  <si>
    <r>
      <rPr>
        <b/>
        <sz val="10"/>
        <rFont val="Calibri"/>
        <family val="2"/>
        <charset val="238"/>
      </rPr>
      <t>Plastična kutija plitka,</t>
    </r>
    <r>
      <rPr>
        <sz val="10"/>
        <rFont val="Calibri"/>
        <family val="2"/>
        <charset val="238"/>
      </rPr>
      <t xml:space="preserve">  dim. (ŠDV) 31,2x37,7x7,5 cm, s dvostrukim žlijebom na bočnim stranama, te upuštenom ručkom na prednjem dijelu, za ormar iz stavke A.2.12., boja kutije transparentna bijela.</t>
    </r>
  </si>
  <si>
    <t>A.2.15.</t>
  </si>
  <si>
    <t>A.2.16.</t>
  </si>
  <si>
    <t>A.2.17.</t>
  </si>
  <si>
    <t>A.2.18.</t>
  </si>
  <si>
    <t>A.2.19.</t>
  </si>
  <si>
    <t>A.2.20.</t>
  </si>
  <si>
    <t>A.2.21.</t>
  </si>
  <si>
    <r>
      <t>Sklopivi slikarski stalak za 2 djece,</t>
    </r>
    <r>
      <rPr>
        <sz val="10"/>
        <rFont val="Calibri"/>
        <family val="2"/>
        <charset val="238"/>
      </rPr>
      <t xml:space="preserve"> dim. (ŠDV) 70x45x92 cm, od svijetlog natur drva, s po jednom metalnom policom za pribor na svakoj strani.</t>
    </r>
  </si>
  <si>
    <t>A.2.22.</t>
  </si>
  <si>
    <t>A.2.23.</t>
  </si>
  <si>
    <t>A.2.24.</t>
  </si>
  <si>
    <t>A.2.25.</t>
  </si>
  <si>
    <t>A.2.26.</t>
  </si>
  <si>
    <t>A.2.27.</t>
  </si>
  <si>
    <t>A.2.28.</t>
  </si>
  <si>
    <t>A.2.29.</t>
  </si>
  <si>
    <t>A.2.30.</t>
  </si>
  <si>
    <t>A.2.31.</t>
  </si>
  <si>
    <t>A.2.32.</t>
  </si>
  <si>
    <t>A.2.33.</t>
  </si>
  <si>
    <r>
      <rPr>
        <b/>
        <sz val="10"/>
        <rFont val="Calibri"/>
        <family val="2"/>
        <charset val="238"/>
      </rPr>
      <t>Hobi stol s opremom</t>
    </r>
    <r>
      <rPr>
        <sz val="10"/>
        <rFont val="Calibri"/>
        <family val="2"/>
        <charset val="238"/>
      </rPr>
      <t xml:space="preserve">, dim. (ŠDV) 54,5x31x73 cm - element dječjeg kutića mali majstor, izrađen od punog drva, zaobljenih rubova, horizontalna i vertikalna radna ploha s rupama za alat, s policom za odlaganje alata, s kompletom alata (minimalno 30  elemenata) - zatezač s mogućnošću usklađivanja širine, komplet četverokuta, čekić, odvijač, matični ključ, pila, sitni alati.
</t>
    </r>
  </si>
  <si>
    <t>A.2.34.</t>
  </si>
  <si>
    <r>
      <rPr>
        <b/>
        <sz val="10"/>
        <rFont val="Calibri"/>
        <family val="2"/>
        <charset val="238"/>
      </rPr>
      <t>Tabure</t>
    </r>
    <r>
      <rPr>
        <sz val="10"/>
        <rFont val="Calibri"/>
        <family val="2"/>
      </rPr>
      <t>,</t>
    </r>
    <r>
      <rPr>
        <sz val="10"/>
        <rFont val="Calibri"/>
        <family val="2"/>
        <charset val="238"/>
      </rPr>
      <t xml:space="preserve"> dim. 60x60x30-32 cm,  izrađena od čvrste spužve gustoće min. 24 kg/m3, presvučene vinilom ("eko" koža) u bojama kvalitete koje se trljanjem i u modelu otopine ne otpuštaju. Lako se održava brisanjem vlažnom krpom i neutralnim sredstvom za pranje. U boji po izboru projektanta.</t>
    </r>
  </si>
  <si>
    <t>A.2.35.</t>
  </si>
  <si>
    <t>A.2.36.</t>
  </si>
  <si>
    <r>
      <rPr>
        <b/>
        <sz val="10"/>
        <rFont val="Calibri"/>
        <family val="2"/>
        <charset val="238"/>
      </rPr>
      <t>Fotelja - naslonjač</t>
    </r>
    <r>
      <rPr>
        <sz val="10"/>
        <rFont val="Calibri"/>
        <family val="2"/>
      </rPr>
      <t>,</t>
    </r>
    <r>
      <rPr>
        <sz val="10"/>
        <rFont val="Calibri"/>
        <family val="2"/>
        <charset val="238"/>
      </rPr>
      <t xml:space="preserve"> dim. 60x50x60 cm, visina sjedišta 30-32 cm,  izrađena od čvrste spužve gustoće min. 24 kg/m3, presvučene vinilom ("eko" koža) u bojama kvalitete koje se trljanjem i u modelu otopine ne otpuštaju. Lako se održava brisanjem vlažnom krpom i neutralnim sredstvom za pranje. U boji po izboru projektanta.</t>
    </r>
  </si>
  <si>
    <t>A.2.37.</t>
  </si>
  <si>
    <t>A.2.38.</t>
  </si>
  <si>
    <r>
      <rPr>
        <b/>
        <sz val="10"/>
        <rFont val="Calibri"/>
        <family val="2"/>
        <charset val="238"/>
      </rPr>
      <t>Stol za istraživanje svjetla</t>
    </r>
    <r>
      <rPr>
        <sz val="10"/>
        <rFont val="Calibri"/>
        <family val="2"/>
      </rPr>
      <t>, di</t>
    </r>
    <r>
      <rPr>
        <sz val="10"/>
        <rFont val="Calibri"/>
        <family val="2"/>
        <charset val="238"/>
      </rPr>
      <t xml:space="preserve">m. (ŠDV) 80x80x63cm, kvadratni svjetleći stol u okviru od natur svijetlog drveta breze, s čvrstom akrilnom površinom, drvene noge imaju zaštitne čepove, s utičnicom za struju. Stol s jedne strane ima magnetnu traku, a bez nogu se može montirati na zid.
</t>
    </r>
  </si>
  <si>
    <t>A.2.39.</t>
  </si>
  <si>
    <t>A.2.40.</t>
  </si>
  <si>
    <t>A.2.41.</t>
  </si>
  <si>
    <t>A.2.42.</t>
  </si>
  <si>
    <t>A.2.43.</t>
  </si>
  <si>
    <t>A.2.44.</t>
  </si>
  <si>
    <t>A.2.45.</t>
  </si>
  <si>
    <t>A.2.46.</t>
  </si>
  <si>
    <t>A.2.47.</t>
  </si>
  <si>
    <t>A.2.48.</t>
  </si>
  <si>
    <t>A.2.49.</t>
  </si>
  <si>
    <t>A.2.50.</t>
  </si>
  <si>
    <t>A.2.51.</t>
  </si>
  <si>
    <t>A.2.52.</t>
  </si>
  <si>
    <t xml:space="preserve">Podne puzzle 100x100 cm (4 kom), u 4 boje po izboru projektanta, sadrže i 12 zaštitnih rubova. Složene pokrivaju površinu od 4 m2. Dimenzija svake puzzle: 100x100x1,5 cm.
</t>
  </si>
  <si>
    <t>A.2.53.</t>
  </si>
  <si>
    <t xml:space="preserve">Sigurnosno konkavno/konveksno ogledalo. Obostrano ogledalo s jedne strane ima konkavno, a s druge konveksno ogledalo koje se može rotirati. Montirano je na stabilan stalak i prenosivo. Materijal: akrilno nesalomljivo ogledalo u drvenom okviru. Dim. 68x50x147 cm.
</t>
  </si>
  <si>
    <t>A.2.54.</t>
  </si>
  <si>
    <t xml:space="preserve">Zidni set manipulativnih igara sastoji se od 6 zasebnih drvenih ploča dimenzija 35x33x1,5 cm. Zidne ploče svojim sadržajem pokrivaju percepciju oblika, boja, tonova, brojeva, okretanja i glazbe. Stavka uključuje montažu na zid te sav spojni i pričvrsni materijal.
</t>
  </si>
  <si>
    <t>A.2.55.</t>
  </si>
  <si>
    <t xml:space="preserve">Lagane i čvrste kocke napravljene od visokokvalitetnog netoksičnog EVA materijala, na sebi imaju šare pravog drveta. Set sadrži kocke, valjke, trokute, pravokutnike (ukupan broj komada minimalno 150). Ne upijaju vodu i plutaju. Dimenzija kocke: 8x8x8 cm.
</t>
  </si>
  <si>
    <t>A.2.56.</t>
  </si>
  <si>
    <t xml:space="preserve">Poly-M konstruktor kocke izrađene od plastike sastoje se od minimalno 400 elemenata (zaobljenih kocaka, figurica, kotačića, piramida i valjaka). Pakirani u plastičnu kutiju s poklopcem dim: 40x29x18 cm.
</t>
  </si>
  <si>
    <t>A.2.57.</t>
  </si>
  <si>
    <t xml:space="preserve">Etno instrumenti: minimalno 25 instrumenata pakirani su u pletenu kvadratnu košaru s poklopcem (dim. 50x37x25 cm). Košara sadrži: različite tradicionalne šuškalice, raznovrsne grebalice, bubnjeve, različite čegrtaljke, i sl.
</t>
  </si>
  <si>
    <t>A.2.58.</t>
  </si>
  <si>
    <t xml:space="preserve">Mini set - udaraljke: komplet malih drvenih ritmičkih instrumenata, pakiranih u plastičnu torbicu sa zatvaračem. Set čini minimalno 6 različitih udaraljkaških instrumenata (drvena udaraljka, tone block s udaraljkom, Guiro, mini tone block, štapić sa 3 zvončića i tamburin).
</t>
  </si>
  <si>
    <t>A.2.59.</t>
  </si>
  <si>
    <t xml:space="preserve">Set 8-14 zvona (8-14 nota) u platnenoj torbi sa zatvaračem. Svako metalno zvono označeno je odgovarajućom notom i bojom za lakše ovladavanje notne skale. 
</t>
  </si>
  <si>
    <t>A.2.60.</t>
  </si>
  <si>
    <t xml:space="preserve">Igra sa zvučnim kutijama (igra pamćenja zvukova). Na drvenoj plitici nalazi se 12 drvenih kutijica koje proizvode različite zvukove prilikom trešnje (6 zvučnih parova). 
</t>
  </si>
  <si>
    <t>A.2.61.</t>
  </si>
  <si>
    <t>Šuškalica koja oponaša zvuk kiše - kuglice u tuljku od pleksiglasa koji se sastoji od minimalno 10 rupičastih pregrada. Vjerno oponašaju padanje kiše (pljusak). Dimenzije: do 50 cm.</t>
  </si>
  <si>
    <t>A.2.62.</t>
  </si>
  <si>
    <t>Bubanj koji oponaša zvuk mora - bubanj s opnom unutar koga su metalne kuglice. Oponaša valove i šum mora prilikom naginjanja. Dimenzije: Ø 25-40 cm.</t>
  </si>
  <si>
    <t>A.2.63.</t>
  </si>
  <si>
    <t xml:space="preserve">Igra s otežanim valjcima (igra pamćenja težine). Na drvenoj plitici nalazi se 12 drvenih valjaka različite težine (6 težinskih parova).
</t>
  </si>
  <si>
    <t>A.2.64.</t>
  </si>
  <si>
    <t>A.2.65.</t>
  </si>
  <si>
    <t xml:space="preserve">Taktilni set za motoriku u torbi, sastavljen od 6 ''otočića'' u 3 različite veličine (Ø27 cm / Ø35 cm / Ø40 cm), te 3 različita taktilna uzorka. Izrađeni su od kvalitetne visokootporne plastike.
</t>
  </si>
  <si>
    <t>A.2.66.</t>
  </si>
  <si>
    <t xml:space="preserve">Taktilni set za motoriku u torbi, sastavljen od 8 valovitih staza različitih taktilnih uzoraka koje se mogu slagati kružno ili ravno. Izrađene su od kvalitetne visokootporne plastike. Dim. jedne staze: 68x17x10 cm.
</t>
  </si>
  <si>
    <t>A.2.67.</t>
  </si>
  <si>
    <t>A.2.68.</t>
  </si>
  <si>
    <t>Set lopti: lopte ''emocije'' (set 6 lopti u raznim bojama koje prikazuju 6 različitih emocija, napravljene su od gume te imaju neklizajuću površinu, dim. Ø15 cm); spužvasta lopta Ø16 cm - 6 kom (3 kom u crvenoj i 3 kom u plavoj boji); mekana nogometna lopta - 3 kom (dim. Ø20 cm); košarkaška lopta vel. 5 - 3 kom; lopta skočica (Ø40 cm) - 3 kom; i lopta skočica (Ø55 cm) - 3 kom.</t>
  </si>
  <si>
    <t>Komplet u torbi za motorički poligon, sastoji se od: 30 spojnica (kojima se spajaju štapovi i obruči), 3 crvena i 3 žuta čunja vis. 30 cm, 2 crvene i 2 žute cigle dim. 36x15x19,5 cm, 8 štapova dužine 70 cm u 4 različite boje, 4 mala obruča (Ø38 cm), 4 srednja obruča (Ø50 cm) i 4 veća obruča (Ø65 cm).</t>
  </si>
  <si>
    <t xml:space="preserve">Didaktika za Centar za istraživanje svjetlosti: ogledalo, bljeskalica, svjetiljka s optičkim nitima, flourescentne trake.
</t>
  </si>
  <si>
    <r>
      <rPr>
        <b/>
        <sz val="10"/>
        <rFont val="Calibri"/>
        <family val="2"/>
        <scheme val="minor"/>
      </rPr>
      <t>Prva pomoć</t>
    </r>
    <r>
      <rPr>
        <sz val="10"/>
        <rFont val="Calibri"/>
        <family val="2"/>
        <scheme val="minor"/>
      </rPr>
      <t xml:space="preserve"> - komplet pribor za pružanje prve pomoći</t>
    </r>
  </si>
  <si>
    <r>
      <rPr>
        <b/>
        <sz val="10"/>
        <rFont val="Calibri"/>
        <family val="2"/>
        <charset val="238"/>
      </rPr>
      <t>Plastična kutija duboka</t>
    </r>
    <r>
      <rPr>
        <sz val="10"/>
        <rFont val="Calibri"/>
        <family val="2"/>
      </rPr>
      <t xml:space="preserve">, dim. (ŠDV) 31,2x37,7x15 cm, </t>
    </r>
    <r>
      <rPr>
        <sz val="10"/>
        <rFont val="Calibri"/>
        <family val="2"/>
        <charset val="238"/>
      </rPr>
      <t xml:space="preserve">s dvostrukim žlijebom na bočnim stranama, te upuštenom ručkom na prednjem dijelu, za ormar iz stavke A.3.7., boja kutije transparentna bijela.
</t>
    </r>
  </si>
  <si>
    <r>
      <rPr>
        <b/>
        <sz val="10"/>
        <rFont val="Calibri"/>
        <family val="2"/>
        <charset val="238"/>
      </rPr>
      <t>Plastična kutija duboka,</t>
    </r>
    <r>
      <rPr>
        <sz val="10"/>
        <rFont val="Calibri"/>
        <family val="2"/>
        <charset val="238"/>
      </rPr>
      <t xml:space="preserve"> dim. (ŠDV) 31,2x37,7x15 cm, s dvostrukim žlijebom na bočnim stranama, te upuštenom ručkom na prednjem dijelu, za ormar iz stavke A.3.9., boja kutije transparentna bijela.
</t>
    </r>
  </si>
  <si>
    <r>
      <rPr>
        <b/>
        <sz val="10"/>
        <rFont val="Calibri"/>
        <family val="2"/>
        <charset val="238"/>
      </rPr>
      <t>Plastična kutija plitka</t>
    </r>
    <r>
      <rPr>
        <sz val="10"/>
        <rFont val="Calibri"/>
        <family val="2"/>
      </rPr>
      <t xml:space="preserve">, dim. (ŠDV) 31,2x37,7x7,5 cm, </t>
    </r>
    <r>
      <rPr>
        <sz val="10"/>
        <rFont val="Calibri"/>
        <family val="2"/>
        <charset val="238"/>
      </rPr>
      <t xml:space="preserve">s dvostrukim žlijebom na bočnim stranama, te upuštenom ručkom na prednjem dijelu, za ormar iz stavke A.3.9., boja kutije transparentna bijela.
</t>
    </r>
  </si>
  <si>
    <r>
      <rPr>
        <b/>
        <sz val="10"/>
        <rFont val="Calibri"/>
        <family val="2"/>
        <charset val="238"/>
      </rPr>
      <t>Plastična kutija duboka,</t>
    </r>
    <r>
      <rPr>
        <sz val="10"/>
        <rFont val="Calibri"/>
        <family val="2"/>
        <charset val="238"/>
      </rPr>
      <t xml:space="preserve"> dim. (ŠDV) 31,2x37,7x15 cm, s dvostrukim žlijebom na bočnim stranama, te upuštenom ručkom na prednjem dijelu, za ormar iz stavke A.3.12., boja kutije transparentna bijela.
</t>
    </r>
  </si>
  <si>
    <t>A.3.14.</t>
  </si>
  <si>
    <r>
      <rPr>
        <b/>
        <sz val="10"/>
        <rFont val="Calibri"/>
        <family val="2"/>
        <charset val="238"/>
      </rPr>
      <t>Plastična kutija plitka,</t>
    </r>
    <r>
      <rPr>
        <sz val="10"/>
        <rFont val="Calibri"/>
        <family val="2"/>
        <charset val="238"/>
      </rPr>
      <t xml:space="preserve">  dim. (ŠDV) 31,2x37,7x7,5 cm, s dvostrukim žlijebom na bočnim stranama, te upuštenom ručkom na prednjem dijelu, za ormar iz stavke A.3.12., boja kutije transparentna bijela.</t>
    </r>
  </si>
  <si>
    <t>A.3.15.</t>
  </si>
  <si>
    <t>A.3.16.</t>
  </si>
  <si>
    <t>A.3.17.</t>
  </si>
  <si>
    <t>A.3.18.</t>
  </si>
  <si>
    <t>A.3.19.</t>
  </si>
  <si>
    <t>A.3.20.</t>
  </si>
  <si>
    <t>A.3.22.</t>
  </si>
  <si>
    <t>A.3.23.</t>
  </si>
  <si>
    <t>A.3.24.</t>
  </si>
  <si>
    <t>A.3.25.</t>
  </si>
  <si>
    <t>A.3.26.</t>
  </si>
  <si>
    <t>A.3.27.</t>
  </si>
  <si>
    <t>A.3.28.</t>
  </si>
  <si>
    <t>A.3.29.</t>
  </si>
  <si>
    <t>A.3.30.</t>
  </si>
  <si>
    <t>A.3.31.</t>
  </si>
  <si>
    <t>A.3.32.</t>
  </si>
  <si>
    <t>A.3.33.</t>
  </si>
  <si>
    <t>A.3.34.</t>
  </si>
  <si>
    <t>A.3.35.</t>
  </si>
  <si>
    <t>A.3.36.</t>
  </si>
  <si>
    <t>A.3.37.</t>
  </si>
  <si>
    <t>A.3.38.</t>
  </si>
  <si>
    <t>A.3.39.</t>
  </si>
  <si>
    <t>A.3.40.</t>
  </si>
  <si>
    <t>A.3.41.</t>
  </si>
  <si>
    <t>A.3.42.</t>
  </si>
  <si>
    <t>A.3.43.</t>
  </si>
  <si>
    <t>A.3.44.</t>
  </si>
  <si>
    <t>A.3.45.</t>
  </si>
  <si>
    <t>A.3.46.</t>
  </si>
  <si>
    <t>A.3.47.</t>
  </si>
  <si>
    <t>A.3.48.</t>
  </si>
  <si>
    <t>A.3.49.</t>
  </si>
  <si>
    <t>A.3.50.</t>
  </si>
  <si>
    <t>A.3.51.</t>
  </si>
  <si>
    <t>A.3.52.</t>
  </si>
  <si>
    <t>A.3.53.</t>
  </si>
  <si>
    <t>A.3.54.</t>
  </si>
  <si>
    <t xml:space="preserve">Građevni materijal (minimalno 100 geometrijskih oblika) sastoji se od geometrijskih oblika izrađenih od kvalitetnog, vrhunski obrađenog drveta sa zaobljenim rubovima.
</t>
  </si>
  <si>
    <t>A.3.55.</t>
  </si>
  <si>
    <t>A.3.56.</t>
  </si>
  <si>
    <t>A.3.57.</t>
  </si>
  <si>
    <t>A.3.58.</t>
  </si>
  <si>
    <t>A.3.59.</t>
  </si>
  <si>
    <r>
      <t xml:space="preserve">Svjetleći stup izrađen od visokokvalitetnog plexiglasa, čvrsto uglavljen u postolje iznutra obloženo materijalom protiv buke.  Unutrašnjost tube ispunjena je vodom u kojoj se stvaraju mjehurići, uz mijenjanje boja. Visina 120-150 cm, promjer minimalno </t>
    </r>
    <r>
      <rPr>
        <sz val="10"/>
        <rFont val="Calibri"/>
        <family val="2"/>
      </rPr>
      <t>Ø</t>
    </r>
    <r>
      <rPr>
        <sz val="10"/>
        <rFont val="Calibri"/>
        <family val="2"/>
        <charset val="238"/>
        <scheme val="minor"/>
      </rPr>
      <t xml:space="preserve"> 10 cm.
</t>
    </r>
  </si>
  <si>
    <t>Kugla koja rotirajući se projicira svjetlosne efekte raznih boja. Dimenzije: Ø 19 x 16 cm</t>
  </si>
  <si>
    <t>Svjetlosna-plazma kugla koja proizvodi elektricitet na dodir. Dimenzije: Ø 15 cm</t>
  </si>
  <si>
    <t>Vizualno-senzorni set u torbi koji sadrži: kaleidoskop, spiralne cijevi, magične oči, povećala, skakutave kapljice, svjetleće tube… Dimenzija torbe: 46x36 cm.</t>
  </si>
  <si>
    <r>
      <rPr>
        <b/>
        <sz val="10"/>
        <rFont val="Calibri"/>
        <family val="2"/>
      </rPr>
      <t>Pločice sa imenima</t>
    </r>
    <r>
      <rPr>
        <sz val="10"/>
        <rFont val="Calibri"/>
        <family val="2"/>
        <charset val="238"/>
      </rPr>
      <t xml:space="preserve"> za pretince ormarića izrađene od kvalitetne plastike.</t>
    </r>
  </si>
  <si>
    <t>A.4.5.</t>
  </si>
  <si>
    <t>A.4.6.</t>
  </si>
  <si>
    <r>
      <rPr>
        <b/>
        <sz val="10"/>
        <rFont val="Calibri"/>
        <family val="2"/>
      </rPr>
      <t>Posuda za otpatke veća</t>
    </r>
    <r>
      <rPr>
        <sz val="10"/>
        <rFont val="Calibri"/>
        <family val="2"/>
      </rPr>
      <t xml:space="preserve"> (za prljave pelene) sa pedalom i metalnim uloškom od nehrđajućeg lima.</t>
    </r>
  </si>
  <si>
    <t>A.4.7.</t>
  </si>
  <si>
    <r>
      <rPr>
        <b/>
        <sz val="10"/>
        <rFont val="Calibri"/>
        <family val="2"/>
      </rPr>
      <t>Kanta za otpatke</t>
    </r>
    <r>
      <rPr>
        <sz val="10"/>
        <rFont val="Calibri"/>
        <family val="2"/>
      </rPr>
      <t xml:space="preserve"> 25-30 l, s pedalom i metalnim uloškom od nehrđajućeg lima.</t>
    </r>
  </si>
  <si>
    <t>A.4.8.</t>
  </si>
  <si>
    <t>A.4.9.</t>
  </si>
  <si>
    <r>
      <rPr>
        <b/>
        <sz val="10"/>
        <rFont val="Calibri"/>
        <family val="2"/>
      </rPr>
      <t>Plastični podložak za cipele</t>
    </r>
    <r>
      <rPr>
        <sz val="10"/>
        <rFont val="Calibri"/>
        <family val="2"/>
      </rPr>
      <t>, L=95cm, zadržava vodu, podignutih, zaobljenih rubova.</t>
    </r>
  </si>
  <si>
    <t>PVN I KOMUNIKACIJE</t>
  </si>
  <si>
    <t>PROSTOR VIŠE NAMJENA</t>
  </si>
  <si>
    <r>
      <t>Valjkasti tobogan</t>
    </r>
    <r>
      <rPr>
        <sz val="10"/>
        <rFont val="Calibri"/>
        <family val="2"/>
        <scheme val="minor"/>
      </rPr>
      <t xml:space="preserve"> dimenzija 250x60 cm. Valjčići su obloženi kvalitetnom, perivom pjenastom spužvom. Tobogan se može montirati na švedske ljestve (do promjera letvice 4 cm).</t>
    </r>
  </si>
  <si>
    <r>
      <t>Motorički elementi od spužve</t>
    </r>
    <r>
      <rPr>
        <sz val="10"/>
        <rFont val="Calibri"/>
        <family val="2"/>
        <scheme val="minor"/>
      </rPr>
      <t xml:space="preserve"> (10 elemenata), Jezgra: pjenasta spužva gustoće 80 kg/m3. Navlaka: impregnirano platno. Set čine slijedeći elementi: 2 mosta 60x30x30 cm/ 2 strunjače 160x60x6 cm / 1 valjak 120 cm, Ø 30 cm / 1 kosina 60x60x30/60 cm / 2 U-profila 60x60x30/30 cm / 1 kvadar 120x30x30 cm / 1 tunel 60x80x60 cm</t>
    </r>
  </si>
  <si>
    <r>
      <t>Set sportskih rekvizita</t>
    </r>
    <r>
      <rPr>
        <sz val="10"/>
        <rFont val="Calibri"/>
        <family val="2"/>
        <scheme val="minor"/>
      </rPr>
      <t>: čunjevi od 50 cm - 4 kom, cigle za štapove i kolute (garnitura od 4 kom) dim. 36x15x19,5 cm, daska za ravnotežu dim. 81x15x3 cm - 2 kom, spojnica za daske - 4 kom, spojnice za kolutove i štapove (garnitura od 30 kom), štapovi od 100 cm - 4 kom, koluti Ø 50 cm (garnitura od 4 kom), vješalica za kolute dim. 28x15x20 cm</t>
    </r>
  </si>
  <si>
    <r>
      <t>Metalni tricikl</t>
    </r>
    <r>
      <rPr>
        <sz val="10"/>
        <rFont val="Calibri"/>
        <family val="2"/>
        <scheme val="minor"/>
      </rPr>
      <t xml:space="preserve"> (L) dimenzija: 88,2x55x65,4 cm. Visina sjedala: 38 cm. Kotači od gumirane plastike, anatomsko sjedalo.</t>
    </r>
  </si>
  <si>
    <t>B.1.14.</t>
  </si>
  <si>
    <t>B.1.15.</t>
  </si>
  <si>
    <t>B.1.16.</t>
  </si>
  <si>
    <r>
      <rPr>
        <b/>
        <sz val="10"/>
        <rFont val="Calibri"/>
        <family val="2"/>
        <scheme val="minor"/>
      </rPr>
      <t>Drveni gimnastički obruč</t>
    </r>
    <r>
      <rPr>
        <sz val="10"/>
        <rFont val="Calibri"/>
        <family val="2"/>
        <scheme val="minor"/>
      </rPr>
      <t>, napravljen od višeslojno ljepljene šperploče debljine 10mm, Ø70cm.</t>
    </r>
  </si>
  <si>
    <r>
      <rPr>
        <b/>
        <sz val="10"/>
        <rFont val="Calibri"/>
        <family val="2"/>
        <scheme val="minor"/>
      </rPr>
      <t>Balansir</t>
    </r>
    <r>
      <rPr>
        <sz val="10"/>
        <rFont val="Calibri"/>
        <family val="2"/>
        <scheme val="minor"/>
      </rPr>
      <t xml:space="preserve"> napravljen od drveta s tim da je njegova okrugla površina obučena u gumu. Ploča za balansiranje visoka je 4 cm. Dimenzije su: 35x4,2 cm.</t>
    </r>
  </si>
  <si>
    <r>
      <rPr>
        <b/>
        <sz val="10"/>
        <rFont val="Calibri"/>
        <family val="2"/>
        <scheme val="minor"/>
      </rPr>
      <t>Šarene lopte</t>
    </r>
    <r>
      <rPr>
        <sz val="10"/>
        <rFont val="Calibri"/>
        <family val="2"/>
        <scheme val="minor"/>
      </rPr>
      <t xml:space="preserve"> od vinola sa ventilom, Ø28cm, 185gr.</t>
    </r>
  </si>
  <si>
    <r>
      <rPr>
        <b/>
        <sz val="10"/>
        <rFont val="Calibri"/>
        <family val="2"/>
        <scheme val="minor"/>
      </rPr>
      <t>Nogometna lopta</t>
    </r>
    <r>
      <rPr>
        <sz val="10"/>
        <rFont val="Calibri"/>
        <family val="2"/>
        <scheme val="minor"/>
      </rPr>
      <t xml:space="preserve"> sa ventilom, dim.Ø21,5 cm, 420 g.</t>
    </r>
  </si>
  <si>
    <r>
      <rPr>
        <b/>
        <sz val="10"/>
        <rFont val="Calibri"/>
        <family val="2"/>
        <scheme val="minor"/>
      </rPr>
      <t>Nosač za balansire</t>
    </r>
    <r>
      <rPr>
        <sz val="10"/>
        <rFont val="Calibri"/>
        <family val="2"/>
        <scheme val="minor"/>
      </rPr>
      <t xml:space="preserve"> napravljen od brezove šperploče, lakiran eko lakom. Sastoji se od drvenih nosača sa sistemom za zatvaranje crvenim drvenim klinovima - može nositi 8 balansir ploča.</t>
    </r>
  </si>
  <si>
    <r>
      <rPr>
        <b/>
        <sz val="10"/>
        <rFont val="Calibri"/>
        <family val="2"/>
        <scheme val="minor"/>
      </rPr>
      <t>Balansir</t>
    </r>
    <r>
      <rPr>
        <sz val="10"/>
        <rFont val="Calibri"/>
        <family val="2"/>
        <scheme val="minor"/>
      </rPr>
      <t xml:space="preserve"> napravljen od brezove šperploče lakirane eko lakom, na oba kraja formiran sa držačima koji se mogu koristiti na sportskim kockama. </t>
    </r>
  </si>
  <si>
    <r>
      <t>Zidni pano</t>
    </r>
    <r>
      <rPr>
        <sz val="10"/>
        <rFont val="Calibri"/>
        <family val="2"/>
        <scheme val="minor"/>
      </rPr>
      <t xml:space="preserve">, dim. </t>
    </r>
    <r>
      <rPr>
        <sz val="10"/>
        <rFont val="Calibri"/>
        <family val="2"/>
        <charset val="238"/>
      </rPr>
      <t xml:space="preserve">80x120 cm, pluto u metalnom plastificiranom okviru sa zaobljenim rubovima  u bijeloj mat boji, RAL po izboru projektanta.  Stavka uključuje montažu na zid te sav spojni i pričvrsni materijal.
</t>
    </r>
  </si>
  <si>
    <r>
      <rPr>
        <b/>
        <sz val="10"/>
        <rFont val="Calibri"/>
        <family val="2"/>
        <scheme val="minor"/>
      </rPr>
      <t>Zidni sat</t>
    </r>
    <r>
      <rPr>
        <sz val="10"/>
        <rFont val="Calibri"/>
        <family val="2"/>
        <scheme val="minor"/>
      </rPr>
      <t xml:space="preserve"> na baterije s kazaljkama promjera minimalno 30-50 cm, dizajn prilagođen dječjem uzrastu.</t>
    </r>
  </si>
  <si>
    <r>
      <rPr>
        <b/>
        <sz val="10"/>
        <rFont val="Calibri"/>
        <family val="2"/>
        <scheme val="minor"/>
      </rPr>
      <t>Državni grb</t>
    </r>
    <r>
      <rPr>
        <sz val="10"/>
        <rFont val="Calibri"/>
        <family val="2"/>
        <scheme val="minor"/>
      </rPr>
      <t xml:space="preserve">, 21x30cm, ostakljen, u okviru od aluminijskog profila. Završna obrada aluminijskog profila u bijeloj mat boji, RAL po izboru projektanta. </t>
    </r>
  </si>
  <si>
    <t>VIŠENAMJENSKI KOMUNIKACIJSKI PROSTOR</t>
  </si>
  <si>
    <t>B.2.8.</t>
  </si>
  <si>
    <t>B.2.9.</t>
  </si>
  <si>
    <t>VJETROBRAN</t>
  </si>
  <si>
    <r>
      <rPr>
        <b/>
        <sz val="10"/>
        <rFont val="Calibri"/>
        <family val="2"/>
      </rPr>
      <t>Stalak za kišobrane</t>
    </r>
    <r>
      <rPr>
        <sz val="10"/>
        <rFont val="Calibri"/>
        <family val="2"/>
      </rPr>
      <t>, promjera 35 cm, h=40 cm, od punog lima, plastificiran u crnoj boji, ABS zaštita na podnožju.</t>
    </r>
  </si>
  <si>
    <r>
      <rPr>
        <b/>
        <sz val="10"/>
        <rFont val="Calibri"/>
        <family val="2"/>
      </rPr>
      <t>Koš za otpatke</t>
    </r>
    <r>
      <rPr>
        <sz val="10"/>
        <rFont val="Calibri"/>
        <family val="2"/>
      </rPr>
      <t xml:space="preserve"> 25-30 l, metalni perforirani lim plastificiran u bijeloj boji, ABS zaštita na podnožju.</t>
    </r>
  </si>
  <si>
    <t>MULTIMEDIJALNI UREĐAJI</t>
  </si>
  <si>
    <t>B.6.1.</t>
  </si>
  <si>
    <r>
      <rPr>
        <b/>
        <sz val="10"/>
        <rFont val="Calibri"/>
        <family val="2"/>
        <scheme val="minor"/>
      </rPr>
      <t>Prijenosno platno za projekciju</t>
    </r>
    <r>
      <rPr>
        <sz val="10"/>
        <rFont val="Calibri"/>
        <family val="2"/>
        <scheme val="minor"/>
      </rPr>
      <t xml:space="preserve"> dim. 200x200 cm. Metalno kućište u crnoj boji. Platno visoko kvalitetne projekcijske površine Matt White boje s koeficijentom refleksije svjetlosti 1,0. Platno ima  ručku za podešavanje visine - format (1:1, 4:3, 16:9, 16:10) . Sklopivi stativ i površini platno koja se rola u kzatvorenu kazetu. Uključivo i torba za prijenos.</t>
    </r>
  </si>
  <si>
    <t>B.6.2.</t>
  </si>
  <si>
    <t>B.6.3.</t>
  </si>
  <si>
    <r>
      <rPr>
        <b/>
        <sz val="10"/>
        <rFont val="Calibri"/>
        <family val="2"/>
        <scheme val="minor"/>
      </rPr>
      <t>Metalni stalak za projektor</t>
    </r>
    <r>
      <rPr>
        <sz val="10"/>
        <rFont val="Calibri"/>
        <family val="2"/>
        <scheme val="minor"/>
      </rPr>
      <t xml:space="preserve"> na kotačićima (4 kotačića).</t>
    </r>
  </si>
  <si>
    <t>B.6.4.</t>
  </si>
  <si>
    <t>B.6.5.</t>
  </si>
  <si>
    <t>C.</t>
  </si>
  <si>
    <t>OSOBLJE</t>
  </si>
  <si>
    <t>C.1.</t>
  </si>
  <si>
    <t>SOBA RAVNATELJSTVA</t>
  </si>
  <si>
    <t>C.1.1.</t>
  </si>
  <si>
    <t>C.1.2.</t>
  </si>
  <si>
    <t>C.1.3.</t>
  </si>
  <si>
    <t>C.1.4.</t>
  </si>
  <si>
    <t>C.1.5.</t>
  </si>
  <si>
    <t>C.1.6.</t>
  </si>
  <si>
    <t>C.1.7.</t>
  </si>
  <si>
    <t>C.1.8.</t>
  </si>
  <si>
    <t>C.1.9.</t>
  </si>
  <si>
    <r>
      <t>Zidni pano magnetni</t>
    </r>
    <r>
      <rPr>
        <sz val="10"/>
        <rFont val="Calibri"/>
        <family val="2"/>
        <scheme val="minor"/>
      </rPr>
      <t xml:space="preserve">, dim. </t>
    </r>
    <r>
      <rPr>
        <sz val="10"/>
        <rFont val="Calibri"/>
        <family val="2"/>
        <charset val="238"/>
      </rPr>
      <t xml:space="preserve">80x120 cm, u metalnom plastificiranom okviru sa zaobljenim rubovima  u bijeloj mat boji, RAL po izboru projektanta.  Stavka uključuje montažu na zid te sav spojni i pričvrsni materijal.
</t>
    </r>
  </si>
  <si>
    <t>C.1.10.</t>
  </si>
  <si>
    <r>
      <t>Stojeća vješalica</t>
    </r>
    <r>
      <rPr>
        <sz val="10"/>
        <rFont val="Calibri"/>
        <family val="2"/>
        <scheme val="minor"/>
      </rPr>
      <t>, metalna, plastificirana  sa posudom za kišobrane boja po izboru projektanta.</t>
    </r>
  </si>
  <si>
    <t>C.1.11.</t>
  </si>
  <si>
    <r>
      <rPr>
        <b/>
        <sz val="10"/>
        <rFont val="Calibri"/>
        <family val="2"/>
        <scheme val="minor"/>
      </rPr>
      <t>Koš za otpatke</t>
    </r>
    <r>
      <rPr>
        <sz val="10"/>
        <rFont val="Calibri"/>
        <family val="2"/>
        <scheme val="minor"/>
      </rPr>
      <t xml:space="preserve"> 25-30 l, metalni perforirani lim plastificiran u bijeloj boji, ABS zaštita na podnožju.</t>
    </r>
  </si>
  <si>
    <t>C.1.12.</t>
  </si>
  <si>
    <r>
      <t>Državni grb</t>
    </r>
    <r>
      <rPr>
        <sz val="10"/>
        <rFont val="Calibri"/>
        <family val="2"/>
      </rPr>
      <t xml:space="preserve">, 21x30cm, ostakljen, u okviru od aluminijskog profila. Završna obrada aluminijskog profila u bijeloj mat boji, RAL po izboru projektanta. </t>
    </r>
  </si>
  <si>
    <t>C.1.13.</t>
  </si>
  <si>
    <t>C.1.14.</t>
  </si>
  <si>
    <t>C.1.15.</t>
  </si>
  <si>
    <r>
      <rPr>
        <b/>
        <sz val="10"/>
        <rFont val="Calibri"/>
        <family val="2"/>
        <scheme val="minor"/>
      </rPr>
      <t>Multifunkcijski printer A4</t>
    </r>
    <r>
      <rPr>
        <sz val="10"/>
        <rFont val="Calibri"/>
        <family val="2"/>
        <scheme val="minor"/>
      </rPr>
      <t xml:space="preserve">, laserski, u boji. Dostupne funkcije: obostrano ispis, kopiranje, skeniranje i faksiranje, mogućnost bežičnog povezivanja. 
</t>
    </r>
  </si>
  <si>
    <t>C.2.</t>
  </si>
  <si>
    <t>SOBE TAJNIŠTVA I RAČUNOVODSTVA</t>
  </si>
  <si>
    <t>C.2.1.</t>
  </si>
  <si>
    <t>C.2.2.</t>
  </si>
  <si>
    <t>C.2.3.</t>
  </si>
  <si>
    <t>C.2.4.</t>
  </si>
  <si>
    <t>C.2.5.</t>
  </si>
  <si>
    <t>C.2.6.</t>
  </si>
  <si>
    <t>C.2.7.</t>
  </si>
  <si>
    <t>C.2.8.</t>
  </si>
  <si>
    <t>C.2.9.</t>
  </si>
  <si>
    <t>C.2.10.</t>
  </si>
  <si>
    <t>C.2.11.</t>
  </si>
  <si>
    <t>C.2.12.</t>
  </si>
  <si>
    <t>C.2.13.</t>
  </si>
  <si>
    <t>C.2.14.</t>
  </si>
  <si>
    <t>C.2.15.</t>
  </si>
  <si>
    <r>
      <rPr>
        <b/>
        <sz val="10"/>
        <rFont val="Calibri"/>
        <family val="2"/>
        <scheme val="minor"/>
      </rPr>
      <t>Multifunkcijski printer A4</t>
    </r>
    <r>
      <rPr>
        <sz val="10"/>
        <rFont val="Calibri"/>
        <family val="2"/>
        <scheme val="minor"/>
      </rPr>
      <t xml:space="preserve">, laserski, c/b. Dostupne funkcije: obostrano ispis, kopiranje, skeniranje i faksiranje, mogućnost bežičnog povezivanja. 
</t>
    </r>
  </si>
  <si>
    <t>C.3.</t>
  </si>
  <si>
    <t>SOBA PEDAGOGA</t>
  </si>
  <si>
    <t>C.3.1.</t>
  </si>
  <si>
    <t>C.3.2.</t>
  </si>
  <si>
    <t>C.3.3.</t>
  </si>
  <si>
    <t>C.3.4.</t>
  </si>
  <si>
    <t>C.3.5.</t>
  </si>
  <si>
    <t>C.3.6.</t>
  </si>
  <si>
    <t>C.3.7.</t>
  </si>
  <si>
    <t>C.3.8.</t>
  </si>
  <si>
    <t>C.3.9.</t>
  </si>
  <si>
    <t>C.3.10.</t>
  </si>
  <si>
    <t>C.3.11.</t>
  </si>
  <si>
    <t>C.3.12.</t>
  </si>
  <si>
    <t>C.3.13.</t>
  </si>
  <si>
    <t>C.3.14.</t>
  </si>
  <si>
    <t>C.3.15.</t>
  </si>
  <si>
    <t>C.3.16.</t>
  </si>
  <si>
    <t>C.3.17.</t>
  </si>
  <si>
    <t>C.4.</t>
  </si>
  <si>
    <t>SOBA ZDRAVSTVENOG VODITELJA</t>
  </si>
  <si>
    <t>C.4.1.</t>
  </si>
  <si>
    <t>C.4.2.</t>
  </si>
  <si>
    <t>C.4.3.</t>
  </si>
  <si>
    <t>C.4.4.</t>
  </si>
  <si>
    <t>C.4.5.</t>
  </si>
  <si>
    <t>C.4.6.</t>
  </si>
  <si>
    <t>C.4.7.</t>
  </si>
  <si>
    <t>C.4.8.</t>
  </si>
  <si>
    <t>C.4.9.</t>
  </si>
  <si>
    <t>C.4.10.</t>
  </si>
  <si>
    <t>C.4.11.</t>
  </si>
  <si>
    <t>C.4.12.</t>
  </si>
  <si>
    <t>C.4.13.</t>
  </si>
  <si>
    <t>C.4.14.</t>
  </si>
  <si>
    <r>
      <rPr>
        <b/>
        <sz val="10"/>
        <rFont val="Calibri"/>
        <family val="2"/>
        <scheme val="minor"/>
      </rPr>
      <t>Krevetić za jaslice</t>
    </r>
    <r>
      <rPr>
        <sz val="10"/>
        <rFont val="Calibri"/>
        <family val="2"/>
        <scheme val="minor"/>
      </rPr>
      <t xml:space="preserve"> - kinderbett na kotačima dim. 120x60x102 cm izrađen od drveta sa drvenim podnicama, kotači sa stoperima za nepomičnost, s madracom i kompletom posteljine u boji po izboru (posteljina komplet: 2 plahte sa  gumicom, pokrivač i 2 presvlake za pokrivač). Krevetić u bijeloj mat boji, RAL po izboru projektanta. 
</t>
    </r>
  </si>
  <si>
    <t>C.4.16.</t>
  </si>
  <si>
    <t>C.4.17.</t>
  </si>
  <si>
    <t>C.4.18.</t>
  </si>
  <si>
    <t>C.4.19.</t>
  </si>
  <si>
    <t>C.4.20.</t>
  </si>
  <si>
    <t>C.4.21.</t>
  </si>
  <si>
    <t>C.4.22.</t>
  </si>
  <si>
    <t>C.4.23.</t>
  </si>
  <si>
    <t>C.4.24.</t>
  </si>
  <si>
    <t>C.4.25.</t>
  </si>
  <si>
    <t>Pribor za hitnu medicinsku pomoć (anti-šok terapije)</t>
  </si>
  <si>
    <t>C.5.</t>
  </si>
  <si>
    <t>SOBA ZA ODGAJATELJE</t>
  </si>
  <si>
    <t>C.5.1.</t>
  </si>
  <si>
    <t>C.5.2.</t>
  </si>
  <si>
    <t>C.5.3.</t>
  </si>
  <si>
    <t>C.5.4.</t>
  </si>
  <si>
    <t>C.5.5.</t>
  </si>
  <si>
    <t>C.5.6.</t>
  </si>
  <si>
    <t>C.5.7.</t>
  </si>
  <si>
    <t>C.5.8.</t>
  </si>
  <si>
    <t>C.5.9.</t>
  </si>
  <si>
    <t>C.5.10.</t>
  </si>
  <si>
    <t>C.5.11.</t>
  </si>
  <si>
    <t>C.5.12.</t>
  </si>
  <si>
    <t>C.5.13.</t>
  </si>
  <si>
    <r>
      <rPr>
        <b/>
        <sz val="10"/>
        <rFont val="Calibri"/>
        <family val="2"/>
        <scheme val="minor"/>
      </rPr>
      <t>Fotokopirni uređaj A3 u boji</t>
    </r>
    <r>
      <rPr>
        <sz val="10"/>
        <rFont val="Calibri"/>
        <family val="2"/>
        <scheme val="minor"/>
      </rPr>
      <t xml:space="preserve"> tehničkih karakteristika:
- laserski pisač u boji, kopirni uređaj u boji, skener u boji, obostrani, slanje, pohranjivanje, dodirni zaslon
- gornji automatski uvlakač za min. 50 listova
- ladica A4 za 500 listova, ladica A3 za 500 listova i bočni uvlakač za min. 50 listova
- s postoljem
- povezivanje putem mreže, mogućnost bežičnog povezivanja, priključka USB
- rezolucija ispisa 1200x1200dpi 
- brzina ispisa min. 20 ppm. A4
- komplet tonera B+C+M+Y uključen u cijenu
</t>
    </r>
  </si>
  <si>
    <t>C.6.</t>
  </si>
  <si>
    <t xml:space="preserve">SPREMIŠTE </t>
  </si>
  <si>
    <t>C.6.1.</t>
  </si>
  <si>
    <t>C.6.2.</t>
  </si>
  <si>
    <t>C.6.3.</t>
  </si>
  <si>
    <t>C.7.</t>
  </si>
  <si>
    <t>GARDEROBE I SANITARIJE ODGOJITELJA</t>
  </si>
  <si>
    <t>C.7.1.</t>
  </si>
  <si>
    <r>
      <rPr>
        <b/>
        <sz val="10"/>
        <rFont val="Calibri"/>
        <family val="2"/>
        <charset val="238"/>
      </rPr>
      <t>Garderobni ormar dvodijelni</t>
    </r>
    <r>
      <rPr>
        <sz val="10"/>
        <rFont val="Calibri"/>
        <family val="2"/>
        <charset val="238"/>
      </rPr>
      <t xml:space="preserve"> dim. (ŠDV) 60x50x180 cm (2 dijela širine 30 cm), s dvoja vrata, čvrste metalne konstrukcije s metalnim nogicama visine 15 cm. Svi metalni dijelovi s adekvatnom zaštitnom obradom (prašno plastificiranje), sve u skladu s namjenom. Svaki dio ormara ima nosač za vješalicu, vješalicu, policu udaljenu minimalno 30 cm od gornjeg ruba ormara i policu za cipele u donjem dijelu ormara. Na vratima ormara su otvori za provjetravanje, cilindar brava s ključem i standardna ručka. Sve u boji prema izboru projektanta.
</t>
    </r>
  </si>
  <si>
    <t>C.8.</t>
  </si>
  <si>
    <t>INFORMATIČKA OPREMA</t>
  </si>
  <si>
    <t>C.8.1.</t>
  </si>
  <si>
    <t>Računalo komplet</t>
  </si>
  <si>
    <t>Tipkovnica: žična, USB, 104 tipke, HR znakovlje, crna.</t>
  </si>
  <si>
    <t>Miš: optički miš, USB, crni</t>
  </si>
  <si>
    <t>Računalo komplet.</t>
  </si>
  <si>
    <t>C.8.2.</t>
  </si>
  <si>
    <t>C.8.3.</t>
  </si>
  <si>
    <t>Instalacija računala, potrebna softverska podrška i softver za kontrolu računala, povezivanje računala u lokalne radne mreže (uspostava računalne mreže) prema potrebama korisnika, administracija mreže, dijeljenje mapa u lokalnoj radnoj mreži (omogućava da računala u lokalnoj mreži razmjenjuju datoteke kroz mrežu), dijeljenje pisača u lokalnoj radnoj mreži (podrazumijeva instalaciju pisača na svako računalo radne grupe - omogućava da računala u lokalnoj mreži tiskaju dokumente kroz zajednički pisač), posebno podešavanje računala za razne korisnike na način da korisnici sa tih računala ne vide ostatak lokalne mreže. Podešavanje računala na koja su spojeni projektori za rad sa istima, spajanje računala na internet instalaciju i priprema za rad anti-virusne aplikacije na svim računalima - u svim prostorima gdje se isporučuju računala. U jediničnu cijenu uključujena ugradnja potrebne pasivne opreme (UTP kabel, strujne letve, kanalice 60x40, kanalice 40x25, patch kabel 1 m, patch kabel 2 m, patch kabel 0,5 m) za puni rad računalnog mrežnog sustava.</t>
  </si>
  <si>
    <t>D.</t>
  </si>
  <si>
    <t>GOSPODARSKI PROSTORI</t>
  </si>
  <si>
    <t>D.1.</t>
  </si>
  <si>
    <t>DODATNI PRIBOR ZA KUHINJU</t>
  </si>
  <si>
    <t>D.1.1.</t>
  </si>
  <si>
    <t>D.1.2.</t>
  </si>
  <si>
    <t>D.1.3.</t>
  </si>
  <si>
    <t>D.1.4.</t>
  </si>
  <si>
    <t>D.1.5.</t>
  </si>
  <si>
    <t>D.1.6.</t>
  </si>
  <si>
    <t>D.1.7.</t>
  </si>
  <si>
    <t>D.1.8.</t>
  </si>
  <si>
    <t>Žlica stolna RF 18.10</t>
  </si>
  <si>
    <t>D.1.9.</t>
  </si>
  <si>
    <t>Vilica stolna RF 18.10</t>
  </si>
  <si>
    <t>D.1.10.</t>
  </si>
  <si>
    <t>Nož stolni RF 18.10</t>
  </si>
  <si>
    <t>D.1.11.</t>
  </si>
  <si>
    <t>Žlica za bijelu kavu RF 18.10</t>
  </si>
  <si>
    <t>D.1.12.</t>
  </si>
  <si>
    <t>Žlica za crnu kavu RF 18.10</t>
  </si>
  <si>
    <t>D.1.13.</t>
  </si>
  <si>
    <t>Vilica za kolač RF 18.10</t>
  </si>
  <si>
    <t>D.1.14.</t>
  </si>
  <si>
    <t>Žlica za sladoled RF 18.10</t>
  </si>
  <si>
    <t>D.1.15.</t>
  </si>
  <si>
    <t>D.1.16.</t>
  </si>
  <si>
    <t>gar</t>
  </si>
  <si>
    <t>D.1.17.</t>
  </si>
  <si>
    <t>Rajngla RF 19,5 lit. plitka fi 40 cm sa poklopcem</t>
  </si>
  <si>
    <t>D.1.18.</t>
  </si>
  <si>
    <t>Rajngla RF 10 lit. plitka fi 32 cm sa poklopcem</t>
  </si>
  <si>
    <t>D.1.19.</t>
  </si>
  <si>
    <t>Rajngla RF 14,5 lit. poluduboka fi 32 cm sa poklopcem</t>
  </si>
  <si>
    <t>D.1.20.</t>
  </si>
  <si>
    <t>Rajngla RF 27 lit. plitka fi 45 cm sa poklopcem</t>
  </si>
  <si>
    <t>D.1.21.</t>
  </si>
  <si>
    <t>Rajngla RF 39 lit. plitka fi 50 cm sa poklopcem</t>
  </si>
  <si>
    <t>D.1.22.</t>
  </si>
  <si>
    <t>Rajngla RF 44 lit. poluduboka fi 45 cm sa poklopcem</t>
  </si>
  <si>
    <t>D.1.23.</t>
  </si>
  <si>
    <t>Rajngla RF 59 lit. poluduboka fi 50 cm sa poklopcem</t>
  </si>
  <si>
    <t>D.1.24.</t>
  </si>
  <si>
    <t>Rajngla-repača RF 4,3 lit. fi 24 cm bez poklopca</t>
  </si>
  <si>
    <t>Lonac RF 6,2 lit. fi 20 cm sa poklop.</t>
  </si>
  <si>
    <t>D.1.26.</t>
  </si>
  <si>
    <t>Lonac RF 16,5 lit. fi 28 cm sa poklop.</t>
  </si>
  <si>
    <t>D.1.27.</t>
  </si>
  <si>
    <t>Lonac RF 36 lit. fi 36 cm sa poklop.</t>
  </si>
  <si>
    <t>D.1.28.</t>
  </si>
  <si>
    <t>Lonac RF 50 lit. fi 40 cm sa poklop.</t>
  </si>
  <si>
    <t>D.1.29.</t>
  </si>
  <si>
    <t xml:space="preserve">Tava RF fi 36 cm </t>
  </si>
  <si>
    <t>D.1.30.</t>
  </si>
  <si>
    <t xml:space="preserve">Tava za palačinke crni lim </t>
  </si>
  <si>
    <t>D.1.31.</t>
  </si>
  <si>
    <t>D.1.32.</t>
  </si>
  <si>
    <t>D.1.33.</t>
  </si>
  <si>
    <t>D.1.34.</t>
  </si>
  <si>
    <t>Gastro posuda RF 1-40-emajl</t>
  </si>
  <si>
    <t>D.1.35.</t>
  </si>
  <si>
    <t>Gastro posuda RF 1/1-100 perforirana</t>
  </si>
  <si>
    <t>D.1.36.</t>
  </si>
  <si>
    <t>Nož kuhinjski 26 cm</t>
  </si>
  <si>
    <t>D.1.37.</t>
  </si>
  <si>
    <t>Nož kuhinjski 23 cm</t>
  </si>
  <si>
    <t>D.1.38.</t>
  </si>
  <si>
    <t>Nož kuhinjski 21 cm</t>
  </si>
  <si>
    <t>D.1.39.</t>
  </si>
  <si>
    <t>Nož kuhinjski 13 cm</t>
  </si>
  <si>
    <t>D.1.40.</t>
  </si>
  <si>
    <t>Nož za pršut 30 cm</t>
  </si>
  <si>
    <t>D.1.41.</t>
  </si>
  <si>
    <t>Nož za povrće 7 cm</t>
  </si>
  <si>
    <t>D.1.42.</t>
  </si>
  <si>
    <t>Nož za kruh 20 cm</t>
  </si>
  <si>
    <t>D.1.43.</t>
  </si>
  <si>
    <t>Vilica za meso RF 30 cm</t>
  </si>
  <si>
    <t>D.1.44.</t>
  </si>
  <si>
    <t>Grabilica za juhu RF 0,3 lit.</t>
  </si>
  <si>
    <t>D.1.45.</t>
  </si>
  <si>
    <t>Grabilica za juhu RF 0,5 lit.</t>
  </si>
  <si>
    <t>D.1.46.</t>
  </si>
  <si>
    <t>Grabilica za juhu RF 1 lit.</t>
  </si>
  <si>
    <t>D.1.47.</t>
  </si>
  <si>
    <t xml:space="preserve">Cjedilo za tijesto RF fi 32 cm </t>
  </si>
  <si>
    <t>D.1.48.</t>
  </si>
  <si>
    <t>Cjedilo za tijesto RF fi 40 cm</t>
  </si>
  <si>
    <t>D.1.49.</t>
  </si>
  <si>
    <t xml:space="preserve"> Vangla RF 11 lit. fi 36 cm</t>
  </si>
  <si>
    <t>D.1.50.</t>
  </si>
  <si>
    <t>Vangla RF 15 lit. fi 40 cm</t>
  </si>
  <si>
    <t>D.1.51.</t>
  </si>
  <si>
    <t>Vangla RF 22 lit. fi 45 cm</t>
  </si>
  <si>
    <t>D.1.52.</t>
  </si>
  <si>
    <t>Daska PVC 53x32,5x2,5 cm u boji</t>
  </si>
  <si>
    <t>D.1.53.</t>
  </si>
  <si>
    <t>Stalak RF za PVC daske</t>
  </si>
  <si>
    <t>D.1.54.</t>
  </si>
  <si>
    <t>Lopatica perforirana RF okrugla</t>
  </si>
  <si>
    <t>D.1.55.</t>
  </si>
  <si>
    <t>Lopatica perforirana RF kvadratna</t>
  </si>
  <si>
    <t>D.1.56.</t>
  </si>
  <si>
    <t xml:space="preserve">Žica mlatilica RF 35 cm </t>
  </si>
  <si>
    <t>D.1.57.</t>
  </si>
  <si>
    <t xml:space="preserve">Žica mlatilica RF 45 cm  </t>
  </si>
  <si>
    <t>D.1.58.</t>
  </si>
  <si>
    <t>Žica mlatilica RF 60 cm</t>
  </si>
  <si>
    <t>D.1.59.</t>
  </si>
  <si>
    <t>Vangl (kotlić) 9,5 lit. RF</t>
  </si>
  <si>
    <t>D.1.60.</t>
  </si>
  <si>
    <t>Gnječilo za krumpir RF50 cm</t>
  </si>
  <si>
    <t>D.1.61.</t>
  </si>
  <si>
    <t>Gnječilo za krumpir RF 80 cm</t>
  </si>
  <si>
    <t>D.1.62.</t>
  </si>
  <si>
    <t xml:space="preserve">Valjak za tijesto RF 48 cm </t>
  </si>
  <si>
    <t>D.1.63.</t>
  </si>
  <si>
    <t xml:space="preserve">Cjedilo žičano fi 16 cm </t>
  </si>
  <si>
    <t>D.1.64.</t>
  </si>
  <si>
    <t xml:space="preserve">Cjedilo žičano fi 23 cm </t>
  </si>
  <si>
    <t>D.1.65.</t>
  </si>
  <si>
    <t>Cjedilo za juhu špic RF fi 26 cm</t>
  </si>
  <si>
    <t>D.1.66.</t>
  </si>
  <si>
    <t xml:space="preserve">Ribež RF 4/1 četvrtasti </t>
  </si>
  <si>
    <t>D.1.67.</t>
  </si>
  <si>
    <t>Špahtla RF 10 cm</t>
  </si>
  <si>
    <t>D.1.68.</t>
  </si>
  <si>
    <t xml:space="preserve">Bat za meso ugostiteljski </t>
  </si>
  <si>
    <t>D.1.69.</t>
  </si>
  <si>
    <t xml:space="preserve">Škare za meso RF </t>
  </si>
  <si>
    <t>D.1.70.</t>
  </si>
  <si>
    <t xml:space="preserve">Grabilica za sladoled RF </t>
  </si>
  <si>
    <t>D.1.71.</t>
  </si>
  <si>
    <t xml:space="preserve">Grabilica za rižu RF fi 7 cm </t>
  </si>
  <si>
    <t>D.1.72.</t>
  </si>
  <si>
    <t>Hvataljka za špagete RF 18.10</t>
  </si>
  <si>
    <t>D.1.73.</t>
  </si>
  <si>
    <t>Kliješta za pecivo RF 18.10</t>
  </si>
  <si>
    <t>D.1.74.</t>
  </si>
  <si>
    <t>Hvataljka za salatu RF 18.10</t>
  </si>
  <si>
    <t>D.1.75.</t>
  </si>
  <si>
    <t>Hvataljka za meso RF 18.10</t>
  </si>
  <si>
    <t>D.1.76.</t>
  </si>
  <si>
    <t>Žlica za varivo RF 18.10</t>
  </si>
  <si>
    <t>D.1.77.</t>
  </si>
  <si>
    <t>Satara kuhinjska 23 cm</t>
  </si>
  <si>
    <t>D.1.78.</t>
  </si>
  <si>
    <t>Brusač ovalni 30</t>
  </si>
  <si>
    <t>D.1.79.</t>
  </si>
  <si>
    <t>Kuhača pvc 45 cm</t>
  </si>
  <si>
    <t>D.1.80.</t>
  </si>
  <si>
    <t>Kuhača pvc 75 cm</t>
  </si>
  <si>
    <t>D.1.81.</t>
  </si>
  <si>
    <t>D.1.82.</t>
  </si>
  <si>
    <t>D.1.83.</t>
  </si>
  <si>
    <t>Otvarač za konzerve stolni RF</t>
  </si>
  <si>
    <t>D.1.84.</t>
  </si>
  <si>
    <t>D.1.85.</t>
  </si>
  <si>
    <t>D.1.86.</t>
  </si>
  <si>
    <t>Otvarač kombinirani</t>
  </si>
  <si>
    <t>D.1.87.</t>
  </si>
  <si>
    <t>Hvataljka za led RF</t>
  </si>
  <si>
    <t>D.1.88.</t>
  </si>
  <si>
    <t>D.1.89.</t>
  </si>
  <si>
    <t>D.1.90.</t>
  </si>
  <si>
    <t>D.1.91.</t>
  </si>
  <si>
    <t>Nož za guljenje krumpira</t>
  </si>
  <si>
    <t>D.1.92.</t>
  </si>
  <si>
    <t>Drobilica za češnjak</t>
  </si>
  <si>
    <t>D.2.</t>
  </si>
  <si>
    <t>GARDEROBE I SANITARIJE KUHINJSKOG I TEHNIČKOG OSOBLJA</t>
  </si>
  <si>
    <t>D.2.1.</t>
  </si>
  <si>
    <t>D.3.</t>
  </si>
  <si>
    <t>D.3.1.</t>
  </si>
  <si>
    <t>D.3.2.</t>
  </si>
  <si>
    <t>D.3.3.</t>
  </si>
  <si>
    <t>D.4.</t>
  </si>
  <si>
    <t>SPREMIŠTE ČIŠĆENJE</t>
  </si>
  <si>
    <t>D.4.1.</t>
  </si>
  <si>
    <t>D.4.2.</t>
  </si>
  <si>
    <r>
      <rPr>
        <b/>
        <sz val="10"/>
        <rFont val="Calibri"/>
        <family val="2"/>
        <scheme val="minor"/>
      </rPr>
      <t>Teleskopski štap</t>
    </r>
    <r>
      <rPr>
        <sz val="10"/>
        <rFont val="Calibri"/>
        <family val="2"/>
        <scheme val="minor"/>
      </rPr>
      <t>: 2x1,75 m</t>
    </r>
  </si>
  <si>
    <t>D.4.3.</t>
  </si>
  <si>
    <r>
      <rPr>
        <b/>
        <sz val="10"/>
        <rFont val="Calibri"/>
        <family val="2"/>
        <scheme val="minor"/>
      </rPr>
      <t>Teleskopski štap</t>
    </r>
    <r>
      <rPr>
        <sz val="10"/>
        <rFont val="Calibri"/>
        <family val="2"/>
        <scheme val="minor"/>
      </rPr>
      <t>: 3x1,8 m</t>
    </r>
  </si>
  <si>
    <t>D.4.4.</t>
  </si>
  <si>
    <r>
      <rPr>
        <b/>
        <sz val="10"/>
        <rFont val="Calibri"/>
        <family val="2"/>
        <scheme val="minor"/>
      </rPr>
      <t>Teleskopski štap</t>
    </r>
    <r>
      <rPr>
        <sz val="10"/>
        <rFont val="Calibri"/>
        <family val="2"/>
        <scheme val="minor"/>
      </rPr>
      <t>: 3x3 m</t>
    </r>
  </si>
  <si>
    <t>D.4.5.</t>
  </si>
  <si>
    <r>
      <rPr>
        <b/>
        <sz val="10"/>
        <rFont val="Calibri"/>
        <family val="2"/>
        <scheme val="minor"/>
      </rPr>
      <t>Aluminijske ljestve</t>
    </r>
    <r>
      <rPr>
        <sz val="10"/>
        <rFont val="Calibri"/>
        <family val="2"/>
        <scheme val="minor"/>
      </rPr>
      <t>, dvodjelne, 5 gazišta</t>
    </r>
  </si>
  <si>
    <t>D.4.6.</t>
  </si>
  <si>
    <t>D.4.7.</t>
  </si>
  <si>
    <t>D.4.8.</t>
  </si>
  <si>
    <t>D.4.9.</t>
  </si>
  <si>
    <t>D.4.10.</t>
  </si>
  <si>
    <t>D.4.11.</t>
  </si>
  <si>
    <t>D.5.</t>
  </si>
  <si>
    <t>PROSTORIJA ZA PRIVREMENO ODLAGANJE OTPADA</t>
  </si>
  <si>
    <r>
      <rPr>
        <b/>
        <sz val="10"/>
        <rFont val="Calibri"/>
        <family val="2"/>
      </rPr>
      <t>Kontejner</t>
    </r>
    <r>
      <rPr>
        <sz val="10"/>
        <rFont val="Calibri"/>
        <family val="2"/>
      </rPr>
      <t xml:space="preserve"> za otpatke kapaciteta 240 L izrađen od polietilena sa dva kotača.
</t>
    </r>
  </si>
  <si>
    <t>D.6.</t>
  </si>
  <si>
    <t>DOMAR</t>
  </si>
  <si>
    <t>police dimenzije 120 x 40 x 200 cm.</t>
  </si>
  <si>
    <t>police dimenzije 100 x 40 x 200 cm.</t>
  </si>
  <si>
    <r>
      <rPr>
        <b/>
        <sz val="10"/>
        <rFont val="Calibri"/>
        <family val="2"/>
        <charset val="238"/>
      </rPr>
      <t>Garderobni ormar jednodijelni</t>
    </r>
    <r>
      <rPr>
        <sz val="10"/>
        <rFont val="Calibri"/>
        <family val="2"/>
        <charset val="238"/>
      </rPr>
      <t xml:space="preserve"> dim. (ŠDV) 30x50x180 cm, s vratima, čvrste metalne konstrukcije s metalnim nogicama visine 15 cm. Svi metalni dijelovi s adekvatnom zaštitnom obradom (prašno plastificiranje), sve u skladu s namjenom. Ima nosač za vješalicu, vješalicu, policu udaljenu minimalno 30 cm od gornjeg ruba ormara i policu za cipele u donjem dijelu ormara. Na vratima ormara su otvori za provjetravanje, cilindar brava s ključem i standardna ručka. Sve u boji prema izboru projektanta.
</t>
    </r>
  </si>
  <si>
    <r>
      <t>Kukice za pano za alat</t>
    </r>
    <r>
      <rPr>
        <sz val="10"/>
        <rFont val="Calibri"/>
        <family val="2"/>
        <scheme val="minor"/>
      </rPr>
      <t>, razlićitih dužina</t>
    </r>
  </si>
  <si>
    <r>
      <t xml:space="preserve">Ljestva drvena, </t>
    </r>
    <r>
      <rPr>
        <sz val="10"/>
        <rFont val="Calibri"/>
        <family val="2"/>
        <scheme val="minor"/>
      </rPr>
      <t>2x5 gazišta, visina 162cm</t>
    </r>
  </si>
  <si>
    <t>D.7.</t>
  </si>
  <si>
    <t>D.7.1.</t>
  </si>
  <si>
    <t>D.7.2.</t>
  </si>
  <si>
    <t>D.7.3.</t>
  </si>
  <si>
    <t>D.8.</t>
  </si>
  <si>
    <t>PROSTOR ZA ODMOR</t>
  </si>
  <si>
    <t>SPREMIŠTE ZA ODRŽAVANJE DVORIŠTA</t>
  </si>
  <si>
    <r>
      <t>Trodijelne aluminijske ljestve</t>
    </r>
    <r>
      <rPr>
        <sz val="10"/>
        <rFont val="Calibri"/>
        <family val="2"/>
        <scheme val="minor"/>
      </rPr>
      <t>, 3x11 prečki, radne visine 790 cm</t>
    </r>
  </si>
  <si>
    <t>OPREMANJE - SVEUKUPNO</t>
  </si>
  <si>
    <t>police dimenzije 120 x 60 x 200 cm.</t>
  </si>
  <si>
    <t>police dimenzije 100 x 60 x 200 cm.</t>
  </si>
  <si>
    <t>D.5.1.</t>
  </si>
  <si>
    <r>
      <rPr>
        <b/>
        <sz val="10"/>
        <rFont val="Calibri"/>
        <family val="2"/>
        <scheme val="minor"/>
      </rPr>
      <t>Zidni sat</t>
    </r>
    <r>
      <rPr>
        <sz val="10"/>
        <rFont val="Calibri"/>
        <family val="2"/>
        <scheme val="minor"/>
      </rPr>
      <t xml:space="preserve"> na baterije s kazaljkama promjera minimalno 30-50 cm.</t>
    </r>
  </si>
  <si>
    <t>C.5.14</t>
  </si>
  <si>
    <r>
      <rPr>
        <b/>
        <sz val="10"/>
        <rFont val="Calibri"/>
        <family val="2"/>
        <charset val="238"/>
      </rPr>
      <t xml:space="preserve">Dječja složiva strunjača </t>
    </r>
    <r>
      <rPr>
        <sz val="10"/>
        <rFont val="Calibri"/>
        <family val="2"/>
        <charset val="238"/>
      </rPr>
      <t xml:space="preserve">dim. 240x120x4 cm, ispunjena visokokvalitetnom spužvom, presvučena eko kožom debljine 0,9 mm, sastava pamuk, PE i PVC, težine 500g/m², postojanosti boje 8, visoke otpornosti na trljanje, rastezanje i trganje, perive vodom i neutralnim sredstvima za pranje, sastoji se od 4 identična međusobno povezana dijela, rasklopljena je duga 240 cm, a sklopljena 60 cm, u boji po izboru projektanta.
</t>
    </r>
  </si>
  <si>
    <r>
      <rPr>
        <b/>
        <sz val="10"/>
        <rFont val="Calibri"/>
        <family val="2"/>
        <charset val="238"/>
      </rPr>
      <t>Plastična kutija duboka</t>
    </r>
    <r>
      <rPr>
        <sz val="10"/>
        <rFont val="Calibri"/>
        <family val="2"/>
        <charset val="238"/>
      </rPr>
      <t>, dim. (ŠDV) 31,2x37,7x15 cm, s dvostrukim žlijebom na bočnim stranama, te upuštenom ručkom na prednjem dijelu, za ormar iz stavke A.3.15., boja kutije transparentna bijela.</t>
    </r>
  </si>
  <si>
    <r>
      <rPr>
        <b/>
        <sz val="10"/>
        <rFont val="Calibri"/>
        <family val="2"/>
        <charset val="238"/>
      </rPr>
      <t>Plastična kutija duboka</t>
    </r>
    <r>
      <rPr>
        <sz val="10"/>
        <rFont val="Calibri"/>
        <family val="2"/>
      </rPr>
      <t>, dim. (ŠDV) 31,2x37,7x15 cm,</t>
    </r>
    <r>
      <rPr>
        <sz val="10"/>
        <rFont val="Calibri"/>
        <family val="2"/>
        <charset val="238"/>
      </rPr>
      <t xml:space="preserve"> s dvostrukim žlijebom na bočnim stranama, te upuštenom ručkom na prednjem dijelu, za element iz stavke A.3.24., boja kutije transparentna bijela.
</t>
    </r>
  </si>
  <si>
    <r>
      <rPr>
        <b/>
        <sz val="10"/>
        <rFont val="Calibri"/>
        <family val="2"/>
        <charset val="238"/>
      </rPr>
      <t>Plastična kutija plitka</t>
    </r>
    <r>
      <rPr>
        <sz val="10"/>
        <rFont val="Calibri"/>
        <family val="2"/>
        <charset val="238"/>
      </rPr>
      <t>, dim. (ŠDV) 31,2x42,7x7,5 cm, s dvostrukim žlijebom na bočnim stranama, te upuštenom ručkom na prednjem dijelu, za element iz stavke A.3.24., boja kutije transparentna bijela.</t>
    </r>
  </si>
  <si>
    <r>
      <rPr>
        <b/>
        <sz val="10"/>
        <rFont val="Calibri"/>
        <family val="2"/>
        <charset val="238"/>
      </rPr>
      <t xml:space="preserve">Donja prostirka s gumicom za ležaljku </t>
    </r>
    <r>
      <rPr>
        <sz val="10"/>
        <rFont val="Calibri"/>
        <family val="2"/>
      </rPr>
      <t>iz stavke A.3.38.,</t>
    </r>
    <r>
      <rPr>
        <sz val="10"/>
        <rFont val="Calibri"/>
        <family val="2"/>
        <charset val="238"/>
      </rPr>
      <t xml:space="preserve"> platno 100% pamuk, punilo 100% poliesterska vlakna, s gumicom za pričvršćenje, u bijeloj boji.
</t>
    </r>
  </si>
  <si>
    <r>
      <rPr>
        <b/>
        <sz val="10"/>
        <rFont val="Calibri"/>
        <family val="2"/>
        <charset val="238"/>
      </rPr>
      <t>Plahta s gumicom</t>
    </r>
    <r>
      <rPr>
        <sz val="10"/>
        <rFont val="Calibri"/>
        <family val="2"/>
        <charset val="238"/>
      </rPr>
      <t xml:space="preserve"> </t>
    </r>
    <r>
      <rPr>
        <b/>
        <sz val="10"/>
        <rFont val="Calibri"/>
        <family val="2"/>
        <charset val="238"/>
      </rPr>
      <t>za ležaljku</t>
    </r>
    <r>
      <rPr>
        <sz val="10"/>
        <rFont val="Calibri"/>
        <family val="2"/>
        <charset val="238"/>
      </rPr>
      <t xml:space="preserve"> iz stavke A.3.38., 100% pamuk, s uglovima i gumicom za pričvršćenje, u bijeloj boji.
</t>
    </r>
  </si>
  <si>
    <r>
      <rPr>
        <b/>
        <sz val="10"/>
        <rFont val="Calibri"/>
        <family val="2"/>
        <charset val="238"/>
      </rPr>
      <t>Pokrivač štepani za ležaljku</t>
    </r>
    <r>
      <rPr>
        <sz val="10"/>
        <rFont val="Calibri"/>
        <family val="2"/>
      </rPr>
      <t xml:space="preserve"> iz stavke A.3.38.</t>
    </r>
    <r>
      <rPr>
        <sz val="10"/>
        <rFont val="Calibri"/>
        <family val="2"/>
        <charset val="238"/>
      </rPr>
      <t xml:space="preserve">, platno 100% pamuk, punilo 100% poliesterska vlakna, u bijeloj boji.
</t>
    </r>
  </si>
  <si>
    <r>
      <rPr>
        <b/>
        <sz val="10"/>
        <rFont val="Calibri"/>
        <family val="2"/>
        <charset val="238"/>
      </rPr>
      <t>Navlaka za pokrivač za ležaljku</t>
    </r>
    <r>
      <rPr>
        <sz val="10"/>
        <rFont val="Calibri"/>
        <family val="2"/>
        <charset val="238"/>
      </rPr>
      <t xml:space="preserve"> iz stavke A.3.38., 100% pamuk, u bijeloj boji.
</t>
    </r>
  </si>
  <si>
    <r>
      <rPr>
        <b/>
        <sz val="10"/>
        <rFont val="Calibri"/>
        <family val="2"/>
        <charset val="238"/>
      </rPr>
      <t>Plastična kutija duboka</t>
    </r>
    <r>
      <rPr>
        <sz val="10"/>
        <rFont val="Calibri"/>
        <family val="2"/>
        <charset val="238"/>
      </rPr>
      <t>, dim. (ŠDV) 31,2x37,7x15 cm, s dvostrukim žlijebom na bočnim stranama, te upuštenom ručkom na prednjem dijelu, za ormar iz stavke A.2.15., boja kutije transparentna bijela.</t>
    </r>
  </si>
  <si>
    <r>
      <rPr>
        <b/>
        <sz val="10"/>
        <rFont val="Calibri"/>
        <family val="2"/>
        <charset val="238"/>
      </rPr>
      <t>Plastična kutija duboka</t>
    </r>
    <r>
      <rPr>
        <sz val="10"/>
        <rFont val="Calibri"/>
        <family val="2"/>
      </rPr>
      <t>, dim. (ŠDV) 31,2x37,7x15 cm,</t>
    </r>
    <r>
      <rPr>
        <sz val="10"/>
        <rFont val="Calibri"/>
        <family val="2"/>
        <charset val="238"/>
      </rPr>
      <t xml:space="preserve"> s dvostrukim žlijebom na bočnim stranama, te upuštenom ručkom na prednjem dijelu, za element iz stavke A.2.24., boja kutije transparentna bijela.
</t>
    </r>
  </si>
  <si>
    <r>
      <rPr>
        <b/>
        <sz val="10"/>
        <rFont val="Calibri"/>
        <family val="2"/>
        <charset val="238"/>
      </rPr>
      <t>Plastična kutija plitka</t>
    </r>
    <r>
      <rPr>
        <sz val="10"/>
        <rFont val="Calibri"/>
        <family val="2"/>
        <charset val="238"/>
      </rPr>
      <t>, dim. (ŠDV) 31,2x42,7x7,5 cm, s dvostrukim žlijebom na bočnim stranama, te upuštenom ručkom na prednjem dijelu, za element iz stavke A.2.24, boja kutije transparentna bijela.</t>
    </r>
  </si>
  <si>
    <r>
      <rPr>
        <b/>
        <sz val="10"/>
        <rFont val="Calibri"/>
        <family val="2"/>
        <charset val="238"/>
      </rPr>
      <t xml:space="preserve">Donja prostirka s gumicom za ležaljku </t>
    </r>
    <r>
      <rPr>
        <sz val="10"/>
        <rFont val="Calibri"/>
        <family val="2"/>
      </rPr>
      <t>iz stavke A.2.38.,</t>
    </r>
    <r>
      <rPr>
        <sz val="10"/>
        <rFont val="Calibri"/>
        <family val="2"/>
        <charset val="238"/>
      </rPr>
      <t xml:space="preserve"> platno 100% pamuk, punilo 100% poliesterska vlakna, s gumicom za pričvršćenje, u bijeloj boji.
</t>
    </r>
  </si>
  <si>
    <r>
      <rPr>
        <b/>
        <sz val="10"/>
        <rFont val="Calibri"/>
        <family val="2"/>
        <charset val="238"/>
      </rPr>
      <t>Plahta s gumicom</t>
    </r>
    <r>
      <rPr>
        <sz val="10"/>
        <rFont val="Calibri"/>
        <family val="2"/>
        <charset val="238"/>
      </rPr>
      <t xml:space="preserve"> </t>
    </r>
    <r>
      <rPr>
        <b/>
        <sz val="10"/>
        <rFont val="Calibri"/>
        <family val="2"/>
        <charset val="238"/>
      </rPr>
      <t>za ležaljku</t>
    </r>
    <r>
      <rPr>
        <sz val="10"/>
        <rFont val="Calibri"/>
        <family val="2"/>
        <charset val="238"/>
      </rPr>
      <t xml:space="preserve"> iz stavke A.2.38., 100% pamuk, s uglovima i gumicom za pričvršćenje, u bijeloj boji.
</t>
    </r>
  </si>
  <si>
    <r>
      <rPr>
        <b/>
        <sz val="10"/>
        <rFont val="Calibri"/>
        <family val="2"/>
        <charset val="238"/>
      </rPr>
      <t>Pokrivač štepani za ležaljku</t>
    </r>
    <r>
      <rPr>
        <sz val="10"/>
        <rFont val="Calibri"/>
        <family val="2"/>
      </rPr>
      <t xml:space="preserve"> iz stavke A.2.38.</t>
    </r>
    <r>
      <rPr>
        <sz val="10"/>
        <rFont val="Calibri"/>
        <family val="2"/>
        <charset val="238"/>
      </rPr>
      <t xml:space="preserve">, platno 100% pamuk, punilo 100% poliesterska vlakna, u bijeloj boji.
</t>
    </r>
  </si>
  <si>
    <r>
      <rPr>
        <b/>
        <sz val="10"/>
        <rFont val="Calibri"/>
        <family val="2"/>
        <charset val="238"/>
      </rPr>
      <t>Navlaka za pokrivač za ležaljku</t>
    </r>
    <r>
      <rPr>
        <sz val="10"/>
        <rFont val="Calibri"/>
        <family val="2"/>
        <charset val="238"/>
      </rPr>
      <t xml:space="preserve"> iz stavke A.2.38., 100% pamuk, u bijeloj boji.
</t>
    </r>
  </si>
  <si>
    <t>A.2.5.</t>
  </si>
  <si>
    <t>D.1.25.</t>
  </si>
  <si>
    <t>A.1.12.</t>
  </si>
  <si>
    <t>D.6.1.</t>
  </si>
  <si>
    <t>D.6.2.</t>
  </si>
  <si>
    <t>D.6.3.</t>
  </si>
  <si>
    <t>D.6.4.</t>
  </si>
  <si>
    <t>D.6.5.</t>
  </si>
  <si>
    <t>D.6.6.</t>
  </si>
  <si>
    <t>D.6.7.</t>
  </si>
  <si>
    <t>D.6.8.</t>
  </si>
  <si>
    <t>D.6.9.</t>
  </si>
  <si>
    <t>D.6.10.</t>
  </si>
  <si>
    <t>D.6.11.</t>
  </si>
  <si>
    <t>D.6.12.</t>
  </si>
  <si>
    <t>D.6.13.</t>
  </si>
  <si>
    <t>D.6.14.</t>
  </si>
  <si>
    <t>D.6.15.</t>
  </si>
  <si>
    <t>D.6.16.</t>
  </si>
  <si>
    <t>D.6.17.</t>
  </si>
  <si>
    <t>D.6.18.</t>
  </si>
  <si>
    <t>D.6.19.</t>
  </si>
  <si>
    <t>D.6.20.</t>
  </si>
  <si>
    <t>D.6.21.</t>
  </si>
  <si>
    <t>D.6.22.</t>
  </si>
  <si>
    <t>D.6.23.</t>
  </si>
  <si>
    <t>D.6.24.</t>
  </si>
  <si>
    <t>D.6.25.</t>
  </si>
  <si>
    <t>D.6.26.</t>
  </si>
  <si>
    <t>D.6.27.</t>
  </si>
  <si>
    <t>D.6.28.</t>
  </si>
  <si>
    <t>D.6.29.</t>
  </si>
  <si>
    <t>D.6.30.</t>
  </si>
  <si>
    <t>D.6.31.</t>
  </si>
  <si>
    <t>D.6.32.</t>
  </si>
  <si>
    <t>D.6.33.</t>
  </si>
  <si>
    <t>D.6.34.</t>
  </si>
  <si>
    <t>D.6.35.</t>
  </si>
  <si>
    <t>D.6.36.</t>
  </si>
  <si>
    <t>D.6.37.</t>
  </si>
  <si>
    <t>D.6.38.</t>
  </si>
  <si>
    <t>D.6.39.</t>
  </si>
  <si>
    <t>D.6.40.</t>
  </si>
  <si>
    <t>D.6.41.</t>
  </si>
  <si>
    <t>D.6.42.</t>
  </si>
  <si>
    <t>D.6.43.</t>
  </si>
  <si>
    <t>D.6.44.</t>
  </si>
  <si>
    <t>D.6.45.</t>
  </si>
  <si>
    <t>D.6.46.</t>
  </si>
  <si>
    <t>D.6.47.</t>
  </si>
  <si>
    <t>D.6.48.</t>
  </si>
  <si>
    <t>D.6.49.</t>
  </si>
  <si>
    <t>D.6.50.</t>
  </si>
  <si>
    <t>D.6.51.</t>
  </si>
  <si>
    <t>D.6.52.</t>
  </si>
  <si>
    <t>D.6.53.</t>
  </si>
  <si>
    <t>D.6.54.</t>
  </si>
  <si>
    <t>D.6.55.</t>
  </si>
  <si>
    <t>D.6.56.</t>
  </si>
  <si>
    <t>D.6.57.</t>
  </si>
  <si>
    <t>D.6.58.</t>
  </si>
  <si>
    <t>D.6.59.</t>
  </si>
  <si>
    <t>D.6.60.</t>
  </si>
  <si>
    <t>D.6.61.</t>
  </si>
  <si>
    <t>D.6.62.</t>
  </si>
  <si>
    <t>D.6.63.</t>
  </si>
  <si>
    <t>D.6.64.</t>
  </si>
  <si>
    <r>
      <rPr>
        <b/>
        <sz val="10"/>
        <rFont val="Calibri"/>
        <family val="2"/>
        <scheme val="minor"/>
      </rPr>
      <t>Nosač za sušenje likovnih radova</t>
    </r>
    <r>
      <rPr>
        <sz val="10"/>
        <rFont val="Calibri"/>
        <family val="2"/>
        <charset val="238"/>
        <scheme val="minor"/>
      </rPr>
      <t xml:space="preserve"> dim. (ŠDV) 40x30x65 cm, savinute metalne konstrukcije, s 15 do 20 prečki (savinuti metalni okrugli profil debljine 5-8 mm) za sušenje radova. Razmak između prečki 3-5 cm.
</t>
    </r>
  </si>
  <si>
    <t xml:space="preserve">Mekana kutna igraonica napravljena od spužve presvučene polivinilom. Velika strunjača/ogradica u obliku peterokuta, s 4 povišene stranice i kosim elementom za ulaz, koji se pričvršćuju čičkom.. Dimenzije: 156x156x32 cm. Materijal čvrsta spužva/eko koža. 
</t>
  </si>
  <si>
    <t xml:space="preserve">Mekane podne podloge izrađene od spužve i presvučene polivinilom, u 4 različite boje, sa slikom proljeća, ljeta, jeseni i zime (ukupno 4 kom). Dimenzija jedne strunjače: 100x100x5 cm
</t>
  </si>
  <si>
    <t xml:space="preserve">Senzomotorički komplet za istraživanje, po kojem se djeca mogu penjati, spuštati ili istraživati. Sastoji se od: 1 niska kocka s ogledalima, 1 visoka kocka s ogledalima, 1 niska kocka s različitim taktilnim teksturama, 2 kosa elementa, 1 niska kocka, 2 strunjače val, ukupno 168×168 cm. Materijal čvrsta spužva/eko koža/ tekstil. Navlaka od tekstila može se skinuti i oprati.
</t>
  </si>
  <si>
    <r>
      <rPr>
        <b/>
        <sz val="10"/>
        <rFont val="Calibri"/>
        <family val="2"/>
        <scheme val="minor"/>
      </rPr>
      <t>Plastična kutija duboka</t>
    </r>
    <r>
      <rPr>
        <sz val="10"/>
        <rFont val="Calibri"/>
        <family val="2"/>
        <scheme val="minor"/>
      </rPr>
      <t xml:space="preserve">, dim. (ŠDV) 31,2x37,7x15 cm, s dvostrukim žlijebom na bočnim stranama, te upuštenom ručkom na prednjem dijelu, za modni centar iz stavke A.2.21., boja kutije transparentna bijela.
</t>
    </r>
  </si>
  <si>
    <r>
      <rPr>
        <b/>
        <sz val="10"/>
        <rFont val="Calibri"/>
        <family val="2"/>
        <scheme val="minor"/>
      </rPr>
      <t>Plastična kutija duboka</t>
    </r>
    <r>
      <rPr>
        <sz val="10"/>
        <rFont val="Calibri"/>
        <family val="2"/>
        <scheme val="minor"/>
      </rPr>
      <t xml:space="preserve">, dim. (ŠDV) 31,2x37,7x15 cm, s dvostrukim žlijebom na bočnim stranama, te upuštenom ručkom na prednjem dijelu, za modni centar iz stavke A.3.21., boja kutije transparentna bijela.
</t>
    </r>
  </si>
  <si>
    <r>
      <rPr>
        <b/>
        <sz val="10"/>
        <rFont val="Calibri"/>
        <family val="2"/>
      </rPr>
      <t>Plastični podložak za cipele</t>
    </r>
    <r>
      <rPr>
        <sz val="10"/>
        <rFont val="Calibri"/>
        <family val="2"/>
      </rPr>
      <t xml:space="preserve">, L=95cm, zadržava vodu, podignutih, zaobljenih rubova.
</t>
    </r>
  </si>
  <si>
    <r>
      <rPr>
        <b/>
        <sz val="10"/>
        <rFont val="Calibri"/>
        <family val="2"/>
      </rPr>
      <t>Kanta za otpatke</t>
    </r>
    <r>
      <rPr>
        <sz val="10"/>
        <rFont val="Calibri"/>
        <family val="2"/>
      </rPr>
      <t xml:space="preserve"> 25-30 l, s pedalom i metalnim uloškom od nehrđajućeg lima.
</t>
    </r>
  </si>
  <si>
    <r>
      <t>Gume za provlačenje</t>
    </r>
    <r>
      <rPr>
        <sz val="10"/>
        <rFont val="Calibri"/>
        <family val="2"/>
        <scheme val="minor"/>
      </rPr>
      <t xml:space="preserve"> (8 kom) napravljene od čvrste, polutvrde plastike, otporne na temperaturne promjene, perive vodom. Set se sastoji od 4 gume Ø 40 cm x 13 cm i 4 gume Ø 60 cm x 26 cm u raznim bojama.
</t>
    </r>
  </si>
  <si>
    <r>
      <t>Set prometnih znakova</t>
    </r>
    <r>
      <rPr>
        <sz val="10"/>
        <rFont val="Calibri"/>
        <family val="2"/>
        <scheme val="minor"/>
      </rPr>
      <t xml:space="preserve"> sastoji se od 24 prometna znaka sa spojnicama, 12 plastičnih štapova (dužine 120 cm), 12 okruglih postolja.
</t>
    </r>
  </si>
  <si>
    <r>
      <t xml:space="preserve">Metalni tricikl </t>
    </r>
    <r>
      <rPr>
        <sz val="10"/>
        <rFont val="Calibri"/>
        <family val="2"/>
        <scheme val="minor"/>
      </rPr>
      <t xml:space="preserve">(S) dimenzija: 68x55x52,3 cm. Visina sjedala: 30 cm. Kotači od gumirane plastike, anatomsko sjedalo.
</t>
    </r>
  </si>
  <si>
    <r>
      <t xml:space="preserve">Sensi efektna podloga, </t>
    </r>
    <r>
      <rPr>
        <sz val="10"/>
        <rFont val="Calibri"/>
        <family val="2"/>
        <scheme val="minor"/>
      </rPr>
      <t xml:space="preserve">napravljena od makrolona. Ispušta zvuk prilikom pritiska na njenu površinu. Dimenzije: 40x40 cm 1 serija = 4 kom s elementima za povezivanje.
</t>
    </r>
  </si>
  <si>
    <r>
      <rPr>
        <b/>
        <sz val="10"/>
        <rFont val="Calibri"/>
        <family val="2"/>
        <scheme val="minor"/>
      </rPr>
      <t>Male gumene lopte</t>
    </r>
    <r>
      <rPr>
        <sz val="10"/>
        <rFont val="Calibri"/>
        <family val="2"/>
        <scheme val="minor"/>
      </rPr>
      <t xml:space="preserve"> od spužve, koje dobro odskakuju za razvoj motorike ruke, komplet-10 kom, dim. Ø5 cm, 55g.
</t>
    </r>
  </si>
  <si>
    <r>
      <rPr>
        <b/>
        <sz val="10"/>
        <rFont val="Calibri"/>
        <family val="2"/>
        <scheme val="minor"/>
      </rPr>
      <t>Stolna zglobna lampa</t>
    </r>
    <r>
      <rPr>
        <sz val="10"/>
        <rFont val="Calibri"/>
        <family val="2"/>
        <scheme val="minor"/>
      </rPr>
      <t xml:space="preserve"> s LED rasvjetom. 
Karakteristike: Visina lampe: 84 cm, duljina mehaničke ruke: 31+31+12cm. Izvor svjetlosti: LED integrirano, potrošnja 8 W.
</t>
    </r>
  </si>
  <si>
    <r>
      <rPr>
        <b/>
        <sz val="10"/>
        <rFont val="Calibri"/>
        <family val="2"/>
        <scheme val="minor"/>
      </rPr>
      <t xml:space="preserve">Telefonski aparat </t>
    </r>
    <r>
      <rPr>
        <sz val="10"/>
        <rFont val="Calibri"/>
        <family val="2"/>
        <scheme val="minor"/>
      </rPr>
      <t xml:space="preserve">s LCD ekranom. Alarm, sat, prikaz broja. Pamćenje 50 brojeva pozivatelja. Telefonski imenik s 50 brojeva.
</t>
    </r>
  </si>
  <si>
    <r>
      <rPr>
        <b/>
        <sz val="10"/>
        <rFont val="Calibri"/>
        <family val="2"/>
        <scheme val="minor"/>
      </rPr>
      <t>Metalne police</t>
    </r>
    <r>
      <rPr>
        <sz val="10"/>
        <rFont val="Calibri"/>
        <family val="2"/>
        <charset val="238"/>
        <scheme val="minor"/>
      </rPr>
      <t xml:space="preserve">, police jednostavne, otvorene, tipske. Svi metalni dijelovi s adekvatnom zaštitnom obradom (prašno plastificiranje), sve u skladu s namjenom.  Nosivost police 200 kg, 5 kom po visini. Obavezan pismeni dokaz nosivosti.  Sve u boji prema izboru projektanta. 
Dimenzije 100 x 40 x 200 cm.
</t>
    </r>
  </si>
  <si>
    <r>
      <t>Trodijelne aluminijske ljestve</t>
    </r>
    <r>
      <rPr>
        <sz val="10"/>
        <rFont val="Calibri"/>
        <family val="2"/>
        <scheme val="minor"/>
      </rPr>
      <t xml:space="preserve">, s mogućnošću montaže u skelu 4x3, težine cca 14 kg. Visina sklopljenih ljestvi 0,98 m, visina radne skele 0.94 m, visina dvostrukih ljestvi 1,75 m. Max. radna visina 4,55 m.
</t>
    </r>
  </si>
  <si>
    <r>
      <t xml:space="preserve">Ljestva drvena, </t>
    </r>
    <r>
      <rPr>
        <sz val="10"/>
        <rFont val="Calibri"/>
        <family val="2"/>
        <scheme val="minor"/>
      </rPr>
      <t>2x5 gazišta, visina 162 cm</t>
    </r>
  </si>
  <si>
    <t xml:space="preserve">Drvena kolica za lutke sa platnenim sjedalom i gumenim kotačima, visina 40 cm.
</t>
  </si>
  <si>
    <r>
      <t>Set sportskih rekvizita</t>
    </r>
    <r>
      <rPr>
        <sz val="10"/>
        <rFont val="Calibri"/>
        <family val="2"/>
        <scheme val="minor"/>
      </rPr>
      <t xml:space="preserve">: markeri za tjelesni Ø 18cm (set 40 kom), sklopiva prepona visine od 6 do 38 cm, dužine 65 cm - 6 kom, set užadi od 3 metra (10 kom), uže za preskakanje dim. 210 kom - 15 kom, trake za ritmiku dužine 160 cm (5 kom) - 2 garniture, uže od 10 metara, Ø 2 cm - 1 kom, padobran Ø 3,5 metra - 1 kom
</t>
    </r>
  </si>
  <si>
    <r>
      <t xml:space="preserve">Romobil </t>
    </r>
    <r>
      <rPr>
        <sz val="10"/>
        <rFont val="Calibri"/>
        <family val="2"/>
        <scheme val="minor"/>
      </rPr>
      <t xml:space="preserve">na 2 kotača, metalne konstrukcije, s kotačima od tvrde gume, namijenjen djeci od 5 do 10 godina. Podnosi težinu do 20 kg. Dimenzije: 87,5x18,7x71 cm
</t>
    </r>
  </si>
  <si>
    <r>
      <rPr>
        <b/>
        <sz val="10"/>
        <rFont val="Calibri"/>
        <family val="2"/>
        <scheme val="minor"/>
      </rPr>
      <t>Mekane lopte</t>
    </r>
    <r>
      <rPr>
        <sz val="10"/>
        <rFont val="Calibri"/>
        <family val="2"/>
        <scheme val="minor"/>
      </rPr>
      <t xml:space="preserve">, od spužve sa slonovom kožom, lopta koja pod pritiskom mijenja svoju formu, te se nakon toga polako vraća u originalni oblik. Nisko odskakuje, Ø21cm, ca. 300 g.
</t>
    </r>
  </si>
  <si>
    <t xml:space="preserve">Na površini ima izbočine u crvenoj boji, formirane u skupove - za učenje brojeva od 1-10; broj prstima noge, dim.170x20cm.
</t>
  </si>
  <si>
    <t xml:space="preserve">Za izradu elemenata opreme prema opisu stavaka troškovnika mogu se upotrebljavati samo materijali I klase koji odgovaraju hrvatskim i europskim normama te posjeduju sve potrebne ateste sukladnosti i dokaze kvalitete.
</t>
  </si>
  <si>
    <t>umivaonik dimenzija 55 x 40-42 cm (dim. ±5%) 
i sifon</t>
  </si>
  <si>
    <t>umivaonik dimenzija 45 x 35 cm (dim. ±5%) 
i sifon</t>
  </si>
  <si>
    <t>držač toaletnih ubrusa za ruke</t>
  </si>
  <si>
    <t xml:space="preserve"> -  Zidni konzolni umivaonik, bijele boje, keramika I. klase, sa središnjom rupom za montažu mješalice. Stavka uključuje sifon sa podizačem čepa Ø32mm. Sifon za umivaonike, zidni spoj, klizna rozeta, s fiksnom cijevi, krom premaz.
- Armatura je stojeća sa jednoručna mješalica umivaonik za hladnu i toplu vodu, NO 15 mm (R 1/2”, s kutnim ventilima, s pomičnim ispustom, dva gibljiva crijeva G3/8" za priključak vode, perlator, 35 mm keramička kartuša, prilagodiv limitator protoka vode, odljevni set skočni 1 1/4".
- Kanta za smeće od inox materijala sa pedalom volumena 10 litara.
- Zidno ogledalo, komplet s pričvrsnim materijalom
- Kromirani držač posude za tekući sapun i posuda za tekući sapun bijela, komplet sa pričvrsnim materijalom
- Kanta za smeće od inox materijala sa pedalom volumena 10 litara
- Zidni držač toaletnih ubrusa za ruke; dimenzija: 337 x 200 x 141 mm; koristi se za toaletne ubruse; za kontroliranu potrošnju toaletnih ubrusa u listićima (jedan potez-jedan listić); proziran dio s prednje strane omogućava uvid u stanje papira, komplet s pričvrsnim materijalom.</t>
  </si>
  <si>
    <t xml:space="preserve">zidni nosač s WC četkom </t>
  </si>
  <si>
    <t xml:space="preserve">Stavka uključuje nabavu i dopremu i ugradnju sveg potrebnog materijala, pripremu, dovoz i ugradnju betonske smjese, zbijanje pervibratorima, zaštitu betona poslije ugradnje od utjecaja atmosfere, te održavanje betona vlažnim za vrijeme procesa vezivanja.
</t>
  </si>
  <si>
    <t xml:space="preserve">Stavka uključuje nabavu i dopremu sveg potrebnog materijala, pripremu, dovoz i ugradnju betonske smjese, zbijanje pervibratorima, zaštitu betona, te održavanje betona vlažnim za vrijeme procesa vezivanja.
</t>
  </si>
  <si>
    <t xml:space="preserve">- Kanta za smeće od inox materijala sa pedalom volumena 10 litara
- Zidni držač toaletnih ubrusa za ruke; dimenzija: 337 x 200 x 141 mm; koristi se za toaletne ubruse; za kontroliranu potrošnju toaletnih ubrusa u listićima (jedan potez-jedan listić); proziran dio s prednje strane omogućava uvid u stanje papira, komplet s pričvrsnim materijalom.
</t>
  </si>
  <si>
    <t xml:space="preserve"> -  Zidni umivaonik za invalide s plitkim horizontalnim priključkom, bijele boje, keramika I. klase, s središnjom rupom za montažu mješalice. Stavka uključuje sifon sa podizačem čepa Ø32mm. Sifon za umivaonike, zidni spoj, klizna rozeta, s fiksnom cijevi, krom premaz.
- Armatura je stojeća s jednoručnom mješalicom za invalide, za hladnu i toplu vodu NO 15mm (R 1/2”), s kutnim ventilima, metalna ručica, gibljiva crijeva G3/8" za priključak vode, perlator, 35 mm keramička kartuša, prilagodiv limitator protoka vode, odljevni set skočni 1 1/4".
'- Kanta za smeće od inox materijala sa pedalom volumena 10 litara.
- Zidno nagnuto zaokretno ogledalo dimenzija 70 x 90 cm, komplet s pričvrsnim materijalom
- Kromirani držač posude za tekući sapun i posuda za tekući sapun bijela, komplet sa pričvrsnim materijalom</t>
  </si>
  <si>
    <t xml:space="preserve"> -  Zidni konzolni umivaonik-vindabona od nehrđajučeg čelika (inox lim), s metalnom rešetkom. Stavka uključuje odvodnu garnaturu, sifon s čepom Ø38mm.
- Armatura je zidna s jednoručnom mješalicom za hladnu i toplu vodu NO 15mm (R 1/2”), s perlatorom i kutnim ventilima, s pomičnim ispustom (rotirajuće izljevna cijev dužine prilagođene umivaoniku-vindaboni).
- Zidno ogledalo dimenzija 40 x 60 cm, komplet s pričvrsnim materijalom
- Kanta za smeće od inox materijala sa pedalom volumena 10 litara.
- Kromirani držač posude za tekući sapun i posuda za tekući sapun bijela, komplet sa pričvrsnim materijalom
</t>
  </si>
  <si>
    <t xml:space="preserve">Obračun se vrši po kompletu i komadu montirane WC školjke, vodokotlića i opreme, sa spojevima dovoda i odvoda i ostalim spojevima, uključivši sav potreban materijal za montažu i spojno-brtveni materijal, sve do pune funkcionalnosti. U stavci obračunati sva potrebna štemanja i krpanja. 
</t>
  </si>
  <si>
    <t xml:space="preserve">Napomena: u cijenu radova treba uključiti izradu i postavu slijepih dovratnika od kvadratnih profila 60x40x3 mm. U cijenu uključiti izradu sve potrebne ČN potkonstrukcije.
</t>
  </si>
  <si>
    <t xml:space="preserve">prozorske klupčice širine š=17 cm, (klupčica u unutrašnjem prostoru)
</t>
  </si>
  <si>
    <r>
      <rPr>
        <b/>
        <sz val="10"/>
        <color indexed="8"/>
        <rFont val="Calibri"/>
        <family val="2"/>
      </rPr>
      <t xml:space="preserve">Dobava, izrada i ugradnja unutarnjih prozorskih klupčica, punog drveta (sibirski ariš) d=30 mm, sve krojeno i obrađeno prema mjerama na gradilištu. </t>
    </r>
    <r>
      <rPr>
        <sz val="10"/>
        <color indexed="8"/>
        <rFont val="Calibri"/>
        <family val="2"/>
        <charset val="238"/>
      </rPr>
      <t>Kompletno izrađeno u radionici i minimalno krojeno na gradilištu. Obrada: kitanje, temeljni namaz i 2x završna lak boja. Boja sadrži višestruku zaštitu za drvo (vlaga, plavilo, truljenje, plijesni i alge, UV-zračenje). Kutevi tlocrtno zaobljeni, sve stranice i rubovi bez oštrih rubova, a spoj sa stijenom silikonizirati. Vrsta klupčice i boja po izboru projektanta. Sve kompletno uzimanje mjera, krojenje, montaža i završno čišćenje.</t>
    </r>
  </si>
  <si>
    <t>Vanjske ostakljene stijene ugrađuju se u ravnini vanjske površine nosivog zida.</t>
  </si>
  <si>
    <t xml:space="preserve">Obračun po komadu sa svim radovima i materijalom do pune funkcionalnosti.  
</t>
  </si>
  <si>
    <t xml:space="preserve">Obračun po komadu i m3 sa svim radovima i materijalom do pune funkcionalnosti.  
</t>
  </si>
  <si>
    <t xml:space="preserve">Radove izvoditi prema geometriji i uvjetima iz projekta. U slučaju odstupanja od projektnog profila potrebno je izvijestiti nadzornog inženjera, predstavnika investitora, projektanta konstrukcije i projektanta geotehničkog elaborata, te je potrebno zaustaviti sav daljnji rad na iskopu. Tek nakon pozitivne ocjene istih izvođač može nastaviti sa radom na iskopu.
</t>
  </si>
  <si>
    <t xml:space="preserve">strojni iskop zemlje u tlu 'B' kategorije - temeljne trake ograde
</t>
  </si>
  <si>
    <t xml:space="preserve">Zatrpavanje i nasipavanje izvesti zemljanim materijalom iz iskopa u slojevima od 30 cm. Svaki sloj treba biti poravnan i nabijen vibrovaljkom. Materijal za zatrpavanje ne smije sadržavati kamenje većeg profila od 12 cm.
</t>
  </si>
  <si>
    <r>
      <rPr>
        <b/>
        <sz val="10"/>
        <color indexed="8"/>
        <rFont val="Calibri"/>
        <family val="2"/>
      </rPr>
      <t>Dobava materijala, razastiranje prirodnog ili drobljenog šljunka 0-32 mm</t>
    </r>
    <r>
      <rPr>
        <sz val="10"/>
        <color indexed="8"/>
        <rFont val="Calibri"/>
        <family val="2"/>
        <charset val="238"/>
      </rPr>
      <t>, koji se ugrađuje u slojevima s odgovarajućom mehanizacijom. Zbijanje materijala se vrši vibovaljkom do projektiranog modula stišljivosti</t>
    </r>
    <r>
      <rPr>
        <sz val="10"/>
        <rFont val="Calibri"/>
        <family val="2"/>
        <charset val="238"/>
      </rPr>
      <t xml:space="preserve"> Ms=60 MN/m2, te stupnja zbijenosti Sz=100%.
Izvodi se </t>
    </r>
    <r>
      <rPr>
        <sz val="10"/>
        <color indexed="8"/>
        <rFont val="Calibri"/>
        <family val="2"/>
        <charset val="238"/>
      </rPr>
      <t xml:space="preserve">ispod podložnog betona temeljne ploče, ispod vanjskih terasa i antitraumatskih podloga i staza igrališta. Ako je potrebno šljunčani nasip se stabilizira cementnim mlijekom radi postizanja projektiranog modula stišljivosti.
Obračun po m3.
</t>
    </r>
  </si>
  <si>
    <t xml:space="preserve">Obračunate sljedeće površine:
Izrada površina kolnih i pješačkih površina, parkirališta i internencijskih površina te izrada spoja kolnih i pješačkih ulaza s postojećim kolnim i pješačkim površinama postojeće javne prometnice s popravkom u kontaktnoj zoni.
Obračun po m3.
</t>
  </si>
  <si>
    <t xml:space="preserve">U stavci je uračunata dobava i ugradnja rubnjaka sa izradom betonske podloge - temelja od betona klase C12/15, te zaljevanjem reški (sudarnica) cementnim mortom 1:4 uključujući sve potrebne predradnje i materijal potreban za ugradnju rubnjaka na projektiranu visinu.
</t>
  </si>
  <si>
    <t xml:space="preserve">betonski rubnjak veličine 18x24, rubnjaci između pješačkih površina i kolnika ceste - postavljeni s visinskom razikom (normalno)
</t>
  </si>
  <si>
    <t xml:space="preserve">betonski rubnjak veličine 18x24, rubnjaci između pješačkih površina i kolnika ceste - upušteni kako bi se osigurao kolni pristup
</t>
  </si>
  <si>
    <t xml:space="preserve">Program mora sadržavati: tehničke uvjete svježeg i očvrslog betona, opis sastojaka betona, način proizvodnje, program kontrole kvalitete, nadzor i kontrolu armaturnih čelika, te završnu ocjenu kvalitete.
</t>
  </si>
  <si>
    <r>
      <rPr>
        <b/>
        <sz val="10"/>
        <color indexed="8"/>
        <rFont val="Calibri"/>
        <family val="2"/>
      </rPr>
      <t>Betoniranje armiranobetonske temeljne trake  terasa</t>
    </r>
    <r>
      <rPr>
        <sz val="10"/>
        <color indexed="8"/>
        <rFont val="Calibri"/>
        <family val="2"/>
        <charset val="238"/>
      </rPr>
      <t xml:space="preserve">, beton C25/30,  konstrukcija velikog presjeka &gt; 0,30 m3/m2/m1, razred izloženosti XC2, vodonepropusni beton. Dobava i doprema materijala, te strojno betoniranje. Izvodi se iznad sloja podložnog betona.
</t>
    </r>
  </si>
  <si>
    <r>
      <rPr>
        <b/>
        <sz val="10"/>
        <color indexed="8"/>
        <rFont val="Calibri"/>
        <family val="2"/>
      </rPr>
      <t>Betoniranje armiranobetonskih zidova</t>
    </r>
    <r>
      <rPr>
        <sz val="10"/>
        <color indexed="8"/>
        <rFont val="Calibri"/>
        <family val="2"/>
        <charset val="238"/>
      </rPr>
      <t xml:space="preserve">, beton C25/30, debljine d=20 cm, konstrukcija srednjeg presjeka 0,12-0,30 m3/m2/m1, razred izloženosti XC1. Dobava i doprema materijala, te strojno betoniranje. Betoniranje se izvodi u dvostranoj glatkoj oplati. Visina podupiranja preko 3,0 m. 
U količine su uračunate i sve grede i nadvoji koje u naravi predstavljaju dio zida.
</t>
    </r>
  </si>
  <si>
    <t xml:space="preserve">Uključena ugradba umetaka za sve prodore, šliceve, ugradba temeljnog uzemljivača i slično, te njega betona.
Gornja površina piramidalno blago zakošena s izvedbom horizontalnog gornjeg dijela za sidrenu ploču
Uključena ugradba sidara za sidrenje opreme. 
</t>
  </si>
  <si>
    <t xml:space="preserve">Uključena ugradba umetaka za sve prodore, šliceve, ugradba temeljnog uzemljivača i slično, te njega betona.
Nagib gornje plohe ploče je 1% od zgrade, ploče su debljine od 8 cm do minimalno 6 cm (zbog pada od 1 %).
</t>
  </si>
  <si>
    <t xml:space="preserve">Žbuka je sljedećih karakteristika:
- veličina čestice: 1 mm; tlačna čvrstoća (28): &gt;2,5 N/mm2; vlačna čvrstoća (28): 1,0 N/mm2; gustoća suhog materijala: 12500 kg/m3.
</t>
  </si>
  <si>
    <t xml:space="preserve">- Podloga mora biti suha, čista, bez nataloženih slojeva, prljavštine, prašine ili masnoće, ravna i nosiva. Obavezna je zaštita bravarije, stolarije, klupčica i okapa.
</t>
  </si>
  <si>
    <t xml:space="preserve">U cijenu je potrebno uračunati pripremne radove, dobavu materijala, te izradu fasade prema uputama proizvođača. 
</t>
  </si>
  <si>
    <r>
      <rPr>
        <b/>
        <sz val="10"/>
        <rFont val="Calibri"/>
        <family val="2"/>
      </rPr>
      <t xml:space="preserve">Dobava materijala te izrada hidroizolacije iz sintetičke folije na bazi TPO-a (fleksibilni poliofelin), armirana staklenim voalom, d=1,8 mm. </t>
    </r>
    <r>
      <rPr>
        <sz val="10"/>
        <rFont val="Calibri"/>
        <family val="2"/>
        <charset val="238"/>
      </rPr>
      <t xml:space="preserve">Trake se slobodno polažu na sloj filc-a, koji se postavlja na beton u nagibu.
</t>
    </r>
  </si>
  <si>
    <t xml:space="preserve">Materijal sljedećih karakteristika:
- materijal folije: polietilen, HDPE
- paropropusan, vodonepropusan
- težina folije: cca 60 g/m2
- SD vrijednost: ≤0,02 m
- otpornost na probijanje: 260 N
- otpornost trganje: &gt;70 N/5 cm
- otpornost na vatru: B2
</t>
  </si>
  <si>
    <t xml:space="preserve">Folija je sljedećih karakteristika:
- materijal: polietilen visoke gustoće
- težina folije: 600 gr/m2
- visina čepova: 7 mm
- otpornost na tlačnu silu: 320 kN/m2
</t>
  </si>
  <si>
    <t xml:space="preserve">- gumena poliesterska traka za brtvljenje rubova, kuteva i instalacijskih prodora
•vodootporna i paropropusna traka
•opterećenje pri lomu: &gt;8 N/mm2
•otpornost na kidanje: &gt;9 N/mm2
</t>
  </si>
  <si>
    <t xml:space="preserve">- mrežica od alkalno odpornih staklenih vlakana za ojačanje hidroizolacije
•težina: 160 g/m2
•veličina otvora: 5x5 mm
•čvrstoća na kidanje: &gt;1200 N
</t>
  </si>
  <si>
    <t xml:space="preserve">OPĆA NAPOMENA
Termoizolacijski slojevi moraju biti propisno zalijepljeni ili mehanički fiksirani!
</t>
  </si>
  <si>
    <r>
      <rPr>
        <b/>
        <sz val="10"/>
        <color indexed="8"/>
        <rFont val="Calibri"/>
        <family val="2"/>
      </rPr>
      <t>Dobava, izrada i montaža stijena sanitarnih kabina WC-a u vrtićkim i jasličkim jedinicama.</t>
    </r>
    <r>
      <rPr>
        <sz val="10"/>
        <color indexed="8"/>
        <rFont val="Calibri"/>
        <family val="2"/>
        <charset val="238"/>
      </rPr>
      <t xml:space="preserve"> 
Montažne kabine sastavljene su od prednje linije koju čine dovratnici i stijene s jednokrilnim zaokretnim vratima, ukupne visine 120 cm.
</t>
    </r>
  </si>
  <si>
    <t xml:space="preserve">Kabine su izrađene od visokotlačno prešane laminat ploče (HPL) prema standardu EN 438, minimalne debljine 15 mm. Svi vanjski rubovi obrađeni su  radijusom od 2 mm.
</t>
  </si>
  <si>
    <t xml:space="preserve">Svaka vrata imaju 2 spojnice (vratne petlje) s integriranom oprugom za samozatvaranje. Vrata su opremljena s primjerenom kvakom i s mogućnošću sigurnosnog otvaranja izvana.
</t>
  </si>
  <si>
    <r>
      <rPr>
        <sz val="10"/>
        <color indexed="8"/>
        <rFont val="Calibri"/>
        <family val="2"/>
      </rPr>
      <t xml:space="preserve">Kabine su izrađene od visokotlačno prešane laminat ploče (HPL) prema standardu EN 438, minimalne debljine 15 mm. </t>
    </r>
    <r>
      <rPr>
        <sz val="10"/>
        <rFont val="Calibri"/>
        <family val="2"/>
      </rPr>
      <t xml:space="preserve">Svi vanjski rubovi obrađeni su  radijusom od 2 mm.
</t>
    </r>
  </si>
  <si>
    <t xml:space="preserve">Preklapanje svih izolacionih folija (najmanje 100 mm) izvesti na objektu uz mehaničko učvršćenje i potrebnu toplinsku izolaciju. Izvoditelj radova obavezan je ispravno izabrati sve izolacijske materijale na unutarnjoj i vanjskoj strani fasade i to biti u stanju dokazati.
</t>
  </si>
  <si>
    <t xml:space="preserve">Svi bravarski elementi moraju se na spoju sa zidom brtviti PUR pjenom u punoj površini (puna zrakotjesnost reške).
</t>
  </si>
  <si>
    <t xml:space="preserve">ugradnju paronepropusnih folija s unutarnje strane priključka
</t>
  </si>
  <si>
    <t xml:space="preserve">Napomena: u cijenu radova treba uključiti izradu i postavu svih potrebnih metalnih slijepih dovratnika/doprozornika.
</t>
  </si>
  <si>
    <t xml:space="preserve">Puno vratno krilo s ojačanim rubovima, debljine 62 mm, izrađeno iz metalnog okvira, punjeno mineralnom vunom i obostrano obloženo metalnim panelima, t=1 mm. Krilo pocinčano, završna obrada profila prašnim plastificiranjem u boji po odabiru projektanta.
</t>
  </si>
  <si>
    <t xml:space="preserve">Okov iz proizvodnog programa ograde, tip i vrsta prema odabiru projektanta. Okov  uključuje: 3 vratne petlje, kvaku, bravu sa štitnicima i ključ, sve kompletno.
</t>
  </si>
  <si>
    <r>
      <rPr>
        <b/>
        <sz val="10"/>
        <color indexed="8"/>
        <rFont val="Calibri"/>
        <family val="2"/>
      </rPr>
      <t>Dobava, izrada i ugradnja  jednokrilnih ogradnih vrata za pješake</t>
    </r>
    <r>
      <rPr>
        <sz val="10"/>
        <color indexed="8"/>
        <rFont val="Calibri"/>
        <family val="2"/>
      </rPr>
      <t xml:space="preserve"> koja se sastoje od:
</t>
    </r>
  </si>
  <si>
    <t xml:space="preserve">Visina opločenja:  220 cm i 120 cm. Popločiti i horizontalne parapete i špalete otvora unutar visine opločenja.
</t>
  </si>
  <si>
    <t xml:space="preserve">dobava zidnih keramičkih pločica u prostorima gospodarstva (neto količina) - 20 x 20 x 1 cm, visina opločenja 220 cm
</t>
  </si>
  <si>
    <t xml:space="preserve">Kod izvođenja radova u svemu se pridržavati uputa iz tehničkih listova proizvođača.
</t>
  </si>
  <si>
    <t xml:space="preserve">Sjedalice su lanacima učvršćene na metalnu konstrukciju preko posebnih sistema sa ležajevima koji omogućavaju bešumnu upotrebu. 
</t>
  </si>
  <si>
    <t xml:space="preserve">Košara je sistemom sajli ili lanaca učvršćena na metalnu konstrukciju preko posebnih sistema sa ležajevima koji omogućavaju bešumnu upotrebu. 
</t>
  </si>
  <si>
    <t xml:space="preserve">Gnijezdo-košara  (mreža) je promjera cca ø100cm metalne je konstrukcije, opletena kvalitetnim užetom u boji. 
</t>
  </si>
  <si>
    <t xml:space="preserve">Svi  materijali zaštićeni su odgovarajućim  postupcima koji uključuju plastificiranje,  bojanje ekološkim bojama i pocinčavanje. 
Sve obrade materijala i boje  po odabiru projektanta.
</t>
  </si>
  <si>
    <t xml:space="preserve">Drveni elementi su sa zaobljenim rubovima. Drvo tretira u 3 sloja lazurom u tonu koja ne sadrži škodljive komponente i neopasna je za ljude.
Lazura za bojanje  sadrži 6-struku zaštitu za drvo na otvorenom (vlaga, plavilo, truljenje, plijesni i alge, UV-zračenje, zaštita od osa). 
</t>
  </si>
  <si>
    <t xml:space="preserve">Dostaviti ateste, certifikate, tehnički opis, nacrt, fotografiju. Konačan odabir izgleda sprave po odabiru projektanta.
</t>
  </si>
  <si>
    <t xml:space="preserve">MATERIJALI: 
- vruće cinčani i plastificirani čelični profili, završno elektrostatski plastificiran u mat boju.
- aluminijski rebrasti protuklizni lim
- HDPE ili HPL ploče, troslojne u boji min. 19mm
- vruće cinčani čelični ankeri
</t>
  </si>
  <si>
    <t xml:space="preserve">- greda od tvrdog postojanog bjelogoričnog drveta (ariš, jasen, hrast)
ili
- greda od aluminija, završno elektrostatski plastificiran u mat boju.
ili
- greda od vruće cinčanog čelika, završno elektrostatski plastificiranih u mat boju
</t>
  </si>
  <si>
    <t xml:space="preserve">te
- stup od plastificiranog aluminija, završno elektrostatski plastificiran u mat boju.
ili
- stup od vruće cinčanog čelika, završno elektrostatski plastificiranih u mat boju.
</t>
  </si>
  <si>
    <t xml:space="preserve">Polietilen dijelovi njihalice izvedeni su zaobljenih rubova i ergonomski oblikovani, što povećava sigurnost i lakoću uporabe njihalice.
</t>
  </si>
  <si>
    <t xml:space="preserve">MATERIJALI: 
- vruće cinčani i plastificirani čelični profili, završno elektrostatski plastificiran u mat boju.
- HDPE ili HPL ploče, troslojne u boji min. 19mm
- vruće cinčani čelični ankeri
</t>
  </si>
  <si>
    <t xml:space="preserve">Sastoji se od:
- tunela promjera 80 cm i dužine 100-120 cm
- dekorativnog element na ulazu i izlaz u tunel izrađen u obliku životinjskog lika
- temeljnog elementa
</t>
  </si>
  <si>
    <t xml:space="preserve">Napomena: sanitarne predmete ugraditi tek po prethodnom odobrenju glavnog projektanta.
Izgled svih elemenata, materijali i obrada prema odluci glavnog projektanta.
</t>
  </si>
  <si>
    <t xml:space="preserve">Izrada svih potrebnih proboja kroz zidove i grede, te udubljenja zidova potrebnih za vođenje elektroinstalacija.
</t>
  </si>
  <si>
    <t xml:space="preserve">Isporuka i montaža pocinčanih kabelskih polica, l= 3m, komplet sa pripadajućim priborom (poklopac, konzole, nosači, spojnice, vijci):
</t>
  </si>
  <si>
    <t xml:space="preserve">Isporuka, polaganje (dijelom u kabelske police horizontalne i vertikalne, dijelom na obujmice, a dijelom uvlačenjem u PVC cijevi u betonu ili pregradnom zidu) te spajanje sljedećih kablova
</t>
  </si>
  <si>
    <r>
      <t xml:space="preserve">Upravljački ormar sa  pomoćnom opremom za napajanje, upravljanje, signalizaciju i elektrozaštitu, shemiran, ispitan i pripremljen za priključak na uzemljenje i napajanje </t>
    </r>
    <r>
      <rPr>
        <b/>
        <sz val="10"/>
        <rFont val="Calibri"/>
        <family val="2"/>
        <scheme val="minor"/>
      </rPr>
      <t>230V</t>
    </r>
    <r>
      <rPr>
        <sz val="10"/>
        <rFont val="Calibri"/>
        <family val="2"/>
        <scheme val="minor"/>
      </rPr>
      <t xml:space="preserve">, 50Hz.
</t>
    </r>
  </si>
  <si>
    <r>
      <t xml:space="preserve">Napajanje upravljačkog ormara kabelom </t>
    </r>
    <r>
      <rPr>
        <b/>
        <sz val="10"/>
        <rFont val="Calibri"/>
        <family val="2"/>
        <scheme val="minor"/>
      </rPr>
      <t>3x2,5mm</t>
    </r>
    <r>
      <rPr>
        <b/>
        <vertAlign val="superscript"/>
        <sz val="10"/>
        <rFont val="Calibri"/>
        <family val="2"/>
        <scheme val="minor"/>
      </rPr>
      <t>2</t>
    </r>
    <r>
      <rPr>
        <sz val="10"/>
        <rFont val="Calibri"/>
        <family val="2"/>
        <scheme val="minor"/>
      </rPr>
      <t xml:space="preserve"> kao i razvod napojnih</t>
    </r>
    <r>
      <rPr>
        <b/>
        <sz val="10"/>
        <rFont val="Calibri"/>
        <family val="2"/>
        <scheme val="minor"/>
      </rPr>
      <t xml:space="preserve"> (3x1,5mm</t>
    </r>
    <r>
      <rPr>
        <b/>
        <vertAlign val="superscript"/>
        <sz val="10"/>
        <rFont val="Calibri"/>
        <family val="2"/>
        <scheme val="minor"/>
      </rPr>
      <t>2</t>
    </r>
    <r>
      <rPr>
        <b/>
        <sz val="10"/>
        <rFont val="Calibri"/>
        <family val="2"/>
        <scheme val="minor"/>
      </rPr>
      <t xml:space="preserve">) </t>
    </r>
    <r>
      <rPr>
        <sz val="10"/>
        <rFont val="Calibri"/>
        <family val="2"/>
        <scheme val="minor"/>
      </rPr>
      <t xml:space="preserve">i signalnih </t>
    </r>
    <r>
      <rPr>
        <b/>
        <sz val="10"/>
        <rFont val="Calibri"/>
        <family val="2"/>
        <scheme val="minor"/>
      </rPr>
      <t>(6x0,75mm</t>
    </r>
    <r>
      <rPr>
        <b/>
        <vertAlign val="superscript"/>
        <sz val="10"/>
        <rFont val="Calibri"/>
        <family val="2"/>
        <scheme val="minor"/>
      </rPr>
      <t>2</t>
    </r>
    <r>
      <rPr>
        <b/>
        <sz val="10"/>
        <rFont val="Calibri"/>
        <family val="2"/>
        <scheme val="minor"/>
      </rPr>
      <t>)</t>
    </r>
    <r>
      <rPr>
        <sz val="10"/>
        <rFont val="Calibri"/>
        <family val="2"/>
        <scheme val="minor"/>
      </rPr>
      <t xml:space="preserve"> kabela od ormara do razvodnih kutija na krovu, a sve prema dogovoru sa izvođačem grijanja.
</t>
    </r>
  </si>
  <si>
    <t xml:space="preserve">Dobava i polaganje vertikalne zaštite krovnih prozora sa ostojnicima dužine 0,5m. Stavci pripadaju i radovi povezivanja vertikalne zaštite na instalaciju zaštite od udara munje.
</t>
  </si>
  <si>
    <t xml:space="preserve">Pregled, ispitivanje i mjerenje na cjelokupnoj instalaciji te izdavanje uporabnog atesta i revizione knjige, kao i eventualno svođenje otpora u propisane granice.
</t>
  </si>
  <si>
    <t xml:space="preserve">Izvedba priključka sobnog regulatora kabelom PP/J (H05VV-F) 7x1,5 mm2. Kabeli se polažu na kabelske police i/ili PNT cijevi ma pripadnu unutarnju jedinicu. Prosječne dužine 20m.
</t>
  </si>
  <si>
    <t xml:space="preserve">Prije izrade unutarnjih prozorskih klupčica, izvođač je dužan uzeti sve mjere (širini i dužinu) u naravi, zbog mogućnosti odstupanja izvedenog stanja od projekta.
</t>
  </si>
  <si>
    <t xml:space="preserve">Stavka uključuje nabavu, dopremu i ugradnju armature, te nabavu, dopremu montažu i demontažu oplate kao i sve potrebne radnje.
Stavka uključuje iskop, zatrpavanje i odvoz.
</t>
  </si>
  <si>
    <t xml:space="preserve">Stavka uključuje nabavu, dopremu i ugradnju armature, te nabavu, dopremu montažu i demontažu oplate kao i sve potrebne radnje. Stavka uključuje iskop, zatrpavanje i odvoz.
</t>
  </si>
  <si>
    <t>Obračun po komadu. Vodomjerno okno.</t>
  </si>
  <si>
    <t>Obračun po komadu. Sabirna jama.</t>
  </si>
  <si>
    <r>
      <rPr>
        <b/>
        <sz val="10"/>
        <rFont val="Calibri"/>
        <family val="2"/>
        <scheme val="minor"/>
      </rPr>
      <t>Odvoz</t>
    </r>
    <r>
      <rPr>
        <sz val="10"/>
        <rFont val="Calibri"/>
        <family val="2"/>
        <scheme val="minor"/>
      </rPr>
      <t xml:space="preserve"> suvišnog i neupotrebljivog materijala iz iskopa. Stavka obuhvaća utovar, prijevoz  do 15 km, istovar i zbrinjavanje na propisanom gradskom deponiju. Obračun po m3. 
</t>
    </r>
  </si>
  <si>
    <t xml:space="preserve">Oprema izrađena od materijala koji nije pismeno odobren od strane projektanta neće se moći ugraditi, a ponovna izrada ide na teret izvođača.
</t>
  </si>
  <si>
    <t xml:space="preserve">montaža i demontaža cijevne fasadne skele visine do 15 m, juteni zastor
</t>
  </si>
  <si>
    <t xml:space="preserve">Obračun po m3 sraslog tla, iskop s premještanjem na gradilišnu deponiju.
</t>
  </si>
  <si>
    <t>svi iskopi obračunati su po m3 stvarnog volumena (u sraslom stanju) BEZ koeficijenta rastresitosti.
Potrebno je za vrijeme odvijanja radova osigurati stalni geotehnički nadzor uz izradu redovitog izvještaja o provedenom geotehničkom nadzoru i povremeni projektantski nadzor. Prilikom iskopa 'građevne jame' potrebno je od strane ovlaštenog geomehaničara izvršiti pregled jame i nosivost tla, te ih usporediti s podacima iz geomehaničkog elaborata. U slučaju odstupanja u nosivosti treba predložiti adekvatno rješenje (dublji iskop, zamjenu i/ili stabilizaciju tla). Očitovanje geomehaničara mora biti u pisanom obliku.</t>
  </si>
  <si>
    <t xml:space="preserve">strojni široki iskop zemlje u tlu 'B' kategorije bagerom - ispod kolnih i pješačkih površina
</t>
  </si>
  <si>
    <t xml:space="preserve">U cijenu uključiti sve potrebne zidarske radove i priručnu radnu skelu.
</t>
  </si>
  <si>
    <t xml:space="preserve">Nadvoji se polažu na horizontalno poravnatu podlogu od morta i stručno polažu na užu stranu. Duljina oslonca mora iznositi najmanje 12 cm na svakom ležaju.
</t>
  </si>
  <si>
    <t xml:space="preserve">spriječiti ulazak vode s vanjske strane na unutra (silikonskim kitanjem ili brtvenim letvicama).
</t>
  </si>
  <si>
    <t xml:space="preserve">Unutarnja klupčica i vanjska klupčica obračunate posebno. 
</t>
  </si>
  <si>
    <t xml:space="preserve">Sve čelične elemente potrebno je vruće cinčati, debljinu zaštitnog sloja odrediti prema debljini elementa; minimalna debljina 50 mµ.
</t>
  </si>
  <si>
    <t xml:space="preserve">Svi lanci su od pocinčanog čelika sa silikonskom zaštitom.
</t>
  </si>
  <si>
    <t xml:space="preserve">Dobava, postava i spajanje antenskog sustava sastavljenog iz sljedećih elemenata
</t>
  </si>
  <si>
    <t xml:space="preserve">Isporuka i montaža protupožarnih jastuka na prelazima između požarnih zona.
</t>
  </si>
  <si>
    <t xml:space="preserve">Zaštiti kabel oblaganjem betonom MB 15 na mjestima kolizije
</t>
  </si>
  <si>
    <t xml:space="preserve">Mjerenje prijemnih signala i usklađivanje sa projektom
</t>
  </si>
  <si>
    <t xml:space="preserve">Dobava, postava i spajanje metalne trake za uzemljenje FeZn 20x3mm između stupa i najbliže točke gromobranskog uzemljenja
</t>
  </si>
  <si>
    <t>DIZALO</t>
  </si>
  <si>
    <t>kolovoz 2024.</t>
  </si>
  <si>
    <t>Gradir d.o.o.; broj projekta: 4/24/a</t>
  </si>
  <si>
    <t>Gradir d.o.o.; broj projekta: 4/24/k</t>
  </si>
  <si>
    <t>Gradir d.o.o.; broj projekta: 4/24/a-iz</t>
  </si>
  <si>
    <t>Gradir d.o.o.; broj projekta: 4/24/k-iz</t>
  </si>
  <si>
    <t>Gradir d.o.o.; broj projekta: 4/24/i</t>
  </si>
  <si>
    <t>Gradir d.o.o.; broj projekta: 4/24/s</t>
  </si>
  <si>
    <t>Gradir d.o.o., Ivan Kovač, dipl.ing.stroj.</t>
  </si>
  <si>
    <t>Gradir d.o.o.; broj projekta: 4/24/e</t>
  </si>
  <si>
    <t>Gradir d.o.o.; broj projekta: 4/24/dp</t>
  </si>
  <si>
    <t>Gradir d.o.o.; broj projekta: 4/24/op</t>
  </si>
  <si>
    <t>Gradir d.o.o.; broj projekta: 4/24/d</t>
  </si>
  <si>
    <t>Gradir d.o.o., Nikola Cindrić, mag. ing. stroj.</t>
  </si>
  <si>
    <t>GRAD-4/24</t>
  </si>
  <si>
    <t>4/24/T</t>
  </si>
  <si>
    <t>DJEČJI VRTIĆ LEKENIK</t>
  </si>
  <si>
    <t xml:space="preserve">- Ulični stup smješten uz sjeverni rub čestice, uz prometnicu, u zoni planiranog intervencijskog ulaza. Stup se izmješta južnije uz rub čestice u planiranu zelenu površinu. 
- Ulični stupovi smješteni uz istočni rub čestice, uz prometnicu, u zoni planiranih parkirnih mjesta. Stupi se izmještaju zapadnije bliže rubu čestice.
- Stup smješten uz zapadni rub čestice. Stup se uklanja.
</t>
  </si>
  <si>
    <r>
      <rPr>
        <b/>
        <sz val="10"/>
        <rFont val="Calibri"/>
        <family val="2"/>
      </rPr>
      <t>Strojno skidanje sloja humusa</t>
    </r>
    <r>
      <rPr>
        <sz val="10"/>
        <rFont val="Calibri"/>
        <family val="2"/>
      </rPr>
      <t xml:space="preserve"> debljine d=20 cm. Skidanje humusa se izvodi na površini u zoni iskopa zgrade koja je za 2 m obodno uvećana u odnosu na razvijenu površinu prizemlja te u zoni kolnih i pješačkih površina i igrališta, te u zoni gdje se modificira nivo terena. Skinuti sloj humusa deponirati na gradilištu radi kasnije ponovne ugradnje.
</t>
    </r>
  </si>
  <si>
    <t>strojni široki iskop zemlje u tlu 'B' kategorije bagerom - ispod zgrade</t>
  </si>
  <si>
    <r>
      <rPr>
        <b/>
        <sz val="10"/>
        <rFont val="Calibri"/>
        <family val="2"/>
      </rPr>
      <t xml:space="preserve">Strojni iskop za trakaste temelje i temeljne stope u tlu 'B' kategorije </t>
    </r>
    <r>
      <rPr>
        <sz val="10"/>
        <rFont val="Calibri"/>
        <family val="2"/>
        <charset val="238"/>
      </rPr>
      <t xml:space="preserve"> temeljne konstrukcije ograde i opreme bagerom i ručno s utovarom u vozilo. Iskop izvesti do donje kote temelja zidova, a sve prema uzdužnim i poprečnim presjecima, odnosno visinskim kotama iz projekta.
</t>
    </r>
  </si>
  <si>
    <t xml:space="preserve">planiranje površine dna temeljne jame ispod  šljunčanog nasipa temeljne ploče i terasa zgrade
</t>
  </si>
  <si>
    <r>
      <t xml:space="preserve">Planiranje i nasipavanje terena predviđa se na buduće ozelenjenim površinama i igrališta, a izvodi se prije nasipavanja plodne zemlje (troškovnik krajobraznog uređenja) odnosno ploha igrališta </t>
    </r>
    <r>
      <rPr>
        <sz val="10"/>
        <rFont val="Calibri"/>
        <family val="2"/>
        <charset val="238"/>
      </rPr>
      <t xml:space="preserve">i izvodi se na koti cca. -20-25 cm ispod kote konačno uređenog terena (zbog debljine humusa-plodnog supstrata odnosno ploha igrališta).
</t>
    </r>
  </si>
  <si>
    <t xml:space="preserve">planiranje, usjecanje, eventualno nasipavanje zemlje  i dovođenje u prirodne nagibe, sve prema projektu vanjskog uređenja, površina unutar granice obuhvata - površine oko zgrade i igrališta.
</t>
  </si>
  <si>
    <t xml:space="preserve">nasipavanje zemlje i dovođenje u projektirane nagibe, sve prema projektu vanjskog uređenja, površina unutar granice obuhvata - brežuljak i kanal.
</t>
  </si>
  <si>
    <t xml:space="preserve">planiranje, usjecanje, eventualno nasipavanje zemlje i dovođenje u prirodne nagibe, sve prema projektu vanjskog uređenja, površina van granice obuhvata
</t>
  </si>
  <si>
    <t>nasipavanje šljunka d=25 cm (zona igrališta - antitraumatska podloga te travne rešetke - pomoćni izlazi)</t>
  </si>
  <si>
    <t>nasipavanje šljunka d=20 cm (zona temeljne ploče i terasa)</t>
  </si>
  <si>
    <t xml:space="preserve">nasipavanje šljunka d=50 cm -  kolne i pješačke površine - asfalt </t>
  </si>
  <si>
    <t>šljunčani oblutci granulacije do 20-40 mm,  u sloju debljine d=5 cm</t>
  </si>
  <si>
    <r>
      <rPr>
        <b/>
        <sz val="10"/>
        <color indexed="8"/>
        <rFont val="Calibri"/>
        <family val="2"/>
      </rPr>
      <t>Dobava šljunka, oblutaka granulacije 20 mm do 40 mm i izvedba sloja šljunk</t>
    </r>
    <r>
      <rPr>
        <sz val="10"/>
        <color indexed="8"/>
        <rFont val="Calibri"/>
        <family val="2"/>
        <charset val="238"/>
      </rPr>
      <t xml:space="preserve">a, na ravnom neprohodnom krovu. Dobaviti vrstu i boju oblutaka po izboru projektanta.
Obračun po m3.
</t>
    </r>
  </si>
  <si>
    <r>
      <rPr>
        <b/>
        <sz val="10"/>
        <color indexed="8"/>
        <rFont val="Calibri"/>
        <family val="2"/>
      </rPr>
      <t>Dobava šljunka, oblutaka granulacije 4 mm do 8 mm i izvedba sloja šljunka</t>
    </r>
    <r>
      <rPr>
        <sz val="10"/>
        <color indexed="8"/>
        <rFont val="Calibri"/>
        <family val="2"/>
        <charset val="238"/>
      </rPr>
      <t xml:space="preserve">, na igralištima. Dobaviti vrstu i boju oblutaka po izboru projektanta.
Obračun po m3.
</t>
    </r>
  </si>
  <si>
    <t xml:space="preserve">šljunčani oblutci granulacije do 4-8 mm,  u sloju debljine d=4+5 cm - zona travne rešetke
</t>
  </si>
  <si>
    <t xml:space="preserve">šljunčani oblutci granulacije do 4-8 mm,  u sloju debljine d=10 cm - igrališta
</t>
  </si>
  <si>
    <r>
      <rPr>
        <b/>
        <sz val="10"/>
        <rFont val="Calibri"/>
        <family val="2"/>
      </rPr>
      <t>Dobava i ugradba saćaste travne rešetke od polietilena (HDPE)</t>
    </r>
    <r>
      <rPr>
        <sz val="10"/>
        <rFont val="Calibri"/>
        <family val="2"/>
        <charset val="238"/>
      </rPr>
      <t xml:space="preserve"> visine cca 4 cm s izradom donjeg nosivog sloja.   
Travna rešetka se polaže na sloj geotekstila (300 g/m2), sloj šljunka (obračunato u stavci A.3.8.c i A.3.7.b), sloj geotekstila (400 g/m2), te sloj pijeska granulacije 0-4 mm koji se zbija. Travna rešetka se ispunjava plodnim supstratom ili šljunčanim oblutcima granulacije 4-8 mm (obračunato u stavci A.3.11.a).
Stavka uključuje sav spojni materijal za povezivanje i sidrenje. Obračun po m2, odnosno po m3 ugrađenog materijala.
</t>
    </r>
  </si>
  <si>
    <t>ispuna travne rešetke plodnim supstratom, d=4+5 cm</t>
  </si>
  <si>
    <t xml:space="preserve">Betonske ploče se polažu na sloj geotekstila (300 g/m2), sloj šljunka (obračunato u stavci A.3.8.b), sloj geotekstila (400 g/m2), te sloj šljunka granulacije 4-8 mm debljine 6 cm koji se zbija. 
</t>
  </si>
  <si>
    <t>podložni beton debljine d=5 cm, beton C16/20</t>
  </si>
  <si>
    <t>podložni beton debljine d=35 cm, beton C16/20</t>
  </si>
  <si>
    <t>obodna oplata, h=35 cm</t>
  </si>
  <si>
    <r>
      <rPr>
        <b/>
        <sz val="10"/>
        <color indexed="8"/>
        <rFont val="Calibri"/>
        <family val="2"/>
      </rPr>
      <t xml:space="preserve">Betoniranje podložnog betona, betonom klase </t>
    </r>
    <r>
      <rPr>
        <b/>
        <sz val="10"/>
        <rFont val="Calibri"/>
        <family val="2"/>
      </rPr>
      <t>C16/20</t>
    </r>
    <r>
      <rPr>
        <b/>
        <sz val="10"/>
        <color indexed="8"/>
        <rFont val="Calibri"/>
        <family val="2"/>
      </rPr>
      <t xml:space="preserve"> ispod armiranobetonske temeljne ploče, ispod hidroizolacije</t>
    </r>
    <r>
      <rPr>
        <sz val="10"/>
        <color indexed="8"/>
        <rFont val="Calibri"/>
        <family val="2"/>
        <charset val="238"/>
      </rPr>
      <t xml:space="preserve">. Dobava i doprema materijala, te strojno betoniranje. 
Podložni beton je najvećim dijelom debljine 10 cm, konstrukcija malih presjeka &lt;0,12 m3/m2/m1. Uz vanjske rubove zgrade se izvodi zadebljanje debljine 35 cm, konstrukcija velikog presjeka &gt; 0,30 m3/m2/m1.
Izvodi se na sloju isplaniranog i zbijenog šljunka na koti koja je projektom određena, a po nadzornom inženjeru odobrena. Obračun po m3 ugrađenog betona i m2 oplate.
</t>
    </r>
  </si>
  <si>
    <r>
      <rPr>
        <b/>
        <sz val="10"/>
        <color indexed="8"/>
        <rFont val="Calibri"/>
        <family val="2"/>
      </rPr>
      <t xml:space="preserve">Betoniranje podložnog betona, betonom klase </t>
    </r>
    <r>
      <rPr>
        <b/>
        <sz val="10"/>
        <rFont val="Calibri"/>
        <family val="2"/>
      </rPr>
      <t>C16/20</t>
    </r>
    <r>
      <rPr>
        <b/>
        <sz val="10"/>
        <color indexed="8"/>
        <rFont val="Calibri"/>
        <family val="2"/>
      </rPr>
      <t xml:space="preserve"> ispod armiranobetonske temeljne ploče, iznad hidroizolacije</t>
    </r>
    <r>
      <rPr>
        <sz val="10"/>
        <color indexed="8"/>
        <rFont val="Calibri"/>
        <family val="2"/>
        <charset val="238"/>
      </rPr>
      <t xml:space="preserve">. Dobava i doprema materijala, te strojno betoniranje. 
Podložni beton je debljine 5 cm, konstrukcija malih presjeka &lt;0,12 m3/m2/m1. 
Izvodi se na hidroizolaciji (zaštita hidroizolacije) na koti koja je projektom određena, a po nadzornom inženjeru odobrena. Obračun po m3 ugrađenog betona i m2 oplate.
</t>
    </r>
  </si>
  <si>
    <t>obodna oplata, h=5 cm</t>
  </si>
  <si>
    <r>
      <rPr>
        <b/>
        <sz val="10"/>
        <color indexed="8"/>
        <rFont val="Calibri"/>
        <family val="2"/>
      </rPr>
      <t>Betoniranje armiranobetonske temeljne ploče</t>
    </r>
    <r>
      <rPr>
        <sz val="10"/>
        <color indexed="8"/>
        <rFont val="Calibri"/>
        <family val="2"/>
        <charset val="238"/>
      </rPr>
      <t xml:space="preserve">, beton C25/30; 
- debljine 25 cm,  konstrukcija srednjih presjeka 0,12 - 0,30 m3/m2/m1, 
- debljine 35 cm,  konstrukcija velikog presjeka &gt; 0,30 m3/m2/m1, 
- te rubnih temeljnih greda, debljine 50 cm,  konstrukcija velikog presjeka &gt; 0,30 m3/m2/m1;
razred izloženosti XC2, vodonepropusni beton. Dobava i doprema materijala, te strojno betoniranje. Izvodi se iznad sloja zaštitnog podložnog betona, hidroizolacije, podložnog betona, nasipa šljunka i geotekstila. 
</t>
    </r>
  </si>
  <si>
    <r>
      <rPr>
        <b/>
        <sz val="10"/>
        <color indexed="8"/>
        <rFont val="Calibri"/>
        <family val="2"/>
      </rPr>
      <t>Betoniranje podložnog betona, betonom klase C16/20 ispod armiranobetonskih temeljnih traka.</t>
    </r>
    <r>
      <rPr>
        <sz val="10"/>
        <color indexed="8"/>
        <rFont val="Calibri"/>
        <family val="2"/>
        <charset val="238"/>
      </rPr>
      <t xml:space="preserve">
Dobava i doprema materijala, te strojno betoniranje. Podložni beton je debljine 10 cm, konstrukcija malih presjeka &lt;0,12 m3/m2/m1. Izvodi se na sloju nosivog tla na koti koja je projektom određena, a po nadzornom inženjeru odobrena. Obračun po m3 ugrađenog betona i m2 oplate.</t>
    </r>
  </si>
  <si>
    <t xml:space="preserve">armiranobetonska ploča debljine d=25 cm (dilatacija 1), vodonepropusni beton C25/30, horizontalno ispod podova na tlu oznake [P1] i [P2]
</t>
  </si>
  <si>
    <t>obodna oplata, h=25 cm</t>
  </si>
  <si>
    <t>obodna oplata, h=50 cm</t>
  </si>
  <si>
    <t xml:space="preserve">rubna armiranobetonska temeljna greda (dilatacija 1), vodonepropusni beton C25/30
</t>
  </si>
  <si>
    <t xml:space="preserve">armiranobetonska ploča debljine d=35 cm (dilatacija 2), vodonepropusni beton C25/30, horizontalno ispod podova na tlu oznake [P1]
</t>
  </si>
  <si>
    <t>obodna oplata, h=100 cm (zona okna dizala)</t>
  </si>
  <si>
    <t xml:space="preserve">armiranobetonska ploča debljine d=15 cm, vodonepropusni beton C25/30, horizontalno ispod podova na tlu oznake [P4]
</t>
  </si>
  <si>
    <r>
      <rPr>
        <b/>
        <sz val="10"/>
        <color indexed="8"/>
        <rFont val="Calibri"/>
        <family val="2"/>
      </rPr>
      <t>Betoniranje armiranobetonskih greda</t>
    </r>
    <r>
      <rPr>
        <sz val="10"/>
        <color indexed="8"/>
        <rFont val="Calibri"/>
        <family val="2"/>
        <charset val="238"/>
      </rPr>
      <t xml:space="preserve">, beton C25/30, debljine d=20 cm, konstrukcija srednjeg presjeka 0,12-0,30 m3/m2/m1, razred izloženosti XC1. Dobava i doprema materijala, te strojno betoniranje. Betoniranje se izvodi u dvostranoj glatkoj oplati. Visina podupiranja preko 3,0 m. 
U količine su uračunate grede pozicije:
-dilatacija 1: 102, 103, 106;
-dilatacija 2: 102, 103, 104, 107, 110, 111, 112.
</t>
    </r>
  </si>
  <si>
    <r>
      <rPr>
        <b/>
        <sz val="10"/>
        <color indexed="8"/>
        <rFont val="Calibri"/>
        <family val="2"/>
      </rPr>
      <t>Betoniranje armiranobetonskih krovnog vijenca, i kontragreda</t>
    </r>
    <r>
      <rPr>
        <sz val="10"/>
        <color indexed="8"/>
        <rFont val="Calibri"/>
        <family val="2"/>
        <charset val="238"/>
      </rPr>
      <t xml:space="preserve">, beton C25/30, debljine d=20 cm, konstrukcija srednjeg presjeka 0,12-0,30 m3/m2/m1, razred izloženosti XC1. Dobava i doprema materijala, te strojno betoniranje, veličine š/v=20/20 cm. Betoniranje se izvodi u dvostranoj glatkoj oplati. 
</t>
    </r>
  </si>
  <si>
    <t>krovni vijenac i kontragrede, d=20 cm, beton C25/30</t>
  </si>
  <si>
    <t>oplata, dvostrana, glatka</t>
  </si>
  <si>
    <r>
      <rPr>
        <b/>
        <sz val="10"/>
        <color indexed="8"/>
        <rFont val="Calibri"/>
        <family val="2"/>
      </rPr>
      <t>Betoniranje armiranobetonskih stropnih i krovnih ploča</t>
    </r>
    <r>
      <rPr>
        <sz val="10"/>
        <color indexed="8"/>
        <rFont val="Calibri"/>
        <family val="2"/>
        <charset val="238"/>
      </rPr>
      <t xml:space="preserve">, beton C25/30, debljine d=20 cm, konstrukcija srednjeg presjeka 0,12-0,30 m3/m2/m1, razred izloženosti XC1. Dobava i doprema materijala, te strojno betoniranje. Betoniranje se izvodi u glatkoj oplati. Visina podupiranja preko 3,0 m. 
</t>
    </r>
  </si>
  <si>
    <t xml:space="preserve">armiranobetonska krovna ploča d=20 cm, beton C25/30
</t>
  </si>
  <si>
    <t>stubišta:</t>
  </si>
  <si>
    <t>oplata stubišta, glatka</t>
  </si>
  <si>
    <t>armiranobetonsko stubište, beton C25/30</t>
  </si>
  <si>
    <r>
      <rPr>
        <b/>
        <sz val="10"/>
        <color indexed="8"/>
        <rFont val="Calibri"/>
        <family val="2"/>
      </rPr>
      <t>Betoniranje armiranobetonskih stubišta</t>
    </r>
    <r>
      <rPr>
        <sz val="10"/>
        <color indexed="8"/>
        <rFont val="Calibri"/>
        <family val="2"/>
        <charset val="238"/>
      </rPr>
      <t xml:space="preserve">, beton C25/30, konstrukcija srednjeg presjeka 0,12-0,30 m3/m2/m1, razred izloženosti XC1. Dobava i doprema materijala, te strojno betoniranje. Betoniranje se izvodi u glatkoj oplati. Visina podupiranja preko 3,0 m. 
</t>
    </r>
  </si>
  <si>
    <t xml:space="preserve">Obračunate su stube 15/33 cm s podestom (1 podest), s  kosom pločom d=18 cm i podestom d=24 cm. Završna gornja površina, čelo i bočna strana pripremljena za oblaganje završnom oblogom. </t>
  </si>
  <si>
    <r>
      <rPr>
        <b/>
        <sz val="10"/>
        <color indexed="8"/>
        <rFont val="Calibri"/>
        <family val="2"/>
      </rPr>
      <t>Betoniranje armiranobetonske temeljne trake ograde s nadtemeljnim zidom</t>
    </r>
    <r>
      <rPr>
        <sz val="10"/>
        <color indexed="8"/>
        <rFont val="Calibri"/>
        <family val="2"/>
      </rPr>
      <t>, beton C25/30, traka š/v=40/80 cm s nadtemeljnim zidom debljine 20 cm i visine 20-50 cm, k</t>
    </r>
    <r>
      <rPr>
        <sz val="10"/>
        <color indexed="8"/>
        <rFont val="Calibri"/>
        <family val="2"/>
        <charset val="238"/>
      </rPr>
      <t xml:space="preserve">onstrukcija velikog presjeka &gt; 0,30 m3/m2/m1, razred izloženosti XC2. Dobava i doprema materijala, te strojno betoniranje. Betoniranje se izvodi u glatkoj oplati (nadzemni dio - zid) odnosno bez oplate (podzemni dio - temelj). </t>
    </r>
  </si>
  <si>
    <t xml:space="preserve">Betoniranje se izvodi prema projektu betona s prekidima betoniranja označenim u nacrtima armature i prema posebnom naputku konstruktera. Armirano armaturom B500B, količina armature cca. 50 kg/m3 betona. 
</t>
  </si>
  <si>
    <t xml:space="preserve">Betoniranje se izvodi prema projektu betona. Armirano armaturom B500B, količina armature cca. 50 kg/m3 betona. 
</t>
  </si>
  <si>
    <t>vanjske terase, garaža:</t>
  </si>
  <si>
    <t>Obrađuju se slijedeće konstrukcije: podovi oznake [P.3, P.4]</t>
  </si>
  <si>
    <r>
      <rPr>
        <b/>
        <sz val="10"/>
        <color indexed="8"/>
        <rFont val="Calibri"/>
        <family val="2"/>
      </rPr>
      <t xml:space="preserve">Dobava i doprema materijala, te betoniranje sloja betona za pad </t>
    </r>
    <r>
      <rPr>
        <sz val="10"/>
        <color indexed="8"/>
        <rFont val="Calibri"/>
        <family val="2"/>
        <charset val="238"/>
      </rPr>
      <t>u natkrivenom parkiralištu. Beton je debljine 4-7 cm (prosječno 5,5 cm), u padu 0,5-1%.
Obračun po m2 ugrađenog betona.</t>
    </r>
  </si>
  <si>
    <t>beton za pad na ravnom neprohodnom krovu oznake [P.3]</t>
  </si>
  <si>
    <r>
      <rPr>
        <b/>
        <sz val="10"/>
        <color indexed="8"/>
        <rFont val="Calibri"/>
        <family val="2"/>
      </rPr>
      <t>Dobava materijala i zidanje zidova blok opekom 50x15x19 cm, debljina zida d=15 cm</t>
    </r>
    <r>
      <rPr>
        <sz val="10"/>
        <color indexed="8"/>
        <rFont val="Calibri"/>
        <family val="2"/>
      </rPr>
      <t xml:space="preserve">, MO-15,  u produžnom mortu 1:2:6, M-5. Zidanje mora biti pravilno s čistim vezom, spojnice među opekom dobro zalivene, debljine do 1 cm. Ozidani dijelovi moraju biti ravni i vertikalni.
Visina zidanja preko 300 cm (zidanje do krovne ploče).
</t>
    </r>
  </si>
  <si>
    <t>Obrađuju se slijedeće konstrukcije: pregradni zidovi oznake [ZPU.1]</t>
  </si>
  <si>
    <t>Obrađuju se slijedeće konstrukcije: pregradni zidovi oznake [ZPU.2]</t>
  </si>
  <si>
    <t>Obrađuju se slijedeće konstrukcije: pregradni zidovi oznake [ZPU.3]</t>
  </si>
  <si>
    <t>pregradni zidovi od opeke d=15 cm</t>
  </si>
  <si>
    <t>unutarnji pregradni zid od opeke, d=20 cm, svjetlog raspona 200 cm</t>
  </si>
  <si>
    <t>unutarnji pregradni zid od opeke, d=15 cm, svjetlog raspona do 150 cm</t>
  </si>
  <si>
    <r>
      <rPr>
        <b/>
        <sz val="10"/>
        <color indexed="8"/>
        <rFont val="Calibri"/>
        <family val="2"/>
      </rPr>
      <t>Dobava materijala i ugradnja predgotovljenih opečnih nadvoja</t>
    </r>
    <r>
      <rPr>
        <sz val="10"/>
        <color indexed="8"/>
        <rFont val="Calibri"/>
        <family val="2"/>
      </rPr>
      <t xml:space="preserve"> u opečnim zidovima u produžnom mortu 1:2:6, M-5, debljina zida d=20 cm i d= 15 cm. </t>
    </r>
  </si>
  <si>
    <t xml:space="preserve">Dobava materijala i strojno žbukanje unutrašnjih zidova od armiranog betona, opeke, obložnih ploča pjenobetona; vapnenocementnom žbukom, M-5, debljina žbuke 2 cm i 1 cm.
</t>
  </si>
  <si>
    <t>strojno žbukanje zidova od armiranog betona, vapneno cementnom žbukom, d=1 cm</t>
  </si>
  <si>
    <t>Obrađuju se slijedeće konstrukcije: zidovi oznake a) [ZNV.1; ZNV.2; ZNV.5; ZNV.7; ZNU.1; ZNU.2]
b) [ZNV.4]
c) [ZNV.1; ZNV.2; ZNV.3]
d) [ZPU.1; ZPU.2; ZPU.3; ZPU.4]</t>
  </si>
  <si>
    <t>strojno žbukanje stropova od armiranog betona, vapneno cementnom žbukom, d=1 cm</t>
  </si>
  <si>
    <t>Dobava materijala i strojno žbukanje unutrašnjih stropova od armiranog betona (u prostorijama bez spuštenog stropa) vapnenocementnom žbukom, M-5, debljina žbuke 2 cm i 1 cm.</t>
  </si>
  <si>
    <t>Obrađuju se slijedeće konstrukcije:  oznake 
a) [S.1a2; S.1b2; S.1c2]
b) [S.2; S.3]</t>
  </si>
  <si>
    <t>Obrađuju se slijedeće konstrukcije: podovi oznake [P.1, S.1]</t>
  </si>
  <si>
    <t>A.7.8.</t>
  </si>
  <si>
    <t xml:space="preserve">U cijenu uključiti dobavu i postavu svih pripadajućih elemenata, profila i to okapnih profila, otvora i profila za ventilaciju, brtvenog profila na sudaru sa stolarskim i bravarskim stavkama, kutnog profila s integriranom finom tkaninom od staklenih vlakana, profila za izvedbu dilatacija, profila na spoju sa okapnim limom, početnog profila, te razdjelnih profila za izradu čistih spojeva na radnoj površini. 
</t>
  </si>
  <si>
    <t xml:space="preserve">Sve radove izvesti prema uputama proizvođača komponenti certificiranog sustava.
</t>
  </si>
  <si>
    <t xml:space="preserve">- Postavljaju se aluminijski ili PVC kutni profili oko otvora te profili za obradu dilatacije. Na dijagonalama otvora  obvezno dodatno ojačanje mrežicama veličine 20x40 ili 30x50 cm.  </t>
  </si>
  <si>
    <t>nosivi sloj asfalta AC 32 base, 50/70, AG6, M2-E, debljine d=7,0 cm  - kolne i pješačke površine</t>
  </si>
  <si>
    <r>
      <rPr>
        <b/>
        <sz val="10"/>
        <color indexed="8"/>
        <rFont val="Calibri"/>
        <family val="2"/>
      </rPr>
      <t xml:space="preserve">Dobava materijala, izrada i montaža drvene potkonstrukcije kosog krova. 
</t>
    </r>
    <r>
      <rPr>
        <sz val="10"/>
        <color indexed="8"/>
        <rFont val="Calibri"/>
        <family val="2"/>
      </rPr>
      <t xml:space="preserve">Potkonstrukcija krova izvedena je iz piljene građe četinara II. kategorije, klasa čvrstoće C24, drvo kvalitete S10, drvo za građevinske radove s maksimalno 15-20% vlažnosti. 
</t>
    </r>
  </si>
  <si>
    <t xml:space="preserve">- oplata od OSB ploča d=22 mm, klase 4, položene na gredice
</t>
  </si>
  <si>
    <t>- letve 8x5 cm, položene u smjeru pada krova na razmaku od 60 cm, a iznad paropropusne i vodonepropusne folije (obračunata u HI radovima)</t>
  </si>
  <si>
    <t>kosi krov, OSB ploče, donja oplata</t>
  </si>
  <si>
    <t>kosi krov, OSB ploče, gornja oplata</t>
  </si>
  <si>
    <t>kosi krov, OSB ploče, žlijeb</t>
  </si>
  <si>
    <t xml:space="preserve">- Polimer bitumenske trake za zavarivanje s uloškom od staklene tkanine, ukupne debljine minimalno 4 mm. Traka s polaže u 2 sloja (2x4mm) i ima sljedeće karakteristike: 
•težina trake: cca 38 kg
•ukupna debljina: ktg 5
•masa bitumenskog veziva: min 4.200 g/m2
•vrsta uloška: staklena tkanina
•masa uloška: min. 200 g/m2
•prekidna sila: &gt;800 N
•izduženje: &gt;2%
•udio punila: max 35%
</t>
  </si>
  <si>
    <t>hidroizolacijski sustav na bazi polimer bitumenskih hidroizolacija, podovi na tlu oznake  [P.1; P.2; P.3; P.4; P.5]  i podnožja zidova</t>
  </si>
  <si>
    <t xml:space="preserve">hidroizolacija ravnog krova, TPO/FPO folija, d=1,8 mm
</t>
  </si>
  <si>
    <t>U zonama uz vertikalne prodore sloj hidroizolacije potrebno je dići minimalno 30 cm iznad kote završne plohe poda. U zonama uz nadozid (rubni nadozid) sloj hidroizolacije potrebno je položiti do završetka gornjeg ruba nadozida i u širini nadozida.</t>
  </si>
  <si>
    <t>Obrađuju se sljedeće površine: ravni prohodni krov [K.3]  i neprohodni  krov oznake [K.2]</t>
  </si>
  <si>
    <t>okapne i profilirane trake te odzračnik:</t>
  </si>
  <si>
    <t xml:space="preserve">geotekstil 300 gr/m2, pod na tlu oznake [P.1; P.2; P.3; P.4; P.5], između nasipa šljunka i zemlje
</t>
  </si>
  <si>
    <t>geotekstil 300 gr/m2, pod na tlu uređenja okoliša [O.1; O.4b], između nasipa šljunka i zemlje</t>
  </si>
  <si>
    <t>geotekstil 200 gr/m2, ravni krov oznake [K.2; K.3],  ispod i iznad EPS TI (donji i gornji sloj)</t>
  </si>
  <si>
    <t>Obrađuju se sljedeće površine: ravni krov oznake [K.2; K.3]</t>
  </si>
  <si>
    <t>HDPE folija d=0,25 mm, slojevi oznake [K.1]</t>
  </si>
  <si>
    <t xml:space="preserve">Obrađuju se sljedeće površine: podovi [P.1; P.2] </t>
  </si>
  <si>
    <t>ekstrudirani polistiren XPS, d=15 cm, pod na tlu oznake [P.5]</t>
  </si>
  <si>
    <t>ekstrudirani polistiren XPS, d=5 cm</t>
  </si>
  <si>
    <t>ekstrudirani polistiren XPS, d=8 cm</t>
  </si>
  <si>
    <t>ekstrudirani polistiren XPS, d=16 cm</t>
  </si>
  <si>
    <t>armiranobetonska ploča natkrivenog parkirališta (završni sloj) zaglađena kvarcnim posipom, d=6,7-12,7 cm, vodonepropusni beton C25/30</t>
  </si>
  <si>
    <t xml:space="preserve">U stavci uključiti postavu rubne trake d=1 cm, uz zid u natkrivenom parkiralištu.
</t>
  </si>
  <si>
    <t xml:space="preserve">ekstrudirani polistiren XPS, d=2 cm, uključivo rubne trake  debljine d=1 cm, pod na tlu [P.3a]
</t>
  </si>
  <si>
    <t xml:space="preserve">ekstrudirani polistiren XPS, d=8 cm, pod na tlu [P.3b]
</t>
  </si>
  <si>
    <t>ekstrudirani polistiren XPS, d=3 cm</t>
  </si>
  <si>
    <t>cementni estrih d=6-7,5 cm, podno grijanje</t>
  </si>
  <si>
    <t xml:space="preserve">Cementni estrih izvodi se debljine d=6-7,5 cm ovisno o debljini završnog sloja (epoksi). 
Obračun po m2.
</t>
  </si>
  <si>
    <t>Obrađuju se slijedeće konstrukcije: podovi oznake [S.2; S.3]</t>
  </si>
  <si>
    <t>cementni estrih d=6,5 cm</t>
  </si>
  <si>
    <t>cementni estrih d=5,4-6 cm, bez podnog  grijanja</t>
  </si>
  <si>
    <r>
      <rPr>
        <b/>
        <sz val="10"/>
        <color indexed="8"/>
        <rFont val="Calibri"/>
        <family val="2"/>
      </rPr>
      <t>Dobava i postava toplinskoizolacijske ploče od ekspandiranog elastifivciranog polistirena EPS-T za toplinsku i zvučnu izolaciju podova.</t>
    </r>
    <r>
      <rPr>
        <sz val="10"/>
        <color indexed="8"/>
        <rFont val="Calibri"/>
        <family val="2"/>
        <charset val="238"/>
      </rPr>
      <t xml:space="preserve">
</t>
    </r>
  </si>
  <si>
    <t>Ploče se slobodno polažu na sloj EPS (prizemlje) ili AB ploču (kat).</t>
  </si>
  <si>
    <t>EPS-T ploče debljine d=2 cm</t>
  </si>
  <si>
    <t xml:space="preserve">Ploče se slobodno polažu na sloj EPS-T (kat) ili AB ploču (prizemlje).
</t>
  </si>
  <si>
    <t>Obrađuju se sljedeće površine: podovi [P.1; P.2; S.1].</t>
  </si>
  <si>
    <t xml:space="preserve">EPS 150 ploče debljine d=10 cm, uključivo rubne trake  debljine d=1 cm od elastificiranog polistirena, prostori s podnim grijanjem
</t>
  </si>
  <si>
    <t xml:space="preserve">EPS 150 ploče debljine d=13 cm, uključivo rubne trake  debljine d=1 cm od elastificiranog polistirena, prostori bez podnog grijanja
</t>
  </si>
  <si>
    <t>EPS 150 ploče debljine d=2 cm, uključivo rubne trake  debljine d=1 cm od elastificiranog polistirena, kat</t>
  </si>
  <si>
    <r>
      <rPr>
        <b/>
        <sz val="10"/>
        <color indexed="8"/>
        <rFont val="Calibri"/>
        <family val="2"/>
      </rPr>
      <t xml:space="preserve">Dobava i postava toplinskoizolacijske ploče od ekspandiranog polistirena EPS 150 u padu za toplinsku izolaciju podova i krovova. </t>
    </r>
    <r>
      <rPr>
        <sz val="10"/>
        <color indexed="8"/>
        <rFont val="Calibri"/>
        <family val="2"/>
        <charset val="238"/>
      </rPr>
      <t xml:space="preserve">
</t>
    </r>
  </si>
  <si>
    <t>Obrađuju se sljedeće površine: krovovi [K.2; K.3].</t>
  </si>
  <si>
    <t xml:space="preserve">EPS 150 ploče u padu debljine d=8-14 cm
</t>
  </si>
  <si>
    <t>Stavka uključuje izradu plana polaganja u skladu s projektiranim padovima.</t>
  </si>
  <si>
    <t>Ploče se slobodno polažu na sloj geotekstila. Ploče su rezane u nagubu kako bi se ostvario projektirani pad.</t>
  </si>
  <si>
    <t xml:space="preserve">Ploče kamene vune svojstva λD ≤ 0,035 W/mK, gustoće do 50 kg/m3. </t>
  </si>
  <si>
    <t xml:space="preserve">kamena vuna na kosom krovu oznake [K.1], debljine d=10 cm, donji sloj
</t>
  </si>
  <si>
    <t>Tvornički obojan i osiguran na visoku otpornost na vremenske uvjete i koroziju.</t>
  </si>
  <si>
    <t>U cijeni su i svi detalji, pričvrsni i pomoćni materijal, izrada svih potrebnih spojeva (vijci, prihvatni profili, pločice, brtve, rubni elementi, držači, spojnice, vijci) sve prema uputama proizvođača do pune gotovosti. Lim i metalni pričvrsni materijali moraju biti  odgovarajuće antikorozivno zaštićeni i međusobno kompatibilni</t>
  </si>
  <si>
    <t>limeni opšav grebena, r.š. do 50 cm.</t>
  </si>
  <si>
    <t>limeni opšav prijelaza krova iz vertikalne plohe  u  horizontalnu i kosu plohu krova te iz vertikalne u vertikalnu plohu (ventilacijski elementi), r.š. do 50 cm.</t>
  </si>
  <si>
    <t>limeni opšav prijelaza krova iz vertikalne plohe  u   kosu plohu krova  (krovni otvori), r.š. do 25 cm.</t>
  </si>
  <si>
    <t xml:space="preserve">Kvaliteta materijala: aluminij;
Legura: Al Mn1Mg0,5, mehanička svojstva na savijanje H41 prema EN 485 (poboljšana žilavost).
Obrada površine: prednja strana PP 99 dvostruki zapečeni lak u kvaliteti za falcanje, boja otporna na UV zračenje; stražnja strana zaštitni lak. </t>
  </si>
  <si>
    <t xml:space="preserve">Opšav je prilagođen na način da štiti od prodora kiše nošene vjetrom. 
</t>
  </si>
  <si>
    <r>
      <rPr>
        <b/>
        <sz val="10"/>
        <color indexed="8"/>
        <rFont val="Calibri"/>
        <family val="2"/>
      </rPr>
      <t>Dobava  i izvedba tipskih snjegobrana,</t>
    </r>
    <r>
      <rPr>
        <sz val="10"/>
        <color indexed="8"/>
        <rFont val="Calibri"/>
        <family val="2"/>
      </rPr>
      <t xml:space="preserve"> od obojenog aluminijskog lima. Lim u boji i površinskoj obradi po izboru projektanta.
</t>
    </r>
  </si>
  <si>
    <t>perforirani lim  za ventilaciju, r.š. 35 cm</t>
  </si>
  <si>
    <t>opšav vijenca i dilatacije:</t>
  </si>
  <si>
    <t>prozorska klupčica od plastificiranog obojenog aluminijskog lima t=1,0 mm, r.š. do 50 cm</t>
  </si>
  <si>
    <t>A.11.</t>
  </si>
  <si>
    <r>
      <rPr>
        <b/>
        <sz val="10"/>
        <color indexed="8"/>
        <rFont val="Calibri"/>
        <family val="2"/>
      </rPr>
      <t>Nabava materijala, izrada, transport i montaža nosive čelične konstrukcije.</t>
    </r>
    <r>
      <rPr>
        <sz val="10"/>
        <color indexed="8"/>
        <rFont val="Calibri"/>
        <family val="2"/>
      </rPr>
      <t xml:space="preserve">
Kvaliteta čelika S235 JR. Cijela konstrukcija mora biti izvedena u skladu sa statičkim računom, glavnim i izvedbenim projektom i radioničkim nacrtima.</t>
    </r>
  </si>
  <si>
    <t>čelična konstrukcija vjetrobran, kompletno</t>
  </si>
  <si>
    <t>čelična konstrukcija, terasa iznad ulaza, kompletno</t>
  </si>
  <si>
    <t>čelična konstrukcija, uz vanjsko stubište, kompletno</t>
  </si>
  <si>
    <t>A.11.1.</t>
  </si>
  <si>
    <t xml:space="preserve">unutarnja puna jednokrilna zaokretna vrata s fiksnim ostakljenim nadsvijetlom, veličina zidarskog otvora 100x260 cm, D=5, L=6, shema stolarije br.: 3
</t>
  </si>
  <si>
    <t xml:space="preserve">unutarnja puna jednokrilna zaokretna vrata s fiksnim ostakljenim nadsvijetlom, veličina zidarskog otvora 90x260 cm, D=3, L=5, krilo podrezati 2 cm, pumpa, shema stolarije br.: 4
</t>
  </si>
  <si>
    <t xml:space="preserve">unutarnja puna jednokrilna zaokretna vrata s fiksnim ostakljenim nadsvijetlom, veličina zidarskog otvora 90x260 cm, L=1, krilo podrezati 2 cm, shema stolarije br.: 5
</t>
  </si>
  <si>
    <t xml:space="preserve">unutarnja puna jednokrilna zaokretna vrata s fiksnim ostakljenim nadsvijetlom, veličina zidarskog otvora 105x260 cm, L=1, shema stolarije br.: 2
</t>
  </si>
  <si>
    <t xml:space="preserve">unutarnja puna jednokrilna zaokretna vrata, veličina zidarskog otvora 90x215 cm, D=1, krilo podrezati 2 cm, shema stolarije br.: 6
</t>
  </si>
  <si>
    <t>sanitarna stijena s jednim zaokretnim vratima, dimenzija 117/120 cm, shema stolarije br.: 10</t>
  </si>
  <si>
    <t>sanitarna kabina s dvoja zaokretna vrata, maksimalnih dimenzija 243/120 cm, shema br.: 11</t>
  </si>
  <si>
    <t>sanitarna stijena sa zaokretnim vratima, dimenzija 147,5/220 cm, shema br.: 5a, 5b</t>
  </si>
  <si>
    <t>sanitarna kabina s dvoja zaokretna vrata i pregradom, maksimalnih dimenzija 181/151/220 cm, shema br.: 6</t>
  </si>
  <si>
    <t>sanitarna kabina s dvoja zaokretna vrata i pregradom, maksimalnih dimenzija 235/91/220 cm, shema br.: 7</t>
  </si>
  <si>
    <t>sanitarna pregrada s dvoja zaokretna vrata, maksimalnih dimenzija 126/86/220 cm, shema br.: 8</t>
  </si>
  <si>
    <t>sanitarna stijena sa zaokretnim vratima, dimenzija 118,5/220 cm, shema br.: 9a, 9b</t>
  </si>
  <si>
    <t>Dimenzije pregrade su 40x90 cm.</t>
  </si>
  <si>
    <t>sanitarna pregrada uz pisoar, maksimalnih dimenzija 40/90 cm, shema stolarije br.: 12</t>
  </si>
  <si>
    <t>BRAVARSKI RADOVI - ALUMINIJSKA BRAVARIJA I PVC STOLARIJA</t>
  </si>
  <si>
    <t>Obrađuju se slijedeće konstrukcije: obloga nosivih AB zidova oznake [ZNV.2c; ZNV.5e; ZNU.1d] u kuhinji.</t>
  </si>
  <si>
    <r>
      <rPr>
        <b/>
        <sz val="10"/>
        <color indexed="8"/>
        <rFont val="Calibri"/>
        <family val="2"/>
      </rPr>
      <t>Dobava materijala i zidanje obloge zida pregradnim porobetonskim blokom, debljina obloge zida d=5 cm</t>
    </r>
    <r>
      <rPr>
        <sz val="10"/>
        <color indexed="8"/>
        <rFont val="Calibri"/>
        <family val="2"/>
      </rPr>
      <t xml:space="preserve">, specijalnim tankoslojnim mortom za porobetonske blokove.  
Zidanje mora biti pravilno s čistim vezom, spojnice među blokovima dobro zalivene. Ozidani dijelovi moraju biti ravni i vertikalni.
Obloga nosivih zidova se radi zbog izvođenja instalacije vodovoda i odvodnje na predmetnim zidovima.
Blokove specijalnim tankoslojnim mortom vezati međusobno te za nosivi zid.
Visina zidanja do 150 cm (110+23 cm).
</t>
    </r>
  </si>
  <si>
    <t>U cijenu uključiti sve potrebne zidarske radove i šlicanja, te priručnu radnu skelu.</t>
  </si>
  <si>
    <t>obložni zid od porobetona d=5 cm, kuhinja</t>
  </si>
  <si>
    <t>A.7.12.</t>
  </si>
  <si>
    <t xml:space="preserve">vanjska jednodjelna fiksna ostakljena stijena;
veličina zidarskog otvora 160x260 cm, debljina ugradbenog zida dz=36 cm, (zid od armiranog betona 20 cm),  debljina slojeva poda dp=23 cm, D/L=1, shema vanjske AL bravarije br.: 4
</t>
  </si>
  <si>
    <t xml:space="preserve">vanjska dvodjelna ostakljena stijena sastavljena od: jednokrilnog otklopno-zaokretnog ostakljenog dijela i fiksnog ostakljenog dijela;
veličina zidarskog otvora 120x260 cm, debljina ugradbenog zida dz=36 cm, (zid od armiranog betona 20 cm), debljina slojeva poda dp=23 cm (prizemlje) i dp=15cm (kat), D=1,L=5, shema vanjske AL bravarije br.: 6
</t>
  </si>
  <si>
    <t xml:space="preserve">pravokutni prozor na nadsvjetlima jedinica, unutarnjih svjetlih dimenzija 120 x 120 cm, shema PVC stolarije br. 2
</t>
  </si>
  <si>
    <r>
      <rPr>
        <b/>
        <sz val="10"/>
        <color indexed="8"/>
        <rFont val="Calibri"/>
        <family val="2"/>
      </rPr>
      <t>Dobava, izrada i ugradnja kompletnog fiksnog, vanjskog prozora za ravne krovove na blagi kosi krov (12°, pokrov falcani AL lim</t>
    </r>
    <r>
      <rPr>
        <b/>
        <sz val="8.5"/>
        <color indexed="8"/>
        <rFont val="Calibri"/>
        <family val="2"/>
      </rPr>
      <t>)</t>
    </r>
    <r>
      <rPr>
        <b/>
        <sz val="10"/>
        <color indexed="8"/>
        <rFont val="Calibri"/>
        <family val="2"/>
      </rPr>
      <t xml:space="preserve"> s ravnim staklom i kupolom</t>
    </r>
    <r>
      <rPr>
        <sz val="10"/>
        <color indexed="8"/>
        <rFont val="Calibri"/>
        <family val="2"/>
        <charset val="238"/>
      </rPr>
      <t xml:space="preserve">, u toplinski i zvučno izoliranoj konstrukciji. Prozor je pravokutnog  oblika te se ugrađuje iznad pravokutnog otvora unutarnjih svjetlih građevinskih dimenzija 120 x 120 cm, izrađen od bijelog PVC kućišta osnovne visine 15 cm s nastavcima do potrebne visine 32-47 cm (ispunjen izolacijskom pjenom), ostakljen, dvostruko IZO energetsko sigurnosno staklo (unutarnje laminirano staklo) i zaštićeno transparentnom akrilnom kupolom, ukupni prolaz topline cijelog otvora od najviše Uw≤1,30W/m2K, zrakotijesnost otvora klase 4.
Boja i obrada profila te izbor stakla (prozirnost i boja) prema konačnom odabiru projektanta.
</t>
    </r>
  </si>
  <si>
    <t xml:space="preserve">pravokutni prozor za izlaz na krov, unutarnjih svjetlih dimenzija 120 x 90 cm, shema PVC stolarije br. 3
</t>
  </si>
  <si>
    <r>
      <rPr>
        <b/>
        <sz val="10"/>
        <color indexed="8"/>
        <rFont val="Calibri"/>
        <family val="2"/>
      </rPr>
      <t>Dobava, izrada i ugradnja kompletnog, vanjskog prozora za ravne krovove za izlaz na na blagi kosi krov (12°, pokrov falcani AL lim</t>
    </r>
    <r>
      <rPr>
        <b/>
        <sz val="8.5"/>
        <color indexed="8"/>
        <rFont val="Calibri"/>
        <family val="2"/>
      </rPr>
      <t>)</t>
    </r>
    <r>
      <rPr>
        <b/>
        <sz val="10"/>
        <color indexed="8"/>
        <rFont val="Calibri"/>
        <family val="2"/>
      </rPr>
      <t xml:space="preserve"> s ravnim staklom i kupolom</t>
    </r>
    <r>
      <rPr>
        <sz val="10"/>
        <color indexed="8"/>
        <rFont val="Calibri"/>
        <family val="2"/>
        <charset val="238"/>
      </rPr>
      <t xml:space="preserve">, u toplinski i zvučno izoliranoj konstrukciji. Prozor je pravokutnog  oblika te se ugrađuje iznad pravokutnog otvora unutarnjih svjetlih građevinskih dimenzija 120 x 90 cm, izrađen od bijelog PVC kućišta osnovne visine 15 cm s nastavcima do potrebne visine 32-47 cm (ispunjen izolacijskom pjenom), ostakljen, dvostruko IZO energetsko sigurnosno staklo (unutarnje laminirano staklo) i zaštićeno transparentnom akrilnom kupolom, ukupni prolaz topline cijelog otvora od najviše Uw≤1,30W/m2K, zrakotijesnost otvora klase 4.
Boja i obrada profila te izbor stakla (prozirnost i boja) prema konačnom odabiru projektanta.
</t>
    </r>
  </si>
  <si>
    <t>B.5.2.</t>
  </si>
  <si>
    <t xml:space="preserve">pravokutni prozor za odimljavanje stubišta, unutarnjih svjetlih dimenzija 120 x 120 cm, shema PVC stolarije br. 1
</t>
  </si>
  <si>
    <t xml:space="preserve">Prozorom se upravlja ručno. Krilo se može otvoriti do 60 stupnjeva.
</t>
  </si>
  <si>
    <t xml:space="preserve">Prozor je s integriranim motorima za otvaranje. U slučaju požara prozor se automatski otvara i omogućuje izlaz dima i štetnih plinova. 
Uključiti i kontrolni sustav za odimljavanje koji se sastoji od kontrolne jedinice, senzora za dim i jedinice za aktivaciju. 
Elektromehanizam za otvaranje spojen na vatrodojavu.
</t>
  </si>
  <si>
    <r>
      <rPr>
        <b/>
        <sz val="10"/>
        <color indexed="8"/>
        <rFont val="Calibri"/>
        <family val="2"/>
      </rPr>
      <t>Dobava, izrada i ugradnja kompletnog, vanjskog prozora za ravne krovove za odimljavanje na blagi kosi krov (12°, pokrov falcani AL lim</t>
    </r>
    <r>
      <rPr>
        <b/>
        <sz val="8.5"/>
        <color indexed="8"/>
        <rFont val="Calibri"/>
        <family val="2"/>
      </rPr>
      <t>)</t>
    </r>
    <r>
      <rPr>
        <b/>
        <sz val="10"/>
        <color indexed="8"/>
        <rFont val="Calibri"/>
        <family val="2"/>
      </rPr>
      <t xml:space="preserve"> s ravnim staklom i kupolom</t>
    </r>
    <r>
      <rPr>
        <sz val="10"/>
        <color indexed="8"/>
        <rFont val="Calibri"/>
        <family val="2"/>
        <charset val="238"/>
      </rPr>
      <t xml:space="preserve">, u toplinski i zvučno izoliranoj konstrukciji. Prozor je pravokutnog  oblika te se ugrađuje iznad pravokutnog otvora unutarnjih svjetlih građevinskih dimenzija 120 x 120 cm, izrađen od bijelog PVC kućišta osnovne visine 31 cm s nastavcima do potrebne visine 32-47 cm (ispunjen izolacijskom pjenom), ostakljen, dvostruko IZO energetsko sigurnosno staklo (unutarnje laminirano staklo) i zaštićeno transparentnom akrilnom kupolom, ukupni prolaz topline cijelog otvora od najviše Uw≤1,30W/m2K, zrakotijesnost otvora klase 4.
Boja i obrada profila te izbor stakla (prozirnost i boja) prema konačnom odabiru projektanta.
</t>
    </r>
  </si>
  <si>
    <t xml:space="preserve">unutarnja vjetrobranska trodjelna ostakljena stijena sastavljena od:
dvokrilnih zaokretnih mimokretnih ostakljenih vrata i 2 bočna fiksna ostakljena dijela;
veličina zidarskog otvora 458x260 cm, rukohvat s obje strane, pumpa, debljina ugradbenog zida dz=20 cm, (zid od armiranog betona 20 cm), D=1, shema unutarnje AL bravarije br.: 1
</t>
  </si>
  <si>
    <t xml:space="preserve">vanjska dvokrilna zaokretna puna vrata s protukišnom rešetkom za ventilaciju;
veličina zidarskog otvora 180x220 cm, debljina ugradbenog zida dz=40 cm, (zid od armiranog betona 20 cm), debljina slojeva poda dp=23 cm, D=1, shema vanjske AL bravarije br.: 10
</t>
  </si>
  <si>
    <t xml:space="preserve">vanjska jednokrilna zaokretna puna vrata;
veličina zidarskog otvora 110x220 cm, debljina ugradbenog zida dz=36 cm, (zid od armiranog betona 20 cm), debljina slojeva poda dp=23 cm L=1, shema vanjske AL bravarije br.: 12
</t>
  </si>
  <si>
    <t xml:space="preserve">vanjska jednokrilna zaokretna puna vrata;
veličina zidarskog otvora 100x220 cm, debljina ugradbenog zida dz=36 cm, (zid od armiranog betona 20 cm), debljina slojeva poda dp=15 cm, L=1, shema vanjske AL bravarije br.: 13
</t>
  </si>
  <si>
    <t>vanjska jednodjelna fiksna ostakljena stijena;
veličina zidarskog otvora 120x260 cm, debljina ugradbenog zida dz=36 cm, (zid od armiranog betona 20 cm), D/L=1, shema vanjske AL bravarije br.: 5</t>
  </si>
  <si>
    <t>vanjska dvodjelna ostakljena stijena sastavljena od: jednokrilnog otklopno-zaokretnog ostakljenog dijela i fiksnog ostakljenog dijela;
veličina zidarskog otvora 290x170 cm, kvake s ključem protiv neovlaštenog otvaranja, električno podizni unutarnji rolo, debljina ugradbenog zida dz=40 cm, (zid od armiranog betona 20 cm), D/L=6, shema vanjske AL bravarije br.: 3</t>
  </si>
  <si>
    <t>Vratna krila na svim sanitarnim prostorima i prostorima sa prisilnom ventilacijom se primjereno osigurava ventilacija ispod krila (krilo kraće 2 cm).</t>
  </si>
  <si>
    <t xml:space="preserve">puna jednokrilna vrata s fiksnim ostakljenim nadsvijetlom, veličina zidarskog otvora 100x260 cm, D=1, vrata u invalidski wc: okov sadrži 3 petlje, pristupačnu kvaku - pull handles (čl. 30 pravilnika), ugrađen mehanizam za otvaranje u slučaju poziva u pomoć, pumpa, uređaj za zaustavljanje vrata, krilo podrezati 2 cm, s unutarnje strane ugraditi zaštitni lim h=25 cm od inox čelika (kick plate), shema stolarije br.: 1
</t>
  </si>
  <si>
    <t xml:space="preserve">unutarnja dvodjelna stijena sastavljena od:
- jednokrilnih zaokretnih ostakljenih vrata;
veličine 105x260 cm, kvaka na visini=150 cm,
- fiksnog ostakljenog dijela; veličine 395x140 cm, ostakljenje podijeljeno na 4 dijela, spoj stakla na dodir, brtvljen.  
Ukupna veličina zidarskog otvora 500x260 cm, debljina ugradbenog zida dz=20 cm, (zid od armiranog betona 20 cm, parapet od blok opeke 20 cm), D=5, L=4, shema unutarnje AL bravarije br.: 2
</t>
  </si>
  <si>
    <t xml:space="preserve">unutarnja dvodjelna stijena sastavljena od:
- jednokrilnih zaokretnih ostakljenih vrata;
veličine 105x260 cm, krilo skraćeno za 2 cm,
- fiksnog ostakljenog dijela; veličine 350x140 cm, ostakljenje podijeljeno na 4 dijela, spoj stakla na dodir, brtvljen.  
Ukupna veličina zidarskog otvora 455x260 cm, debljina ugradbenog zida dz=20 cm, (zid od armiranog betona 20 cm, parapet od blok opeke 20 cm), D=1, L=2, shema unutarnje AL bravarije br.: 3
</t>
  </si>
  <si>
    <t xml:space="preserve">unutarnja dvodjelna stijena sastavljena od:
- jednokrilnih zaokretnih ostakljenih vrata;
veličine 105x260 cm, krilo skraćeno za 2 cm,
- fiksnog ostakljenog dijela; veličine 330x140 cm, ostakljenje podijeljeno na 4 dijela, spoj stakla na dodir, brtvljen.  
Ukupna veličina zidarskog otvora 435x260 cm, debljina ugradbenog zida dz=20 cm, (zid od armiranog betona 20 cm, parapet od blok opeke 20 cm), L=1, shema unutarnje AL bravarije br.: 4
</t>
  </si>
  <si>
    <t xml:space="preserve">unutarnja dvodjelna stijena sastavljena od:
- jednokrilnih zaokretnih ostakljenih vrata;
veličine 105x260 cm, krilo skraćeno za 2 cm,
- fiksnog ostakljenog dijela; veličine 285x140 cm, ostakljenje podijeljeno na 4 dijela, spoj stakla na dodir, brtvljen.  
Ukupna veličina zidarskog otvora 390x260 cm, debljina ugradbenog zida dz=20 cm, (zid od armiranog betona 20 cm, parapet od blok opeke 20 cm), L=5, shema unutarnje AL bravarije br.: 5
</t>
  </si>
  <si>
    <t xml:space="preserve">unutarnja  fiksna ostakljena stijena;
veličina zidarskog otvora 200x140 cm, ostakljenje podijeljeno na 3 dijela, spoj stakla na dodir, brtvljen, debljina ugradbenog zida dz=20 cm, (zid od armiranog betona 20 cm, parapet od blok opeke 20 cm) shema unutarnje AL bravarije br.: 8
</t>
  </si>
  <si>
    <t>Sva vrata ugrađuju se sistemom RAL 'suhe' ugradbe i to ovisno o vrsti zidova u koje se stolarija ugrađuje. U zidove od betona i opeke dovratnici  se ugrađuju pomoću metalnih 'slijepih' dovratnika, a u gips kartonske zidove stolarija se ugrađuje u limenu podkonstrukciju za dovratnike ili u posebnu dodatnu konstrukciju ovisno o detalju ugradnje, a sve prema tehničkom uputstvu proizvođača vrata.</t>
  </si>
  <si>
    <t xml:space="preserve">Unutarnje stavke - ostakljenje je jednostruko staklo - lamelirano višeslojno protupožarno staklo.
</t>
  </si>
  <si>
    <t xml:space="preserve">Vanjske stavke - ostakljenje je izo staklo IZO 21+16+4 mm, međuprostor punjen inertnim plinom (argonom ili kriptonom). Vanjsko staklo (21mm) je višeslojno protupožarno staklo.
</t>
  </si>
  <si>
    <r>
      <t>unutarnja  jednokrilna zaokretna puna protupožarna vrata s fiksnim ostakljenim nadsvjetlom, EI</t>
    </r>
    <r>
      <rPr>
        <sz val="9"/>
        <rFont val="Calibri"/>
        <family val="2"/>
      </rPr>
      <t>2</t>
    </r>
    <r>
      <rPr>
        <sz val="10"/>
        <rFont val="Calibri"/>
        <family val="2"/>
        <charset val="238"/>
      </rPr>
      <t xml:space="preserve"> 30-CSm, veličina zidarskog otvora 100x260 cm,   pumpa,  debljina ugradbenog zida dz=20 cm, (zid od armiranog betona 20 cm), L=1, shema protupožarne bravarije br.: 6
</t>
    </r>
  </si>
  <si>
    <r>
      <t>unutarnja  jednokrilna zaokretna puna protupožarna vrata s fiksnim ostakljenim nadsvjetlom, EI</t>
    </r>
    <r>
      <rPr>
        <sz val="9"/>
        <rFont val="Calibri"/>
        <family val="2"/>
      </rPr>
      <t>2</t>
    </r>
    <r>
      <rPr>
        <sz val="10"/>
        <rFont val="Calibri"/>
        <family val="2"/>
        <charset val="238"/>
      </rPr>
      <t xml:space="preserve"> 90-C, veličina zidarskog otvora 100x260 cm,   pumpa,  debljina ugradbenog zida dz=20 cm i 15 cm, (zid od blok opeke 20 cm i 15 cm), D=1, L=1, shema protupožarne bravarije br.: 7
</t>
    </r>
  </si>
  <si>
    <r>
      <t>vanjska jednokrilna zaokretna puna protupožarna vrata, EI</t>
    </r>
    <r>
      <rPr>
        <sz val="9"/>
        <rFont val="Calibri"/>
        <family val="2"/>
      </rPr>
      <t>2</t>
    </r>
    <r>
      <rPr>
        <sz val="10"/>
        <rFont val="Calibri"/>
        <family val="2"/>
        <charset val="238"/>
      </rPr>
      <t xml:space="preserve"> 30-C, pumpa, veličina zidarskog otvora 100x220 cm, debljina ugradbenog zida dz=36 cm, (zid od armiranog betona 20 cm), L=2, shema protupožarne bravarije br.: 2
</t>
    </r>
  </si>
  <si>
    <t>vertikalni fasadni elementi:</t>
  </si>
  <si>
    <t>vrata natkrivenog parkirališta:</t>
  </si>
  <si>
    <r>
      <rPr>
        <b/>
        <sz val="10"/>
        <color indexed="8"/>
        <rFont val="Calibri"/>
        <family val="2"/>
      </rPr>
      <t>Dobava, izrada i ugradnja  vrata natkrivenog parkirališta</t>
    </r>
    <r>
      <rPr>
        <sz val="10"/>
        <color indexed="8"/>
        <rFont val="Calibri"/>
        <family val="2"/>
      </rPr>
      <t xml:space="preserve"> koja se sastoje od:
pješačkih jednokrilnih vrata i dvokrilnih vrata za vozila</t>
    </r>
  </si>
  <si>
    <t xml:space="preserve">Čelični profili  i ispuna su vruće cinčani i prašno plastificirani. 
</t>
  </si>
  <si>
    <t xml:space="preserve">Završne obrade i boje profila i ispune po odabiru projektanta.
</t>
  </si>
  <si>
    <t xml:space="preserve">Vrata se se sastoje od vertikalnih i horizontalnih čeličnih profila koji čine okvir krila  i dovratnika te ispune krila od  mreže kvadratnih okna.
Vratna krila za vozila dodatno imaju dijagonalni čelični profil za ukrutu.
</t>
  </si>
  <si>
    <t xml:space="preserve">Ispuna valovitim mrežama je od valovite isprepletene mreže kvadratnih okna, veličine okna (osna veličina) i debljine žice:
- 40 x 40 x 4 mm
Ispuna je varena na okvir od čeličnih profila.
</t>
  </si>
  <si>
    <t xml:space="preserve">Vrata za vozila - okov za zaokretno otvaranje, kvaka, brava sa štitnicima s 3 ključa,  3 vratne petlje, mogućnost otvaranja ručni te elektomotorom na daljinsko otvaranje.
</t>
  </si>
  <si>
    <r>
      <rPr>
        <b/>
        <sz val="10"/>
        <color indexed="8"/>
        <rFont val="Calibri"/>
        <family val="2"/>
      </rPr>
      <t>Dobava, izrada i ugradnja  vertikalnih fasadnih elemenata na vanjskim natkrivenim terasama i otvorima</t>
    </r>
    <r>
      <rPr>
        <sz val="10"/>
        <color indexed="8"/>
        <rFont val="Calibri"/>
        <family val="2"/>
        <charset val="238"/>
      </rPr>
      <t xml:space="preserve">.
</t>
    </r>
  </si>
  <si>
    <t xml:space="preserve">Čelični profili su vruće cinčani i prašno plastificirani. 
</t>
  </si>
  <si>
    <t xml:space="preserve">Na dio fasadnih elemenata na katu se montira  horizontalni rukohvat iz stavke B.7.4.
</t>
  </si>
  <si>
    <t>ograde i rukohvati:</t>
  </si>
  <si>
    <r>
      <rPr>
        <b/>
        <sz val="10"/>
        <color indexed="8"/>
        <rFont val="Calibri"/>
        <family val="2"/>
      </rPr>
      <t>Dobava, izrada i ugradnja ograde na vanjskim natkrivenim terasama i otvorima</t>
    </r>
    <r>
      <rPr>
        <sz val="10"/>
        <color indexed="8"/>
        <rFont val="Calibri"/>
        <family val="2"/>
        <charset val="238"/>
      </rPr>
      <t xml:space="preserve">.
</t>
    </r>
  </si>
  <si>
    <t xml:space="preserve">Rukohvate vezati s horizontalnim rukohvatom iz stavke B.7.4.
</t>
  </si>
  <si>
    <t>Elementi ograde su odgovarajuće vijcima pričvršćeni na konstrukciju i međusobno preko čeličnih profila i pločica sidrenih u  armiranobetonsku konstrukciju. Rubni profili su spojnim elementima povezani sa susjednim bravarskim stavkama.</t>
  </si>
  <si>
    <t xml:space="preserve">U cijenu uključiti kompletnu izradu, radioničku dokumentaciju, dobavu i dostavu na gradilište, montažu okova i spojnih elemenata, izvedbu svih potrebnih ukruta, potkonstrukcije, ugradnju, zaštitu u tijeku ugradnje, sve do pune funkcionalnosti. Svi spojni elementi su vruće cinčani.
</t>
  </si>
  <si>
    <r>
      <rPr>
        <b/>
        <sz val="10"/>
        <color indexed="8"/>
        <rFont val="Calibri"/>
        <family val="2"/>
      </rPr>
      <t>Dobava, izrada i ugradnja rukohvata na vanjskim natkrivenim terasama.</t>
    </r>
    <r>
      <rPr>
        <sz val="10"/>
        <color indexed="8"/>
        <rFont val="Calibri"/>
        <family val="2"/>
        <charset val="238"/>
      </rPr>
      <t xml:space="preserve">
</t>
    </r>
  </si>
  <si>
    <t xml:space="preserve">Rukohvat se montira na fasadne vertikalne elemente iz stavke B.7.2.b i B.7.2.c.
Rukohvate vezati s horizontalnim rukohvatom iz stavke B.7.3.
</t>
  </si>
  <si>
    <t>Elementi su odgovarajuće vijcima pričvršćeni na vertikalne elemente i međusobno preko čeličnih profila i pločica. Rubni profili su spojnim elementima povezani sa susjednim bravarskim stavkama.</t>
  </si>
  <si>
    <r>
      <rPr>
        <b/>
        <sz val="10"/>
        <color indexed="8"/>
        <rFont val="Calibri"/>
        <family val="2"/>
      </rPr>
      <t>Dobava, izrada i ugradnja rukohvata na vanjskom stubištu.</t>
    </r>
    <r>
      <rPr>
        <sz val="10"/>
        <color indexed="8"/>
        <rFont val="Calibri"/>
        <family val="2"/>
        <charset val="238"/>
      </rPr>
      <t xml:space="preserve">
</t>
    </r>
  </si>
  <si>
    <r>
      <rPr>
        <b/>
        <sz val="10"/>
        <color indexed="8"/>
        <rFont val="Calibri"/>
        <family val="2"/>
      </rPr>
      <t>Dobava, izrada i ugradnja rukohvata na unutarnjem stubištu.</t>
    </r>
    <r>
      <rPr>
        <sz val="10"/>
        <color indexed="8"/>
        <rFont val="Calibri"/>
        <family val="2"/>
        <charset val="238"/>
      </rPr>
      <t xml:space="preserve">
</t>
    </r>
  </si>
  <si>
    <t xml:space="preserve">Rukohvat se sastoji od:
- čelične cijevi promjera 40 mm / 3mm
 </t>
  </si>
  <si>
    <r>
      <rPr>
        <b/>
        <sz val="10"/>
        <color indexed="8"/>
        <rFont val="Calibri"/>
        <family val="2"/>
      </rPr>
      <t>Dobava, izrada i ugradnja ograde uz unutarnje stubište</t>
    </r>
    <r>
      <rPr>
        <sz val="10"/>
        <color indexed="8"/>
        <rFont val="Calibri"/>
        <family val="2"/>
        <charset val="238"/>
      </rPr>
      <t xml:space="preserve">.
</t>
    </r>
  </si>
  <si>
    <t xml:space="preserve">Završne obrade i boje profila po odabiru projektanta.
</t>
  </si>
  <si>
    <t xml:space="preserve">Ljestve se sastoje od vertikalnih i horizontalnih čeličnih profila. 
</t>
  </si>
  <si>
    <r>
      <t xml:space="preserve">ljestve za krov , širine 60 cm i </t>
    </r>
    <r>
      <rPr>
        <sz val="10"/>
        <rFont val="Calibri"/>
        <family val="2"/>
        <charset val="238"/>
      </rPr>
      <t>ukupne visine 470 cm</t>
    </r>
  </si>
  <si>
    <t xml:space="preserve">Prečke ljestava moraju biti od okruglog profila promjera najmanje 1,6 cm i dobro učvršćene odnosno zavarene za stranice ljestava na vertikalnom razmaku od najviše 30 cm.
Duljina prečki između stranca ljestava ne smije biti manja od 40 cm.
Ljestve nemaju leđobran, nego je predviđeno da se osobe penju između ljestava i zida. Razmak između prečke ljestava i zida mora iznositi 70 do 80 cm.
Ljestve moraju biti kruto vezane s konstrukcijom zgrade u razmacima ne većim od 3,0 m.
Od površine zida odnosno stupa biti udaljene najmanje 16 cm.
</t>
  </si>
  <si>
    <r>
      <rPr>
        <b/>
        <sz val="10"/>
        <color indexed="8"/>
        <rFont val="Calibri"/>
        <family val="2"/>
      </rPr>
      <t>Dobava, izrada i ugradnja čelične panel žičane ograde</t>
    </r>
    <r>
      <rPr>
        <sz val="10"/>
        <color indexed="8"/>
        <rFont val="Calibri"/>
        <family val="2"/>
        <charset val="238"/>
      </rPr>
      <t xml:space="preserve">, visine 150 cm, oko parcele, koja se sastoji od:
</t>
    </r>
  </si>
  <si>
    <t xml:space="preserve"> - Panela širine 200-250 cm i visine 150 cm. Izrađeni od pocinčane žice promjera 5 mm i završnog sloja poliestera (min. 100 mikrona). 
</t>
  </si>
  <si>
    <t>Obračun po komadu i m1, shema bravarije br: 16.</t>
  </si>
  <si>
    <t xml:space="preserve">ogradne paneli, visine 150 cm, širine 200-250 cm, s kompletnim priborom
</t>
  </si>
  <si>
    <t>Obračun po komadu, shema bravarije br: 17.</t>
  </si>
  <si>
    <t xml:space="preserve">Okov iz proizvodnog programa ograde, tip i vrsta prema odabiru projektanta. Okov  uključuje: 3 vratne petlje, kvaku, bravu sa štitnicima i ključ, jedno vratno krilo je sa zasunom u pod, sve kompletno.
</t>
  </si>
  <si>
    <r>
      <rPr>
        <b/>
        <sz val="10"/>
        <color indexed="8"/>
        <rFont val="Calibri"/>
        <family val="2"/>
      </rPr>
      <t>Dobava, izrada i ugradnja  dvokrilnih ogradnih vrata za pješake</t>
    </r>
    <r>
      <rPr>
        <sz val="10"/>
        <color indexed="8"/>
        <rFont val="Calibri"/>
        <family val="2"/>
      </rPr>
      <t xml:space="preserve"> koja se sastoje od:</t>
    </r>
  </si>
  <si>
    <t>dvokrilna vrata za pješake, ukupne širine š=200 cm, visine h=150 cm, D=1</t>
  </si>
  <si>
    <r>
      <rPr>
        <b/>
        <sz val="10"/>
        <color indexed="8"/>
        <rFont val="Calibri"/>
        <family val="2"/>
      </rPr>
      <t>Dobava, izrada i ugradnja  dvokrilnih ogradnih vrata za vozila</t>
    </r>
    <r>
      <rPr>
        <sz val="10"/>
        <color indexed="8"/>
        <rFont val="Calibri"/>
        <family val="2"/>
      </rPr>
      <t xml:space="preserve"> koja se sastoje od:</t>
    </r>
  </si>
  <si>
    <t xml:space="preserve">Okov iz proizvodnog programa ograde, tip i vrsta prema odabiru projektanta. Okov  uključuje: po 3 vratne petlje, kvaku, bravu sa štitnicima i ključ, kotačiće, jedno vratno krilo je sa zasunom u pod, sve kompletno.
</t>
  </si>
  <si>
    <t>Obračun po komadu, shema bravarije br: 18.</t>
  </si>
  <si>
    <t>Obračun po komadu, shema bravarije br: 19.</t>
  </si>
  <si>
    <t>B.7.10.</t>
  </si>
  <si>
    <t>B.7.11.</t>
  </si>
  <si>
    <t>B.7.12.</t>
  </si>
  <si>
    <t>B.7.13.</t>
  </si>
  <si>
    <t>Nanošenje boja izvodi se u slijedećim fazama: 
1. - treba izravnati neravnine na zidovima, a prije nanošenja glet mase za izravnavanje zid obavezno dezinficirati i impregnirati protiv algi i pljesni; 
2. - na ravnu i očišćenu površinu nanjeti odgovarajući temeljni premaz; 
3. - bojanje zidova u 2 premaza (temperatura prostora za vrijeme rada mora biti u granicama +5° do +35° Celzijusa).</t>
  </si>
  <si>
    <r>
      <rPr>
        <b/>
        <sz val="10"/>
        <color indexed="8"/>
        <rFont val="Calibri"/>
        <family val="2"/>
      </rPr>
      <t>Dobava  materijala i bojenje disperzivnom visokopokrivnom bojom</t>
    </r>
    <r>
      <rPr>
        <sz val="10"/>
        <color indexed="8"/>
        <rFont val="Calibri"/>
        <family val="2"/>
        <charset val="238"/>
      </rPr>
      <t xml:space="preserve"> koja propušta paru, za unutrašnje radove, svih betonskih i/ili ožbukanih zidova, u dva premaza. Prebojene površine otporne su na "suho trljanje". Vrsta i ton boje prema odabiru projektanta. Visina zidova preko 3,00 m.</t>
    </r>
  </si>
  <si>
    <t xml:space="preserve">dobava zidnih keramičkih pločica u wc-ima (prostorije F.3, F.9.1., F.9.2.)  (neto količina) - 10 x 10 x 1 cm, visina opločenja 220 cm
</t>
  </si>
  <si>
    <t>otirač dimenzija 262 x 442 cm</t>
  </si>
  <si>
    <t>otirač dimenzija 150 x 60 cm</t>
  </si>
  <si>
    <t>otirač dimenzija 110 x 60 cm</t>
  </si>
  <si>
    <t>spojni profil između dvije različite elastične podne obloge, L oblika, nehrđajući čelik, visina 
profila do H=10 mm</t>
  </si>
  <si>
    <t>spojni profil na dilatacijskoj reški između dilatacije 1 i dilatacije 2</t>
  </si>
  <si>
    <t xml:space="preserve">Slijedećih karakteristika: 
- tlačna čvrstoća (24 sata): &gt; 20 MPa (EN 13892-2 ili jednakovrijedna ___________________), 
- tlačna čvrstoća (28 dana): &gt; 40 MPa (EN 13892-2 ili jednakovrijedna ___________________), 
- savojna čvostoća (24 sata): &gt; 3 MPa (EN 13892-2 ili jednakovrijedna __________________), 
- savojna čvrstoća (24 sata): &gt; 10 MPa (EN 13892-2 ili jednakovrijedna __________________). 
</t>
  </si>
  <si>
    <t xml:space="preserve">Završna obrada sa dvokomponentnom epoksidnom smolom na vodenoj bazi. 
Premaz se nanosi na podlogu u dva sloja valjkom/ četkom, slijedećih karakteristika: udio suhe tvari: min. 70% (težinski). Za postizanje protukliznosti, prvi sloje se na svježe posipava sa kvarcnim pijeskom odgovarajuće granulacije i protukliznosti.
</t>
  </si>
  <si>
    <t>Izvodi se prema uputama isporučitelja tehnologije, a sastoji se od dobave i ugradnje sustava. Kod izvođenja radova u svemu se pridržavati uputa iz tehničkih listova proizvođača.
Stavka uključuje dobavu i izradu svih slojeva, predradnje, sve prema uputama proizvođača. Sve radove izvoditi prema uputama proizvođača. Svi proizvodi trebaju biti kompatibilni. Potvrdu kompatibilnosti dostaviti nadzornom inžinjeru.  
U cijenu uključiti sav potreban rad i materijal.
Obračun po m2 i m1.</t>
  </si>
  <si>
    <t xml:space="preserve">Boja i tekstura po odabiru projektanta. Odabrani izvođač je dužan napraviti 2-3 probna polja, u dogovoru sa projektantom, u svrhu konačnog odabira boje, teksture i protukliznosti.  
</t>
  </si>
  <si>
    <t>epoksi podni sustav - pod, unutarnji prostori</t>
  </si>
  <si>
    <t>epoksi podni sustav - pod, vanjski prostori</t>
  </si>
  <si>
    <t xml:space="preserve">Proizvođač:
____________________________________
</t>
  </si>
  <si>
    <t xml:space="preserve">Ponuđeni proizvod:
____________________________________
</t>
  </si>
  <si>
    <t xml:space="preserve">Proizvodi tip kao Sikafloor Level 30 i Sikafloor 2510W ili jednakovrijedni. Kriteriji jednakovrijednosti su opisani u stavci.
</t>
  </si>
  <si>
    <t>epoksi podni sustav - pod, unutarnji prostori, stubište</t>
  </si>
  <si>
    <t>epoksi podni sustav - pod, vanjski prostori, stubište</t>
  </si>
  <si>
    <t xml:space="preserve">Stavka uključuje izvedbu zaobljenih rubnih završetaka uz zidove - holkera. Holkeri se izvode prema tehničkim uputama proizvođača sustava i detalju projektanta, obavezno dilatirani od nosive konstrukcije kako bi se spriječilo "pucanje".
Izrada holkera na spoju horizontale i vertikale koristeći gotove profile ili mješavinu epoksidne smole, kvarcnog pijeska i uguščivača. </t>
  </si>
  <si>
    <r>
      <rPr>
        <b/>
        <sz val="10"/>
        <rFont val="Calibri"/>
        <family val="2"/>
      </rPr>
      <t>Priprema podloge, dobava i izrada do pune funkcije, epoksi podnog sustava</t>
    </r>
    <r>
      <rPr>
        <sz val="10"/>
        <rFont val="Calibri"/>
        <family val="2"/>
        <charset val="238"/>
      </rPr>
      <t xml:space="preserve">, debljine 3-5 mm, u unutarnjem i vanjskom prostoru. 
Podloga: 
-gornja površina cementnog estriha (unutarnji prostor)
-gornja površina armiranobetonske ploče zaglađena kvarcnim posipom (vanjski prostor). 
</t>
    </r>
  </si>
  <si>
    <r>
      <rPr>
        <b/>
        <sz val="10"/>
        <rFont val="Calibri"/>
        <family val="2"/>
      </rPr>
      <t>Priprema podloge, dobava i izrada do pune funkcije, višeslojnog viskooelastičnog sustava na bazi akrilnih ili poliuretanskih smola za multifunkcionalne sportske terene</t>
    </r>
    <r>
      <rPr>
        <sz val="10"/>
        <rFont val="Calibri"/>
        <family val="2"/>
        <charset val="238"/>
      </rPr>
      <t xml:space="preserve">, ukupne debljine cca. 5 do 7 mm. 
Izvodi se na podu vanjskih natkrivenih terasa. Podloga: gornja površina armiranobetonske ploče zaglađena kvarcnim posipom. 
Premaz otporan na visokootporne kemikalije, sol, dinamička i statička opterećenja, habanje, smrzavicu i sl. te odgovarajuće protukliznosti.
</t>
    </r>
  </si>
  <si>
    <t xml:space="preserve">Premaz otporan na visokootporne kemikalije, sol, dinamička i statička opterećenja, habanje, smrzavicu i sl. te odgovarajuće protukliznosti.
</t>
  </si>
  <si>
    <t xml:space="preserve">- Lijepljenje gumene podloge dvokomponentnim  ljepilom za vanjske prostore.
</t>
  </si>
  <si>
    <t xml:space="preserve">- Na zaljepljenu gumenu podlogu, nanosi se temeljni premaz,  te se nakon sušenja nanosi temeljni sloj u dva premaza. Nakon sušenja, nanosi se završni premaz u tri sloja te nanošenje boje za srednje brzu podlogu u dva sloja. Po potrebi iscrtavanje linija s posebnim namjenskim premazom. 
</t>
  </si>
  <si>
    <t>sustav na bazi akrilnih ili poliuretanskih smola za multifunkcionalne sportske terene</t>
  </si>
  <si>
    <t>PE folija</t>
  </si>
  <si>
    <t>spušteni strop od od akustičnih ploča, 12,5 mm, visina ovješenja do 10 cm [K.1a]</t>
  </si>
  <si>
    <t>spušteni strop od od akustičnih ploča, 12,5 mm, visina ovješenja do 20 cm [K.2a]</t>
  </si>
  <si>
    <t>kamena vuna, d=15 cm [K.2a; dio K.1b]</t>
  </si>
  <si>
    <t>spušteni strop od od akustičnih ploča, 12,5 mm, visina ovješenja do 10-100 cm [K.1b, dio K.1a]</t>
  </si>
  <si>
    <t>spušteni strop od GKB, 12,5 mm, visina ovješenja do 45 cm</t>
  </si>
  <si>
    <t>spušteni strop od GKB, 12,5 mm, visina ovješenja  od 25 do 205 cm</t>
  </si>
  <si>
    <t xml:space="preserve">Visina ovješenja: do 45 cm; od 25 do 205 cm. </t>
  </si>
  <si>
    <t>spušteni strop od GKB-I, 12,5 mm, visina ovješenja do 45 cm</t>
  </si>
  <si>
    <t>- impregnirane gipskartonske ploče, 2x12,5 mm
- zidni i rubni pocinčani profili š=50 mm 
- MW d=50 mm, unutar profila</t>
  </si>
  <si>
    <t xml:space="preserve">Ploče se izvode od impregniranih gipskartonskih ploča GKB-I.
</t>
  </si>
  <si>
    <r>
      <rPr>
        <b/>
        <sz val="10"/>
        <color indexed="8"/>
        <rFont val="Calibri"/>
        <family val="2"/>
      </rPr>
      <t>Izrezivanje i obrada otvora u spuštenim stropovima</t>
    </r>
    <r>
      <rPr>
        <sz val="10"/>
        <color indexed="8"/>
        <rFont val="Calibri"/>
        <family val="2"/>
        <charset val="238"/>
      </rPr>
      <t xml:space="preserve"> za instalacije rasvjete, usisa/isisa zraka, požarnih elemenata i ostalih prodora koje iziskuju instalacije.</t>
    </r>
  </si>
  <si>
    <t xml:space="preserve">Obračun po komadu. Količina procjenjena, konačna količina prema izvedbenom stanju.
</t>
  </si>
  <si>
    <t xml:space="preserve">izrezivanje i obrada otvora oko krovnog prozora, otvor promjera 120 x 120 cm
</t>
  </si>
  <si>
    <t>Rezani rubovi i spojevi između ploča se obavezno obrađuju s bandažnom trakom. Kod dvostruke obloge potrebno je ispuniti spojeve prvog sloja ploča, a spojeve drugog sloja ploča treba temeljito završno obraditi. Vidljive glave vijaka treba isto tako pregletati i završno obraditi. Prije završne obrade površinu ploče premazati zaštitnim premazom - sve prema uputi proizvođača.</t>
  </si>
  <si>
    <t>vanjski strop:</t>
  </si>
  <si>
    <t xml:space="preserve">Dobava materijala i montaža obloge cementnim pločama za vanjsku primjenu.
</t>
  </si>
  <si>
    <t>Obloga je izvedena je od cementnih ploča za vanjsku primjenu, d=12,5 mm. Obloga se izvodi na odgovarajućoj potkonstrukciji od pocinčanih čeličnih profila pričvršćenih na AB strop.
Ploče se međusobno lijepe odgovarajućim ljepilom, a sve se zajedno pričvršćuje vijcima na odgovarajuće profile. Sve prema posebnom detalju proizvođača sustava. Obloga pripremljena za izvedbu završnog sloja fasade (silikonska žbuka).</t>
  </si>
  <si>
    <t>Visina ovješenja: od 15 cm do 20 cm.</t>
  </si>
  <si>
    <t>kamena vuna, d=8 cm</t>
  </si>
  <si>
    <t>Izvodi se vertikalna ploha visine do 130 cm te gornja horizontalna ploha širine do 25 cm.</t>
  </si>
  <si>
    <t xml:space="preserve">Dobava materijala i montaža gipskartonskog pregradnog zida, na pocinčanim zidnim i rubnim profilima š=50-75-100 mm, t=0,6 mm, razmak između nosivih profila 62,5 cm, nenosiva, kruta izvedba okolnih spojeva, obloga je izvedena od gipskartonskih ploča, d=2x12,5 mm, dvoslojna, obostrana. Odgovarajuće konstrukcijski povezati u sa zidom na kojem se nalazi.
</t>
  </si>
  <si>
    <t xml:space="preserve">Izvode se od impregniranih gipskartonskih ploča GKB-I.
</t>
  </si>
  <si>
    <t>Gipskartonska obloga oko sanitarnih elemenata u sklopu gipskartonskih zidova (instalacijski zid u sanitarijama).</t>
  </si>
  <si>
    <t xml:space="preserve">Rezani rubovi i spojevi između gipskartonskih ploča se obavezno obrađuju s bandažnom trakom. Potrebno je ispuniti spojeve sloja ploča, a površinu ploča treba temeljito završno obraditi. Vidljive glave vijaka treba isto tako pregletati i završno obraditi. Prije završne obrade površinu ploče premazati zaštitnim premazom - sve prema uputi proizvođača.
Površina GK ploča pripremljena za ljepljenje keramičkih pločica.
</t>
  </si>
  <si>
    <t>impregnirane gipskartonske ploče d=2x12,5 mm, visina do 130 cm</t>
  </si>
  <si>
    <t>B.12.8.</t>
  </si>
  <si>
    <t>B.12.9.</t>
  </si>
  <si>
    <r>
      <rPr>
        <b/>
        <sz val="10"/>
        <color indexed="8"/>
        <rFont val="Calibri"/>
        <family val="2"/>
      </rPr>
      <t xml:space="preserve">Bušenje armiranobetonske stropne ploče i zidova </t>
    </r>
    <r>
      <rPr>
        <sz val="10"/>
        <color indexed="8"/>
        <rFont val="Calibri"/>
        <family val="2"/>
        <charset val="238"/>
      </rPr>
      <t xml:space="preserve">debljine d=20 cm  za prolaz cijevi klimatizacije, vodovoda i odvodnje i elektroinstalacija. Rupe se buše naknadno, položaj rupa prema projektima instalacija.
</t>
    </r>
  </si>
  <si>
    <t>vatrogasni aparat oznake F-2, (25F - 3JG)</t>
  </si>
  <si>
    <r>
      <rPr>
        <b/>
        <sz val="10"/>
        <color indexed="8"/>
        <rFont val="Calibri"/>
        <family val="2"/>
      </rPr>
      <t xml:space="preserve">Nabava, doprema i postava opreme vanjskog dječjeg igrališta - ljuljačke s gnijezdom, za vrtićki uzrast. </t>
    </r>
    <r>
      <rPr>
        <sz val="10"/>
        <rFont val="Calibri"/>
        <family val="2"/>
        <charset val="238"/>
      </rPr>
      <t xml:space="preserve">
Okvirne dimenzije: 
290-380 x 185-220 x 220-240 cm 
(širina x dužina x visina).</t>
    </r>
    <r>
      <rPr>
        <sz val="10"/>
        <color indexed="8"/>
        <rFont val="Calibri"/>
        <family val="2"/>
        <charset val="238"/>
      </rPr>
      <t xml:space="preserve">
</t>
    </r>
  </si>
  <si>
    <t>Osnovna konstrukcija izvedena od 4 drvenih greda (stupova) vezanih uzdužno metalnom konstrukcijom.</t>
  </si>
  <si>
    <t>ljuljačka s gnijezdom, za vrtićki uzrast</t>
  </si>
  <si>
    <t>Ploha njihalice u obliku stilizirane životinjske siluete, 2 različite vrste (npr. konja, krokodil, motocikl...).</t>
  </si>
  <si>
    <r>
      <rPr>
        <b/>
        <sz val="10"/>
        <color indexed="8"/>
        <rFont val="Calibri"/>
        <family val="2"/>
      </rPr>
      <t xml:space="preserve">Nabava, doprema i postava opreme vanjskog dječjeg igrališta - kombinirana sprava za jaslički uzrast.
</t>
    </r>
    <r>
      <rPr>
        <sz val="10"/>
        <color indexed="8"/>
        <rFont val="Calibri"/>
        <family val="2"/>
      </rPr>
      <t xml:space="preserve">Okvirne dimenzije: 
</t>
    </r>
    <r>
      <rPr>
        <sz val="10"/>
        <color indexed="8"/>
        <rFont val="Calibri"/>
        <family val="2"/>
      </rPr>
      <t>200-300 x 350-450 x 150-250 cm 
(širina x dužina x visina).</t>
    </r>
    <r>
      <rPr>
        <sz val="10"/>
        <color indexed="8"/>
        <rFont val="Calibri"/>
        <family val="2"/>
        <charset val="238"/>
      </rPr>
      <t xml:space="preserve">
</t>
    </r>
  </si>
  <si>
    <t xml:space="preserve">Temeljni element - podnožje stupa je od čelične cijevi sa bazom koja se sidri u temelj. Antikorozivno je zaštićeno postupkom vrućeg cinčanja. 
Temelji se u betonske temelje (temelji 3 x 40/80/50 cm + 7 x 40/40/50 cm - obračunati u armiranobetonskim radovima).
</t>
  </si>
  <si>
    <t xml:space="preserve">Klizna ploha tobogana je od:
- nehrđajućeg čelika debljine 2,0 mm
ili
- poliestera
ili 
- HPL materijala, u boji, UV stabilan
</t>
  </si>
  <si>
    <t xml:space="preserve">Ograda je od:
- metalna od cijevnih profila -  vruće cinčanih plastificiranih ili od nehrđajučeg čelika
ili
drvena od impregniranog ljepljenog laminiranog drva (drvo visokokvalitetno - nordijski bor i mora biti zaštićeno vodootpornom zaštitom koja ne sadrži škodljive komponente neopasna je za ljude)
</t>
  </si>
  <si>
    <t>kombinirana sprava za jaslički uzrast</t>
  </si>
  <si>
    <t>Bočne stranice tobogan, stubišta i penjalice su od:
- impregniranog ljepljenog laminiranog drva
(drvo visokokvalitetno - nordijski bor i mora biti zaštićeno vodootpornom zaštitom koja ne sadrži škodljive komponente neopasna je za ljude)
ili
- visokovrijednog drva (mahgonij, ariš, tikovina...)
ili
- HPL materijala, u boji, UV stabilan
ili
- HDPE materijala, u boji, UV stabilan</t>
  </si>
  <si>
    <t xml:space="preserve">Penjalica i krov je od:
- HPL materijala, u boji, UV stabilan
ili 
- impregniranog ljepljenog laminiranog drva
(drvo visokokvalitetno - nordijski bor i mora biti zaštićeno vodootpornom zaštitom koja ne sadrži škodljive komponente neopasna je za ljude)
</t>
  </si>
  <si>
    <t xml:space="preserve">Sjedala su od:
- HDPE materijala, u boji, UV stabilan
ili
- HPL materijala, u boji, UV stabilan
</t>
  </si>
  <si>
    <t>kombinirana sprava za vrtićki uzrast</t>
  </si>
  <si>
    <r>
      <rPr>
        <b/>
        <sz val="10"/>
        <color indexed="8"/>
        <rFont val="Calibri"/>
        <family val="2"/>
      </rPr>
      <t xml:space="preserve">Nabava, doprema i postava opreme vanjskog dječjeg igrališta - kombinirana sprava zavrtićki uzrast.
</t>
    </r>
    <r>
      <rPr>
        <sz val="10"/>
        <color indexed="8"/>
        <rFont val="Calibri"/>
        <family val="2"/>
      </rPr>
      <t>Okvirne dimenzije: 
200-300 x 350-450 x 150-250 cm 
(širina x dužina x visina).</t>
    </r>
    <r>
      <rPr>
        <sz val="10"/>
        <color indexed="8"/>
        <rFont val="Calibri"/>
        <family val="2"/>
        <charset val="238"/>
      </rPr>
      <t xml:space="preserve">
</t>
    </r>
  </si>
  <si>
    <t xml:space="preserve">Stepenice, most i platforme su od:
- impregniranog ljepljenog laminiranog drva
(drvo visokokvalitetno - nordijski bor i mora biti zaštićeno vodootpornom zaštitom koja ne sadrži škodljive komponente i neopasna je za ljude)
ili
- visokovrijednog drva (mahagonij, ariš, tikovina...)
</t>
  </si>
  <si>
    <t xml:space="preserve">Sastoji se od:
- konstruktivnih elemenata (stupova i greda) s temeljnim elementima
- pristupnog stepeništa
- mosta
- platforme s krovom
- platforme bez krova
- ograde
- tobogana
- penjalice
</t>
  </si>
  <si>
    <t xml:space="preserve">Sastoji se od:
- konstruktivnih elemenata (stupova i greda) s temeljnim elementima
- vertikalne penjalice
- kose penjalice od konopa
- platforme s krovom
- platforme bez krova
- ograde 
- tobogana
</t>
  </si>
  <si>
    <t xml:space="preserve">Temeljni element - podnožje stupa je od čelične cijevi sa bazom koja se sidri u temelj. Antikorozivno je zaštićeno postupkom vrućeg cinčanja. 
Temelji se u betonske temelje (temelji 1 x 40/80/50 cm + 8 x 40/40/50 cm - obračunati u armiranobetonskim radovima).
</t>
  </si>
  <si>
    <t>Ograda je od:
- metalna od cijevnih profila -  vruće cinčanih plastificiranih ili od nehrđajučeg čelika
ili
drvena od impregniranog ljepljenog laminiranog drva (drvo visokokvalitetno - nordijski bor i mora biti zaštićeno vodootpornom zaštitom koja ne sadrži škodljive komponente neopasna je za ljude)
ili
- visokovrijednog drva (mahagonij, ariš, tikovina...)
ili
- HPL materijala, u boji, UV stabilan</t>
  </si>
  <si>
    <r>
      <rPr>
        <b/>
        <sz val="10"/>
        <color indexed="8"/>
        <rFont val="Calibri"/>
        <family val="2"/>
      </rPr>
      <t>Dobava, izrada i postava vanjske pravokutne drvene klupe be</t>
    </r>
    <r>
      <rPr>
        <b/>
        <sz val="10"/>
        <rFont val="Calibri"/>
        <family val="2"/>
      </rPr>
      <t>z naslona</t>
    </r>
    <r>
      <rPr>
        <sz val="10"/>
        <rFont val="Calibri"/>
        <family val="2"/>
        <charset val="238"/>
      </rPr>
      <t>. Dimenzije 50 x 1440 x 35-40 cm (širina x dužina x visina).</t>
    </r>
    <r>
      <rPr>
        <sz val="10"/>
        <color indexed="8"/>
        <rFont val="Calibri"/>
        <family val="2"/>
        <charset val="238"/>
      </rPr>
      <t xml:space="preserve">
</t>
    </r>
  </si>
  <si>
    <t>Temelji se ankerima u betonske temelje (temelji 9 x 30/50/40 cm - obračunati u armiranobetonskim radovima).</t>
  </si>
  <si>
    <t>pravokutna klupa 50 x 1440 x 35-40 cm</t>
  </si>
  <si>
    <t xml:space="preserve">vodilice za akustične zavjese - za zavjese visine 3,0 m, montaža na gipskartonski spušteni strop
</t>
  </si>
  <si>
    <t xml:space="preserve">dekorativne black-out akustična zavjese, visina zavjesa jednaka visini prostora = 4,0 m
</t>
  </si>
  <si>
    <t xml:space="preserve">vodilice za zavjese - za zavjese visine 4,0 m, montaža na gipskartonski spušteni strop
</t>
  </si>
  <si>
    <r>
      <rPr>
        <b/>
        <sz val="10"/>
        <rFont val="Calibri"/>
        <family val="2"/>
      </rPr>
      <t>Izvedba sloja plodnog tla (humusa) na površine parcele</t>
    </r>
    <r>
      <rPr>
        <sz val="10"/>
        <rFont val="Calibri"/>
        <family val="2"/>
        <charset val="238"/>
      </rPr>
      <t xml:space="preserve"> koja je predviđena za sadnju. 
Plodno tlo nanositi na površine namjenjene sijanju i razastirati, strojno ukopavati u tlo (frezom).
Stavka se odnosi na dopremu i razastiranje prethodno uklonjenog i deponiranog humusa sa čestice (stavka A.3.1. građevinsko-obrtničkih radova).
U cijenu uračunati i pripremu posteljice, planiranje na kotu predviđenu projektom, te zbijanje i fino planiranje zemljane površine prije sijanja trave.
 </t>
    </r>
  </si>
  <si>
    <t>Zasijana površina cca: 2759 m2,  količina: 0,2 m3/m2</t>
  </si>
  <si>
    <t xml:space="preserve">doprema  i razastiranje plodno tlo (humus) za sadnju debljine d=20 cm </t>
  </si>
  <si>
    <t>Kategorija zemljišta odrediti će se prilikom iskopa, a predviđa se "B" kategorija. Obračun po m3 izvedenog iskopa u sraslom tlu.</t>
  </si>
  <si>
    <r>
      <rPr>
        <b/>
        <sz val="10"/>
        <rFont val="Calibri"/>
        <family val="2"/>
        <scheme val="minor"/>
      </rPr>
      <t xml:space="preserve">Strojni iskop </t>
    </r>
    <r>
      <rPr>
        <sz val="10"/>
        <rFont val="Calibri"/>
        <family val="2"/>
        <scheme val="minor"/>
      </rPr>
      <t xml:space="preserve">(cca. 95%) građevinske jame za izvedbu sabirne jame V=103m3, dubine prema kotama na detalju, sa skošenjem stranica iskopa 1:2, odbacivanje iskopanog materijala na plohu dovoljno udaljenu od građevinske jame. 
</t>
    </r>
  </si>
  <si>
    <r>
      <rPr>
        <b/>
        <sz val="10"/>
        <rFont val="Calibri"/>
        <family val="2"/>
        <scheme val="minor"/>
      </rPr>
      <t xml:space="preserve">Strojni iskop </t>
    </r>
    <r>
      <rPr>
        <sz val="10"/>
        <rFont val="Calibri"/>
        <family val="2"/>
        <scheme val="minor"/>
      </rPr>
      <t>(cca. 90%) rova za kanale širine prema detaljnom nacrtu, dubine prema kotama prikazanim u situaciji, uključivo pravilno odsjecanje bočnih strana i dna, odbacivanje iskopanog materijala na najmanje 1,0 metar od rubova iskopa. Komplet sa iskopom za cjevovode i kontrolna okna.</t>
    </r>
  </si>
  <si>
    <r>
      <rPr>
        <b/>
        <sz val="10"/>
        <rFont val="Calibri"/>
        <family val="2"/>
        <scheme val="minor"/>
      </rPr>
      <t xml:space="preserve">Strojni iskop </t>
    </r>
    <r>
      <rPr>
        <sz val="10"/>
        <rFont val="Calibri"/>
        <family val="2"/>
        <scheme val="minor"/>
      </rPr>
      <t xml:space="preserve">(cca. 95%) građevinske jame za izvedbu vodomjernog okna, dimenzija prema kotama na detalju, sa skošenjem stranica iskopa 1:2, odbacivanje iskopanog materijala na plohu dovoljno udaljenu od građevinske jame.
</t>
    </r>
  </si>
  <si>
    <r>
      <rPr>
        <b/>
        <sz val="10"/>
        <rFont val="Calibri"/>
        <family val="2"/>
        <scheme val="minor"/>
      </rPr>
      <t xml:space="preserve">Zatrpavanje zemlje </t>
    </r>
    <r>
      <rPr>
        <sz val="10"/>
        <rFont val="Calibri"/>
        <family val="2"/>
        <scheme val="minor"/>
      </rPr>
      <t xml:space="preserve">materijalom iz iskopa oko izvedene sabirne jame uz strojno nabijanje u slojevima od 30 cm. Obračun po m3. </t>
    </r>
  </si>
  <si>
    <r>
      <rPr>
        <b/>
        <sz val="10"/>
        <rFont val="Calibri"/>
        <family val="2"/>
        <scheme val="minor"/>
      </rPr>
      <t xml:space="preserve">Zatrpavanje zemlje </t>
    </r>
    <r>
      <rPr>
        <sz val="10"/>
        <rFont val="Calibri"/>
        <family val="2"/>
        <scheme val="minor"/>
      </rPr>
      <t xml:space="preserve">materijalom iz iskopa oko izvedene vodomjernog okna uz strojno nabijanje u slojevima od 30 cm. Obračun po m3. </t>
    </r>
  </si>
  <si>
    <t xml:space="preserve">2.9. </t>
  </si>
  <si>
    <t xml:space="preserve">2.10. </t>
  </si>
  <si>
    <t xml:space="preserve">2.11. </t>
  </si>
  <si>
    <r>
      <rPr>
        <b/>
        <sz val="10"/>
        <rFont val="Calibri"/>
        <family val="2"/>
        <scheme val="minor"/>
      </rPr>
      <t xml:space="preserve">Izrada armirano-betonske sabirne jame V=103 m3, </t>
    </r>
    <r>
      <rPr>
        <sz val="10"/>
        <rFont val="Calibri"/>
        <family val="2"/>
        <scheme val="minor"/>
      </rPr>
      <t xml:space="preserve">svijetlih tlocrtnih dimenzija 825 x 500 cm i dubine 250 cm, betonom klase C25/30 s dodatkom aditiva za vodonepropusnost i otpornost prema agresivnim vodama.
</t>
    </r>
  </si>
  <si>
    <t>Revizijsko okno, vel. 100x60/20 cm i srednje dubine cca. 105 cm.</t>
  </si>
  <si>
    <t>beton</t>
  </si>
  <si>
    <t>armatura</t>
  </si>
  <si>
    <t>Obračun po m3 ugrađenog betona, kg ugrađene armature.</t>
  </si>
  <si>
    <t xml:space="preserve">Betonsku ploču je predviđeno obostarno armirati s mrežama B 500 B, Q335. Predviđena količina armature je cca. 100 kg/m³ ugrađenog betona. 
Stavka uključuje nabavu, dopremu i ugradnju armature, te nabavu, dopremu montažu i demontažu oplate kao i sve potrebne radnje.
</t>
  </si>
  <si>
    <r>
      <rPr>
        <b/>
        <sz val="10"/>
        <rFont val="Calibri"/>
        <family val="2"/>
        <charset val="238"/>
        <scheme val="minor"/>
      </rPr>
      <t>Izrada priključka postojeće cijevi drenaže</t>
    </r>
    <r>
      <rPr>
        <sz val="10"/>
        <rFont val="Calibri"/>
        <family val="2"/>
        <scheme val="minor"/>
      </rPr>
      <t xml:space="preserve"> dvorane osnovne škole na novi sustav oborinske odvodnje. betonsku cijev  sustava oborinske odvodnje.
U stavku uračunati sve potrebne radove na izradi priključka. Obračun po kompletu.</t>
    </r>
  </si>
  <si>
    <t>Obračun po kompletu.</t>
  </si>
  <si>
    <t>redukcija d110/160</t>
  </si>
  <si>
    <r>
      <rPr>
        <b/>
        <sz val="10"/>
        <rFont val="Calibri"/>
        <family val="2"/>
      </rPr>
      <t>Dobava i montaža kanala za linijsku odvodnju oborinskih voda</t>
    </r>
    <r>
      <rPr>
        <sz val="10"/>
        <rFont val="Calibri"/>
        <family val="2"/>
      </rPr>
      <t xml:space="preserve"> V 150, klase opterećenja C250. Kanal je izrađen iz vodonepropusnog polimerbetona P građevinske visine 210 - 310 mm. Svjetla širina kanala je 150 mm, građevinska širina 185 mm, građevinska dužina 100 cm. Rubovi kanala ojačani su kutnikom od pocinčanog čelika debljine 4 mm koji služi kao dosjed za polaganje pokrovne rešetke. Kanal se izvodi polaganjem na betonsku podlogu marke C25/30 debljine sloja 15 cm,a kanal je potrebno bočno založiti betonom. Gornji rub  rešetke se izvodi u razini 2-5 mm ispod kote gotove završne okolne površine .Sve sa priborom za montažu do potpune funkcionalnosti. Tipska pokrovna rešetka klase opterećenja C250 - model prema izboru investitora
Obračun po m1. </t>
    </r>
  </si>
  <si>
    <t>linijska rešetka L=1400 cm</t>
  </si>
  <si>
    <t>linijska rešetka L=1050 cm</t>
  </si>
  <si>
    <t>5.6.</t>
  </si>
  <si>
    <t>5.7.</t>
  </si>
  <si>
    <t>VANJSKA INSTALACIJA OBORINSKE ODVODNJE</t>
  </si>
  <si>
    <t>VANJSKA INSTALACIJA OBORINSKE ODVODNJE UKUPNO:</t>
  </si>
  <si>
    <t>VANJSKA INSTALACIJA FEKALNE ODVODNJE</t>
  </si>
  <si>
    <t>račva 45⁰ d110/160</t>
  </si>
  <si>
    <t>račva 87⁰ d110/160</t>
  </si>
  <si>
    <t>separator masti q=4,0 l/s</t>
  </si>
  <si>
    <r>
      <rPr>
        <b/>
        <sz val="10"/>
        <rFont val="Calibri"/>
        <family val="2"/>
        <scheme val="minor"/>
      </rPr>
      <t xml:space="preserve">Ispitivanje vanjske instalacije fekalne odvodnje </t>
    </r>
    <r>
      <rPr>
        <sz val="10"/>
        <rFont val="Calibri"/>
        <family val="2"/>
        <scheme val="minor"/>
      </rPr>
      <t xml:space="preserve">na protočnost i  vodonepropusnost sa izdavanjem atesta. Obračun po m1. </t>
    </r>
  </si>
  <si>
    <t>VANJSKA INSTALACIJA FEKALNE ODVODNJE UKUPNO:</t>
  </si>
  <si>
    <t>- prirubnički adapter LJ.Ž. DN60/ PEHD d75  - kom 1</t>
  </si>
  <si>
    <t>- T komad DN 60/60  - kom 1</t>
  </si>
  <si>
    <t>- FFR komad DN 50/60  - kom 2</t>
  </si>
  <si>
    <t>- FFG komad DN 50, L=200mm  - kom 2</t>
  </si>
  <si>
    <t>- EV zasun DN 50  - kom 6</t>
  </si>
  <si>
    <t>- hvatač nečistoće DN 50  - kom 2</t>
  </si>
  <si>
    <t>- kompenzacija MDK DN 50  - kom 2</t>
  </si>
  <si>
    <t>- FFG komad DN 50, L=400mm  - kom 2</t>
  </si>
  <si>
    <t>- vodomjer tip WS DN 50  - kom 1</t>
  </si>
  <si>
    <t>- vodomjer tip WPV DN 50  - kom 1</t>
  </si>
  <si>
    <t>- EC zopt DN 50  - kom 2</t>
  </si>
  <si>
    <t>- Q komad DN 50  - kom 1</t>
  </si>
  <si>
    <t>- prirubnički adapter LJ.Ž. DN50/ PEHD d50  - kom 1</t>
  </si>
  <si>
    <t>- prirubnički adapter LJ.Ž. DN50/ PEHD d63  - kom 1</t>
  </si>
  <si>
    <r>
      <rPr>
        <b/>
        <sz val="10"/>
        <rFont val="Calibri"/>
        <family val="2"/>
        <scheme val="minor"/>
      </rPr>
      <t>Opremanje vodomjernog okna</t>
    </r>
    <r>
      <rPr>
        <sz val="10"/>
        <rFont val="Calibri"/>
        <family val="2"/>
        <scheme val="minor"/>
      </rPr>
      <t xml:space="preserve"> na način da se ugrade svi potrebni fazonski komadi. Sve prema nacrtima sheme vodomjernog okna. 
Vodomjerna garnitura se sastoji od:</t>
    </r>
  </si>
  <si>
    <t>Obračun po kompletu. Opremanje vodomjernog okna.</t>
  </si>
  <si>
    <t xml:space="preserve">Stavka uključuje i sav potreban spojno brtveni materijal kao i sve potrebne radnje. </t>
  </si>
  <si>
    <t>Nabava, doprema i ugradnja prelaza sa PEHD na PE-RT cijev. Obračun se vrši po komadu montiranog ventila.</t>
  </si>
  <si>
    <t xml:space="preserve">Nabava, doprema i ugradnja prelaza sa PEHD na pocinčanu čeličnu cijev. Obračun se vrši po komadu montiranog prelaznog komada.
</t>
  </si>
  <si>
    <r>
      <rPr>
        <b/>
        <sz val="10"/>
        <rFont val="Calibri"/>
        <family val="2"/>
        <scheme val="minor"/>
      </rPr>
      <t xml:space="preserve">Nabava, doprema i ugradnja kombisifona </t>
    </r>
    <r>
      <rPr>
        <sz val="10"/>
        <rFont val="Calibri"/>
        <family val="2"/>
        <charset val="238"/>
        <scheme val="minor"/>
      </rPr>
      <t>koji se ugrađuje ispod umivaonika</t>
    </r>
    <r>
      <rPr>
        <b/>
        <sz val="10"/>
        <rFont val="Calibri"/>
        <family val="2"/>
        <scheme val="minor"/>
      </rPr>
      <t xml:space="preserve">. </t>
    </r>
    <r>
      <rPr>
        <sz val="10"/>
        <rFont val="Calibri"/>
        <family val="2"/>
        <scheme val="minor"/>
      </rPr>
      <t xml:space="preserve"> Obračun po komadu. </t>
    </r>
  </si>
  <si>
    <t>kombisifon</t>
  </si>
  <si>
    <t xml:space="preserve">Nabava, doprema i ugradnja kuhinjskog podnog kanala za odvodnju (300x1500 mm, DN 100) s kanalom, slivnikom, rešetkom i sitom za nečistoće </t>
  </si>
  <si>
    <t xml:space="preserve">kuhinjskog podnog kanal (300x1500 mm, DN 100) </t>
  </si>
  <si>
    <r>
      <rPr>
        <b/>
        <sz val="10"/>
        <rFont val="Calibri"/>
        <family val="2"/>
        <scheme val="minor"/>
      </rPr>
      <t>Ispitivanje unutarnje fekalne i sanitarne kanalizacije</t>
    </r>
    <r>
      <rPr>
        <sz val="10"/>
        <rFont val="Calibri"/>
        <family val="2"/>
        <scheme val="minor"/>
      </rPr>
      <t xml:space="preserve"> na protočnost i vodonepropusnost sa izdavanjem atesta. Obračun po m1. </t>
    </r>
  </si>
  <si>
    <t>8.5.</t>
  </si>
  <si>
    <t>8.6.</t>
  </si>
  <si>
    <t>8.7.</t>
  </si>
  <si>
    <t>8.8.</t>
  </si>
  <si>
    <t>8.9.</t>
  </si>
  <si>
    <t>8.10.</t>
  </si>
  <si>
    <t>8.11.</t>
  </si>
  <si>
    <t>8.12.</t>
  </si>
  <si>
    <r>
      <rPr>
        <b/>
        <sz val="10"/>
        <rFont val="Calibri"/>
        <family val="2"/>
        <scheme val="minor"/>
      </rPr>
      <t xml:space="preserve">Nabava, doprema i ugradnja cjevovoda od HDPE </t>
    </r>
    <r>
      <rPr>
        <sz val="10"/>
        <rFont val="Calibri"/>
        <family val="2"/>
        <scheme val="minor"/>
      </rPr>
      <t xml:space="preserve">cijevi i fazonskih komada spojenih sučeonim varenjem ili elektrovarnim spojnicama, uključivo ovjesni i pričvrsni pribor prema specifikaciji proizvođača. 
U stavci su prikazane stvarne dužine cijevi prema projektu, a fazonske komade (koljena, račve, redukcije) je potrebno uključiti u cijenu. Oborinske vertikale pod fasadom.
</t>
    </r>
  </si>
  <si>
    <t>Cijevi hladne vode položene u zidnim usjecima i podu sa zaštitnom cijevi ili originalnom PE pjenastom izolacijom dmin=4 mm. Cijevi tople vode i cirkulacije tople vode izolirane originalnom PE pjenastom izolacijom ili  standardnom izolacijom dmin=4 mm. Cijevi vođene u kanalima i slobodno u prostoru izolirati izolacijom dmin=13 mm.</t>
  </si>
  <si>
    <t>Obračun se obavlja po m1 montirane i izolirane cijevi. U stavku uračunati spojne komade i sav potreban spojno brtveni materijal.</t>
  </si>
  <si>
    <t xml:space="preserve">d  20x2,50 mm (DN 15) </t>
  </si>
  <si>
    <t xml:space="preserve">d  26x3,00 mm (DN 20) </t>
  </si>
  <si>
    <t xml:space="preserve">d  32 x 3,00 mm (DN 25) </t>
  </si>
  <si>
    <t xml:space="preserve">d  40 x 3,50 mm (DN 32) </t>
  </si>
  <si>
    <t xml:space="preserve">d  50 x 4,00 mm (DN 40) </t>
  </si>
  <si>
    <r>
      <rPr>
        <b/>
        <sz val="10"/>
        <rFont val="Calibri"/>
        <family val="2"/>
        <charset val="238"/>
        <scheme val="minor"/>
      </rPr>
      <t>Nabava, doprema i ugradnja ugradbenih cijevnih kuglastih armatura</t>
    </r>
    <r>
      <rPr>
        <sz val="10"/>
        <rFont val="Calibri"/>
        <family val="2"/>
        <charset val="238"/>
        <scheme val="minor"/>
      </rPr>
      <t xml:space="preserve"> </t>
    </r>
    <r>
      <rPr>
        <sz val="10"/>
        <rFont val="Calibri"/>
        <family val="2"/>
        <scheme val="minor"/>
      </rPr>
      <t>izrađenih iz mesing CW617N sa ˝press˝ spojnim krajevima  Al-PE-RT višeslojne cijevi,  za ugradnju u etažni sanitarne hladne i tople vode (radni tlak do 10 bar i temperatura do 70°C) sa pokrovnom kapom i rozetom.
Obračun se vrši po komadu montiranog ventila.</t>
    </r>
  </si>
  <si>
    <t>10.4.</t>
  </si>
  <si>
    <t>10.5.</t>
  </si>
  <si>
    <t>10.6.</t>
  </si>
  <si>
    <t>INSTALACIJA FEKALNE I SANITARNE ODVODNJE</t>
  </si>
  <si>
    <t xml:space="preserve"> -   Zidni konzolni umivaonik, bijele boje, keramika I. klase, sa središnjom rupom za montažu mješalice, namjenjen sanitarnim čvorovima vrtića i jaslica. Stavka uključuje sifon sa podizačem čepa Ø32mm. Sifon za umivaonike, zidni spoj, klizna rozeta, s fiksnom cijevi, krom premaz. 
- Armatura je stojeća sa jednoručna mješalica umivaonik za hladnu i toplu vodu, NO 15 mm (R 1/2”, s kutnim ventilima, s pomičnim ispustom, dva gibljiva crijeva G3/8" za priključak vode, perlator, 35 mm keramička kartuša, prilagodiv limitator protoka vode, odljevni set skočni 1 1/4".</t>
  </si>
  <si>
    <r>
      <rPr>
        <b/>
        <sz val="10"/>
        <rFont val="Calibri"/>
        <family val="2"/>
      </rPr>
      <t xml:space="preserve">Nabava, doprema i ugradnja kompletnog zidnog umivaonika namjenjenog sanitarnim čvorovima i prostorijama za osoblje  </t>
    </r>
    <r>
      <rPr>
        <sz val="10"/>
        <rFont val="Calibri"/>
        <family val="2"/>
      </rPr>
      <t xml:space="preserve">koji se sastoji od:
</t>
    </r>
  </si>
  <si>
    <t>nadžbukni, niskomontažni WC vodokotlić, dubine do 12 cm</t>
  </si>
  <si>
    <t xml:space="preserve">- Specijalna konzolna WC školjka za invalide, bijele boje, keramika I. klase, dimenzije prilagođene za osobe smanjene pokretljivosti, namjenjene  sanitarnim čvoru prilagođenom za osobe smanjene pokretljivosti. Školjka se priključuje na instalacije odvodnje sa “baltik” priključkom (odvod u zid), sa isplavnom cijevi, gumena manžeta, kutni ventil f1/2''-f3/8'' tlačna cijev rebrasta fleksibilna f8/10'', te vijci za pričvršćenje WC-a. 
Sjedište poklopna plastična ili drvena lakirana daska  oblika prema WC školjki sa tri gumena odbojnika. 
- Montažni instalacijski element za konzolnu  WC školjku namjenjenu za osobe smanjene pokretljivosti, sa podžbuknim vodokotlićem, armaturom i tipkalom. Element samonosiv za ugradnju u suhomontažnu prezidnu konstrukciju, s nosačem za rukohvat. Vodokotlić sa dvokoličinskim ispiranjem 3/6 litara, odvodnim koljenom i prijelaznim komadom d90/110mm, kutni ventil priključka R1/2”. Pokretač uređaja za ispuštanje vode na visini 70 cm od gotovog poda. </t>
  </si>
  <si>
    <t xml:space="preserve">- Tuš kada - praonik (kao izdignuta tuš kada), duboka, za pranje djece, od lijevanog željeza ili plastike, kvadratna, dimenzija 80 x 80 cm. Uključivo podni sifon za tuš kadu d50 mm, s velikim protokom s hvatačem kose. Sifon za tuš kadu sa velikim protokom za odvodni otvor 90mm, okretni priključak, q=0,9l/s, PP, prema normi EN329 ili jednakovrijednoj, hvatač kose, visina vodenog stupca 50 mm.
- Zidna armatura s jednoručnom mješalicom za hladnu i toplu vodu Ø15 mm, ručnim tušem, s držačem tuša, nosačem 900 mm, tuš crijevom. Krom premaz, premaz protiv kamenca.
- Zidni kromirani držač za sapun. </t>
  </si>
  <si>
    <t>tuš kada dimenzija 80 x 80 cm sa sifonom</t>
  </si>
  <si>
    <t xml:space="preserve">- Tuš  kada od lijevanog željeza ili plastike, kvadratna, dimenzija 90 x 90 cm. Uključivo podni sifon za tuš kadu d50 mm, s velikim protokom s hvatačem kose. Sifon za tuš kadu sa velikim protokom za odvodni otvor 90mm, okretni priključak, q=0,9l/s, PP, prema normi EN329 ili jednakovrijednoj, hvatač kose, visina vodenog stupca 50 mm.
- Zidna armatura s jednoručnom mješalicom za hladnu i toplu vodu Ø15 mm, zidnim  tušem, nosačem 900 mm. Krom premaz, premaz protiv kamenca.
- Tuš zavjesa od poliesterskog vlakna (periva) s vodootpornom površinom, uključiti šipku i prstenove za zavjesu
- Zidni kromirani držač za sapun. </t>
  </si>
  <si>
    <t>12.2.</t>
  </si>
  <si>
    <t>12.3.</t>
  </si>
  <si>
    <t>12.4.</t>
  </si>
  <si>
    <t>12.5.</t>
  </si>
  <si>
    <t>12.6.</t>
  </si>
  <si>
    <t>12.7.</t>
  </si>
  <si>
    <t>12.8.</t>
  </si>
  <si>
    <t>12.9.</t>
  </si>
  <si>
    <t>12.10.</t>
  </si>
  <si>
    <t>9.7.</t>
  </si>
  <si>
    <t>9.8.</t>
  </si>
  <si>
    <t>DN 75</t>
  </si>
  <si>
    <t>DN 40/50</t>
  </si>
  <si>
    <r>
      <rPr>
        <b/>
        <sz val="10"/>
        <rFont val="Calibri"/>
        <family val="2"/>
      </rPr>
      <t>Nabava, doprema i ugradnja horizontalnog grijanog slivnika s hvatačem lišća</t>
    </r>
    <r>
      <rPr>
        <sz val="10"/>
        <rFont val="Calibri"/>
        <family val="2"/>
      </rPr>
      <t>, za ugradnju u hidroizolaciju na bazi FPO/TPO, toplinski izoliran, sa mogućnošću spajanja na hidroizolaciju, za neprohodni krov s balastom od šljunka. 
Slivnik DN 75/100 s horizontalnim izlazom. 
Slivnik se spaja na horizontalnu HDPE cijev d75 (stavka 9.1.). Slivnik je smješten u sloju toplinske izolacije iznad AB ploče te stavka uključuje i grijač, nastavne, drenažne i zaštitne elemente te hvatač lišća. Sve do pune funkcionalnosti.</t>
    </r>
  </si>
  <si>
    <r>
      <rPr>
        <b/>
        <sz val="10"/>
        <rFont val="Calibri"/>
        <family val="2"/>
      </rPr>
      <t>Nabava, doprema i ugradnja vertikalnog slivnika za natkriveni parking</t>
    </r>
    <r>
      <rPr>
        <sz val="10"/>
        <rFont val="Calibri"/>
        <family val="2"/>
      </rPr>
      <t xml:space="preserve">, </t>
    </r>
    <r>
      <rPr>
        <b/>
        <sz val="10"/>
        <rFont val="Calibri"/>
        <family val="2"/>
        <charset val="238"/>
      </rPr>
      <t xml:space="preserve">s lijevano-željeznim okvirom i uljevnom rešetkom. </t>
    </r>
    <r>
      <rPr>
        <sz val="10"/>
        <rFont val="Calibri"/>
        <family val="2"/>
      </rPr>
      <t xml:space="preserve">
Slivnik za ugradnju u hidroizolaciju na bazi polimerbitumena, sa mogućnošću spajanja na hidroizolaciju. Ugrađuje se na pod natkrivenog parkirališta (završni sloj - epoksi  pod).
Slivnik DN 110 s vertikalnim izlazom. 
Slivnik se spaja na vertikalnu HDPE cijev d110 (stavka 9.1.). Slivnik je smješten u sloju armiranog betona i toplinske izolacije  te stavka uključuje i nastavne, drenažne i zaštitne elemente te s lijevano-željezni okvir i uljevnu rešetku. Sve do pune funkcionalnosti.</t>
    </r>
  </si>
  <si>
    <t>9.5.</t>
  </si>
  <si>
    <t>9.6.</t>
  </si>
  <si>
    <r>
      <rPr>
        <b/>
        <sz val="10"/>
        <rFont val="Calibri"/>
        <family val="2"/>
      </rPr>
      <t>Nabava, doprema i ugradnja horizontalnog slivnika za prohodne terase s uljevnom rešetkom od nehrđajućeg čelika</t>
    </r>
    <r>
      <rPr>
        <sz val="10"/>
        <rFont val="Calibri"/>
        <family val="2"/>
      </rPr>
      <t xml:space="preserve">, za ugradnju u hidroizolaciju na bazi FPO/TPO, sa mogućnošću spajanja na hidroizolaciju. Ugrađuje se na prohodni krov (završni sloj - sportski pod).
Slivnik DN75 s horizontalnim izlazom. 
Slivnik se spaja na horizontalnu HDPE cijev d75 (stavka 9.1.). Slivnik je smješten u sloju cementne glazure i toplinske izolacije iznad AB ploče te stavka uključuje, nastavne, drenažne i zaštitne elemente te zaštitnu uljevnu rešetku od nehrđajućeg čelika. Sve do pune funkcionalnosti.
</t>
    </r>
  </si>
  <si>
    <r>
      <rPr>
        <b/>
        <sz val="10"/>
        <rFont val="Calibri"/>
        <family val="2"/>
      </rPr>
      <t>Nabava, doprema i ugradnja horizontalnog balkonskog slivnika s uljevnom rešetkom od nehrđajućeg čelika</t>
    </r>
    <r>
      <rPr>
        <sz val="10"/>
        <rFont val="Calibri"/>
        <family val="2"/>
      </rPr>
      <t xml:space="preserve">, za ugradnju u hidroizolaciju na bazi FPO/TPO, sa mogućnošću spajanja na hidroizolaciju. Ugrađuje se na prohodni krov (završni sloj - sportski pod).
Slivnik DN40/50 s horizontalnim izlazom. 
Slivnik se spaja na horizontalnu PP cijev d50 (stavka 8.1.). Slivnik je smješten u sloju cementne glazure i toplinske izolacije iznad AB ploče te stavka uključuje, nastavne, drenažne i zaštitne elemente te zaštitnu uljevnu rešetku od nehrđajućeg čelika. Sve do pune funkcionalnosti.
</t>
    </r>
  </si>
  <si>
    <t>zamrzivač, dimenzija 710 x 800 x 2060 mm</t>
  </si>
  <si>
    <t>Hladnjak</t>
  </si>
  <si>
    <t xml:space="preserve">- neto kapacitet: 590 lit
- temp: -18C / -22C
- sa ventiliranim hlađenjem 
- rashladno sredstvo je ekološki prihvatljiv plin sukladno propisima na dan isporuke
- prilagođen za uvjete rada do 40°C u prostoru do 60% vlažnosti
- sistem rada putem monobloka bez isparivača u prostoru za odlaganje namirnica
- digitalni termostat sa automatskim otapanjem
- debljina izolacije min. 60 mm punjena sa poliuretanom bez – CFC spojeva
- zaobljeni unutarnji rubovi
- vrata sa automatskim zatvaranjem pomoću magnetne brtve
- mogućnost spajanja na HACCAP sistem
- serijski opremljen sa 6 vodilica i 3 plastificirane rešetke za GN 2/1
- inox izvana i iznutra
- priključna snaga: 650W, 220V/50HZ. 
</t>
  </si>
  <si>
    <t>hladnjak, dimenzija 710 x 800 x 2030 mm</t>
  </si>
  <si>
    <t>- 4 pune police (deb. 1 mm) sa omega pojačanjima 
- ukupna nosivost 150 kg po polici ravnomjerno raspoređenog tereta
- noge regala od inox lima sa ukutama i perforacijom za podešavanje razmaka među policama
- podesive inox inogice
- izvedba komplet inox lim AISI 304 SB+PVC
- svi oštri rubovi moraju biti pertlani zbog lakšeg održavanja i zaštite od povreda.</t>
  </si>
  <si>
    <t>regal, dimenzija 1000 x 600 x 1820 mm</t>
  </si>
  <si>
    <t>regal, dimenzija 800 x 600 x 1820 mm</t>
  </si>
  <si>
    <t>Platformska vaga</t>
  </si>
  <si>
    <t xml:space="preserve">- nosivost 150kg, podjeljak 50g
- dimenzije platforme 350x450 mm
- ovjereno (baždareno)
</t>
  </si>
  <si>
    <t>platformska vaga, dimenzija 350 x 450 x 902 mm</t>
  </si>
  <si>
    <t>Dozvoljeno odstupanje u dimenzijama (visina, širina, dužina, debljina, promjeri) do ± 5%.</t>
  </si>
  <si>
    <t>sanitarni rukoper, dimenzija 400 x 400 x 260 mm</t>
  </si>
  <si>
    <t>Ljuštilica krumpira</t>
  </si>
  <si>
    <t>ljuštilica krumpira, dimenzija 600 x 375 x 400 mm</t>
  </si>
  <si>
    <t>Postolje za ljuštilicu krumpira</t>
  </si>
  <si>
    <t>postolje za ljuštilicu  krumpira, dimenzija 500 x 600 x 600 mm</t>
  </si>
  <si>
    <t>- otvoreni 
- 1 korito 400x400x200 mm desno
- jednoručna ugradna slavina s dugim izljevom udaljenim minimalno 35 cm od osi slavine i dugom plastičnom ručkom za upravljanje laktom dužine minimalno 35 cm od osi slavine
- polica
- zaštita zida
- podesive inox inogice
- izvedba komplet inox lim AISI 304 SB+PVC
- svi oštri rubovi moraju biti pertlani zbog lakšeg održavanja i zaštite od povreda.
- s kompletom sifona i PVC cijevi za odvod Ø50 mm 
- svi potrebni priključni elementi i spojni materijal</t>
  </si>
  <si>
    <t>radni stol, dimenzija 1100 x 700 x 900 mm</t>
  </si>
  <si>
    <t>Hlađeni stol</t>
  </si>
  <si>
    <t xml:space="preserve">- 3 hlađena vrata
- kompresor desno
- temperaturni režim +0/+10°C
- digitalno upravljanje
- mirno hlađenje
- automatsko otapanje
- rashladno sredstvo je ekološki prihvatljiv plin sukladno propisima na dan isporuke
- ukupna snaga: 350 W
- izvedba komplet inox lim AISI 304 SB+PVC
- svi oštri rubovi moraju biti pertlani zbog lakšeg održavanja i zaštite od povreda.
</t>
  </si>
  <si>
    <t xml:space="preserve">Stolni kuhinjski univerzalni stroj za obradu povrća </t>
  </si>
  <si>
    <t>hlađeni stol, dimenzija 1870 x 700 x 900 mm</t>
  </si>
  <si>
    <t xml:space="preserve">- Broj okretaja: 320 o/minuti
- Elektronsko upravljanje
- Konstrukcija stroja od nehrđajućeg čelika i aluminija 
- Poklopac od nehrđajućeg čelika
- Ventilirani motor za kontinuiranu uporabu
- Sigurnost pri radu pomoću mikroprekidača
- Priključna snaga: 380Watt; Napon: 230V/50 Hz
- dolazi s 5 diskova: 2mm kriške, 10mm kriške, 10mm štapići, 10mm kocke, 4mm julienne
 </t>
  </si>
  <si>
    <t>univerzalni stroj za obradu povrća, 
dimenzija 570 x 240 x 470 mm</t>
  </si>
  <si>
    <t>Sanitarna pregrada</t>
  </si>
  <si>
    <t xml:space="preserve">- izvedba komplet inox lim AISI 304 SB+PVC
- svi oštri rubovi pertlani zbog lakšeg održavanja i zaštite od povreda.
</t>
  </si>
  <si>
    <t>sanitarna pregrada, dimenzija 500 x 600 x 20 mm</t>
  </si>
  <si>
    <t xml:space="preserve">- 3 hlađena vrata
- kompresor desno
- temperaturni režim +0/+10°C
- digitalno upravljanje
- mirno hlađenje
- automatsko otapanje
- rashladno sredstvo je ekološki prihvatljiv plin sukladno propisima na dan isporuke
- ukupna snaga: 350 W
- izvedba komplet inox lim AISI 304 SB+PVC
- svi oštri rubovi moraju biti pertlani zbog lakšeg održavanja i zaštite od 
</t>
  </si>
  <si>
    <t>- otvoreni 
- 1 korito 400x400x200 mm lijevo
- polica
- zaštita zida
- podesive inox inogice
- izvedba komplet inox lim AISI 304 SB+PVC
- svi oštri rubovi moraju biti pertlani zbog lakšeg održavanja i zaštite od povreda.
- s kompletom sifona i PVC cijevi za odvod Ø50 mm 
- svi potrebni priključni elementi i spojni materijal</t>
  </si>
  <si>
    <t>radni stol, dimenzija 1060 x 700 x 900 mm</t>
  </si>
  <si>
    <t>Radni stol zatvoreni</t>
  </si>
  <si>
    <t xml:space="preserve">- zatvoreni s kliznim vratima
- polica
- klizna vrata sa duplom stijenkom
- svi oštri rubovi moraju biti pertlani zbog lakšeg održavanja i  zaštite od povreda. 
- izvedba komplet inox lim AISI 304 SB+PVC
</t>
  </si>
  <si>
    <t>radni stol, dimenzija 1410 x 700 x 900 mm</t>
  </si>
  <si>
    <t xml:space="preserve">- otvoreni ormarić
- radna ploča i prednje ploče od nehrđajućeg čelika AISI 304.
- posebna posebno debela čelična površina s 4 neovisne zone za kuhanje
- grijanje pomoću otpornika niti ugrađenih ispod ploče i omogućenih regulatorima snage
- svjetlo za napajanje
- podesive noge
- snaga: 9 kW, 400V
</t>
  </si>
  <si>
    <t>Električni štednjak s punom pločom</t>
  </si>
  <si>
    <t>Radni blok stol</t>
  </si>
  <si>
    <t>radni blok stol, dimenzija 400 x 714 x 900 mm</t>
  </si>
  <si>
    <t>Slavina za termoblok s mješalicom</t>
  </si>
  <si>
    <t>slavina za termoblok s mješalicom</t>
  </si>
  <si>
    <t xml:space="preserve">Visina 650 mm, dužina 440 mm
Maksimalni protok: 24 L/min na 4 Bar-a
</t>
  </si>
  <si>
    <t>Električni štednjak s indukcijskom pločom</t>
  </si>
  <si>
    <t>električni štednjak s punom pločom, dimenzija 800 x 714 x 900 mm</t>
  </si>
  <si>
    <t>električni štednjak s indukcijskom pločom, dimenzija 400 x 714 x 900 mm</t>
  </si>
  <si>
    <t>Električna nagibna tava kapaciteta 60 litara</t>
  </si>
  <si>
    <t xml:space="preserve">- poklopac sa sustavom za skupljanje kondenzata pričvršćenim na samouravnoteženoj šarki
- spremnik za kuhanje s dnom i stijenkama od nehrđajućeg čelika AISI 304, ručnim nagibom do 80°, s neljepljivom završnom obradom od mikrosfere i zaobljenim rubovima
- čelično dno spremnika debljine 10 mm, izvana zavareno za bolju toplinsku vodljivost
- jednolika toplina kao rezultat izravnog kontakta grijaćih elemenata s bazom.
- napajanje kontrolirano prekidačem i termostatom (100°C - 300°C)
- sigurnosni termostat s ručnim ponovnim pokretanjem
- podesive noge
- snaga: 9 kW, 400V
</t>
  </si>
  <si>
    <t>električna nagibna tava, dimenzija 800 x 714 x 900 mm</t>
  </si>
  <si>
    <t xml:space="preserve">- radna ploča i prednje ploče od nehrđajućeg čelika AISI 304
- Posuda za kuhanje od nehrđajućeg čelika AISI 304 debljine 15/10, dno od nehrđajućeg čelika AISI 316 debljine 20/10
- plašt s dnom i stijenkama od nehrđajućeg čelika AISI 304, dno debljine 20/10, stijenke debljine 15/10
- neizravno grijanje s parom niskog tlaka (0,5 bara) koja se stvara unutar plašta kroz otpornike opremljene sigurnosnim termostatom
- slavine za toplu i hladnu vodu na radnoj ploči sa zglobnim izljevom za punjenje i pranje posude i plašta
- 1 1/2” odvodna slavina od kromiranog mesinga s atermičkom ručkom
- mehanički mjerač s pokazivačem pritiska na plaštu
- napajanje regulirano prekidačem s 3 položaja
- zasebna kontrola za regulaciju temperature
- kontrolno svjetlo i indikatorsko svjetlo temperature
- podesive noge
- snaga: 9 kW 380-415 V3N~
</t>
  </si>
  <si>
    <t>Električni kotao kapaciteta 50 litara</t>
  </si>
  <si>
    <t>električni kotao, dimenzija 800 x 714 x 900 mm</t>
  </si>
  <si>
    <t>Topla kupka kapaciteta 4 GN 1/1 - 200 mm</t>
  </si>
  <si>
    <t xml:space="preserve">- neutralni ormarić zatvorenim s kliznim vratima
- klizna vrata sa duplom stijenkom
- svi oštri rubovi pertlani zbog lakšeg održavanja i zaštite od povreda
- digitalni termostat
- regulacija temperature od 30-90°C 
-priključna snaga 2 kW, 230V
- inox izvedba
</t>
  </si>
  <si>
    <t>Električna parnokonvekcijska pećnica</t>
  </si>
  <si>
    <t>- konvektomat za 10 GN 1/1 posuda s ugrađenim bojlerom smještenim izvan komore za kuhanje, ali unutar strukture pećnice
- višejezična upravljačka ploča visoke razlučivosti sa 7” dodirnim zaslonom u boji
- sustav distribucije zraka: ventilator s automatskom rotacijom unatrag i 10 različitih brzina
- predgrijavanje do 13% više od postavljene temperature kuhanja (304°C maksimalna temperatura)
- načini kuhanja: Automatski način (8 obitelji namirnica i 72 unaprijed postavljene varijante); Programi (do 40 programa se mogu razvrstati i spremiti); Ručni način rada (parni ciklus, konvekcijski ciklus i kombinirani ciklus); Posebni ciklusi (à la carte menu, regeneracija, dizanje tijesta, hlađenje i pranje)
- USB priključak za preuzimanje HACCP podataka, programa i postavki
- Wi-Fi povezivanje
- sonda za temperaturu jezgre s 4 senzora
- integrirani sustav pranja 
- tri različita programa pranja (delikatno, srednje, teško) komore i "pulsirajući" sustav ispiranja pomaže u smanjenju potrošnje vode i snage, kao i upotrebe kemijskih sredstava za čišćenje.
snaga: 18,5 kW, napon 400V</t>
  </si>
  <si>
    <t>električna parnokonvekcijska pećnica, 
dimenzija 895 x 940 x 1087 mm</t>
  </si>
  <si>
    <t>omekšivač vode</t>
  </si>
  <si>
    <t>Automatski omekšivač vode 4 lit.</t>
  </si>
  <si>
    <t xml:space="preserve">- vodilice za GN posude 
- Izrađen kompletno od nehrđajućeg čelika
- Otvoreno - vodilice za umetanje gastro posuda (GN 1/1)
</t>
  </si>
  <si>
    <t>postolje za konvektomat, dimenzija 899 x 690 x 850 mm</t>
  </si>
  <si>
    <t xml:space="preserve">Ventilacijska napa </t>
  </si>
  <si>
    <t>hlađeni stol, dimenzija 1500 x 700 x 900 mm</t>
  </si>
  <si>
    <t xml:space="preserve">- 2 hlađena vrata
- 1 korito na desnoj strani
- kompresor desno
- temperaturni režim +0/+10°C
- digitalno upravljanje
- mirno hlađenje
- automatsko otapanje
- rashladno sredstvo je ekološki prihvatljiv plin sukladno propisima na dan isporuke
- ukupna snaga: 350 W
- zaštita zida
- podesive inox inogice
- izvedba komplet inox lim AISI 304 SB+PVC
- svi oštri rubovi moraju biti pertlani zbog lakšeg održavanja i zaštite od povreda.
- s kompletom sifona i PVC cijevi za odvod Ø50 mm 
- svi potrebni priključni elementi i spojni materijal
</t>
  </si>
  <si>
    <t>radni stol, dimenzija 1400 x 700 x 900 mm</t>
  </si>
  <si>
    <t xml:space="preserve">Viseći ormarić </t>
  </si>
  <si>
    <t xml:space="preserve">- zatvoreni sa kliznim vratima
- skidljiva polica
- vrata sa duplom stijenkom
- svi oštri rubovi moraju biti pertlani zbog lakšeg održavanja i  zaštite od povreda. 
- izvedba komplet inox lim AISI 304 SB+PVC
</t>
  </si>
  <si>
    <t>Stroj za rezanje kruha - poluautomatski</t>
  </si>
  <si>
    <t>stroj za rezanje kruha, dimenzija 654 x 751 x 1240 mm</t>
  </si>
  <si>
    <t xml:space="preserve">- električni priključak: 0,75 kW
- napon napajanja: 400V
- širina rezanja: 15 mm
- dužina rezanja: 520 mm
- visina rezanja: 300 mm
</t>
  </si>
  <si>
    <t xml:space="preserve">- 3 police 
- nosivost police 100 kg ravnomjerno raspoređenog tereta
- otklopna vrata
- svi oštri rubovi pertlani zbog lakšeg održavanja i zaštite od povreda
- izvedba komplet inox lim AISI 304 SB+PVC
</t>
  </si>
  <si>
    <t>Ormar za kruh</t>
  </si>
  <si>
    <t>ormar za kruh, dimenzija 500 x 700 x 1800 mm</t>
  </si>
  <si>
    <t xml:space="preserve">- otvoreni 
- 2 korita 500x400x300 mm desno
- lijevo rupa za otpatke
- vodeni rub
- zaštita zida
- podesive inox inogice
- izvedba komplet inox lim AISI 304 SB+PVC
-  inox maska 250 mm ispred korita
- svi oštri rubovi moraju biti pertlani zbog lakšeg održavanja i zaštite od povreda.
- s kompletom sifona i PVC cijevi za odvod Ø50 mm 
- svi potrebni priključni elementi i spojni materijal
</t>
  </si>
  <si>
    <t>praonik-sudoper, dimenzija 1310 x 700 x 900 mm</t>
  </si>
  <si>
    <t>- samostojeća varijanta
- regulacija temperature vode
- jednoručna mješalica za vodu
- pomična pipa dužine 26 cm
-  tuš za pranje
- svi potrebni priključni elementi i spojni materijal</t>
  </si>
  <si>
    <t>profesionalna tuš mješalica, dimenzija ø32x620x1200</t>
  </si>
  <si>
    <t>radni stol, dimenzija 990 x 700 x 900 mm</t>
  </si>
  <si>
    <t xml:space="preserve">- 3 police 
- nosivost police 100 kg ravnomjerno raspoređenog tereta
- klizna vrata
- svi oštri rubovi pertlani zbog lakšeg održavanja i zaštite od povreda
- izvedba komplet inox lim AISI 304 SB+PVC
</t>
  </si>
  <si>
    <t>Ormar za suđe</t>
  </si>
  <si>
    <t>ormar za suđe, dimenzija 1200 x 700 x 1800 mm</t>
  </si>
  <si>
    <t xml:space="preserve">- polica 
- vodilica za košare
- podesive inox nogice
- izvedba komplet inox lim AISI 304 SB+PVC
- svi oštri rubovi pertlani zbog lakšeg održavanja i zaštite od povreda.
</t>
  </si>
  <si>
    <t>izlazni stol stroja za pranje suđa, dimenzija 700 x 700 x 850 mm</t>
  </si>
  <si>
    <t xml:space="preserve">- digitalno upravljanje
- 14 programa
- program za dezinfekciju
- program za samočišćenje
- program za ispuštanje vode
- kapacitet do 60 košara/sat
- dim. košara 500x500 mm
- kapacitet bojlera: 11 lit
- snaga grijača bojlera: 7 kW
- pumpa za ispiranje
- dozatori za deterđent i sjajilo
- filter spremnika vode
- potrošnja vode 2,5 lit / ciklusu
- visina otvora za pranje: 465 mm
- ukupna snaga: 10,2 kW - 400 V
</t>
  </si>
  <si>
    <t>Stroj za pranje suđa - hauba</t>
  </si>
  <si>
    <t>stroj za pranje suđa, dimenzija 760 x 830 x 1530 mm</t>
  </si>
  <si>
    <t xml:space="preserve">- 1 korito  500x400x300 mm 
- vodilica za košare
- podesive inox nogice
- izvedba komplet inox lim AISI 304 SB+PVC
- svi oštri rubovi pertlani zbog lakšeg održavanja i zaštite od povreda.
- s kompletom sifona i PVC cijevi za odvod Ø50 mm 
- svi potrebni priključni elementi i spojni materijal
</t>
  </si>
  <si>
    <t>ulazni stol stroja za pranje suđa, dimenzija 1100 x 700 x 850 mm</t>
  </si>
  <si>
    <t>Radni stol za povrat suđa</t>
  </si>
  <si>
    <t xml:space="preserve">- otvoreni 
- rupa za otpatke 
- podesive inox inogice
- svi oštri rubovi pertlani zbog lakšeg održavanja i zaštite od povreda
- izvedba komplet inox lim AISI 304 SB+PVC
</t>
  </si>
  <si>
    <t>radni stol za povrat suđa, dimenzija 900 x 700 x 850 mm</t>
  </si>
  <si>
    <t>kolica s tri police, 
dimenzija 800 x 500 x 920 mm</t>
  </si>
  <si>
    <t>kuhinja:</t>
  </si>
  <si>
    <t>Ormar</t>
  </si>
  <si>
    <t>ormar, dimenzija 1000 x 600 x 1800 mm</t>
  </si>
  <si>
    <t xml:space="preserve">- Kućište i bubanj za pranje od nehrđajućeg čelika AISI 304
- Svi podizači se mogu ukloniti radi lakšeg čišćenja bubnja
- Priključci tople i hladne vode
- Automatski sustav za vaganje rublja
- Sustav raspodjele tereta i nježnog pranja.
- 3D senzor protiv balansiranja
- 4 snažna amortizera čvrsto pričvršćena na čeličnu donju ploču
- Čelična brtva na vratima, osigurava higijenski ciklus pranja i čist bubanj bez mikroba
- Odvodni ventil protiv blokiranja - za model s ispušnim sustavom ventila -
- Zaslon za programiranje jednostavan za korištenje
- Fleksibilna struktura programa s 28 dostupnih programa
- Dostupno 25 različitih jezika
- Programi dezinfekcije na 90°, 60° i 40°
- MOP i mikrofiber programi za tvrtke za čišćenje
- Najveća centrifuga 1400 o/min
- volumen bubnja 60 lit
- snaga 3,2 kW, 400V
</t>
  </si>
  <si>
    <t>perilica rublja, dimenzija 595 x 591 x 845-865 mm</t>
  </si>
  <si>
    <t>profesionalna perilica rublja, 
dimenzija 880 x 905 x 1285 mm</t>
  </si>
  <si>
    <t xml:space="preserve">- Kapacitet punjenja u kg‎: 10
- Zaslon osjetljiv na dodir
- Neograničena rješenja za programiranje
- Parametri sušenja koji se mogu uređivati tijekom ciklusa
- Inverzija rotacije bubnja
- Bubanj od nehrđajućeg čelika Aisi 304 bez oštrih rubova za bolje očuvanje rublja.
- Vrata s dvostrukim staklom za savršenu toplinsku izolaciju i uštedu energije
- Hitno zaustavljanje
- Siguran i pouzdan sustav zatvaranja s dvostrukim magnetom
- Funkcija zagrijavanja u više koraka: omogućuje optimalno upravljanje temperaturom tijekom svakog ciklusa osiguravajući veću osjetljivost u obradi odjeće
- Pametna kontrola kretanja zraka u bubnju za savršeno sušenje i nisku potrošnju
- Ciklusi s automatskom kontrolom vlažnosti
- Hlađenje kao standard i funkcija protiv gužvanja za savršeno i jednostavno glačanje
- Filtar otporan na trganje s velikom snagom filtriranja
 Prikaz signalizacije za bitno čišćenje filtra
- USB priključak
- Volumen bubnja: 189 lit, brzina bubnja 38 o/m
- snaga 18,7 kW, 400V 
</t>
  </si>
  <si>
    <t>profesionalna sušilica rublja, 
dimenzija 791 x 700 x 1804 mm</t>
  </si>
  <si>
    <t>Poluprofesionalni električni valjak za glačanje</t>
  </si>
  <si>
    <t xml:space="preserve">- radna površina 850mm
- promjer valjka 160mm
- brzina glačanja od 1-3 m/min
- kapacitet 12 - 15 kg/h
- 5 postavki temperature
- 3 postavke pare
- bočno otvoren za glačanje većih komada, pomičan i lako sklopiv 
- napon 230/50Hz, ukupna snaga 3,3 kW
</t>
  </si>
  <si>
    <t>- ploča stola izrađena je od laminiranog bijelog MDF-a debljine 25 mm
- postolje konstrukcija od inox lima AISI 304 SB+PVC
- na kotačima</t>
  </si>
  <si>
    <t>Stol za sortiranje rublja</t>
  </si>
  <si>
    <t xml:space="preserve">- 4 pune police (deb. 1 mm) sa omega pojačanjima 
- ukupna nosivost 150 kg po polici ravnomjerno raspoređenog tereta
- noge regala od inox lima sa ukutama i perforacijom za podešavanje razmaka među policama
- podesive inox inogice
- izvedba komplet inox lim AISI 304 SB+PVC
- svi oštri rubovi moraju biti pertlani zbog lakšeg održavanja i zaštite od povreda.
</t>
  </si>
  <si>
    <t>regal, dimenzija 900 x 600 x 1820 mm</t>
  </si>
  <si>
    <t xml:space="preserve">kolica za prljavo rublje, 
dimenzija 830 x 480 x 620 mm
</t>
  </si>
  <si>
    <t>- plastična</t>
  </si>
  <si>
    <t>Kolica za prljavo rublje kapaciteta 160 litara</t>
  </si>
  <si>
    <t>Kolica za čisto rublje</t>
  </si>
  <si>
    <t>- izrađena od ojačanog aluminjskog lima</t>
  </si>
  <si>
    <t xml:space="preserve">kolica za čisto rublje, 
dimenzija 830 x 490 x 650 mm
</t>
  </si>
  <si>
    <t>Dozvoljeno odstupanje u tehničkim karakteristikama do ± 3%.</t>
  </si>
  <si>
    <t>Električna instalacija dizala: za suhi prostor</t>
  </si>
  <si>
    <t>Korisna nosivost: 1000 kg - 13 osoba</t>
  </si>
  <si>
    <t>Brzina vožnje: 1,0  m/s</t>
  </si>
  <si>
    <t>Broj i naziv stanica:  2 (prizemlje 0, 1. kat)</t>
  </si>
  <si>
    <t>Broj ulaza: 2 (prizemlje 0, 1. kat)</t>
  </si>
  <si>
    <t>Visina dizanja: 3,60 m</t>
  </si>
  <si>
    <t xml:space="preserve">Pogonsko postrojenje: sinkroni motor sa permanentnim magnetima s frekvencijski reguliranim brojem okretaja
</t>
  </si>
  <si>
    <t xml:space="preserve">Vrsta upravljanja: sabirno simplex,  mikroprocesorsko  </t>
  </si>
  <si>
    <t xml:space="preserve">Signalizacija: optička  potvrda  primitka  poziva, LCD - optički pokazivač položaja kabine u kabini i na svim stanicama, optička i zvučna signalizacija preopterećenja, zvučni signal ALARM, zvučni signal dolaska kabine u stanicu (gong)
</t>
  </si>
  <si>
    <t>Električni priključak:  3x400/230 V,50 Hz</t>
  </si>
  <si>
    <t>Dubina donjeg dijela voznog okna:  1200 mm</t>
  </si>
  <si>
    <t>Visina gornjeg dijela voznog okna: min.  3774 mm</t>
  </si>
  <si>
    <t>Ovjes:    2:1</t>
  </si>
  <si>
    <t xml:space="preserve">Prilazna vrata:
- dimenzije: 900  x  2 100 mm 
- vrsta i način otvaranja: automatska teleskopska, 2-krilna                                                            
- obloga: nehrđajući čelični lim – brušen
</t>
  </si>
  <si>
    <r>
      <t xml:space="preserve">Vrsta, namjena: </t>
    </r>
    <r>
      <rPr>
        <b/>
        <sz val="10"/>
        <rFont val="Calibri"/>
        <family val="2"/>
        <charset val="238"/>
        <scheme val="minor"/>
      </rPr>
      <t xml:space="preserve"> </t>
    </r>
    <r>
      <rPr>
        <sz val="10"/>
        <rFont val="Calibri"/>
        <family val="2"/>
        <charset val="238"/>
        <scheme val="minor"/>
      </rPr>
      <t>osobno - evakuacijsko, za prijevoz osoba s invaliditetom  i smanjene pokretljivosti, bez strojarnice</t>
    </r>
    <r>
      <rPr>
        <sz val="10"/>
        <rFont val="Calibri"/>
        <family val="2"/>
        <scheme val="minor"/>
      </rPr>
      <t xml:space="preserve">
</t>
    </r>
  </si>
  <si>
    <t>Smještaj pogona i upravljanja: 
gore  u vrhu voznog okna</t>
  </si>
  <si>
    <t>Dizalo karakteristika:</t>
  </si>
  <si>
    <t>DIZALO - SVEUKUPNO:</t>
  </si>
  <si>
    <t>Dobava, izrada i ugradnja dizala osobno - evakuacijskog, za prijevoz osoba s invaliditetom  i smanjene pokretljivosti, bez strojarnice</t>
  </si>
  <si>
    <t xml:space="preserve">Za sve nuđene proizvode potrebno je prije njihove narudžbe odnosno ugradnje dostaviti kataloške podatke (i/ili montažna uputstva), kopije traženih certifikata, izjave proizvođača, svjetlotehničke izračune istovjetnima onima u projektu (samo za svjetiljke) kojima se dokazuje zadovoljavanje tehničkih uvjeta definiranim u troškovniku i projektu. 
Dokumenti moraju biti izrađeni od strane akreditiranih neovisnih ustanova (certifikati i ispitna izvješća) ili proizvođača (tehničke brošure). Nije dozvoljeno prilaganje izjava, brošura, kataloških podataka i dokumentacije izdanih od strane uvoznika, distributera, zastupnika i sl.. </t>
  </si>
  <si>
    <t xml:space="preserve">U slučaju prilaganja drugih tipova certifikata od navedenih ovim troškovnikom potrebno je priložiti dokumentaciju za dokazivanje njihove jednakovrijednosti sa traženima (osim kada se radi o novijim izdanjima certifikata/normi).
Traženu dokumentaciju potrebno je dostaviti nadzornom inženjeru i/ili projektantu na uvid, te je potrebno ishoditi pismeno odobrenje za ugradnju opreme koja je ponuđena (Zapisnik o ocjenjivanju nominirane opreme ili upisom u Građevinski dnevnik). Nadzorni inženjer/projektant prilikom tehničke evalulacije opreme imaju pravo zatražiti izvorne oblike (el. oblik) proračuna, svjetlotehničke krivulje, web adrese proizvođača/proizvoda  ukoliko to smatraju potrebnim za ocjenjivanje kvalitete. </t>
  </si>
  <si>
    <t>Ukoliko ponuđena oprema ne zadovoljava uvjete propisane troškovnikom/projektom nadzorni inženjer i/ili projektant dužni su u Građevinski dnevnijk ili Zapisnik o ocjenjivanju  navesti utvrđene nepravilnosti. Ponuditelj ima obvezu u što kraćem roku predložiti zamjensku opremu koja zadovoljava uvjete troškovnika i natječaja. Odobrenje za ugradnju zamjenske opreme potrebno je dobiti istim postupcima kako je navedeno ranije. Dobava i ugradnja zamjenske opreme ne smije negativno utjecati na ugovorene iznose prema troškovniku niti na produljenje roka izvođenja, odnosno za sav eventualni trošak odgovoran je Ponuditelj.</t>
  </si>
  <si>
    <t xml:space="preserve">Izvedba privremenog priključka, komplet sa građevinskim elektro ormarom koji je prethodno ispitan od ovlaštene tvrtke.
</t>
  </si>
  <si>
    <t xml:space="preserve"> NH(X)H FE180/E90 2x1,5mm2 / Ø20 (nužni isklopi)</t>
  </si>
  <si>
    <t>2x(PP00-A 4x95mm2 + 50mm2) / Ø160 (SPMO - GRO)</t>
  </si>
  <si>
    <t>FG160R 5x16mm2 / Ø50 (GRO - RO1)</t>
  </si>
  <si>
    <t>FG160R 5x10mm2 / Ø50 (GRO - RO2)</t>
  </si>
  <si>
    <t>FG160R 5x16mm2 / Ø40 (GRO - RO3)</t>
  </si>
  <si>
    <t>FG160R 4x50mm2+25mm2 / Ø75  (GRO - RK)</t>
  </si>
  <si>
    <t>FG160R 5x16mm2 / Ø50 (GRO - RP)</t>
  </si>
  <si>
    <t xml:space="preserve"> NH(X)H FE180/E90 5x4mm2 / Ø50 (GRO - RD)</t>
  </si>
  <si>
    <t>Obavijestiti nadležni HEP prije radova koji zahvaćaju postojeći NN kabel u njihovom vlasništvu.</t>
  </si>
  <si>
    <r>
      <rPr>
        <sz val="10"/>
        <rFont val="Calibri"/>
        <family val="2"/>
        <scheme val="minor"/>
      </rPr>
      <t xml:space="preserve">Oznaka na nacrtu: </t>
    </r>
    <r>
      <rPr>
        <b/>
        <sz val="10"/>
        <rFont val="Calibri"/>
        <family val="2"/>
        <scheme val="minor"/>
      </rPr>
      <t>A1-O</t>
    </r>
  </si>
  <si>
    <t xml:space="preserve">Ovjesna LED svjetiljka, kućište izrađeno od aluminija bijele boje, linearnog oblika, sa mikropriznatičnim difuzorom, DALI regulacija snage.
Minimalne tehničke karakteristike:
Ukupna snaga  ≤ 36W
Efektivni svjetlosni tok ≥ 4970lm
Temperatura boje svjetlosti = 3000K (+/-10%)
Kvaliteta prikaza boje CRI ≥ 80
Trajnost L80B10 ≥ 100.000h
Stupanj zaštite IP ≥ 44
Fotobiloški razred RG0/RG1 sukladno EN 62471:2009
Kvaliteta boje svjetlosti MacAdam (SDCM) ≤ 3 
Dimenzije kućišta: 1700x70x70mm (+/-15%)
</t>
  </si>
  <si>
    <t>Nadgradna LED svjetiljka u IP 54 (okno dizala)</t>
  </si>
  <si>
    <r>
      <t xml:space="preserve">Oznaka na nacrtu: </t>
    </r>
    <r>
      <rPr>
        <b/>
        <sz val="10"/>
        <rFont val="Calibri"/>
        <family val="2"/>
        <charset val="238"/>
        <scheme val="minor"/>
      </rPr>
      <t>B1</t>
    </r>
  </si>
  <si>
    <t xml:space="preserve">Ugradna spot LED svjetiljka okruglog oblika, kućište izrađeno od aluminija bijele boje, uzdignuti izvor svjetlosti protiv bliještanja, 
Minimalne tehničke karakteristike:
Ukupna snaga  ≤ 18W
Efektivni svjetlosni tok ≥ 1800lm
Optika širine 45 stupnjeva  (+/-10%)
Temperatura boje svjetlosti = 3000K (+/-10%)
Kvaliteta prikaza boje CRI ≥ 80
Trajnost L80B10 ≥ 50.000h
Stupanj zaštite IP ≥ 44
Fotobiloški razred RG0/RG1 sukladno EN 62471:2009
Kvaliteta boje svjetlosti MacAdam (SDCM) ≤ 3 </t>
  </si>
  <si>
    <r>
      <t xml:space="preserve">Oznaka na nacrtu: </t>
    </r>
    <r>
      <rPr>
        <b/>
        <sz val="10"/>
        <rFont val="Calibri"/>
        <family val="2"/>
        <charset val="238"/>
        <scheme val="minor"/>
      </rPr>
      <t>B2</t>
    </r>
  </si>
  <si>
    <t xml:space="preserve">Ugradna spot LED svjetiljka okruglog oblika, kućište izrađeno od aluminija bijele boje, uzdignuti izvor svjetlosti protiv bliještanja
Minimalne tehničke karakteristike:
Ukupna snaga  ≤ 10W
Efektivni svjetlosni tok ≥ 700lm
Optika širine 45 stupnjeva  (+/-10%)
Temperatura boje svjetlosti = 3000K (+/-10%)
Kvaliteta prikaza boje CRI ≥ 80
Trajnost L80B10 ≥ 50.000h
Stupanj zaštite IP ≥ 44
Fotobiloški razred RG0/RG1 sukladno EN 62471:2009
Kvaliteta boje svjetlosti MacAdam (SDCM) ≤ 3 </t>
  </si>
  <si>
    <t xml:space="preserve">Ugradna spot LED svjetiljka okruglog oblika, kućište izrađeno od aluminija crne boje, uzdignuti izvor svjetlosti protiv bliještanja, 
Minimalne tehničke karakteristike:
Ukupna snaga  ≤ 13W
Efektivni svjetlosni tok ≥ 1200lm
Optika širine 45 stupnjeva  (+/-10%)
Temperatura boje svjetlosti = 3000K (+/-10%)
Kvaliteta prikaza boje CRI ≥ 80
Trajnost L80B10 ≥ 50.000h
Stupanj zaštite IP ≥ 65
Fotobiloški razred RG0/RG1 sukladno EN 62471:2009
Kvaliteta boje svjetlosti MacAdam (SDCM) ≤ 3 </t>
  </si>
  <si>
    <r>
      <t xml:space="preserve">Oznaka na nacrtu: </t>
    </r>
    <r>
      <rPr>
        <b/>
        <sz val="10"/>
        <rFont val="Calibri"/>
        <family val="2"/>
        <scheme val="minor"/>
      </rPr>
      <t>C2</t>
    </r>
  </si>
  <si>
    <t xml:space="preserve">Ugradna spot LED svjetiljka okruglog oblika, kućište izrađeno od aluminija crne boje, uzdignuti izvor svjetlosti protiv bliještanja, 
Minimalne tehničke karakteristike:
Ukupna snaga  ≤ 18W
Efektivni svjetlosni tok ≥ 1500lm
Optika širine 45 stupnjeva  (+/-10%)
Temperatura boje svjetlosti = 3000K (+/-10%)
Kvaliteta prikaza boje CRI ≥ 80
Trajnost L80B10 ≥ 50.000h
Stupanj zaštite IP ≥ 65
Fotobiloški razred RG0/RG1 sukladno EN 62471:2009
Kvaliteta boje svjetlosti MacAdam (SDCM) ≤ 3 </t>
  </si>
  <si>
    <t>Nadgradna spot LED svjetiljka oblika valjka, kućište izrađeno od aluminija crne boje, uzdignuti izvor svjetlosti protiv bliještanja, 
Minimalne tehničke karakteristike:
Ukupna snaga  ≤ 13W
Efektivni svjetlosni tok ≥ 1100lm
Optika širine 45 stupnjeva  (+/-10%)
Temperatura boje svjetlosti = 3000K (+/-10%)
Kvaliteta prikaza boje CRI ≥ 80
Trajnost L80B10 ≥ 50.000h
Stupanj zaštite IP ≥ 65
Fotobiloški razred RG0/RG1 sukladno EN 62471:2009
Kvaliteta boje svjetlosti MacAdam (SDCM) ≤ 3 
Dimenzije kućišta: 130xØ80mm (+/-15%)</t>
  </si>
  <si>
    <r>
      <t xml:space="preserve">Oznaka na nacrtu: </t>
    </r>
    <r>
      <rPr>
        <b/>
        <sz val="10"/>
        <rFont val="Calibri"/>
        <family val="2"/>
        <charset val="238"/>
        <scheme val="minor"/>
      </rPr>
      <t>D2-O</t>
    </r>
  </si>
  <si>
    <t>Ovjesna spot LED svjetiljka oblika valjka, kućište izrađeno od aluminija crne boje, uzdignuti izvor svjetlosti protiv bliještanja, 
Minimalne tehničke karakteristike:
Ukupna snaga  ≤ 18W
Efektivni svjetlosni tok ≥ 1500lm
Optika širine 45 stupnjeva  (+/-10%)
Temperatura boje svjetlosti = 3000K (+/-10%)
Kvaliteta prikaza boje CRI ≥ 80
Trajnost L80B10 ≥ 50.000h
Stupanj zaštite IP ≥ 44
Fotobiloški razred RG0/RG1 sukladno EN 62471:2009
Kvaliteta boje svjetlosti MacAdam (SDCM) ≤ 3 
Dimenzije kućišta: 130xØ80mm (+/-15%)</t>
  </si>
  <si>
    <r>
      <t xml:space="preserve">Oznaka na nacrtu: </t>
    </r>
    <r>
      <rPr>
        <b/>
        <sz val="10"/>
        <rFont val="Calibri"/>
        <family val="2"/>
        <charset val="238"/>
        <scheme val="minor"/>
      </rPr>
      <t>F1</t>
    </r>
  </si>
  <si>
    <t>Ovjesni pribor za svjetiljke F1 u području kuhinje</t>
  </si>
  <si>
    <t>Nadgradna svjetiljka sigurnosne rasvjete, pripravni mod rada, autonomija 3h, predviđena za spajanje na centralni nadzorni sustav za ispitivanje i upravljanje
Minimalne tehničke karakteristike:
Snaga LED izvora: 2W
Efektivni svjetlosni tok ≥ 340lm
Simetrična sirokosnopna optika
Zaštita od prodora stranih tijela ≥ IP65
Svjetiljka posjeduje važeći ENEC certifikat</t>
  </si>
  <si>
    <r>
      <t>Oznaka na nacrtu:</t>
    </r>
    <r>
      <rPr>
        <b/>
        <sz val="10"/>
        <rFont val="Calibri"/>
        <family val="2"/>
        <scheme val="minor"/>
      </rPr>
      <t xml:space="preserve"> </t>
    </r>
    <r>
      <rPr>
        <b/>
        <sz val="10"/>
        <rFont val="Calibri"/>
        <family val="2"/>
        <charset val="238"/>
        <scheme val="minor"/>
      </rPr>
      <t>S1-U</t>
    </r>
  </si>
  <si>
    <t>Ugradna svjetiljka sigurnosne rasvjete, pripravni mod rada, autonomija 3hpredviđena za spajanje na centralni nadzorni sustav za ispitivanje i upravljanje,
Minimalne tehničke karakteristike:
Snaga LED izvora: 2W
Efektivni svjetlosni tok ≥ 340lm
Simetrična sirokosnopna optika
Zaštita od prodora stranih tijela ≥ IP65
Svjetiljka posjeduje važeći ENEC certifikat</t>
  </si>
  <si>
    <r>
      <t>Oznaka na nacrtu:</t>
    </r>
    <r>
      <rPr>
        <b/>
        <sz val="10"/>
        <rFont val="Calibri"/>
        <family val="2"/>
        <scheme val="minor"/>
      </rPr>
      <t xml:space="preserve"> </t>
    </r>
    <r>
      <rPr>
        <b/>
        <sz val="10"/>
        <rFont val="Calibri"/>
        <family val="2"/>
        <charset val="238"/>
        <scheme val="minor"/>
      </rPr>
      <t>S1+P</t>
    </r>
  </si>
  <si>
    <t>Nadgradna svjetiljka sigurnosne rasvjete, pripravni mod rada, autonomija 3h s piktogramskom naljepnicom odgovarajućeg smjera kretanja korisnika (isporučuje se zasebno uz svjetiljku), predviđena za spajanje na centralni nadzorni sustav za ispitivanje i upravljanje,
Minimalne tehničke karakteristike:
Snaga LED izvora: 2W
Efektivni svjetlosni tok ≥ 340lm
Simetrična sirokosnopna optika
Zaštita od prodora stranih tijela ≥ IP65
Svjetiljka posjeduje važeći ENEC certifikat</t>
  </si>
  <si>
    <t>Nadgradna svjetiljka sigurnosne rasvjete, pripravni mod rada, autonomija 3h, okruglo kućište crne boje, predviđena za spajanje na centralni nadzorni sustav za ispitivanje i upravljanje,
Minimalne tehničke karakteristike:
Snaga LED izvora: 2W
Efektivni svjetlosni tok ≥ 290lm
Asimetrična uskosnopna optika za evakuaciijske puteve 
Zaštita od prodora stranih tijela ≥ IP65
Svjetiljka posjeduje važeći ENEC certifikat</t>
  </si>
  <si>
    <r>
      <t xml:space="preserve">Oznaka na nacrtu: </t>
    </r>
    <r>
      <rPr>
        <b/>
        <sz val="10"/>
        <rFont val="Calibri"/>
        <family val="2"/>
        <scheme val="minor"/>
      </rPr>
      <t>S3-U</t>
    </r>
  </si>
  <si>
    <r>
      <t xml:space="preserve">Oznaka na nacrtu: </t>
    </r>
    <r>
      <rPr>
        <b/>
        <sz val="10"/>
        <rFont val="Calibri"/>
        <family val="2"/>
        <scheme val="minor"/>
      </rPr>
      <t>P1</t>
    </r>
  </si>
  <si>
    <t>Nadgradna svjetiljka sigurnosne rasvjete, pripravni mod rada, autonomija 3h, s ovjesnom prikogramskom pločom i naljepnicom odgovarajućeg smjera kretanja korisnika (isporučuje se zasebno uz svjetiljku), predviđena za spajanje na centralni nadzorni sustav za ispitivanje i upravljanje,
Minimalne tehničke karakteristike:
Snaga LED izvora: 2W
Efektivni svjetlosni tok ≥ 340lm
Simetrična sirokosnopna optika
Zaštita od prodora stranih tijela ≥ IP65
Svjetiljka posjeduje važeći ENEC certifikat</t>
  </si>
  <si>
    <t>2.1.20.</t>
  </si>
  <si>
    <r>
      <t xml:space="preserve">Oznaka na nacrtu: </t>
    </r>
    <r>
      <rPr>
        <b/>
        <sz val="10"/>
        <rFont val="Calibri"/>
        <family val="2"/>
        <scheme val="minor"/>
      </rPr>
      <t>P1-U</t>
    </r>
  </si>
  <si>
    <t>Ugradna svjetiljka sigurnosne rasvjete, pripravni mod rada, autonomija 3h, s ovjesnom prikogramskom pločom i naljepnicom odgovarajućeg smjera kretanja korisnika (isporučuje se zasebno uz svjetiljku), predviđena za spajanje na centralni nadzorni sustav za ispitivanje i upravljanje,
Minimalne tehničke karakteristike:
Snaga LED izvora: 2W
Efektivni svjetlosni tok ≥ 340lm
Simetrična sirokosnopna optika
Zaštita od prodora stranih tijela ≥ IP65
Svjetiljka posjeduje važeći ENEC certifikat</t>
  </si>
  <si>
    <t>2.1.21.</t>
  </si>
  <si>
    <t>Nadgradni detektor pokreta, bijele boje, kut detekcije 360 stupnjeva, domet 24m, zaštita IP54</t>
  </si>
  <si>
    <t>2.1.22.</t>
  </si>
  <si>
    <t xml:space="preserve">Sustav za nadzor sigurnosne rasvjete do 750 svjetiljki (proširivo do 4000), LED diode za signalizaciju stanja sustava, noćni rad, sustav pohrane podataka u internu i prijenosnu memoriju, 230V 50Hz napajanje, dodatno neovisno napajanje LiFePO4 baterijom, 6 komunikacijskih linija za povezivanje svjetiljki, maksimalna udaljenost od centralne jedinice do krajne spojene svjetiljke 1200m, mogućnost proširenja komunikacijskog kabela za dodatnih 1200m putem RPT pojačala, LCD monitor osjetljiv na dodir, intuitivno grafičko korisničko sučelje, vlastiti WEB server, RJ45 priključak, 4 programibilna inputa, 4 programibilna outputa.
</t>
  </si>
  <si>
    <t>2.1.23.</t>
  </si>
  <si>
    <t>2.1.24.</t>
  </si>
  <si>
    <t xml:space="preserve">Isporuka, montaža i spajanje sklopki za rasvjetu, komplet s instalacijskom kutijom, držačem i ukrasnom maskom, boja  bijela
</t>
  </si>
  <si>
    <t>2.2.12.</t>
  </si>
  <si>
    <t>Industrijska rastavna sklopka za nadžbuknu ugradnju, IP65, 3P, 20A, sa kućištem dim. 60x60mm +/-10%</t>
  </si>
  <si>
    <r>
      <t xml:space="preserve">Isporuka, montaža i spajanje utičnica </t>
    </r>
    <r>
      <rPr>
        <b/>
        <sz val="10"/>
        <rFont val="Calibri"/>
        <family val="2"/>
        <charset val="238"/>
        <scheme val="minor"/>
      </rPr>
      <t>sa zaštitom za djecu</t>
    </r>
    <r>
      <rPr>
        <sz val="10"/>
        <rFont val="Calibri"/>
        <family val="2"/>
        <scheme val="minor"/>
      </rPr>
      <t>, komplet sa instalacijskom kutijom, držačem i ukrasnom maskom, boja bijela</t>
    </r>
  </si>
  <si>
    <t xml:space="preserve">230V, kabel NYM 3x2,5mm2 prosječno 20m, komplet sa PVC cijev Ø=20 mm, na izvodu ostaviti 3m viška kabela (tehnologija kuhinje)
</t>
  </si>
  <si>
    <t>230V, kabel  NH(X)H FE180/E90 3x1,5mm2 prosječno 20m, komplet sa PVC cijev Ø=20 mm, na izvodu ostaviti 2m viška kabela (PP vrata)</t>
  </si>
  <si>
    <t xml:space="preserve">izrada izvoda za fiksni priključak, izvod 10A, 250V, kabel NYM 7x1,5mm2 prosječno 30m (krovni prozor+sjenilo)
</t>
  </si>
  <si>
    <t xml:space="preserve">izrada izvoda za fiksni priključak, izvod 10A, 250V, kabel NYM 3x1,5mm2 prosječno 30m (elektromotorni pogon roleta)
</t>
  </si>
  <si>
    <t xml:space="preserve">230V, kabel NYM 3x2,5mm2 prosječno 20m, komplet sa PVC cijev Ø=20 mm, na izvodu ostaviti 2m viška kabela (garažna vrata)
</t>
  </si>
  <si>
    <t>NYM 5x1,5mm2</t>
  </si>
  <si>
    <t xml:space="preserve">Dobava i polaganje u vertikalnim serklažama pocinčane čelične trake Fe/Zn 25 x 4 od mjernog spoja do temeljnog uzemljivača u betonu.
</t>
  </si>
  <si>
    <t>Dobava i polaganje okruglog profila Ø8mm legura aluminija AH1 na nosače za kosi krov</t>
  </si>
  <si>
    <t>Dobava i montaža nosača profila Ø8mm za kosi krov</t>
  </si>
  <si>
    <t>Izrada međusobnih spojeva Fe/Zn trake križnim spojnicama 80x80x3</t>
  </si>
  <si>
    <t xml:space="preserve">Izrada međusobnih spojeva okruglog profila Ø8mm legura aluminija AH1 križnim spojnicama 80x80x3 </t>
  </si>
  <si>
    <t xml:space="preserve">Dobava i polaganje vertikalne zaštite dimnjaka sa ostojnicima dužine 2m. Stavci pripadaju i radovi povezivanja vertikalne zaštite na instalaciju zaštite od udara munje.
</t>
  </si>
  <si>
    <t>3.19.</t>
  </si>
  <si>
    <t>Ostali sitni neimenovani materijal kao elektrode, olovo, bitumen, prokom lim, prokrom vijci i sl.</t>
  </si>
  <si>
    <t>3.20.</t>
  </si>
  <si>
    <t>Izvedba priključka ventilatora sanitarija vodom NYM 3x1,5mm2 prosječne dužine 10 m na pripadni strujni krug rasvjete, komplet sa ugradnjom timera sa vremenskim kašnjenjem</t>
  </si>
  <si>
    <t xml:space="preserve">Izvedba priključka vanjske jedinice dizalice topline VJDT vodom FG160R 4x50mm2 + 25mm2 prosječno 45m, dobavom i polaganjem u instalacione cijevi ɸ75mm, sa spajanjem na oba kraja na ormar GRO
</t>
  </si>
  <si>
    <t xml:space="preserve">Izvedba priključka vanjske jedinice VRF sustava vodom FG160R 5x2,5mm2 prosječno 45m, dobavom i polaganjem u instalacione cijevi ɸ50mm, sa spajanjem na oba kraja na ormar GRO
</t>
  </si>
  <si>
    <t>Izvedba priključka unutarnja jedinica ventilokonvektora F.C. u prostorima kabelom NYM 3x1,5 mm2 na pripadni razdjelnik prosječne dužine 30m</t>
  </si>
  <si>
    <t>Izvedba priključka rekuperatora vodom NYM 5x2,5mm2 prosječno 30m, dobavom i polaganjem u instalacione cijevi ɸ32mm, sa spajanjem na oba kraja na pripadni elektro ormar</t>
  </si>
  <si>
    <t>Izvedba priključka kanalnog el. grijača vodom NYM 5x2,5mm2 prosječno 10m, dobavom i polaganjem u instalacione cijevi ɸ32mm, sa spajanjem na oba kraja na pripadni elektro ormar praonice</t>
  </si>
  <si>
    <t>Izvedba veze termostat P.G. – ormar podnog grijanja, te priključnih kutija za međusobna spajanja kabelom LiYCY 2x0,75 mm prosječno 20 m, polaganjem u instalacione cijevi ɸ20mm, sa spajanjem na oba kraja</t>
  </si>
  <si>
    <t>Izvedba priključka zidne nape vodom NYM 3x2,5mm2 prosječno 20m, dobavom i polaganjem u instalacione cijevi ɸ20mm, sa spajanjem na oba kraja na pripadni elektro ormar kuhinje</t>
  </si>
  <si>
    <t>Izvedba priključka centralne nape vodom NYM 3x2,5mm2 prosječno 20m, dobavom i polaganjem u instalacione cijevi ɸ20mm, sa spajanjem na oba kraja na pripadni elektro ormar kuhinje</t>
  </si>
  <si>
    <t xml:space="preserve">Izvedba priključka sa spajanjem na oba kraja ormara centranog nadzornog sustava CNUS i polaganjem kabela FG160R 5x6mm2 polaganjem na kabelske police prosječne duljine 10m.
</t>
  </si>
  <si>
    <t>Izvedba priključka bivalentnog akumulacijskog spremnika vodom NYM 5x2,5mm2 prosječno 10m, dobavom i polaganjem u instalacione cijevi ɸ32mm, sa spajanjem na oba kraja na pripadni elektro ormar</t>
  </si>
  <si>
    <t>Izvedba priključka unutarnje jedinice VRF sustava vodom NYM 5x2,5mm2 prosječno 10m, dobavom i polaganjem u instalacione cijevi ɸ32mm, sa spajanjem na oba kraja na pripadni elektro ormar</t>
  </si>
  <si>
    <t>Izvedba priključka toplovodnog el. kotla vodom NYM 5x10mm2 prosječno 10m, dobavom i polaganjem u instalacione cijevi ɸ50mm, sa spajanjem na oba kraja na pripadni elektro ormar</t>
  </si>
  <si>
    <r>
      <t>Izvedba priključka U/I modula isklopa ventilacije i el.mag. kontakti na vratima kabelom NH(X)H FE180/E90 5x1,5mm</t>
    </r>
    <r>
      <rPr>
        <vertAlign val="superscript"/>
        <sz val="10"/>
        <rFont val="Calibri"/>
        <family val="2"/>
        <scheme val="minor"/>
      </rPr>
      <t>2</t>
    </r>
    <r>
      <rPr>
        <sz val="10"/>
        <rFont val="Calibri"/>
        <family val="2"/>
        <scheme val="minor"/>
      </rPr>
      <t xml:space="preserve"> prosječno 30m na pripadne etažne razdjelnike
</t>
    </r>
  </si>
  <si>
    <t>4.22.</t>
  </si>
  <si>
    <t>4.23.</t>
  </si>
  <si>
    <t>GLAVNI KOMUNIKACIJSKI ORMAR TK</t>
  </si>
  <si>
    <t>5.1.1.</t>
  </si>
  <si>
    <t>5.1.2.</t>
  </si>
  <si>
    <t>5.1.3.</t>
  </si>
  <si>
    <t xml:space="preserve">Dobava, ugradanja i spajanje LC SM 9/125 dužine 1m </t>
  </si>
  <si>
    <t>5.1.4.</t>
  </si>
  <si>
    <t>5.1.5.</t>
  </si>
  <si>
    <t>5.1.6.</t>
  </si>
  <si>
    <t>5.1.7.</t>
  </si>
  <si>
    <t>5.1.8.</t>
  </si>
  <si>
    <t>5.1.9.</t>
  </si>
  <si>
    <t>5.1.10.</t>
  </si>
  <si>
    <t>Dobava i ugradanja  Module Real10 CAT6e, 1 x RJ45 S/FTP</t>
  </si>
  <si>
    <t>5.1.11.</t>
  </si>
  <si>
    <t>5.1.12.</t>
  </si>
  <si>
    <t>5.1.13.</t>
  </si>
  <si>
    <t>Dobava, isporuka i polaganje u cijevi d=75 od EKI zdenca do pripadajućeg glavnog telekomunikacijskog ormara TK, dovodnog kabela TK 59 30x2x0,6 mm, sa spajanjem, ispitivanjem i izradom atesta</t>
  </si>
  <si>
    <t>Dobava, isporuka i polaganje u cijevi d=75 od EKI zdenca do pripadajućeg glavnog telekomunikacijskog ormara TK, dovodnog optičkog kabela Opt. kabel I-V(ZN)H, Mini-Breakout, 12E 9/125μm, LSZH sa spajanjem, ispitivanjem i izradom atesta</t>
  </si>
  <si>
    <t>Dobava i ugradnja Patch kablova Cat6e/s 2m</t>
  </si>
  <si>
    <r>
      <t xml:space="preserve">PVC cijev </t>
    </r>
    <r>
      <rPr>
        <sz val="10"/>
        <rFont val="Arial Narrow"/>
        <family val="2"/>
      </rPr>
      <t>Ø20</t>
    </r>
  </si>
  <si>
    <t>obujmica</t>
  </si>
  <si>
    <t>Dobava, montaža, spajanje i podešavanje Pristupna točka (eng. Access point)  (WiFi) napajanje putem Etherneta (PoE)</t>
  </si>
  <si>
    <t xml:space="preserve">Dobava, montaža, spajanje i podešavanje Switch 8 Upravljano Gigabit Ethernet (10/100/1000) podrška za napajanje putem Eterneta (Poe) </t>
  </si>
  <si>
    <t xml:space="preserve">Dobava i montaža telekomunikacijskog tipskog betonskog zdenca MDZ0 sa brtvama za cijevi Ø75. Stavka obuhvaća i iskop zemlje bez obzira na kategoriju za ugradnju kabelskog zdenca D0.
</t>
  </si>
  <si>
    <t>UC21 prosječne dužine 50m</t>
  </si>
  <si>
    <t>Dobava, uvlačenje i spajanje Cu vodiča PPJ 2x1,2 mm2 za mrežni priključak stanice i razvodnog ormara vrtića</t>
  </si>
  <si>
    <t>Dobava, ugradnja i spajanje modularnog panela za vanjsku audio video jedinicu.</t>
  </si>
  <si>
    <t>Dobava, ugradnja i spajanje prednjeg modularnog panela za vanjsku audio jedinicu.</t>
  </si>
  <si>
    <t>Dobava, ugradnja i spajanje modula tipkovnice vanjske videoportafonske jedinice, u crnoj boji, za predmetne sustave.</t>
  </si>
  <si>
    <t>Dobava i montaža okvira sa nosačima modula za videoportafonsku jedinicu.</t>
  </si>
  <si>
    <t>Dobava i montaža plastične ugradne kutije za vanjsku videoportafonsku jedinicu.</t>
  </si>
  <si>
    <t>Dobava, ugradnja i spajanje 5"monitora bijele boje, sa zaslonom u boji rezolucije min.  800 x 480 px, za montažu na zid ili stol (uz dodatni pribor), sa dodirnim tipkama, IR senzorom pokreta za aktivaciju glavnih funkcija, prilagođeno za slijepe osobe, mogućnost odabira 5 vrste zvukova. Regulacija glasnoće i MUTE funkcija. Regulacija svjetline i boje slike. Multifunkcijske tipke za odabir različitih funkcija. Osiguran izlaz za povezivanje dodatnog zvona.</t>
  </si>
  <si>
    <t>Dobava, ugradnja i spajanje interfonske jedinice sa slušalicom. Jedna tipka za otvaranje vrata (pozadinsko osvjetljenje) i još 3 tipke za dodatne usluge (za otvaranje drugog ulaz, za uključivanje svjetla na stubištu, za pozivanje vratara, za pozivanje drugih jedinica i slično). LED signalizira aktivne funkcije (MUTE ON, automatski otvorena vrata ON) ili posebne situacije (vrata su otvorena, aktivni poziv). Opremljen je namjenskim ulazom za etažno pozivno tipkalo i jednim izlazom za prosljeđivanje signala na dodatni vanjski uređaj (zvono, rasvjeta, itd.). Moguće je odabrati ton poziva za dolazne pozive i za etažni poziv između 5 različitih zvukova.</t>
  </si>
  <si>
    <t>Dobava, ugradnja i spajanje katnog razdjelnika za 4 korisnika. Sastoji se od ulazne i izlazne veze za Bus komunikaciju i proširenja za 4 stana. Modul opremljen izlaznom zaštitom od kratkog spoja.</t>
  </si>
  <si>
    <t>Dobava, ugradnja i spajanje digitalnog audio video pozivnog modula vanjske videoportafonske jedinice koji uključuje zvučnik, kameru u boji 1083/48, 1168/1 elektronički imenik, 1168/46 tipkovnicu i napajanje 1083/20A.</t>
  </si>
  <si>
    <t>7.10.</t>
  </si>
  <si>
    <t>Dobava, ugradnja i spajanje digitalnog video pozivnog modula vanjske videoportafonske jedinice koji uključuje zvučnik, kameru u boji 1083/48 i sučelje 1083/53.</t>
  </si>
  <si>
    <t>7.11.</t>
  </si>
  <si>
    <t>Dobava, ugradnja i spajanje električne brave.</t>
  </si>
  <si>
    <t>7.12.</t>
  </si>
  <si>
    <t>Pregled izvedenog sustava, programiranje i školovanje predstavnika korisnika.</t>
  </si>
  <si>
    <t>7.13.</t>
  </si>
  <si>
    <t>Dobava, uvlačenje u termoplastične cijevi i spajanje  kabela UTP/Cat5 za portafonsku instalaciju</t>
  </si>
  <si>
    <t>7.14.</t>
  </si>
  <si>
    <t>Dobava i polaganje termoplastičnih cijevi PVC fi 16 za portafonsku instalaciju</t>
  </si>
  <si>
    <t>7.15.</t>
  </si>
  <si>
    <t>OPREMA, MATERIJAL I SPECIJALISTIČKI RADOVI</t>
  </si>
  <si>
    <t>Dobava programskog seta za hrvatski jezik.</t>
  </si>
  <si>
    <t>Dobava, ugradnja i spajanje vatrootpornog ormarića za vatrodojavnu centralu u izvedbi sa protupožarnim staklom, zaštite F30, certificiran u RH.</t>
  </si>
  <si>
    <t>Dobava, ugradnja i spajanje akumulatora 12V / 18 Ah.</t>
  </si>
  <si>
    <t>Dobava, ugradnja i spajanje adresibilnog ulazno izlaznog modula sa dvostrukim izolatorom petlje sastavljen od 2 nadzirane fizičke/logičke jedinice: 1 ulaz i 1 izlaz, koje sustav pojedinačno identificira i zauzimaju do 2 adrese, u kućištu.</t>
  </si>
  <si>
    <t>Dobava, ugradnja i spajanje adresibilnog ulazno izlaznog modula sa dvostrukim izolatorom petlje sastavljen od 4 nadzirane fizičke/logičke jedinice: 4 relejna izlaza (30Vdc/1A (NC / NO), 4 električna izlaza, 4 električna ulaza, u kućištu.</t>
  </si>
  <si>
    <t>Dobava, ugradnja i spajanje ručnog analognog javljača za vanjsku ugradnju IP 66, crvena boja, 9 -30Vdc, 3A kontakt.</t>
  </si>
  <si>
    <t>Dobava i montaža pločice s oznakom za ručne javljače.</t>
  </si>
  <si>
    <t>Dobava, ugradnja i spajanje adresibilnog optičkog detektora dima s izolatorom petlje. Dimenzija Ø 90 x 31 mm (h). Osigurava protupožarnoj centrali informacije o razini prašine, u načinu pregleda prikazuje LED adresu koji će se prikazati putem LED indikatora. Indikator prikazuje status detektora.</t>
  </si>
  <si>
    <t>Dobava, ugradnja i spajanje adresibilnog termičkog detektora dima s izolatorom petlje.  Alarm na 58°C. Dimenzije Ø 90 x 40 mm (h). U načinu pregleda prikazuje LED adresu koji će se prikazati putem LED indikatora. Indikator prikazuje status detektora.</t>
  </si>
  <si>
    <t>Dobava, ugradnja i spajanje termičkog detekcijskog kabela.</t>
  </si>
  <si>
    <t>Dobava i spajanje elementa za pričvršćenje termičkog kabela.</t>
  </si>
  <si>
    <t>Dobava, ugradnja i spajanje sirena s bljeskalicom (RoLP) LX Wall, 18 - 28Vdc / 22 - 37mA, ovisno o postavci (zvuk i ponavljanje; ton 3) - visina ugradnje 2,4m (max), pokrivenost - 135m3 (15m3), bakar, IP65, radna temperatura : -25ºC do + 70ºC, težina: 200g, izlazna snaga 102dB (A) (Tipični ton 3 - RoLP).</t>
  </si>
  <si>
    <t>Dobava, ugradnja i spajanje sirene sa bljeskalicom 24Vdc - 14.5mA, za unutarnju montažu, crvena, 100dB, IP21.</t>
  </si>
  <si>
    <t>Dobava i montaža pločice s oznakom za sirene.</t>
  </si>
  <si>
    <t>Označavanje i programiranje uređaja.</t>
  </si>
  <si>
    <t>Programiranje i puštanje u rad vatrodojavne centrale.</t>
  </si>
  <si>
    <t>Sudjelovanje pri inspekcijskom nadzoru od strane ovlaštene institucije.</t>
  </si>
  <si>
    <t>Komunikacijski i drugi kablovi</t>
  </si>
  <si>
    <t>Dodatni montažni i instalacijski pribor (prespojne kutije, ormarići …).</t>
  </si>
  <si>
    <t>OPREMA, MATERIJAL I SPECIJALISTIČKI RADOVI - UKUPNO:</t>
  </si>
  <si>
    <t>SUSTAV ODIMLJAVANJA</t>
  </si>
  <si>
    <t>OPREMA:</t>
  </si>
  <si>
    <t>KABLOVI I MONTAŽA:</t>
  </si>
  <si>
    <t xml:space="preserve">Dobava i isporuka vatrodojavnog bezahlogenog instalacijskog kabela poboljšanih svojstava za slučaj požara JE-H(St)H FE 180/E 30 2x2x0,8 mm za spajanje sa izvršnim modulom sustava dojave požara. </t>
  </si>
  <si>
    <t xml:space="preserve">Polaganje vatrodojavnog bezahlogenog instalacijskog kabela poboljšanih svojstava za slučaj požara JE-H(St)H FE 180/E 30 2x2x0,8 mm za spajanje sa izvršnim modulom sustava dojave požara. </t>
  </si>
  <si>
    <t>Dobava i isporuka podžbukne samogasive ticino CS cijevi promjera 16/11 mm</t>
  </si>
  <si>
    <t>2.2.13.</t>
  </si>
  <si>
    <t>Montaža elektromotora za otvaranje prozora</t>
  </si>
  <si>
    <t>2.2.14.</t>
  </si>
  <si>
    <t>Spajanje elektromotora za otvaranje prozora</t>
  </si>
  <si>
    <t>2.2.15.</t>
  </si>
  <si>
    <t>Montaža pogona za otvaranje vrata</t>
  </si>
  <si>
    <t>2.2.16.</t>
  </si>
  <si>
    <t>Spajanje pogona za otvaranje vrata</t>
  </si>
  <si>
    <t>2.2.17.</t>
  </si>
  <si>
    <t>Montaža i spajanje ručnih javljača</t>
  </si>
  <si>
    <t>2.2.18.</t>
  </si>
  <si>
    <t>Montaža i spajanje senzora kiše i vjetra (vremenske stanice)</t>
  </si>
  <si>
    <t>PROGRAMIRANJE I ISPITIVANJE:</t>
  </si>
  <si>
    <t>Puštanje u rad sustava odvođenja dima i topline</t>
  </si>
  <si>
    <t>Programiranje centrale odvođenja dima i topline</t>
  </si>
  <si>
    <t xml:space="preserve">Izrada i isporuka projekta izvedenog stanja sustava u 3 ovjerena uvezana primjerka i 1 digitalnim primjerom s ovjerom ovlaštenog inženjera </t>
  </si>
  <si>
    <t>SUSTAV ODIMLJAVANJA- UKUPNO:</t>
  </si>
  <si>
    <t>zidno ogledalo 60 x 60 cm</t>
  </si>
  <si>
    <t xml:space="preserve">- Zidno ogledalo dimenzija 60 x 60 cm, komplet s pričvrsnim materijalom
- Kromirani držač posude za tekući sapun i posuda za tekući sapun bijela, komplet sa pričvrsnim materijalom
- Kanta za smeće od inox materijala sa pedalom volumena 10 litara
- Zidni držač toaletnih ubrusa za ruke; dimenzija: 337 x 200 x 141 mm; koristi se za toaletne ubruse; za kontroliranu potrošnju toaletnih ubrusa u listićima (jedan potez-jedan listić); proziran dio s prednje strane omogućava uvid u stanje papira, komplet s pričvrsnim materijalom.
</t>
  </si>
  <si>
    <r>
      <rPr>
        <b/>
        <sz val="10"/>
        <rFont val="Calibri"/>
        <family val="2"/>
        <charset val="238"/>
      </rPr>
      <t xml:space="preserve">Nabava, doprema i montaža armature sudopera u kuhinji  </t>
    </r>
    <r>
      <rPr>
        <sz val="10"/>
        <rFont val="Calibri"/>
        <family val="2"/>
      </rPr>
      <t xml:space="preserve">koji se sastoji od:
</t>
    </r>
  </si>
  <si>
    <t>- Jednoručna samostojeća profesionalna mješalice za sudoper s dugim pomičnim ispustom, dva gibljiva crijeva za priključak vode, komplet s kutnim ventilima, cijevi za dovod vode Ø1/2''.</t>
  </si>
  <si>
    <t xml:space="preserve">Obračun se vrši po kompletu i komadu montirane WC školjke, vodokotlića i opreme, sa spojevima dovoda i odvoda i ostalim spojevima, uključivši sav potreban materijal za montažu i spojno-brtveni materijal, sve do pune funkcionalnosti. U stavci obračunati sva potrebna štemanja i krpanja. </t>
  </si>
  <si>
    <t>WC školjka dimenzija 35-36 x 46-55 x 39-45 cm, stojeća, odvod u zid</t>
  </si>
  <si>
    <t xml:space="preserve">- Stojeća WC školjka, bijele boje, keramika I. klase,  namjenjena sanitarnim čvorovima za djecu (dimenzijama prilagođena djeci). Školjka se priključuje na instalacije odvodnje sa “baltik” (odvod u zid) priključkom, sa isplavnom cijevi, gumena manžeta, kutni ventil f1/2''-f3/8'' tlačna cijev rebrasta fleksibilna f8/10'', te vijci za pričvršćenje WC-a. Odvodnu cijev od školjke do zida izvesti od krutom cijevi.
Sjedište poklopna plastična ili drvena lakirana daska  oblika prema WC školjki sa tri gumena odbojnika. 
- Plastični, niskošumni, nadžbukni vodokotlić, bijeli, tipka stop za štednju vode, volumen vodokotlića 9 litara, podešavanje količine vode između 6 i 9 litara, mogućnost priključivanja vode s 3 strane, izolacija protiv rošenja, tiho i brzo punjenje, izrađen od kvalitetnog abs materijala, dijelovi za montažu vodokotlića (niska montaža), priključna cijev 3/8”, montažna šablona, predviđen za nisku montažu 
- Zidni nosač od inoxa s WC četkom 
- Zidni držač toaletnih listića; koristi se za toaletne listiće; za kontroliranu potrošnju toaletnog papira u listićima (jedan potez-jedan listić); komplet s pričvrsnim materijalom.
- Kanta za smeće od inox materijala sa pedalom  volumena 10,0 litara.
</t>
  </si>
  <si>
    <t>instalacijski element s ugradbenim WC vodokotlićem</t>
  </si>
  <si>
    <t>WC školjka dimenzija 36 x 65-70 x 45-50 cm, konzolna, invalidska, odvod u zid</t>
  </si>
  <si>
    <t xml:space="preserve">WC školjka dimenzija 29-33 x 38-43 x 30-35 (visina sjedala) cm, stojeća,odvod u zid, dječja
</t>
  </si>
  <si>
    <t xml:space="preserve">- Konzolna WC školjka, bijele boje, keramika I. klase, namjenjene  sanitarnim čvorovima osoblja. Školjka se priključuje na instalacije odvodnje sa “baltik” (odvod u zid) priključkom, sa isplavnom cijevi, gumena manžeta, kutni ventil f1/2''-f3/8'' tlačna cijev rebrasta fleksibilna f8/10'', te vijci za pričvršćenje WC-a. 
Sjedište poklopna plastična ili drvena lakirana daska  oblika prema WC školjki sa tri gumena odbojnika. 
- Montažni instalacijski element za WC školjku s niskošumnim ugradbenim vodokotlićem  i štednom dvokoličinskom (6/3 litara) plastičnom tipkom za aktiviranje ispiranja. Instalacijski  element samonosiv za ugradnju na AB zid u suhomontažnu predzidnu konstrukciju obloženu gipskartonskim pločama, komplet s integriranim kutnim ventilom priključka vode ½", niskošumnim uljevnim ventilom, odvodnim koljenom sa zvučno izoliranom ubujmicom, spojnim komadom za WC školjku s brtvenim manžetama i setom zvučne izolacije, vijcima za učvršćenje keramike i svim potrebnim priborom za ugradnju prema uputama proizvođača.
- Zidni nosač od inoxa s WC četkom.
- Zidni držač toaletnih listića; koristi se za toaletne listiće; za kontroliranu potrošnju toaletnog papira u listićima (jedan potez-jedan listić); komplet s pričvrsnim materijalom.
- Kanta za smeće od inox materijala sa pedalom  volumena 10,0 litara.
</t>
  </si>
  <si>
    <t>instalacijski element s podžbuknim WC vodokotlićem</t>
  </si>
  <si>
    <t>- Stojeća WC školjka, bijele boje, keramika I. klase, namjenjene  sanitarnim čvorovima osoblja. Školjka se priključuje na instalacije odvodnje sa “baltik” (odvod u zid) priključkom, sa isplavnom cijevi, gumena manžeta, kutni ventil f1/2''-f3/8'' tlačna cijev rebrasta fleksibilna f8/10'', te vijci za pričvršćenje WC-a. Odvodnu cijev od školjke do zida izvesti od krutom cijevi.
Sjedište poklopna plastična ili drvena lakirana daska  oblika prema WC školjki sa tri gumena odbojnika. 
- Plastični, niskošumni, nadžbukni vodokotlić, bijeli, tipka stop za štednju vode, volumen vodokotlića 9 litara, podešavanje količine vode između 6 i 9 litara, mogućnost priključivanja vode s 3 strane, izolacija protiv rošenja, tiho i brzo punjenje, izrađen od kvalitetnog abs materijala, dijelovi za montažu vodokotlića (niska montaža), priključna cijev 3/8”, montažna šablona, predviđen za nisku montažu
- Zidni nosač od inoxa s WC četkom.
- Zidni držač toaletnih listića; koristi se za toaletne listiće; za kontroliranu potrošnju toaletnog papira u listićima (jedan potez-jedan listić); komplet s pričvrsnim materijalom.
- Kanta za smeće od inox materijala sa pedalom  volumena 10,0 litara.</t>
  </si>
  <si>
    <t>12.11.</t>
  </si>
  <si>
    <t>12.12.</t>
  </si>
  <si>
    <r>
      <rPr>
        <b/>
        <sz val="10"/>
        <rFont val="Calibri"/>
        <family val="2"/>
      </rPr>
      <t xml:space="preserve">Nabava, doprema i montaža kompletnog  WC-a  </t>
    </r>
    <r>
      <rPr>
        <sz val="10"/>
        <rFont val="Calibri"/>
        <family val="2"/>
      </rPr>
      <t xml:space="preserve">koji se sastoji od:
</t>
    </r>
  </si>
  <si>
    <r>
      <rPr>
        <b/>
        <sz val="10"/>
        <rFont val="Calibri"/>
        <family val="2"/>
        <scheme val="minor"/>
      </rPr>
      <t xml:space="preserve">Ručni iskop </t>
    </r>
    <r>
      <rPr>
        <sz val="10"/>
        <rFont val="Calibri"/>
        <family val="2"/>
        <charset val="238"/>
        <scheme val="minor"/>
      </rPr>
      <t>jame</t>
    </r>
    <r>
      <rPr>
        <b/>
        <sz val="10"/>
        <rFont val="Calibri"/>
        <family val="2"/>
        <scheme val="minor"/>
      </rPr>
      <t xml:space="preserve">  </t>
    </r>
    <r>
      <rPr>
        <sz val="10"/>
        <rFont val="Calibri"/>
        <family val="2"/>
        <scheme val="minor"/>
      </rPr>
      <t xml:space="preserve">sabirne jame i vodomjernog okna na mjestima gdje strojni iskop nije moguć (cca. 5%), a prema odobrenju nadzornog inženjera. Obračun po m3. 
</t>
    </r>
  </si>
  <si>
    <r>
      <rPr>
        <b/>
        <sz val="10"/>
        <rFont val="Calibri"/>
        <family val="2"/>
        <scheme val="minor"/>
      </rPr>
      <t xml:space="preserve">Ručni iskop </t>
    </r>
    <r>
      <rPr>
        <sz val="10"/>
        <rFont val="Calibri"/>
        <family val="2"/>
        <scheme val="minor"/>
      </rPr>
      <t xml:space="preserve">rova za kanal na mjestima gdje strojni iskop nije moguć (cca 10%), a prema odobrenju nadzornog inženjera. Obračun po m3. 
</t>
    </r>
  </si>
  <si>
    <t xml:space="preserve">Predviđena količina armature je cca 110 kg/m3 ugrađenog betona.
</t>
  </si>
  <si>
    <r>
      <rPr>
        <b/>
        <sz val="10"/>
        <rFont val="Calibri"/>
        <family val="2"/>
        <charset val="238"/>
        <scheme val="minor"/>
      </rPr>
      <t>Izrada priključka na postojeću betonsku cijev  sustava oborinske odvodnje.</t>
    </r>
    <r>
      <rPr>
        <sz val="10"/>
        <rFont val="Calibri"/>
        <family val="2"/>
        <scheme val="minor"/>
      </rPr>
      <t xml:space="preserve">
U stavku uračunati sve potrebne radove na izradi priključka. 
</t>
    </r>
  </si>
  <si>
    <r>
      <rPr>
        <b/>
        <sz val="10"/>
        <rFont val="Calibri"/>
        <family val="2"/>
        <scheme val="minor"/>
      </rPr>
      <t xml:space="preserve">Ispitivanje vanjske instalacije oborinske odvodnje </t>
    </r>
    <r>
      <rPr>
        <sz val="10"/>
        <rFont val="Calibri"/>
        <family val="2"/>
        <scheme val="minor"/>
      </rPr>
      <t xml:space="preserve">na protočnost i  vodonepropusnost sa izdavanjem atesta. Obračun po m1. 
</t>
    </r>
  </si>
  <si>
    <t xml:space="preserve">Materijal dodatno zaštićen postupkom pikopasivizacije nakon izrade radi dodatne zaštite od agresivnih medija i korozije. 
</t>
  </si>
  <si>
    <t xml:space="preserve">U stavci je uračunat sav potreban rad i materijal za ugradnju prema preporuci proizvođača. Obračun po kompletu. 
</t>
  </si>
  <si>
    <r>
      <rPr>
        <b/>
        <sz val="10"/>
        <rFont val="Calibri"/>
        <family val="2"/>
      </rPr>
      <t>Nabava, doprema i ugradnja vertikalnog grijanog slivnika s hvatačem lišća</t>
    </r>
    <r>
      <rPr>
        <sz val="10"/>
        <rFont val="Calibri"/>
        <family val="2"/>
      </rPr>
      <t xml:space="preserve">, za ugradnju u hidroizolaciju na bazi FPO/TPO, sa mogućnošću spajanja na hidroizolaciju, za neprohodni krov s balastom od šljunka. 
Slivnik DN 110 s vertikalnim izlazom. 
Slivnik se spaja na vertikalnu HDPE cijev d110 (stavka 9.1.). Slivnik je smješten u sloju toplinske izolacije i AB ploče te stavka uključuje i grijač, nastavne, drenažne i zaštitne elemente te hvatač lišća. Sve do pune funkcionalnosti.
</t>
    </r>
  </si>
  <si>
    <r>
      <rPr>
        <b/>
        <sz val="10"/>
        <rFont val="Calibri"/>
        <family val="2"/>
        <scheme val="minor"/>
      </rPr>
      <t>Ispitivanje instalacije oborinske odvodnje</t>
    </r>
    <r>
      <rPr>
        <sz val="10"/>
        <rFont val="Calibri"/>
        <family val="2"/>
        <scheme val="minor"/>
      </rPr>
      <t xml:space="preserve"> na protočnost i vodonepropusnost sa izdavanjem atesta. Obračun po m1. 
</t>
    </r>
  </si>
  <si>
    <t xml:space="preserve">Obračun se obavlja po m1 montirane i izolirane cijevi. U stavku uračunati spojne komade i sav potreban spojno brtveni materijal.
</t>
  </si>
  <si>
    <r>
      <rPr>
        <b/>
        <sz val="10"/>
        <rFont val="Calibri"/>
        <family val="2"/>
        <scheme val="minor"/>
      </rPr>
      <t>Ispiranje i dezinfekcija kompletnog cjevovoda</t>
    </r>
    <r>
      <rPr>
        <sz val="10"/>
        <rFont val="Calibri"/>
        <family val="2"/>
        <charset val="238"/>
        <scheme val="minor"/>
      </rPr>
      <t xml:space="preserve"> sa utroškom potrebne vode i dezinfekcijskog materijala. Uključivo sve troškove vezane uz te radove. </t>
    </r>
    <r>
      <rPr>
        <sz val="10"/>
        <rFont val="Calibri"/>
        <family val="2"/>
        <scheme val="minor"/>
      </rPr>
      <t xml:space="preserve">Obračun po m1. 
</t>
    </r>
  </si>
  <si>
    <r>
      <rPr>
        <b/>
        <sz val="10"/>
        <rFont val="Calibri"/>
        <family val="2"/>
        <charset val="238"/>
        <scheme val="minor"/>
      </rPr>
      <t>Pribavljanje atesta o kvaliteti vode</t>
    </r>
    <r>
      <rPr>
        <sz val="10"/>
        <rFont val="Calibri"/>
        <family val="2"/>
        <scheme val="minor"/>
      </rPr>
      <t xml:space="preserve"> od Zavoda za javno zdravstvo. Obračun po kompletu.
</t>
    </r>
  </si>
  <si>
    <t xml:space="preserve">umivaonik, ukupnih dimenzija 45 x 41 cm (dim. ±5%), gornja ploha na 50-55 cm visine (vrtić) odnosno 40 cm visine (jaslice) i sifon
</t>
  </si>
  <si>
    <t xml:space="preserve">Obračun se vrši po kompletu i komadu montirane WC školjke, instalacijskog elementa s vodokotlićem i opreme, sa spojevima dovoda i odvoda i ostalim spojevima, uključivši sav potreban materijal za montažu i spojno-brtveni materijal, sve do pune funkcionalnosti. U stavci obračunati sva potrebna štemanja i krpanja. 
</t>
  </si>
  <si>
    <t>WC školjka dimenzija 35-36 x 46-52 x 39-45 cm, konzolna, odvod u zid</t>
  </si>
  <si>
    <t xml:space="preserve">- kap 590 lit
- temp: 0°C / +10C
- sa ventiliranim hlađenjem 
- rashladno sredstvo je ekološki prihvatljiv plin sukladno propisima na dan isporuke
- prilagođen za uvjete rada do 43°C u prostoru do 65% vlažnosti
- sistem rada putem monobloka bez isparivača u prostoru za odlaganje namirnica
- distribucija hladnog zraka prisilnom kružnom cirkulacijom uz unutarnje bokove ormara
- digitalni termostat sa automatskim otapanjem
- debljina izolacije min. 60 mm punjena sa poliuretanom bez – CFC spojeva
- zaobljeni unutarnji rubovi
- vrata sa automatskim zatvaranjem pomoću magnetne brtve
- mogućnost spajanja na HACCAP sistem
- serijski opremljen sa 6 vodilica i 3 plastificirane rešetke za GN 2/1
- inox izvana i iznutra
- priključna snaga: 385W, 220V/50HZ. 
</t>
  </si>
  <si>
    <t xml:space="preserve">Postolje za ljuštilicu krumpira
- otvoreno
- donja polica
- podesive inox nogice       
- izvedba komplet inox lim AISI 304 SB+PVC
- svi oštri rubovi moraju biti pertlani zbog lakšeg održavanja i zaštite od povreda.
</t>
  </si>
  <si>
    <t xml:space="preserve">- otvoreni ormarić
- radna ploča i prednje ploče od nehrđajućeg čelika AISI 304
- vrh od pirokerama debljine 6 mm
- maksimalna ušteda energije jer je grijanje kuhališta omogućeno samo kada je posuda u izravnom kontaktu s površinom
- zona grijanja se sama regulira prema promjeru posude
- trenutni automatski prekid kada se posuda skine s vrha
- elektronska regulacija temperature, zahvaljujući potenciometru
- digitalni mjerač odmah pokazuje postavljenu razinu snage između 1 i 9
- ručka visoke otpornosti od čelika AISI 304 debljine 20/10
- podesive noge
- snaga: 7 kW, 400V
</t>
  </si>
  <si>
    <t xml:space="preserve">- zaslon osjetljiv na dodir 7” s grafičkim izgledom
- Neograničena rješenja za programiranje
- Potpuna kontrola stroja putem wi-fi veze 
- Dostupna odgoda početka
- Upravljačka ploča nagnuta za bolju vidljivost i jednostavno korištenje
- Programabilne razine vode, temperature, brzine motora i brzine rotacije/prekida za potpunu prilagodbu ciklusa pranja
- Kućište i bubanj za pranje od nehrđajućeg čelika AISI304
- Balansirano punjenje tople/hladne vode za uštedu energije
- Sustav balansiranja: vertikalni i horizontalni amortizeri za maksimalnu stabilnost i nisku razinu buke
- sustav upravljanja punjenjem rublja s akcelerometrom
- Smanjeni prostor između bubnja i ventila na nulti gubitak vode i deterdženta
- Uređaj za zvučno upozorenje na kraju ciklusa
- USB priključak
- Kompatibilan sa spremnicima za povrat vode
- Nema sidrenja za tlo
- volumen bubnja 141 lit
- G faktor 327
- brzina okretaja centrifuge 915 o/m
- snaga 11 kW, 400V
</t>
  </si>
  <si>
    <t xml:space="preserve">električni valjak za glačanje, 
dimenzija 940 x 400 x 1050 mm
</t>
  </si>
  <si>
    <t xml:space="preserve">stol za sortiranje rublja, 
dimenzija 1400 x 700 x 900 mm
</t>
  </si>
  <si>
    <t xml:space="preserve">Dobava, ugradnja i spajanje dodatanog napajanja 24Vdc/4.5A, u željeznom kućištu, omogućava punjenje baterija, relejni izlaz za signalizaciju statusa napajanja, stanja baterije, prostor za dvije baterije, IP30, priključak na 230Vac/50Hz, LED indikacija, dimenzije: H 220 x Š 300 x D 175 mm, EN 54-4 (A2), EN12101-10.
</t>
  </si>
  <si>
    <t xml:space="preserve">Dobava, ugradnja i spajanje IP sučeljA za pripadnu centralu; omogućuje spajanje centrala na Internet mrežu putem Ethernet ili WI-FI veze te upravljanje sustavom putem mobilne aplikacije My Elkron Family; sučelje je instalirano izravno u centralu; 100 Mbps (ethernet); 150 Mbps (WI-FI); IEEE 802.3; IEEE 802.11 b/g/n; prema EN54-21.
</t>
  </si>
  <si>
    <t xml:space="preserve">Dobava, ugradnja i spajanje komplet opreme za prijenos informacija u nadzorni centar, vatrogasnu brigadu.
</t>
  </si>
  <si>
    <t xml:space="preserve">Dobava, montaža i spajanje univerzalnog podnožja za adresabilne detektore s izlazom za dodatnu LED indikaciju, Ø 90, (izlaz se aktivira na alarm - 24VAdc / 12mA), bijela boja.
</t>
  </si>
  <si>
    <t xml:space="preserve">Dobava, ugradnja i spajanje crvenog paralelnog indikatora sa ugrađenom zujalicom, napon 11-24Vdc, potrošnja 11mA, zaštita IP40, ugrađene 2 LED diode, materijal ABS, radna temperatura -10°C/55°C, težina 30g, dimenzije 66x60x23mm.
</t>
  </si>
  <si>
    <t xml:space="preserve">Dobava i montaža natpisnih pločica za oznake uređaja.
</t>
  </si>
  <si>
    <t xml:space="preserve">Izrada tehničke dokumentacije izvedenog stanja sustava dojave požara koju potpisuju izvođač i nadzor u tri uvezena primjerka i jedan elektronski, uključujući  svu potrebnu dokumentaciju za tehnički pregled sustava.
</t>
  </si>
  <si>
    <t xml:space="preserve">Provjera ispravnosti montaže i ispitivanje funkcionalnosti sustava dojave požara od strane ovlaštene tvrtke i izdavanje uvjerenja.
</t>
  </si>
  <si>
    <t xml:space="preserve">Kabel JEB-H(St)H FE180 E30-E90 1x2x0,8
-  aluminijski oklop,  poboljšanih svojstava za slučaj požara, s očuvanom el. funkcionalnošću između 30 i 90 min, crvene boje.
</t>
  </si>
  <si>
    <t xml:space="preserve">Dobava i isporuka ručnog javljača za aktiviranje sustava odvođenja dima i topline.
Ugradnja na evakuacijskim putevima i u hodnicima, na dobro vidljivom mjestu. Visina ugradnje 1,4 m ± 20 cm iznad gotovog poda. LED status. Narančasta boja (RAL 2004). Zaštita kućišta IP50. Dimenzija 125 x 125 x 36 mm.
</t>
  </si>
  <si>
    <t xml:space="preserve">Dobava i isporuka bezhalogenog instalacijskog kabela za industrijsku elektroniku poboljšanih svojstava za slučaj požara JE-H(St)H FE 180/E 90 4x2x0,8 mm za spajanje ručnog javljača u sustavu odvođenja dima i topline.
</t>
  </si>
  <si>
    <t xml:space="preserve">Polaganje bezhalogenog instalacijskog kabela za industrijsku elektroniku poboljšanih svojstava za slučaj požara JE-H(St)H FE 180/E 90 4x2x0,8 mm za spajanje ručnog javljača u sustavu odvođenja dima i topline.
</t>
  </si>
  <si>
    <t xml:space="preserve">Polaganje podžbukne samogasive ticino CS cijevi promjera 16/11 mm
</t>
  </si>
  <si>
    <t xml:space="preserve">Spajanje napojnog kabela centrale sustava odvođenja dima i topline unutar razdjelnika razvodnog ormara na slobodni osigurač od 16 A
</t>
  </si>
  <si>
    <t xml:space="preserve">Ispitivanje instalacije sustava odvođenja dima i topline prije puštanja sustava u rad sa otklanjanjem grešaka, kratkih spojeva i ostalih poteškoća, kao i mjerenjem otpora izolacije i indirektnog napona dodira
</t>
  </si>
  <si>
    <t xml:space="preserve">Obuka korisnika za rad sa sustavom odvođenja dima i topline uz dostavu korisničkih uputa na hrvatskom jeziku
</t>
  </si>
  <si>
    <t xml:space="preserve">Prvo funkcionalno ispitivanje sustava odvođenja dima i topline od strane ovlaštene ustanove uz prethodno dobiven projekat te izdavanje uvjerenja o funkcionalnosti sustava
</t>
  </si>
  <si>
    <t xml:space="preserve">Primopredaja sustava odvođenja dima i topline investitoru (predaja tehničke dokumentacije, certifikata ugrađene opreme, programske dokumentacije te projekta izvedenog stanja)
</t>
  </si>
  <si>
    <t xml:space="preserve">Ugradna LED svjetiljka (panel), mikroprizmatični difuzor, (postavljanje u gipskartonski strop)
Minimalne tehničke karakteristike:
Ukupna snaga  ≤ 34W
Efektivni svjetlosni tok ≥ 4400lm
Faktor bliještanja UGR ≤ 19
Temperatura boje svjetlosti = 4000K (+/-10%)
Kvaliteta prikaza boje ≥ 80
Trajnost L70 ≥ 100.000h
Stupanj zaštite IP ≥ 44 (s donje strane)
Dimenzije (DxŠ): 1200x300mm (+/-15%)
</t>
  </si>
  <si>
    <t xml:space="preserve">Nadgradna LED svjetiljka, polikarbonatno kućište i difuzor, inox kopče i nosači.
Minimalne tehničke karakteristike:
Ukupna snaga  ≤ 50W
Efektivni svjetlosni tok ≥ 8100lm
Temperatura boje svjetlosti = 4000K (+/-10%)
Kvaliteta prikaza boje ≥ 80
Trajnost L90B10 ≥ 50.000h
Stupanj zaštite IP ≥ 66
Stupanj zaštite IK ≥ 10
Svjetiljka mora posjedovati potvrdu o zadovoljavanju HACCP standarda
</t>
  </si>
  <si>
    <t xml:space="preserve">Nadgradna LED svjetiljka (plafonjera)
Minimalne tehničke karakteristike:
Ukupna snaga  ≤ 22W
Efektivni svjetlosni tok ≥ 2500lm
Temperatura boje svjetlosti odabire se na svjetiljci = 3000 ili 4000K (+/-10%)
Kvaliteta prikaza boje ≥ 80
Trajnost L70 ≥ 50.000h
Stupanj zaštite IP ≥ 65
Stupanj zaštite IK ≥ 10
</t>
  </si>
  <si>
    <t xml:space="preserve">Ugradna podna LED svjetiljka, aluminijsko kućište sive boje, napajanje 24V D.C.
Minimalne tehničke karakteristike:
Snaga ≤ 2W
Efektivni svjetlosni tok ≥ 40lm
Temperatura boje svjetlosti = 3000K (+/-10%)
Trajnost L80B20 ≥ 100.000h
Stupanj zaštite IP ≥ 67
Stupanj zaštite IK ≥ 10
</t>
  </si>
  <si>
    <t xml:space="preserve">Izrada podzemnih spojeva za svjetiljke H1 pomoću odgovarajućih vodotjesnih podzemnih spojnica u zaštiti IP67 ili pomoću PVC kutija ispunjenih dielektričnom gelom.
</t>
  </si>
  <si>
    <t xml:space="preserve">Napojna jedinica za svjetiljke oznake H1 24V, 60W, postavljanje u razdjelnik, komplet sa pričvrsnim i spojnim priborom.
</t>
  </si>
  <si>
    <t xml:space="preserve">LED reflektor sa detektorom pokreta i zakretnim nosačem za postavljanje na zid, 
Minimalne tehničke karakteristike:
Snaga ≤ 20W
Efektivni svjetlosni tok ≥ 2000lm
Temperatura boje svjetlosti = 3000K (+/-10%)
Trajnost L70B50 ≥ 30.000h
Zaštita od prodora ≥ IP44
</t>
  </si>
  <si>
    <t xml:space="preserve">400V, kabel NYM 5x2,5mm2 prosječno 10m, komplet sa PVC cijev Ø=32 mm, na izvodu ostaviti 3 m viška kabela (tehnologija praonice)
</t>
  </si>
  <si>
    <t xml:space="preserve">230V, kabel NYM 3x1,5mm2 prosječno 20m, komplet sa PVC cijev Ø=20 mm, na izvodu ostaviti 3m viška kabela (tehnologija kuhinje)
</t>
  </si>
  <si>
    <t xml:space="preserve">400V, kabel NYM 5x2,5mm2 prosječno 20m, komplet sa PVC cijev Ø=32 mm, na izvodu ostaviti 3m viška kabela (tehnologija kuhinje)
</t>
  </si>
  <si>
    <t xml:space="preserve">400V, kabel NYM 5x6mm2 prosječno 20m, komplet sa PVC cijev Ø=50 mm, na izvodu ostaviti 3m viška kabela (tehnologija kuhinje)
</t>
  </si>
  <si>
    <t xml:space="preserve">400V, kabel NYM 5x4mm2 prosječno 20m, komplet sa PVC cijev Ø=32 mm, na izvodu ostaviti 3 m viška kabela (tehnologija kuhinje)
</t>
  </si>
  <si>
    <t xml:space="preserve">Isporuka, montaža i spajanje SOS sustava za poziv iz sanitarnog čvora za invalidne osobe  proizvod sa sljedećim elementima:
</t>
  </si>
  <si>
    <t xml:space="preserve">Izrada mjernog spoja u okolišu građevine u razini završnog sloja okoliša pomoću podnog mjernog ormarića  otpornog na atmosferske prilike s ljevano-željeznim poklocem izdržljivosti 5t, te spojnicom plosnati  25x3/okrugli Ø 8 mm u nehrđajućem čeliku ili aluminiju.
</t>
  </si>
  <si>
    <t xml:space="preserve">Izvedba priključka kanalnog ventilatora (napa-dobava) vodom NYM 5x1,5mm2 prosječno 20m, dobavom i polaganjem u instalacione cijevi ɸ20mm, sa spajanjem na oba kraja na pripadni elektro ormar kuhinje
</t>
  </si>
  <si>
    <t xml:space="preserve">Izvedba razdjelnika podnog grijanja dobavom i polaganjem u instalacijske cijevi ɸ20mm, sa spajanjem na oba kraja na pripadni elektro ormar kabelom NYM 3x1,5 mm2 prosječno 30m
</t>
  </si>
  <si>
    <t xml:space="preserve">Izvedba priključka cijevnog ventilatora (usis i odsis praonice) vodom NYM 3x1,5mm2 prosječno 10m, dobavom i polaganjem u instalacione cijevi ɸ20mm, sa spajanjem na oba kraja na pripadni elektro ormar praonice
</t>
  </si>
  <si>
    <t xml:space="preserve">Izvedba priključka krovnog ventilatora (napa-odsis) vodom NYM 3x2,5mm2 prosječno 20m, dobavom i polaganjem u instalacione cijevi ɸ20mm, sa spajanjem na oba kraja na pripadni elektro ormar kuhinje
</t>
  </si>
  <si>
    <t xml:space="preserve">Dobava, ugradanja i spajanje prespojnog panela 1U, s 24 x Cat.6e S/FTP oklopljena 360° za bezalatno spajanje 
</t>
  </si>
  <si>
    <t xml:space="preserve">Izrada Cat.6e spoja na panelu, uključivo shemiranje ormara i aranžiranje ormara
</t>
  </si>
  <si>
    <t xml:space="preserve">Izrada dokumentacije izvedenog stanja svih instalacija u pisanom i digitalnom obliku (CD)
</t>
  </si>
  <si>
    <r>
      <rPr>
        <b/>
        <sz val="10"/>
        <rFont val="Calibri"/>
        <family val="2"/>
        <scheme val="minor"/>
      </rPr>
      <t>Zidna konzola za TV</t>
    </r>
    <r>
      <rPr>
        <sz val="10"/>
        <rFont val="Calibri"/>
        <family val="2"/>
        <scheme val="minor"/>
      </rPr>
      <t xml:space="preserve">, s podešavanjem kuta gledanja. Boja: crna.
</t>
    </r>
  </si>
  <si>
    <t>Stavka uključuje sav rad i materijal, transport do gradilišta i unutar gradilišta. Obračun po m3.</t>
  </si>
  <si>
    <t>Hidroizolaciju izvodi tvrtka s potrebnim iskustvom i ovlaštenjem proizvođača. Kod izvođenja radova treba se pridržavati smjernica o primjeni proizvoda propisanih od strane proizvođača materijala. Kvaliteta ugrađene hidroizolacije dokazuje se ispitivanjem vodenom probom u trajanju 24 sata, a predaje upisom u građevinski dnevnik.</t>
  </si>
  <si>
    <r>
      <t xml:space="preserve">Minimalne karakteristike:
- vodootpornost: &gt;400 kPa/72h, zadovoljava (EN 1928)
- reakcija na požar: E, BKROV(t1)
- otpornost na ljuštenje-var: </t>
    </r>
    <r>
      <rPr>
        <sz val="10"/>
        <rFont val="Calibri"/>
        <family val="2"/>
      </rPr>
      <t>≥</t>
    </r>
    <r>
      <rPr>
        <sz val="10"/>
        <rFont val="Calibri"/>
        <family val="2"/>
        <charset val="238"/>
      </rPr>
      <t xml:space="preserve">500 N/50 mm (EN 12317-2)
- otpornost na statičko opterećenje: ≥20 kg (EN 12730)
- otpornost na udar: ≥1000 (1250) mm (EN 12691)
- savijanje pri niskim temperaturama: </t>
    </r>
    <r>
      <rPr>
        <sz val="10"/>
        <rFont val="Calibri"/>
        <family val="2"/>
      </rPr>
      <t>≤</t>
    </r>
    <r>
      <rPr>
        <sz val="10"/>
        <rFont val="Calibri"/>
        <family val="2"/>
        <charset val="238"/>
      </rPr>
      <t xml:space="preserve">-45°C
- paropropusnost: µ=150.000 (EN 1931)
- vlačna čvrstoća: uzdužno ≥9N/mm2, poprečno ≥7N/mm2 (EN 12311-2)
- UV otpornost: zadovoljava-pass (&gt; 5000 h / razred 0) (EN 1297)
- otpornost na prodor korjenja: zadovoljava-pass (EN 13948)
</t>
    </r>
  </si>
  <si>
    <t>obloga od impregniranih gipskartonskih ploča d=2x12,5 mm, visina zida do 350 cm</t>
  </si>
  <si>
    <t xml:space="preserve">- impregnirane gipskartonske ploče, 2x12,5 mm
- pocinčani profili š=50-75-100 mm 
</t>
  </si>
  <si>
    <r>
      <t>unutarnja  jednokrilna zaokretna protupožarna vrata, EI</t>
    </r>
    <r>
      <rPr>
        <sz val="9"/>
        <rFont val="Calibri"/>
        <family val="2"/>
      </rPr>
      <t>2</t>
    </r>
    <r>
      <rPr>
        <sz val="10"/>
        <rFont val="Calibri"/>
        <family val="2"/>
        <charset val="238"/>
      </rPr>
      <t xml:space="preserve"> 90-C, veličina zidarskog otvora 90x215 cm,   pumpa,  debljina ugradbenog zida dz=15 cm, (zid od blok opeke 15 cm), L=1, shema protupožarne bravarije br.: 8
</t>
    </r>
  </si>
  <si>
    <t>B.8.</t>
  </si>
  <si>
    <t>B.8.1.</t>
  </si>
  <si>
    <t>B.9.2.</t>
  </si>
  <si>
    <t>B.9.3.</t>
  </si>
  <si>
    <t>B.10.4.</t>
  </si>
  <si>
    <t>B.10.5.</t>
  </si>
  <si>
    <t>B.10.6.</t>
  </si>
  <si>
    <t>B.10.7.</t>
  </si>
  <si>
    <t>B.10.8.</t>
  </si>
  <si>
    <t>B.11.9.</t>
  </si>
  <si>
    <t>B.12.10.</t>
  </si>
  <si>
    <t>B.12.11.</t>
  </si>
  <si>
    <t>B.12.12.</t>
  </si>
  <si>
    <t>B.12.13.</t>
  </si>
  <si>
    <t>B.12.14.</t>
  </si>
  <si>
    <t>B.12.15.</t>
  </si>
  <si>
    <t>B.12.16.</t>
  </si>
  <si>
    <t>B.12.17.</t>
  </si>
  <si>
    <t>B.12.18.</t>
  </si>
  <si>
    <t>B.12.19.</t>
  </si>
  <si>
    <t>B.12.20.</t>
  </si>
  <si>
    <t>B.12.21.</t>
  </si>
  <si>
    <t>B.12.22.</t>
  </si>
  <si>
    <t>B.12.23.</t>
  </si>
  <si>
    <t>Keramičke pločice tipa, vrste i karakteristika kao podne pločice iz stavke B.9.1.c)</t>
  </si>
  <si>
    <t>Vezni i fugirni materijal tipa, vrste i karakteristika kao stavka B.9.1.</t>
  </si>
  <si>
    <r>
      <rPr>
        <b/>
        <sz val="10"/>
        <color indexed="8"/>
        <rFont val="Calibri"/>
        <family val="2"/>
      </rPr>
      <t>Dobava i postava zidnog keramičkog sokla, vrsta pločica kao na podu iz stavke B.9.1. c).</t>
    </r>
    <r>
      <rPr>
        <sz val="10"/>
        <color indexed="8"/>
        <rFont val="Calibri"/>
        <family val="2"/>
        <charset val="238"/>
      </rPr>
      <t xml:space="preserve">
</t>
    </r>
    <r>
      <rPr>
        <b/>
        <sz val="10"/>
        <color indexed="8"/>
        <rFont val="Calibri"/>
        <family val="2"/>
      </rPr>
      <t>Visina sokla h=10 cm, debljina 10 mm.</t>
    </r>
    <r>
      <rPr>
        <sz val="10"/>
        <color indexed="8"/>
        <rFont val="Calibri"/>
        <family val="2"/>
        <charset val="238"/>
      </rPr>
      <t xml:space="preserve"> </t>
    </r>
  </si>
  <si>
    <t xml:space="preserve">Otirač iz stavke B.10.1.a) polaže se po cijeloj podnoj površini vjetrobrana. Točne mjere uzeti na gradilištu.
</t>
  </si>
  <si>
    <t xml:space="preserve">K2 - standardna kvaliteta površine:  Stupanj kvalitete K2 predstavlja uobičajenu vrstu obrade površine kod koje se obrađuje samo površina na udaljenosti od približno 20 cm lijevo i desno od spoja dvaju ploča, kako bi se ublažio prijelaz prema površini gipskartonske ploče. Ovako obrađena površina može biti pogodna za uobičajene završne premaze koji se nanose valjkom ili za lijepljenje tapeta. Kvaliteta K2 uračunata je u cijenu ukupnih suhomontažnih radova.
</t>
  </si>
  <si>
    <r>
      <rPr>
        <b/>
        <sz val="10"/>
        <color indexed="8"/>
        <rFont val="Calibri"/>
        <family val="2"/>
      </rPr>
      <t>Betoniranje armiranobetonskih i betonskih ploča vanjskih terasa i natkrivenog parkirališta (završni sloj)</t>
    </r>
    <r>
      <rPr>
        <sz val="10"/>
        <color indexed="8"/>
        <rFont val="Calibri"/>
        <family val="2"/>
      </rPr>
      <t>, beton C25/30, konstrukcija malih presjeka &lt;0,12 m3/m2/m1</t>
    </r>
    <r>
      <rPr>
        <sz val="10"/>
        <color indexed="8"/>
        <rFont val="Calibri"/>
        <family val="2"/>
        <charset val="238"/>
      </rPr>
      <t xml:space="preserve">, razred izloženosti XC2, vodonepropusni beton, d= 6-8 cm, glatka završna gornja površina zaglađena kvarcnim posipom. Dobava i doprema materijala, te strojno betoniranje. Betoniranje se izvodi u oplati. 
</t>
    </r>
  </si>
  <si>
    <r>
      <rPr>
        <b/>
        <sz val="10"/>
        <color indexed="8"/>
        <rFont val="Calibri"/>
        <family val="2"/>
      </rPr>
      <t>Dobava i strojna ugradba cementnog estriha za na gazištima i čelima te podestu stubišta</t>
    </r>
    <r>
      <rPr>
        <sz val="10"/>
        <color indexed="8"/>
        <rFont val="Calibri"/>
        <family val="2"/>
      </rPr>
      <t xml:space="preserve">, armiran polipropilenskim vlaknima za glazure. 
Mješavina kamenog agregata 0 - 4 mm s aditivima, količina cementa do 360 kg/m3. Tlačna čvrstoća minimalno 20 N/mm2, čvrstoća na savijanje minimalno 5 N/mm2, pronjivost B1.0, reakcija na požar: razred E. Ostatak vlage nakon 4 dana ispod 2 CM%.
</t>
    </r>
  </si>
  <si>
    <t>A.8.2.</t>
  </si>
  <si>
    <t xml:space="preserve">U cijenu je potrebno uračunati pripremne radove, dobavu materijala, te izradu fasade prema uputama proizvođača. 
</t>
  </si>
  <si>
    <t xml:space="preserve">- Ploče se lijepe pomoću poliuretanske pjene odnosno na vertikalnu hidroizolaciju lijepe jastučićima od butilne gume, (13 kom/m2) te se mehanički pričvršćuju pričvrsnicama.
</t>
  </si>
  <si>
    <t xml:space="preserve">Vrsta i tip završne žbuke u obradi, tonu i nijansi usklađena s bojom fasade na kojoj se nalazi, a sve prema odabiru projektanta.
</t>
  </si>
  <si>
    <t xml:space="preserve">Izrada, nabava i ugradnja asfaltne mješavine AC 11 surf, 50/70, AG2, M2-E, kao habajući sloj, po vrućem postupku.
</t>
  </si>
  <si>
    <t xml:space="preserve">Izvodi se spoj kolnih i pješačkih ulaza s postojećim kolnim i pješačkim površinama postojeće javne prometnice te popravak u kontaktnoj zoni izvan predmetne čestice.
</t>
  </si>
  <si>
    <t xml:space="preserve">U cijenu uključiti sve potrebne tesarske radove i priručnu radnu skelu. Pričvrsni elementi i okovi su uključeni u cijenu.
</t>
  </si>
  <si>
    <t xml:space="preserve">Sve čelične elemente u svemu izvoditi prema shemama bravarije i detaljima, opisu i uputi projektanta. Izvođač je dužan sve materijale i detalje dati projektantu na odabir i odobrenje.
</t>
  </si>
  <si>
    <t xml:space="preserve">Uz vanjsko stubište
- čeličnog nosivog profila - greda, pravokutni profil (HOP 300x150x6)
- čvornih limova i spojnih sredstava
</t>
  </si>
  <si>
    <r>
      <rPr>
        <b/>
        <sz val="10"/>
        <rFont val="Calibri"/>
        <family val="2"/>
      </rPr>
      <t>Dobava materijala te izrada horizontalne i vertikalne hidroizolacije iz visokofleksibilne polimer bitumenske hidroizolacijske trake s uloškom od staklene tkanine</t>
    </r>
    <r>
      <rPr>
        <sz val="10"/>
        <rFont val="Calibri"/>
        <family val="2"/>
        <charset val="238"/>
      </rPr>
      <t xml:space="preserve">, ukupna debljina trake minimalno 4 mm, za izvedbu hidroizolacije - vlaga iz tla. Zavarena na  uzdužnim i poprečnim preklopima (min. 10 cm) i na podlogu. Traka se postavlja u dva sloja (4+4). Traku zalijepiti  uz sve vertikalne dijelove fasadnih zidova minimalno 30 cm iznad razine uređenog terena.
</t>
    </r>
  </si>
  <si>
    <t xml:space="preserve">- dvokomponentni fleksibilni mort
•gustoća mješavine: 1700 kg/m3
•prionljivost na beton, 28 dana: 1,1 N/mm2
</t>
  </si>
  <si>
    <t xml:space="preserve">Hidroizolacija se nanosi na podove, te na zidove u visini 20 cm. Na zidove koji su u prostoru tuš kade potrebno je nanijeti hidroizolaciju u visini 200 cm (sanitarije za odrasle) te u visini 120 cm (sanitarije za djecu). Na zidove u prostoru kuhinje nanijeti u visini 150 cm. 
</t>
  </si>
  <si>
    <r>
      <rPr>
        <b/>
        <sz val="10"/>
        <color indexed="8"/>
        <rFont val="Calibri"/>
        <family val="2"/>
      </rPr>
      <t xml:space="preserve">Dobava, krojenje i izvedba limenog pokrova i izrada opšava krova. </t>
    </r>
    <r>
      <rPr>
        <sz val="10"/>
        <color indexed="8"/>
        <rFont val="Calibri"/>
        <family val="2"/>
      </rPr>
      <t xml:space="preserve">Radi se o izvedbi pokrova od ravnog falcanog obojenog aluminijskog lima sa stojećim falcom,  na kose krovne plohe te izrada opšava od obojenog aluminijskog  lima. 
</t>
    </r>
    <r>
      <rPr>
        <sz val="10"/>
        <color indexed="8"/>
        <rFont val="Calibri"/>
        <family val="2"/>
        <charset val="238"/>
      </rPr>
      <t xml:space="preserve">Lim debljine 0,7 mm, u boji i površinskoj obradi po izboru projektanta.
</t>
    </r>
  </si>
  <si>
    <t xml:space="preserve">Tvornički obojan i osiguran na visoku otpornost na vremenske uvjete i koroziju.
</t>
  </si>
  <si>
    <r>
      <rPr>
        <b/>
        <sz val="10"/>
        <color indexed="8"/>
        <rFont val="Calibri"/>
        <family val="2"/>
      </rPr>
      <t>Dobava, krojenje i izvedba skrivenog grijanog limenog žljeba za odvodnju oborinskih voda,</t>
    </r>
    <r>
      <rPr>
        <sz val="10"/>
        <color indexed="8"/>
        <rFont val="Calibri"/>
        <family val="2"/>
      </rPr>
      <t xml:space="preserve"> od obojenog aluminijskog lima. 
</t>
    </r>
    <r>
      <rPr>
        <sz val="10"/>
        <color indexed="8"/>
        <rFont val="Calibri"/>
        <family val="2"/>
        <charset val="238"/>
      </rPr>
      <t xml:space="preserve">Lim debljine 1,0 mm, u boji i površinskoj obradi po izboru projektanta.
</t>
    </r>
  </si>
  <si>
    <r>
      <rPr>
        <b/>
        <sz val="10"/>
        <color indexed="8"/>
        <rFont val="Calibri"/>
        <family val="2"/>
      </rPr>
      <t>Dobava, izrada i montaža stijena sanitarnih kabina tuša i WC- a u sanitarijama za odrasle.</t>
    </r>
    <r>
      <rPr>
        <sz val="10"/>
        <color indexed="8"/>
        <rFont val="Calibri"/>
        <family val="2"/>
        <charset val="238"/>
      </rPr>
      <t xml:space="preserve"> Montažne kabine sastavljene su od prednje linije koju čine dovratnici i stijene s jednokrilnim zaokretnim vratima  i pregradama te bočnih i poprečnih pregrada, ukupne visine 220 cm.
</t>
    </r>
  </si>
  <si>
    <t xml:space="preserve">Rukohvat  je čelična cijev promjera 40 mm / 3mm, na dvije visine 60 cm i 90 cm, svi dijelovi zaobljeni, koja je mjestimično pričvršćena:
- na zid čeličnim šipkama Ø10 mm zavarenim na čelične pločice promjera 50 mm i debljine 5 mm koje se pričvršćuju u zid 
</t>
  </si>
  <si>
    <t xml:space="preserve">Izvođač je dužan izraditi detaljnu projektnu dokumentaciju  na temelju mjera uzetih na licu mjesta, izraditi uzorke karakterističnih detalja, te uzorke dati projektantu na uvid i sve izvesti nakon pismenog odobrenja projektanta. 
</t>
  </si>
  <si>
    <t xml:space="preserve">Uključena izrada radnih reški (DIN 18560-2 ili jednakovrijednoj) i zapunjavanje sa sustavom trajnoelastičnog poliuretanskog brtvila bez otapala i bez mirisa. Svi proizvodi trebaju biti u sustavu jednog proizvođača materijala. Radove izvesti prema uputama proizvođača materijala.
</t>
  </si>
  <si>
    <t xml:space="preserve">Drvo sa zaobljenim rubovima. Drvo tretira u 3 sloja lazurom u tonu koja ne sadrži škodljive komponente i neopasna je za ljude.
Lazura za bojanje  sadrži 6-struku zaštitu za drvo na otvorenom (vlaga, plavilo, truljenje, plijesni i alge, UV-zračenje, zaštita od osa). 
</t>
  </si>
  <si>
    <t xml:space="preserve">Osnovna konstrukcija izvedena od kvalitetnog postojanog crnogoričnog drveta – troslojnih lameliranih greda ili tvrdog postojanog bjelogoričnog drveta (ariš, jasen, hrast). 
</t>
  </si>
  <si>
    <t xml:space="preserve">Drveni elementi su od tvrdog postojanog bjelogoričnog drveta (ariš, jasen, hrast), sa zaobljenim rubovima. Drvo tretira u 3 sloja lazurom u tonu koja ne sadrži škodljive komponente i neopasna je za ljude.
Lazura za bojanje  sadrži 6-struku zaštitu za drvo na otvorenom (vlaga, plavilo, truljenje, plijesni i alge, UV-zračenje, zaštita od osa). 
</t>
  </si>
  <si>
    <t xml:space="preserve">Obračun po komadu sa svim radovima i materijalom do pune funkcionalnosti.  
</t>
  </si>
  <si>
    <t>Tunel je od: - poliestera</t>
  </si>
  <si>
    <t xml:space="preserve">Sjedalo je od 4 uzdužno postavljene daske debljine  5 cm  i dužine 180 cm, na međurazmaku od 1 cm (širina daske cca 9 cm). 
Daske su od tvrdog postojanog drveta drveta -  jasen ili hrast, sa zaobljenim rubovima. Drvo tretira u 3 sloja lazurom u tonu.
Lazura za bojanje  sadrži 6-struku zaštitu za drvo na otvorenom (vlaga, plavilo, truljenje, plijesni i alge, UV-zračenje, zaštita od osa). 
</t>
  </si>
  <si>
    <t xml:space="preserve">Sjedalo je od 6 uzdužno postavljene daske debljine  5 cm  i dužine 180 cm, na međurazmaku od 1 cm (širina daske cca 9 cm). 
Daske su od tvrdog postojanog drveta drveta -  jasen ili hrast, sa zaobljenim rubovima. Drvo tretira u 3 sloja lazurom u tonu.
Lazura za bojanje  sadrži 6-struku zaštitu za drvo na otvorenom (vlaga, plavilo, truljenje, plijesni i alge, UV-zračenje, zaštita od osa). 
</t>
  </si>
  <si>
    <t xml:space="preserve">Sjedalo je od 5 uzdužno postavljene daske debljine  5 cm i dužine 180 cm, na međurazmaku od 1 cm (širina daske cca. 9 cm). 
Daske su od tvrdog postojanog drveta drveta -  jasen ili hrast, sa zaobljenim rubovima. Drvo tretira u 3 sloja lazurom u tonu.
Lazura za bojanje  sadrži 6-struku zaštitu za drvo na otvorenom (vlaga, plavilo, truljenje, plijesni i alge, UV-zračenje, zaštita od osa). 
</t>
  </si>
  <si>
    <r>
      <rPr>
        <b/>
        <sz val="10"/>
        <color indexed="8"/>
        <rFont val="Calibri"/>
        <family val="2"/>
      </rPr>
      <t xml:space="preserve">Dobava, izrada i montaža dekorativne neprozirne akustične zavjese. </t>
    </r>
    <r>
      <rPr>
        <sz val="10"/>
        <color indexed="8"/>
        <rFont val="Calibri"/>
        <family val="2"/>
        <charset val="238"/>
      </rPr>
      <t xml:space="preserve">
Sastav: 
- 100% PEFR (100% Flameretardant polyester Trevira CS), kazališni pliš
- minimalno troslojna, 11 dB
Nabor minimalno 200%. 
</t>
    </r>
  </si>
  <si>
    <r>
      <rPr>
        <b/>
        <sz val="10"/>
        <color indexed="8"/>
        <rFont val="Calibri"/>
        <family val="2"/>
      </rPr>
      <t xml:space="preserve">Dobava, izrada i montaža dekorativne neprozirne  zavjese. </t>
    </r>
    <r>
      <rPr>
        <sz val="10"/>
        <color indexed="8"/>
        <rFont val="Calibri"/>
        <family val="2"/>
        <charset val="238"/>
      </rPr>
      <t xml:space="preserve">
Sastav: 
- 100% PEFR (100% Flameretardant polyester Trevira CS)
Težina: 280 g/m2
Nabor minimalno 200%. 
</t>
    </r>
  </si>
  <si>
    <t>SKUPNE JEDINICE JASLICA</t>
  </si>
  <si>
    <r>
      <rPr>
        <b/>
        <sz val="10"/>
        <rFont val="Calibri"/>
        <family val="2"/>
        <charset val="238"/>
      </rPr>
      <t>Plastična kutija duboka</t>
    </r>
    <r>
      <rPr>
        <sz val="10"/>
        <rFont val="Calibri"/>
        <family val="2"/>
      </rPr>
      <t xml:space="preserve">, dim. (ŠDV) 31,2x37,7x15 cm, </t>
    </r>
    <r>
      <rPr>
        <sz val="10"/>
        <rFont val="Calibri"/>
        <family val="2"/>
        <charset val="238"/>
      </rPr>
      <t xml:space="preserve">s dvostrukim žlijebom na bočnim stranama, te upuštenom ručkom na prednjem dijelu, za ormar iz stavke A.1.7., boja kutije transparentna bijela.
</t>
    </r>
  </si>
  <si>
    <r>
      <rPr>
        <b/>
        <sz val="10"/>
        <rFont val="Calibri"/>
        <family val="2"/>
        <charset val="238"/>
      </rPr>
      <t>Plastična kutija duboka,</t>
    </r>
    <r>
      <rPr>
        <sz val="10"/>
        <rFont val="Calibri"/>
        <family val="2"/>
        <charset val="238"/>
      </rPr>
      <t xml:space="preserve"> dim. (ŠDV) 31,2x37,7x15 cm, s dvostrukim žlijebom na bočnim stranama, te upuštenom ručkom na prednjem dijelu, za ormar iz stavke A.1.10., boja kutije transparentna bijela.
</t>
    </r>
  </si>
  <si>
    <r>
      <rPr>
        <b/>
        <sz val="10"/>
        <rFont val="Calibri"/>
        <family val="2"/>
        <charset val="238"/>
      </rPr>
      <t>Plastična kutija plitka,</t>
    </r>
    <r>
      <rPr>
        <sz val="10"/>
        <rFont val="Calibri"/>
        <family val="2"/>
        <charset val="238"/>
      </rPr>
      <t xml:space="preserve">  dim. (ŠDV) 31,2x37,7x7,5 cm, s dvostrukim žlijebom na bočnim stranama, te upuštenom ručkom na prednjem dijelu, za ormar iz stavke A.1.10., boja kutije transparentna bijela.</t>
    </r>
  </si>
  <si>
    <r>
      <rPr>
        <b/>
        <sz val="10"/>
        <rFont val="Calibri"/>
        <family val="2"/>
        <charset val="238"/>
      </rPr>
      <t xml:space="preserve">Donja prostirka s gumicom za ležaljku </t>
    </r>
    <r>
      <rPr>
        <sz val="10"/>
        <rFont val="Calibri"/>
        <family val="2"/>
      </rPr>
      <t>iz stavke A.1.24.,</t>
    </r>
    <r>
      <rPr>
        <sz val="10"/>
        <rFont val="Calibri"/>
        <family val="2"/>
        <charset val="238"/>
      </rPr>
      <t xml:space="preserve"> platno 100% pamuk, punilo 100% poliesterska vlakna, s gumicom za pričvršćenje, u bijeloj boji.
</t>
    </r>
  </si>
  <si>
    <r>
      <rPr>
        <b/>
        <sz val="10"/>
        <rFont val="Calibri"/>
        <family val="2"/>
        <charset val="238"/>
      </rPr>
      <t>Plahta s gumicom</t>
    </r>
    <r>
      <rPr>
        <sz val="10"/>
        <rFont val="Calibri"/>
        <family val="2"/>
        <charset val="238"/>
      </rPr>
      <t xml:space="preserve"> </t>
    </r>
    <r>
      <rPr>
        <b/>
        <sz val="10"/>
        <rFont val="Calibri"/>
        <family val="2"/>
        <charset val="238"/>
      </rPr>
      <t>za ležaljku</t>
    </r>
    <r>
      <rPr>
        <sz val="10"/>
        <rFont val="Calibri"/>
        <family val="2"/>
        <charset val="238"/>
      </rPr>
      <t xml:space="preserve"> iz stavke A.1.24., 100% pamuk, s uglovima i gumicom za pričvršćenje, u bijeloj boji.
</t>
    </r>
  </si>
  <si>
    <r>
      <rPr>
        <b/>
        <sz val="10"/>
        <rFont val="Calibri"/>
        <family val="2"/>
        <charset val="238"/>
      </rPr>
      <t>Pokrivač štepani za ležaljku</t>
    </r>
    <r>
      <rPr>
        <sz val="10"/>
        <rFont val="Calibri"/>
        <family val="2"/>
      </rPr>
      <t xml:space="preserve"> iz stavke A.1.24.</t>
    </r>
    <r>
      <rPr>
        <sz val="10"/>
        <rFont val="Calibri"/>
        <family val="2"/>
        <charset val="238"/>
      </rPr>
      <t xml:space="preserve">, platno 100% pamuk, punilo 100% poliesterska vlakna, u bijeloj boji.
</t>
    </r>
  </si>
  <si>
    <r>
      <rPr>
        <b/>
        <sz val="10"/>
        <rFont val="Calibri"/>
        <family val="2"/>
        <charset val="238"/>
      </rPr>
      <t>Navlaka za pokrivač za ležaljku</t>
    </r>
    <r>
      <rPr>
        <sz val="10"/>
        <rFont val="Calibri"/>
        <family val="2"/>
        <charset val="238"/>
      </rPr>
      <t xml:space="preserve"> iz stavke A.1.24., 100% pamuk, u bijeloj boji.
</t>
    </r>
  </si>
  <si>
    <t xml:space="preserve">Komplet guralica-vozilica na kotačima, ispunjena čvrstom spužvom, presvučeno vinilom u obliku životinja i vozila, sjedište na visini 25 cm:
- kamion - dim. ŠDV 15x55x40 cm
- automobil - dim. ŠDV 15x50x40 cm
- lav - dim. ŠDV 15x55x45 cm
- medo - dim. ŠDV 15x55x45 cm  </t>
  </si>
  <si>
    <t xml:space="preserve">SKUPNE JEDINICE VRTIĆA (MLAĐA  I SREDNJA VRTIĆKA SKUPINA) </t>
  </si>
  <si>
    <t>SKUPNE JEDINICE VRTIĆA (STARIJA I PREDŠKOLSKA VRTIĆKA SKUPINA)</t>
  </si>
  <si>
    <t>A.3.60.</t>
  </si>
  <si>
    <t>A.3.61.</t>
  </si>
  <si>
    <t>A.3.62.</t>
  </si>
  <si>
    <t>A.3.63.</t>
  </si>
  <si>
    <t>A.3.64.</t>
  </si>
  <si>
    <t>A.3.65.</t>
  </si>
  <si>
    <t>A.3.66.</t>
  </si>
  <si>
    <t>GARDEROBE I SANITARIJE  - VRTIĆKE SKUPINE</t>
  </si>
  <si>
    <t>B.5.9.</t>
  </si>
  <si>
    <r>
      <rPr>
        <b/>
        <sz val="10"/>
        <rFont val="Calibri"/>
        <family val="2"/>
        <scheme val="minor"/>
      </rPr>
      <t>Inox držač za čaše i četkice</t>
    </r>
    <r>
      <rPr>
        <sz val="10"/>
        <rFont val="Calibri"/>
        <family val="2"/>
        <charset val="238"/>
        <scheme val="minor"/>
      </rPr>
      <t xml:space="preserve">
Proizvod je u cijelosti izrađen od materijala inox (304 polirani) koji se koristi u prehrambene svrhe, a sastoji se od dva dijela, samog držača čaše i vodilice. Držač čaše se stavlja na vodilicu, te se jednostavno klizno  skida radi lakšeg održavanja, a vodilica  je fiksni dio koji se montira na zid u potrebnim dužinama.
Na inox držač za čaše i četkice stavljaju se posebne  PVC čaše koje se mogu održavati strojno (otporne na visoke i niske temperature), a četkice koje korisnik koristi umeću se sa donjeg dijela u inox držač.
Komplet za sadrži: Inox držače za čaše i četkice, čaše u boji  2 dcl (+110 C°/- 40 C°) (ČAŠE U 8 BOJA), Inox vodilica za kapice sa inox vijcima i PVC  tiplama profi (na svakih 30 cm)  
Proizvod mora zadovoljavati sve standarde higijene i kvalitete. Jednostavna montaža, lagano održavanje, higijensko pohranjivanje.
Stavka uključuje montažu na zid te sav spojni i pričvrsni materijal. 
- za 12 djece (12 čaša), dužine 120 cm
</t>
    </r>
  </si>
  <si>
    <r>
      <rPr>
        <b/>
        <sz val="10"/>
        <rFont val="Calibri"/>
        <family val="2"/>
        <scheme val="minor"/>
      </rPr>
      <t>Inox držač za čaše i četkice</t>
    </r>
    <r>
      <rPr>
        <sz val="10"/>
        <rFont val="Calibri"/>
        <family val="2"/>
        <charset val="238"/>
        <scheme val="minor"/>
      </rPr>
      <t xml:space="preserve">
Proizvod je u cijelosti izrađen od materijala inox (304 polirani) koji se koristi u prehrambene svrhe, a sastoji se od dva dijela, samog držača čaše i vodilice. Držač čaše se stavlja na vodilicu, te se jednostavno klizno  skida radi lakšeg održavanja, a vodilica  je fiksni dio koji se montira na zid u potrebnim dužinama.
Na inox držač za čaše i četkice stavljaju se posebne  PVC čaše koje se mogu održavati strojno (otporne na visoke i niske temperature), a četkice koje korisnik koristi umeću se sa donjeg dijela u inox držač.
Komplet za sadrži: Inox držače za čaše i četkice, čaše u boji  2 dcl (+110 C°/- 40 C°) (ČAŠE U 8 BOJA), Inox vodilica za kapice sa inox vijcima i PVC  tiplama profi (na svakih 30 cm)  
Proizvod mora zadovoljavati sve standarde higijene i kvalitete. Jednostavna montaža, lagano održavanje, higijensko pohranjivanje.
Stavka uključuje montažu na zid te sav spojni i pričvrsni materijal. 
- za 10 djece (10 čaša), dužine 100 cm
</t>
    </r>
  </si>
  <si>
    <t xml:space="preserve">- otvoreni ormarić
- radna ploča od nehrđajućeg čelika AISI 304
</t>
  </si>
  <si>
    <t>C.4.26.</t>
  </si>
  <si>
    <r>
      <rPr>
        <b/>
        <sz val="10"/>
        <rFont val="Calibri"/>
        <family val="2"/>
        <scheme val="minor"/>
      </rPr>
      <t>SMART TV</t>
    </r>
    <r>
      <rPr>
        <sz val="10"/>
        <rFont val="Calibri"/>
        <family val="2"/>
        <scheme val="minor"/>
      </rPr>
      <t xml:space="preserve"> LCD  dijagonale min. 55" (140 cm).
- UHD LED TV rezolucije 3840x2160 piksela
- prijamnik: DVB-T2/H.256 HEVC
- povezivanje putem mreže, mogućnost bežičnog povezivanja, mogućnost spajanja na internet
- priključci: HDMI, USB, LAN, pause TV i USB snimanje, komponentni ulaz (Y/Pb/Pr), kompozitni ulaz, ulaz za slušalice, digitalni audio izlaz (optički), SCART
Boja kučišta: crna.
</t>
    </r>
  </si>
  <si>
    <r>
      <t>Prijenosno računalo</t>
    </r>
    <r>
      <rPr>
        <sz val="10"/>
        <rFont val="Calibri"/>
        <family val="2"/>
      </rPr>
      <t xml:space="preserve"> minimalnih karakteristika:
- procesor: minimalno 8 jezgri, Intel Core i5 ili AMD Ryzen 7 ili bolji, predmemorija (cache): min. 12 MB,maksimalna  frekvencija jezgre: do min. 4,50 GHz
- memorija min. 16 GB DIMM DDR4
- grafička kartica integrirana
- hard disk: min. SSD 512 GB
- ekran: 14"-15,6" (rezolucija min. 1920x1080)
- operativni sustav  WINDOWS 11 PRO uključen 
</t>
    </r>
  </si>
  <si>
    <t xml:space="preserve">Računalo minimalnih karakteristika:
- procesor: minimalno 10 jezgri, i5 ili bolji, predmemorija (cache): min. 20 MB, frekvencija jezgre: min. 3,3 GHz / 4,60 GHz 
- memorija min. 16 GB DIMM DDR4
- grafička kartica: integrirana ili bolje, VGA, HDMI, DP
- hard disk: min. SSD 1 TB
- DVD±RW
- kućište kompaktno
- napajanje: min. 180W
- operativni sustav WINDOWS 11 PRO uključen 
</t>
  </si>
  <si>
    <t>Monitor tehničkih karakteristika: 24" Full HD LCD, 16:9, 1080x1920, HDMI, VGA, DP</t>
  </si>
  <si>
    <r>
      <rPr>
        <b/>
        <sz val="10"/>
        <rFont val="Calibri"/>
        <family val="2"/>
        <scheme val="minor"/>
      </rPr>
      <t>Metalne police</t>
    </r>
    <r>
      <rPr>
        <sz val="10"/>
        <rFont val="Calibri"/>
        <family val="2"/>
        <charset val="238"/>
        <scheme val="minor"/>
      </rPr>
      <t xml:space="preserve">, police jednostavne, otvorene, tipske. Svi metalni dijelovi s adekvatnom zaštitnom obradom (prašno plastificiranje), sve u skladu s namjenom.  Nosivost police 200 kg, 5 kom po visini. Obavezan pismeni dokaz nosivosti.  Sve u boji prema izboru projektanta. 
</t>
    </r>
  </si>
  <si>
    <t>police dimenzije 80 x 40 x 200 cm.</t>
  </si>
  <si>
    <t>D.7.4.</t>
  </si>
  <si>
    <t>D.8.1.</t>
  </si>
  <si>
    <t>D.8.2.</t>
  </si>
  <si>
    <t>D.8.3.</t>
  </si>
  <si>
    <t>D.8.4.</t>
  </si>
  <si>
    <t>D.8.5.</t>
  </si>
  <si>
    <t>D.8.6.</t>
  </si>
  <si>
    <t>D.8.7.</t>
  </si>
  <si>
    <t>D.8.8.</t>
  </si>
  <si>
    <t>D.8.9.</t>
  </si>
  <si>
    <t>D.8.10.</t>
  </si>
  <si>
    <t>D.8.11.</t>
  </si>
  <si>
    <t>D.8.12.</t>
  </si>
  <si>
    <t>D.8.13.</t>
  </si>
  <si>
    <t>D.8.14.</t>
  </si>
  <si>
    <t>police dimenzije 800 x 40 x 200 cm.</t>
  </si>
  <si>
    <t>SPREMIŠTE PVN 2</t>
  </si>
  <si>
    <t>SPREMIŠTE PVN 1</t>
  </si>
  <si>
    <t>STUBIŠTE</t>
  </si>
  <si>
    <t>B.3.8.</t>
  </si>
  <si>
    <t>B.6.6.</t>
  </si>
  <si>
    <t>B.6.7.</t>
  </si>
  <si>
    <t>B.6.8.</t>
  </si>
  <si>
    <t>B.6.9.</t>
  </si>
  <si>
    <t>B.6.10.</t>
  </si>
  <si>
    <t>B.6.11.</t>
  </si>
  <si>
    <t>B.6.12.</t>
  </si>
  <si>
    <t>B.6.13.</t>
  </si>
  <si>
    <t>B.6.15.</t>
  </si>
  <si>
    <t>B.6.16.</t>
  </si>
  <si>
    <t>B.6.17.</t>
  </si>
  <si>
    <t>B.6.18.</t>
  </si>
  <si>
    <t>B.6.19.</t>
  </si>
  <si>
    <r>
      <t xml:space="preserve">Strunjače tatami (puzzle), debljine 2,0 cm, za pokrivanje veće podne površine
</t>
    </r>
    <r>
      <rPr>
        <sz val="10"/>
        <rFont val="Calibri"/>
        <family val="2"/>
        <scheme val="minor"/>
      </rPr>
      <t xml:space="preserve">Rubovi tatami ploče rezani su u puzzle uzorak da bi se što jednostavnije čvrsto slagale s ostalim tatami pločama i činile kompaktnu cjelinu.  
Strunjača je izrađena od EVA (Etilen vinilacetat) materijala koj je netoksičan, otporan na savijanje i udarce.
Površina je termički obrađena i daje reljefan uzorak radi sprečavanja proklizavanja.
Održavanje: nakon korištenja prebrisati vlažnom tkaninom.
Dimenzije 1 ploče: 100x100x2 cm puzzle.
</t>
    </r>
  </si>
  <si>
    <r>
      <t>Švedske ljestve</t>
    </r>
    <r>
      <rPr>
        <sz val="10"/>
        <rFont val="Calibri"/>
        <family val="2"/>
        <charset val="238"/>
        <scheme val="minor"/>
      </rPr>
      <t>, dimenzija (ŠxV) 90-100 x 190-220 cm. Materijal: puno drvo; bočne strane jelovina, prečke bukva ili jasen.</t>
    </r>
    <r>
      <rPr>
        <b/>
        <sz val="10"/>
        <rFont val="Calibri"/>
        <family val="2"/>
        <charset val="238"/>
        <scheme val="minor"/>
      </rPr>
      <t xml:space="preserve">
</t>
    </r>
    <r>
      <rPr>
        <sz val="10"/>
        <rFont val="Calibri"/>
        <family val="2"/>
        <scheme val="minor"/>
      </rPr>
      <t xml:space="preserve">Montirana, od zida je udaljena 10 cm. Stavka uključuje elemente za montažu  se na zid te montažu. 
</t>
    </r>
  </si>
  <si>
    <r>
      <t>Švedska klupa</t>
    </r>
    <r>
      <rPr>
        <sz val="10"/>
        <rFont val="Calibri"/>
        <family val="2"/>
        <charset val="238"/>
        <scheme val="minor"/>
      </rPr>
      <t>, dimenzija (DxŠxV) 180-200 x 22-31 x 180-200 x 30 cm. Materijal: puno drvo.</t>
    </r>
    <r>
      <rPr>
        <b/>
        <sz val="10"/>
        <rFont val="Calibri"/>
        <family val="2"/>
        <charset val="238"/>
        <scheme val="minor"/>
      </rPr>
      <t xml:space="preserve">
</t>
    </r>
    <r>
      <rPr>
        <sz val="10"/>
        <rFont val="Calibri"/>
        <family val="2"/>
        <scheme val="minor"/>
      </rPr>
      <t xml:space="preserve">
</t>
    </r>
  </si>
  <si>
    <r>
      <t>Zaštitne strunjače</t>
    </r>
    <r>
      <rPr>
        <sz val="10"/>
        <rFont val="Calibri"/>
        <family val="2"/>
        <scheme val="minor"/>
      </rPr>
      <t xml:space="preserve"> dimenzija 200x100x7 cm. 
</t>
    </r>
  </si>
  <si>
    <t>B.5.6.</t>
  </si>
  <si>
    <t>B.5.7.</t>
  </si>
  <si>
    <t>B.6.20.</t>
  </si>
  <si>
    <t>B.6.21.</t>
  </si>
  <si>
    <t>B.6.22.</t>
  </si>
  <si>
    <t>B.5.8.</t>
  </si>
  <si>
    <t>B.5.10.</t>
  </si>
  <si>
    <t>B.5.11.</t>
  </si>
  <si>
    <t>B.5.12.</t>
  </si>
  <si>
    <t>B.5.13.</t>
  </si>
  <si>
    <t>B.5.14.</t>
  </si>
  <si>
    <r>
      <rPr>
        <b/>
        <sz val="10"/>
        <rFont val="Calibri"/>
        <family val="2"/>
        <charset val="238"/>
      </rPr>
      <t>Velike kugle za balansiranje</t>
    </r>
    <r>
      <rPr>
        <sz val="10"/>
        <rFont val="Calibri"/>
        <family val="2"/>
      </rPr>
      <t xml:space="preserve">, komplet od 4 čvrste polukugle od polietilenske plastike, nosivosti do 120 kg; u 4 različite boje: ružičasta, ljubičasta, zelena i narančasta; te u 4 različite dimenzije: promjer 35 cm; 44,5 cm; 60 cm; i 75 cm.
</t>
    </r>
  </si>
  <si>
    <r>
      <rPr>
        <b/>
        <sz val="10"/>
        <rFont val="Calibri"/>
        <family val="2"/>
        <charset val="238"/>
      </rPr>
      <t>Mekane kocke za građenje</t>
    </r>
    <r>
      <rPr>
        <sz val="10"/>
        <rFont val="Calibri"/>
        <family val="2"/>
      </rPr>
      <t xml:space="preserve">, kao kameni blokovi: komplet od minimalno 20 velikih sivih blokova dim. 18x15x12cm, od pjenaste spužve.
</t>
    </r>
  </si>
  <si>
    <r>
      <rPr>
        <b/>
        <sz val="10"/>
        <rFont val="Calibri"/>
        <family val="2"/>
        <charset val="238"/>
      </rPr>
      <t>Mekane kocke za građenje</t>
    </r>
    <r>
      <rPr>
        <sz val="10"/>
        <rFont val="Calibri"/>
        <family val="2"/>
      </rPr>
      <t xml:space="preserve">, kao cigle: komplet od minimalno 25 velikih sivih blokova dim. 20x9x6cm, od pjenaste spužve.
</t>
    </r>
  </si>
  <si>
    <r>
      <rPr>
        <b/>
        <sz val="10"/>
        <rFont val="Calibri"/>
        <family val="2"/>
        <charset val="238"/>
      </rPr>
      <t>Stol za pijesak i vodu</t>
    </r>
    <r>
      <rPr>
        <sz val="10"/>
        <rFont val="Calibri"/>
        <family val="2"/>
      </rPr>
      <t xml:space="preserve"> 75x49,5x65 cm, za vanjske prostore, sastoji se od plastične prozirne posude postavljene na sklopivi metalni stalak, posuda je odvojiva i može se koristiti zasebno, ispod je polica od tekstila.
</t>
    </r>
  </si>
  <si>
    <r>
      <rPr>
        <b/>
        <sz val="10"/>
        <rFont val="Calibri"/>
        <family val="2"/>
        <charset val="238"/>
        <scheme val="minor"/>
      </rPr>
      <t>Komplet za igre vodom</t>
    </r>
    <r>
      <rPr>
        <sz val="10"/>
        <rFont val="Calibri"/>
        <family val="2"/>
        <charset val="238"/>
        <scheme val="minor"/>
      </rPr>
      <t xml:space="preserve"> izrađen je od plastike, tip vodeni tok u kovčegu, s minimalno 45 elemenata, sklopivi. Dimenzije: 162x157 cm.
</t>
    </r>
  </si>
  <si>
    <r>
      <rPr>
        <b/>
        <sz val="10"/>
        <rFont val="Calibri"/>
        <family val="2"/>
        <charset val="238"/>
      </rPr>
      <t>Bazen za vodu i pijesak s poklopcem</t>
    </r>
    <r>
      <rPr>
        <sz val="10"/>
        <rFont val="Calibri"/>
        <family val="2"/>
      </rPr>
      <t>, 70 x 70 cm, dubine 30 cm, visine s nogama 45 cm, za vanjske prostore.  S otvorom za ispuštanje vode na dnu, poklopac za pokrivanje kad nije u upotrebi.</t>
    </r>
  </si>
  <si>
    <r>
      <rPr>
        <b/>
        <sz val="10"/>
        <rFont val="Calibri"/>
        <family val="2"/>
        <charset val="238"/>
      </rPr>
      <t>Lopatica za pijesak</t>
    </r>
    <r>
      <rPr>
        <sz val="10"/>
        <rFont val="Calibri"/>
        <family val="2"/>
      </rPr>
      <t xml:space="preserve"> 21 cm, plastična, lagana, s ergonomskom drškom. </t>
    </r>
  </si>
  <si>
    <r>
      <rPr>
        <b/>
        <sz val="10"/>
        <rFont val="Calibri"/>
        <family val="2"/>
        <charset val="238"/>
      </rPr>
      <t>Tačke</t>
    </r>
    <r>
      <rPr>
        <sz val="10"/>
        <rFont val="Calibri"/>
        <family val="2"/>
      </rPr>
      <t xml:space="preserve"> od plastike s kotačima s gumom, 68 cm, mogu prenositi do 100 kg. </t>
    </r>
  </si>
  <si>
    <r>
      <rPr>
        <b/>
        <sz val="10"/>
        <rFont val="Calibri"/>
        <family val="2"/>
        <charset val="238"/>
      </rPr>
      <t>Grabljice</t>
    </r>
    <r>
      <rPr>
        <sz val="10"/>
        <rFont val="Calibri"/>
        <family val="2"/>
      </rPr>
      <t xml:space="preserve"> za pijesak s duljom drškom, 21 cm, plastične, lagane, s ergonomskom drškom. 
</t>
    </r>
  </si>
  <si>
    <r>
      <rPr>
        <b/>
        <sz val="10"/>
        <rFont val="Calibri"/>
        <family val="2"/>
        <charset val="238"/>
      </rPr>
      <t>Kantica s drškom</t>
    </r>
    <r>
      <rPr>
        <sz val="10"/>
        <rFont val="Calibri"/>
        <family val="2"/>
      </rPr>
      <t>, visine 18 cm, plastična, lagana, od savitljive plastike. U boji po izboru projektanta.</t>
    </r>
  </si>
  <si>
    <r>
      <rPr>
        <b/>
        <sz val="10"/>
        <rFont val="Calibri"/>
        <family val="2"/>
        <charset val="238"/>
      </rPr>
      <t>Kalupi za pijesak</t>
    </r>
    <r>
      <rPr>
        <sz val="10"/>
        <rFont val="Calibri"/>
        <family val="2"/>
      </rPr>
      <t xml:space="preserve">, 4 raznobojna kalupa - lokomotiva, brod, kravica i svinjica, 10 do 12 cm.
</t>
    </r>
  </si>
  <si>
    <r>
      <rPr>
        <b/>
        <sz val="10"/>
        <rFont val="Calibri"/>
        <family val="2"/>
        <charset val="238"/>
      </rPr>
      <t xml:space="preserve">Zalijevaljka </t>
    </r>
    <r>
      <rPr>
        <sz val="10"/>
        <rFont val="Calibri"/>
        <family val="2"/>
      </rPr>
      <t xml:space="preserve">- kantica za zalijevanje visine 21 cm, od elastične plastike. </t>
    </r>
  </si>
  <si>
    <r>
      <rPr>
        <b/>
        <sz val="10"/>
        <rFont val="Calibri"/>
        <family val="2"/>
        <charset val="238"/>
      </rPr>
      <t>Vozilo za igre pijeskom</t>
    </r>
    <r>
      <rPr>
        <sz val="10"/>
        <rFont val="Calibri"/>
        <family val="2"/>
      </rPr>
      <t xml:space="preserve"> - od polipropilena, kotači od otpornog EVA materijala, dim. 25x13x17cm.
</t>
    </r>
  </si>
  <si>
    <r>
      <rPr>
        <b/>
        <sz val="10"/>
        <rFont val="Calibri"/>
        <family val="2"/>
        <scheme val="minor"/>
      </rPr>
      <t>LCD Projektor</t>
    </r>
    <r>
      <rPr>
        <sz val="10"/>
        <rFont val="Calibri"/>
        <family val="2"/>
        <scheme val="minor"/>
      </rPr>
      <t xml:space="preserve">, minimalno 4000 ANSI lumena,  minimalna native rezolucija: 1920x1080, 
mogućnost bežičnog povezivanja. 
Priključci: USB 2.0 tipa A, USB 2.0 tipa B, bežični LAN IEEE 802.11b/g/n (WiFi 4), VGA ulaz, HDMI ulaz, kompozitni ulaz, činč audioulaz.
Uključivo i torba za prijenos, kabel VGA i HDMI, kkabel za napajanje, daljinski upravljač. 
Montaža uređaja, programiranje, testiranje, puštanje u rad i obuka korisnika.
</t>
    </r>
  </si>
  <si>
    <t>ENERGETSKO POSTROJENJE</t>
  </si>
  <si>
    <t>Inverterska reverzibilna dizalica toplina sa stapnim kompresorima.</t>
  </si>
  <si>
    <t>Koristi prirodni radnim medij R290 (propan) s iznimno niskim GWP=3 i smanjenim utjecajem na okoliš. Uređaji  mogu proizvoditi toplu vodu do 63 ° C i raditi s vanjskom temperaturom do -20 ° C.</t>
  </si>
  <si>
    <t>Struktura jedinice izrađena je od pocinčanog lima presvučenog poliesterskim prahom RAL 5017/7035 na 180 ° C, što je čini visoko otpornom na vremenske uvjete. Konstrukcija je nosivi okvir s uklonjivim oplatama obloženim prostirkom od poliuretana koja apsorbira zvuk. Svi vijci su od nehrđajućeg čelika.</t>
  </si>
  <si>
    <t xml:space="preserve">Kompresori su polu-hermetički klipni s dva kruga, frekventnim pretvaračem za svaki kompresor koji modulira radnu frekvenciju prema zahtjevu opterećenja. Inverterski kompresori promjenjive brzine povećavaju sezonsku učinkovitost i postižu stabilnu termodinamičku regulaciju u svim uvjetima opterećenja. </t>
  </si>
  <si>
    <t>Brzina modulirajućeg kompresora varira, ovisno o ukupnom toplinskom opterećenju između 30 i 105 o / min. 30Hz i 65Hz.</t>
  </si>
  <si>
    <t>Zrakom hlađeni i grijani toplinski izmjenjivač uređaja napravljen je od bakrenih cijevi te aluminijskih mikro kanala koji povećavaju površinu izmjene zraka. Izmjenivač je optimiziran za rad uređaja u grijanju te ima povećanu širinu i nagib lamela kako bi se smanjilo stvaranje leda i olakšao odljev kondenzirane vode tijekom odmrzavanja. Bakrene cijevi su povećane debljine kako bi se osigurala veća pouzdanost i trajnost tijekom radnog vijeka.</t>
  </si>
  <si>
    <t>Za jedinice opremljene EC ventilatorima (opcija) ista se funkcija izvodi pomoću elektronički komutiranog motora ventilatora.</t>
  </si>
  <si>
    <t>Vodeni izmjenjivač je također opremljen termostatom grijačem protiv smrzavanja koji ga štiti od stvaranja leda kada uređaj ne radi. Rad uređaja optimiziran je u načinu grijanja, gdje se voda i tekućine rashladnog sredstva izmjenjuju u protustruji unutar pločastog izmjenjivača topline.</t>
  </si>
  <si>
    <t>Rashladni krug zatvoren je u odjeljak koji sadrži ATEX-certificirani osjetnik propuštanja i ventilacijski ventilator s ATEX-ovim certifikatom. Hidraulični modul, ako je prisutan, također je zatvoren u odjeljak koji sadrži ATEX certificirani osjetnik propuštanja i ATEX certificirani ventilator za usisavanje.</t>
  </si>
  <si>
    <t>Električna upravljačka ploča izrađena je u obojenoj pocinčanoj kutiji od lima sa prisilnom ventilacijom i zaštitom IP54. Električna ploča izrađena je prema standardu EN60204-1. Električna ploča odvojena je od odjeljka kompresora.</t>
  </si>
  <si>
    <t>Za napajanje sigurnosnih uređaja (osjetnik curenja i ventilatori za usisavanje) potrebna je dodatna namjenska linija napajanja 230V / 50Hz. Rad ove linije mora biti zajamčen neprekidnim napajanjem.</t>
  </si>
  <si>
    <t>Rashladni krugovi su u potpunosti odvojeni što povećava sigurnost rada uređaja i parcijalni defrost u režimu grijanja. Uređaj treba biti potvrđen s Eurovent certifikatom.</t>
  </si>
  <si>
    <t>Tehničke karakteristike pri Eurovent uvjetima:</t>
  </si>
  <si>
    <t>Minimalni rashladni učinak: 146,74 [kW] kod temperature vode u isparivaču  7/12 [°C] i temperature zraka na usisu u kondenzator 35 [°C].</t>
  </si>
  <si>
    <t>Maksimalno dopuštena apsorbirana el. snaga stroja: 57,1 [kW]</t>
  </si>
  <si>
    <t>Maksimalno dopuštena apsorbirana el. snaga stroja: 52,47 [kW]</t>
  </si>
  <si>
    <t>Minimalni COP = 3,18</t>
  </si>
  <si>
    <t>Minimalni SCOP (30/35°C) = 3,61</t>
  </si>
  <si>
    <t>Minimalna ηs,h = 141,4</t>
  </si>
  <si>
    <t>Minimalni SCOP (55/47°C) = 3,08</t>
  </si>
  <si>
    <t>Minimalna ηs,h = 120</t>
  </si>
  <si>
    <t>Tehničke karakteristike pri projektnim uvjetima:</t>
  </si>
  <si>
    <t>Minimalni rashladni učinak: 152 [kW] kod temperature vode u isparivaču  7/12 [°C] i temperature zraka na usisu u kondenzator 31,4 [°C].</t>
  </si>
  <si>
    <t>Maksimalno dopuštena apsorbirana el. snaga stroja: 54,7  [kW]</t>
  </si>
  <si>
    <t>Minimlani EER = 2,78</t>
  </si>
  <si>
    <t>Minimalni ogrjevni učinak: 93,9 [kW] kod temperature vode i u kondenzatoru 45/40 [°C] i temperature okoline -12,9 [°C].</t>
  </si>
  <si>
    <t>Maksimalno dopuštena apsorbirana el. snaga stroja: 41,0 [kW]</t>
  </si>
  <si>
    <t>Minimalni COP = 2,29</t>
  </si>
  <si>
    <t>Napajanje: 400V - 3ph - 50Hz</t>
  </si>
  <si>
    <t>Kompresor je klipni.</t>
  </si>
  <si>
    <t>Minimalni broj kompresora: 2</t>
  </si>
  <si>
    <t>Minimalni stupanj regulacije kapaciteta: 23,1</t>
  </si>
  <si>
    <t>Prirodni radni medij: R290; GWP &lt; 3</t>
  </si>
  <si>
    <t>Zvučna snaga ne smije biti veća od: 92 dB(A) [prema ISO3744]</t>
  </si>
  <si>
    <t>Zvučni tlak na udaljenosti 10 m od stroja ne smije biti veći od: 60 dB(A) [prema ISO3744]</t>
  </si>
  <si>
    <t>Masa stroja: 2418 kg</t>
  </si>
  <si>
    <t>Dimenzije DxŠxV [mm]: 4932x1126x2404</t>
  </si>
  <si>
    <t>Elektro ormar treba biti u klasi IP 54 ugrađen na uređaju sa svim elementima i ožičenjem potrebnim za siguran i ispavan rad uređaja, mikroprocesorom za kontrolu i vođenje rada uređaja. Mikroprocesor mora osigurati potpuno automatski rad uređaja.</t>
  </si>
  <si>
    <t>* zaštitna mreža kondenzatora</t>
  </si>
  <si>
    <t>* kontrolnik protoka</t>
  </si>
  <si>
    <t>* napredna kontrola</t>
  </si>
  <si>
    <t>* kontrole polazne temperature vode</t>
  </si>
  <si>
    <t>* hidro modul s jednom cirkulacijskom crpkom i integriranim inercijskim spremnikom minimalnog obujma 300 l [minilani raspoloživi eksterni pad tlaka pumpe hlađenje/grijanje je 210/252 kPa]</t>
  </si>
  <si>
    <t>* Modbus komunikacijska kartica</t>
  </si>
  <si>
    <t>* daljinski upravljač</t>
  </si>
  <si>
    <t>* grijač tavice kondenzata</t>
  </si>
  <si>
    <t>* gumene antivibracijske podloške</t>
  </si>
  <si>
    <t>Uređaj treba tvornički biti isporučen prema gore navedenom te spreman za rad nakon hidrauličkog i električnog spajanja. Dodatne isporuke opreme i software-a nisu dopuštene, odnosno ako budu potrebne idu na teret isporučitelja.</t>
  </si>
  <si>
    <t>Parametri i elementi koji su nužan uvjet kod dokazivanja jednakovrijednosti:</t>
  </si>
  <si>
    <t>- GWP&lt;3</t>
  </si>
  <si>
    <t>- inverterski rad kompresora</t>
  </si>
  <si>
    <t>- područje rada uređaja</t>
  </si>
  <si>
    <t xml:space="preserve">- minimalni stupanj iskoristivosti (EER i COP) kod projektnih parametara </t>
  </si>
  <si>
    <t>- minimalni sezonski stupanj iskoristivosti (SEER i SCOP) kod Eurovent parametara</t>
  </si>
  <si>
    <t>- nivo zvučne snage te nivo zvučnog tlaka na 10 m</t>
  </si>
  <si>
    <t>- maksimalne dimenzije uređaja</t>
  </si>
  <si>
    <t>- navedena dodatna oprema uređaja s karakteristikama</t>
  </si>
  <si>
    <t>Podkonstrukcija za smještaj modula dizalice topline. Stavka uključuje betonske blokete, čeličnu podkonstrukciju i antivibracijske nosače.</t>
  </si>
  <si>
    <t>DN 80</t>
  </si>
  <si>
    <t>Vanjska jedinica u izvedbi dizalice topline zrak/zrak, odnosno zrak/voda u ovisnosti o tipu priključenih unutarnjih jedinica. Kod jedinica iz više modula osiguran je parcijalni defrost, a samim time i kontinuirano grijanje za vrijeme defrosta.</t>
  </si>
  <si>
    <t>Simultana i automatska promjena temperature isparavanja radnog medija prema temperaturi okoliša omogućuje dodatne uštede energije i veći komfor zbog viših temperatura istrujanog zraka. Jedinica je opremljena sa pločastim izmjenjivačem topline [intercooler] koji omogućuje značajno poboljšanje efikasnosti kako u hlađenju tako i u grijanju. Uređaj je opremljen s "pump out/down" funkcijom koja omogućuje jednostavno servisiranje pojedinih dijelova sustava. Uređaji su EUROVENT certificirani.</t>
  </si>
  <si>
    <t>Maksimalno dozvoljena udaljenosti: ukupno cijevni razvod do 1000 metara; najudaljenija dionica cjevovoda je 220 m; visinska razlika između vanjske i unutarnje jedinice iznosi 110 m, visinska razlika između pojedinih unutarnjih jedinica iznosi 50 m.</t>
  </si>
  <si>
    <t>Konstrukcija: Jedinice su modularne izvedbe sa osnovnim nosivim okvirom i galvaniziranim čeličnim panelima sa odgovarajućom zaštitom za vanjsku i unutarnju ugradnju. Do veličine 26HP jedinice mogu biti u izvedbi 1 modula, dok su veće sastavljene od dva, ili tri modula. Jedinica se standardno isporučuje sa zaštitnom mrežom izmjenjivača. Ventilatori su niskošumne izvedbe s DC kontinuiranom regulacijom brzine vrtnje. Raspoloživi eksterni statički tlak ventilatora je 110 Pa. Svi kompresori u uređaju su inverterski, zvučno izolirani SSC-tip hermetički scroll izvedbe s radnim područjem 15-150 Hz.</t>
  </si>
  <si>
    <t>Qh ukupno = 22,4 kW</t>
  </si>
  <si>
    <t>N ukupno = 5,6 kW    /   380 - 415 V - 50 Hz</t>
  </si>
  <si>
    <t>EER: 4 (100% opterećenja)</t>
  </si>
  <si>
    <t>SEER: 7,58</t>
  </si>
  <si>
    <t>Qg ukupno = 25,2 kW</t>
  </si>
  <si>
    <t>N ukupno = 5,74 kW    /   380 - 415 V - 50 Hz</t>
  </si>
  <si>
    <t>SCOP: 4.06</t>
  </si>
  <si>
    <t>Raspoloživi kapacitet @ Tok = -15 °C</t>
  </si>
  <si>
    <t>Qg ukupno = 23,9 kW</t>
  </si>
  <si>
    <t>Radno područje (grijanje): od -25° do 24 °C</t>
  </si>
  <si>
    <t>Radno područje (hlađenje) od -5° do 50 °C</t>
  </si>
  <si>
    <t>Nivo zvučnog tlaka (hlađenje): 53 dB(A) na udaljenosti 1m od jedinice</t>
  </si>
  <si>
    <t>Dimenzije ukupno:</t>
  </si>
  <si>
    <t>d x š = 930 x 765 mm; h = 1695 mm</t>
  </si>
  <si>
    <t>Masa ukupno: 175 kg</t>
  </si>
  <si>
    <t>Uređaj uključuje dodatni rashladni krug s radnom tvari R134a: pločasti izmjenjivač topline dviju radnih tvari R410A (vanjska jedinica) i R134a; dodatni scroll kompresor, elektronski ekspanzijski ventil, akumulator radne tvari, zaštitne komponente i shrader ventile za servisiranje sekundarnog kruga . Sustav je prednapunjen s radnom tvari R134a.</t>
  </si>
  <si>
    <t>DI: On/off, G/H, Smart grid, Solar interlock</t>
  </si>
  <si>
    <t>DO: 2 x troputni ventil, 1 x dvoputni ventil, signal greške, status rada</t>
  </si>
  <si>
    <t>slijedećih teh. karakteristika:</t>
  </si>
  <si>
    <t>Tok=-12,9°C, Tpol=75°C, ΔT=10°C</t>
  </si>
  <si>
    <t>Qg =  25,0 kW</t>
  </si>
  <si>
    <t>Pi = 5 kW / 3~ ; 380 V</t>
  </si>
  <si>
    <t>Dimenzije:518x330mm ; h=1210 mm,</t>
  </si>
  <si>
    <t>Masa: 103.5 kg</t>
  </si>
  <si>
    <t>medij:  R-410A i R134a</t>
  </si>
  <si>
    <t>Zvučni tlak na udaljenosti od 1m i visini od 1,5m : 42 dB(A)</t>
  </si>
  <si>
    <t>Priključak R410A: tekuća faza: 9,52 mm</t>
  </si>
  <si>
    <t>Priključak R410A: plinovita faza: 15,9 mm</t>
  </si>
  <si>
    <t>Kontrola pristupa s mogućnošću ograničavanja pristupa korisnika.</t>
  </si>
  <si>
    <t>Puštanje u pogon VRF sustava uključivo provjeru nepropusnosti freonske instalacije, vakumiranje i dopunjavanje rashladnog sredstva od strane ovlaštenog servisa uz izdavanje potrebnih uputa za korištenje, atesta i garancija. Puštanje u pogon ne sadrži spajanje cijevi i struje kao niti radnu tvar.</t>
  </si>
  <si>
    <t>Dopuna radne tvari</t>
  </si>
  <si>
    <t>Radni medij R410A</t>
  </si>
  <si>
    <t>Toplovodni električni kotao</t>
  </si>
  <si>
    <t>Proizvod je opremljen izmjenjivačem topline, ekspanzijskom podsudom, sigurnosnim ventilom, cirkulacijskom crpkom, automatskim odzračnim ventilom</t>
  </si>
  <si>
    <t>Mogućnost upravljanja putem modbus RTU ili 
BACnet IP komunikacijskog protokola</t>
  </si>
  <si>
    <t>Nazivna toplinska snaga: 24 kW (3x400V)</t>
  </si>
  <si>
    <t>Razina zvučne snage: 39 dB</t>
  </si>
  <si>
    <t>El. Zaštita: IP40</t>
  </si>
  <si>
    <t>Max.temp. sustava vode: 85°C</t>
  </si>
  <si>
    <t>Max.radni tlak: 3 bar</t>
  </si>
  <si>
    <t>DxŠxV: 273x416x712</t>
  </si>
  <si>
    <t>Direktno zagrijavani inercijski spremnik zagrijane ili hlađene vode volumena V=200 litara, izrađen od visokokvalitetnog čelika S235JR ili jednakovrijedno. Toplinska izolacija od ekološki prihvaljtivog materijala bez freona, debljine 100 mm, maksimalni radni tlak 10 bar, maksimalna radna tremperatura 95°C, maksimalna visina spremnika 1700 mm , promjer spremnika 760 mm ( uključivo izolacija). Spremnik je u izvedbi s funkcijom hidrauličke skretnice s 4 priključka. Razrada prema parametrima iz projektne dokumentacije.</t>
  </si>
  <si>
    <t>Direktno zagrijavani inercijski spremnik zagrijane ili hlađene vode volumena V=200 litara, izrađen od visokokvalitetnog čelika S235JR ili jednakovrijedno. Toplinska izolacija od ekološki prihvaljtivog materijala bez freona, debljine 100 mm, maksimalni radni tlak 10 bar, maksimalna radna tremperatura 95°C, maksimalna visina spremnika 1700 mm , promjer spremnika 760 mm ( uključivo izolacija). Spremnik je u izvedbi s 2 priključka na nasuprotnim stranama. Razrada prema parametrima iz projektne dokumentacije.</t>
  </si>
  <si>
    <t>Spremnik:</t>
  </si>
  <si>
    <t>Volumen: 2000 l</t>
  </si>
  <si>
    <t>Dimenzije: Ø1350, h=2310 mm</t>
  </si>
  <si>
    <t>Radni tlak / maksimalna temperatura vode: 10 bar / 95°C</t>
  </si>
  <si>
    <t>Površina donjeg cijevnog izmjenjivača: 4,1m²</t>
  </si>
  <si>
    <t>Površina gornjeg cijevnog izmjenjivača: 3m²</t>
  </si>
  <si>
    <t>Masa: 750 kg</t>
  </si>
  <si>
    <t>Priključak PTV-a ulaz/izlaz: 2x G1½"</t>
  </si>
  <si>
    <t>Priključak recirkulacije: G1"</t>
  </si>
  <si>
    <t>Priključak električnog grijača: G1½"</t>
  </si>
  <si>
    <t>Priključci za osjetnik: G½"</t>
  </si>
  <si>
    <t>Mogućnost ugradnje elektro grijača snage 3kW; 4,5kW; 6kW; 7,5kW.</t>
  </si>
  <si>
    <t>Cijevni izmjenjivač gornji:</t>
  </si>
  <si>
    <t>Snaga / protok prema DIN 4708; 80/60/45°C: 110kW / 2,70mᶟ/h</t>
  </si>
  <si>
    <t>Pad tlaka u cijevnom izmjenjivaču: 300mbar</t>
  </si>
  <si>
    <t>Radni tlak / maksimalna temperatura: 16 bar / 110°C</t>
  </si>
  <si>
    <t>Priključak gornjeg cijevnog izmjenjivača ul / iz: G1"</t>
  </si>
  <si>
    <t>Cijevni izmjenjivač donji:</t>
  </si>
  <si>
    <t>Snaga / protok prema DIN 4708; 80/60/45°C: 180kW / 4,42mᶟ/h</t>
  </si>
  <si>
    <t>Pad tlaka u cijevnom izmjenjivaču: 420mbar</t>
  </si>
  <si>
    <t>Priključak donjeg cijevnog izmjenjivača ul / iz: G1"</t>
  </si>
  <si>
    <t>Električni grijač za spremnik PTV-a</t>
  </si>
  <si>
    <t>Električni grijač snage 7,5kW (trofazni priključak)</t>
  </si>
  <si>
    <t>Sastoji se od jednog ili više grijača s termostatom.</t>
  </si>
  <si>
    <t>Mogućnost podešavanja željene temperature u rasponu od 30 do 80°C.</t>
  </si>
  <si>
    <t>Granična temperatura podešena na 95°C.</t>
  </si>
  <si>
    <t>Senzor spremnika tople vode</t>
  </si>
  <si>
    <t>4-20mA</t>
  </si>
  <si>
    <t>0-100°C</t>
  </si>
  <si>
    <t>ispravljač izmjenične struje u istosmjernu te transformator s izlazom cca 15 – 30V</t>
  </si>
  <si>
    <t>Dobava i ugradnja kompaktnog razdjelnika/sabirnika radnog medija tople i hladne vode (45/40 i 7/12°C). Razdjelnik/sabirnik antikorozivno zaštićen galvanskim pocinčavanjem. Razdjelnik/sabirnik ispitan tlačnom probom na 12 bara, radni tlak max. 6 bara, temperatura polaznog voda max. 90 °C.</t>
  </si>
  <si>
    <t>CIJEVNI PRIKLJUČCI PN 10</t>
  </si>
  <si>
    <t>DN 80, prirubnički x 2</t>
  </si>
  <si>
    <t>DN 65, prirubnički x 2</t>
  </si>
  <si>
    <t>DN 40, prirubnički x 2</t>
  </si>
  <si>
    <t>DN 32, prirubnički x 4</t>
  </si>
  <si>
    <t xml:space="preserve">DN 15, navojni x 2 - ispust </t>
  </si>
  <si>
    <t xml:space="preserve">priključci-čahure-2 komad na razdjelniku 1/2" za osjetnik temperature. </t>
  </si>
  <si>
    <t xml:space="preserve">Dobava i ugradnja primarne posude volumena 200 litara, podnožje za mjerenje sadržaja vode, posuda izrađena od čelika, nepropusni mjeh iz butila s mogučnošću izmjene, spremnik se odzračuje s vrha, a na dnu je odvod za kondenza. Dodatak antifriza do 30%,  CE testirano prema EPED 2014/68/EU I Machinery Directive 2006/42/EC.                </t>
  </si>
  <si>
    <t xml:space="preserve">Dobava i ugradnja primarne posude volumena 50 litara, podnožje za mjerenje sadržaja vode, posuda izrađena od čelika, nepropusni mjeh iz butila s mogučnošću izmjene, spremnik se odzračuje s vrha, a na dnu je odvod za kondenza. Dodatak antifriza do 30%,  CE testirano prema EPED 2014/68/EU I Machinery Directive 2006/42/EC.                </t>
  </si>
  <si>
    <t xml:space="preserve">Dobava i ugradnja higijenske posude volumena 50 litara, podnožje za mjerenje sadržaja vode, posuda izrađena od čelika, nepropusni mjeh iz butila s mogučnošću izmjene, spremnik se odzračuje s vrha, a na dnu je odvod za kondenza. Dodatak antifriza do 30%,  CE testirano prema EPED 2014/68/EU I Machinery Directive 2006/42/EC.                </t>
  </si>
  <si>
    <t>Oznaka C-1 ("jaslice")</t>
  </si>
  <si>
    <t>H   (kPa)  =   75</t>
  </si>
  <si>
    <t>N   (kW)   =   0,029…1,377</t>
  </si>
  <si>
    <t>1x230V/50Hz</t>
  </si>
  <si>
    <t>Oznaka C-2 ("uredi")</t>
  </si>
  <si>
    <t>H   (kPa)  =   65</t>
  </si>
  <si>
    <t>Oznaka C-3 ("vrtić")</t>
  </si>
  <si>
    <t>Oznaka C-4 ("kuhinja")</t>
  </si>
  <si>
    <t>H   (kPa)  =   45</t>
  </si>
  <si>
    <t>Oznaka C-5 ("priprema PTV-a")</t>
  </si>
  <si>
    <t>Jednostruka cirkulacijska crpka recirkulacijskog voda PTV-a. Isporuka uključuje frekventni pretvarač ugrađen na priključnoj kutiji motora crpke te senzor diferencijalnog tlaka ugrađen u kućište crpke te sve potrebne elemente za potpunu funkcionalnost crpke. Tehničke karakteristike:</t>
  </si>
  <si>
    <t>Oznaka C-6 ("recirkulacija")</t>
  </si>
  <si>
    <t>H   (kPa)  =   30</t>
  </si>
  <si>
    <t xml:space="preserve">Samoregulirajući grijaći kabeli za zaštitu cjevovoda od smrzavanja. Sastoje se od dva paralelna bakrena voda, koji su ugrađeni u povezani plastični grijaći element dopiran ugljičnim česticama s pozitivnim temperaturnim koeficijentom, tj. Grijaći element mijenja svoj izlaz ovisno o temperaturi okoline. Ako temperatura raste, plastika će se proširiti molekularnom ekspanzijom. Veza između čestica ugljika se otvara, otpor se povećava, a time se smanjuje i snaga. Prilikom hlađenja, proces se obrće i snaga se povećava. Tako će se grijaći kabel prilagoditi zahtjevima za toplinom s bilo kojeg mjesta. </t>
  </si>
  <si>
    <t>Maks. Grijanje površine: 20 W/m</t>
  </si>
  <si>
    <t>Nazivni napon: 230 V</t>
  </si>
  <si>
    <t>Najmanji polumjer savijanja: 45 mm</t>
  </si>
  <si>
    <t>Nominalna granična temperatura: 65°C</t>
  </si>
  <si>
    <t>Zaštita: IPX7</t>
  </si>
  <si>
    <t>Dužina štićenih cijevi</t>
  </si>
  <si>
    <t xml:space="preserve">Ventili za hidrauličko balansiranje sa proporcionalnom karakteristikom prigušenja, sa mjernim priključcima za instrument za podešavanje protoka, opremljeni ručnim kolom sa numeričkom digitalnom skalom za predpodešavanje i mogućnosti blokiranja podešenog položaja.Tijelo ventila za DN10 -DN50 jemesing te za dimenzije DN65-DN500 lijevano željezo. Stavka obvezno uključuje jednokratno podešavanje protoka pomoću originalnog mjernog instrumenta, i izradu zapisnika o postignutim protocima. Ventili su sa navojnim priključkom PN25 za dimenzije DN10 -DN50 i prirubnički PN16 za dimenzije DN65 -DN500 slijedećih dimenzija: </t>
  </si>
  <si>
    <t>DN 65</t>
  </si>
  <si>
    <t>DN 40</t>
  </si>
  <si>
    <t>DN 32</t>
  </si>
  <si>
    <t>DN 25</t>
  </si>
  <si>
    <t xml:space="preserve">DN40 G1 3/4"VN   </t>
  </si>
  <si>
    <t xml:space="preserve">DN32 G1 1/2"VN   </t>
  </si>
  <si>
    <t xml:space="preserve">DN25 G1"VN   </t>
  </si>
  <si>
    <t>Separator mikro mjehurića, nečistoće i magnetnih čestica s ciklonskom tehnologijom</t>
  </si>
  <si>
    <t>Medij:
Neagresivni i netoksični mediji.
Antifriz na bazi etilen ili propilen glikola do 50%.</t>
  </si>
  <si>
    <t>Materijal:
Čelik. Boja: berilij.</t>
  </si>
  <si>
    <t>Označavanje:
Tijelo ventila: i smjer protoka.
Oznaka: DN, PN, TS i TSmin.</t>
  </si>
  <si>
    <t>Priključak:
Prirubnice PN 16 prema EN-1092-1.</t>
  </si>
  <si>
    <t>Transport i skladištenje:
Na suhom mjestu.</t>
  </si>
  <si>
    <t>Standardi:
Proizvedeno u skladu sa PED 2014/68/EU.</t>
  </si>
  <si>
    <t>Hvatač nečistoća, navojni, u kompletu s vijčanom spojkom, sljedećih dimenzija:</t>
  </si>
  <si>
    <t>Kuglasta slavina navojnog priključka, u kompletu s vijčanom spojkom, nazivnog tlaka PN 16, dimenzije:</t>
  </si>
  <si>
    <t>DN 32 (R 1 1/4")</t>
  </si>
  <si>
    <t>DN 25 (R 1")</t>
  </si>
  <si>
    <t>DN 32 PN 16</t>
  </si>
  <si>
    <t>Automatski odzračni ventil u kompletu s kuglastom slavinom nazivnog tlaka PN 10, dimenzije:</t>
  </si>
  <si>
    <t>DN 15 (R 1/2")</t>
  </si>
  <si>
    <t>- manometar</t>
  </si>
  <si>
    <t>- slavina</t>
  </si>
  <si>
    <t xml:space="preserve"> Φ 9,5 mm</t>
  </si>
  <si>
    <t xml:space="preserve"> Φ 19,1 mm</t>
  </si>
  <si>
    <t>Čelične bešavne cijevi prema DIN 2448, kvalitete St 35.8, uključivo fazonski komadi, sljedećih dimenzija:</t>
  </si>
  <si>
    <t>DN 32 (ø1 1/4")</t>
  </si>
  <si>
    <t>- ostalo</t>
  </si>
  <si>
    <t>Toplinska izolacija cjevovoda i opreme grijanja i hlađenja u vanjskom prostoru, debljine 32 mm. Izrađena od elastomerne pjene na osnovi sintetičkog kaučuka koji je vrlo fleksibilan izolacijski materijal zatvorenih ćelija s visokim faktorom otpora difuziji vodene pare µ ≥ 10.000, niskom toplinskom vodljivošću kod 0°C, µ ≤ 0,033 W/(m·K) i ugrađenom antimikrobnom zaštitom. U stavku je uključen sav potreban pribor i originalni materijal za montažu izolacije. Dodatno se izolira Al-limom sa silikonskim brtvljenjem spojeva.  Izolacija za cijevi slijedećih dimenzija:</t>
  </si>
  <si>
    <t>izolacijske ploče AF 32MM</t>
  </si>
  <si>
    <t>Toplinska izolacija cjevovoda i opreme grijanja i hlađenja od ulaska u zgradu do izlaska iz strojarnice, debljine 25 mm. Izrađena od elastomerne pjene na osnovi sintetičkog kaučuka koji je vrlo fleksibilan izolacijski materijal zatvorenih ćelija s visokim faktorom otpora difuziji vodene pare µ ≥ 10.000, niskom toplinskom vodljivošću kod 0°C, µ ≤ 0,033 W/(m·K) i ugrađenom antimikrobnom zaštitom. U stavku je uključen sav potreban pribor i originalni materijal za montažu izolacije. Dodatno se izolira Al-limom sa silikonskim brtvljenjem spojeva.  Izolacija slijedećih dimenzija:</t>
  </si>
  <si>
    <t>izolacijske ploče AF 25MM</t>
  </si>
  <si>
    <t>Oslonci i konzole, ovjesi i slično za vođenje, oslanjanje i ovješenje cjevovoda izrađeni iz tipskih elemenata, prema prethodnoj razradi i detaljnoj specifikaciji od strane proizvođača, što je uključeno u stavku. Kompletan materijal iz ove stavke isporučuje se na gradilište pocinčan radi zaštite od korozije.</t>
  </si>
  <si>
    <t>Sitni potrošni materijal neophodan za montažu specificirane opreme, kao što su: kisik, disu plin, elektrode, brtve, vijci, matice, tipli, proturne cijevi i slično.</t>
  </si>
  <si>
    <t xml:space="preserve">Montaža specificirane opreme i materijala do pune pogonske gotovosti, troškovi servisera, hladna i topla tlačna proba na nepropusnost te probni pogon u trajanju od 48 sati uz izdavanje potrebnih uputa za korištenje, atesta i garancija, uz temeljito odzračivanje, regulaciju i balansiranje. Uključivo montaža elemenata automatske regulacije. Troškovi energenata i energije nisu uključeni. </t>
  </si>
  <si>
    <t>Prijevoz specificirane opreme i materijala na gradilište te povrat alata na skladište izvođača.</t>
  </si>
  <si>
    <t>TEMELJNO GRIJANJE I HLAĐENJE</t>
  </si>
  <si>
    <t>PODNO GRIJANJE</t>
  </si>
  <si>
    <t>Set kuglastih ventila 1" za razdjelnike</t>
  </si>
  <si>
    <t>set</t>
  </si>
  <si>
    <t>Stezni adapt. 16x2,0x3/4" eurokonus Kompresijski adapter proizvede iz mesinga, služi za spajanje cijevi na razdjelnike. Ženski navoj 3/4˝ euro-konus prema DIN EN ISO 228-1.</t>
  </si>
  <si>
    <t>Elektrotermički pogon 230V, NC, M30x1,5</t>
  </si>
  <si>
    <t>VENTILOKONVEKTORI</t>
  </si>
  <si>
    <t>Kanalni ventilokonvektor</t>
  </si>
  <si>
    <t>Rashladni učinak odabran je prema temperaturi prostora 26 °C suhog termometra / 19°C vlažnog termometra i temperaturi hladne vode 7/12°C.</t>
  </si>
  <si>
    <t>Ogrijevni učinak odabran je na temperaturi prostora 20 °C i temperaturi tople vode 45/40 °C.</t>
  </si>
  <si>
    <t>Dodatna oprema koja se isporučuje u sklopu ventilokonvektora:</t>
  </si>
  <si>
    <t>* troputni ventil 220V; on-off tvornički montiran na ventilokonvektoru</t>
  </si>
  <si>
    <t>* infracrveni daljinski upravljač tip</t>
  </si>
  <si>
    <t>Totalni rashladni učinak: 1,34 / 1,73 / 2,04 kW</t>
  </si>
  <si>
    <t>Sensibilni rashladni učinak: 0,98 / 1,35 / 1,63 kW</t>
  </si>
  <si>
    <t>Protok vode u režimu hlađenja: 230 / 298 / 351 l/h</t>
  </si>
  <si>
    <t>Pad tlaka na vodenoj strani u režimu hlađenja: 3,4 / 6,4 / 9,1  kPa</t>
  </si>
  <si>
    <t>Ogrijevni učinak:  1,48 / 1,94 / 2,31 kW</t>
  </si>
  <si>
    <t>Protok vode u režimu grijanja: 255 / 334 / 397 l/h</t>
  </si>
  <si>
    <t>Pad tlaka na vodenoj strani u režimu grijanja: 5,7 / 9,2 / 12.4 kPa</t>
  </si>
  <si>
    <t>Nivo zvučne snage: 34 / 42 / 49 dB(A)</t>
  </si>
  <si>
    <t>Nivo zvučnog tlaka: 25 / 34 / 40 dB(A)</t>
  </si>
  <si>
    <t>Protok zraka : 252 / 356 / 464 m3/h</t>
  </si>
  <si>
    <t>Električna snaga: 13 / 18 / 21 W   /   230V - 50Hz</t>
  </si>
  <si>
    <t>Dimenzije kućišta DxŠxV:  930 x 185 x 323 mm</t>
  </si>
  <si>
    <t>Masa: 11,5 kg</t>
  </si>
  <si>
    <t>Kazetni ventilokonvektor za dvocijevni sustav</t>
  </si>
  <si>
    <t>Totalni rashladni učinak: 5,34 / 8,79 / 10,86 kW</t>
  </si>
  <si>
    <t>Sensibilni rashladni učinak: 3,72 / 6,21 / 7,96 kW</t>
  </si>
  <si>
    <t>Protok vode u režimu hlađenja: 71888 l/h</t>
  </si>
  <si>
    <t>Pad tlaka na vodenoj strani u režimu hlađenja: 53 kPa</t>
  </si>
  <si>
    <t>Ogrjevni učinak: 5,03 / 8,66 / 11,28 kW</t>
  </si>
  <si>
    <t>Protok vode u režimu grijanja: 1964 l/h</t>
  </si>
  <si>
    <t>Pad tlaka na vodenoj strani u režimu grijanja: 49,9 kPa</t>
  </si>
  <si>
    <t>Nivo zvučne snage: 59 / 54 / 39 dB(A)</t>
  </si>
  <si>
    <t>Protok zraka: 669 / 1175 / 1536 m3/h</t>
  </si>
  <si>
    <t>Maks. električna snaga: 151 W</t>
  </si>
  <si>
    <t>Dimenzije kućišta DxŠxV: 818x818x326 mm</t>
  </si>
  <si>
    <t>Dimenzije panela  DxŠxV: 900x900x55  mm</t>
  </si>
  <si>
    <t>Masa: 48 + 7 kg</t>
  </si>
  <si>
    <t>Totalni rashladni učinak: 2,05 / 2,79 / 3,55 kW</t>
  </si>
  <si>
    <t>Sensibilni rashladni učinak: 1,48 / 2,10 / 2,83 kW</t>
  </si>
  <si>
    <t>Protok vode u režimu hlađenja: 478,7 l/h</t>
  </si>
  <si>
    <t>Pad tlaka na vodenoj strani u režimu hlađenja: 12,5 kPa</t>
  </si>
  <si>
    <t>Ogrjevni učinak: 2,11 / 2,92 / 3,96 kW</t>
  </si>
  <si>
    <t>Protok vode u režimu grijanja: 478,7 l/h</t>
  </si>
  <si>
    <t>Pad tlaka na vodenoj strani u režimu grijanja: 10,2 kPa</t>
  </si>
  <si>
    <t>Nivo zvučne snage: 34 / 44 / 52 dB(A)</t>
  </si>
  <si>
    <t>Nivo zvučnog tlaka: 26 / 36 / 43 dB(A)</t>
  </si>
  <si>
    <t>Protok zraka: 269 / 398 / 550 m3/h</t>
  </si>
  <si>
    <t>Maks. električna snaga: 43 W</t>
  </si>
  <si>
    <t>Dimenzije kućišta DxŠxV: 575x575x285 mm</t>
  </si>
  <si>
    <t>Dimenzije panela  DxŠxV: 680x680x40  mm</t>
  </si>
  <si>
    <t>Masa: 20 + 3 kg</t>
  </si>
  <si>
    <t>Totalni rashladni učinak: 1,48 / 1,66 / 1,91 kW</t>
  </si>
  <si>
    <t>Sensibilni rashladni učinak: 1,23 / 1,43 / 1,73 kW</t>
  </si>
  <si>
    <t>Protok vode u režimu hlađenja: 285,5 l/h</t>
  </si>
  <si>
    <t>Pad tlaka na vodenoj strani u režimu hlađenja: 11,8 kPa</t>
  </si>
  <si>
    <t>Ogrjevni učinak: 1,59 / 1,89 / 2,25 kW</t>
  </si>
  <si>
    <t>Protok vode u režimu grijanja: 285,5 l/h</t>
  </si>
  <si>
    <t>Pad tlaka na vodenoj strani u režimu grijanja: 11,2 kPa</t>
  </si>
  <si>
    <t>Nivo zvučne snage: 33 / 39 / 46 dB(A)</t>
  </si>
  <si>
    <t>Nivo zvučnog tlaka: 24 / 30 / 38 dB(A)</t>
  </si>
  <si>
    <t>Protok zraka: 225 / 295 / 367 m3/h</t>
  </si>
  <si>
    <t>Maks. električna snaga: 48 W</t>
  </si>
  <si>
    <t>Zidni ventilokonvektor</t>
  </si>
  <si>
    <t xml:space="preserve">Dobava i ugradnja prolazno regulacijsko-balansirajućeg ventila neosjetljivog na utjecaj promjene diferencijalnog tlaka sustava sa funkcijom namještanja protoka od minimalnog do maksimalnog pomoću skale za prednamještanje, regulacijski hod ventila neovisan od prednamještanja protoka, minimalni hod ventila je 2,5 mm kao zaštita od blokiranja ventila uslijed nečistoća u instalaciji, maksimalni radni diferencijalni tlak je 800 kPa, tijelo ventila izrađeno od DZR mesinga za dimenzije od DN10-DN32, tlačni razred ventila PN25, maksimalna radna temperatura 120°C, prihvat za pogon je M30x1,5, vanjski navoj. Ventil slijedećih dimenzija:  </t>
  </si>
  <si>
    <t>DN 15 od 90 do 450 l/h</t>
  </si>
  <si>
    <t>DN 25 od 340 do 1700 l/h</t>
  </si>
  <si>
    <t>DN 32 od 640 do 3200 l/h</t>
  </si>
  <si>
    <t xml:space="preserve">Dobava i ugradnja elektrotermičkog on/off pogona 230V, jednostavna klik montaža pogona, IP-54 zaštita, automatska detekcija hoda ventila, prema EMC direktivi 2004/108/EC i LVD direktivi 2006/95/EC za dimenzije ventila od DN10 do DN32. </t>
  </si>
  <si>
    <t>DN15</t>
  </si>
  <si>
    <t>Kuglaste navojne slavine za ogrijevni i rashladni medij, nazivnog tlaka PN 16, u kompletu s vijčanom spojkom i ručicom, slijedećih dimenzija:</t>
  </si>
  <si>
    <t>Φ 20 x 2,0</t>
  </si>
  <si>
    <t>Φ 32 x 3,0</t>
  </si>
  <si>
    <t>Φ 40 x 3,5</t>
  </si>
  <si>
    <t>Φ 50 x 4,0</t>
  </si>
  <si>
    <t>Φ 63 x 4,5</t>
  </si>
  <si>
    <t>Φ 75 x 6,0</t>
  </si>
  <si>
    <t>Toplinska izolacija cjevovoda i opreme grijanja i hlađenja od ulaska u zgradu do izlaska iz strojarnice, debljine 25 mm. Izrađena od elastomerne pjene na osnovi sintetičkog kaučuka koji je vrlo fleksibilan izolacijski materijal zatvorenih ćelija s visokim faktorom otpora difuziji vodene pare µ ≥ 10.000, niskom toplinskom vodljivošću kod 0°C, µ ≤ 0,033 W/(m·K) i ugrađenom antimikrobnom zaštitom. U stavku je uključen sav potreban pribor i originalni materijal za montažu izolacije. Dodatno se izolira Al-limom sa silikonskim brtvljenjem spojeva.  Izolacija za cijevi slijedećih dimenzija:</t>
  </si>
  <si>
    <t>Φ 20</t>
  </si>
  <si>
    <t>Φ 32</t>
  </si>
  <si>
    <t>Φ 40</t>
  </si>
  <si>
    <t>Φ 50</t>
  </si>
  <si>
    <t>Φ 63</t>
  </si>
  <si>
    <t>Φ 75</t>
  </si>
  <si>
    <t>Plastične PEHD cijevi, za izvođenje odvoda kondenzata, uključivo svi potrebni fazonski elementi (koljena, redukcije, spojnice, itd.), sljedećih dimenzija:</t>
  </si>
  <si>
    <t>materijal u cijevima debljine s = 7,0…10 mm za sljedeće vanjske promjere cijevi kondenzata:</t>
  </si>
  <si>
    <t>Sifon s kuglicom nazivne priključne dimenzije:</t>
  </si>
  <si>
    <t>Elastično plastična armirana cijev (crijevo), na kraju s obuhvatnicom (šelnom), za priključak tave FC-aparata na odvodnu kondenznu cijevnu mrežu, dimenzije:</t>
  </si>
  <si>
    <t>- f 24 x 2,0 mm, L = 500 mm</t>
  </si>
  <si>
    <t>1060x130</t>
  </si>
  <si>
    <t>Revizijski otvor za pristup ventilokonvektorima, 
dimenzija 0,6 x 0,6 m</t>
  </si>
  <si>
    <t>Elektropovezivanje opreme (ventilokonvektora)</t>
  </si>
  <si>
    <t>Prijevoz opreme, materijala i alata na gradilište te povrat alata i eventualno preostalog materijala na skladište izvođača.</t>
  </si>
  <si>
    <t>SUSTAV KOMFORNE VENTILACIJE</t>
  </si>
  <si>
    <t>Podstropni rekuperatori zraka</t>
  </si>
  <si>
    <t>Filterske sekcije na dovodima zraka su klase učinkovitosti F7, dok je filterska sekcija na odvodu zraka klase učinkovitosti M5. Ventilatori uređaja su energetski učinkoviti s EC tehnologijom s niskim SFP faktorom i tihim radom.</t>
  </si>
  <si>
    <t>Uređaj standardno dolazi opremljen s upravljačkim sustavom s dodirnim zaslonom opremljenim:</t>
  </si>
  <si>
    <t>- senzorima temperature na svježem, povratnom i ispušnom   zraku</t>
  </si>
  <si>
    <t>- senzorom na izmjenjivaču za zaštitu istoga</t>
  </si>
  <si>
    <t>- dvije digitalne tlačne sklopke za filtere</t>
  </si>
  <si>
    <t>- tri digitalne tlačne sklopke za konstantan protok zraka / tlak</t>
  </si>
  <si>
    <t>Standardno je moguće upravljanje rekuperatorskom jedinicom preko RS 485/Modbus, Modbus TCP, BACnet protokola koji su podržani u regulatoru. Regulator je standardno opremljen NFC mogućnošću povezivanja.</t>
  </si>
  <si>
    <t>Uređaj je dizajniran za rad na temperaturama okoline u rasponu od -20 °C do +40 °C i relativne vlažnosti do 90%.</t>
  </si>
  <si>
    <t>Kada je temperatura ulaznog zraka niža od -15 °C rekuperacijska jedinica automatski mijenja protok zraka u svrhu spriječavanja smrzavanja jedinice.</t>
  </si>
  <si>
    <t>Dizajniran za ispuhivanje zraka slobodnog od grube prašine, masnoća, kemikalija i drugih nečistoća. Uređaj je zaštićen IP zaštitom razine IP 20.</t>
  </si>
  <si>
    <t>Nominalni protok zraka: 1000 m3/h</t>
  </si>
  <si>
    <t>ESP: 373 Pa</t>
  </si>
  <si>
    <t>Zimski režim rada (Tok = -12,9 °C)</t>
  </si>
  <si>
    <t>Temperatura svježeg zraka nakon rekuperacije: 22 °C</t>
  </si>
  <si>
    <t>Temperatura otpadnog zraka: 4 °C</t>
  </si>
  <si>
    <t>η= 79,9%</t>
  </si>
  <si>
    <t>Ljetni režim rada (To = 31,4 °C)</t>
  </si>
  <si>
    <t>Temperatura svježeg zraka nakon rekuperacije: 26,9 °C</t>
  </si>
  <si>
    <t>Temperatura otpadnog zraka: 30,4 °C</t>
  </si>
  <si>
    <t>η= 83,8%</t>
  </si>
  <si>
    <t>Snaga vodenog dogrijača zraka: 2 kW</t>
  </si>
  <si>
    <t>Maksimalna ulazna snaga: 6400 W, 400 V, 50 Hz</t>
  </si>
  <si>
    <t>Maksimalna jakost struje: 14,3 A</t>
  </si>
  <si>
    <t>Nivo zvučnog tlaka na udaljenosti 3 m od uređaja: 39,9 dB(A)</t>
  </si>
  <si>
    <t>Nivo zvučne snage: 64,8 dB(A)</t>
  </si>
  <si>
    <t>Maksimalni protok zraka: 1460 m3/h</t>
  </si>
  <si>
    <t>Dimenzije DxŠxV: 1700x1385x390 mm</t>
  </si>
  <si>
    <t>Masa: 170 kg</t>
  </si>
  <si>
    <t>Oprema koja treba biti sadržana u isporuci rekuperatora zraka:</t>
  </si>
  <si>
    <t>* AirGENIO upravljački modul s dodirnim zaslonom</t>
  </si>
  <si>
    <t>* vodeni dogrijač zraka</t>
  </si>
  <si>
    <t>* maks. razina buke</t>
  </si>
  <si>
    <t>* dimenzije i masa uređaja</t>
  </si>
  <si>
    <t>* raspoloživi ESP</t>
  </si>
  <si>
    <t>* učinkovitost rekuperacije</t>
  </si>
  <si>
    <t>* dodatna oprema sadržana u sklopu uređaja</t>
  </si>
  <si>
    <t>U vertikalnoj izvedbi je dostupno 11 veličina s protocima zraka u rasponu od 700 do 14000 m3/h. 
U izvedbi s priključcima s gornje strane je dostupno 6 veličina s protocima zraka u rasponu od 700 do 5000 m3/h.
Kućište uređaja je obloženo s unutarnjom toplinskom izolacijom debljine 50 mm toplinske propusnosti klase T2.
Modularna konstrukcija uređaja omogućava jednostavnu manipulaciju i servisni pristup.</t>
  </si>
  <si>
    <t xml:space="preserve">Uređaj je dizajniran za rad na temperaturama okoline u rasponu od -20 °C do +60 °C i relativne vlažnosti do 90%.
Dizajniran za ispuhivanje zraka slobodnog od grube prašine, masnoća, kemikalija i drugih nečistoća.
Uređaj je zaštićen IP zaštitom razine IP 43.
</t>
  </si>
  <si>
    <t xml:space="preserve">Hlađenje Tv= 35°C i 50% rh, Tp=25°C i 55% rh
</t>
  </si>
  <si>
    <t>Grijanje Tv=-15°C i 80% rh, Tp=20°C i 30% rh</t>
  </si>
  <si>
    <t>Nominalni protok zraka:  4000 m3/h</t>
  </si>
  <si>
    <t>Eksterni statički tlak:  250 Pa</t>
  </si>
  <si>
    <t>Maksimalna ulazna snaga:  3,5 kW</t>
  </si>
  <si>
    <t>Maksimalna jakost struje:  5,7 A</t>
  </si>
  <si>
    <t>Napajanje: 3 Ph / 400 V / 50 Hz</t>
  </si>
  <si>
    <t>Učin vodenog grijača/hladnjaka (postheater): 14,28 kW / 7,98 kW</t>
  </si>
  <si>
    <t>Pad tlaka vodenog grijača/hladnjaka (postheater): 0,52 kPa</t>
  </si>
  <si>
    <t>Stupanj učinkovitosti - zima: 77,9  %</t>
  </si>
  <si>
    <t>Temperatura upuhivanja zraka: 12,3  °C</t>
  </si>
  <si>
    <t>Stupanj učinkovitosti - ljeto: 87,5  %</t>
  </si>
  <si>
    <t>Temperatura upuhivanja zraka: 20 °C</t>
  </si>
  <si>
    <t>Nivo zvučnog tlaka na udaljenosti od 1m: 47,8 dB(A)</t>
  </si>
  <si>
    <t>Dimenzije DxŠxV: 1875x1295x1480  mm</t>
  </si>
  <si>
    <t>Masa: 468 kg</t>
  </si>
  <si>
    <t>* vodeni grijač/hladnjak (post heater)</t>
  </si>
  <si>
    <t>Napomena: Razrada prema grafičkoj dokumentaciji</t>
  </si>
  <si>
    <t>Protupožarne obujmice za limene kanale izrađene od nehrđajučeg čelika zaštićenog plastifikacijom i s umetnutim specijalnim slojem koji u slučaju požara stvara zaštitnu pjenu.</t>
  </si>
  <si>
    <t>Kružni prigušivač zvuka, kruta izvedba. Kućište s akustičnom i toplinskom izolacijom. Razne mogućnosti spajanja. Materijal izrade kućišta je čelični pocinčani lim, ispuna je mineralna vuna.</t>
  </si>
  <si>
    <t>Kvadratni prigušivač zvuka, kruta izvedba. Kućište s akustičnom i toplinskom izolacijom. Razne mogućnosti spajanja. Materijal izrade kućišta je čelični pocinčani lim, ispuna je mineralna vuna.</t>
  </si>
  <si>
    <t>400x500</t>
  </si>
  <si>
    <t>600x300</t>
  </si>
  <si>
    <t>400x495</t>
  </si>
  <si>
    <t>600x825</t>
  </si>
  <si>
    <t>200x825</t>
  </si>
  <si>
    <t>1025x625</t>
  </si>
  <si>
    <t>1825x325</t>
  </si>
  <si>
    <t>do Ø125mm           s = 0,6 mm
Ø140 - Ø250mm    s = 0,75 mm
Ø280 - Ø500mm    s = 0,88 mm
Ø500 - Ø1000mm  s = 1,00 mm</t>
  </si>
  <si>
    <t>Ø80mm</t>
  </si>
  <si>
    <t>Ø100mm</t>
  </si>
  <si>
    <t>Ø315mm</t>
  </si>
  <si>
    <t>Izolacijski materijal za izolaciju  kanala otpadnog i svježeg zraka od negorivog materijala, kojim se u zimskom periodu sprečava gubitak topline na  površini kanala, a u ljetnom periodu rošenje (parna brana). Elastomerna pjena na bazi sintetičke gume (FEF) u skladu sa EN14304, samogasiv, nekapajući i ne širi plamen, klasifikacija na požar EN 13501-1. Izrađen u obliku ploča, a isporučuje se u rolama  do temperature + 85° C.  Stavka uključuje potrebnu količinu ljepila  , te završne originalne trake  za spojeve,  sljedećih količina  debljina i dimenzija:</t>
  </si>
  <si>
    <t>izolacijske ploče debljine 13mm</t>
  </si>
  <si>
    <t>Revizijski otvor za pristup ventilacijskim jedinicama, 
dimenzija 0,6 x 0,6 m</t>
  </si>
  <si>
    <t>Elektropovezivanje opreme (ventilacijske jedinice I ventilatori)</t>
  </si>
  <si>
    <t>SUSTAVI VENTILACIJE KUHINJE I PRAONICE</t>
  </si>
  <si>
    <t>3X400V/50Hz</t>
  </si>
  <si>
    <t>DxŠxV=640x642x340 mm</t>
  </si>
  <si>
    <t>G=31 kg</t>
  </si>
  <si>
    <t>DxŠxV=874x874x600 mm</t>
  </si>
  <si>
    <t>G=37 kg</t>
  </si>
  <si>
    <t xml:space="preserve">Kanalski ventilator sa unazad zakivljenim lopaticama ventilatorskog kola, pogonjen visokoučinkovitim motorom u EC tehnologiji - trajni magnet bez četkica, koji momogućuje 100% iskoristivost u cijelom radnom području, vrlo niskog zvučnog tlaka.
Termička zaštita je integrirana u kučištu motora.
Vanjsko kućište je izrađeno od pocinčanog čeličnog lima.
Vanjska montaža i primjena u vlažnim prostorima su moguće zbog vrlo visoke zrakonepropusnosti kučišta i IP55 zaštite priključaka i IP68 kabelskog priključka.
Ventilator ispunjava zahtijeve ErP 2016 i ErP 2018 bez izuzetaka.
Brzinska regulacija izvediva je preko bezstupanjskog regulatora sa signalom 0-10V. </t>
  </si>
  <si>
    <t xml:space="preserve">Karakteristike ventilatora:
Napajanje: 230 V / 1f / 50 Hz
Snaga: 166 W
Jačina struje: 0,4 A
Protok zraka: 1415 mᵌ/h
Statički pad tlaka:450 Pa
Maksimalna temperatura zraka: 60°C
Lp: 50 dBA
Težina: 6,2 kg
Izolacijska klasa: B
Klasa zaštite kučišta motora: IP54
</t>
  </si>
  <si>
    <t>1800x1600x500</t>
  </si>
  <si>
    <t xml:space="preserve">Sustav za održavanje higijenskih uvjeta unutar kuhinjskih napa i odsisnih sustava kuhinja, redukciju neugodnih mirisa i eliminiranje naslaga masti. Sustav se sastoji od vakumskih UV lampi ugrađenih u kuhinjsku napu, tlačne sklopke, mikroprekidača i upravljačkog ormara sa svim sigurnosnim elementima za siguran i nesmetan rad UV lampi. </t>
  </si>
  <si>
    <t>Minimalni tehničku uvjeti za ugradnju sklopa:</t>
  </si>
  <si>
    <t>1. Provućeni signalni i naponski kabeli od nape do mjesta instalacije kontrolnog ormara</t>
  </si>
  <si>
    <t>3. Priključno mjesto za 230V 50Hz 16A blizu kontrolnog ormara.</t>
  </si>
  <si>
    <t>4. Osigurano uzemljenje nape i el. kontrolnog ormara</t>
  </si>
  <si>
    <t>5. Lokacija nadzornog ormara max. 30m od nape, min. 2 m od termo blokova</t>
  </si>
  <si>
    <t>Montaža i puštanje u pogon UV-C sklopa se izvodi uz ispunjenje gore navedenih minimalnih tehničkih uvjeta, te spojenih ventilacijskih kanala na montiranu napu, kao i potpune funkcionalnosti sustava ventilacije (odsisni ventilatori i/ili klima komore trebaju biti pušteni u rad).</t>
  </si>
  <si>
    <t>500-300-4-2,5</t>
  </si>
  <si>
    <t>Ø400mm</t>
  </si>
  <si>
    <t>Pravokutna regulacijska zaklopka za regulaciju protoka i tlaka u kanalu, ali i za zrakotijesno zatvaranje dijelova kanala ili otvora u  zidovima ili stropnim pločama. Propuštanje kućišta u skladu s EN 1751, klasa C. Lopatice su protuhodne povezane s vanjskim mehanizmom. Regulacijske zaklopke izrađene su od aluminija, osovine i mehanizam za pokretanje izrađeni su od pocinčanog čelika, ležajevi od umjetnih materijala, otporne na temperature do 90°C. Mogućnost ugradnje u vertikalnom ili horizontalnom položaju. Elektromotorni dvopoložajni pogon.</t>
  </si>
  <si>
    <t>200x330</t>
  </si>
  <si>
    <t>400x400</t>
  </si>
  <si>
    <t>400x330</t>
  </si>
  <si>
    <t>495x400</t>
  </si>
  <si>
    <t>800x495</t>
  </si>
  <si>
    <t>300x8</t>
  </si>
  <si>
    <t>325x225</t>
  </si>
  <si>
    <t xml:space="preserve">KANALI pravokutnog presjeka izrađeni iz crnog čeličnog lima debljine lima za dužu stranicu kanala:
uključivo prirubnice, brtve, vijke, matice, podložne pločice i kopče.
</t>
  </si>
  <si>
    <t>560-1000     s = 0,8</t>
  </si>
  <si>
    <t>Ø160mm</t>
  </si>
  <si>
    <t>Ø250mm</t>
  </si>
  <si>
    <t>PROTUPOŽARNA IZOLACIJA KANALA, protupožarne ploče 40 mm izrađene od negorivih, nevlaknastih tvari, velike specifične mase, ojačane s aluminijskom folijom. Spojeve zalijepiti i spojiti vijcima ili spojnicama. 
U cijenu uključivo vatrootporno ljepilo i ostali sitno potrošni materijal. Vatrootpornost min. 90 min.</t>
  </si>
  <si>
    <t>Elektropovezivanje opreme</t>
  </si>
  <si>
    <t>AUTOMATSKA REGULACIJA</t>
  </si>
  <si>
    <t>Oprema u polju za toplinsko-rashladnu strojarnicu</t>
  </si>
  <si>
    <t>Oprema u polju za pripremu PTV</t>
  </si>
  <si>
    <t>Oprema u polju za ventilaciju kuhinje</t>
  </si>
  <si>
    <t>Oprema u polju za ventilaciju praonice</t>
  </si>
  <si>
    <t>Oprema u polju za regulaciju rada ventilokonvektora</t>
  </si>
  <si>
    <t>DDC za ormar RO-STR</t>
  </si>
  <si>
    <t>CNUS Oprema i Niagara N4 server, a sastoji se od:</t>
  </si>
  <si>
    <t>Elektro upravljački ormar strojarnice,  +RO-STR</t>
  </si>
  <si>
    <t>Izrada dokumentacije za izvedbu koja uključuje izradu tehnološke sheme s ucrtanim elementima automatike, izradu kabel lista i strujnih shema ormara</t>
  </si>
  <si>
    <t>Radovi montaže i spajanja opreme u polju i elektrokomandnog ormara na prethodno položene i ispitane kabele. Dobava i polaganje kabela, završno s uvlačenjem u elemente i el. razdjelnik nije uključeno u stavci. Ponuda se odnosi na montaži i spajanje samo gore specificirane opreme</t>
  </si>
  <si>
    <t>Specijalistički radovi na nivou opreme u polju:</t>
  </si>
  <si>
    <t>Specijalistički radovi programiranja i puštanja u rad nivou DDC regulacije</t>
  </si>
  <si>
    <t>-integracija uređaja preko Modbus RTU i BACnet/IP protokola</t>
  </si>
  <si>
    <t>-izrada potrebnih ispitnih listova</t>
  </si>
  <si>
    <t>-integracija VRF sustava na DDC</t>
  </si>
  <si>
    <t>Specijalistički radovi programiranja na nivou grafičke vizualizacije unutar WEB sučelja u DDC kontroleru. Vizualizacija i upravljenje sustavom predviđeno je i putem Internet pretraživača s bilo kojeg računala na mreži, a pristup sustavu je moguć samo uz odgovarakuća korisnička pristupna prava.</t>
  </si>
  <si>
    <t>Specijalistički radovi daljinskog praćenja rada sustava putem Internet konekcije s ciljem optimizacije rada, podešavanja parametara, otkrivanja skrivenih grešaka i pomoć službi održavanja za rukovanje sustavom u trajanju jedne godine od finalnog puštanja u rad i primopredaje.</t>
  </si>
  <si>
    <t>Strojarska snimka (crtež) izvedenog stanja termotehničke i  instalacije ventilacije (svih sustava), uz isporuku u 3 (tri) primjerka.</t>
  </si>
  <si>
    <t>Dovoz materijala, uređaja i alata na gradilište te odvoz preostalog sa gradilišta u stavku uključiti izadu skela potrebnih pri montaži klima jedinica, odnosno najam dizalice za dizanje opreme na krov objekta.</t>
  </si>
  <si>
    <t>Napomena: dobava i polaganje kabela, završno s uvlačenjem u elemente i el. razdjelnik nije uključeno u stavci. Stavka uključuje samo spajanje gore specificirane opreme. Polaganje kabela i spajanje ostale opreme  je predmet troškovnika elektroradova.</t>
  </si>
  <si>
    <t>Sav sitni materijal potreban za montažu opreme i svih instalacija, uključujući ventile, razna zaporna i spojna mjesta kao i čišćenje gradilišta. Puštanje u pogon od ovlaštenog servisera i podešenje svih pogonskih parametara te tlačna proba instalacije.</t>
  </si>
  <si>
    <t>Potvrdu narudžbe prije definitivne isporuke specificirane opreme izvođač radova obvezatno je dužan ovjeriti kod projektanta. Izmjena pojedinih dijelova predviđene opreme "zamjenskim dijelovima" bez prethodne pismene suglasnosti projektanta isključuje odgovornost projektanta za predviđenu funkcionalnost postrojenja.</t>
  </si>
  <si>
    <t>Svi ponuđači dužni su kompletan opseg vlastite isporuke uskladiti s traženom kompletnom funkcijom, respektirajući pri tom sve predviđene i tražene parametre, uz čvrste pisano potvrđene garancije. Sva eventualno potrebna razrađivanja, usklađenja i slično, u opsegu su dotične isporuke, a sve pripadne troškove snosi ponuđač.</t>
  </si>
  <si>
    <r>
      <t>Minimalna η</t>
    </r>
    <r>
      <rPr>
        <vertAlign val="subscript"/>
        <sz val="8"/>
        <rFont val="Calibri"/>
        <family val="2"/>
        <charset val="238"/>
        <scheme val="minor"/>
      </rPr>
      <t>SC</t>
    </r>
    <r>
      <rPr>
        <sz val="11"/>
        <rFont val="Calibri"/>
        <family val="2"/>
        <charset val="238"/>
        <scheme val="minor"/>
      </rPr>
      <t xml:space="preserve"> = 134</t>
    </r>
  </si>
  <si>
    <r>
      <t>Dobava i ugradnja zatvorenog ekspanzijskog uređaja za  precizno održavanje tlaka u rasponu ne većem od ± 0,2 bar, otplinjavanje i nadopunjavanje, za sustave prema EN 12828. Područje rada od 100-200 kW; 1.2 - 3.0 bar. Elastičan rad s regulacijom brzine vrtnje pumpi. Nadzor sustava za nadopunjavanje vode s mogućnošću regulacije nadopunjavanja. Kontinuirano otplinjavanje plina u sustavu. Motaža ispred ili pokraj primarne posude. Dodatak antifriza do 50%. Atestiranoano prema zahtjevima Europskih direktiva PED/DEP 2006/42/EG,DIN EN 60204-1 2007.</t>
    </r>
    <r>
      <rPr>
        <b/>
        <sz val="10"/>
        <rFont val="Calibri"/>
        <family val="2"/>
        <charset val="238"/>
        <scheme val="minor"/>
      </rPr>
      <t xml:space="preserve">                                                                                      </t>
    </r>
  </si>
  <si>
    <r>
      <t>G</t>
    </r>
    <r>
      <rPr>
        <vertAlign val="subscript"/>
        <sz val="10"/>
        <rFont val="Calibri"/>
        <family val="2"/>
        <charset val="238"/>
        <scheme val="minor"/>
      </rPr>
      <t>w</t>
    </r>
    <r>
      <rPr>
        <sz val="10"/>
        <rFont val="Calibri"/>
        <family val="2"/>
        <charset val="238"/>
        <scheme val="minor"/>
      </rPr>
      <t xml:space="preserve"> (m</t>
    </r>
    <r>
      <rPr>
        <vertAlign val="superscript"/>
        <sz val="10"/>
        <rFont val="Calibri"/>
        <family val="2"/>
        <charset val="238"/>
        <scheme val="minor"/>
      </rPr>
      <t>3</t>
    </r>
    <r>
      <rPr>
        <sz val="10"/>
        <rFont val="Calibri"/>
        <family val="2"/>
        <charset val="238"/>
        <scheme val="minor"/>
      </rPr>
      <t>/h) =   10,24</t>
    </r>
  </si>
  <si>
    <r>
      <t>G</t>
    </r>
    <r>
      <rPr>
        <vertAlign val="subscript"/>
        <sz val="10"/>
        <rFont val="Calibri"/>
        <family val="2"/>
        <charset val="238"/>
        <scheme val="minor"/>
      </rPr>
      <t>w</t>
    </r>
    <r>
      <rPr>
        <sz val="10"/>
        <rFont val="Calibri"/>
        <family val="2"/>
        <charset val="238"/>
        <scheme val="minor"/>
      </rPr>
      <t xml:space="preserve"> (m</t>
    </r>
    <r>
      <rPr>
        <vertAlign val="superscript"/>
        <sz val="10"/>
        <rFont val="Calibri"/>
        <family val="2"/>
        <charset val="238"/>
        <scheme val="minor"/>
      </rPr>
      <t>3</t>
    </r>
    <r>
      <rPr>
        <sz val="10"/>
        <rFont val="Calibri"/>
        <family val="2"/>
        <charset val="238"/>
        <scheme val="minor"/>
      </rPr>
      <t>/h) =   3,98</t>
    </r>
  </si>
  <si>
    <r>
      <t>G</t>
    </r>
    <r>
      <rPr>
        <vertAlign val="subscript"/>
        <sz val="10"/>
        <rFont val="Calibri"/>
        <family val="2"/>
        <charset val="238"/>
        <scheme val="minor"/>
      </rPr>
      <t>w</t>
    </r>
    <r>
      <rPr>
        <sz val="10"/>
        <rFont val="Calibri"/>
        <family val="2"/>
        <charset val="238"/>
        <scheme val="minor"/>
      </rPr>
      <t xml:space="preserve"> (m</t>
    </r>
    <r>
      <rPr>
        <vertAlign val="superscript"/>
        <sz val="10"/>
        <rFont val="Calibri"/>
        <family val="2"/>
        <charset val="238"/>
        <scheme val="minor"/>
      </rPr>
      <t>3</t>
    </r>
    <r>
      <rPr>
        <sz val="10"/>
        <rFont val="Calibri"/>
        <family val="2"/>
        <charset val="238"/>
        <scheme val="minor"/>
      </rPr>
      <t>/h) =   6,11</t>
    </r>
  </si>
  <si>
    <r>
      <t>G</t>
    </r>
    <r>
      <rPr>
        <vertAlign val="subscript"/>
        <sz val="10"/>
        <rFont val="Calibri"/>
        <family val="2"/>
        <charset val="238"/>
        <scheme val="minor"/>
      </rPr>
      <t>w</t>
    </r>
    <r>
      <rPr>
        <sz val="10"/>
        <rFont val="Calibri"/>
        <family val="2"/>
        <charset val="238"/>
        <scheme val="minor"/>
      </rPr>
      <t xml:space="preserve"> (m</t>
    </r>
    <r>
      <rPr>
        <vertAlign val="superscript"/>
        <sz val="10"/>
        <rFont val="Calibri"/>
        <family val="2"/>
        <charset val="238"/>
        <scheme val="minor"/>
      </rPr>
      <t>3</t>
    </r>
    <r>
      <rPr>
        <sz val="10"/>
        <rFont val="Calibri"/>
        <family val="2"/>
        <charset val="238"/>
        <scheme val="minor"/>
      </rPr>
      <t>/h) =   4,37</t>
    </r>
  </si>
  <si>
    <r>
      <t>G</t>
    </r>
    <r>
      <rPr>
        <vertAlign val="subscript"/>
        <sz val="10"/>
        <rFont val="Calibri"/>
        <family val="2"/>
        <charset val="238"/>
        <scheme val="minor"/>
      </rPr>
      <t>w</t>
    </r>
    <r>
      <rPr>
        <sz val="10"/>
        <rFont val="Calibri"/>
        <family val="2"/>
        <charset val="238"/>
        <scheme val="minor"/>
      </rPr>
      <t xml:space="preserve"> (m</t>
    </r>
    <r>
      <rPr>
        <vertAlign val="superscript"/>
        <sz val="10"/>
        <rFont val="Calibri"/>
        <family val="2"/>
        <charset val="238"/>
        <scheme val="minor"/>
      </rPr>
      <t>3</t>
    </r>
    <r>
      <rPr>
        <sz val="10"/>
        <rFont val="Calibri"/>
        <family val="2"/>
        <charset val="238"/>
        <scheme val="minor"/>
      </rPr>
      <t>/h) =   5,3</t>
    </r>
  </si>
  <si>
    <r>
      <t>G</t>
    </r>
    <r>
      <rPr>
        <vertAlign val="subscript"/>
        <sz val="10"/>
        <rFont val="Calibri"/>
        <family val="2"/>
        <charset val="238"/>
        <scheme val="minor"/>
      </rPr>
      <t>w</t>
    </r>
    <r>
      <rPr>
        <sz val="10"/>
        <rFont val="Calibri"/>
        <family val="2"/>
        <charset val="238"/>
        <scheme val="minor"/>
      </rPr>
      <t xml:space="preserve"> (m</t>
    </r>
    <r>
      <rPr>
        <vertAlign val="superscript"/>
        <sz val="10"/>
        <rFont val="Calibri"/>
        <family val="2"/>
        <charset val="238"/>
        <scheme val="minor"/>
      </rPr>
      <t>3</t>
    </r>
    <r>
      <rPr>
        <sz val="10"/>
        <rFont val="Calibri"/>
        <family val="2"/>
        <charset val="238"/>
        <scheme val="minor"/>
      </rPr>
      <t>/h) =   2,0</t>
    </r>
  </si>
  <si>
    <r>
      <t>0 - 120</t>
    </r>
    <r>
      <rPr>
        <vertAlign val="superscript"/>
        <sz val="10"/>
        <rFont val="Calibri"/>
        <family val="2"/>
        <charset val="238"/>
        <scheme val="minor"/>
      </rPr>
      <t>o</t>
    </r>
    <r>
      <rPr>
        <sz val="10"/>
        <rFont val="Calibri"/>
        <family val="2"/>
        <charset val="238"/>
        <scheme val="minor"/>
      </rPr>
      <t>C</t>
    </r>
  </si>
  <si>
    <t>f   21,3 x 2,0</t>
  </si>
  <si>
    <t>f   33,7 x 2,6</t>
  </si>
  <si>
    <t>f   42,4 x 2,6</t>
  </si>
  <si>
    <t>f   48,3 x 2,6</t>
  </si>
  <si>
    <t>f   60,3 x 2,9</t>
  </si>
  <si>
    <t>f   76,1 x 2,9</t>
  </si>
  <si>
    <t>f   88,9 x 3,2</t>
  </si>
  <si>
    <t>- cijevi £ DN 100</t>
  </si>
  <si>
    <r>
      <t>Preko ugrađenog regulatora upravlja se količinom zraka, održavanjem odgovarajuće temperature svježeg zraka, te zraka u prostoru, opcionalnim dogrijačem/predgrijačem zraka, kvalitetom zraka preko koncentracije CO</t>
    </r>
    <r>
      <rPr>
        <vertAlign val="subscript"/>
        <sz val="11"/>
        <rFont val="Calibri"/>
        <family val="2"/>
        <charset val="238"/>
        <scheme val="minor"/>
      </rPr>
      <t>2</t>
    </r>
    <r>
      <rPr>
        <sz val="10"/>
        <rFont val="Calibri"/>
        <family val="2"/>
        <charset val="238"/>
        <scheme val="minor"/>
      </rPr>
      <t>, noćnim režimom rada te se prati zaprljanost filtera zraka na temelju gubitaka tlaka. Moguće je programiranje tjednog i godišnjeg rada uređaja.</t>
    </r>
  </si>
  <si>
    <r>
      <t>L     (m</t>
    </r>
    <r>
      <rPr>
        <vertAlign val="superscript"/>
        <sz val="10"/>
        <rFont val="Calibri"/>
        <family val="2"/>
        <charset val="238"/>
        <scheme val="minor"/>
      </rPr>
      <t>3</t>
    </r>
    <r>
      <rPr>
        <sz val="10"/>
        <rFont val="Calibri"/>
        <family val="2"/>
        <charset val="238"/>
        <scheme val="minor"/>
      </rPr>
      <t>/h)   =     2500</t>
    </r>
  </si>
  <si>
    <r>
      <t>H</t>
    </r>
    <r>
      <rPr>
        <vertAlign val="subscript"/>
        <sz val="10"/>
        <rFont val="Calibri"/>
        <family val="2"/>
        <charset val="238"/>
        <scheme val="minor"/>
      </rPr>
      <t>ext</t>
    </r>
    <r>
      <rPr>
        <sz val="10"/>
        <rFont val="Calibri"/>
        <family val="2"/>
        <charset val="238"/>
        <scheme val="minor"/>
      </rPr>
      <t xml:space="preserve"> (Pa)      =     400</t>
    </r>
  </si>
  <si>
    <r>
      <t>N</t>
    </r>
    <r>
      <rPr>
        <vertAlign val="subscript"/>
        <sz val="10"/>
        <rFont val="Calibri"/>
        <family val="2"/>
        <charset val="238"/>
        <scheme val="minor"/>
      </rPr>
      <t>m</t>
    </r>
    <r>
      <rPr>
        <sz val="10"/>
        <rFont val="Calibri"/>
        <family val="2"/>
        <charset val="238"/>
        <scheme val="minor"/>
      </rPr>
      <t xml:space="preserve">   (kW)    =     1,62</t>
    </r>
  </si>
  <si>
    <r>
      <t>L     (m</t>
    </r>
    <r>
      <rPr>
        <vertAlign val="superscript"/>
        <sz val="10"/>
        <rFont val="Calibri"/>
        <family val="2"/>
        <charset val="238"/>
        <scheme val="minor"/>
      </rPr>
      <t>3</t>
    </r>
    <r>
      <rPr>
        <sz val="10"/>
        <rFont val="Calibri"/>
        <family val="2"/>
        <charset val="238"/>
        <scheme val="minor"/>
      </rPr>
      <t>/h)   =     3000</t>
    </r>
  </si>
  <si>
    <r>
      <t>N</t>
    </r>
    <r>
      <rPr>
        <vertAlign val="subscript"/>
        <sz val="10"/>
        <rFont val="Calibri"/>
        <family val="2"/>
        <charset val="238"/>
        <scheme val="minor"/>
      </rPr>
      <t>m</t>
    </r>
    <r>
      <rPr>
        <sz val="10"/>
        <rFont val="Calibri"/>
        <family val="2"/>
        <charset val="238"/>
        <scheme val="minor"/>
      </rPr>
      <t xml:space="preserve">   (kW)    =     0,66</t>
    </r>
  </si>
  <si>
    <t>ENERGETSKO POSTROJENJE UKUPNO:</t>
  </si>
  <si>
    <t>TEMELJNO GRIJANJE I HLAĐENJE UKUPNO:</t>
  </si>
  <si>
    <t>SUSTAV KOMFORNE VENTILACIJE UKUPNO:</t>
  </si>
  <si>
    <t>SUSTAVI VENTILACIJE KUHINJE I PRAONICE UKUPNO:</t>
  </si>
  <si>
    <t>AUTOMATSKA REGULACIJA UKUPNO:</t>
  </si>
  <si>
    <t>Pričvrsnica za PE-Xc cijevi                                         
Služi za fiksiranje cijevi na ploču za polaganje cijevi s mrežnim uzorkom. Visina pričvrsnice: 40 mm</t>
  </si>
  <si>
    <t xml:space="preserve">Kompaktni višeslojni kompozitni  razdjelnik s indikatorom protoka za 6 krugova
Kompozitni razdjelnik podnog grijanja za stambene i javne građevine. Razdjelnik podnog grijanja dolazi u setu sa nosačim podesive visine od 200-240 mm, termometrima (0-80°C) na razdjelniku i sabirniku, indikatorima (mjeračima) protoka i spojevima za montažu termopogona za  svaki krug podnog grijanja, slavinom za punjenje i pražnjenje, te odzračnim pipcima na razdjelniku i sabirniku.
Tehničke karakteristike:                                              
- Medij: voda/glikol                                                        
- Max. koncetracija glikola: 45%
- Radna temperatura medija: 0-60°C
- Max. temperatura medija: 90°C na 3 bar
- Radni tlak : 0,2-6 bar
- Max. ispitni tlak s vodom (24h &lt; 30°C): 10 bar
- Max. ispitni tlak s inertnim plinom (24h &lt; 30°C): 10 bar
- Max. protok na razdjelniku: 3,5 m³/h
- Indikator (mjerač) protoka: 0-3 L/min
- Polaz (Kv): 0,98                                                           
- Povrat (Kv): 1,56                                                         
- Dimenzija priključnih ventila: 1" 
- Eurokonus priključci: 3/4"
- Udaljenost od centra do centra izlaz: 50 mm  
- Priključak termopogon: M30x1,5 mm 
- Materijal razdjelnika: kompaktni višeslojni kompozit
- Dimenzije (VxŠxD): 335x418x99 mm  </t>
  </si>
  <si>
    <t xml:space="preserve">Dobava i ugradnja uređaja za demineralizaciju, punjenje i pripremu vode u sustavima grijanja i hlađenja  prema VDI2035 za veće sustave.
* sadržaj kisika (O2) ne veći od ≤ 0,1 mg/l
* električna provodljivost ne veća od ≤ 100 μS/cm
* vrijednost Ph  u granicama od 8,2-8,5  
* tvrdoća  vode ne veća od +/- 3° dH
* stanje vode za automatsku dopunu ne veće od ≤ 15 ° dH. Uređaj ima automatsko nadopunjavanje, LED signalizaciju za električnu provodljivost, ugrađeni manometar, turbinski vodomjer i kuglasti ventil. Maks. 360 l/h. </t>
  </si>
  <si>
    <t>1.52.</t>
  </si>
  <si>
    <t>1.53.</t>
  </si>
  <si>
    <t>1.54.</t>
  </si>
  <si>
    <t>1.55.</t>
  </si>
  <si>
    <t>1.56.</t>
  </si>
  <si>
    <t>1.57.</t>
  </si>
  <si>
    <t>1.58.</t>
  </si>
  <si>
    <t>1.59.</t>
  </si>
  <si>
    <t>1.60.</t>
  </si>
  <si>
    <t>1.61.</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</si>
  <si>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</si>
  <si>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</si>
  <si>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</si>
  <si>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</si>
  <si>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</si>
  <si>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</si>
  <si>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</si>
  <si>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</si>
  <si>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</si>
  <si>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</si>
  <si>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</si>
  <si>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</si>
  <si>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</si>
  <si>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</si>
  <si>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</si>
  <si>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</si>
  <si>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</si>
  <si>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</si>
  <si>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</si>
  <si>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</si>
  <si>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</si>
  <si>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</si>
  <si>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</si>
  <si>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</si>
  <si>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</si>
  <si>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</si>
  <si>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</si>
  <si>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</si>
  <si>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</si>
  <si>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</si>
  <si>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</si>
  <si>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</si>
  <si>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</si>
  <si>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</si>
  <si>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3.21.</t>
  </si>
  <si>
    <t>3.22.</t>
  </si>
  <si>
    <t>3.23.</t>
  </si>
  <si>
    <t>3.24.</t>
  </si>
  <si>
    <t>4.24.</t>
  </si>
  <si>
    <t>4.25.</t>
  </si>
  <si>
    <t>4.26.</t>
  </si>
  <si>
    <t>5.8.</t>
  </si>
  <si>
    <t>5.9.</t>
  </si>
  <si>
    <t xml:space="preserve">PE-Xc cijev za podno grijanje 16x2,0mm 
Cijev za grijanje/hlađenje prema DIN EN ISO 15875-2 od 60% umreženog polietilena s EVOH slojem zaštite od difuzije kisika ispitana prema DIN 4726.Umreženje polietilena izvodi se gađanjem elektrona u strukturne mreže.
Tehničke karakteristike:
- klasa primjene 4, prema DIN EN ISO 15875-2: 10 bar
- klasa primjene 5, prema DIN EN ISO 15875-2: 8 bar
- Max. umreženost polietilena: 60%
- Max. radna temperatura: 90°C
- Max. kratkotrajna temperatura: 100°C
</t>
  </si>
  <si>
    <t xml:space="preserve">Kompaktni višeslojni kompozitni  razdjelnik s indikatorom protoka za 7 krugova
Kompozitni razdjelnik podnog grijanja za stambene i javne građevine. Razdjelnik podnog grijanja dolazi u setu sa nosačim podesive visine od 200-240 mm, termometrima (0-80°C) na razdjelniku i sabirniku, indikatorima (mjeračima) protoka i spojevima za montažu termopogona za  svaki krug podnog grijanja, slavinom za punjenje i pražnjenje, te odzračnim pipcima na razdjelniku i sabirniku.
Tehničke karakteristike:
- Medij: voda/glikol
- Max. koncetracija glikola: 45%
- Radna temperatura medija: 0-60°C
- Max. temperatura medija: 90°C na 3 bar 
- Radni tlak : 0,2-6 bar
- Max. ispitni tlak s vodom (24h &lt; 30°C): 10 bar
- Max. ispitni tlak s inertnim plinom (24h &lt; 30°C): 10 bar
- Max. protok na razdjelniku: 3,5 m³/h
- Indikator (mjerač) protoka: 0-3 L/min 
- Polaz (Kv): 0,98
- Povrat (Kv): 1,56
- Dimenzija priključnih ventila: 1"  
- Eurokonus priključci: 3/4"
- Udaljenost od centra do centra izlaz: 50 mm
- Priključak termopogon: M30x1,5 mm
- Materijal razdjelnika: kompaktni višeslojni kompozit
- Dimenzije (VxŠxD): 335x468x99 mm   </t>
  </si>
  <si>
    <t xml:space="preserve">Kompaktni višeslojni kompozitni  razdjelnik s indikatorom protoka za 9 krugova
Kompozitni razdjelnik podnog grijanja za stambene i javne građevine. Razdjelnik podnog grijanja dolazi u setu sa nosačim podesive visine od 200-240 mm, termometrima (0-80°C) na razdjelniku i sabirniku, indikatorima (mjeračima) protoka i spojevima za montažu termopogona za  svaki krug podnog grijanja, slavinom za punjenje i pražnjenje, te odzračnim pipcima na razdjelniku i sabirniku.
Tehničke karakteristike:
- Medij: voda/glikol
- Max. koncetracija glikola: 45%
- Radna temperatura medija: 0-60°C
- Max. temperatura medija: 90°C na 3 ba
- Radni tlak : 0,2-6 bar
- Max. ispitni tlak s vodom (24h &lt; 30°C): 10 bar
- Max. ispitni tlak s inertnim plinom (24h &lt; 30°C): 10 bar
- Max. protok na razdjelniku: 3,5 m³/h
- Indikator (mjerač) protoka: 0-3 L/min
- Polaz (Kv): 0,98
- Povrat (Kv): 1,56
- Dimenzija priključnih ventila: 1"
- Eurokonus priključci: 3/4"
- Udaljenost od centra do centra izlaz: 50 mm 
- Priključak termopogon: M30x1,5 mm
- Materijal razdjelnika: kompaktni višeslojni kompozit
- Dimenzije (VxŠxD): 335x568x99 mm   </t>
  </si>
  <si>
    <t xml:space="preserve">Kompaktni višeslojni kompozitni  razdjelnik s indikatorom protoka za 10 krugova
Kompozitni razdjelnik podnog grijanja za stambene i javne građevine. Razdjelnik podnog grijanja dolazi u setu sa nosačim podesive visine od 200-240 mm, termometrima (0-80°C) na razdjelniku i sabirniku, indikatorima (mjeračima) protoka i spojevima za montažu termopogona za  svaki krug podnog grijanja, slavinom za punjenje i pražnjenje, te odzračnim pipcima na razdjelniku i sabirniku.
Tehničke karakteristike:
- Medij: voda/glikol
- Max. koncetracija glikola: 45%
- Radna temperatura medija: 0-60°C
- Max. temperatura medija: 90°C na 3 bar
- Radni tlak : 0,2-6 bar
- Max. ispitni tlak s vodom (24h &lt; 30°C): 10 bar
- Max. ispitni tlak s inertnim plinom (24h &lt; 30°C): 10 bar
- Max. protok na razdjelniku: 3,5 m³/h
- Indikator (mjerač) protoka: 0-3 L/min
- Polaz (Kv): 0,98
- Povrat (Kv): 1,56
- Dimenzija priključnih ventila: 1"
- Eurokonus priključci: 3/4"
- Udaljenost od centra do centra izlaz: 50 mm
- Priključak termopogon: M30x1,5 mm
- Materijal razdjelnika: kompaktni višeslojni kompozit
- Dimenzije (VxŠxD): 335x618x99 mm   </t>
  </si>
  <si>
    <t xml:space="preserve">Kompaktni višeslojni kompozitni  razdjelnik s indikatorom protoka za 11 krugova
Kompozitni razdjelnik podnog grijanja za stambene i javne građevine. Razdjelnik podnog grijanja dolazi u setu sa nosačim podesive visine od 200-240 mm, termometrima (0-80°C) na razdjelniku i sabirniku, indikatorima (mjeračima) protoka i spojevima za montažu termopogona za  svaki krug podnog grijanja, slavinom za punjenje i pražnjenje, te odzračnim pipcima na razdjelniku i sabirniku.
Tehničke karakteristike:
- Medij: voda/glikol
- Max. koncetracija glikola: 45%
- Radna temperatura medija: 0-60°C 
- Max. temperatura medija: 90°C na 3 bar
- Radni tlak : 0,2-6 bar
- Max. ispitni tlak s vodom (24h &lt; 30°C): 10 bar
- Max. ispitni tlak s inertnim plinom (24h &lt; 30°C): 10 bar
- Max. protok na razdjelniku: 3,5 m³/h
- Indikator (mjerač) protoka: 0-3 L/min
- Polaz (Kv): 0,98
- Povrat (Kv): 1,56
- Dimenzija priključnih ventila: 1"
- Eurokonus priključci: 3/4"
- Udaljenost od centra do centra izlaz: 50 mm
- Priključak termopogon: M30x1,5 mm
- Materijal razdjelnika: kompaktni višeslojni kompozit
- Dimenzije (VxŠxD): 335x705x99 mm   </t>
  </si>
  <si>
    <t xml:space="preserve">Tlačni kanalni ventilator, za dobavu zraka u kuhinju, u zvučno izoliranom kućištu. Pogonjen EC vanjskim rotor motorom. Isporuka uz ventilator uključuje: servisnu sklopku  i gibljivu prirubnicu </t>
  </si>
  <si>
    <t>Odsisni krovni ventilator, za odsis zraka iz kuhinje, u zvučno izoliranom kućištu s motorom van struje zraka i sabirnikom masnoće sa izljevom, za temperature zraka do 120 oC. Isporuka uz ventilator uključuje: motornu zaklopku, adapter,  podst. prigušivač, gibljivi spoj. 
Tehničke karakteristike:</t>
  </si>
  <si>
    <t xml:space="preserve">Optimizirani su za upotrebu s propanom. Svi kompresori opremljeni su grijačem kućišta radilice, usisnim i dovodnim servisnim ventilima. Kompresori imaju ATEX certifikat.
</t>
  </si>
  <si>
    <t xml:space="preserve">Na dnu zrakom hlađenog i grijanog izmjenivača se nalazi posuda za sakupljanje kondenzata koja olakšava odvod kondenzata tijekom odmrzavanja. Uređaj je standardno opremljen grijaćim kabelom montiranim na dno posude za kondenzat kako bi se spriječilo stvaranje leda.
</t>
  </si>
  <si>
    <t xml:space="preserve">Uređaj se standardno isporučuje s naprednim upravljačem i Ethernet serijski priključak s protokolom Modbus i integriranim web preglednikom.
</t>
  </si>
  <si>
    <t xml:space="preserve">Temperatura polazne vode u ovisnosti o temperaturi vanjskog zraka.
</t>
  </si>
  <si>
    <t xml:space="preserve">Minimalni ogrjevni učinak: 166,65 [kW] kod temperature vode u kondenzatoru 45/40 [°C] i temperature okoline 7 [°C]
</t>
  </si>
  <si>
    <t>Minimalani SEER = 3,43</t>
  </si>
  <si>
    <t xml:space="preserve">* DI: Set point reset, prekretanje G/H DO: Signal greške
</t>
  </si>
  <si>
    <t xml:space="preserve">Oprema koja treba biti sadržana u isporuci dizalice topline:
</t>
  </si>
  <si>
    <t xml:space="preserve">- minimalno potrebni rashladni i ogrjevni učini pri projektnim i Eurovent uvjetima
</t>
  </si>
  <si>
    <t xml:space="preserve">Podkonstrukcija za smještaj modula dizalice topline. Stavka uključuje betonske blokete, čeličnu podkonstrukciju i antivibracijske nosače.
</t>
  </si>
  <si>
    <t xml:space="preserve">Probni rad instalacije (topla proba) dizalice topline od strane ovlaštenih servisera na području RH te puštanje u redovan pogon do potpune funkcionalnosti postrojenja, uključivo mjerenje projektiranih parametara.
</t>
  </si>
  <si>
    <t xml:space="preserve">Nivo zvučnog tlaka (grijanje): 58 dB(A) na udaljenosti 1m od jedinice
</t>
  </si>
  <si>
    <t xml:space="preserve">Unutarnja jedinica sustava za pripremu ogrjevne vode do 80 °C i pripremu potrošne tople vode (opcija). Uređaj se nalazi u unutrašnjosti kompaktnog kućišta i koristi kaskadni sustav za grijanje vode na visoku temperaturnu razinu.
</t>
  </si>
  <si>
    <t xml:space="preserve">Multifunkcionalni MWR žičani elektronski prostorni regulator sa LCD displejom, pozadinskim osvjetljenjem i tjednim programskim satom za upravljanje i kontrolu do 16 unutarnjih DVM S jedinica.
</t>
  </si>
  <si>
    <t xml:space="preserve">Izolacija od EPS 35mm (prema DIN 4102-B2 ili jednakovrijedno) sa oplatom od pocinčanog lima 0.8mm (razrada obavezno prema dispozicijskom nacrtu i shemi iz ove projektne dokumentacije) u kompletu s:  
- izolacija s parnom branom 35 mm,
- oplata od pocinčanog ili al-lima,
- podni nosač i dr. montažni pribor,
- te sljedećim priključcima:
</t>
  </si>
  <si>
    <t xml:space="preserve">Dobava i ugradnja sigurnosnog ventila, nazivnog tlaka PN 10, baždaren na tlak ispuštanja p = 4 bar apsolutno, dimenzije DN 65:
</t>
  </si>
  <si>
    <t xml:space="preserve">Dobava i ugradnja sigurnosnog ventila, nazivnog tlaka PN 10, baždaren na tlak ispuštanja p = 4 bar apsolutno, dimenzije DN 40:
</t>
  </si>
  <si>
    <t xml:space="preserve">Dobava i ugradnja sigurnosnog ventila, nazivnog tlaka PN 10, baždaren na tlak ispuštanja p = 7 bar apsolutno, dimenzije DN 32:
</t>
  </si>
  <si>
    <t xml:space="preserve">Granulat za demineralizaciju vode prema normi VDI2035. Pakiranje granulata 6 lit.
</t>
  </si>
  <si>
    <t xml:space="preserve">Jednostruka cirkulacijska crpka kruga ventilokonvektorskog grijanja i hlađenja. Isporuka uključuje frekventni pretvarač ugrađen na priključnoj kutiji motora crpke te senzor diferencijalnog tlaka ugrađen u kućište crpke te sve potrebne elemente za potpunu funkcionalnost crpke. Tehničke karakteristike:
</t>
  </si>
  <si>
    <t xml:space="preserve">Jednostruka cirkulacijska crpka kruga grijanja PTV-a. Isporuka uključuje frekventni pretvarač ugrađen na priključnoj kutiji motora crpke te senzor diferencijalnog tlaka ugrađen u kućište crpke te sve potrebne elemente za potpunu funkcionalnost crpke. Tehničke karakteristike:
</t>
  </si>
  <si>
    <t xml:space="preserve">Dobava i ugradnja navojnog priključka za regulacijske ventile iz stavke 1.30., holenderski, slijedećih dimenzija:
</t>
  </si>
  <si>
    <t xml:space="preserve">Primjena:
Sustavi grijanja i hlađenja.
</t>
  </si>
  <si>
    <t xml:space="preserve">Radni tlak:
Maks. dopušteni tlak, PS: 16 bar i PN 25 (pogledajte dio Artikli)
Min. dopušteni tlak, PSmin: 0 bar
</t>
  </si>
  <si>
    <t xml:space="preserve">Temperatura:
Max. dozvoljena temperatura, TS:
- PN16: 110 °C
- PN25: 180 °C
Min. dopuštena temperatura, TSmin: -10 °C
</t>
  </si>
  <si>
    <t xml:space="preserve">Hvatač nečistoća, prirubnički, za toplu vodu i hlađenu vodu, nazivnog tlaka PN 16, u kompletu s protuprirubnicama, brtvama i vijcima, sljedećih dimenzija:
</t>
  </si>
  <si>
    <t xml:space="preserve">Nepovratni ventil, u kompletu s protuprirubnicama, brtvama i vijcima potrebne duljine, sljedećih dimenzija:
</t>
  </si>
  <si>
    <t xml:space="preserve">Nepovratni ventil navojne izvedbe, nazivnog tlaka PN 16, u kompletu s vijčanom spojkom, sljedećih dimenzija:
</t>
  </si>
  <si>
    <t xml:space="preserve">Leptirasta zaklopka za toplu vodu, nazivnog tlaka PN 16, međuprirubnička, s ručicom, u kompletu s prirubnicama, brtvama i vijcima potrebne duljine, prosječne dimenzije:
</t>
  </si>
  <si>
    <t xml:space="preserve">Regulator tlaka vodovodne vode, u kompletu s manometrom, područja namještanja 1,5¸6 bar, dimenzije:
</t>
  </si>
  <si>
    <t xml:space="preserve">Odzračna posuda V = 1 l, izrađena iz bešavne čelične cijevi f 139,7 x 4,0 (l = 200 mm), u kompletu s priključnom i odzračnom cijevi DN 10 (f 3/8"), duljine cca 5 m, te kuglastom ispusnom slavinom DN 10 (R 3/8").
</t>
  </si>
  <si>
    <t xml:space="preserve">Manometar f 100 mm, radijalnog priključka, u kompletu s manometarskom slavinom DN 15 (R 1/2”) i kolčakom, mjernog područja 0 - 10 bar.
</t>
  </si>
  <si>
    <t xml:space="preserve">Bimetalni termometar f 100 mm, radijalnog priključka, u kompletu sa zaštitnom čahurom za ugradnju u cjevovod, mjernog područja:
</t>
  </si>
  <si>
    <t xml:space="preserve">Predizolirane bakrene cijevi u kolutu za freonsku instalaciju plinske i tekuće faze namjenjene za rashladni medij R-410A. U kompletu sa spojnicama i koljenima, spojnim i pričvrsnim materijalom. Cijevi moraju biti odmašćene, očišćene i osušene prije ugradnje.
</t>
  </si>
  <si>
    <t xml:space="preserve">OPASKA: stavka uključuje sve potrebne cijevne  fitinge za međusobno spajanje cijevi, armature i opreme.
</t>
  </si>
  <si>
    <t xml:space="preserve">Bešavne čelične cijevi, srednje teške, vodovodne, pocinčane, prema DIN 2440, kvalitete St 33, sljedećih dimenzija:
</t>
  </si>
  <si>
    <t xml:space="preserve">OPASKA: stavka uključuje sve potrebne cijevne pocinčane fitinge za međusobno spajanje cijevi, armature i opreme.
</t>
  </si>
  <si>
    <t xml:space="preserve">Puštanje u pogon energetskog postrojenja od strane ovlaštene osobe uz izdavanje potrebnih uputa za korištenje, atesta i garancija.
</t>
  </si>
  <si>
    <t xml:space="preserve">Pločice s informacijama o vrsti medija, potrošačkoj grupi i smjeru strujanja za označavanje cijevi unutar strojarnice.
</t>
  </si>
  <si>
    <t xml:space="preserve">Rubna traka 150x8
Rubna dilataciona traka u skladu s DIN 18560 izrađena iz polietilena sa samoljepivom pozadinom i samoljepivom PE-folijom s prednje strane za osiguranje brtvljenja između rubne trake i toplinske izolacije, duljina trake u roli 25m, visina 150, a debljina 8 mm.
</t>
  </si>
  <si>
    <t xml:space="preserve">Dilatacijski profil
Za pouzdanu dilataciju estriha, te općenito za ekspanziju estriha prema DIN 18560-2.
Visina: 100mm
Debljina materijala: 8 mm
Duljina: 2 m
</t>
  </si>
  <si>
    <t xml:space="preserve">LCD touch termostat podnog grijanja sa podnim senzorom 
- prikaz i podešavanje temperature prostora
- relejni izlaz 16A, 230VAC
- ulaz za osjetnik temperature poda
- ugradnja u podžbuknu elektroinstalacijsku kutiju ø 60 mm
- bijela ili crna boja
- WIFI komunikacija za upravljanje mobilnom aplikacijom na pametnim telefonima
</t>
  </si>
  <si>
    <t xml:space="preserve">Ispusna slavina za pražnjenje cijevne instalacije tople i hlađene vode s kapom i lancem u kompletu s vijčnom spojkom, dimenzije:
</t>
  </si>
  <si>
    <t xml:space="preserve">Sitni potrošni materijal neophodan za potpunu montažu specificirane opreme, kao što su: prirubnice, matice, vijci, brtve, kisik, disu plin, elektrode, žica za zavarivanje, fitinzi, tipli, proturne cijevi, sitniji ovjesi i slično.
</t>
  </si>
  <si>
    <t xml:space="preserve">Puštanje u pogon instalacije temeljnog grijanja i hlađenja, uključivo topla i hladna tlačna proba, programiranje parametara rada, ovjera garancije, obuka korisnika od strane ovlaštenog servisera, uključujući i dostava uputa na hrvatskom jeziku, atesta za ventilokonvektore.
</t>
  </si>
  <si>
    <t xml:space="preserve">Visokoučinkovite rekuperatorske jedinice za povrat topline u horizontalnoj izvedbi komercijalne primjene kao npr. uredski prostori, caffe barovi, restorani i sportske ustanove.
</t>
  </si>
  <si>
    <t xml:space="preserve">Visokoučinkovite rekuperatorske jedinice za povrat topline za vanjsku/unutarnju instalaciju komercijalne primjene kao npr. uredski prostori, caffe barovi, restorani i sportske ustanove.
</t>
  </si>
  <si>
    <t>Uređaj je opremljen rotacijskim izmjenjivačem topline s učinovitosti povrata topline do 85% i s mogućnosti prijenosa vlage.
Filterske sekcije na dovodima i odvodima zraka su klase učinkovitosti M5.
Ventilatori uređaja su energetski učinkoviti s EC tehnologijom s niskim SFP-om i tihim radom.
Uređaj standardno dolazi opremljen s upravljačkim sustavom s dodirnim zaslonom opremljenim:
- senzorima temperature na svježem, povratnom i ispušnom zraku
- senzorom na izmjenjivaču za zaštitu istoga
- dvije digitalne tlačne sklopke za filtere
- tri digitalne tlačne sklopke za konstantan protok zraka / tlak
Preko ugrađenog regulatora upravlja se količinom zraka, održavanjem odgovarajuće temperature svježeg zraka, te zraka u prostoru, opcionalnim dogrijačem/predgrijačem zraka, kvalitetom zraka preko koncentracije CO2, noćnim režimom rada, te se prati zaprljanost filtera zraka na temelju gubitaka tlaka. Moguće je programiranje tjednog i godišnjeg rada uređaja.
Standardno je moguće upravljanje rekuperatorskom jedinicom preko RS 485/Modbus, Modbus TCP, BACnet protokola koji su podržani u regulatoru.
Regulator je standardno opremljen NFC mogućnošću povezivanja.</t>
  </si>
  <si>
    <t xml:space="preserve">KANALI pravokutnog presjeka presjeka izrađeni iz čeličnog pocinčanog lima debljine lima prema DIN-u 24190 za dužu stranicu kanala:
100-250       s = 0,6
265-530       s = 0,6
560-1000     s = 0,8
1060-2000   s = 1,0
uključivo prirubnice, brtve, vijke, matice, podložne pločice i kopče.
</t>
  </si>
  <si>
    <t xml:space="preserve">Puštanje u pogon instalacije komforne ventilacije, programiranje parametara rada, ovjera garancije, obuka korisnika od strane ovlaštenog servisera, uključujući i dostava uputa na hrvatskom jeziku, atesta za uređaje.
</t>
  </si>
  <si>
    <t xml:space="preserve">Dodatna oprema za funkcionalno djelovanje:
Servisna sklopka ON/OFF
Antivibracijske spojnice 315 (2kom)
Nepovratna zaklopka-315
</t>
  </si>
  <si>
    <t xml:space="preserve">Kanalni grijač/hladnjak  zraka za unutarnju ugradnju u dovodni kanal za kuhinju. 
Ogrijevni medij: voda (t=45/40°C) 
Protok zraka= 1000 m3/h
Ukupni ogriievni učin 12,0 kW
</t>
  </si>
  <si>
    <t xml:space="preserve">Kanalni elektro grijač zraka za unutarnju ugradnju u dovodni kanal za praonicu. 
Protok zraka= 900 m3/h
Ukupni ogriievni učin 9,0 kW
Nel= 9,0kW (3f / 400V)
</t>
  </si>
  <si>
    <t>Izolacijski materijal za izolaciju  kanala otpadnog i svježeg zraka od negorivog materijala, kojim se u zimskom periodu sprečava gubitak topline na  površini kanala, a u ljetnom periodu rošenje (parna brana). Elastomerna pjena na bazi sintetičke gume (FEF) u skladu sa EN14304, samogasiv, nekapajući i ne širi plamen, klasifikacija na požar EN 13501-1. Izrađen u obliku ploča, a isporučuje se u rolama  do temperature + 85° C.  Stavka uključuje potrebnu količinu ljepila, te završne originalne trake  za spojeve,  sljedećih količina  debljina i dimenzija:</t>
  </si>
  <si>
    <t xml:space="preserve">Puštanje u pogon instalacije tehnološke ventilacije, programiranje parametara rada, ovjera garancije, obuka korisnika od strane ovlaštenog servisera, uključujući i dostava uputa na hrvatskom jeziku, atesta za uređaje.
</t>
  </si>
  <si>
    <t xml:space="preserve">Primopredaja kompletnog strojarskog sustava korisniku (predaja tehničke dokumentacije izvedenog stanja, tehničkih listova i certifikata ugrađene opreme, predaja programske dokumentacije na CD-u i dr.).
</t>
  </si>
  <si>
    <t xml:space="preserve">Automatika za kompletan sustav, oprema u polju, prema tehničkom opisu.
</t>
  </si>
  <si>
    <t>Radovi montaže elemenata automatike, te spajanje svih kabela na strani elemenata u polju i razdjelnika na prethodno položene i ispitane kabele.</t>
  </si>
  <si>
    <t xml:space="preserve">Čišćenje gradilišta od preostalog materijala i različite ambalaže te materijal i rad potreban za zaštitu ugrađene i instalirane strojarske opreme od utjecaja ostalih radova na gradilištu (zaštita od prašine, žbuke, oštećivanja i sl.).
</t>
  </si>
  <si>
    <t xml:space="preserve">Pravokutna fasadna protukišna žaluzina za zaštitu sustava ventilacije protiv kapljica kiše, lišća i ptica koji bi mogli ući u struju zraka. Zaštita od buke i vremenskih uvjeta s malom dubinom ugradnje. Komponenta spremna za ugradnju sastoji se od okvira, lamela za zaštitu od kiše i zaštitne mrežice sa stražnje strane. Zvučna snaga koju generira zrak ispitana prema EN ISO 5135. Niska buka i generirana zvučna snaga zbog posebne konstrukcije lamela. Bez silikona. Rešetka plastificirana u RAL boji prema odluci glavnog projektanta. 
</t>
  </si>
  <si>
    <t xml:space="preserve">Kružna fasadna protukišna žaluzina za zaštitu sustava ventilacije protiv kapljica kiše, lišća i ptica koji bi mogli ući u struju zraka. Zaštita od buke i vremenskih uvjeta s malom dubinom ugradnje. Komponenta spremna za ugradnju sastoji se od okvira, lamela za zaštitu od kiše i zaštitne mrežice sa stražnje strane. Zvučna snaga koju generira zrak ispitana prema EN ISO 5135. Niska buka i generirana zvučna snaga zbog posebne konstrukcije lamela. Bez silikona.
Rešetka plastificirana u RAL boji prema odluci glavnog projektanta. 
</t>
  </si>
  <si>
    <t>900x495</t>
  </si>
  <si>
    <r>
      <rPr>
        <b/>
        <sz val="10"/>
        <rFont val="Calibri"/>
        <family val="2"/>
        <scheme val="minor"/>
      </rPr>
      <t>Metalne police</t>
    </r>
    <r>
      <rPr>
        <sz val="10"/>
        <rFont val="Calibri"/>
        <family val="2"/>
        <charset val="238"/>
        <scheme val="minor"/>
      </rPr>
      <t xml:space="preserve">, dim. (ŠDV) 120x60x200 cm, police jednostavne, otvorene, tipske. Svi metalni dijelovi s adekvatnom zaštitnom obradom (prašno plastificiranje), sve u skladu s namjenom.  Nosivost police 200 kg, 5 kom po visini. Obavezan pismeni dokaz nosivosti.  Sve u boji prema izboru projektanta. </t>
    </r>
  </si>
  <si>
    <r>
      <rPr>
        <b/>
        <sz val="10"/>
        <rFont val="Calibri"/>
        <family val="2"/>
        <scheme val="minor"/>
      </rPr>
      <t>Senzorna zidna ploča, taktilna,</t>
    </r>
    <r>
      <rPr>
        <sz val="10"/>
        <rFont val="Calibri"/>
        <family val="2"/>
        <scheme val="minor"/>
      </rPr>
      <t xml:space="preserve"> tri različite dim. 35x35 cm. Drvena ploča koja se pričvršćuje na zid, ispunjena različitim materijalima za istraživanje osjećaja dodira. Materijali ispuna mogu biti: tkanina, pluto, krzno, umjetna trava, guma, kamen, drvo, metal, staklo, spužva, plastika i sl. Uz ploču je priložen odgovarajući okov za montažu na zid. Moguća izrada drvenog okvira za ulaganje ploča ukoliko se povezuje više ploča u niz.</t>
    </r>
  </si>
  <si>
    <t>Garnitura ocat, ulje, sol, papar</t>
  </si>
  <si>
    <r>
      <rPr>
        <b/>
        <sz val="10"/>
        <rFont val="Calibri"/>
        <family val="2"/>
        <scheme val="minor"/>
      </rPr>
      <t>Poklopac za ležaljke</t>
    </r>
    <r>
      <rPr>
        <sz val="10"/>
        <rFont val="Calibri"/>
        <family val="2"/>
        <charset val="238"/>
        <scheme val="minor"/>
      </rPr>
      <t xml:space="preserve"> iz stavke A.2.38. izrađen od tvrde umjetne mase, rubovi ovalno uzdignuti u odnosu na površinu cijelog poklopca, boja poklopca identična boji plastične konstrukcije ležaljke, funkcionalno pretvara složeni kup ležaljki u radno-igraću plohu.
</t>
    </r>
  </si>
  <si>
    <r>
      <rPr>
        <b/>
        <sz val="10"/>
        <rFont val="Calibri"/>
        <family val="2"/>
        <scheme val="minor"/>
      </rPr>
      <t>Poklopac za ležaljke</t>
    </r>
    <r>
      <rPr>
        <sz val="10"/>
        <rFont val="Calibri"/>
        <family val="2"/>
        <charset val="238"/>
        <scheme val="minor"/>
      </rPr>
      <t xml:space="preserve"> iz stavke A.1.24. izrađen od tvrde umjetne mase, rubovi ovalno uzdignuti u odnosu na površinu cijelog poklopca, boja poklopca identična boji plastične konstrukcije ležaljke, funkcionalno pretvara složeni kup ležaljki u radno-igraću plohu.
</t>
    </r>
  </si>
  <si>
    <r>
      <rPr>
        <b/>
        <sz val="10"/>
        <rFont val="Calibri"/>
        <family val="2"/>
        <scheme val="minor"/>
      </rPr>
      <t>Poklopac za ležaljke</t>
    </r>
    <r>
      <rPr>
        <sz val="10"/>
        <rFont val="Calibri"/>
        <family val="2"/>
        <charset val="238"/>
        <scheme val="minor"/>
      </rPr>
      <t xml:space="preserve"> iz stavke A.3.38. izrađen od tvrde umjetne mase, rubovi ovalno uzdignuti u odnosu na površinu cijelog poklopca, boja poklopca identična boji plastične konstrukcije ležaljke, funkcionalno pretvara složeni kup ležaljki u radno-igraću plohu.
</t>
    </r>
  </si>
  <si>
    <r>
      <rPr>
        <b/>
        <sz val="10"/>
        <rFont val="Calibri"/>
        <family val="2"/>
        <scheme val="minor"/>
      </rPr>
      <t>Drveni stolić</t>
    </r>
    <r>
      <rPr>
        <sz val="10"/>
        <rFont val="Calibri"/>
        <family val="2"/>
        <scheme val="minor"/>
      </rPr>
      <t xml:space="preserve">  dim. 55x55x40 cm. 
Oblikovanje i boju potrebno je usuglasiti s projektantom.  Uključiti zaštitne elemente na nogama protiv grebanja poda.
</t>
    </r>
  </si>
  <si>
    <r>
      <rPr>
        <b/>
        <sz val="10"/>
        <rFont val="Calibri"/>
        <family val="2"/>
        <scheme val="minor"/>
      </rPr>
      <t>Tvrdi jastuci za sjedenje</t>
    </r>
    <r>
      <rPr>
        <sz val="10"/>
        <rFont val="Calibri"/>
        <family val="2"/>
        <scheme val="minor"/>
      </rPr>
      <t xml:space="preserve">  dim.50x50x40 cm. Načinjeni od čelične jezgre omotane poliuretanskom pjenom debljine 5 cm. Tapecirano u alcantari ili renni u boji po izboru projektanta. Noge su drvene, visine 4 cm.
Oblikovne detalje i boje potrebno je usuglasiti s projektantom. Uključiti zaštitne elemente na nogama protiv grebanja poda.
</t>
    </r>
  </si>
  <si>
    <r>
      <rPr>
        <b/>
        <sz val="10"/>
        <rFont val="Calibri"/>
        <family val="2"/>
      </rPr>
      <t>Stalak za kišobrane</t>
    </r>
    <r>
      <rPr>
        <sz val="10"/>
        <rFont val="Calibri"/>
        <family val="2"/>
      </rPr>
      <t xml:space="preserve">, promjera 35 cm, h=40 cm, od punog lima, plastificiran u crnoj boji, ABS zaštita na podnožju.
</t>
    </r>
  </si>
  <si>
    <r>
      <rPr>
        <b/>
        <sz val="10"/>
        <rFont val="Calibri"/>
        <family val="2"/>
        <scheme val="minor"/>
      </rPr>
      <t>Ormar arhivski,</t>
    </r>
    <r>
      <rPr>
        <sz val="10"/>
        <rFont val="Calibri"/>
        <family val="2"/>
        <scheme val="minor"/>
      </rPr>
      <t xml:space="preserve"> dim. (ŠDV) 100x40x200 cm, s dvokrilnim vratima s trosmjernim zabravnim mehanizmom, čvrste metalne konstrukcije.  Svi metalni dijelovi s adekvatnom zaštitnom obradom (prašno plastificiranje), sve u skladu s namjenom.  Unutrašnjost opremljena policama koje su podesive po visini, 5 polica po visini. Police nosivosti minimalno 100 kg. Obavezan pismeni dokaz nosivosti. Na vratima ormara je cilindar brava s ključem i standardna ručka. Sve u boji prema izboru projektanta.
</t>
    </r>
    <r>
      <rPr>
        <sz val="10"/>
        <rFont val="Calibri"/>
        <family val="2"/>
      </rPr>
      <t xml:space="preserve">
</t>
    </r>
  </si>
  <si>
    <r>
      <rPr>
        <b/>
        <sz val="10"/>
        <rFont val="Calibri"/>
        <family val="2"/>
        <scheme val="minor"/>
      </rPr>
      <t>Metalne police</t>
    </r>
    <r>
      <rPr>
        <sz val="10"/>
        <rFont val="Calibri"/>
        <family val="2"/>
        <charset val="238"/>
        <scheme val="minor"/>
      </rPr>
      <t xml:space="preserve">, police jednostavne, otvorene, tipske. Svi metalni dijelovi s adekvatnom zaštitnom obradom (prašno plastificiranje), sve u skladu s namjenom.  Nosivost police 200 kg, 5 kom po visini. Obavezan pismeni dokaz nosivosti.  Sve u boji prema izboru projektanta.
</t>
    </r>
  </si>
  <si>
    <r>
      <t xml:space="preserve">Gumeno kamenje za igre balansiranja. </t>
    </r>
    <r>
      <rPr>
        <sz val="10"/>
        <rFont val="Calibri"/>
        <family val="2"/>
        <scheme val="minor"/>
      </rPr>
      <t xml:space="preserve">Površina je napravljena od čvrste gume, svaki kamen ima gumeni rub postolja, tako da je protuklizan, i ne oštećuje pod. 1 serija = 6 kom, tri velika kamena dim.36x36x36 cm, h=8,5cm, malo kamenje dim. 25x25x25 cm, h=4,5cm.
</t>
    </r>
  </si>
  <si>
    <r>
      <rPr>
        <b/>
        <sz val="10"/>
        <rFont val="Calibri"/>
        <family val="2"/>
        <scheme val="minor"/>
      </rPr>
      <t>Ormar arhivski,</t>
    </r>
    <r>
      <rPr>
        <sz val="10"/>
        <rFont val="Calibri"/>
        <family val="2"/>
        <scheme val="minor"/>
      </rPr>
      <t xml:space="preserve"> dim. (ŠDV) 100x40x200 cm, s dvokrilnim vratima s trosmjernim zabravnim mehanizmom, čvrste metalne konstrukcije.  Svi metalni dijelovi s adekvatnom zaštitnom obradom (prašno plastificiranje), sve u skladu s namjenom.  Unutrašnjost opremljena policama koje su podesive po visini, 5 polica po visini. Police nosivosti minimalno 100 kg. Obavezan pismeni dokaz nosivosti. Na vratima ormara je cilindar brava s ključem i standardna ručka. Sve u boji prema izboru projektanta.
</t>
    </r>
  </si>
  <si>
    <r>
      <rPr>
        <b/>
        <sz val="10"/>
        <rFont val="Calibri"/>
        <family val="2"/>
        <scheme val="minor"/>
      </rPr>
      <t>Metalne police</t>
    </r>
    <r>
      <rPr>
        <sz val="10"/>
        <rFont val="Calibri"/>
        <family val="2"/>
        <charset val="238"/>
        <scheme val="minor"/>
      </rPr>
      <t xml:space="preserve">, police jednostavne, otvorene, tipske. Svi metalni dijelovi s adekvatnom zaštitnom obradom (prašno plastificiranje), sve u skladu s namjenom.  Nosivost police 200 kg, 5 kom po visini. Obavezan pismeni dokaz nosivosti.  Sve u boji prema izboru projektanta.
</t>
    </r>
  </si>
  <si>
    <r>
      <rPr>
        <b/>
        <sz val="10"/>
        <rFont val="Calibri"/>
        <family val="2"/>
        <charset val="238"/>
      </rPr>
      <t>Guralica motocikl s dva kotača</t>
    </r>
    <r>
      <rPr>
        <sz val="10"/>
        <rFont val="Calibri"/>
        <family val="2"/>
      </rPr>
      <t xml:space="preserve">. Pokretanjem ručkica prednji dio se rotira i vozilo se okreće na željenu stranu. Od čvrste, kompaktne, 100% reciklirajuće plastike, prikladno za unutarnji i vanjski prostor. Dim. 64x53cm, vis. sjed. 33cm.
</t>
    </r>
  </si>
  <si>
    <r>
      <rPr>
        <b/>
        <sz val="10"/>
        <rFont val="Calibri"/>
        <family val="2"/>
        <scheme val="minor"/>
      </rPr>
      <t>Ormar arhivski,</t>
    </r>
    <r>
      <rPr>
        <sz val="10"/>
        <rFont val="Calibri"/>
        <family val="2"/>
        <scheme val="minor"/>
      </rPr>
      <t xml:space="preserve"> dim. (ŠDV) 90x40x200 cm, s dvokrilnim vratima s trosmjernim zabravnim mehanizmom, čvrste metalne konstrukcije.  Svi metalni dijelovi s adekvatnom zaštitnom obradom (prašno plastificiranje), sve u skladu s namjenom.  Unutrašnjost opremljena policama koje su podesive po visini, 5 polica po visini. Police nosivosti minimalno 100 kg. Obavezan pismeni dokaz nosivosti. Na vratima ormara je cilindar brava s ključem i standardna ručka. Sve u boji prema izboru projektanta.
</t>
    </r>
    <r>
      <rPr>
        <sz val="10"/>
        <rFont val="Calibri"/>
        <family val="2"/>
      </rPr>
      <t xml:space="preserve">
</t>
    </r>
  </si>
  <si>
    <r>
      <rPr>
        <b/>
        <sz val="10"/>
        <rFont val="Calibri"/>
        <family val="2"/>
        <scheme val="minor"/>
      </rPr>
      <t>Ladičar kartotečni,</t>
    </r>
    <r>
      <rPr>
        <sz val="10"/>
        <rFont val="Calibri"/>
        <family val="2"/>
        <scheme val="minor"/>
      </rPr>
      <t xml:space="preserve"> dim. (ŠDV) 76x62x110 cm, s tri ladice i bravicom s ključevima, čvrste metalne konstrukcije.  Svi metalni dijelovi s adekvatnom zaštitnom obradom (prašno plastificiranje), sve u skladu s namjenom. Sve u boji prema izboru projektanta.
</t>
    </r>
    <r>
      <rPr>
        <sz val="10"/>
        <rFont val="Calibri"/>
        <family val="2"/>
      </rPr>
      <t xml:space="preserve">
</t>
    </r>
  </si>
  <si>
    <t xml:space="preserve">Dobava spajanje i postavljanje rasvjetne armature, komplet sa žaruljama, montažnim priborom i materijalom.
</t>
  </si>
  <si>
    <t xml:space="preserve">Boje i izgled rasvjetnih tijela, utičnica i prekidača prema izboru glavnog projektanta.
</t>
  </si>
  <si>
    <t>Taktilna površina u unutarnjem prostoru:</t>
  </si>
  <si>
    <t xml:space="preserve">taktilna površina u unutarnjem prostoru
</t>
  </si>
  <si>
    <t xml:space="preserve">taktilna površina u vanjskom prostoru
</t>
  </si>
  <si>
    <t>B.12.24.</t>
  </si>
  <si>
    <t>Dobava, izrada i montaža taktilne podne površine za slijepe i slabovidne osobe.</t>
  </si>
  <si>
    <t xml:space="preserve">Izrada, dobava, te izvedba taktilne usmjeravajuće i upozorajvajuće signalistike  na vanjskim podnim površinama (asfalt i sl.) i unutarnjim površinama (epoksi pod)
</t>
  </si>
  <si>
    <t>Pristupačna taktilna površina izvodi se reljefnom obradom visine do 5 mm na način da ne otežava kretanje invalidskih kolica, da je prepoznatljiva na dodir stopala ili bijelog štapa, da ne zadržava vodu, snijeg i prljavštinu, te da se lako održava.
Taktilna crta vođenja, taktilna crta upozorenja i/ili taktilno polje upozorenja, obvezno moraju imati karakteristike propisane za taktilnu površinu.</t>
  </si>
  <si>
    <r>
      <t xml:space="preserve">Uključuje sav potreban materijal, te čišćenje obrađenih površina nakon završetka radova, do pune gotovosti. </t>
    </r>
    <r>
      <rPr>
        <sz val="10"/>
        <rFont val="Calibri"/>
        <family val="2"/>
      </rPr>
      <t xml:space="preserve">Obračun po m1.
</t>
    </r>
  </si>
  <si>
    <t>- taktilna crta vođenja u širini od najmanje 40 cm, s užljebljenjima u smjeru vođenja, od ulaznih vrata građevine do vrata dizala i wc-a
- pred prvom i iza posljednje stube (uključivo podest)  izvedeno taktilno polje upozorenja, u punoj širini stubišnog kraka, širine najmanje 40 cm s užljebljenjima okomito na smjer kretanja 
- taktilna crta i polje izvedeno isprekidanim trakama
- mjesta promjene smjera izvesti čepovima
- taktilne površine za unutarnju primjenu, samoljepljive</t>
  </si>
  <si>
    <t>- taktilna crta vođenja u širini od najmanje 40 cm, s užljebljenjima od pločnika do ulaza
- pred ulazom izvedeno taktilno polje upozorenja, u punoj širini ulaznih vrata, širine najmanje 40 cm s užljebljenjima okomito na smjer kretanja 
- pred prvom i iza posljednje stube (uključivo podest)  izvedeno taktilno polje upozorenja, u punoj širini stubišnog kraka, širine najmanje 40 cm s užljebljenjima okomito na smjer kretanja 
- taktilna crta i polje izvedeno isprekidanim trakama
- mjesta promjene smjera izvesti čepovima
- taktilne površine za vanjsku primjenu, samoljepljive</t>
  </si>
  <si>
    <t>Boja (ton) i izgled prema odabiru Projektanta. 
U svemu se pridržavati uputa proizvođača.</t>
  </si>
  <si>
    <t>Potrebna mjerenja sustava, uključivo sva potrebna dokumentacija neophodna za tehnički pregled. Svi potrebni atesti, ispitivanje funkcionalnosti sustava ventilacije, ispitivanje mikroklimatskih parametara u zimskom i ljetnom periodu, izvještaji o mjerenje buke u i izvan prostora od relevantnih uređaja i dr.</t>
  </si>
  <si>
    <t>Kolica za posluživanje s tri police</t>
  </si>
  <si>
    <t>Perilica rublja kapacitet 6,5 kg</t>
  </si>
  <si>
    <t>Profesionalna perilica rublja kapacitet 14 kg</t>
  </si>
  <si>
    <t>GARDEROBE I SANITARIJE - JASLIČKE SKUPINE</t>
  </si>
  <si>
    <t xml:space="preserve">Element može biti lijevi ili desni.
D=8, L=3 (ovisno na kojoj strani su stepenice).
Završna obrada svih dijelova u bijeloj mat boji, RAL po izboru projektanta. 
</t>
  </si>
  <si>
    <r>
      <rPr>
        <b/>
        <sz val="10"/>
        <rFont val="Calibri"/>
        <family val="2"/>
      </rPr>
      <t>Ormar/stol za previjanje s vratima i stepenicama s podlogom za previjanje</t>
    </r>
    <r>
      <rPr>
        <sz val="10"/>
        <rFont val="Calibri"/>
        <family val="2"/>
      </rPr>
      <t xml:space="preserve">, dim. (ŠDV) 115x70x80 cm, izrađen od iverice oplemenjene melaminskom folijom debljine 18mm, otpornom na ogrebotine. 
Na prednjem dijelu bočno nalazi se otvor širine 320 mm za pomične stepenice. Ostatak je do 1/3 visine u gornjem dijelu otvoreno s policom, dok su ispod 2 vrata od iverala kantirana abs-om 2mm. Iza jednih vrata nalazi se izvlačna plastična kanta za smeće (2 x 16 l) a iza drugih polica pomična po visini. Element je na soklu visine 100 mm, presvučen zaštitnim plastičnim U profilom, koji se nalazi i na stranicama elemenata. 
Stepenice su također izrađene od iverala sa ugrađenim kotačićima visine 17mm koji su fiksirani na stranici. Stepenice imaju 4 gazišta po visini jednako raspoređena a jedna stranica je podignuta i služi kao rukohvat ( polukružno ). Rubna traka na gazištima je od abs-a 2mm. Stepenice ulaze po širini, dubini i visini u element. Stepenice se također mogu zablokirati kada se izvuku van a izvlače se za jednu malu skrivenu ručku u trećem gazištu.
Na elementu je učvršćena ploča presvučena eko kožom i spužvom debljine 30 mm u srednjem dijelu, a okolo je rub također izrađen od spužve presvučen eko kožom izveden pod kosinom sa 30 na 90 mm. Kosina se nalazi sa tri strane, ispred nema kosine. Eko koža je u tonu korpusa. Dimenzija ploče za previjanje 115 x 5/9 x 75 cm. </t>
    </r>
  </si>
  <si>
    <t>Profesionalna sušilica rublja kapacitet 10 kg</t>
  </si>
  <si>
    <t>Profesionalna pegla za glačanje sa generatorom pare</t>
  </si>
  <si>
    <t xml:space="preserve">- generator pare sa bojlerom kapaciteta 3 litre
- pritisak 3 bara
- termostat
- sigurnosni ventil
- autonomija rada do 4 sata
- snaga bojlera- min.900W
- snaga glačala- min. 850W
</t>
  </si>
  <si>
    <t>profesionalna pegla za glačanje</t>
  </si>
  <si>
    <r>
      <t xml:space="preserve">- centralna izvedba, dimenzija 1800 x 1600 x 500 mm 
</t>
    </r>
    <r>
      <rPr>
        <b/>
        <sz val="10"/>
        <color rgb="FFFF0000"/>
        <rFont val="Calibri"/>
        <family val="2"/>
        <charset val="238"/>
      </rPr>
      <t>- NE NUDITI</t>
    </r>
    <r>
      <rPr>
        <sz val="10"/>
        <color rgb="FFFF0000"/>
        <rFont val="Calibri"/>
        <family val="2"/>
        <charset val="238"/>
      </rPr>
      <t xml:space="preserve">
- </t>
    </r>
    <r>
      <rPr>
        <b/>
        <sz val="10"/>
        <color rgb="FFFF0000"/>
        <rFont val="Calibri"/>
        <family val="2"/>
        <charset val="238"/>
      </rPr>
      <t>obračunata u strojarskim radovima</t>
    </r>
    <r>
      <rPr>
        <sz val="10"/>
        <color indexed="8"/>
        <rFont val="Calibri"/>
        <family val="2"/>
      </rPr>
      <t xml:space="preserve">
</t>
    </r>
  </si>
  <si>
    <t>topla kupka, dimenzija 1410 x 700 x 900 mm</t>
  </si>
  <si>
    <r>
      <t xml:space="preserve">- zidna izvedba, dimenzija 900 x 900 x 400 mm 
</t>
    </r>
    <r>
      <rPr>
        <b/>
        <sz val="10"/>
        <color rgb="FFFF0000"/>
        <rFont val="Calibri"/>
        <family val="2"/>
        <charset val="238"/>
      </rPr>
      <t>- NE NUDITI</t>
    </r>
    <r>
      <rPr>
        <sz val="10"/>
        <color rgb="FFFF0000"/>
        <rFont val="Calibri"/>
        <family val="2"/>
        <charset val="238"/>
      </rPr>
      <t xml:space="preserve">
- </t>
    </r>
    <r>
      <rPr>
        <b/>
        <sz val="10"/>
        <color rgb="FFFF0000"/>
        <rFont val="Calibri"/>
        <family val="2"/>
        <charset val="238"/>
      </rPr>
      <t>obračunata u strojarskim radovima</t>
    </r>
    <r>
      <rPr>
        <sz val="10"/>
        <color indexed="8"/>
        <rFont val="Calibri"/>
        <family val="2"/>
      </rPr>
      <t xml:space="preserve">
</t>
    </r>
  </si>
  <si>
    <t>K.</t>
  </si>
  <si>
    <t>P.</t>
  </si>
  <si>
    <t xml:space="preserve">Stavka uključuje dodatak za plastifikaciju.
Koristi se kao aditiv za estrih na cementnoj osnovi, homogenizira i poboljšava kvalitetu materijala i time povećava toplinsku provodljivost poda. Potrošnja aditiva pri debljini od 50mm je otprilike 0,2 l/m². Vrijeme sazrijevanja estriha je 21 dan.
</t>
  </si>
  <si>
    <t xml:space="preserve">Cementni estrih izvodi se debljine d=5,4-6-7,5 cm ovisno o debljini završnog sloja (keramičke pločice, linoleum ili epoksi). 
Obračun po m2.
</t>
  </si>
  <si>
    <t xml:space="preserve">EPS za polaganje podnog grijanja (d=3cm) je obračunat u strojarskim radovima.
</t>
  </si>
  <si>
    <t xml:space="preserve">NAPOMENA: Prije narudžbe i montaže elemenata iz stavke 1.17. potrebno je provjeriti sve dimenzije prostora kao i postojećih priključaka cijevnih razvoda u kotlovnici/strojarnici te dimenzije istih uskladiti po potrebi sa stanjem na terenu. 
</t>
  </si>
  <si>
    <t>900x900x400</t>
  </si>
  <si>
    <t>Vnom = 500 m3/h</t>
  </si>
  <si>
    <t>1100x1300x400</t>
  </si>
  <si>
    <t xml:space="preserve">Ploča za polaganje cijevi podnog grijanja s aluminijskom folijom 30-2.
Ploča s toplinskom/zvučnom izolacijom, sastoji se od aluminijske folije otporne na fizička oštećenja dodane kao sloj na EPS-T 650 prema normi B 6000.
Prema normi DIN EN 135-01 požarna klasifikacija: klasa E. Standardna zapaljivost, sastavni
materijal klasa B2, sukladno DIN 4102. Folija na izolaciji sadrži mrežni uzorak od 50 mm kao i samoljepljivi dio s duže strane za spajanje ploča.
Tehničke karakteristike:
- Dimenzije (DxŠxV):10000x1000x30 mm
- Min. opterećenje: 6,5 KN/m²
- Min. otpor prolasku topline (R): 0,75 m²K/W
- Min. redukcija zvuka (Δ Lw ): 29 dB    </t>
  </si>
  <si>
    <r>
      <t xml:space="preserve">- zidna izvedba, dimenzija 1100 x 1300 x 400 mm 
</t>
    </r>
    <r>
      <rPr>
        <b/>
        <sz val="10"/>
        <color rgb="FFFF0000"/>
        <rFont val="Calibri"/>
        <family val="2"/>
        <charset val="238"/>
      </rPr>
      <t>- NE NUDITI</t>
    </r>
    <r>
      <rPr>
        <sz val="10"/>
        <color rgb="FFFF0000"/>
        <rFont val="Calibri"/>
        <family val="2"/>
        <charset val="238"/>
      </rPr>
      <t xml:space="preserve">
- </t>
    </r>
    <r>
      <rPr>
        <b/>
        <sz val="10"/>
        <color rgb="FFFF0000"/>
        <rFont val="Calibri"/>
        <family val="2"/>
        <charset val="238"/>
      </rPr>
      <t>obračunata u strojarskim radovima</t>
    </r>
    <r>
      <rPr>
        <sz val="10"/>
        <color indexed="8"/>
        <rFont val="Calibri"/>
        <family val="2"/>
      </rPr>
      <t xml:space="preserve">
</t>
    </r>
  </si>
  <si>
    <t>nosivi sloj asfalta AC 32 base, 50/70, AG6, M2-E, debljine d=6,0 cm  - kolne i pješačke površine</t>
  </si>
  <si>
    <t xml:space="preserve">armiranobetonska ploča vanjskih terasa na katu (završni sloj) zaglađena kvarcnim posipom, d=5,7-5,9 cm, vodonepropusni beton C25/30
</t>
  </si>
  <si>
    <t xml:space="preserve">armiranobetonska ploča vanjskih terasa u prizemlju (završni sloj) zaglađena kvarcnim posipom, u padu 1%, d= 7-9,5 cm, vodonepropusni beton C25/30
</t>
  </si>
  <si>
    <t xml:space="preserve">fasadni vertikalni element prizemlje (segment A + segment B + segment A),  veličina 341/306 cm, shema bravarije br.: 2a
</t>
  </si>
  <si>
    <t xml:space="preserve">fasadni vertikalni element kat (segment A + segment B + segment A),  veličina 341/306 cm, shema bravarije br.: 2b
</t>
  </si>
  <si>
    <t xml:space="preserve">fasadni vertikalni element kat (segmenta B između nosivih čeličnih stupova iz stavke A.11.1.b),  veličina segmenta 117/306 cm, ukupna veličina, shema bravarije br.: 3
</t>
  </si>
  <si>
    <t xml:space="preserve">fasadni vertikalni element prizemlje (7 segment A + segmenta B + segment A),  veličina 1013/306 cm, shema bravarije br.: 4a
</t>
  </si>
  <si>
    <t xml:space="preserve">fasadni vertikalni element kat (segment A + 7 segmenta B + segment A),  veličina 1013/306 cm, shema bravarije br.: 4b
</t>
  </si>
  <si>
    <t xml:space="preserve">fasadni vertikalni element prizemlje (promjenljive visine koja prati geometriju vanjskog stubišta),  veličina 933/4,5-306 cm, shema bravarije br.: 5
</t>
  </si>
  <si>
    <t xml:space="preserve">fasadni vertikalni element kat,  veličina 277/296 cm, shema bravarije br.: 6
</t>
  </si>
  <si>
    <t>Fasadni elementi su odgovarajuće vijcima pričvršćeni na konstrukciju i međusobno preko čeličnih profila i pločica sidrenih u  armiranobetonsku i čeličnu konstrukciju. Rubni profili su spojnim elementima povezani sa susjednim bravarskim stavkama.</t>
  </si>
  <si>
    <t xml:space="preserve">Izvođač treba dati radioničke nacrte, detalje bravarskih stavki i statički proračun za bravarske stavke; sve dati na odobrenje nadzornom inženjeru te u smislu oblikovnih karakteristika na odobrenje projektantu.
Statički proračun treba biti ovjeren od strane ovlaštene osobe.
</t>
  </si>
  <si>
    <t xml:space="preserve">Izvođač treba dati radioničke nacrte, statički proračun stakla, detalje unutarnjih i vanjskih protupožarnih vrata i stijena; sve dati na odobrenje nadzornom inženjeru te u smislu oblikovnih karakteristika na odobrenje projektantu.
Statički proračun treba biti ovjeren od strane ovlaštene osobe.
</t>
  </si>
  <si>
    <t xml:space="preserve">Izvođač treba dati radioničke nacrte, detalje svih strana svih stavki vanjske i unutarnje ALU bravarije i PVC stolarije (uključujući elemente vanjske zaštite od sunca) i statički proračun stolarije (profila i ostakljenja) s obzirom na ponuđeni proizvod/sustav; sve dati na odobrenje nadzornom inženjeru te u smislu oblikovnih karakteristika na odobrenje projektantu. Statički proračun treba biti ovjeren od strane ovlaštene osobe.
</t>
  </si>
  <si>
    <t xml:space="preserve">ograda,  veličina 651+210/120 cm, shema bravarije br.:7b 
</t>
  </si>
  <si>
    <t xml:space="preserve">Fasadni elementi se sastoje od se vertikalnih čeličnih pravokutnih profila 100x50x2 mm povezanih u gornjoj i donjoj zoni plosnim profilom 100x8 mm.
Fasadni elementi se zbog montaže modularni te izvode u više segmenata (segment A, segment B...).
Elementi su zaobljenih rubova r=5mm.
</t>
  </si>
  <si>
    <r>
      <t xml:space="preserve">Ograda se sastoji od:
- čeličnih stupova od čeličnog profila 30/50/3 mm
- rukohvata od čeličnnog profila 40/40/ 3mm
- veza rukohvata i stupova od spojnog čeličnog profila 30/20 mm
- gornje i donje horizontale te dvije bočne vertikale od čelične šipke promjera 10 mm
- ispune od napete mreže od nehrđajučeg čelika, žice mreže </t>
    </r>
    <r>
      <rPr>
        <sz val="10"/>
        <rFont val="Calibri"/>
        <family val="2"/>
        <charset val="238"/>
      </rPr>
      <t>promjera 3mm. Mreža</t>
    </r>
    <r>
      <rPr>
        <sz val="10"/>
        <rFont val="Calibri"/>
        <family val="2"/>
        <charset val="238"/>
        <scheme val="minor"/>
      </rPr>
      <t xml:space="preserve"> ispletena između gornje, donje i bočnih čeličnih šipki
- elementi su zaobljenih rubova r=5mm
</t>
    </r>
  </si>
  <si>
    <t xml:space="preserve">Rukohvat je čelični profil 40/40/ 3mm, koja je mjestimično pričvršćena:
- na vertikalne elemente spojnim čeličnim profilom 30/20 mm vijcima pričvršćenim na vertikalne profile preko čelične pločice 30/70/5 mm.
</t>
  </si>
  <si>
    <t xml:space="preserve">dvokrilna zaokretna vrata za vozila,  veličina zidarskog otvora 514/260 cm, shema bravarije br.: 1a
</t>
  </si>
  <si>
    <t xml:space="preserve">jednokrilna zaokretna vrata za pješake,  veličina zidarskog otvora 120/260 cm, shema bravarije br.: 1b
</t>
  </si>
  <si>
    <t>Stavke iz shema bravarije 1 i 1a su ukupnih dimenzija 634/206 cm.</t>
  </si>
  <si>
    <t xml:space="preserve">ograda,  veličina 199,5/120 cm, shema bravarije br.: 7a 
</t>
  </si>
  <si>
    <t xml:space="preserve">ograda,  veličina 447/120 cm, shema bravarije br.: 7c
</t>
  </si>
  <si>
    <t xml:space="preserve">ograda,  veličina 486,5/120 cm, shema bravarije br.: 7d
</t>
  </si>
  <si>
    <t xml:space="preserve">ograda,  veličina 193,5/120 cm, shema bravarije br.: 7e
</t>
  </si>
  <si>
    <t xml:space="preserve">ograda,  veličina 181/120 cm, shema bravarije br.: 7f
</t>
  </si>
  <si>
    <t xml:space="preserve">ograda,  veličina 199,5/120 cm, shema bravarije br.: 7g
</t>
  </si>
  <si>
    <t xml:space="preserve">ograda,  veličina 285/80 cm, shema bravarije br.: 8
</t>
  </si>
  <si>
    <t xml:space="preserve">rukohvat,  dužine 1035 cm, shema bravarije br.: 9a
</t>
  </si>
  <si>
    <t xml:space="preserve">rukohvat,  dužine 363 cm, shema bravarije br.: 9b
</t>
  </si>
  <si>
    <t xml:space="preserve">rukohvat,  dužine 337 cm, shema bravarije br.: 9c
</t>
  </si>
  <si>
    <t xml:space="preserve">rukohvat,  dužine 107,5 cm, shema bravarije br.: 9d
</t>
  </si>
  <si>
    <t xml:space="preserve">rukohvat,  dužine 64 cm, shema bravarije br.: 9e
</t>
  </si>
  <si>
    <t xml:space="preserve">Rukohvat se sastoji od:
- čelične cijevi promjera 40 mm / 3mm 
</t>
  </si>
  <si>
    <t xml:space="preserve">rukohvat, dužine 1009 cm, shema bravarije br.:10
</t>
  </si>
  <si>
    <t xml:space="preserve">rukohvat,  dužine 1009 cm, shema bravarije br.:11
</t>
  </si>
  <si>
    <t xml:space="preserve">Ograda se sastoji od:
- čeličnih stupova od čeličnog  profila 30/40/3 mm s čeličnom pločicom 10x10x15mm za vezu s konstrukcijom
- rukohvata od čeličnog profila 40/40/3 mm 
- gornje i donje horizontale te dvije bočne vertikale od čelične šipke promjera 10 mm
- ispune od napete mreže od nehrđajučeg čelika, žice mreže promjera 3mm. Mreža ispletena između gornje, donje i bočnih čeličnih šipki
- elementi su zaobljenih rubova r=5mm
</t>
  </si>
  <si>
    <r>
      <rPr>
        <b/>
        <sz val="10"/>
        <color indexed="8"/>
        <rFont val="Calibri"/>
        <family val="2"/>
      </rPr>
      <t>Dobava, izrada i ugradnja ograde uz vanjsko stubište</t>
    </r>
    <r>
      <rPr>
        <sz val="10"/>
        <color indexed="8"/>
        <rFont val="Calibri"/>
        <family val="2"/>
        <charset val="238"/>
      </rPr>
      <t xml:space="preserve">.
</t>
    </r>
  </si>
  <si>
    <t xml:space="preserve">ograda,  veličina 793/120 cm, shema bravarije br.:12 
</t>
  </si>
  <si>
    <t xml:space="preserve">ograda,  veličina 1200/120 cm, shema bravarije br.:13 
</t>
  </si>
  <si>
    <r>
      <t xml:space="preserve">Obračun po komadu, </t>
    </r>
    <r>
      <rPr>
        <sz val="10"/>
        <rFont val="Calibri"/>
        <family val="2"/>
        <charset val="238"/>
      </rPr>
      <t>shema bravarije br: 14.</t>
    </r>
  </si>
  <si>
    <t>B.7.14.</t>
  </si>
  <si>
    <t>B.7.15.</t>
  </si>
  <si>
    <t xml:space="preserve">- 2 panela vratnog krila koje se sastoji od vertikalnih i horizontalnih čeličnih kvadratnih profila koji čine okvir panela te ispune panela od valovite isprepletene mreže kvadratnih okna.
Čelični kvadratni profili panela su dimenzija 50x50x4 mm. Ispuna valovitim mrežama je od valovite isprepletene mreže kvadratnih okna, veličine okna (osna veličina) i debljine žice: - 40 x 40 x 4 mm.
Ispuna je varena na okvir od čeličnih profila.
</t>
  </si>
  <si>
    <t xml:space="preserve">- 2 panela vratnog krila koje se sastoji od vertikalnih i horizontalnih čeličnih kvadratnih profila koji čine okvir panela te ispune panela od valovite isprepletene mreže kvadratnih okna.
Čelični kvadratni profili panela su dimenzija 50x50x4 mm. Ispuna valovitim mrežama je od valovite isprepletene mreže kvadratnih okna, veličine okna (osna veličina) i debljine žice: - 40 x 40 x 4 mm.
Ispuna je varena na okvir od čeličnih profila. 
S donje strane pri kraju slobodnih krajeva krila su  montirani kotačići za pomoćno oslanjanje.
</t>
  </si>
  <si>
    <t xml:space="preserve">Donja čelična ploča ograde je u odgovarajuće vijcima pričvršćena na AB temeljni zid. </t>
  </si>
  <si>
    <r>
      <rPr>
        <b/>
        <sz val="10"/>
        <color indexed="8"/>
        <rFont val="Calibri"/>
        <family val="2"/>
      </rPr>
      <t>Dobava, izrada i ugradnja  vanjske ograde ispred ulaza</t>
    </r>
    <r>
      <rPr>
        <sz val="10"/>
        <color indexed="8"/>
        <rFont val="Calibri"/>
        <family val="2"/>
        <charset val="238"/>
      </rPr>
      <t xml:space="preserve">
</t>
    </r>
  </si>
  <si>
    <t xml:space="preserve">Ograda se sastoji od se vertikalnih čeličnih pravokutnih profila 100x50x2 mm povezanih u donjoj zoni kontinuiranim plosnim profilom 100x15 mm.
Ogradu je moguće izvesti zbog montaže modularno tj se izvodi u više segmenata (segment A, segment B, segment C).
Elementi su zaobljenih rubova r=5mm.
</t>
  </si>
  <si>
    <t xml:space="preserve">vanjska ograda ispred ulaza (segment A + segment C + segment B+ 18 segment A),  veličina 2318,5/150 cm, shema bravarije br.: 15
</t>
  </si>
  <si>
    <t>Protukliznost: R9.</t>
  </si>
  <si>
    <t>Stavka uključuje obradu čela stubišta (vertikalne plohe) i obradu bočne strane stubišta.</t>
  </si>
  <si>
    <t xml:space="preserve">Krovne vertikale ventilacija
- čeličnog nosivog profila - stupovi i grede, pravokutni profil (HOP 60x60x3)
- čvornih limova i spojnih sredstava
</t>
  </si>
  <si>
    <t>Konstrukcija se veže na nosivu AB konstrukciju preko sidrenih ploča koje se sidre u AB konstrukciju.</t>
  </si>
  <si>
    <t>čelična konstrukcija, krovne vertikale ventilacije, kompletno</t>
  </si>
  <si>
    <t xml:space="preserve">Sve čelične elemente potrebno je pjeskariti i vruće cinčati, debljinu zaštitnog sloja odrediti prema debljini elementa; minimalna debljina 50 mµ. 
Svi spojni elementi su vruće cinčani.
Vidljivi elementi (stavke A.11.1.a,  A.11.1.b) su dodatno i prašno plastificirani. 
Završne obrade i boje vidljivih profila koji se plastificiraju su po odabiru projektanta.
</t>
  </si>
  <si>
    <t>Obrađuju se slijedeće površine: kosi krov oznake [K.1, K.4]</t>
  </si>
  <si>
    <t xml:space="preserve">kamena vuna na kosom krovu oznake [K.1],  debljine d=10 cm, gornji sloj
</t>
  </si>
  <si>
    <t xml:space="preserve">kamena vuna na kosom krovu oznake [K.4],  debljine d=12 cm
</t>
  </si>
  <si>
    <t>Stavka obuhvaća izradu svih vrsta opšava i spojeva te izvedbu prodora, sve do pune funkcionalnosti. Obračun po m2 horizontalne, kose ili vertikalne površine.</t>
  </si>
  <si>
    <t>parna brana PE folija, d=0,2 mm</t>
  </si>
  <si>
    <t xml:space="preserve">Obrađuju se sljedeće površine: kosi krov oznake [K.1; K.2; K.3] </t>
  </si>
  <si>
    <t xml:space="preserve">Obrađuju se sljedeće površine: kosi krov oznake [K.4] </t>
  </si>
  <si>
    <t xml:space="preserve">Dobava materijala, izrada i montaža protupožarne obloge krovnih vertikala od masivnih protupožarnih gipskartonskih ploča.
</t>
  </si>
  <si>
    <t xml:space="preserve">Sastav obloge krovnih vertikala
- masivne gipskartonske protupožarne ploče, dvostruka obloga, 2x25 mm
</t>
  </si>
  <si>
    <t xml:space="preserve">Obloga je izvedena je od masivnih protupožarnih gipskartonskih ploča, u 2 sloja, d=2x25 mm. Obloga se izvodi na čeličnoj konstrukciji krovnih vertikala, uz eventualnu potrebnu dopunu odgovarajuće potkonstrukcije od pocinčanih čeličnih profila pričvršćenih na čelične profile.
Ploče se međusobno lijepe odgovarajućim ljepilom, a sve se zajedno pričvršćuje vijcima na odgovarajuće profile. Sve prema posebnom detalju proizvođača sustava. Obloga pripremljena za izvedbu završnog parne brane.
</t>
  </si>
  <si>
    <t>masivne protupožarne gipskartonske ploče d=2x25 mm</t>
  </si>
  <si>
    <t>obloga od cementnih ploča (d=1x12,5 mm)</t>
  </si>
  <si>
    <t xml:space="preserve">Kod izvođenja radova u svemu se pridržavati uputa iz tehničkih listova proizvođača.
U cijenu uključiti potrebnu potkonstrukciju te sav potreban rad i materijal.
Obračun po m2.
</t>
  </si>
  <si>
    <t xml:space="preserve">Kod izvođenja radova u svemu se pridržavati uputa iz tehničkih listova proizvođača.
U cijenu uključiti potrebnu potkonstrukciju te sav potreban rad i materijal.
Obračun po m2 zida i stropa.
</t>
  </si>
  <si>
    <t xml:space="preserve">Kod izvođenja radova u svemu se pridržavati uputa iz tehničkih listova proizvođača.
U cijenu uključiti potrebnu potkonstrukciju te sav potreban rad i materijal. 
Obračun po m2 stropa.
</t>
  </si>
  <si>
    <r>
      <t>preljev skrivenog sandučastog pravokutnog žlijeba - lulica za preljev, 30x100</t>
    </r>
    <r>
      <rPr>
        <sz val="10"/>
        <rFont val="Calibri"/>
        <family val="2"/>
      </rPr>
      <t xml:space="preserve"> mm</t>
    </r>
  </si>
  <si>
    <t xml:space="preserve">skriveni grijani sandučasti pravokutnog žlijeb na kosim krovovima. Žlijeb je širine 180 mm i dubine 190-240 mm, sa zadnjom stranicom višom.  </t>
  </si>
  <si>
    <t>Obračun po m2 razvijene površine krova te m1 opšava. Zona slojeva oznake [K.1, K.4].</t>
  </si>
  <si>
    <t>kosa i vertikalna krovna ploha ventilacijskih krovnih elemenata [K.4]</t>
  </si>
  <si>
    <t>kosa krovna ploha [K.1]</t>
  </si>
  <si>
    <r>
      <rPr>
        <b/>
        <sz val="10"/>
        <color indexed="8"/>
        <rFont val="Calibri"/>
        <family val="2"/>
      </rPr>
      <t>Dobava materijala te izrada parne brane iz hidroizolacijske trake s uloškom od AL-folije i staklenog voala s oksidiranim bitumenom.</t>
    </r>
    <r>
      <rPr>
        <sz val="10"/>
        <color indexed="8"/>
        <rFont val="Calibri"/>
        <family val="2"/>
        <charset val="238"/>
      </rPr>
      <t xml:space="preserve"> Traka je sa obje strane zaštićena s lako taljivom bojom. Ukupna debljina trake 4 mm.  
Sd vrijednost: ≥ 1500 m.
Parna brana se postavlja na podlogu (beton za pad, armirani beton¸ čelik) pripremljenu hladnim bitumenskim prednamazom koji se izvodi na suhu i glatku podlogu u cilju povezivanja čestica i pripreme podloge.
Ugrađuje se zavarivanjem na podlogu, također zavarena na poprečnim preklopima (min 10 cm). Traku zalijepiti  uz sve vertikalne dijelove (završetke, nadzide, prodore, priključke i dr.). U zonama uz vertikalne prodore sloj parne brane potrebno je dići minimalno 30 cm  visine gotovog poda.   </t>
    </r>
  </si>
  <si>
    <r>
      <rPr>
        <b/>
        <sz val="10"/>
        <color indexed="8"/>
        <rFont val="Calibri"/>
        <family val="2"/>
      </rPr>
      <t>Dobava materijala te izrada parne brane od PE folije.</t>
    </r>
    <r>
      <rPr>
        <sz val="10"/>
        <color indexed="8"/>
        <rFont val="Calibri"/>
        <family val="2"/>
        <charset val="238"/>
      </rPr>
      <t xml:space="preserve"> PE folija debljine 0,2 mm se polaže s preklopima min. 10 cm.
Sd vrijednost: ≥ 1500 m.</t>
    </r>
  </si>
  <si>
    <t>200x400</t>
  </si>
  <si>
    <t>Pločice I 'A' kvalitete, sinter, glazirana,gres, ravno rezanih rubova, ratificirana. Boja i vrsta pločica te boje fuge prema odabiru projektanta, završna obrada - mat.</t>
  </si>
  <si>
    <t>dobava podnih keramičkih pločica u hodnicima i ostalim prostorima gospodarstva  (neto količina), R10 - 40 x 40 x 1 cm</t>
  </si>
  <si>
    <t>dobava podnih keramičkih pločica u kuhinjskom sklopu (prostorije E1, E2) (neto količina), R11 - 40 x 40 x 1 cm</t>
  </si>
  <si>
    <t xml:space="preserve">habajući sloj AC 11 surf u crvenoj boji, 50/70, AG2, M2-E, debljina d=4,0 cm  - pješačke površine ispred glavnog ulaza
</t>
  </si>
  <si>
    <t xml:space="preserve">habajući sloj AC 11 surf u crnoj boji (natur boja) , 50/70, AG2, M2-E, debljina d=4,0 cm  - kolne i pješačke površine
</t>
  </si>
  <si>
    <t>ETICS fasada s toplinskom izolacijom od kamene vune debljine 20 cm, zid oznake [ZNV.1]  - tip 1</t>
  </si>
  <si>
    <t>ETICS fasada s toplinskom izolacijom od kamene vune debljine 16 cm, zid oznake [ZNV.2]  - tip 2</t>
  </si>
  <si>
    <t>ETICS fasada s toplinskom izolacijom od kamene vune debljine 8 cm, strop oznake [K.1e, K2.b, K3.b, K3.c]  - tip 1</t>
  </si>
  <si>
    <t>ETICS fasada s toplinskom izolacijom od kamene vune debljine 5 cm, vijenci i završetci zidova - tip 1</t>
  </si>
  <si>
    <t>ETICS fasada s toplinskom izolacijom od kamene vune debljine 3 cm, vijenci i završetci zidova - tip 1</t>
  </si>
  <si>
    <t>ETICS fasada s toplinskom izolacijom od kamene vune debljine 10 cm, zid oznake [ZNV.3b] - tip 2</t>
  </si>
  <si>
    <t>ETICS fasada s toplinskom izolacijom od XPS debljine 20 cm, zid oznake [ZNV.5a, ZNV.5b, ZNV.6a, ZNV.6b]  - tip 1</t>
  </si>
  <si>
    <t xml:space="preserve">ETICS fasada s toplinskom izolacijom od XPS debljine 16 cm, zid oznake [ZNV.5c, ZNV.5d, ZNV.6c] - tip 2 </t>
  </si>
  <si>
    <t>ETICS fasada s toplinskom izolacijom od kamene vune debljine 8 cm, zid oznake [ZNV.3a]  - tip 1</t>
  </si>
  <si>
    <t>ETICS fasada s toplinskom izolacijom od kamene vune debljine 8 cm, zid oznake [ZNV.3b]  - tip 2</t>
  </si>
  <si>
    <t>ETICS fasada s toplinskom izolacijom od XPS debljine 5 cm, završetci zidova - tip 1</t>
  </si>
  <si>
    <t>ETICS fasada s toplinskom izolacijom od XPS debljine 8 cm, zid oznake [ZNV.6a, ZNV.6b, ZNV.6c]  - tip 1</t>
  </si>
  <si>
    <t xml:space="preserve">ETICS fasada s toplinskom izolacijom od XPS debljine 8 cm, zid oznake [ZNV.6a, ZNV.6b, ZNV.6c] - tip 2 </t>
  </si>
  <si>
    <t xml:space="preserve">izrada završnog sloja silikonske žbuke, obloga od cementnih ploča, podgled krova oznake [K.1e]  - tip 1
</t>
  </si>
  <si>
    <t xml:space="preserve">izrada završnog sloja silikonske žbuke, zidna obloga od cementnih ploča, visina sokla cca. 30 cm - tip 2
</t>
  </si>
  <si>
    <t xml:space="preserve">izrada završnog sloja silikonske žbuke na žbukanom podnožju, visina sokla cca. 30 cm, žbukani zid oznake [ZNV.7a, ZNV.7b]  - tip 2
</t>
  </si>
  <si>
    <t xml:space="preserve">Boja RAL 7030 ili jednakovrijedna boja________________________.
Prije konačnog odabira izvođač je dužan dostaviti uzorak projektirane boje i obrade.
</t>
  </si>
  <si>
    <t xml:space="preserve">Boja vratnog krila i dovratnika RAL 9002 ili jednakovrijedna boja________________________.
Prije konačnog odabira izvođač je dužan dostaviti uzorak projektirane boje i obrade.
</t>
  </si>
  <si>
    <t xml:space="preserve">Boja stijena RAL 9002 ili jednakovrijedna boja________________________.
Prije konačnog odabira izvođač je dužan dostaviti uzorak projektirane boje i obrade.
</t>
  </si>
  <si>
    <t>Izvođač je dužan izraditi detaljnu projektnu dokumentaciju za sve prozore na temelju mjera uzetih na licu mjesta, izraditi uzorke karakterističnih detalja, te uzorke profila i okova dati projektantu na uvid i sve izvesti nakon pismenog odobrenja projektanta.</t>
  </si>
  <si>
    <t xml:space="preserve">Ljetna zaštita od sunca (uključeno u stavku): 
- unutarnje električno podizne rolo tende od impregniranog platna na vodilicama i kutijom za rolo  (sastavni dio i obračunato u stavci koja ima rolo), redukcija zračenja g=0,25, boja i tekstura prema  odabiru projektanta.
Boja rolo platna i vodilica RAL 9002 ili jednakovrijedna boja________________________.
</t>
  </si>
  <si>
    <t>Ljetna zaštita od sunca (uključeno u stavku) sjenilom za zatamnjenje i vanjskim refleksnim staklom. 
Sjenilo omogućuje zatamnjenje prostora. Tkanina je s unutarnje strane obložena slojem aluminija koji poboljšava toplinsku izolaciju prozora zimi i time smanjuje gubitak topline.
Sjenilom se upravlja daljinski, a napajanje je solarno ili električno. Boja sjenila i vodilica sjenila u boji prozorskog okvira.</t>
  </si>
  <si>
    <t xml:space="preserve">Boja profila RAL 9002 ili jednakovrijedna boja________________________.
Prije konačnog odabira izvođač je dužan dostaviti uzorak projektirane boje i obrade kao i uzorak profila.
</t>
  </si>
  <si>
    <t xml:space="preserve">Boja profila RAL 9002 ili jednakovrijedna boja________________________.
Mreža ispune je u prirodnoj boji nehrđajučeg čelika.
Prije konačnog odabira izvođač je dužan dostaviti uzorak projektirane boje i obrade kao i uzorak profila.
</t>
  </si>
  <si>
    <t xml:space="preserve">Boja profila stupova i panela RAL 7016 ili jednakovrijedna boja________________________.
Prije konačnog odabira izvođač je dužan dostaviti uzorak projektirane boje i obrade kao i uzorak profila.
</t>
  </si>
  <si>
    <t xml:space="preserve">Boja profila i ispune RAL 7016 ili jednakovrijedna boja________________________.
Boja okova i kvaka metalik srebrna mat.
Prije konačnog odabira izvođač je dužan dostaviti uzorak projektirane boje i obrade kao i uzorak profila i okova.
</t>
  </si>
  <si>
    <t xml:space="preserve">Boja profila  RAL 9002 ili jednakovrijedna boja________________________.
Prije konačnog odabira izvođač je dužan dostaviti uzorak projektirane boje i obrade.
</t>
  </si>
  <si>
    <r>
      <rPr>
        <b/>
        <sz val="10"/>
        <color indexed="8"/>
        <rFont val="Calibri"/>
        <family val="2"/>
      </rPr>
      <t>Dobava i ugradnja razne nespecificirane crne bravarije, raznih sidra i estalih elemenata koji se pojave u tijeku građenja.</t>
    </r>
    <r>
      <rPr>
        <sz val="10"/>
        <color indexed="8"/>
        <rFont val="Calibri"/>
        <family val="2"/>
        <charset val="238"/>
      </rPr>
      <t xml:space="preserve"> U cijeni je sve kompletno: izrada, antikorozivna zaštita, vruće cinčanje, plastifikacija, ličenje i ugradnja. Boje po izboru projektanta.
Obračun po kg prema stvarnoj količini.
</t>
    </r>
  </si>
  <si>
    <t xml:space="preserve">Boja RAL 9002 ili jednakovrijedna boja________________________.
Prije konačnog odabira izvođač je dužan dostaviti uzorak projektirane boje i obrade.
</t>
  </si>
  <si>
    <t>- veličine: 40x40 cm i 10x10 cm ±0,6 %</t>
  </si>
  <si>
    <t>Boja i tekstura prema odabiru projektanta.
Boja tamnosiva, crna ili tamnosmeđa. Prije konačnog odabira izvođač je dužan dostaviti uzorak projektirane boje i obrade.</t>
  </si>
  <si>
    <t xml:space="preserve">Boja u boji zida RAL 9002 ili jednakovrijedna boja________________________.
Prije konačnog odabira izvođač je dužan dostaviti uzorak projektirane boje i obrade.
</t>
  </si>
  <si>
    <t xml:space="preserve">Uključiti olovnu nit na dnu šava. U cijenu uračunat sav potreban materijal i rad.  
Obračun po m1. Dodatak za nabor je obračunat u količini.
</t>
  </si>
  <si>
    <t xml:space="preserve">Boja i način šivanja prema odabiru projektanta. 
Boja RAL 9002 ili jednakovrijedna boja________________________.
Prije konačnog odabira izvođač je dužan dostaviti uzorak projektirane boje.
</t>
  </si>
  <si>
    <r>
      <rPr>
        <b/>
        <sz val="10"/>
        <color indexed="8"/>
        <rFont val="Calibri"/>
        <family val="2"/>
      </rPr>
      <t xml:space="preserve">Dobava, izrada i montaža aluminijske vodilice za  zavjese. </t>
    </r>
    <r>
      <rPr>
        <sz val="10"/>
        <color indexed="8"/>
        <rFont val="Calibri"/>
        <family val="2"/>
        <charset val="238"/>
      </rPr>
      <t xml:space="preserve">Vodilica je dovoljne nosivosti za akustičnu zavjesu (za nosivosti zavjesa do 3kg/m2). U boji po izboru projektanta. 
Boja RAL 9002 ili jednakovrijedna boja________________________, mat obrade.
Prije konačnog odabira izvođač je dužan dostaviti uzorak projektirane boje i obrade.
U cijenu uračunat sav potreban materijal i rad. Obračun po m1. 
</t>
    </r>
  </si>
  <si>
    <t>Boja (ton) prema odabiru Projektanta. Koristit će se do 5 različitih boja vrlo zasićenog pigmenta. U svemu se pridržavati uputa proizvođača.</t>
  </si>
  <si>
    <t>Izrada i dobava unutarnje sigurnosne signalistike - planova evakuacije u svim prostorima. Sve prema razrađenom rješenju iz stavke B.12.20.</t>
  </si>
  <si>
    <r>
      <rPr>
        <b/>
        <sz val="10"/>
        <rFont val="Calibri"/>
        <family val="2"/>
      </rPr>
      <t>Dobava, izrada i ugradnja ljestvi za pristup  krovu</t>
    </r>
    <r>
      <rPr>
        <sz val="10"/>
        <rFont val="Calibri"/>
        <family val="2"/>
        <charset val="238"/>
      </rPr>
      <t xml:space="preserve">, širine 60 cm i ukupne visine cca. 470 cm.
</t>
    </r>
  </si>
  <si>
    <t xml:space="preserve">Dobava i ugradnja aluminjske linijske ventilacijske rešetke s fiksnim lamelama pd 0°. Rešetka u kompletu s leptirastom zaklopkom za regulaciju protoka zraka.  Rešetka je izrađena od vučenih aluminijskih profila, koji su eloksirani E6-C-0. Leptirasta zaklopka izrađena pod pocinčanog čeličnog lima. Rešetka plastificirana u RAL boji prema odluci glavnog projektanta. 
Boja rešetke RAL 9002 ili jednakovrijedna boja________________________.
Dimenzija širina x visina:
</t>
  </si>
  <si>
    <t xml:space="preserve">Boja pločica i fugi iz stavke B.9.2.a) i B.9.2.b) 
RAL 6021 ili jednakovrijedna boja________________________.
Boja pločica i fugi iz stavke B.9.2.c) 
RAL 9002 ili jednakovrijedna boja________________________.
Prije konačnog odabira izvođač je dužan dostaviti uzorak projektirane boje i obrade.
</t>
  </si>
  <si>
    <t xml:space="preserve">Boja pločica i fugi iz stavke B.9.1.a) 
RAL 6021 ili jednakovrijedna boja________________________.
Boja pločica i fugi iz stavke  B.9.1.b) i B.9.1.c) 
RAL 9002 ili jednakovrijedna boja________________________.
Prije konačnog odabira izvođač je dužan dostaviti uzorak projektirane boje i obrade.
</t>
  </si>
  <si>
    <t xml:space="preserve">Boja stijena  stavke B.4.3.a), B.4.3.b), B.4.3.c), B.4.3.e) RAL 9002 ili jednakovrijedna boja________________________.
Prije konačnog odabira izvođač je dužan dostaviti uzorak projektirane boje i obrade.
</t>
  </si>
  <si>
    <t xml:space="preserve">Boja stijena stavke B.4.3.d) RAL 6021 ili jednakovrijedna boja________________________.
Prije konačnog odabira izvođač je dužan dostaviti uzorak projektirane boje i obrade.
</t>
  </si>
  <si>
    <t xml:space="preserve">U cijenu uključiti sav potreban rad i materijal.
Obračun po m2.
</t>
  </si>
  <si>
    <t xml:space="preserve">Izvodi se prema uputama isporučitelja tehnologije, a sastoji se od dobave i ugradnje sustava. Kod izvođenja radova u svemu se pridržavati uputa iz tehničkih listova proizvođača.
Stavka uključuje dobavu i izradu svih slojeva, predradnje, sve prema uputama proizvođača. Sve radove izvoditi prema uputama proizvođača Završna boja površine i boja linija prema izboru projektanta. </t>
  </si>
  <si>
    <t xml:space="preserve">skriveni grijani sandučasti pravokutnog žlijeb na kosim krovovima. Žlijeb je širine 100 mm i dubine 180-310 mm, sa zadnjom stranicom višom.  </t>
  </si>
  <si>
    <t>Asfalt iz stavke A.9.2.b)  je u crvenoj boji. 
Izvesti završni sloj asfalta u crvenoj boji dodatkom zelenog pigmenta pomiješanog sa klasičnim crnim bitumenom ili u kombinaciji poroznog asfalta PA 11 ispunjenog cementnim gelom u boji.
Odabir crvene boje po izboru projektanta. Prije konačnog odabira izvođač je dužan dostaviti uzorak projektirane boje i obrade.</t>
  </si>
  <si>
    <t>- Bočnih nosivih stupova - dovratnika na razmaku cca. 190 cm koji su izvedeni od čeličnih šavnih kvadratnih cijevi 50x50x4 mm, visina stupa min 150 cm, s privarenom pokrovnom pločicom 50x50 mm, d=4 mm na vrhu. Stup se u temelj sidri preko sidrene ploče 100x100 mm, d=15 mm i 4 vijka M10 koji se sidre u armiranobetonsku podnu ploču.</t>
  </si>
  <si>
    <t>jednokrilna vrata za pješake ukupne širine š=120 cm, visine h=170 cm, L=1</t>
  </si>
  <si>
    <t>- Bočnih nosivih stupova - dovratnika na razmaku cca. 110 cm koji su izvedeni od čeličnih šavnih kvadratnih cijevi 50x50x4 mm, visina stupa 170 cm (150 cm visina okolne panelne ograde  + 20 cm - visina ogradnog zidića), s privarenom pokrovnom pločicom 50x50 mm, d=4 mm na vrhu. Stup se u temelj sidri preko sidrene ploče 100x100 mm, d=15 mm i 4 vijka M10 koji se sidre u armiranobetonski temelj.</t>
  </si>
  <si>
    <t xml:space="preserve">- Konstrukcija od bočnih nosivih stupova - dovratnika na razmaku cca. 580 cm koji su izvedeni od čeličnih šavnih kvadratnih cijevi 100x100x4 mm, visina stupa 170 cm  (150 cm visina okolne panelne ograde  + 20 cm - visina ogradnog zidića), s privarenom pokrovnom pločicom 100x100 mm, d=4 mm na vrhu. Stup se u temelj sidri preko sidrene ploče 180x180 mm, d=15 mm i 4 vijka M10 koji se sidre u armiranobetonski temelj. Stupovi pridržavaju vratno krilo.
</t>
  </si>
  <si>
    <t>dvokrilna vrata za vozila ukupne širine š=600 cm, visine h=170 cm, L=2</t>
  </si>
  <si>
    <t>nosivi stupovi (H profili), visine 150 cm, s kompletnim priborom</t>
  </si>
  <si>
    <t xml:space="preserve">- Postavljanje aluminijskog okapno-razdjelnog profila jednake širine kao debljina ploče od kamene vune u zoni promjene debljine fasade (kontakt različite završne obrade fasade) uz adekvatno brtvljenje. Pričvršćivanje izvesti nehrđajućim vijcima na razmaku svakih 40 do 60 cm. </t>
  </si>
  <si>
    <t xml:space="preserve">- Nanijeti predpremaz otporan na alkalije koji poboljšava prionjivost novih slojeva. 
Postavljenje ploča kamene vune s nanošenjem polimerno-cementnog ljepila u debljini do 5 mm trakasto po rubovima i točkasto po sredini ploča (min 40% ravnomjerna pokrivenost ploče). Ploče se 3 dana nakon lijepljenja dodatno mehanički pričvršćuju  metalnim pričvrsnicama  (6-8 kom/m2) prema W shemi (tip H1 eco ili sl.).
</t>
  </si>
  <si>
    <t xml:space="preserve">- Preko postavljenih ploča se nanosi sloj temeljne žbuke (tip 1 - polimerno-cementna žbuka, tip 2 - bezcementna žbuka) debljine minimalno 5,00 mm u koji se utiskuje certificirana dvostruka staklena mrežica (140-160 g/m2), alkalno otporna,  veličine otvora 4x4 mm s preklopom od minimalno 10 cm. Alternativa: „pancir“ mrežica. U tom slučaju nema potrebe za izvođenjem dodatne staklene mrežice.
</t>
  </si>
  <si>
    <t xml:space="preserve">- Nanosi se izravnavajući sloj temeljne žbuke (tip 1 - polimerno-cementna žbuka, tip 2 - bezcementna žbuka) debljine 3 mm, dodatno ojačanog slojem staklene mrežice. 
</t>
  </si>
  <si>
    <t xml:space="preserve">- Nakon sušenja od 10 – 14 dana, a prije izvođenja završnog sloja potrebno je nanijeti impregnirajući pretpremaz.  Koristiti međupremaz na bazi disperzije s punilom i pigmentom u tonu završnog sloja.
</t>
  </si>
  <si>
    <t>- Na tako pripremljenu podlogu nanijeti završni sloj gotove  žbuke  u obradi, tonu i nijansi prema odabiru projektanta. 
Strukture zrna 1,5 do 4,0 mm. 
Izvodi se u 2 različita tipa, tona i strukture obrade:</t>
  </si>
  <si>
    <t xml:space="preserve">Tip 1
- završna žbuka grebane strukture na bazi silikonske  smole, granulacije 1,5 mm
 - boja RAL 7030 ili jednakovrijedna boja ____________________.
Prije konačnog odabira izvođač je dužan dostaviti uzorak projektirane boje i obrade.
</t>
  </si>
  <si>
    <t xml:space="preserve">Tip 2
- završna organska žbuka linearno grebane strukture, različite granulacije (od 1,5-3 mm)
- vlažna žbuka se strukturira specijalnom četkom u željenom smjeru (vertikalno). Širina trake 60 - 80 cm
- na završnu žbuku se nanosi zaštitna organska vodootporna završna boja za tamne fasade u 2 sloja 
- sve u boji RAL 8012 ili jednakovrijedna boja ____________________.
Prije konačnog odabira izvođač je dužan dostaviti uzorak projektirane boje i obrade.
</t>
  </si>
  <si>
    <r>
      <rPr>
        <b/>
        <sz val="10"/>
        <color indexed="8"/>
        <rFont val="Calibri"/>
        <family val="2"/>
      </rPr>
      <t>Dobava materijala i izrada tankoslojnog sustava fasade (ETICS) na podnožju vanjskog pročelja i uz krov</t>
    </r>
    <r>
      <rPr>
        <sz val="10"/>
        <color indexed="8"/>
        <rFont val="Calibri"/>
        <family val="2"/>
      </rPr>
      <t xml:space="preserve"> do visine 30 cm, s pločama XPS debljine 20 cm, 16 cm, 8 cm, 5 cm.
Završni sloj  je u 2 tipa:
- tip 1 - završni sloj od silikonske žbuke
- tip 2 - završni sloj od organske žbuke sa zaštitnim slojem
</t>
    </r>
  </si>
  <si>
    <r>
      <rPr>
        <b/>
        <sz val="10"/>
        <color indexed="8"/>
        <rFont val="Calibri"/>
        <family val="2"/>
      </rPr>
      <t>Dobava materijala i izrada tankoslojnog sustava fasade (ETICS)</t>
    </r>
    <r>
      <rPr>
        <sz val="10"/>
        <color indexed="8"/>
        <rFont val="Calibri"/>
        <family val="2"/>
      </rPr>
      <t xml:space="preserve">, s pločama kamene vune debljine 20 cm, 16 cm, 8 cm, 5 cm, 3 cm. 
Završni sloj  je u 2 tipa:
- tip 1 - završni sloj od silikonske žbuke
- tip 2 - završni sloj od organske žbuke sa zaštitnim slojem
</t>
    </r>
  </si>
  <si>
    <r>
      <rPr>
        <b/>
        <sz val="10"/>
        <color indexed="8"/>
        <rFont val="Calibri"/>
        <family val="2"/>
        <charset val="238"/>
        <scheme val="minor"/>
      </rPr>
      <t>Dobava materijala te izrada završnog sloja žbuke</t>
    </r>
    <r>
      <rPr>
        <sz val="10"/>
        <color indexed="8"/>
        <rFont val="Calibri"/>
        <family val="2"/>
        <charset val="238"/>
        <scheme val="minor"/>
      </rPr>
      <t xml:space="preserve"> na ožbukano pročelje odnosno na oblogu od cementnih ploča.  Završna žbuka sastoji se od temeljnog armiranog sloja (armiranog certificiranom mrežicom od staklenih vlakana) i završnog sloja.
Završni sloj  je u 2 tipa:
- tip 1 - završni sloj od silikonske žbuke
- tip 2 - završni sloj od organske žbuke sa zaštitnim slojem
</t>
    </r>
  </si>
  <si>
    <t xml:space="preserve">- Nanijeti predpremaz otporan na alkalije koji poboljšava prionjivost novih slojeva. 
</t>
  </si>
  <si>
    <t xml:space="preserve">- Preko predpremaza se nanosi sloj temeljne žbuke (tip 1 - polimerno-cementna žbuka, tip 2 - bezcementna žbuka) debljine minimalno 5,00 mm u koji se utiskuje certificirana dvostruka staklena mrežica (140-160 g/m2), alkalno otporna,  veličine otvora 4x4 mm s preklopom od minimalno 10 cm. 
</t>
  </si>
  <si>
    <t xml:space="preserve">izrada završnog sloja organske žbuke, žbukani zid oznake [ZNV.4]  - tip 2
</t>
  </si>
  <si>
    <t xml:space="preserve">izrada završnog sloja organske žbuke, zidna obloga od cementnih ploča - tip 2
</t>
  </si>
  <si>
    <t xml:space="preserve">izrada završnog sloja organske žbuke,  žbukani podgled stubišta oznake [S.3]  - tip 2
</t>
  </si>
  <si>
    <r>
      <rPr>
        <b/>
        <sz val="10"/>
        <color indexed="8"/>
        <rFont val="Calibri"/>
        <family val="2"/>
        <charset val="238"/>
        <scheme val="minor"/>
      </rPr>
      <t>Dobava materijala te izrada završnog sloja  žbuke</t>
    </r>
    <r>
      <rPr>
        <sz val="10"/>
        <color indexed="8"/>
        <rFont val="Calibri"/>
        <family val="2"/>
        <charset val="238"/>
        <scheme val="minor"/>
      </rPr>
      <t xml:space="preserve"> </t>
    </r>
    <r>
      <rPr>
        <b/>
        <sz val="10"/>
        <color indexed="8"/>
        <rFont val="Calibri"/>
        <family val="2"/>
        <charset val="238"/>
        <scheme val="minor"/>
      </rPr>
      <t>na podnožje</t>
    </r>
    <r>
      <rPr>
        <sz val="10"/>
        <color indexed="8"/>
        <rFont val="Calibri"/>
        <family val="2"/>
        <charset val="238"/>
        <scheme val="minor"/>
      </rPr>
      <t xml:space="preserve"> ožbukanog pročelja odnosno na oblogu od cementnih ploča (sokl). Žbuka sastoji se od temeljnog armiranog sloja (armiranog certificiranom mrežicom od staklenih vlakana) i završnog sloja.
Završni sloj  je u 2 tipa:
- tip 1 - završni sloj od silikonske žbuke
- tip 2 - završni sloj od organske žbuke sa zaštitnim slojem
</t>
    </r>
  </si>
  <si>
    <r>
      <rPr>
        <b/>
        <sz val="10"/>
        <rFont val="Calibri"/>
        <family val="2"/>
      </rPr>
      <t>Dobava i ugradnja perforiranog  lima za ventilaciju</t>
    </r>
    <r>
      <rPr>
        <sz val="10"/>
        <rFont val="Calibri"/>
        <family val="2"/>
        <charset val="238"/>
      </rPr>
      <t xml:space="preserve"> u donjem i gornjem dijelu krovišta za ventiliranje i za spriječavanje ulaska ptica i insekata. Primjenjuje se tipski element za odabrani pokrov. Obračun po m1. 
</t>
    </r>
  </si>
  <si>
    <t>limeni opšav sljemena s ventilacijskim elementima, ukupne r.š. do 75 cm.</t>
  </si>
  <si>
    <t>limeni opšav donjeg ruba kose plohe - okapnog lima koji se postavlja preko vanjskog ruba žlijeba i preko ruba vertikalne krovne plohe krova,  r.š. do 30 cm.</t>
  </si>
  <si>
    <t>opšav krovnog vijenca (nadozida, vanjski dio), r.š. 40 cm</t>
  </si>
  <si>
    <t>opšav krovnog vijenca (nadozida, unutarnji dio), r.š. 50 cm</t>
  </si>
  <si>
    <t>opšav ruba terase, r.š. do 50 cm</t>
  </si>
  <si>
    <t xml:space="preserve">Vjetrobran
- čeličnih nosivih profila - stupova, pravokutni profili (HOP 100x100x5)
- čvornih limova i spojnih sredstava
- boja RAL 7030 ili jednakovrijedna boja________________________.
Prije konačnog odabira izvođač je dužan dostaviti uzorak projektirane boje i obrade.
</t>
  </si>
  <si>
    <t xml:space="preserve">Terasa iznad ulaza
- čeličnih nosivih profila - stupova, pravokutni profili (HOP 100x50x4)
- čvornih limova i spojnih sredstava
- boja RAL 6030 ili jednakovrijedna boja________________________.
Prije konačnog odabira izvođač je dužan dostaviti uzorak projektirane boje i obrade.
</t>
  </si>
  <si>
    <t xml:space="preserve">Boja profila RAL 8017 ili jednakovrijedna boja________________________.
Boja okova i kvaka metalik srebrna mat.
Prije konačnog odabira izvođač je dužan dostaviti uzorak projektirane boje i obrade kao i uzorak profila i okova.
</t>
  </si>
  <si>
    <t xml:space="preserve">Boja profila i vratnih krila vanjskih stavki RAL 8017 ili jednakovrijedna boja________________________.
Boja profila i vratnih krila unutarnjih stavki RAL 9002 ili jednakovrijedna boja________________________.
Boja okova i kvaka metalik srebrna mat.
Prije konačnog odabira izvođač je dužan dostaviti uzorak projektirane boje i obrade kao i uzorak profila i okova.
</t>
  </si>
  <si>
    <t xml:space="preserve">Boja profila i ispune RAL 8017 ili jednakovrijedna boja________________________.
Boja okova i kvaka metalik srebrna mat.
Prije konačnog odabira izvođač je dužan dostaviti uzorak projektirane boje i obrade kao i uzorak profila i okova.
</t>
  </si>
  <si>
    <t xml:space="preserve">Boja profila RAL 7030 ili jednakovrijedna boja________________________.
Prije konačnog odabira izvođač je dužan dostaviti uzorak projektirane boje i obrade kao i uzorak profila.
</t>
  </si>
  <si>
    <t xml:space="preserve">Boja profila RAL 8017 ili jednakovrijedna boja________________________.
Mreža ispune je u prirodnoj boji nehrđajučeg čelika.
Prije konačnog odabira izvođač je dužan dostaviti uzorak projektirane boje i obrade kao i uzorak profila.
</t>
  </si>
  <si>
    <t xml:space="preserve">Boja profila RAL 8017 ili jednakovrijedna boja________________________.
Prije konačnog odabira izvođač je dužan dostaviti uzorak projektirane boje i obrade kao i uzorak profila.
</t>
  </si>
  <si>
    <t xml:space="preserve">Boja  RAL 9002 ili jednakovrijedna boja________________________.
Prije konačnog odabira izvođač je dužan dostaviti uzorak projektirane boje i obrade.
</t>
  </si>
  <si>
    <t xml:space="preserve">Boja unutarnji prostori RAL 9002 ili jednakovrijedna boja________________________.
Boja vanjski prostori RAL 7030 ili jednakovrijedna boja________________________.
Prije konačnog odabira izvođač je dužan dostaviti uzorak projektirane boje i obrade.
</t>
  </si>
  <si>
    <t xml:space="preserve">Osnovna konstrukcija izvedena od nosača od vruće cinčanih metalnih savijenih čeličnih ploča, završno elektrostatski plastificiranih u mat boju.
Nosači na međurazmaku od 180 cm.
</t>
  </si>
  <si>
    <t xml:space="preserve">Osnovna konstrukcija izvedena od nosača od vruće cinčanih metalnih savijenih čeličnih ploča i profila, završno elektrostatski plastificiranih u mat boju.
Dio oplošja je obložen drvenom oblogom.
</t>
  </si>
  <si>
    <t xml:space="preserve">Drvo je od tvrdog postojanog drveta drveta, sa zaobljenim rubovima. Drvo tretira u 3 sloja lazurom u tonu.
Lazura za bojanje  sadrži 6-struku zaštitu za drvo na otvorenom (vlaga, plavilo, truljenje, plijesni i alge, UV-zračenje, zaštita od osa). 
</t>
  </si>
  <si>
    <t>Temelji se ankerima u betonske temelje (temelji  30/30/40 cm - obračunati u armiranobetonskim radovima).</t>
  </si>
  <si>
    <t xml:space="preserve">Boja metala  RAL 8017 ili jednakovrijedna boja________________________.
Boja drvene obloge natur boja drveta.
Prije konačnog odabira izvođač je dužan dostaviti uzorak projektirane boje i obrade.
</t>
  </si>
  <si>
    <r>
      <rPr>
        <b/>
        <sz val="10"/>
        <color indexed="8"/>
        <rFont val="Calibri"/>
        <family val="2"/>
      </rPr>
      <t>Dobava, izrada i postava vanjskog koša za smeće</t>
    </r>
    <r>
      <rPr>
        <sz val="10"/>
        <rFont val="Calibri"/>
        <family val="2"/>
        <charset val="238"/>
      </rPr>
      <t xml:space="preserve">. </t>
    </r>
    <r>
      <rPr>
        <sz val="10"/>
        <color indexed="8"/>
        <rFont val="Calibri"/>
        <family val="2"/>
        <charset val="238"/>
      </rPr>
      <t xml:space="preserve">
</t>
    </r>
  </si>
  <si>
    <t>koš za smeće</t>
  </si>
  <si>
    <t xml:space="preserve">Boja profila  RAL 8017 ili jednakovrijedna boja________________________.
Boja daski  natur boja drveta.
Prije konačnog odabira izvođač je dužan dostaviti uzorak projektirane boje i obrade.
</t>
  </si>
  <si>
    <t xml:space="preserve">Boja profila  RAL 8017 ili jednakovrijedna boja________________________.
Boja daski natur boja drveta.
Prije konačnog odabira izvođač je dužan dostaviti uzorak projektirane boje i obrade.
</t>
  </si>
  <si>
    <t xml:space="preserve">Boja rešetka 3.9.a) RAL 8017 ili jednakovrijedna boja________________________.
Boja rešetka 3.9.a), 3.9.b), 3.9.c), 3.9.d), 3.9.e), 3.9.f) RAL 7030 ili jednakovrijedna boja________________________.
Prije konačnog odabira izvođač je dužan dostaviti uzorak projektirane boje i obrade.
</t>
  </si>
  <si>
    <t xml:space="preserve">Boja rešetke RAL 8017 ili jednakovrijedna boja________________________.
Prije konačnog odabira izvođač je dužan dostaviti uzorak projektirane boje i obrade.
</t>
  </si>
  <si>
    <t xml:space="preserve">Boja rešetka 4.11.b) RAL 7030 ili jednakovrijedna boja________________________.
Boja rešetka 4.11.a), 4.11.c) RAL 8017 ili jednakovrijedna boja________________________.
Prije konačnog odabira izvođač je dužan dostaviti uzorak projektirane boje i obrade.
</t>
  </si>
  <si>
    <t>dobava zidnih keramičkih pločica za sanitarije u vrtićkim i jasličkim jedinicama  (neto količina) - 10 x 10 x 1 cm, visina opločenja 120 cm</t>
  </si>
  <si>
    <t>dobava podnih keramičkih pločica za sanitarije u vrtićkim i jasličkim jedinicama  te u wc-ima (prostorije F.3, F.9.1., F.9.2.)  (neto količina), R10 - 10 x 10 x 1 cm</t>
  </si>
  <si>
    <t xml:space="preserve">Podžbukni ormarić TYP 900
Boja vidljivog dijela ormarića u dječjim sanitarijama te u wc-ima (prostorije F.3, F.9.1., F.9.2.) RAL 6021 ili jednakovrijedna boja________________________.
Boja vidljivog dijela ormarića u ostalim prostorijama RAL 9002 ili jednakovrijedna boja________________________.
</t>
  </si>
  <si>
    <t xml:space="preserve">Podžbukni ormarić TYP 1200
Boja vidljivog dijela ormarića u dječjim sanitarijama te u wc-ima (prostorije F.3, F.9.1., F.9.2.) RAL 6021 ili jednakovrijedna boja________________________.
Boja vidljivog dijela ormarića u ostalim prostorijama RAL 9002 ili jednakovrijedna boja________________________.
</t>
  </si>
  <si>
    <t xml:space="preserve">Dobava i ugradnja aluminjske linijske ventilacijske rešetke s fiksnim lamelama pd 0°. Rešetka u kompletu s leptirastom zaklopkom za regulaciju protoka zraka.  Rešetka je izrađena od vučenih aluminijskih profila, koji su eloksirani E6-C-0. Leptirasta zaklopka izrađena pod pocinčanog čeličnog lima. Rešetka plastificirana u RAL boji prema odluci glavnog projektanta. 
Boja RAL 9002 ili jednakovrijedna boja________________________.
Dimenzija širina x visina:
</t>
  </si>
  <si>
    <t xml:space="preserve">Odsisni zračni ventil izrađen od čeličnog lima i plastificiran u boji debljine 60 μm. Sastoji se od vanjskog prstena s brtvom, središnjeg diska s navojnom šipkom i ugradbenog okvira. Regulacija protoka zraka vrši se zakretanjem središnjeg diska.
Boja RAL 9002 ili jednakovrijedna boja________________________.
</t>
  </si>
  <si>
    <t>Stropni vrtložni distributer zraka sa podešavajućim lamelama za ubacivanje zraka. Podešavanje smjera i kuta ubacivanja zraka se izvodi promjenom položaja lamela, a sve prema tehničkim uputama proizvođača. Distributer zraka se sastoji od priključne kutije sa ručnim regulatorom količine zraka smještenim horizontalno, pločom za raspršivanje i umirenje struje zraka, traverzom za pričvršćenje istrujne ploče i kvadratnom istrujnom pločom s podešavajućim lamelama. Materijal izrade priključne kutije je čelični pocinčani lim, a istrujna ploča je izrađena iz čeličnog pocinčanog lima, elektrostatski bojena prema RAL. 
Boja RAL 9002 ili jednakovrijedna boja________________________.
Istrujne lamele su izrađene iz PS u crnoj boji.</t>
  </si>
  <si>
    <t xml:space="preserve">Ventilacijska rešetka sa jednim redom lamela i regulatorom količine. Regulator količine je sa protuhodnim leptirastim elementima, sa mogučnošću podešavanja sa vanjske strane. Rešetka je izrađena iz vučenih aluminijskih profila, prethodno elektro polirano i eloksirano. Regulator je izrađen iz čeličnog pocinčanog lima, elektrostatski lakirano prema RAL.
Boja RAL 9002 ili jednakovrijedna boja________________________.
</t>
  </si>
  <si>
    <t>Dobava, ugradnja i spajanje kućnog priključno mjernog ormara SPMO opremljen s osigurač-rastavnom sklopkom NH (NV)2C 250A, poveznicom i mogućnost priključka Al/Cu s dva kabela 4x50-150mm2 u dolazu i dva kabela do 4x150mm2 u odlazu, za nazivni napon 3x230v/400V, 400A. Klasa zaštite II, mehanička zaštite IP54, za ugradnju ili montažu na fasadu, iz prešanog poliestera boje  RAL 7016 ili jednakovrijedna boja________________________, otporan na UV zrake i gorenje, pripremljen za ugradnju polucilindar bravice i zatvaranje u tri točke. (HEP)</t>
  </si>
  <si>
    <t>a) hidrantski ormarić 500x500x140 mm, izrađen od plastificiranog lima u boji RAL 9002 ili jednakovrijedna boja________________________, sa staklenim vratašcima
- kom 1</t>
  </si>
  <si>
    <t>opšav ruba terase u zoni ČN grede, r.š. do 60 cm</t>
  </si>
  <si>
    <t>opšav krovnog vijenca (nadozida) - dilatacija, r.š. 55 cm</t>
  </si>
  <si>
    <r>
      <rPr>
        <b/>
        <sz val="10"/>
        <color indexed="8"/>
        <rFont val="Calibri"/>
        <family val="2"/>
      </rPr>
      <t xml:space="preserve">Dobava materijala i izrada prozorskih klupčica, od plastificiranog obojenog aluminijskog lima.
</t>
    </r>
    <r>
      <rPr>
        <sz val="10"/>
        <color indexed="8"/>
        <rFont val="Calibri"/>
        <family val="2"/>
        <charset val="238"/>
      </rPr>
      <t xml:space="preserve">Lim debljine 1,0 mm, u boji i površinskoj obradi po izboru projektanta. 
Boja RAL 8017 ili jednakovrijedna boja________________________.
Prije konačnog odabira izvođač je dužan dostaviti uzorak projektirane boje i obrade.
Iz lima r.š. do 50 cm. Klupčica je tlocrtne širine cca. 25 cm. Klupčica s bočnim profilom da se spriječi prodor vode u izolacioni materijal i s okapnicom. Sve bez oštrih rubova. 
Predvidjeti sve pričvrsne materijale uzimajući u obzir da se limena klupčica izvodi na ETICS fasadi te da stoga ima i odgovarajuću mehaničku otpornost.
Lim i metalni pričvrsni materijali moraju biti  odgovarajuće antikorozivno zaštićeni i međusobno kompatibilni
U cijeni su svi detalji i pričvrsni materijal (vijci, prihvatni profili, pločice, brtve, brtvljenje spojeva itd) sve prema uputama proizvođača do pune gotovosti. 
Obračun po m1. 
</t>
    </r>
  </si>
  <si>
    <t xml:space="preserve">vanjski dvodjelni prozor koji se sastoji od dva jednokrilna otklopno-zaokretna ostakljena dijela; veličina zidarskog otvora 350x150 cm, električno podizni unutarnji rolo, srednji doprozornik je u zoni pregradnog zida između dvije prostorije, debljina ugradbenog zida dz=40 cm, (zid od armiranog betona 20 cm), D/L=2, shema vanjske AL bravarije br.: 14
</t>
  </si>
  <si>
    <t xml:space="preserve">vanjski dvodjelni prozor koji se sastoji od dva jednokrilna otklopno-zaokretna ostakljena dijela; veličina zidarskog otvora 260x150 cm, električno podizni unutarnji rolo, debljina ugradbenog zida dz=40 cm, (zid od armiranog betona 20 cm), D/L=7, shema vanjske AL bravarije br.: 15
</t>
  </si>
  <si>
    <t xml:space="preserve">Boja profila shema unutarnje AL bravarije br.: 1 RAL 8017 ili jednakovrijedna boja________________________.
Boja profila ostalih shema unutarnje AL bravarije RAL 9002 ili jednakovrijedna boja________________________.
Boja okova i kvaka metalik srebrna mat.
Prije konačnog odabira izvođač je dužan dostaviti uzorak projektirane boje i obrade kao i uzorak profila i okova.
</t>
  </si>
  <si>
    <t>Pravilnik o zaštiti na radu na privremenim gradilištima (NN 48/18)</t>
  </si>
  <si>
    <t>Zakon o zaštiti na radu (NN 71/14, 118/14, 154/14, 94/18, 96/18)</t>
  </si>
  <si>
    <t>Zakon o gospodarenju otpadom (NN 84/21, 142/23)</t>
  </si>
  <si>
    <t>Pravilnik o gospodarenju posebnim kategorijama otpada u sustavu Fonda (NN 124/23)</t>
  </si>
  <si>
    <t>Tehnički propis za građevinske konstrukcije (NN 17/17, 75/20, 7/22)</t>
  </si>
  <si>
    <t>Tehnički propis o građevnim proizvodima (NN 35/18, 104/19)</t>
  </si>
  <si>
    <r>
      <rPr>
        <b/>
        <sz val="10"/>
        <rFont val="Calibri"/>
        <family val="2"/>
        <charset val="238"/>
      </rPr>
      <t>Dječji stol</t>
    </r>
    <r>
      <rPr>
        <sz val="10"/>
        <rFont val="Calibri"/>
        <family val="2"/>
      </rPr>
      <t xml:space="preserve"> u obliku pravilnog šesterokuta, sa 6 nogu,  promjera 118,5 cm, jedna stranica duljine 60 cm, izrađen od iverice oplemenjene melaminskom folijom debljine 18 mm, otpornom na ogrebotine, obrubljeno gumenom (keder) trakom T-profila, zaobljenih rubova, ojačanje (u skladu sa Zakonom o sigurnosti na radu) je dodatna donja ploča od istog materijala promjera 110,7 cm obrub ABS traka debljine 0,5 mm, metalne noge Ø = 60 mm učvršćene na čeličnoj konstrukciji pričvršćenoj na donju ploču stola s minimalno 5 vijaka, s podesivom - promjenjivom visinom 49-55 cm i protukliznom zaštitom. Uključiti zaštitne elemente na nogama protiv grebanja poda. Sve u mat boji, po izboru projektanta. Boja RAL 1013 ili jednakovrijedna boja________________________. Prije konačnog odabira izvođač je dužan dostaviti uzorak projektirane boje i obrade.
</t>
    </r>
  </si>
  <si>
    <r>
      <rPr>
        <b/>
        <sz val="10"/>
        <rFont val="Calibri"/>
        <family val="2"/>
        <charset val="238"/>
      </rPr>
      <t>Dječji stol</t>
    </r>
    <r>
      <rPr>
        <sz val="10"/>
        <rFont val="Calibri"/>
        <family val="2"/>
      </rPr>
      <t xml:space="preserve"> okrugli sa 4 noge, promjera 90 cm, izrađen od iverice oplemenjene melaminskom folijom debljine 18 mm, otpornom na ogrebotine, obrubljeno gumenom (keder) trakom T-profila, zaobljenih rubova, ojačanje (u skladu sa Zakonom o sigurnosti na radu) je dodatna donja ploča od istog materijala promjera 110,7 cm, obrub ABS traka debljine 0,5 mm, metalne noge Ø = 60 mm učvršćene na čeličnoj konstrukciji pričvršćenoj na donju ploču stola s minimalno 5 vijaka, s podesivom - promjenjivom visinom 49-55 cm i protukliznom zaštitom. Uključiti zaštitne elemente na nogama protiv grebanja poda. Sve u mat boji, po izboru projektanta. Boja RAL 1013 ili jednakovrijedna boja________________________. Prije konačnog odabira izvođač je dužan dostaviti uzorak projektirane boje i obrade.</t>
    </r>
  </si>
  <si>
    <r>
      <t xml:space="preserve">Radni stol za odgajatelja sa 3 ladice </t>
    </r>
    <r>
      <rPr>
        <sz val="10"/>
        <rFont val="Calibri"/>
        <family val="2"/>
        <scheme val="minor"/>
      </rPr>
      <t>(metabox + bravica), dim (ŠDV) 120 x 60 x 75 cm, izrađen od iverice oplemenjene melaminskom folijom debljine 18mm, u boji po izboru projektanta, otpornom na ogrebotine, obrubljeno keder trakom T-profila u boji po izboru projektanta, svi ostali rubovi obrađeni ABS trakom debljine 0.5mm, stražnja strana izrađena od istog materijala radi mogućnosti postavljanja elementa u prostor kao samostojeći, elementi sastavljeni bez vidljivih vijaka. Sve u mat boji, po izboru projektanta. Boja RAL 1013 ili jednakovrijedna boja________________________. Prije konačnog odabira izvođač je dužan dostaviti uzorak projektirane boje i obrade.</t>
    </r>
    <r>
      <rPr>
        <sz val="10"/>
        <rFont val="Calibri"/>
        <family val="2"/>
      </rPr>
      <t xml:space="preserve">
</t>
    </r>
  </si>
  <si>
    <r>
      <rPr>
        <b/>
        <sz val="10"/>
        <rFont val="Calibri"/>
        <family val="2"/>
        <charset val="238"/>
      </rPr>
      <t>Ormar odgajateljski</t>
    </r>
    <r>
      <rPr>
        <sz val="10"/>
        <rFont val="Calibri"/>
        <family val="2"/>
        <charset val="238"/>
      </rPr>
      <t xml:space="preserve"> sa 2 bravice, dim. (ŠDV) 100 x 40 x 86 cm s 2 police izrađen od iverice oplemenjene melaminskom folijom debljine 18 mm, otpornom na ogrebotine, obrubljeno gumenom (keder) trakom T-profila, svi ostali rubovi obrađeni ABS trakom debljine 0,5 mm, stražnja strana izrađena od istog materijala radi mogućnosti postavljanja elementa u prostor kao samostojeći, elementi sastavljeni bez vidljivih vijaka. Sve u mat boji, po izboru projektanta. Boja RAL 1013 ili jednakovrijedna boja________________________. Prije konačnog odabira izvođač je dužan dostaviti uzorak projektirane boje i obrade.
</t>
    </r>
  </si>
  <si>
    <r>
      <rPr>
        <b/>
        <sz val="10"/>
        <rFont val="Calibri"/>
        <family val="2"/>
        <charset val="238"/>
      </rPr>
      <t>Ormarić otvoreni s 1 pregradom i 4 police</t>
    </r>
    <r>
      <rPr>
        <sz val="10"/>
        <rFont val="Calibri"/>
        <family val="2"/>
        <charset val="238"/>
      </rPr>
      <t xml:space="preserve"> (6 pretinaca), dim. (ŠDV) 100x40x86 cm izrađen od iverice oplemenjene melaminskom folijom debljine 18 mm, otpornom na ogrebotine, obrubljeno gumenom (keder) trakom T-profila, svi ostali rubovi obrađeni ABS trakom debljine 0,5 mm, stražnja strana izrađena od istog materijala radi mogućnosti postavljanja elementa u prostor kao samostojeći, elementi sastavljeni bez vidljivih vijaka. Sve u mat boji, po izboru projektanta. Boja RAL 1013 ili jednakovrijedna boja________________________. Prije konačnog odabira izvođač je dužan dostaviti uzorak projektirane boje i obrade.
</t>
    </r>
  </si>
  <si>
    <r>
      <rPr>
        <b/>
        <sz val="10"/>
        <rFont val="Calibri"/>
        <family val="2"/>
        <charset val="238"/>
      </rPr>
      <t>Ormar s 4 police i središnjim dijelom</t>
    </r>
    <r>
      <rPr>
        <sz val="10"/>
        <rFont val="Calibri"/>
        <family val="2"/>
        <charset val="238"/>
      </rPr>
      <t xml:space="preserve"> za plastične kutije, dim. (ŠDV) 100x40x86 cm, opremljen s 8 pari vodilica U profila u središnjem dijelu, a sa svake strane po dvije police, izrađen od iverice oplemenjene melaminskom folijom debljine 18 mm, otpornom na ogrebotine, obrubljeno gumenom (keder) trakom T-profila, svi ostali rubovi obrađeni ABS trakom debljine 0,5 mm, bočne stranice zaobljenih uglova,  stražnja strana izrađena od istog materijala radi mogućnosti postavljanja elementa u prostor kao samostojeći, element sastavljen bez vidljivih vijaka. Sve u mat boji, po izboru projektanta. Boja RAL 1013 ili jednakovrijedna boja________________________. Prije konačnog odabira izvođač je dužan dostaviti uzorak projektirane boje i obrade.</t>
    </r>
  </si>
  <si>
    <r>
      <rPr>
        <b/>
        <sz val="10"/>
        <rFont val="Calibri"/>
        <family val="2"/>
        <charset val="238"/>
      </rPr>
      <t>Ormar s 12 pretinaca</t>
    </r>
    <r>
      <rPr>
        <sz val="10"/>
        <rFont val="Calibri"/>
        <family val="2"/>
        <charset val="238"/>
      </rPr>
      <t xml:space="preserve">, dim. (ŠDV) 100x40x86 cm, sa zrcalom sa stražnje strane. Izrađen od iverice oplemenjene melaminskom folijom debljine 18 mm, otpornom na ogrebotine, obrubljeno gumenom (keder) trakom T-profila, svi ostali rubovi obrađeni ABS trakom debljine 0,5 mm, bočne stranice zaobljenih uglova, stražnja strana izrađena od istog materijala radi mogućnosti postavljanja elementa u prostor kao samostojeći, element sastavljen bez vidljivih vijaka. Sve u mat boji, po izboru projektanta. Boja RAL 1013 ili jednakovrijedna boja________________________. Prije konačnog odabira izvođač je dužan dostaviti uzorak projektirane boje i obrade.
</t>
    </r>
  </si>
  <si>
    <r>
      <rPr>
        <b/>
        <sz val="10"/>
        <rFont val="Calibri"/>
        <family val="2"/>
        <charset val="238"/>
      </rPr>
      <t>Ormar na kotačima s trorednim policama</t>
    </r>
    <r>
      <rPr>
        <sz val="10"/>
        <rFont val="Calibri"/>
        <family val="2"/>
      </rPr>
      <t xml:space="preserve"> za plastične kutije, dim. (ŠDV) 101x45,5x70 cm, opremljen sa 3 x 6 pari vodilica U profila za plastične kutije, izrađen od iverice oplemenjene melaminskom folijom debljine 18 mm, otpornom na ogrebotine, obrubljeno gumenom (keder) trakom T-profila, svi ostali rubovi obrađeni ABS trakom debljine 0,5 mm, bočne stranice zaobljenih uglova, stražnja strana izrađena od istog materijala radi mogućnosti postavljanja elementa u prostor kao samostojeći, element sastavljen bez vidljivih vijaka. Četiri kotačića na uglovima, s mogućnošću kočenja, nosač kotača izrađen od prešanog pocinčanog kromatiziranog čeličnog lima debljine 3 mm, kotač gumirani promjera 50 mm, ukupna visina nosača i kotača 70 mm, opterećenje: minimalno 40 kg po kotaču. Sve u mat boji, po izboru projektanta. Boja RAL 1013 ili jednakovrijedna boja________________________. Prije konačnog odabira izvođač je dužan dostaviti uzorak projektirane boje i obrade.
</t>
    </r>
  </si>
  <si>
    <r>
      <rPr>
        <b/>
        <sz val="10"/>
        <rFont val="Calibri"/>
        <family val="2"/>
        <charset val="238"/>
      </rPr>
      <t>Niska ravna polica na kotačima</t>
    </r>
    <r>
      <rPr>
        <sz val="10"/>
        <rFont val="Calibri"/>
        <family val="2"/>
      </rPr>
      <t xml:space="preserve">, dim. (ŠDV) 100x40x56 cm, izrađena od iverice oplemenjene melaminskom folijom debljine 18 mm, otpornom na ogrebotine, obrubljeno gumenom (keder) trakom T-profila, svi ostali rubovi obrađeni ABS trakom debljine 0,5mm, stranice zaobljenih uglova, element sastavljen bez vidljivih vijaka. Četiri kotačića na uglovima, s mogućnošću kočenja, nosač kotača izrađen od prešanog pocinčanog kromatiziranog čeličnog lima debljine 3 mm, kotač gumirani promjera 50 mm, ukupna visina nosača i kotača 70 mm, opterećenje: minimalno 40 kg po kotaču. Sve u mat boji, po izboru projektanta. Boja RAL 1013 ili jednakovrijedna boja________________________. Prije konačnog odabira izvođač je dužan dostaviti uzorak projektirane boje i obrade.
</t>
    </r>
  </si>
  <si>
    <r>
      <rPr>
        <b/>
        <sz val="10"/>
        <rFont val="Calibri"/>
        <family val="2"/>
        <charset val="238"/>
      </rPr>
      <t>Niska polukružna polica na kotačima</t>
    </r>
    <r>
      <rPr>
        <sz val="10"/>
        <rFont val="Calibri"/>
        <family val="2"/>
      </rPr>
      <t xml:space="preserve">, dim. (ŠDV) 125x125x56 cm, izrađena od iverice oplemenjene melaminskom folijom debljine 18 mm, otpornom na ogrebotine, obrubljeno gumenom (keder) trakom T-profila, svi ostali rubovi obrađeni ABS trakom debljine 0,5mm, stranice zaobljenih uglova, element sastavljen bez vidljivih vijaka. Šest kotačića na uglovima i u sredini, s mogućnošću kočenja, nosač kotača izrađen od prešanog pocinčanog kromatiziranog čeličnog lima debljine 3 mm, kotač gumirani promjera 50 mm, ukupna visina nosača i kotača 70 mm, opterećenje: minimalno 40 kg po kotaču. Sve u mat boji, po izboru projektanta. Boja RAL 1013 ili jednakovrijedna boja________________________. Prije konačnog odabira izvođač je dužan dostaviti uzorak projektirane boje i obrade.
</t>
    </r>
  </si>
  <si>
    <r>
      <rPr>
        <b/>
        <sz val="10"/>
        <rFont val="Calibri"/>
        <family val="2"/>
        <charset val="238"/>
      </rPr>
      <t>Ormar na kotačima s dvorednim policama</t>
    </r>
    <r>
      <rPr>
        <sz val="10"/>
        <rFont val="Calibri"/>
        <family val="2"/>
      </rPr>
      <t xml:space="preserve"> za plastične kutije i središnjim dijelom s dvije police, dim. (ŠDV) 101x45,5x70 cm, opremljen sa 2 x 6 pari vodilica U profila za plastične kutije, izrađen od iverice oplemenjene melaminskom folijom debljine 18 mm, otpornom na ogrebotine, obrubljeno gumenom (keder) trakom T-profila, svi ostali rubovi obrađeni ABS trakom debljine 0,5mm, bočne stranice zaobljenih uglova, stražnja strana izrađena od istog materijala radi mogućnosti postavljanja elementa u prostor kao samostojeći, element sastavljen bez vidljivih vijaka. Četiri kotačića na uglovima, s mogućnošću kočenja, nosač kotača izrađen od prešanog pocinčanog kromatiziranog čeličnog lima debljine 3 mm, kotač gumirani promjera 50 mm, ukupna visina nosača i kotača 70 mm, opterećenje: minimalno 40 kg po kotaču. Sve u mat boji, po izboru projektanta. Boja RAL 1013 ili jednakovrijedna boja________________________. Prije konačnog odabira izvođač je dužan dostaviti uzorak projektirane boje i obrade.
</t>
    </r>
  </si>
  <si>
    <r>
      <rPr>
        <b/>
        <sz val="10"/>
        <rFont val="Calibri"/>
        <family val="2"/>
        <charset val="238"/>
      </rPr>
      <t>Ormar za posteljinu s dvoja vrata i dvije police</t>
    </r>
    <r>
      <rPr>
        <sz val="10"/>
        <rFont val="Calibri"/>
        <family val="2"/>
        <charset val="238"/>
      </rPr>
      <t>, dim. (ŠDV) 100x40x86 cm izrađen od iverice oplemenjene melaminskom folijom debljine 18 mm, otpornom na ogrebotine, obrubljeno gumenom (keder) trakom T-profila, svi ostali rubovi obrađeni ABS trakom debljine 0,5 mm, bočne stranice zaobljenih uglova, u unutrašnjosti 4 police, vrata od istog materijala rubova obrađenih ABS trakom debljine 2 mm, metalne petlje ("clip" sistem sa lijevanom podesivom pločicom), stražnja strana izrađena od istog materijala radi mogućnosti postavljanja elementa u prostor kao samostojeći, element sastavljen bez vidljivih vijaka. Sve u mat boji, po izboru projektanta. Boja RAL 1013 ili jednakovrijedna boja________________________. Prije konačnog odabira izvođač je dužan dostaviti uzorak projektirane boje i obrade.</t>
    </r>
  </si>
  <si>
    <r>
      <rPr>
        <b/>
        <sz val="10"/>
        <rFont val="Calibri"/>
        <family val="2"/>
        <charset val="238"/>
      </rPr>
      <t>Pokretna polica za likovnu radionicu</t>
    </r>
    <r>
      <rPr>
        <sz val="10"/>
        <rFont val="Calibri"/>
        <family val="2"/>
      </rPr>
      <t xml:space="preserve"> dim. (ŠDV) 60x60x60 cm, sa 4 pretinca u gornjem dijelu element, izrađen od iverice oplemenjene melaminskom folijom debljine 18mm, otpornom na ogrebotine, obrubljeno gumenom (keder) trakom T-profila, svi ostali rubovi obrađeni ABS trakom debljine 0,5 mm, elementi sastavljeni bez vidljivih vijaka. Četiri kotačića na uglovima, s mogućnošću kočenja, nosač kotača izrađen od prešanog pocinčanog kromatiziranog čeličnog lima debljine 3 mm, kotač gumirani promjera 50 mm, ukupna visina nosača i kotača 70 mm, opterećenje: minimalno 40 kg po kotaču.  Sve u mat boji, po izboru projektanta. Boja RAL 1013 ili jednakovrijedna boja________________________. Prije konačnog odabira izvođač je dužan dostaviti uzorak projektirane boje i obrade.
</t>
    </r>
  </si>
  <si>
    <r>
      <rPr>
        <b/>
        <sz val="10"/>
        <rFont val="Calibri"/>
        <family val="2"/>
        <charset val="238"/>
      </rPr>
      <t>Blok kuhinjica na kotačima</t>
    </r>
    <r>
      <rPr>
        <sz val="10"/>
        <rFont val="Calibri"/>
        <family val="2"/>
        <charset val="238"/>
      </rPr>
      <t>, dim (ŠDV) 120x46x80 cm, sastoji se od štednjaka, sudopera, kuhinjskog elementa i 2 police sa okretnim vješalicama iznad elemenata.  Izrađena od iverice oplemenjene melaminskom folijom debljine 18mm, otpornom na ogrebotine, obrubljeno gumenom (keder) trakom T-profila, svi ostali rubovi obrađeni ABS trakom debljine 0,5 mm. Štednjak sa 4 "grijaće ploče"  različitih dimenzija izrađene od crnog pleksiglasa debljine 5mm, vrata sa otvorom od pleksiglasa debljine 4 mm.  Kadica sudopera plastična, dim. 28x19.5x10 cm. Bočne strane profilirane. Vrata na svim elementima od istog materijala, rubova obrađenih ABS trakom debljine 2 mm, metalne petlje ("clip" sistem sa lijevanom podesivom pločicom), sigurnosne ručke u boji keder trake. Cijeli sklop je na 6 kotača. Sve u mat boji, po izboru projektanta. Boja RAL 1013 ili jednakovrijedna boja________________________. Prije konačnog odabira izvođač je dužan dostaviti uzorak projektirane boje i obrade.</t>
    </r>
  </si>
  <si>
    <r>
      <rPr>
        <b/>
        <sz val="10"/>
        <rFont val="Calibri"/>
        <family val="2"/>
        <charset val="238"/>
      </rPr>
      <t>Dječji drveni stolić</t>
    </r>
    <r>
      <rPr>
        <sz val="10"/>
        <rFont val="Calibri"/>
        <family val="2"/>
      </rPr>
      <t xml:space="preserve">, dim. (ŠDV) 50x50x50cm s 2 stolice dim. (ŠDV) 40x25x28cm - element dječjeg kutića, izrađen od iverice oplemenjene melaminskom folijom debljine 18mm, otpornom na ogrebotine, obrubljeno gumenom (keder) trakom T-profila, svi ostali rubovi obrađeni ABS trakom debljine 0,5 mm, elementi sastavljeni bez vidljivih vijaka. Sve u mat boji, po izboru projektanta. Boja RAL 1013 ili jednakovrijedna boja________________________. Prije konačnog odabira izvođač je dužan dostaviti uzorak projektirane boje i obrade.
</t>
    </r>
  </si>
  <si>
    <r>
      <rPr>
        <b/>
        <sz val="10"/>
        <rFont val="Calibri"/>
        <family val="2"/>
        <charset val="238"/>
      </rPr>
      <t>Pokretna polica za slikovnice</t>
    </r>
    <r>
      <rPr>
        <sz val="10"/>
        <rFont val="Calibri"/>
        <family val="2"/>
      </rPr>
      <t xml:space="preserve">, dim. (ŠDV) 60x60x60 cm, sa 4 pretinca u gornjem dijelu element izrađen od iverice oplemenjene melaminskom folijom debljine 18mm, otpornom na ogrebotine, obrubljeno gumenom (keder) trakom T-profila, svi ostali rubovi obrađeni ABS trakom debljine 0,5 mm, elementi sastavljeni bez vidljivih vijaka. Četiri kotačića na uglovima, s mogućnošću kočenja, nosač kotača izrađen od prešanog pocinčanog kromatiziranog čeličnog lima debljine 3 mm, kotač gumirani promjera 50 mm, ukupna visina nosača i kotača 70 mm, opterećenje: minimalno 40 kg po kotaču.  Sve u mat boji, po izboru projektanta. Boja RAL 1013 ili jednakovrijedna boja________________________. Prije konačnog odabira izvođač je dužan dostaviti uzorak projektirane boje i obrade.
</t>
    </r>
  </si>
  <si>
    <r>
      <rPr>
        <b/>
        <sz val="10"/>
        <rFont val="Calibri"/>
        <family val="2"/>
        <charset val="238"/>
      </rPr>
      <t>Kutija drvena za didaktiku na kotačima</t>
    </r>
    <r>
      <rPr>
        <sz val="10"/>
        <rFont val="Calibri"/>
        <family val="2"/>
      </rPr>
      <t xml:space="preserve">, dim. (ŠDV) 40x50x38 cm, sa upuštenim ručkicama sa svake strane, dubine 30 cm. Izrađena od iverice oplemenjene melaminskom folijom debljine 18mm, otpornom na ogrebotine, obrubljeno gumenom (keder) trakom T-profila, svi ostali rubovi obrađeni ABS trakom debljine 0,5 mm, elementi sastavljeni bez vidljivih vijaka. Četiri kotačića na uglovima, s mogućnošću kočenja, nosač kotača izrađen od prešanog pocinčanog kromatiziranog čeličnog lima debljine 3 mm, kotač gumirani promjera 50 mm, ukupna visina nosača i kotača 70 mm, opterećenje: minimalno 40 kg po kotaču.  Sve u mat boji, po izboru projektanta. Boja RAL 1013 ili jednakovrijedna boja________________________. Prije konačnog odabira izvođač je dužan dostaviti uzorak projektirane boje i obrade.
</t>
    </r>
  </si>
  <si>
    <r>
      <rPr>
        <b/>
        <sz val="10"/>
        <rFont val="Calibri"/>
        <family val="2"/>
        <charset val="238"/>
      </rPr>
      <t>Nosač ležaljki</t>
    </r>
    <r>
      <rPr>
        <sz val="10"/>
        <rFont val="Calibri"/>
        <family val="2"/>
        <charset val="238"/>
      </rPr>
      <t xml:space="preserve">: metalna plastificirana
konstrukcija na 4 kotača, dim. 116x55x14 cm
(konstrukcija visine 8 cm, kotači sa ležištem
visine 6 cm), predviđeno kao nosač 20 komada
ležaljki iz stavke A.1.24.
Sve u mat boji, po izboru projektanta. Boja RAL 1013 ili jednakovrijedna boja________________________. Prije konačnog odabira izvođač je dužan dostaviti uzorak projektirane boje i obrade.
</t>
    </r>
  </si>
  <si>
    <r>
      <rPr>
        <b/>
        <sz val="10"/>
        <rFont val="Calibri"/>
        <family val="2"/>
        <charset val="238"/>
      </rPr>
      <t>Dječji stol u obliku pravilnog šesterokuta</t>
    </r>
    <r>
      <rPr>
        <sz val="10"/>
        <rFont val="Calibri"/>
        <family val="2"/>
      </rPr>
      <t xml:space="preserve">, sa 6 nogu,  promjera 118,5 cm, jedna stranica duljine 60 cm, izrađen od iverice oplemenjene melaminskom folijom debljine 18 mm, otpornom na ogrebotine, obrubljeno gumenom (keder) trakom T-profila, zaobljenih rubova, ojačanje (u skladu sa Zakonom o sigurnosti na radu) je dodatna donja ploča od istog materijala promjera 110,7 cm obrub ABS traka debljine 0,5 mm, metalne noge Ø = 60 mm učvršćene na čeličnoj konstrukciji pričvršćenoj na donju ploču stola s minimalno 5 vijaka, s podesivom - promjenjivom visinom 49-55 cm i protukliznom zaštitom. Uključiti zaštitne elemente na nogama protiv grebanja poda. Sve u mat boji, po izboru projektanta. Boja RAL 1013 ili jednakovrijedna boja________________________. Prije konačnog odabira izvođač je dužan dostaviti uzorak projektirane boje i obrade.
</t>
    </r>
  </si>
  <si>
    <r>
      <rPr>
        <b/>
        <sz val="10"/>
        <rFont val="Calibri"/>
        <family val="2"/>
        <charset val="238"/>
      </rPr>
      <t>Ormar s 4 police i središnjim dijelom za plastične kutije</t>
    </r>
    <r>
      <rPr>
        <sz val="10"/>
        <rFont val="Calibri"/>
        <family val="2"/>
        <charset val="238"/>
      </rPr>
      <t>, dim. (ŠDV) 100x40x86 cm, opremljen s 8 pari vodilica U profila u središnjem dijelu, a sa svake strane po dvije police, izrađen od iverice oplemenjene melaminskom folijom debljine 18 mm, otpornom na ogrebotine, obrubljeno gumenom (keder) trakom T-profila, svi ostali rubovi obrađeni ABS trakom debljine 0,5 mm, bočne stranice zaobljenih uglova,  stražnja strana izrađena od istog materijala radi mogućnosti postavljanja elementa u prostor kao samostojeći, element sastavljen bez vidljivih vijaka. Sve u mat boji, po izboru projektanta. Boja RAL 1013 ili jednakovrijedna boja________________________. Prije konačnog odabira izvođač je dužan dostaviti uzorak projektirane boje i obrade.</t>
    </r>
  </si>
  <si>
    <r>
      <rPr>
        <b/>
        <sz val="10"/>
        <rFont val="Calibri"/>
        <family val="2"/>
        <charset val="238"/>
      </rPr>
      <t>Ormar s 2 dijela za plastične kutije i središnjim dijelom s dvije police</t>
    </r>
    <r>
      <rPr>
        <sz val="10"/>
        <rFont val="Calibri"/>
        <family val="2"/>
        <charset val="238"/>
      </rPr>
      <t xml:space="preserve">, dim. (ŠDV) 100x40x86 cm, opremljen sa 2 x 8 pari vodilica U profila, izrađen od iverice oplemenjene melaminskom folijom debljine 18 mm, otpornom na ogrebotine, obrubljeno gumenom (keder) trakom T-profila, svi ostali rubovi obrađeni ABS trakom debljine 0,5 mm, bočne stranice zaobljenih uglova, stražnja strana izrađena od istog materijala radi mogućnosti postavljanja elementa u prostor kao samostojeći, element sastavljen bez vidljivih vijaka. Sve u mat boji, po izboru projektanta. Boja RAL 1013 ili jednakovrijedna boja________________________. Prije konačnog odabira izvođač je dužan dostaviti uzorak projektirane boje i obrade.
</t>
    </r>
  </si>
  <si>
    <r>
      <t xml:space="preserve">Radni stol za odgajatelja sa 3 ladice </t>
    </r>
    <r>
      <rPr>
        <sz val="10"/>
        <rFont val="Calibri"/>
        <family val="2"/>
        <scheme val="minor"/>
      </rPr>
      <t xml:space="preserve">(metabox + bravica), dim (ŠDV) 120 x 60 x 75 cm, izrađen od iverice oplemenjene melaminskom folijom debljine 18mm, u boji po izboru projektanta, otpornom na ogrebotine, obrubljeno keder trakom T-profila u boji po izboru projektanta, svi ostali rubovi obrađeni ABS trakom debljine 0.5mm, stražnja strana izrađena od istog materijala radi mogućnosti postavljanja elementa u prostor kao samostojeći, elementi sastavljeni bez vidljivih vijaka. Sve u mat boji, po izboru projektanta. Boja RAL 1013 ili jednakovrijedna boja________________________. Prije konačnog odabira izvođač je dužan dostaviti uzorak projektirane boje i obrade. 
</t>
    </r>
    <r>
      <rPr>
        <sz val="10"/>
        <rFont val="Calibri"/>
        <family val="2"/>
      </rPr>
      <t xml:space="preserve">
</t>
    </r>
  </si>
  <si>
    <r>
      <rPr>
        <b/>
        <sz val="10"/>
        <rFont val="Calibri"/>
        <family val="2"/>
        <charset val="238"/>
      </rPr>
      <t>Ormar odgajateljski sa 2 bravice</t>
    </r>
    <r>
      <rPr>
        <sz val="10"/>
        <rFont val="Calibri"/>
        <family val="2"/>
        <charset val="238"/>
      </rPr>
      <t xml:space="preserve">, dim. (ŠDV) 100 x 40 x 86 cm s 2 police izrađen od iverice oplemenjene melaminskom folijom debljine 18 mm, otpornom na ogrebotine, obrubljeno gumenom (keder) trakom T-profila, svi ostali rubovi obrađeni ABS trakom debljine 0,5 mm, stražnja strana izrađena od istog materijala radi mogućnosti postavljanja elementa u prostor kao samostojeći, elementi sastavljeni bez vidljivih vijaka. Sve u mat boji, po izboru projektanta. Boja RAL 1013 ili jednakovrijedna boja________________________. Prije konačnog odabira izvođač je dužan dostaviti uzorak projektirane boje i obrade.
</t>
    </r>
  </si>
  <si>
    <r>
      <rPr>
        <b/>
        <sz val="10"/>
        <rFont val="Calibri"/>
        <family val="2"/>
        <charset val="238"/>
        <scheme val="minor"/>
      </rPr>
      <t>Dvostrani ormarić - pokretna biblioteka i polica za didaktički materijal</t>
    </r>
    <r>
      <rPr>
        <sz val="10"/>
        <rFont val="Calibri"/>
        <family val="2"/>
        <scheme val="minor"/>
      </rPr>
      <t xml:space="preserve">,  dim. (ŠDV) 134x50x122cm, na jednoj strani 4 reda kosine knjige i slikovnice, sa druge strane polica sa 6 pretinaca za didaktiku. Izrađen od iverice oplemenjene melaminskom folijom debljine 18mm, otpornom na ogrebotine, obrubljeno gumenom (keder) trakom T-profila, svi ostali rubovi obrađeni ABS trakom debljine 0,5 mm, elementi sastavljeni bez vidljivih vijaka. Ormarić je na kotačićima (četiri kotačića na uglovima, peti kotačić na sjecištu dijagonala donje plohe), nosač kotača izrađen od prešanog pocinčanog kromatiziranog čeličnog lima debljine 3 mm, kotač gumirani promjera 50 mm, ukupna visina nosača i kotača 70 mm,  opterećenje: minimalno 40 kg po kotaču. Sve u mat boji, po izboru projektanta. Boja RAL 1013 ili jednakovrijedna boja________________________. Prije konačnog odabira izvođač je dužan dostaviti uzorak projektirane boje i obrade.
</t>
    </r>
  </si>
  <si>
    <r>
      <rPr>
        <b/>
        <sz val="10"/>
        <rFont val="Calibri"/>
        <family val="2"/>
        <charset val="238"/>
        <scheme val="minor"/>
      </rPr>
      <t>Modni centar</t>
    </r>
    <r>
      <rPr>
        <sz val="10"/>
        <rFont val="Calibri"/>
        <family val="2"/>
        <scheme val="minor"/>
      </rPr>
      <t xml:space="preserve">, dim. (ŠDV) 100x40x120 cm opremljen sa 5 pari vodilica U profila, prednjica zavjesa, u unutrašnjosti okrugli metalni profil za vješanje odjeće na kotačima. Izrađen od iverice oplemenjene melaminskom folijom debljine 18 mm, otpornom na ogrebotine, obrubljeno gumenom (keder) trakom T-profila, svi ostali rubovi obrađeni ABS trakom debljine 0,5mm, bočne stranice zaobljenih uglova, stražnja strana izrađena od istog materijala radi mogućnosti postavljanja elementa u prostor kao samostojeći, element sastavljen bez vidljivih vijaka. Sve u mat boji, po izboru projektanta. Boja RAL 1013 ili jednakovrijedna boja________________________. Prije konačnog odabira izvođač je dužan dostaviti uzorak projektirane boje i obrade.
</t>
    </r>
  </si>
  <si>
    <r>
      <rPr>
        <b/>
        <sz val="10"/>
        <rFont val="Calibri"/>
        <family val="2"/>
        <charset val="238"/>
      </rPr>
      <t>Polica za građenje na kotačima</t>
    </r>
    <r>
      <rPr>
        <sz val="10"/>
        <rFont val="Calibri"/>
        <family val="2"/>
      </rPr>
      <t xml:space="preserve"> s četiri dijela za plastične kutije, dim. (ŠDV) 82x82x52,5 cm, dvostruke funkcije za spremanje građevnog materijala, opremljen s 4 x 5 pari vodilica U profila, predviđen za plastične kutije: 4 duboke i 12 plitkih kutija. Gornja ploha za građenje presvučena protukliznom podlogom sa graničnikom 4 cm visine koji osigurava plohu zagrađenom, izrađena od iverice oplemenjene melaminskom folijom debljine 18 mm otpornom na ogrebotine, obrubljeno gumenom (keder) trakom T-profila, svi ostali rubovi obrađeni ABS trakom debljine 0,5 mm, elementi sastavljeni bez vidljivih vijaka. Četiri kotačića na uglovima, s mogućnošću kočenja, nosač kotača izrađen od prešanog pocinčanog kromatiziranog čeličnog lima debljine 3 mm, kotač gumirani promjera 50 mm, ukupna visina nosača i kotača 70 mm, opterećenje: minimalno 40 kg po kotaču. Sve u mat boji, po izboru projektanta. Boja RAL 1013 ili jednakovrijedna boja________________________. Prije konačnog odabira izvođač je dužan dostaviti uzorak projektirane boje i obrade.
</t>
    </r>
  </si>
  <si>
    <r>
      <rPr>
        <b/>
        <sz val="10"/>
        <rFont val="Calibri"/>
        <family val="2"/>
        <charset val="238"/>
      </rPr>
      <t>Polivalentni pano za kazalište lutaka i sjena na kotačima</t>
    </r>
    <r>
      <rPr>
        <sz val="10"/>
        <rFont val="Calibri"/>
        <family val="2"/>
      </rPr>
      <t xml:space="preserve">, dim. (ŠDV) 40x60x120 cm, sa zavjesicom, sa jedne strane glatka ploha lagano ukošena sa otvorom (dim. ŠV 51 x 41 cm), a sa druge strane jedna polica u vodoravnom položaju ispod koje su 2 trokuke vješalice za ginjol lutke, izrađen od iverice oplemenjene melaninskom folijom debljine 18 mm, otpornom na ogrebotine, obrubljene gumenom (keder) trakom T-profila, svi ostali rubovi obrađeni ABS trakom debljine 0,5 mm, stražnja strana izrađena od istog materijala radi mogućnosti postavljanja elementa u prostor kao slobodnostojeći, element sastavljeni bez vidljivih vijaka. Četiri kotačića na uglovima, s mogućnošću kočenja, nosač kotača izrađen od prešanog pocinčanog kromatiziranog čeličnog lima debljine 3 mm, kotač gumirani promjera 50 mm, ukupna visina nosača i kotača 70 mm, opterećenje: minimalno 40 kg po kotaču. Sve u mat boji, po izboru projektanta. Boja RAL 1013 ili jednakovrijedna boja________________________. Prije konačnog odabira izvođač je dužan dostaviti uzorak projektirane boje i obrade.
</t>
    </r>
  </si>
  <si>
    <r>
      <rPr>
        <b/>
        <sz val="10"/>
        <rFont val="Calibri"/>
        <family val="2"/>
        <charset val="238"/>
      </rPr>
      <t>Dječji drveni štednjak - element dječjeg kutića kuhinje</t>
    </r>
    <r>
      <rPr>
        <sz val="10"/>
        <rFont val="Calibri"/>
        <family val="2"/>
        <charset val="238"/>
      </rPr>
      <t>, dim. (ŠDV) 40x30x55 cm, izrađen od iverice oplemenjene melaminskom folijom debljine 18 mm, otpornom na ogrebotine, obrubljeno gumenom trakom T-profila, svi ostali rubovi obrađeni ABS trakom 0,5 mm, vrata od istog materijala rubova obrađenih ABS trakom debljine 2 mm, sa otvorom od pleksiglasa debljine 4 mm, rubova obrubljenih gumenom (keder) trakom, metalne petlje ("clip" sistem sa lijevanom podesivom pločicom), sigurnosne ručke u boji gumene (keder) trake, "grijaće ploče" 4 komada različitih dimenzija izrađene od crnog pleksiglasa debljine 5mm, stražnja strana izrađena od istog materijala radi mogućnosti postavljanja elementa u prostor kao samostojeći, elementi sastavljeni bez vidljivih vijaka. Sve u mat boji, po izboru projektanta. Boja RAL 1013 ili jednakovrijedna boja________________________. Prije konačnog odabira izvođač je dužan dostaviti uzorak projektirane boje i obrade.</t>
    </r>
  </si>
  <si>
    <r>
      <rPr>
        <b/>
        <sz val="10"/>
        <rFont val="Calibri"/>
        <family val="2"/>
        <charset val="238"/>
      </rPr>
      <t>Dječji drveni kuhinjski element - element dječjeg kutića kuhinje</t>
    </r>
    <r>
      <rPr>
        <sz val="10"/>
        <rFont val="Calibri"/>
        <family val="2"/>
        <charset val="238"/>
      </rPr>
      <t>, dim. (ŠDV) 40x30x55 cm, izrađen od iverice oplemenjene melaminskom folijom debljine 18mm, otpornom na ogrebotine, obrubljeno gumenom (keder) trakom T-profila, svi ostali rubovi obrađeni ABS trakom debljine 0,5 mm, vrata od istog materijala, rubova obrađenih ABS trakom debljine 2 mm, metalne petlje ("clip" sistem sa lijevanom podesivom pločicom), sigurnosne ručke u boji gumene (keder) trake, stražnja strana izrađena od istog materijala radi mogućnosti postavljanja elementa u prostor kao samostojeći, elementi sastavljeni bez vidljivih vijaka. Sve u mat boji, po izboru projektanta. Boja RAL 1013 ili jednakovrijedna boja________________________. Prije konačnog odabira izvođač je dužan dostaviti uzorak projektirane boje i obrade.</t>
    </r>
  </si>
  <si>
    <r>
      <rPr>
        <b/>
        <sz val="10"/>
        <rFont val="Calibri"/>
        <family val="2"/>
        <charset val="238"/>
      </rPr>
      <t>Dječji drveni sudoper - element dječjeg kutića kuhinje</t>
    </r>
    <r>
      <rPr>
        <sz val="10"/>
        <rFont val="Calibri"/>
        <family val="2"/>
        <charset val="238"/>
      </rPr>
      <t>, dim. (ŠDV) 40x30x55 cm, izrađen od iverice oplemenjene melaminskom folijom debljine 18mm, otpornom na ogrebotine, obrubljeno gumenom (keder) trakom T-profila u boji po izboru, svi ostali rubovi obrađeni ABS trakom 0,5 mm, vrata od istog materijala, rubova obrađenih ABS trakom debljine 2 mm, metalne petlje ("clip" sistem sa lijevanom podesivom pločicom), sigurnosne ručke u boji gumene (keder) trake, kadica sudopera plastična, dim. 28x19,5x10 cm, stražnja strana izrađena od istog materijala radi mogućnosti postavljanja elementa u prostor kao samostojeći, elementi sastavljeni bez vidljivih vijaka. Sve u mat boji, po izboru projektanta. Boja RAL 1013 ili jednakovrijedna boja________________________. Prije konačnog odabira izvođač je dužan dostaviti uzorak projektirane boje i obrade.</t>
    </r>
  </si>
  <si>
    <r>
      <rPr>
        <b/>
        <sz val="10"/>
        <rFont val="Calibri"/>
        <family val="2"/>
        <charset val="238"/>
      </rPr>
      <t>Dječji drveni stolić</t>
    </r>
    <r>
      <rPr>
        <sz val="10"/>
        <rFont val="Calibri"/>
        <family val="2"/>
      </rPr>
      <t xml:space="preserve"> dim. (ŠDV) 50x50x50cm s 2 stolice dim. (ŠDV) 30x25x26cm - element dječjeg kutića, izrađen od iverice oplemenjene melaminskom folijom debljine 18mm, otpornom na ogrebotine, obrubljeno gumenom (keder) trakom T-profila, svi ostali rubovi obrađeni ABS trakom debljine 0,5 mm, elementi sastavljeni bez vidljivih vijaka. Sve u mat boji, po izboru projektanta. Boja RAL 1013 ili jednakovrijedna boja________________________. Prije konačnog odabira izvođač je dužan dostaviti uzorak projektirane boje i obrade.
</t>
    </r>
  </si>
  <si>
    <r>
      <rPr>
        <b/>
        <sz val="10"/>
        <rFont val="Calibri"/>
        <family val="2"/>
        <charset val="238"/>
      </rPr>
      <t>Nosač ležaljki</t>
    </r>
    <r>
      <rPr>
        <sz val="10"/>
        <rFont val="Calibri"/>
        <family val="2"/>
        <charset val="238"/>
      </rPr>
      <t xml:space="preserve">: metalna plastificirana
konstrukcija na 4 kotača, dim. 116x55x14 cm
(konstrukcija visine 8 cm, kotači sa ležištem
visine 6 cm), predviđeno kao nosač do 20 komada
ležaljki iz stavke A.2.38.
Sve u mat boji, po izboru projektanta. Boja RAL 1013 ili jednakovrijedna boja________________________. Prije konačnog odabira izvođač je dužan dostaviti uzorak projektirane boje i obrade.
</t>
    </r>
  </si>
  <si>
    <r>
      <t xml:space="preserve">Radni stol za odgajatelja sa 3 ladice </t>
    </r>
    <r>
      <rPr>
        <sz val="10"/>
        <rFont val="Calibri"/>
        <family val="2"/>
        <scheme val="minor"/>
      </rPr>
      <t>(metabox + bravica), dim (ŠDV) 120 x 60 x 75 cm, izrađen od iverice oplemenjene melaminskom folijom debljine 18mm, u boji po izboru projektanta, otpornom na ogrebotine, obrubljeno keder trakom T-profila u boji po izboru projektanta, svi ostali rubovi obrađeni ABS trakom debljine 0.5mm, stražnja strana izrađena od istog materijala radi mogućnosti postavljanja elementa u prostor kao samostojeći, elementi sastavljeni bez vidljivih vijaka. . Sve u mat boji, po izboru projektanta. Boja RAL 1013 ili jednakovrijedna boja________________________. Prije konačnog odabira izvođač je dužan dostaviti uzorak projektirane boje i obrade.</t>
    </r>
    <r>
      <rPr>
        <sz val="10"/>
        <rFont val="Calibri"/>
        <family val="2"/>
      </rPr>
      <t xml:space="preserve">
</t>
    </r>
  </si>
  <si>
    <r>
      <rPr>
        <b/>
        <sz val="10"/>
        <rFont val="Calibri"/>
        <family val="2"/>
        <charset val="238"/>
      </rPr>
      <t>Ormar s 2 dijela za plastične kutije i središnjim dijelom</t>
    </r>
    <r>
      <rPr>
        <sz val="10"/>
        <rFont val="Calibri"/>
        <family val="2"/>
        <charset val="238"/>
      </rPr>
      <t xml:space="preserve"> s dvije police, dim. (ŠDV) 100x40x86 cm, opremljen sa 2 x 8 pari vodilica U profila, izrađen od iverice oplemenjene melaminskom folijom debljine 18 mm, otpornom na ogrebotine, obrubljeno gumenom (keder) trakom T-profila, svi ostali rubovi obrađeni ABS trakom debljine 0,5 mm, bočne stranice zaobljenih uglova, stražnja strana izrađena od istog materijala radi mogućnosti postavljanja elementa u prostor kao samostojeći, element sastavljen bez vidljivih vijaka. Sve u mat boji, po izboru projektanta. Boja RAL 1013 ili jednakovrijedna boja________________________. Prije konačnog odabira izvođač je dužan dostaviti uzorak projektirane boje i obrade.
</t>
    </r>
  </si>
  <si>
    <r>
      <rPr>
        <b/>
        <sz val="10"/>
        <rFont val="Calibri"/>
        <family val="2"/>
        <charset val="238"/>
        <scheme val="minor"/>
      </rPr>
      <t>Pokretna polica - kutić trgovine</t>
    </r>
    <r>
      <rPr>
        <sz val="10"/>
        <rFont val="Calibri"/>
        <family val="2"/>
        <scheme val="minor"/>
      </rPr>
      <t xml:space="preserve"> dim. (ŠDV) 120x40x100 cm, na vrhu police je tenda od pamučnog dezeniranog platna, na bočnim stranicama otvori elipsoidnog oblika obrubljeni keder trakom T profila, gornja polica na visini 65 cm, prednje dvije police (sa rubnikom) lagano ukošene prema dolje, dvije police sa stražnje strane u vodoravnom položaju. Izrađen od iverice oplemenjene melaminskom folijom debljine 18mm, otpornom na ogrebotine, obrubljeno gumenom (keder) trakom T-profila, svi ostali rubovi obrađeni ABS trakom debljine 0,5 mm, elementi sastavljeni bez vidljivih vijaka.  Četiri kotačića na uglovima, s mogućnošću kočenja, nosač kotača izrađen od prešanog pocinčanog kromatiziranog čeličnog lima debljine 3 mm, kotač gumirani promjera 50 mm, ukupna visina nosača i kotača 70 mm, opterećenje: minimalno 40 kg po kotaču. Sve u mat boji, po izboru projektanta. Boja RAL 1013 ili jednakovrijedna boja________________________. Prije konačnog odabira izvođač je dužan dostaviti uzorak projektirane boje i obrade.
</t>
    </r>
  </si>
  <si>
    <r>
      <rPr>
        <b/>
        <sz val="10"/>
        <rFont val="Calibri"/>
        <family val="2"/>
        <charset val="238"/>
      </rPr>
      <t>Polica za građenje na kotačima s četiri dijela za plastične kutije</t>
    </r>
    <r>
      <rPr>
        <sz val="10"/>
        <rFont val="Calibri"/>
        <family val="2"/>
      </rPr>
      <t xml:space="preserve">, dim. (ŠDV) 82x82x52,5 cm, dvostruke funkcije za spremanje građevnog materijala, opremljen s 4 x 5 pari vodilica U profila, predviđen za plastične kutije: 4 duboke i 12 plitkih kutija. Gornja ploha za građenje presvučena protukliznom podlogom sa graničnikom 4 cm visine koji osigurava plohu zagrađenom, izrađena od iverice oplemenjene melaminskom folijom debljine 18 mm otpornom na ogrebotine, obrubljeno gumenom (keder) trakom T-profila, svi ostali rubovi obrađeni ABS trakom debljine 0,5 mm, elementi sastavljeni bez vidljivih vijaka. Četiri kotačića na uglovima, s mogućnošću kočenja, nosač kotača izrađen od prešanog pocinčanog kromatiziranog čeličnog lima debljine 3 mm, kotač gumirani promjera 50 mm, ukupna visina nosača i kotača 70 mm, opterećenje: minimalno 40 kg po kotaču. Sve u mat boji, po izboru projektanta. Boja RAL 1013 ili jednakovrijedna boja________________________. Prije konačnog odabira izvođač je dužan dostaviti uzorak projektirane boje i obrade.
</t>
    </r>
  </si>
  <si>
    <r>
      <rPr>
        <b/>
        <sz val="10"/>
        <rFont val="Calibri"/>
        <family val="2"/>
        <charset val="238"/>
      </rPr>
      <t>Nosač ležaljki</t>
    </r>
    <r>
      <rPr>
        <sz val="10"/>
        <rFont val="Calibri"/>
        <family val="2"/>
        <charset val="238"/>
      </rPr>
      <t xml:space="preserve">: metalna plastificirana
konstrukcija na 4 kotača, dim. 116x55x14 cm
(konstrukcija visine 8 cm, kotači sa ležištem
visine 6 cm), predviđeno kao nosač do 20 komada
ležaljki iz stavke A.3.38.
Sve u mat boji, po izboru projektanta. Boja RAL 1013 ili jednakovrijedna boja________________________. Prije konačnog odabira izvođač je dužan dostaviti uzorak projektirane boje i obrade.
</t>
    </r>
  </si>
  <si>
    <r>
      <rPr>
        <b/>
        <sz val="10"/>
        <rFont val="Calibri"/>
        <family val="2"/>
        <charset val="238"/>
      </rPr>
      <t>Garderobni ormarić s 4 vrata</t>
    </r>
    <r>
      <rPr>
        <sz val="10"/>
        <rFont val="Calibri"/>
        <family val="2"/>
        <charset val="238"/>
      </rPr>
      <t>,</t>
    </r>
    <r>
      <rPr>
        <b/>
        <sz val="10"/>
        <rFont val="Calibri"/>
        <family val="2"/>
        <charset val="238"/>
      </rPr>
      <t xml:space="preserve"> </t>
    </r>
    <r>
      <rPr>
        <sz val="10"/>
        <rFont val="Calibri"/>
        <family val="2"/>
        <charset val="238"/>
      </rPr>
      <t xml:space="preserve">dim. (ŠDV) 80x40x121 cm. Izrađen od iverice oplemenjene melaminskom folijom debljine 18 mm, ploha otpornih na ogrebotine, obrubljeno mekanom keder trakom T-profila u boji po izboru, svi ostali rubovi obrađeni ABS trakom debljine 0,5 mm, bočne stranice zaobljenih rubova. Vrata od istog materijala, rubova obrađenih ABS trakom debljine 2 mm, metalne petlje (blum-clip sa lijevanom podesivom pločicom), sigurnosne ručke u obliku cvijeta u boji keder trake, u unutrašnjosti polica u gornjem dijelu i metalna prečka za vješalice, elementi sastavljeni bez vidljivih vijaka sa 4 vrata po širini. Uključiti i zaštitne elemente na nogama protiv grebanja poda. Sve plohe i rubove izraditi u mat boji, RAL po izboru projektanta. Boja RAL 1013 ili jednakovrijedna boja________________________. Prije konačnog odabira izvođač je dužan dostaviti uzorak projektirane boje i obrade. 
</t>
    </r>
  </si>
  <si>
    <r>
      <rPr>
        <b/>
        <sz val="10"/>
        <rFont val="Calibri"/>
        <family val="2"/>
      </rPr>
      <t>Klupica samostalna</t>
    </r>
    <r>
      <rPr>
        <sz val="10"/>
        <rFont val="Calibri"/>
        <family val="2"/>
        <charset val="238"/>
      </rPr>
      <t xml:space="preserve">, dim. (ŠDV) 105x40x32 cm.  samostalna,izrađena od iverice oplemenjene melaminskom folijom debljine 18mm, ploha otpornih na ogrebotine, obrubljeno mekanom keder trakom T-profila u boji po izboru, sjedeća površina zaobljenih rubova, svi ostali rubovi obrađeni ABS trakom debljine 0.5mm (š,d,v) 105 x 40 x 32 cm.Uključiti i zaštitne elemente na nogama protiv grebanja poda. Završna obrada svih dijelova u mat boji, RAL po izboru projektanta. Boja RAL 1013 ili jednakovrijedna boja________________________. Prije konačnog odabira izvođač je dužan dostaviti uzorak projektirane boje i obrade. 
</t>
    </r>
  </si>
  <si>
    <t xml:space="preserve">Završna obrada svih dijelova u mat boji, RAL po izboru projektanta. Boja RAL 1013 ili jednakovrijedna boja________________________. Prije konačnog odabira izvođač je dužan dostaviti uzorak projektirane boje i obrade.
</t>
  </si>
  <si>
    <r>
      <rPr>
        <b/>
        <sz val="10"/>
        <rFont val="Calibri"/>
        <family val="2"/>
        <charset val="238"/>
      </rPr>
      <t>Garderobni ormarić s 4 vrata</t>
    </r>
    <r>
      <rPr>
        <sz val="10"/>
        <rFont val="Calibri"/>
        <family val="2"/>
        <charset val="238"/>
      </rPr>
      <t>,</t>
    </r>
    <r>
      <rPr>
        <b/>
        <sz val="10"/>
        <rFont val="Calibri"/>
        <family val="2"/>
        <charset val="238"/>
      </rPr>
      <t xml:space="preserve"> </t>
    </r>
    <r>
      <rPr>
        <sz val="10"/>
        <rFont val="Calibri"/>
        <family val="2"/>
        <charset val="238"/>
      </rPr>
      <t xml:space="preserve">dim. (ŠDV) 80x40x121 cm. Izrađen od iverice oplemenjene melaminskom folijom debljine 18 mm, ploha otpornih na ogrebotine, obrubljeno mekanom keder trakom T-profila u boji po izboru, svi ostali rubovi obrađeni ABS trakom debljine 0,5 mm, bočne stranice zaobljenih rubova. Vrata od istog materijala, rubova obrađenih ABS trakom debljine 2 mm, metalne petlje (blum-clip sa lijevanom podesivom pločicom), sigurnosne ručke u obliku cvijeta u boji keder trake, u unutrašnjosti polica u gornjem dijelu i metalna prečka za vješalice, elementi sastavljeni bez vidljivih vijaka sa 4 vrata po širini. Uključiti i zaštitne elemente na nogama protiv grebanja poda. Sve plohe i rubove izraditi u mat boji, RAL po izboru projektanta. Boja RAL 1013 ili jednakovrijedna boja________________________. Prije konačnog odabira izvođač je dužan dostaviti uzorak projektirane boje i obrade. 
</t>
    </r>
  </si>
  <si>
    <r>
      <rPr>
        <b/>
        <sz val="10"/>
        <rFont val="Calibri"/>
        <family val="2"/>
      </rPr>
      <t>Ormar/stol za previjanje s vratima s podlogom za previjanje</t>
    </r>
    <r>
      <rPr>
        <sz val="10"/>
        <rFont val="Calibri"/>
        <family val="2"/>
      </rPr>
      <t>, dim. (ŠDV) 75x70x95 cm, izrađen od iverice oplemenjene melaminskom folijom debljine 18mm, u boji po izboru projektanta, otpornom na ogrebotine, obrubljeno mekanom keder trakom T-profila u boji po izboru projektanta, svi ostali rubovi obrađeni ABS trakom 0,5mm, vrata od istog materijala rubova obrađenih ABS trakom debljine 2mm, metalne petlje ("clip" sistem sa lijevanom podesivom pločicom), umjesto ručkica otvori na vratima oblika zaobljenog odreska, a radi sigurnosnih razloga, stražnja strana izrađena od istog materijala radi mogućnosti postavljanja elementa u prostor kao samostojećeg, elementi sastavljeni bez vidljivih vijaka, podloga za previjanje izrađena od antialergijskih umjetnih masa, debljine min. 4cm.
Završna obrada svih dijelova u mat boji, RAL po izboru projektanta. Boja RAL 1013 ili jednakovrijedna boja________________________. Prije konačnog odabira izvođač je dužan dostaviti uzorak projektirane boje i obrade.</t>
    </r>
  </si>
  <si>
    <r>
      <rPr>
        <b/>
        <sz val="10"/>
        <rFont val="Calibri"/>
        <family val="2"/>
        <charset val="238"/>
        <scheme val="minor"/>
      </rPr>
      <t>Stol radni</t>
    </r>
    <r>
      <rPr>
        <sz val="10"/>
        <rFont val="Calibri"/>
        <family val="2"/>
        <charset val="238"/>
        <scheme val="minor"/>
      </rPr>
      <t xml:space="preserve">, dim. 160x80x75 cm, gornja ploča izrađena od iverice oplemenjene melaminskom folijom debljine 25 mm, otpornom na ogrebotine i obrubljenom ABS trakom debljine 2 mm, na metalnom podnožju od kvadratičnih čeličnih profila 30 x 30 mm. Uključiti zaštitne elemente na nogama protiv grebanja poda. Završna obrada u mat boji, po izboru projektanta. Boja RAL 1013 ili jednakovrijedna boja________________________. Prije konačnog odabira izvođač je dužan dostaviti uzorak projektirane boje i obrade. Sve izraditi prema shemi stavke C.1.1.
</t>
    </r>
  </si>
  <si>
    <r>
      <rPr>
        <b/>
        <sz val="10"/>
        <rFont val="Calibri"/>
        <family val="2"/>
        <charset val="238"/>
        <scheme val="minor"/>
      </rPr>
      <t>Ormarić-ladičar</t>
    </r>
    <r>
      <rPr>
        <sz val="10"/>
        <rFont val="Calibri"/>
        <family val="2"/>
        <charset val="238"/>
        <scheme val="minor"/>
      </rPr>
      <t xml:space="preserve">, dim. (ŠDV) 40x60x55 cm, sa 3 ladice i bravicom s ključevima, na 4 kotača sa stoperima, izrađen od iverice oplemenjene melaminskom folijom debljine 18mm, obrubljen ABS trakom debljine 2 mm. Završna obrada u mat boji, po izboru projektanta. Boja RAL 1013 ili jednakovrijedna boja________________________. Prije konačnog odabira izvođač je dužan dostaviti uzorak projektirane boje i obrade. Sve izraditi prema shemi stavke C.1.2.
</t>
    </r>
  </si>
  <si>
    <r>
      <rPr>
        <b/>
        <sz val="10"/>
        <rFont val="Calibri"/>
        <family val="2"/>
        <charset val="238"/>
        <scheme val="minor"/>
      </rPr>
      <t>Ormar</t>
    </r>
    <r>
      <rPr>
        <sz val="10"/>
        <rFont val="Calibri"/>
        <family val="2"/>
        <charset val="238"/>
        <scheme val="minor"/>
      </rPr>
      <t>, dim. (ŠDV) 212x40x240 cm, izrađen od iverice oplemenjene melaminskom folijom debljine 18 mm, obrubljen ABS trakom deb. 2 mm. Ormar se sastoji od donjeg dijela, srednjeg dijela i donjeg dijela. Donji i gornji dio imaju po 4 punih vrata od iverala. Srednji dio ima otvorene police. Svaki dio ima po jednu horizontalnu policu, podesivu po visini. Ormar ima stražnju stranicu i sokl. Stavka uključuje police, okove za otvaranje vrata s usporenjem zatvaranja i ručkice po izboru projektanta. Svim vratima potrebno je ugraditi bravice s ključem. Završna obrada u mat boji, po izboru projektanta. Boja RAL 1013 ili jednakovrijedna boja________________________. Prije konačnog odabira izvođač je dužan dostaviti uzorak projektirane boje i obrade. Sve izraditi prema shemi stavke C.1.5.</t>
    </r>
  </si>
  <si>
    <r>
      <rPr>
        <b/>
        <sz val="10"/>
        <rFont val="Calibri"/>
        <family val="2"/>
        <charset val="238"/>
        <scheme val="minor"/>
      </rPr>
      <t>Ormar - niski</t>
    </r>
    <r>
      <rPr>
        <sz val="10"/>
        <rFont val="Calibri"/>
        <family val="2"/>
        <charset val="238"/>
        <scheme val="minor"/>
      </rPr>
      <t xml:space="preserve">, dim. (ŠDV) 212x40x85 cm, izrađen od iverice oplemenjene melaminskom folijom debljine 18 mm, obrubljen ABS trakom deb. 2 mm. Ormar ima 4 puna vrata od iverala. Svaki dio ima po jednu horizontalnu policu. Ormar ima stražnju stranicu i sokl. Stavka uključuje police, okove za otvaranje vrata s usporenjem zatvaranja i ručkice po izboru projektanta. Svim vratima potrebno je ugraditi bravice s ključem. Završna obrada u mat boji, po izboru projektanta. Boja RAL 1013 ili jednakovrijedna boja________________________. Prije konačnog odabira izvođač je dužan dostaviti uzorak projektirane boje i obrade. Sve izraditi prema shemi stavke C.1.6.
</t>
    </r>
  </si>
  <si>
    <r>
      <rPr>
        <b/>
        <sz val="10"/>
        <rFont val="Calibri"/>
        <family val="2"/>
        <charset val="238"/>
        <scheme val="minor"/>
      </rPr>
      <t>Polica zidna</t>
    </r>
    <r>
      <rPr>
        <sz val="10"/>
        <rFont val="Calibri"/>
        <family val="2"/>
        <charset val="238"/>
        <scheme val="minor"/>
      </rPr>
      <t xml:space="preserve">, dim. (ŠDV) 212x40x40 cm, izrađena od iverice oplemenjene melaminskom folijom debljine 18 mm, obrubljen ABS trakom deb. 2 mm. Polica je s prednje strane otvorena, s 4 pretinca. Završna obrada u mat boji, po izboru projektanta. Boja RAL 1013 ili jednakovrijedna boja________________________. Prije konačnog odabira izvođač je dužan dostaviti uzorak projektirane boje i obrade. Sve izraditi prema shemi stavke C.1.7.a
</t>
    </r>
  </si>
  <si>
    <r>
      <rPr>
        <b/>
        <sz val="10"/>
        <rFont val="Calibri"/>
        <family val="2"/>
        <charset val="238"/>
        <scheme val="minor"/>
      </rPr>
      <t>Dječji stol kvadratni</t>
    </r>
    <r>
      <rPr>
        <sz val="10"/>
        <rFont val="Calibri"/>
        <family val="2"/>
        <charset val="238"/>
        <scheme val="minor"/>
      </rPr>
      <t xml:space="preserve">, dim. 60x60x53 cm, izrađen od iverice oplemenjene melaminskom folijom debljine 18 mm, otpornom na ogrebotine. Gornja ploha,  zaobljenih uglova, obrubljena gumenom (keder) trakom T-profila. Vertikalni plošni dijelovi i ukrute imaju rubove obrađene ABS trakom debljine 0,5 mm.  Element sastavljen bez vidljivih vijaka. Uključiti zaštitne elemente na nogama protiv grebanja poda. Sve u mat boji, po izboru projektanta. Boja RAL 1013 ili jednakovrijedna boja________________________. Prije konačnog odabira izvođač je dužan dostaviti uzorak projektirane boje i obrade.
</t>
    </r>
  </si>
  <si>
    <r>
      <rPr>
        <b/>
        <sz val="10"/>
        <rFont val="Calibri"/>
        <family val="2"/>
        <charset val="238"/>
      </rPr>
      <t>Stolica radna</t>
    </r>
    <r>
      <rPr>
        <sz val="10"/>
        <rFont val="Calibri"/>
        <family val="2"/>
        <charset val="238"/>
      </rPr>
      <t xml:space="preserve">, okretno-podizna, s mogućnošću
regulacije naslona za leđa, s rukonaslonima,
konstrukcija metalna na kotačima, tapecirana u
negorivom tekstilu. Sve u mat boji po izboru projektanta. Prije konačnog odabira izvođač je dužan dostaviti uzorak projektirane boje i obrade.
</t>
    </r>
  </si>
  <si>
    <r>
      <rPr>
        <b/>
        <sz val="10"/>
        <rFont val="Calibri"/>
        <family val="2"/>
        <charset val="238"/>
        <scheme val="minor"/>
      </rPr>
      <t>Stolica</t>
    </r>
    <r>
      <rPr>
        <sz val="10"/>
        <rFont val="Calibri"/>
        <family val="2"/>
        <charset val="238"/>
        <scheme val="minor"/>
      </rPr>
      <t xml:space="preserve">, drvena s čeličnim nogama
Sjedalo i naslon izrađeni iz jednog komada od
bukovog šper otpresaka min. debljine 6 mm
anatomski oblikovanog. Noge stolca izrađene
su od čelične okrugle cijevi sa zaštitnim epoksidni/poliesterski premaz u prahu. Površina drvenog dijela mora biti brušena granulacijom 180 te lakirana viskokvalitetnim PU lakom u boji. Svi rubovi moraju biti zaobljeni. Stolice se mogu slagati. Uključiti zaštitne elemente na nogama protiv grebanja poda. Visina sjedenja: h=46 cm. Sve u mat boji po izboru projektanta. Prije konačnog odabira izvođač je dužan dostaviti uzorak projektirane boje i obrade.
</t>
    </r>
  </si>
  <si>
    <r>
      <rPr>
        <b/>
        <sz val="10"/>
        <rFont val="Calibri"/>
        <family val="2"/>
        <charset val="238"/>
        <scheme val="minor"/>
      </rPr>
      <t>Stolci za posjetitelje s mogućnošću slaganja</t>
    </r>
    <r>
      <rPr>
        <sz val="10"/>
        <rFont val="Calibri"/>
        <family val="2"/>
        <charset val="238"/>
        <scheme val="minor"/>
      </rPr>
      <t xml:space="preserve"> "jedan na drugi" zbog spremanja u spremište. 
Sjedalo i naslon izrađeni iz jednog komada od
bukovog šper otpresaka min. debljine 6 mm
anatomski oblikovanog. Noge stolca izrađene
su od čelične okrugle cijevi sa zaštitnim epoksidni/poliesterski premaz u prahu. Površina drvenog dijela mora biti brušena granulacijom 180 te lakirana viskokvalitetnim PU lakom u boji. Svi rubovi moraju biti zaobljeni. Stolice se mogu slagati. Uključiti zaštitne elemente na nogama protiv grebanja poda. Visina sjedenja: h=46 cm. Sve u mat boji po izboru projektanta. Prije konačnog odabira izvođač je dužan dostaviti uzorak projektirane boje i obrade.
</t>
    </r>
  </si>
  <si>
    <r>
      <rPr>
        <b/>
        <sz val="10"/>
        <rFont val="Calibri"/>
        <family val="2"/>
        <charset val="238"/>
        <scheme val="minor"/>
      </rPr>
      <t>Polica zidna</t>
    </r>
    <r>
      <rPr>
        <sz val="10"/>
        <rFont val="Calibri"/>
        <family val="2"/>
        <charset val="238"/>
        <scheme val="minor"/>
      </rPr>
      <t xml:space="preserve">, dim. (ŠDV) 106x40x40 cm, izrađena od iverice oplemenjene melaminskom folijom debljine 18 mm, obrubljen ABS trakom deb. 2 mm. Polica je s prednje strane otvorena, s 3 pretinca. Završna obrada u mat boji, po izboru projektanta. Boja RAL 1013 ili jednakovrijedna boja________________________. Prije konačnog odabira izvođač je dužan dostaviti uzorak projektirane boje i obrade. Sve izraditi prema shemi stavke C.1.7.b
</t>
    </r>
  </si>
  <si>
    <r>
      <rPr>
        <b/>
        <sz val="10"/>
        <rFont val="Calibri"/>
        <family val="2"/>
        <charset val="238"/>
        <scheme val="minor"/>
      </rPr>
      <t>Stol radni</t>
    </r>
    <r>
      <rPr>
        <sz val="10"/>
        <rFont val="Calibri"/>
        <family val="2"/>
        <charset val="238"/>
        <scheme val="minor"/>
      </rPr>
      <t xml:space="preserve">, dim. (ŠDV) 150x75x75 cm, gornja ploča izrađena od iverice oplemenjene melaminskom folijom debljine 25 mm, otpornom na ogrebotine i obrubljenom ABS trakom debljine 2 mm, na metalnom podnožju od kvadratičnih čeličnih profila 30 x 30 mm. Uključiti zaštitne elemente na nogama protiv grebanja poda. Završna obrada u mat boji, po izboru projektanta. Boja RAL 1013 ili jednakovrijedna boja________________________. Prije konačnog odabira izvođač je dužan dostaviti uzorak projektirane boje i obrade. Sve izraditi prema shemi stavke C.5.1.
</t>
    </r>
  </si>
  <si>
    <r>
      <rPr>
        <b/>
        <sz val="10"/>
        <rFont val="Calibri"/>
        <family val="2"/>
        <charset val="238"/>
        <scheme val="minor"/>
      </rPr>
      <t>Stolica</t>
    </r>
    <r>
      <rPr>
        <sz val="10"/>
        <rFont val="Calibri"/>
        <family val="2"/>
        <charset val="238"/>
        <scheme val="minor"/>
      </rPr>
      <t xml:space="preserve">, drvena s čeličnim nogama
Sjedalo i naslon izrađeni iz jednog komada od
bukovog šper otpresaka min. debljine 6 mm
anatomski oblikovanog. Noge stolca izrađene
su od čelične okrugle cijevi sa zaštitnim epoksidni/poliesterski premaz u prahu. Površina drvenog dijela mora biti brušena granulacijom 180 te lakirana viskokvalitetnim PU lakom u boji. Svi rubovi moraju biti zaobljeni. Stolice se mogu slagati. Uključiti zaštitne elemente na nogama protiv grebanja poda.  Visina sjedenja: h=46 cm. Sve u mat boji po izboru projektanta. Prije konačnog odabira izvođač je dužan dostaviti uzorak projektirane boje i obrade.
</t>
    </r>
  </si>
  <si>
    <t xml:space="preserve">planiranje kolno-pješačkih površina -  pristupne kolne i pješačke površine, i parkiralištne površine, uz ulicu Hermana Gmeinera,  (izvedbe unutar predmetne čestice).
</t>
  </si>
  <si>
    <t xml:space="preserve">Postavlja se preko protupožarnih gipskartonskih ploča.
Obavezna primjena specijalnih traka za spajanje preklopa parnih brana te brtvljenje spojeva između parnih brana i bočnih zidova. Radove izvesti prema uputama proizvođača.
</t>
  </si>
  <si>
    <r>
      <rPr>
        <b/>
        <sz val="10"/>
        <rFont val="Calibri"/>
        <family val="2"/>
      </rPr>
      <t>Dobava i postava  HDPE paropropusne i vodonepropusne folije</t>
    </r>
    <r>
      <rPr>
        <sz val="10"/>
        <rFont val="Calibri"/>
        <family val="2"/>
      </rPr>
      <t xml:space="preserve"> debljine 0,25 mm, u slojevima krova. Folija se polaže s prelijepljenim preklopima min. 10 cm.
</t>
    </r>
  </si>
  <si>
    <t xml:space="preserve">Traku zalijepiti  uz sve vertikalne dijelove (nadzide, prodore, priključke i dr.). U zonama uz vertikalne prodore sloj  potrebno je dići minimalno 20 cm iznad visine termo izolacije.
</t>
  </si>
  <si>
    <r>
      <rPr>
        <b/>
        <sz val="10"/>
        <rFont val="Calibri"/>
        <family val="2"/>
      </rPr>
      <t xml:space="preserve">Dobava i postava zaštitne čepaste PEHD folije, debljine 0,6 mm. </t>
    </r>
    <r>
      <rPr>
        <sz val="10"/>
        <rFont val="Calibri"/>
        <family val="2"/>
        <charset val="238"/>
      </rPr>
      <t xml:space="preserve">Folija se polaže na HI u podu, s preklopima minimalno 10 cm.
</t>
    </r>
  </si>
  <si>
    <t xml:space="preserve">limeni opšav donjeg ruba kose plohe - okapnog lima koji se postavlja preko vanjskog ruba žlijeba i preko ruba vertikalne krovne plohe krova u zoni ravnog krova,  r.š. do 35 cm.
</t>
  </si>
  <si>
    <r>
      <rPr>
        <b/>
        <sz val="10"/>
        <color indexed="8"/>
        <rFont val="Calibri"/>
        <family val="2"/>
      </rPr>
      <t xml:space="preserve">Dobava materijala i izrada opšava krovnog vijenca (rubovi i nadozid ravnog krova), </t>
    </r>
    <r>
      <rPr>
        <sz val="10"/>
        <color indexed="8"/>
        <rFont val="Calibri"/>
        <family val="2"/>
      </rPr>
      <t xml:space="preserve"> od obojenog aluminijskog lima. Lim debljine 1,0 mm, u boji i površinskoj obradi po izboru projektanta. 
</t>
    </r>
  </si>
  <si>
    <t xml:space="preserve">Lim se na gornju plohu vijenca/ruba pričvršćuje pomoću držača - kuka. Maksimalni razmak držača je 30 cm.
</t>
  </si>
  <si>
    <t xml:space="preserve">Boja stijena RAL 6021 ili jednakovrijedna boja________________________.
Prije konačnog odabira izvođač je dužan dostaviti uzorak projektirane boje i obrade.
</t>
  </si>
  <si>
    <t>vanjska trodjelna ostakljena stijena sastavljena od: jednokrilnog  zaokretnog ostakljenog dijela, jednokrilnog otklopno-zaokretnog punog dijela dijela te otklopnog parapetnog dijela;
veličina zidarskog otvora 300x300 cm, kvake s ključem protiv neovlaštenog otvaranja, parapetni dio se servisno otvara,  električno podizni unutarnji rolo, debljina ugradbenog zida dz=40 cm, (zid od armiranog betona 20 cm), D/L=5, shema vanjske AL bravarije br.: 2</t>
  </si>
  <si>
    <t xml:space="preserve">Izvedene su iz aluminijskih profila 45N. Aluminijski profili su izvedeni iz primarne legure aluminija EN AW 6060 (UNI EN 755-2) T5. 
Debljina okvira 45 mm, a krila s otvorenim spojem 55 mm. 
</t>
  </si>
  <si>
    <t xml:space="preserve">Toplinske karakteristike: 
Vanjske stavke: ukupni prolaz topline punih vrata je Uw≤2,00 W/m2K dok je ukupni prolaz topline ostakljenog otvora Uw≤1,30 W/m2K.
Unutarnje stavke: bez zahtjeva.
</t>
  </si>
  <si>
    <t xml:space="preserve">Čelični profili su dimenzija 60x60x5 mm, odgovarajuće vijcima pričvršćeni na konstrukciju  preko čeličnih profila i pločica sidrenih u  armiranobetonsku konstrukciju.
</t>
  </si>
  <si>
    <t xml:space="preserve">- Stupovi su čelični, pocinčani s dodatnom pvc zaštitom kao završnim slojem. Postavljaju se na međusobnom razmaku maksimalno 2,0-2,5 m.
Stupovi su H profili na koje se paneli učvršćuju postranice pomoću posebnih metalnih spojnica. Zavareni cjevasti stupovi, H-profila pokriveni su plastičnom kapom.
Visina stupa min. 1500 mm. Stup se u temelj sidri preko sidrene ploče vijaka koji se sidre u armiranobetonski temelj.
 Stupovi se pocinčavaju s vanjske i unutrašnje strane i plastificiraju (min. 100 mikrona).
</t>
  </si>
  <si>
    <t xml:space="preserve">Osnovna konstrukcija izvedena od vruće cinčanih metalnih profila, završno elektrostatski plastificirani u mat boju.
</t>
  </si>
  <si>
    <t xml:space="preserve">Element za pridržanje je od:
- čeličnog vruće cinčanog cijevnog profila, završno elektrostatski plastificiran u mat boju.
</t>
  </si>
  <si>
    <t xml:space="preserve">Stavku je moguće sastaviti od više elemenata: primjerice 8 klupa dužine 180 cm.
</t>
  </si>
  <si>
    <r>
      <rPr>
        <b/>
        <i/>
        <sz val="10"/>
        <rFont val="Calibri"/>
        <family val="2"/>
        <charset val="238"/>
        <scheme val="minor"/>
      </rPr>
      <t xml:space="preserve">Napomena: </t>
    </r>
    <r>
      <rPr>
        <i/>
        <sz val="10"/>
        <rFont val="Calibri"/>
        <family val="2"/>
        <charset val="238"/>
        <scheme val="minor"/>
      </rPr>
      <t xml:space="preserve">sve stavke uključuju dobavu na mjesto ugradnje, montažu i puštanje u pogon do pune funkcionalnosti. Sve stavke se mogu zamijeniti jednakovrijednim proizvodima samo uz odobrenje projektanta i garanciju funkcionalnosti, te zadovoljavanja svih projektnih parametara.
</t>
    </r>
  </si>
  <si>
    <t xml:space="preserve">Sve građevinske prodore u podovima, stropovima i zidovima za instalacije treba obuhvatiti građevinskim radovima, dok prodori za prolaze cjevovoda (osim kroz armirano-betonske konstrukcije), kao i ugradnja proturnih cijevi u istim, obuhvaćeni su ovom specifikacijom.
</t>
  </si>
  <si>
    <t xml:space="preserve">Svaki krug rashladnog sredstva osnovne jedinice sadrži: elektromagnetni ventil na dovodu tekuće faze, 4-smjerni prekretni ventil, servisni ventili prije i nakon kompresora, reciever tekuće faze radnog medija, priključci za punjenje radnog medija, kontrolno staklo, filter za isušivanje, elektronski ekspanzijski ventil, prekidači visokog i niskog tlaka te separator usisne tekućine.
</t>
  </si>
  <si>
    <t xml:space="preserve">- minimalni stupanj regulacije kapaciteta i broj rashladnih krugova
</t>
  </si>
  <si>
    <t xml:space="preserve">Gumeni prirubnički kompenzator za ublažavanje vibracija, te aksijalnih i lateralnih dilatacija, PN 10, uključivo protuprirubnice, brtve i vijci slijedeće dimenzije:
</t>
  </si>
  <si>
    <t xml:space="preserve">Visokokvalitetni izolirani bivalentni spremnik PTV-a . Izvedba s velikom površinom cijevnog izmjenjivača prikladno za korištenje s dizalicama topline. Kompleksna zaštita od korozije izvedena pomoću titanskog emajla i zaštite anoda. U kompletu sa svim brtvenim, montažnim i spojevim materijalom do puštanja u pogon. Revizijski otvor u donjoj zoni spremnika.
</t>
  </si>
  <si>
    <t xml:space="preserve">Uvarni za zavarivanje.
Ožljebljeni krajevi.
</t>
  </si>
  <si>
    <t xml:space="preserve">Ličenje svih cjevovoda i opreme s dva premaza temeljnom bojom (u dvije nijanse), uz prethodno mehaničko čišćenje od hrđe.
</t>
  </si>
  <si>
    <t xml:space="preserve">Regulator podnog grijanja, 230V
- 8 ulaza za termostate podnog grijanja
- 1 relejni izlaz za crpku podnog grijanja 
- 1 relejni izlaz za plinski bojler
</t>
  </si>
  <si>
    <t xml:space="preserve">Ogrijevni učinak odabran je na temperaturi prostora 20 °C i temperaturi tople vode 45/40 °C.
</t>
  </si>
  <si>
    <t xml:space="preserve">Rashladni učinak odabran je prema temperaturi prostora 26 °C suhog termometra / 19°C vlažnog termometra i temperaturi hladne vode 7/12°C.
</t>
  </si>
  <si>
    <t xml:space="preserve">Dobava i ugradnja navojnog priključka za regulacijske ventile iz stavke 2.5., holenderski, slijedećih dimenzija:
</t>
  </si>
  <si>
    <t>Višeslojna cijev PE-Xc/Aluminij/PE-Xc za instalacije grijanja. Cijevi su slijedećih dimenzija:</t>
  </si>
  <si>
    <t>Server Računalo CNUS-a s pratećom opremom</t>
  </si>
  <si>
    <t xml:space="preserve">Ugradna svjetiljka sigurnosne rasvjete, pripravni mod rada, autonomija 3h, okruglo kućište bijele boje, predviđena za spajanje na centralni nadzorni sustav za ispitivanje i upravljanje,
Minimalne tehničke karakteristike:
Snaga LED izvora: 2W
Efektivni svjetlosni tok ≥ 290lm
Asimetrična uskosnopna optika za evakuaciijske puteve 
Zaštita od prodora stranih tijela ≥ IP65
Svjetiljka posjeduje važeći ENEC certifikat
</t>
  </si>
  <si>
    <t xml:space="preserve">230V, kabel NYM 3x1,5mm2 prosječno 20m, komplet sa PVC cijev Ø=20 mm, na izvodu ostaviti 3m viška kabela (pisoar)
</t>
  </si>
  <si>
    <t xml:space="preserve">Dobava, ugradnja i spajanje adresibilnog ulazno izlaznog modula sa dvostrukim izolatorom petlje sastavljen od 2 nadzirane fizičke/logičke jedinice: 1 ulaz i 1 izlaz, koje sustav pojedinačno identificira i zauzimaju do 2 adrese, u kućištu.
</t>
  </si>
  <si>
    <t xml:space="preserve">Dobava, montaža i spajanje univerzalnog podnožja za adresabilne detektore, sa izlazom za udaljene indikatore, bijela boja.
</t>
  </si>
  <si>
    <t xml:space="preserve">Vozno okno: 
- izvedba: armiranobetonsko 
- dimenzije: 2200 x 1850 mm
</t>
  </si>
  <si>
    <r>
      <t>Kolica</t>
    </r>
    <r>
      <rPr>
        <sz val="10"/>
        <rFont val="Calibri"/>
        <family val="2"/>
        <scheme val="minor"/>
      </rPr>
      <t xml:space="preserve"> za sportske rekvizite na kotačima, drvena, sa 3 police i rupama za štapove te ručkicama na krajevima kolica. Dimenzije: 115x50x90 cm
</t>
    </r>
  </si>
  <si>
    <r>
      <rPr>
        <b/>
        <sz val="10"/>
        <rFont val="Calibri"/>
        <family val="2"/>
        <scheme val="minor"/>
      </rPr>
      <t>Senzorna zidna ploča, zvučna</t>
    </r>
    <r>
      <rPr>
        <sz val="10"/>
        <rFont val="Calibri"/>
        <family val="2"/>
        <scheme val="minor"/>
      </rPr>
      <t>, tri različite dim. 35x35 cm. Drvena ploča koja se pričvršćuje na zid, ispunjena različitim predmetima za istraživanje osjećaja sluha. Predmeti ispuna koji proizvode razne zvukove mogu biti: metalne rotirajuće loptice, grebalice, kotači, uokvirene kuglice, bubanj, triangl, rotirajuće zvečke i sl. Uz ploču je priložen odgovarajući okov za montažu na zid. Moguća izrada drvenog okvira za ulaganje ploča ukoliko se povezuje više ploča u niz.</t>
    </r>
  </si>
  <si>
    <r>
      <rPr>
        <b/>
        <sz val="10"/>
        <rFont val="Calibri"/>
        <family val="2"/>
        <scheme val="minor"/>
      </rPr>
      <t>Senzorna zidna ploča, vizualna</t>
    </r>
    <r>
      <rPr>
        <sz val="10"/>
        <rFont val="Calibri"/>
        <family val="2"/>
        <scheme val="minor"/>
      </rPr>
      <t>, tri različite dim. 35x35 cm. Drvena ploča koja se pričvršćuje na zid, ispunjena različitim predmetima za istraživanje osjećaja vida. Predmeti ispuna s različitim vizualnim efektima mogu biti: holografska zrcala, zrcala s izobličenjima, valjci raznih boja, razni opitički i vizualni uzorci  i sl. Uz ploču je priložen odgovarajući okov za montažu na zid. Moguća izrada drvenog okvira za ulaganje ploča ukoliko se povezuje više ploča u niz.</t>
    </r>
  </si>
  <si>
    <t>Na površini ima polukružne drvene izbočine, dim.170x20 cm.</t>
  </si>
  <si>
    <t>Na površini ima otvore različitih promjera u kojima se nalaze mekane lopte od spužve, dim.170x20 cm.</t>
  </si>
  <si>
    <t>Duž površine ima postavljene 5 ploča s raznim materijalima - taktilne ploče, dim.170x20 cm.</t>
  </si>
  <si>
    <r>
      <rPr>
        <b/>
        <sz val="10"/>
        <rFont val="Calibri"/>
        <family val="2"/>
        <charset val="238"/>
        <scheme val="minor"/>
      </rPr>
      <t>Stol</t>
    </r>
    <r>
      <rPr>
        <sz val="10"/>
        <rFont val="Calibri"/>
        <family val="2"/>
        <charset val="238"/>
        <scheme val="minor"/>
      </rPr>
      <t xml:space="preserve">, dim. (ŠDV) 75x75x75 cm, gornja ploča izrađena od iverice oplemenjene melaminskom folijom debljine 25 mm, otpornom na ogrebotine i obrubljenom ABS trakom debljine 2 mm, na metalnom podnožju od  čeličnih profila. Uključiti zaštitne elemente na nogama protiv grebanja poda. Završna obrada u mat boji, po izboru projektanta. Boja RAL 1013 ili jednakovrijedna boja________________________. Prije konačnog odabira izvođač je dužan dostaviti uzorak projektirane boje i obrade.
</t>
    </r>
  </si>
  <si>
    <r>
      <rPr>
        <b/>
        <sz val="10"/>
        <rFont val="Calibri"/>
        <family val="2"/>
        <scheme val="minor"/>
      </rPr>
      <t>Tvrdi jastuci za sjedenje</t>
    </r>
    <r>
      <rPr>
        <sz val="10"/>
        <rFont val="Calibri"/>
        <family val="2"/>
        <scheme val="minor"/>
      </rPr>
      <t xml:space="preserve">  dim.50x50x40 cm. Načinjeni od čelične jezgre omotane poliuretanskom pjenom debljine 5 cm. Tapecirano u alcantari ili renni.  Sve u boji po izboru projektanta. Prije konačnog odabira izvođač je dužan dostaviti uzorak boje i obrade. Noge su drvene, visine 4 cm.
Oblikovne detalje i boje potrebno je usuglasiti s projektantom. Uključiti zaštitne elemente na nogama protiv grebanja poda.
</t>
    </r>
  </si>
  <si>
    <r>
      <rPr>
        <b/>
        <sz val="10"/>
        <rFont val="Calibri"/>
        <family val="2"/>
        <scheme val="minor"/>
      </rPr>
      <t>Drveni stolić</t>
    </r>
    <r>
      <rPr>
        <sz val="10"/>
        <rFont val="Calibri"/>
        <family val="2"/>
        <scheme val="minor"/>
      </rPr>
      <t xml:space="preserve">  dim. 55x55x40 cm. 
Oblikovanje i boju potrebno je usuglasiti s projektantom.  Prije konačnog odabira izvođač je dužan dostaviti uzorak boje i obrade.  Uključiti zaštitne elemente na nogama protiv grebanja poda.
</t>
    </r>
  </si>
  <si>
    <t>krovne ventilacijske vertikale:</t>
  </si>
  <si>
    <t>obloga stropa od GKB-I, 12,5 mm</t>
  </si>
  <si>
    <t xml:space="preserve">kamena vuna, d=15 cm </t>
  </si>
  <si>
    <r>
      <rPr>
        <b/>
        <sz val="10"/>
        <color indexed="8"/>
        <rFont val="Calibri"/>
        <family val="2"/>
      </rPr>
      <t>Dobava materijala i montaža obloge stropa na mjestu prodora ventilacijskih vertikala kroz krovnu pločus od jednostrukih impregniranih gipskartonskih ploča GKB-I</t>
    </r>
    <r>
      <rPr>
        <sz val="10"/>
        <color indexed="8"/>
        <rFont val="Calibri"/>
        <family val="2"/>
        <charset val="238"/>
      </rPr>
      <t xml:space="preserve">, d=12,5 mm, na prekrivenoj metalnoj podkonstrukciji od pocinčanih profila t=0,6 mm, u istoj razini, učvršćenoj na nosivi strop.
</t>
    </r>
  </si>
  <si>
    <t xml:space="preserve">Parna brana od PE folije 0,2 mm (s ljepljenim spojevima), se polaže iznad gipskartonske ploče.
</t>
  </si>
  <si>
    <t>B.11.10.</t>
  </si>
  <si>
    <t>U zonama prodora i spajanja s aluminijskim opšavnim limovima spojeve brtviti kompatibilnom samoljepljivom TPO trakom. (uključeno u stavci).</t>
  </si>
  <si>
    <t xml:space="preserve">- gredice 10x10 cm na međusobnom razmaku cca. 0,60 m, položene u dva međusobno okomita smjera (uzdužni dijelovi krova).  
- gredice 10x12 cm o 10/14 cm na međusobnom razmaku cca. 0,60 m, položene u jednom smjeru (bočni dijelovi krova). 
Polažu se na sloj parne brane (obračunata u HI radovima) na armiranobetonskoj kosoj ploči. Pocinčanim čeličnim vijcima i pričvrsnim elementima se povezuju s AB konstrukcijom i međusobno.
</t>
  </si>
  <si>
    <t xml:space="preserve">kamena vuna na kosom krovu oznake [K.1e2], debljine d=12 cm, donji sloj
</t>
  </si>
  <si>
    <t xml:space="preserve">kamena vuna na kosom krovu oznake [K.1e3], debljine d=14 cm, donji sloj
</t>
  </si>
  <si>
    <r>
      <rPr>
        <b/>
        <sz val="10"/>
        <color indexed="8"/>
        <rFont val="Calibri"/>
        <family val="2"/>
      </rPr>
      <t xml:space="preserve">Dobava i doprema, te postava specijalnih čelične armature za spriječavanje proboja temeljne ploče.
</t>
    </r>
    <r>
      <rPr>
        <sz val="10"/>
        <color indexed="8"/>
        <rFont val="Calibri"/>
        <family val="2"/>
        <charset val="238"/>
      </rPr>
      <t>Protuprobojna armatura sa svornjacima s dvostrukom glavom u točkasto opterećenim pločama i temeljima svojstava: 
- Tehnička specifikacija: EAD 160012-00-0301:</t>
    </r>
    <r>
      <rPr>
        <b/>
        <sz val="10"/>
        <color indexed="8"/>
        <rFont val="Calibri"/>
        <family val="2"/>
      </rPr>
      <t xml:space="preserve">
</t>
    </r>
    <r>
      <rPr>
        <sz val="10"/>
        <color indexed="8"/>
        <rFont val="Calibri"/>
        <family val="2"/>
        <charset val="238"/>
      </rPr>
      <t>- Faktor uvećanja za otpornost na proboj:
kpu,sl = 1,96, kpu,fo = 1,50
- Karakteristična otpornost na zamor za N =2·10</t>
    </r>
    <r>
      <rPr>
        <sz val="8"/>
        <color indexed="8"/>
        <rFont val="Calibri"/>
        <family val="2"/>
        <charset val="238"/>
      </rPr>
      <t>6</t>
    </r>
    <r>
      <rPr>
        <sz val="10"/>
        <color indexed="8"/>
        <rFont val="Calibri"/>
        <family val="2"/>
        <charset val="238"/>
      </rPr>
      <t xml:space="preserve"> promjena opterećenja: 
σRs,k,n = 70 MPa (n = 2·10</t>
    </r>
    <r>
      <rPr>
        <sz val="8"/>
        <color indexed="8"/>
        <rFont val="Calibri"/>
        <family val="2"/>
        <charset val="238"/>
      </rPr>
      <t>6</t>
    </r>
    <r>
      <rPr>
        <sz val="10"/>
        <color indexed="8"/>
        <rFont val="Calibri"/>
        <family val="2"/>
        <charset val="238"/>
      </rPr>
      <t>)</t>
    </r>
    <r>
      <rPr>
        <b/>
        <sz val="10"/>
        <color indexed="8"/>
        <rFont val="Calibri"/>
        <family val="2"/>
      </rPr>
      <t xml:space="preserve">
- </t>
    </r>
    <r>
      <rPr>
        <sz val="10"/>
        <color indexed="8"/>
        <rFont val="Calibri"/>
        <family val="2"/>
        <charset val="238"/>
      </rPr>
      <t>Ponašanje u požaru: A1</t>
    </r>
  </si>
  <si>
    <t>A.6.2.</t>
  </si>
  <si>
    <r>
      <rPr>
        <b/>
        <sz val="10"/>
        <color indexed="8"/>
        <rFont val="Calibri"/>
        <family val="2"/>
      </rPr>
      <t xml:space="preserve">Dobava i doprema gotove armature, te postava betonskog čelika </t>
    </r>
    <r>
      <rPr>
        <sz val="10"/>
        <color indexed="8"/>
        <rFont val="Calibri"/>
        <family val="2"/>
        <charset val="238"/>
      </rPr>
      <t xml:space="preserve">srednje složenosti u sve dijelove armiranobetonske konstrukcije zgrade  (temeljna ploča, stropne ploče, zidovi, stubišta).
Obračun po kg armature.
</t>
    </r>
  </si>
  <si>
    <t xml:space="preserve">Metalna konstrukcija za stojeći rekuperator mase cca. 500 kg iz stavke 3.2.. Rekuperator se montira u zoni iznad spuštenog stropa.
</t>
  </si>
  <si>
    <t>Čelični profili su vruće cinčani. 
Izvođač treba dati radioničke nacrte, detalje bravarskih stavki i statički proračun za bravarske stavke; sve dati na odobrenje nadzornom inženjeru te u smislu oblikovnih karakteristika na odobrenje projektantu.
Statički proračun treba biti ovjeren od strane ovlaštene osobe.
U cijenu uključiti kompletnu izradu, radioničku dokumentaciju, dobavu i dostavu na gradilište, montažu spojnih elemenata, izvedbu svih potrebnih ukruta, potkonstrukcije, ugradnju, zaštitu u tijeku ugradnje, sve do pune funkcionalnosti. Svi spojni elementi su vruće cinčani.</t>
  </si>
  <si>
    <t>Okno je predviđeno armirati armaturom B 500 B, prema statičkom proračunu i planu armature.</t>
  </si>
  <si>
    <t xml:space="preserve">Armatura: RA: 2487 kg; MA: 4324 kg.
Oplata: 250 m2
Beton: 51,2 m3
</t>
  </si>
  <si>
    <t>ili jednakovrijedna _______________________________.</t>
  </si>
  <si>
    <r>
      <rPr>
        <b/>
        <sz val="10"/>
        <rFont val="Calibri"/>
        <family val="2"/>
      </rPr>
      <t>Dječja stolica sa rukonaslonom</t>
    </r>
    <r>
      <rPr>
        <sz val="10"/>
        <rFont val="Calibri"/>
        <family val="2"/>
        <charset val="238"/>
      </rPr>
      <t xml:space="preserve"> (mlađa jaslička skupina), visine 26 cm, konstrukcija natur bukov masiv, bezbojni lak, naslon i sjedalo anatomski oblikovani natur bukov šper. Uključiti zaštitne elemente na nogama protiv grebanja poda. Sve funkcionalne dimenzije i ostale značajke stolica usklađene sa zahtjevima HRN EN-1729-1 ili jednakovrijedna ___________________ i HRN EN-1729-2 ili jednakovrijedna ___________________.
</t>
    </r>
  </si>
  <si>
    <r>
      <t xml:space="preserve">Stolica odgajateljska </t>
    </r>
    <r>
      <rPr>
        <sz val="10"/>
        <rFont val="Calibri"/>
        <family val="2"/>
        <charset val="238"/>
      </rPr>
      <t xml:space="preserve">bez rukonaslona, visine 45 cm, konstrukcija natur bukov masiv, bezbojni lak, naslon i sjedalo anatomski oblikovani natur bukov šper. Uključiti zaštitne elemente na nogama protiv grebanja poda. Sve funkcionalne dimenzije i ostale značajke stolica usklađene sa zahtjevima HRN EN-1729-1 ili jednakovrijedna ___________________ i HRN EN-1729-2 ili jednakovrijedna ___________________.
</t>
    </r>
  </si>
  <si>
    <r>
      <rPr>
        <b/>
        <sz val="10"/>
        <rFont val="Calibri"/>
        <family val="2"/>
      </rPr>
      <t>Dječja stolica bez rukonaslona</t>
    </r>
    <r>
      <rPr>
        <sz val="10"/>
        <rFont val="Calibri"/>
        <family val="2"/>
        <charset val="238"/>
      </rPr>
      <t xml:space="preserve">, visine 30 cm, konstrukcija natur bukov masiv, bezbojni lak, naslon i sjedalo anatomski oblikovani natur bukov šper. Uključiti zaštitne elemente na nogama protiv grebanja poda. Sve funkcionalne dimenzije i ostale značajke stolica usklađene sa zahtjevima HRN EN-1729-1 ili jednakovrijedna ___________________ i HRN EN-1729-2 ili jednakovrijedna ___________________.
</t>
    </r>
  </si>
  <si>
    <r>
      <rPr>
        <b/>
        <sz val="10"/>
        <rFont val="Calibri"/>
        <family val="2"/>
        <charset val="238"/>
      </rPr>
      <t>Dječja stolica</t>
    </r>
    <r>
      <rPr>
        <sz val="10"/>
        <rFont val="Calibri"/>
        <family val="2"/>
      </rPr>
      <t xml:space="preserve"> </t>
    </r>
    <r>
      <rPr>
        <b/>
        <sz val="10"/>
        <rFont val="Calibri"/>
        <family val="2"/>
      </rPr>
      <t>bez rukonaslona</t>
    </r>
    <r>
      <rPr>
        <sz val="10"/>
        <rFont val="Calibri"/>
        <family val="2"/>
      </rPr>
      <t>, visine 34 cm, konstrukcija natur bukov masiv, bezbojni lak, naslon i sjedalo anatomski oblikovani natur bukov šper. Uključiti zaštitne elemente na nogama protiv grebanja poda. Sve funkcionalne dimenzije i ostale značajke stolica usklađene sa zahtjevima HRN EN-1729-1 ili jednakovrijedna ___________________ i HRN EN-1729-2 ili jednakovrijedna ___________________.</t>
    </r>
    <r>
      <rPr>
        <b/>
        <sz val="10"/>
        <rFont val="Calibri"/>
        <family val="2"/>
        <charset val="238"/>
      </rPr>
      <t xml:space="preserve">
</t>
    </r>
  </si>
  <si>
    <r>
      <rPr>
        <b/>
        <sz val="10"/>
        <rFont val="Calibri"/>
        <family val="2"/>
        <charset val="238"/>
      </rPr>
      <t>Dječja stolica</t>
    </r>
    <r>
      <rPr>
        <sz val="10"/>
        <rFont val="Calibri"/>
        <family val="2"/>
      </rPr>
      <t xml:space="preserve"> bez rukonaslona, visine 34 cm, konstrukcija natur bukov masiv, bezbojni lak, naslon i sjedalo anatomski oblikovani natur bukov šper. Uključiti zaštitne elemente na nogama protiv grebanja poda. Sve funkcionalne dimenzije i ostale značajke stolica usklađene sa zahtjevima HRN EN-1729-1 ili jednakovrijedna ___________________ i HRN EN-1729-2 ili jednakovrijedna ___________________.</t>
    </r>
    <r>
      <rPr>
        <b/>
        <sz val="10"/>
        <rFont val="Calibri"/>
        <family val="2"/>
        <charset val="238"/>
      </rPr>
      <t xml:space="preserve">
</t>
    </r>
  </si>
  <si>
    <t>Dobava, ugradnja i spajanje adresabilne vatrodojavne centrale s mikro procesorom i 2 petlje svaka s 128 adresa, proširivo do 4 petlje sa ukupno 512 adresa, digitalna komunikacija, sa zaslonom, programabilna putem tipkovnice i računala (USB priključak), 1000 memorijskih događaja, mogućnost povezivanja daljinskog upravljača, izlaz 2A, omogućuje kompenzaciju prašine, BUS komunikacija s detektorima i sučeljima, jednostavna zamjena natpisa na glavnoj ploči, omogućena centralna kontrola sa sustavom Iperview, jednostavno praćenje i resetiranje senzora. Sa slijedećim karakteristikama:
- 2-4 adresabilne petlje za do 512 adresa
- integrirani zaslonn s alfanumeričkom tipkovnicoma, navigacijskim tipkama i LED indikatorima 
- RS232/RS485 sučelje
- USB + USB (host)
- Ethernet sučelje
- Modem PSTN/GSM
- Konektor za PS2 tipkovnicu
- USB veza, serijska veza, Ethernet hub
- terminal za spajanje udaljenog panela
- sukladno s HRN EN 54-2:1997 + A1:2006 - EN 54-4:1997 + A2:2006   ili jednakovrijedne norme ___________________.</t>
  </si>
  <si>
    <t xml:space="preserve">Dobava, ugradnja i spajanje resetabilnog adresibilnog ručnog javljača s dvostrukim izolatorom petlje i nelomljivim povratnim staklom. Kompletno upravljanje uređajem. Za unutarnju upotrebu. Sukladno s HRN EN 54-11: 2001 + A1: 2005 - HRN EN 54-17: 2005 ili jednakovrijedne norme ___________________.
</t>
  </si>
  <si>
    <t xml:space="preserve">Fleksibilno INOX žicom opletene cijevi PN 10, s navojnim priključkom, duljine cijevi oko 500 mm, za spajanje jedinica na cijevnu mrežu  u kompletu sa termoizolacijskih plaštom debljine 19 mm prema HRN EN 1756 ili jednakovrijedno ___________________.
</t>
  </si>
  <si>
    <t xml:space="preserve">Izolacija cjevovoda kondenzata iznad spuštenog stropa slabo gorivom izolacijom s parnom branom, tip AF/ Armaflex kvalitete prema HRN DIN 4102 - dio 1/klasifikacija B1 (N.N. broj 69/97) ili jednakovrijedno ___________________. Materijal izolacije mora imati parnu branu i slijedeće termodinamičke karakteristike: toplinska vodljivost kod 0oC: l (W/moC) £ 0,033, koef. otpora difuziji vodene pare: m ³ 10.000, koef. vodljivosti difuzije vodene pare: d (g/mhbar 10 -3) = 0,00013, upijanje vode difuzijom maksimalno 0,27% u odnosu na volumen i temperaturno područje primjene -50¸105oC. Materijal izolacije cijevi debljine je AF-1. Stavka uključuje potrebnu količinu ljepila Armaflex 520 te završne originalne trake AF/Armaflex za spojeve.  </t>
  </si>
  <si>
    <t>Kanali za razvod uzduha s jedinica ventilokonvektora izrađeni iz pocinčanog lima prema HRN DIN 2490  ili jednakovrijedno ___________________. Uključivo svi fazonski komadi, regulatori za ručno podešavanje protoka, kanalski nastavci, koljena s registrima skretnih limova, usmjerni lim (s = 1 mm) te prirubnice iz kutnog željeza. Isključivo zavjesni, pričvrsni i brtveni materijal.</t>
  </si>
  <si>
    <t>Fleksibilni kanali od višeslojne poliesterske folije ojačane spiralnom jezgrom od čelične žice ili naboranim spiralnim trakama od aluminija te predizolirani. Kanali su za spajanje na distributere zraka, postojani na radnu temperaturu od -30°C do 140°C, klase zapaljivosti B-s1,d0 prema HRN EN 13501  ili jednakovrijedno ___________________, slijedećih dimenzija:</t>
  </si>
  <si>
    <t xml:space="preserve">Indukcijska kuhinjska odsisna napa prostorne pravokutne izvedbe, s priključcima otpadnog i dobavnog indukcijskog zraka. Izrađena je od nehrđajučeg čelika AISI 304 sistemom zavarenih rubova, konstruirana sukladno normi HRN EN 16282-2_2016. Na rubovima s donje strane kuhinjske nape nalaze se dva reda mlaznica, koje pušu u dva smjera te istovremeno stvaraju efikasan indukcijski mlaz i zračnu zavjesu prema osoblju. Tlačni ventilator s konstantnim tlakom opskrbljuje mlaznice s dovodnim zrakom. Ventilatorom se upravlja putem upravljačke jedinice koja je ugrađena u dovodnoj komori, a mjeri i kontrolira statički nadtlak u komori. Zadana vrijednost se tvornički kalibrira i podešava na 60 Pa nadtlaka u komori za dovod zraka. Uz napu se standardno isporučuje odgovarajući broj ciklonskih filtera za masnoću sukladno normi HRN EN 16282-6_2020 ili jednakovrijedno ___________________. U unutrašnjosti kuhinjske nape integrirana je LED rasvjeta boje 4000 K otporna na povišene temperature i drenažni priključci za odvod masnoće i kondenzata. Uz napu se isporučuje i sustav ovjesa za jednostavnu i brzu montažu. U priključcima kuhinjske nape integrirane su regulacijske šiber zaklopke za balansiranje protoka. </t>
  </si>
  <si>
    <t>Konvencionalna kuhinjska odsisna napa zidne pravokutne izvedbe, s priključcima otpadnog zraka, izrađena je od nehrđajučeg čelika AISI 304 sistemom zavarenih rubova, konstruirana sukladno HRN EN 16282-2_2016 ili jednakovrijedno ___________________. Uz napu se standardno isporučuje odgovarajući broj ciklonskih filtera za masnoću, sukladnih normi HRN EN 16282-6_2020. U unutrašnjosti kuhinjske nape integrirana je LED rasvjeta boje 4000 K otporna na povišene temperature te drenažni priključci za odvod masnoće i kondenzata. Uz napu isporučuje se i sustav ovjesa za jednostavnu i brzu montažu. U priključcima kuhinjske nape integrirane su regulacijske šiber zaklopke za balansiranje protoka.</t>
  </si>
  <si>
    <t>Konvencionalna kuhinjska odsisna napa zidne pravokutne izvedbe, s priključcima otpadnog zraka, izrađena je od nehrđajučeg čelika AISI 304 sistemom zavarenih rubova, konstruirana sukladno HRN EN 16282-2_2016 ili jednakovrijedno ___________________. Uz napu se standardno isporučuje odgovarajući broj ciklonskih filtera za masnoću, sukladnih normi HRN EN 16282-6_2020 ili jednakovrijedno ___________________. U unutrašnjosti kuhinjske nape integrirana je LED rasvjeta boje 4000 K otporna na povišene temperature te drenažni priključci za odvod masnoće i kondenzata. Uz napu isporučuje se i sustav ovjesa za jednostavnu i brzu montažu. U priključcima kuhinjske nape integrirane su regulacijske šiber zaklopke za balansiranje protoka.</t>
  </si>
  <si>
    <t>Fleksibilni kanali od višeslojne poliesterske folije ojačane spiralnom jezgrom od čelične žice ili naboranim spiralnim trakama od aluminija te predizolirani. Kanali su za spajanje na distributere zraka, postojani na radnu temperaturu od -30°C do 140°C, klase zapaljivosti B-s1,d0 prema HRN EN 13501 ili jednakovrijedno ___________________, slijedećih dimenzija:</t>
  </si>
  <si>
    <r>
      <rPr>
        <b/>
        <sz val="10"/>
        <rFont val="Calibri"/>
        <family val="2"/>
        <scheme val="minor"/>
      </rPr>
      <t>Nabava, doprema i ugradnja PVC</t>
    </r>
    <r>
      <rPr>
        <sz val="10"/>
        <rFont val="Calibri"/>
        <family val="2"/>
        <scheme val="minor"/>
      </rPr>
      <t xml:space="preserve"> cijevi SN-4  za temeljni razvod HRN EN 1401-1 ili jednakovrijedno ___________________, uključujući i brtveni materijal. Obračun se vrši po m1 montirane cijevi.  </t>
    </r>
  </si>
  <si>
    <r>
      <rPr>
        <b/>
        <sz val="10"/>
        <rFont val="Calibri"/>
        <family val="2"/>
        <scheme val="minor"/>
      </rPr>
      <t>Nabava, doprema i ugradnja PVC fazonskih komada</t>
    </r>
    <r>
      <rPr>
        <sz val="10"/>
        <rFont val="Calibri"/>
        <family val="2"/>
        <scheme val="minor"/>
      </rPr>
      <t xml:space="preserve"> SN-4  za uličnu kanalizaciju prema HRN EN 1401-1 ili jednakovrijedno ___________________, uključujući i brtveni materijal. Obračun po komadu.</t>
    </r>
  </si>
  <si>
    <r>
      <rPr>
        <b/>
        <sz val="10"/>
        <rFont val="Calibri"/>
        <family val="2"/>
        <scheme val="minor"/>
      </rPr>
      <t>Izrada priključaka na revizijska okna.</t>
    </r>
    <r>
      <rPr>
        <sz val="10"/>
        <rFont val="Calibri"/>
        <family val="2"/>
        <scheme val="minor"/>
      </rPr>
      <t xml:space="preserve"> U stavku uračunati nabavu, dopremu i ugradnju ugradbenih komada (RDS ili KGF) sa gumenom brtvom za PVC kanalizacijske cijevi prema HRN EN 1401-1 ili jednakovrijedno ___________________. Obračun po komadu. 
</t>
    </r>
  </si>
  <si>
    <r>
      <rPr>
        <b/>
        <sz val="10"/>
        <rFont val="Calibri"/>
        <family val="2"/>
        <scheme val="minor"/>
      </rPr>
      <t>Izrada priključka na javni vodovod</t>
    </r>
    <r>
      <rPr>
        <sz val="10"/>
        <rFont val="Calibri"/>
        <family val="2"/>
        <scheme val="minor"/>
      </rPr>
      <t xml:space="preserve"> d225 te priključnog voda od PEHD d75 prema odrednicama HRN EN 12201 ili jednakovrijedno ___________________, za tlak NP10. Spajanje  elektrospojnicama. Cijev se polaže u rov na pripremljenu pješčanu posteljicu, sve do vodomjerne komore. Duljina spojnog voda cca. 15m. Obračun komplet. 
</t>
    </r>
  </si>
  <si>
    <r>
      <rPr>
        <b/>
        <sz val="10"/>
        <rFont val="Calibri"/>
        <family val="2"/>
        <scheme val="minor"/>
      </rPr>
      <t xml:space="preserve">Nabava, doprema i ugradnja PEHD vodovodnih cijevi </t>
    </r>
    <r>
      <rPr>
        <sz val="10"/>
        <rFont val="Calibri"/>
        <family val="2"/>
        <scheme val="minor"/>
      </rPr>
      <t>prema odrednicama HRN EN 12201 ili jednakovrijedno ___________________, za tlak NP10. Spajanje  elektrospojnicama. Cijev se polaže u rov na pripremljenu pješčanu posteljicu. Obračun se obavlja po m1 montirane cijevi.  
U stavci su prikazane stvarne dužine cijevi prema projektu, a fazonske komade (koljena, račve, redukcije, prijelazne komade) je potrebno uključiti u cijenu.</t>
    </r>
  </si>
  <si>
    <r>
      <rPr>
        <b/>
        <sz val="10"/>
        <rFont val="Calibri"/>
        <family val="2"/>
        <scheme val="minor"/>
      </rPr>
      <t>Nabava, doprema i ugradnja PP cijevi</t>
    </r>
    <r>
      <rPr>
        <sz val="10"/>
        <rFont val="Calibri"/>
        <family val="2"/>
        <scheme val="minor"/>
      </rPr>
      <t xml:space="preserve"> za kućnu kanalizaciju prema HRN EN 1451 ili jednakovrijedno ___________________ (</t>
    </r>
    <r>
      <rPr>
        <sz val="10"/>
        <rFont val="Calibri"/>
        <family val="2"/>
      </rPr>
      <t xml:space="preserve">horizontalni katni razvod). Obračun se vrši po m1 ugrađene cijevi uključujući brtveni materijal. U stavci su prikazane stvarne dužine cijevi prema projektu, a fazonske komade (koljena, račve, redukcije, prijelazne komade) je potrebno uključiti u cijenu.
</t>
    </r>
  </si>
  <si>
    <r>
      <rPr>
        <b/>
        <sz val="10"/>
        <rFont val="Calibri"/>
        <family val="2"/>
        <scheme val="minor"/>
      </rPr>
      <t>Nabava, doprema i ugradnja zvučno optimiranih troslojnih odvodnih cijevi od polipropilena</t>
    </r>
    <r>
      <rPr>
        <sz val="10"/>
        <rFont val="Calibri"/>
        <family val="2"/>
        <scheme val="minor"/>
      </rPr>
      <t xml:space="preserve"> s mineralnom ispunom PP-MD (niskošumni polipropilen),  izrađenih sukladno HRN EN 1451-1:2000 ili jednakovrijedno ___________________, SN4, oznake postojanosti oblika S16 
za vertikalne i horizontalne razvode te priključke sanitarnih predmeta u podu i/ili zidu,</t>
    </r>
    <r>
      <rPr>
        <sz val="10"/>
        <rFont val="Calibri"/>
        <family val="2"/>
      </rPr>
      <t xml:space="preserve"> sa spajanjem natičnim spojnicama, uključujući fazonske komade, spojni i pričvrsni materijal i originalne sistemske obujmice s gumenim uloškom. 
Obračun po m1. U stavci su prikazane stvarne dužine cijevi prema projektu, a fazonske komade (koljena, račve, redukcije, prijelazni komadi) je potrebno uključiti u cijenu.
</t>
    </r>
  </si>
  <si>
    <r>
      <rPr>
        <b/>
        <sz val="10"/>
        <rFont val="Calibri"/>
        <family val="2"/>
        <scheme val="minor"/>
      </rPr>
      <t xml:space="preserve">Dobava, prijenos i montaža zvučno izolirane revizije </t>
    </r>
    <r>
      <rPr>
        <sz val="10"/>
        <rFont val="Calibri"/>
        <family val="2"/>
        <scheme val="minor"/>
      </rPr>
      <t xml:space="preserve">s okruglim servisnim otvorom, iz modificiranog niskošumnog polipropilena (PP-MD) sukladnu HRN EN 1451-1:2000 ili jednakovrijedno ___________________, SN4 (S16), za ugradnju u vertikalne i horizontalne razvode, s natičnim spajanjem i brtvom iz EPDM-a, za zvučno  izolirani sistem odvodnje. 
Spajanje kao cijevi. Obračun po komadu. </t>
    </r>
  </si>
  <si>
    <t xml:space="preserve">Podni industrijski slivnik izrađen prema HRN EN 1253 ili jednakovrijedno ___________________, s izvadivim zaporom za miris (sifonom), s vertikalnim odvodom DN 70, dosjedom za rešetku veličine 250x250mm, sve izrađeno iz nehrđajućeg čelika AISI 304. Tijelo, dosjed za rešetku i zapor za miris izrađeni postupkom dubokog vučenja sa radijusima većim od 3 mm, radi lakšeg čišćenja i održavanja, sve prema EHEDG-e standardima za prehrambenu industriju. Materijal dodatno zaštićen postupkom pikopasivizacije nakon izrade radi dodatne zaštite od agresivnih medija i korozije. </t>
  </si>
  <si>
    <t xml:space="preserve">Protuklizna (R11) mrežasta rešetka 250x250 mm za industrijske slivnike, izrađene iz nehrđajućeg čelika AISI 304 prema HRN EN 1253 ili jednakovrijedno ___________________. Visina rešetke 25 mm. Nosivost L15. Završna obrada rešetke elektropoliranje radi lakšeg čišćenja i održavanja </t>
  </si>
  <si>
    <t xml:space="preserve">Sito za nečistoće iz nehrđajućeg čelika AISI 304 prema HRN EN 1253 ili jednakovrijedno ___________________. </t>
  </si>
  <si>
    <t xml:space="preserve">Kanal iz nehrđajućeg čelika AISI 304 dodatno zaštićen postupkom piko-pasivizacije. Svi spojevi izrađeni sa radijusom većim od 3 mm prema higijnskom dizajnu HRN EN 14159 ili jednakovrijedno ___________________ te EHEDG standardima ili jednakovrijedno ___________________ za prehrambenu industriju, radi lakšeg čišćenja i održavanja. Tijelo izvedeno sa padom prema sredini i izljevom za spoj na podni slivnik. 
Slivnik sa vertikalnim izljevom DN100, protoka 1,5 l/sec. Tijelo opremljeno ankerima za beton i nogicama za nivelaciju prilikom ugradnje te sitom za sakupljenje nečistoća. 
Pokrovna rešetka protuklizna (R11), mrežasta razreda opterećenja A15 za pješačko opterećenje. Završna obrada rešetke elektropoliranje radi lakšeg čišćenja. </t>
  </si>
  <si>
    <r>
      <rPr>
        <b/>
        <sz val="10"/>
        <rFont val="Calibri"/>
        <family val="2"/>
        <scheme val="minor"/>
      </rPr>
      <t xml:space="preserve">Nabava, doprema i ugradnja troslojnih aluminijsko-plastičnih (PE-RT Type-II/Al/PE-RT Type-II) cijevi </t>
    </r>
    <r>
      <rPr>
        <sz val="10"/>
        <rFont val="Calibri"/>
        <family val="2"/>
        <charset val="238"/>
        <scheme val="minor"/>
      </rPr>
      <t>izrađenih sukladno HRN EN ISO 21003-2:2008 i HRN EN ISO 21003-3:2008 ili jednakovrijedne norme __________________________, sa spajanjem ˝press˝ spojnicama iz PVDF-a ili bronce,  za etažni razvod sanitarne hladne i tople vode (radni tlak do 10 bar i temperatura do 70°C). 
Stavka obuhvaća sve potrebne spojnice, redukcije, T-komade i potrebni pričvrsni i zaštitno-izolacijski materijal. Cijevi se isporučuju u palicama te u kolutima sa zaštitnom cijevi i izolacijom ili bez njih.</t>
    </r>
  </si>
  <si>
    <r>
      <rPr>
        <b/>
        <sz val="10"/>
        <rFont val="Calibri"/>
        <family val="2"/>
        <scheme val="minor"/>
      </rPr>
      <t xml:space="preserve">Nabava, doprema i ugradnja troslojnih aluminijsko-plastičnih (PE-RT Type-II/Al/PE-RT Type-II) cijevi </t>
    </r>
    <r>
      <rPr>
        <sz val="10"/>
        <rFont val="Calibri"/>
        <family val="2"/>
        <charset val="238"/>
        <scheme val="minor"/>
      </rPr>
      <t xml:space="preserve">izrađenih sukladno HRN EN ISO 21003-2:2008 i HRN EN ISO 21003-3:2008 ili jednakovrijedne norme _________________________, sa spajanjem ˝press˝ spojnicama iz PVDF-a ili bronce,  za glavni razvod sanitarne hladne i tople vode (radni tlak do 10 bar i temperatura do 70°C). 
Stavka obuhvaća sve potrebne spojnice, redukcije, T-komade i potrebni pričvrsni i ovjesni materijal.  Cijevi se isporučuju u palicama te u kolutima sa zaštitnom cijevi i izolacijom ili bez njih.Toplinsku izolaciju izvesti prema potrebi. </t>
    </r>
  </si>
  <si>
    <r>
      <rPr>
        <b/>
        <sz val="10"/>
        <rFont val="Calibri"/>
        <family val="2"/>
        <scheme val="minor"/>
      </rPr>
      <t xml:space="preserve">Nabava, doprema i ugradnja pocinčanih čeličnih cijevi </t>
    </r>
    <r>
      <rPr>
        <sz val="10"/>
        <rFont val="Calibri"/>
        <family val="2"/>
        <scheme val="minor"/>
      </rPr>
      <t>HRN C.B.225 ili jednakovrijedno ___________________, sa svim potrebnim spojnim i brtvenim materijalom. Cijevi vođene u podnim i zidnim usjecima izolirati filc trakom u dva sloja, a cijevi vođene slobodno u prostoru izolirati kamenom vunom debljine 5 cm (ukoliko je cijev vidljiva obući je aluminijskim plaštem debljine 0,5 mm). Obračun se obavlja po m1 montirane i izolirane cijevi.</t>
    </r>
  </si>
  <si>
    <t xml:space="preserve">Ugraditi u zid (prema projektu).
Zidni hidranti i pripadajuća oprema moraju biti sukladni HRN EN 671-1 ili HRN EN 671-2 ili jednakovrijedno ___________________.
Ormarić zidnog hidranta označava se simbolom prema HRN ISO 6309 ili jednakovrijedno ___________________. Obračun po kompletu.
</t>
  </si>
  <si>
    <t>Kvaliteta proizvoda prema normi HRN EN 39:2001 ili jednakovrijedno ___________________, Čelične cijevi u sustavu za nosive i radne skele.</t>
  </si>
  <si>
    <t xml:space="preserve">Kvaliteta proizvoda prema normi HRN EN 74:2008 ili jednakovrijedno ___________________. Spojnice, umetci i ležajne ploče za radne i potporne čelične cijevne skele.
</t>
  </si>
  <si>
    <t xml:space="preserve">Vidljive dijelove betona izvoditi sukladno smjernicama za "vidljivi beton" iz Napomene za armiranobetonske radove.
</t>
  </si>
  <si>
    <t xml:space="preserve">Opečni materijal za zidove u skladu s normom HRN EN 771-1:2015 - Opečni zidni elementi  ili jednakovrijedno ___________________.
</t>
  </si>
  <si>
    <t xml:space="preserve">HRN EN 1340:2004 - Betonski rubnjaci ili jednakovrijedno ___________________.
</t>
  </si>
  <si>
    <t>Mort u skladu s normom HRN EN 998-2:2010 - Mort za ziđe ili jednakovrijedno ___________________.</t>
  </si>
  <si>
    <t>Jednoslojna strojna žbuka sa zaribanom površinom, za sve unutarnje površine, uključujući kuhinje i kupaonice, kao i prostorije sa sličnom namjerom, gdje je opterećenje vlagom u granicama kako propisuje norma ÖNORM B 2207 (W4) ili jednakovrijedno ___________________.</t>
  </si>
  <si>
    <t xml:space="preserve">Žbuka u skladu s normom HRN EN 998-1:2010 - Vanjska i unutarnja žbuka, ili jednakovrijedno ___________________.
</t>
  </si>
  <si>
    <t xml:space="preserve">Žbuka u skladu s normom HRN EN 998-1:2010 - Vanjska i unutarnja žbuka ili jednakovrijedno ___________________.
</t>
  </si>
  <si>
    <t>HRN EN 13813:2003, Materijal za in situ podove (estrisi) ili jednakovrijedno ___________________.</t>
  </si>
  <si>
    <t xml:space="preserve">Ploče kamene vune su gustoće ≥ 100 kg/m3,  λD ≤ 0,035 W/mK, u pogledu reakcije na vatru zadovoljavaju Eurorazred A1 prema HRN EN 13501-1 te moraju imati svojstva navedena u donjoj kodiranoj oznaci ili povoljnija:
MW-EN13162-T5-CS(10)30-TR10-WS-WL(P)-MU 1, te moraju zadovoljavati i ostala svojstva iz norme HRN EN 13162:2012 ili jednakovrijedno ________________________.
</t>
  </si>
  <si>
    <t xml:space="preserve">Ploče ekstrudiranog polistirena (XPS) su nazivne tlačne čvrstoće &gt; 400 kPa, λD ≤ 0,033 W/mK,  hrapave strukture i rubova obrađenih u obliku slova "L" za sprječavanje toplinskih mostova.  U pogledu reakcije na vatru zadovoljavaju Eurorazred E (teško zapaljiv) prema HRN EN 13501-1  ili jednakovrijedno ___________________, te moraju imati svojstva navedena u donjoj kodiranoj oznaci ili povoljnija:
</t>
  </si>
  <si>
    <t xml:space="preserve">XPS - HRN EN 13164 - T1 - CS(10\Y)400 - CC(2/1,5/50)155 - DS(70,90) - DLT(2)5 - WL(T)0,7 - WD(V)* – FTCD1 - MU150, te zadovoljavaju i ostala svojstva iz norme HRN EN 13164:2008  ili jednakovrijedno ________________________.
</t>
  </si>
  <si>
    <t xml:space="preserve">Asfaltbeton prema normi HRN EN 13108-1:2007, Asfalt beton (AC) - Specifikacije materijala ili jednakovrijedno ___________________.
</t>
  </si>
  <si>
    <t xml:space="preserve">Frakcije agregata prema normi HRN EN 13043:2002, Agregat za bitumenske mješavine  ili jednakovrijedno ___________________.
</t>
  </si>
  <si>
    <t xml:space="preserve">Agregat za nevezane i hidraulički vezane materijale u građevinarstvu i cestogradnji prema HRN EN 13242:2008  ili jednakovrijedno ___________________.
</t>
  </si>
  <si>
    <t>Kvaliteta proizvoda prema normi HRN EN 338:2010, Konstrukcijsko drvo - Razredi čvrstoće ili jednakovrijedno ___________________.</t>
  </si>
  <si>
    <t xml:space="preserve">Kvaliteta proizvoda prema normi HRN EN 300:2008, Ploče s usmjerenim iverjem - Definicije, razredba i specifikacije ili jednakovrijedno ___________________.
</t>
  </si>
  <si>
    <t xml:space="preserve">HRN EN 10025-1:2006, Toplo valjani čelični profili iz konstrukcijskog čelika ili jednakovrijedno ___________________.
</t>
  </si>
  <si>
    <t xml:space="preserve">HRN EN 10216-1:2013, Čelične bešavne cijevi ili jednakovrijedno ___________________.
</t>
  </si>
  <si>
    <t xml:space="preserve">HRN EN 10048:2003, Toplo valjana čelična traka ili jednakovrijedno ___________________.
</t>
  </si>
  <si>
    <t xml:space="preserve">HRN EN 10055:2005, Toplo valjani T profili ili jednakovrijedno ___________________.
</t>
  </si>
  <si>
    <t xml:space="preserve">HRN EN 10056:2005, Čelični kutnici ili jednakovrijedno ___________________.
</t>
  </si>
  <si>
    <t xml:space="preserve">HRN EN 10080:2012, Okrugle čelične šipke ili jednakovrijedno ___________________.
</t>
  </si>
  <si>
    <t xml:space="preserve">Cinčanje izvesti prema pravilima iz norme HRN EN ISO 1461:2010 i HRN EN ISO 14713:2010 ili jednakovrijedno ___________________.
</t>
  </si>
  <si>
    <t xml:space="preserve">HRN EN 1090-2:2011, Tehnički zahtjevi za čelične konstrukcije ili jednakovrijedno ___________________.
</t>
  </si>
  <si>
    <t>Bitumenska sendvič traka u skladu s HRN EN 13969:2005  i  HRN U.M3.231., HRN U.M3.300. ili jednakovrijedne norme_____________________ ___________________.</t>
  </si>
  <si>
    <t xml:space="preserve">Kvaliteta proizvoda prema normi HRN EN 13956:2012, Savitljive plastične i elastomerne hidroizolacijske trake za krovove ili jednakovrijedno _______________________.
</t>
  </si>
  <si>
    <t xml:space="preserve">Kvaliteta proizvoda prema normi HRN EN 13252:2014, Geotekstili za drenažne sustave ili jednakovrijedno ___________________.
</t>
  </si>
  <si>
    <t xml:space="preserve">Kvaliteta proizvoda prema normi HRN EN 13249:2014, Geotekstili i proizvodi srodni s geotekstilom ili jednakovrijedno ___________________.
</t>
  </si>
  <si>
    <t xml:space="preserve">Kvaliteta proizvoda prema normi HRN EN 13967:2012 plastične trake za zaštitu od vlage i vode iz tla ili jednakovrijedno ___________________.
</t>
  </si>
  <si>
    <t xml:space="preserve">Kvaliteta proizvoda prema normi HRN EN  1504-2:2004 Proizvodi za zaštitu i popravak konstrukcija, načela PI, MC, IR. ili jednakovrijedno ___________________.
</t>
  </si>
  <si>
    <r>
      <rPr>
        <b/>
        <sz val="10"/>
        <color indexed="8"/>
        <rFont val="Calibri"/>
        <family val="2"/>
      </rPr>
      <t>Dobava i postavljanje toplinsko izolacijskih ploča od ekstrudiranog polistirena  XPS za izolaciju temeljne ploče i poda</t>
    </r>
    <r>
      <rPr>
        <sz val="10"/>
        <color indexed="8"/>
        <rFont val="Calibri"/>
        <family val="2"/>
        <charset val="238"/>
      </rPr>
      <t xml:space="preserve">, ploče dimenzija 60 x 250 x 15 cm, HRN EN 13164:2012 ili jednakovrijedno _______________________, klasa negorivosti - teško zapaljiv (E). Nazivne tlačne čvrstoće &gt; 400 kPa, λD ≤ 0,036 W/mK,  rubova obrađenih u obliku slova "L" za sprječavanje toplinskih mostova. 
Ploče se slobodno se polažu na hidroizolaciju, a </t>
    </r>
    <r>
      <rPr>
        <u/>
        <sz val="10"/>
        <color indexed="8"/>
        <rFont val="Calibri"/>
        <family val="2"/>
        <charset val="238"/>
      </rPr>
      <t xml:space="preserve">ispod </t>
    </r>
    <r>
      <rPr>
        <sz val="10"/>
        <color indexed="8"/>
        <rFont val="Calibri"/>
        <family val="2"/>
        <charset val="238"/>
      </rPr>
      <t xml:space="preserve">temeljne ploče (tzv. "temeljni jastuk") . Termoizolacijski slojevi moraju biti propisno zalijepljeni ili mehanički fiksirani.
</t>
    </r>
  </si>
  <si>
    <t xml:space="preserve">XPS ploče moraju u pogledu reakcije na vatru zadovoljiti Eurorazred E prema HRN EN 13501-1 ili jednakovrijedno ___________________, te imati svojstva navedena u donjoj kodiranoj oznaci ili povoljnija:
</t>
  </si>
  <si>
    <t xml:space="preserve">XPS - HRN EN 13164 - T1 - CS(10\Y)400 - CC(2/1,5/50)155 - DS(70,90) - DLT(2)5 - WL(T)0,7 - WD(V)* – FTCD1 - MU150, te zadovoljavaju i ostala svojstva iz norme HRN EN 13164:2008 ili jednakovrijedno _____________________________. 
</t>
  </si>
  <si>
    <r>
      <rPr>
        <b/>
        <sz val="10"/>
        <color indexed="8"/>
        <rFont val="Calibri"/>
        <family val="2"/>
      </rPr>
      <t>Dobava i postavljanje toplinsko izolacijskih ploča od ekstrudiranog polistirena  XPS za podnožja zidova</t>
    </r>
    <r>
      <rPr>
        <sz val="10"/>
        <color indexed="8"/>
        <rFont val="Calibri"/>
        <family val="2"/>
        <charset val="238"/>
      </rPr>
      <t xml:space="preserve">, ploče dimenzija 60 x 250 (125) x debljine 20 cm i 16 cm, HRN EN 13164:2012 ili jednakovrijedno ___________________, klasa negorivosti - teško zapaljiv (E). Nazivne tlačne čvrstoće &gt; 400 kPa, λD ≤ 0,036 W/mK,  rubova obrađenih u obliku slova "L" za sprječavanje toplinskih mostova. 
Ploče se na vertikalnu hidroizolaciju lijepe jastučićima od butilne gume, (13 kom/m2) bez bušenja termo i hidroizolacije. 
Ploče se postavljaju u zoni podnožja zida do visine 0,00. XPS sa zaštitnim završnim slojem iznad te kote je obračunat u stavci A.7.2.
 </t>
    </r>
  </si>
  <si>
    <t xml:space="preserve">XPS ploče moraju u pogledu reakcije na vatru zadovoljiti Eurorazred E prema HRN EN 13501-1 ili jednakovrijedno ___________________  te imati svojstva navedena u donjoj kodiranoj oznaci ili povoljnija:
</t>
  </si>
  <si>
    <t xml:space="preserve">XPS - HRN EN 13164 - T1 - CS(10\Y)400 - CC(2/1,5/50)155 - DS(70,90) - DLT(2)5 - WL(T)0,7 - WD(V)* – FTCD1 - MU150, te zadovoljavaju i ostala svojstva iz norme HRN EN 13164:2008 ili jednakovrijedno _____________________________.
</t>
  </si>
  <si>
    <r>
      <rPr>
        <b/>
        <sz val="10"/>
        <color indexed="8"/>
        <rFont val="Calibri"/>
        <family val="2"/>
      </rPr>
      <t xml:space="preserve">Dobava i postavljanje toplinsko izolacijskih ploča od ekstrudiranog polistirena XPS za izolaciju poda </t>
    </r>
    <r>
      <rPr>
        <sz val="10"/>
        <color indexed="8"/>
        <rFont val="Calibri"/>
        <family val="2"/>
        <charset val="238"/>
      </rPr>
      <t xml:space="preserve">natkrivenog parkirališta, ploče dimenzija 60 x 250 (125) cm, HRN EN 13164:2012 ili jednakovrijedno ___________________, klasa negorivosti - teško zapaljiv (E). Nazivne tlačne čvrstoće &gt; 400 kPa, λD ≤ 0,036 W/mK,  rubova obrađenih u obliku slova "L" za sprječavanje toplinskih mostova. 
Ploče se slobodno se polažu u sustavu plivajućeg poda.
</t>
    </r>
  </si>
  <si>
    <t xml:space="preserve">XPS - HRN EN 13164 - T1 - CS(10\Y)400 - CC(2/1,5/50)155 - DS(70,90) - DLT(2)5 - WL(T)0,7 - WD(V)* – FTCD1 - MU150, te zadovoljavaju i ostala svojstva iz norme HRN EN 13164:2008  ili jednakovrijedno _____________________________.
</t>
  </si>
  <si>
    <r>
      <rPr>
        <b/>
        <sz val="10"/>
        <color indexed="8"/>
        <rFont val="Calibri"/>
        <family val="2"/>
      </rPr>
      <t>Dobava i postavljanje toplinsko izolacijskih ploča od ekstrudiranog polistirena  XPS na vertikalnim i horizontalnim plohama krovnih nadozida</t>
    </r>
    <r>
      <rPr>
        <sz val="10"/>
        <color indexed="8"/>
        <rFont val="Calibri"/>
        <family val="2"/>
        <charset val="238"/>
      </rPr>
      <t xml:space="preserve">, HRN EN 13164:2012 ili jednakovrijedno ___________________., klasa negorivosti - teško zapaljiv (E). Nazivne tlačne čvrstoće &gt; 400 kPa, λD ≤ 0,036 W/mK,  rubova obrađenih u obliku slova "L" za sprječavanje toplinskih mostova. 
Ploče se na vertikalnu hidroizolaciju lijepe jastučićima od butilne gume, (13 kom/m2) bez bušenja termo i hidroizolacije. 
Ploče se postavljaju na vertikalne i horizontalne plohe rubnih krovnih  nadozida.
</t>
    </r>
  </si>
  <si>
    <t xml:space="preserve">XPS - HRN EN 13164 - T1 - CS(10\Y)400 - CC(2/1,5/50)155 - DS(70,90) - DLT(2)5 - WL(T)0,7 - WD(V)* – FTCD1 - MU150, te zadovoljavaju i ostala svojstva iz norme HRN EN 13164:2008 ili jednakovrijedno ___________________________.
</t>
  </si>
  <si>
    <r>
      <rPr>
        <b/>
        <sz val="10"/>
        <color indexed="8"/>
        <rFont val="Calibri"/>
        <family val="2"/>
      </rPr>
      <t>Dobava i postavljanje toplinsko izolacijskih ploča od ekstrudiranog polistirena  XPS u dilatacijskoj fugi</t>
    </r>
    <r>
      <rPr>
        <sz val="10"/>
        <color indexed="8"/>
        <rFont val="Calibri"/>
        <family val="2"/>
        <charset val="238"/>
      </rPr>
      <t xml:space="preserve">, HRN EN 13164:2012  ili jednakovrijedno ___________________, klasa negorivosti - teško zapaljiv (E). Nazivne tlačne čvrstoće &gt; 400 kPa, λD ≤ 0,036 W/mK.
Ploče se postavljaju u dilatacijsku rešku.
</t>
    </r>
  </si>
  <si>
    <t xml:space="preserve">XPS ploče moraju u pogledu reakcije na vatru zadovoljiti Eurorazred E prema HRN EN 13501-1  ili jednakovrijedno ___________________,te imati svojstva navedena u donjoj kodiranoj oznaci ili povoljnija:
</t>
  </si>
  <si>
    <t xml:space="preserve">XPS - HRN EN 13164 - T1 - CS(10\Y)400 - CC(2/1,5/50)155 - DS(70,90) - DLT(2)5 - WL(T)0,7 - WD(V)* – FTCD1 - MU150, te zadovoljavaju i ostala svojstva iz norme HRN EN 13164:2008 ili jednakovrijedno ____________________________.
</t>
  </si>
  <si>
    <t xml:space="preserve">EPS-T ploče  debljine 2 cm. 
EPS-T - elastificirani materijal dinamičke krutosti (SD &lt; 20MN/m3), HRN EN 13163:2002 ili jednakovrijedno ___________________, klasa negorivosti - teško zapaljiv, moraju u pogledu reakcije na vatru zadovoljiti Eurorazred E prema HRN EN 13501-1 ili jednakovrijedno ___________________, te imati svojstva navedena u donjoj kodiranoj oznaci ili povoljnija: EPS - EN 13163 - T3 - L1 - W1 - S1 - CP4 - SD30/SD15.
</t>
  </si>
  <si>
    <t xml:space="preserve">Ploče moraju u pogledu reakcije na vatru zadovoljiti Eurorazred E prema HRN EN 13501-1 ili jednakovrijedno ___________________, klasa negorivosti - teško zapaljiv, te imati svojstva navedena u donjoj kodiranoj oznaci ili povoljnija: EPS – HRN EN 13163 - T1 - L1 - W1 - S1 - P3 - BS200 - DS(N)2 - CS(10)150, te  zadovoljavati i ostala svojstva iz norme HRN EN 13163:2012  ili jednakovrijedno __________________________.
</t>
  </si>
  <si>
    <t xml:space="preserve">EPS-T - elastificirani materijal dinamičke krutosti (SD &lt; 20MN/m3), HRN EN 13163:2002 ili jednakovrijedno ___________________, klasa negorivosti - teško zapaljiv, moraju u pogledu reakcije na vatru zadovoljiti Eurorazred E prema HRN EN 13501-1 ili jednakovrijedno ___________________, te imati svojstva navedena u donjoj kodiranoj oznaci ili povoljnija: EPS - EN 13163 - T3 - L1 - W1 - S1 - CP4 - SD30/SD15.
</t>
  </si>
  <si>
    <t xml:space="preserve">Ploče moraju u pogledu reakcije na vatru zadovoljiti Eurorazred E prema HRN EN 13501-1 ili jednakovrijedno ___________________, klasa negorivosti - teško zapaljiv, te imati svojstva navedena u donjoj kodiranoj oznaci ili povoljnija: EPS – HRN EN 13163 - T1 - L1 - W1 - S1 - P3 - BS200 - DS(N)2 - CS(10)150, te  zadovoljavati i ostala svojstva iz norme HRN EN 13163:2012 ili jednakovrijedno ___________________.
</t>
  </si>
  <si>
    <r>
      <rPr>
        <b/>
        <sz val="10"/>
        <rFont val="Calibri"/>
        <family val="2"/>
      </rPr>
      <t>Dobava i postavljanje toplinsko izolacijskih ploča od kamene vune na kose krovove.</t>
    </r>
    <r>
      <rPr>
        <sz val="10"/>
        <rFont val="Calibri"/>
        <family val="2"/>
        <charset val="238"/>
      </rPr>
      <t xml:space="preserve">  Toplinska izolacija na krovu je ukupne debljine 20 cm. Izvodi se u 2 sloja (10+10 cm), HRN EN 13162:2012 ili jednakovrijedno ___________________.
</t>
    </r>
  </si>
  <si>
    <t xml:space="preserve">Ploče kamene vune u pogledu reakcije na vatru zadovoljavaju Eurorazred A1 prema HRN EN 13501-1 ili jednakovrijedno ___________________, te moraju imati svojstva navedena u donjoj kodiranoj oznaci ili povoljnija:
</t>
  </si>
  <si>
    <t xml:space="preserve">MW-EN13162-T5-CS(10)0,5-TR1-WL(P)-AFr10  ili MW-EN 13162-T4-DS(70,90)-WS-WL(P)-MU1-AFr12, te moraju zadovoljavati i ostala svojstva iz norme HRN EN 13162:2012 ili jednakovrijedno ______________________________.
</t>
  </si>
  <si>
    <t xml:space="preserve">Okov izgleda prema odabiru projektanta. Okov  uključuje: 3 vratne petlje, kvaku, usadnu bravu sa štitnicima i 3 ključa, kod dvokrilnih vrata sa zasunima u pod i dovratnik  - sve kompletno,  sukladno normi HRN EN 1303:2015 ili jednakovrijedno ___________________. 
U sanitarnim prostorima vrata opremljena uređajem za samozatvaranje (pumpa). Na vrata invalidskog wc-a  ugraditi okov prilagođen osobama smanjene pokretljivosti.
</t>
  </si>
  <si>
    <t xml:space="preserve">Minimalna debljina stakla ovisna je o površini, sigurnosnim zahtjevima, te izloženosti površine stakla vjetru prema HRN ENV 1991-2-4 ili jednakovrijedno ___________________.
</t>
  </si>
  <si>
    <t>Evakuacijski okov: 
- uključuje evakuacijsku kvaku i antipanik okov za otvaranje vrata (HRN EN 179 ili jednakovrijedno ___________________), 
za javnu namjenu - u smjeru evakuacije antipanik kvaka, uvijek prohodno; u smjeru suprotnom od evakuacije kvaka/rukohvat i brava, prohodno u oba smjera dok je brava otključana, kad se zaključa, prolaz moguć samo u smjeru evakuacije
*specificirano uz svaku shemu.</t>
  </si>
  <si>
    <t>Okovi i kvake za vrata, vratne petlje prema načinu otvaranja (minimalno 3 vratne petlje za zaokretna vrata), uređaj za samozatvaranje s vodilicom, brava sa štitnicima s 3 ključa, metalni rukohvati, okov u skladu s normom HRN EN 1303:2015 ili jednakovrijedno ___________________. Vrsta, te završna obrada okova prema konačnom odabiru projektanta.
Pojedine stavke imaju kvake na visini 150 cm (nedostupno djeci).
Pojedine prozorske stavke imaju kvake s ključem (nedostupno djeci).
Vrata opremljena uređajem za fiksiranje u stalno otvorenom položaju (fikser) i uređajem zaustavljanje (stoperom) - specificirano uz svaku shemu.
U cijenu stavke treba uključiti kompletan okov; kao npr. okov za otklopno otvaranje sa/bez elektromotora, okov za otklopno zaokretno otvaranje s zatvaračem, i sl., sve prema opisu u shemi bravarije.</t>
  </si>
  <si>
    <t>Evakuacijske bravarske stavke moraju imati vratni okov prilagođen evakuaciji  (HRN EN 179 ili jednakovrijedno ___________________), s ili bez evakuacijske tipke - specificirano uz svaku shemu.
Potreban elektrospoj i spoj na vatrodojavu uključen u stavku.</t>
  </si>
  <si>
    <t>vanjska sedmerodjelna ostakljena stijena sastavljena od:
jednokrilnih zaokretnih ostakljenih vrata, dva jednokrilna otklopno zaokretna dijela te četiri  fiksna ostakljena dijela;
veličina zidarskog otvora 500x260 cm, evakuacijska stavka (panik kvaka HRN EN 179 ili jednakovrijedno ___________________), kvaka na visini=150 cm, debljina ugradbenog zida dz=36 cm (zid od armiranog betona 20 cm),  debljina slojeva poda dp=23 cm (prizemlje) i dp=15cm (kat), D=8, L=4, shema vanjske AL bravarije br.: 1</t>
  </si>
  <si>
    <t>vanjska jednokrilna zaokretna ostakljena vrata; veličina zidarskog otvora 120x260 cm, evakuacijska stavka (panik kvaka HRN EN 179 ili jednakovrijedno ___________________), kvaka na visini=150 cm, debljina ugradbenog zida dz=36 cm, (zid od armiranog betona 20 cm),   debljina slojeva poda dp=23 cm, L=1, shema vanjske AL bravarije br.: 7</t>
  </si>
  <si>
    <t xml:space="preserve">vanjska jednokrilna zaokretna ostakljena vrata; veličina zidarskog otvora 110x260 cm, evakuacijska stavka (panik kvaka HRN EN 179 ili jednakovrijedno ___________________, otključava se u slučaju požara, elektrobrava spojena na vatrodojavu), kvaka na visini=150 cm, debljina ugradbenog zida dz=36 cm, (zid od armiranog betona 20 cm), debljina slojeva poda  dp=15cm, L=1, shema vanjske AL bravarije br.: 8
</t>
  </si>
  <si>
    <t>vanjska jednokrilna zaokretna ostakljena vrata; veličina zidarskog otvora 110x260 cm, evakuacijska stavka (panik kvaka HRN EN 179 ili jednakovrijedno ___________________), kvaka na visini=150 cm, debljina ugradbenog zida dz=36 cm, (zid od armiranog betona 20 cm), debljina slojeva poda dp=23 cm (prizemlje) i dp=15cm (kat), L=2, shema vanjske AL bravarije br.: 9</t>
  </si>
  <si>
    <t xml:space="preserve">vanjska jednokrilna zaokretna puna vrata;
veličina zidarskog otvora 120x220 cm, evakuacijska stavka (panik kvaka HRN EN 179 ili jednakovrijedno ___________________, s fikserom i elektromehanizam za otvaranje spojen na vatrodojavu, odimljavanje stubišta-dovod zraka), kvaka na visini=150 cm, debljina ugradbenog zida dz=40 cm, (zid od armiranog betona 20 cm), debljina slojeva poda dp=23 cm, D=1, shema vanjske AL bravarije br.: 11
</t>
  </si>
  <si>
    <t>vanjska vjetrobranska ostakljena stijena sastavljena od tri dijela:
- dvokrilna zaokretna ostakljena vrata;
veličina 270x310 cm, evakuacijska stavka (panik kvaka HRN EN 179 ili jednakovrijedno ___________________, s unutarnje strane), rukohvat s vanjske strane, električna brava, pumpa, D/L=1,  shema vanjske AL bravarije br.: 16a
- fiksni ostakljeni dio; veličina 458x310 cm, ostakljenje podijeljeno na 4 dijela, spoj stakla na dodir, brtvljen,  shema vanjske AL bravarije br.: 16b
- fiksni ostakljeni dio; veličina 270x310 cm, ostakljenje podijeljeno na 2 dijela, spoj stakla na dodir, brtvljen,  shema vanjske AL bravarije br.: 16c
Stavka shema vanjske AL bravarije br.: 16
(uključuje stavku 16a, 16b,16c)</t>
  </si>
  <si>
    <t xml:space="preserve">U cijenu stavke treba uključiti kompletan okov (okov za zaokretno otvaranje, mimokretno otvaranje, okov za zaokretno otvaranje s zatvaračem), kvaku, bravu sa štitnicima s 3 ključa, 3 vratne petlje po krilu za zaokretna vrata, okov u skladu s normom HRN EN 1303:2015 ili jednakovrijedno ___________________, sve prema shemi bravarije. </t>
  </si>
  <si>
    <t xml:space="preserve">unutarnja dvokrilna zaokretna ostakljena vrata;
veličina zidarskog otvora 200x260 cm, evakuacijska stavka (panik kvaka HRN EN 179 ili jednakovrijedno ___________________), kvaka na visini=150 cm,  pumpa, debljina ugradbenog zida dz=20 cm, (zid od armiranog betona 20 cm), L=1, shema unutarnje AL bravarije br.: 6
</t>
  </si>
  <si>
    <t xml:space="preserve">unutarnja trodjelna stijena sastavljena od
jednokrilnih zaokretnih ostakljenih vrata, bočnog fiksnog ostakljenog dijela i fiksnog ostakljenog nadsvjetla; 
veličina zidarskog otvora 150x260 cm, evakuacijska stavka (panik kvaka HRN EN 179 ili jednakovrijedno ___________________),  pumpa, debljina ugradbenog zida dz=20 cm, (zid od armiranog betona 20 cm), D=1, L=1, shema unutarnje AL bravarije br.: 7
</t>
  </si>
  <si>
    <t xml:space="preserve">Minimalna debljina stakla ovisna je o površini, sigurnosnim zahtjevima, požarnim zahtjevima te izloženosti površine stakla vjetru prema HRN ENV 1991-2-4 ili jednakovrijedno ___________________.
Sve čelične elemente potrebno je vruće cinčati, debljinu zaštitnog sloja odrediti prema debljini elementa; minimalna debljina 50 mµ.
Cinčanje izvesti prema pravilima iz norme HRN EN ISO 1461:2010 i HRN EN ISO 14713:2010 ili jednakovrijedno ___________________.
</t>
  </si>
  <si>
    <t>Okov izgleda prema odabiru projektanta. Okov sadrži 3 petlje, s kugličnim ležajevima, vatrootpornu bravu sa ovalnim rozetama i kvakom (inox) - sve kompletno prema DIN 18250 ili jednakovrijedno ___________________, komplet cilindrični uložak i ključevi - sukladno normi EN 1303 ili jednakovrijedno ___________________, uređaj za samozatvaranje (hidraulički zatvarač) i zaustavljanje vrata (distancer) i automatskim zasunom na pomoćnom krilu (kod dvokrilnih vrata), prema EN 1154 ili jednakovrijedno ___________________.</t>
  </si>
  <si>
    <r>
      <rPr>
        <b/>
        <sz val="10"/>
        <color indexed="8"/>
        <rFont val="Calibri"/>
        <family val="2"/>
      </rPr>
      <t>Dobava, izrada i ugradnja unutarnjih  protupožarnih  vrata</t>
    </r>
    <r>
      <rPr>
        <sz val="10"/>
        <color indexed="8"/>
        <rFont val="Calibri"/>
        <family val="2"/>
        <charset val="238"/>
      </rPr>
      <t xml:space="preserve">.
Profili su čelični. Protupožarnost profila je osigurana ispunom od keramičkog materijala i ugrađenom ekspandirajućom trakom, između stijenke profila i ruba stakla, kompletno s brtvenim profilom (profil gumeni, samogasivi, ekspandirajući). Debljina stijenke profila iznosi 2 mm, kvaliteta materijala St 37-2. 
Profili  vruće cinčani, završna obrada profila prašnim plastificiranjem u boji po odabiru projektanta. 
Sve u skladu s normom HRN EN 12944 ili jednakovrijedno ___________________. Okov je sistemski, brtve su teško zapaljive, klasa prema HRN EN 13501 ili jednakovrijedno ___________________.
</t>
    </r>
  </si>
  <si>
    <t xml:space="preserve">Cinčanje izvesti prema pravilima iz norme HRN EN ISO 1461:2010 i HRN EN ISO 14713:2010 ili jednakovrijedne norme _________________________________.
</t>
  </si>
  <si>
    <t xml:space="preserve">vanjska trodjelna stijena sastavljena od
jednokrilnih zaokretnih ostakljenih vrata, bočnog fiksnog ostakljenog dijela i fiksnog ostakljenog nadsvjetla; EI2 30-C, 
veličina zidarskog otvora 150x260 cm, evakuacijska stavka (panik kvaka HRN EN 179 ili jednakovrijedno ___________________, s unutarnje strane), rukohvat s vanjske strane, električna brava, pumpa,  debljina ugradbenog zida dz=36 cm, (zid od armiranog betona 20 cm), D=1, shema protupožarne bravarije br.: 1
</t>
  </si>
  <si>
    <t xml:space="preserve">unutarnja trodjelna stijena sastavljena od
jednokrilnih zaokretnih ostakljenih vrata, bočnog fiksnog ostakljenog dijela i fiksnog ostakljenog nadsvjetla; EI2 30-CSm, 
veličina zidarskog otvora 150x260 cm, evakuacijska stavka (panik kvaka HRN EN 179 ili jednakovrijedno ___________________), kvaka na visini=150 cm,   pumpa,  debljina ugradbenog zida dz=20 cm, (zid od armiranog betona 20 cm), D=1, shema protupožarne bravarije br.: 3
</t>
  </si>
  <si>
    <t xml:space="preserve">unutarnja peterodjelna stijena sastavljena od
dvokrilnih zaokretnih ostakljenih vrata, tri bočna fiksna ostakljena dijela i gornjeg fiksnog punog dijela; EI2 30-CSm, 
veličina zidarskog otvora 449x300 cm, evakuacijska stavka (panik kvaka HRN EN 179 ili jednakovrijedno ___________________),  normalno stoji u otvorenom položaju, elektromehanizam za samozatvaranje u slučaju požara spojen na vatrodojavu, L=1, shema protupožarne bravarije br.: 4
</t>
  </si>
  <si>
    <r>
      <t>unutarnja  dvokrilna zaokretna ostakljena protupožarna vrata, EI</t>
    </r>
    <r>
      <rPr>
        <sz val="9"/>
        <rFont val="Calibri"/>
        <family val="2"/>
      </rPr>
      <t>2</t>
    </r>
    <r>
      <rPr>
        <sz val="10"/>
        <rFont val="Calibri"/>
        <family val="2"/>
        <charset val="238"/>
      </rPr>
      <t xml:space="preserve"> 30-CSm, veličina zidarskog otvora 200x260 cm, evakuacijska stavka (panik kvaka HRN EN 179 ili jednakovrijedno ___________________), kvaka na visini=150 cm,   pumpa,  debljina ugradbenog zida dz=20 cm, (zid od armiranog betona 20 cm), D=1, shema protupožarne bravarije br.: 5
</t>
    </r>
  </si>
  <si>
    <t>Pješačka vrata - okov za zaokretno otvaranje, , evakuacijska stavka (panik kvaka HRN EN 179 ili jednakovrijedno ___________________),  pumpa, brava sa štitnicima s 3 ključa,  3 vratne petlje.</t>
  </si>
  <si>
    <t xml:space="preserve">Stupovi i ispuna vrata, pocinčani s vanjske i unutarnje strane, minimalne 275 g/m2 u skladu s HRN EN 10326:2007 ili jednakovrijedno ___________________. Sve se plastificira nanošenjem sloja debljine 100 mikrona.
</t>
  </si>
  <si>
    <t xml:space="preserve">Čelični profili ljestvi su vruće cinčani. Cinčanje minimalno 275 g/m2 u skladu s HRN EN 10326:2007 ili jednakovrijedno ___________________. Sve se plastificira nanošenjem sloja debljine 100 mikrona.
</t>
  </si>
  <si>
    <t xml:space="preserve">Kvaliteta boje prema normi HRN EN 13300:2002, Boje i lakovi - prekrivni materijali i prekrivna sredstva za unutarnje zidove i stropove, razrjedivi s vodom ili jednakovrijedno ___________________.
</t>
  </si>
  <si>
    <t xml:space="preserve">Kvaliteta glet mase prema normi HRN EN 13279-1:2008, Veziva i žbuke na osnovi gipsa - specifikacije i zahtjevi ili jednakovrijedno ___________________.
</t>
  </si>
  <si>
    <t xml:space="preserve">Keramičke pločice prema HRN EN ISO 10545-2:2001, Određivanje dimenzija i površinske kakvoće ili jednakovrijedno ___________________.
</t>
  </si>
  <si>
    <t xml:space="preserve">Vezni materijali prema HRN EN 12004:2012, Ljepila za pločice, zahtjevi, vrednovanje sukladnosti ili jednakovrijedno ___________________. HRN EN 13888:2010, Mase za fugiranje ili jednakovrijedno ___________________.
</t>
  </si>
  <si>
    <t xml:space="preserve">- masa za fugiranje: je poboljšana (2) masa za fugiranje (G) na cementnoj osnovi (C), smanjene upojnosti vode (W) i visoke otpornosti na abraziju (A), razreda CG2WA.
HRN EN 13888:2010, HRN EN 12808:2008, Masa za fugiranje keramičkih pločica ili jednakovrijedne norme ___________________.
</t>
  </si>
  <si>
    <r>
      <t xml:space="preserve">Podna obloga mora imati slijedeća  minimalna svojstva:
- klasa otpornosti na požar: Cfl-s1 ili bolje prema EN13501-1ili jednakovrijedno ___________________. odnosno B1 prema HR DIN 4102ili jednakovrijedno ___________________
- vrsta podne obloge EN 649 ili jednakovrijedno ___________________:  homogena, linoleum
- debljina EN ISO 24346ili jednakovrijedno ___________________: 2,5 mm
- debljina trošivog sloja EN 429ili jednakovrijedno ___________________.: 2,5 mm
- protukliznost prema DIN 51130 – BGR 181ili jednakovrijedno ___________________: R9
- ukupna masa, EN ISO 23997ili jednakovrijedno ___________________: 2.900 g/m2
- otpornost na svjetlo: ≥6
- udio prirodnih sastojaka: 98%
- zaostalo utusnuće, EN ISO 24343-1ili jednakovrijedno ___________________: </t>
    </r>
    <r>
      <rPr>
        <sz val="10"/>
        <color indexed="8"/>
        <rFont val="Calibri"/>
        <family val="2"/>
        <charset val="238"/>
      </rPr>
      <t>≤</t>
    </r>
    <r>
      <rPr>
        <sz val="10"/>
        <color indexed="8"/>
        <rFont val="Calibri"/>
        <family val="2"/>
        <charset val="238"/>
        <scheme val="minor"/>
      </rPr>
      <t xml:space="preserve">0,11mm
- toplinski otpor, EN 12667ili jednakovrijedno ___________________ : 0,015 m²K/W
</t>
    </r>
    <r>
      <rPr>
        <sz val="10"/>
        <rFont val="Calibri"/>
        <family val="2"/>
        <charset val="238"/>
        <scheme val="minor"/>
      </rPr>
      <t>- otpornost na habanje EN ISO 10874ili jednakovrijedno ___________________: 23/34/43</t>
    </r>
    <r>
      <rPr>
        <sz val="10"/>
        <color rgb="FFFF0000"/>
        <rFont val="Calibri"/>
        <family val="2"/>
        <charset val="238"/>
        <scheme val="minor"/>
      </rPr>
      <t xml:space="preserve">
</t>
    </r>
    <r>
      <rPr>
        <sz val="10"/>
        <rFont val="Calibri"/>
        <family val="2"/>
        <charset val="238"/>
        <scheme val="minor"/>
      </rPr>
      <t>- površinska zaštita : LPX</t>
    </r>
    <r>
      <rPr>
        <sz val="10"/>
        <color indexed="8"/>
        <rFont val="Calibri"/>
        <family val="2"/>
        <charset val="238"/>
        <scheme val="minor"/>
      </rPr>
      <t xml:space="preserve">
- uzorak: jednobojni 
- ne sadrži PVC ni plastifikatore
- poleđina: juta
- podna obloga ne smije sadržavati tvari sa SVHC liste
</t>
    </r>
  </si>
  <si>
    <r>
      <t>Sustav poda</t>
    </r>
    <r>
      <rPr>
        <b/>
        <sz val="10"/>
        <rFont val="Calibri"/>
        <family val="2"/>
        <charset val="238"/>
        <scheme val="minor"/>
      </rPr>
      <t xml:space="preserve"> klase otpornosti na požar A2fl-s1</t>
    </r>
    <r>
      <rPr>
        <sz val="10"/>
        <rFont val="Calibri"/>
        <family val="2"/>
        <charset val="238"/>
        <scheme val="minor"/>
      </rPr>
      <t xml:space="preserve"> (prema EN 13501-1 ili jednakovrijedno ___________________) i R3 (prema EN 1504-3 ili jednakovrijedno ___________________) koji se sastoji od cementne samonivelirajuće mase (prema EN 13813 ili jednakovrijedno ___________________) u debljini min. 4 mm. 
</t>
    </r>
  </si>
  <si>
    <t xml:space="preserve">Sustav mora imati minimalne karakteristike: 
- apsorpcija udaraca 12% (EN 14808ili jednakovrijedno ___________________), 
- linearno trenje - suha podloga 98 (EN 13036-4ili jednakovrijedno ___________________), 
- linearno trenje - mokra podloga 0,3 (Lerouxili jednakovrijedno ___________________), 
- odskok lopte 99% (EN 12235ili jednakovrijedno ___________________), 
- otpornost na kotrljanje 0,14mm (EN 1569ili jednakovrijedno ___________________),
- otpornost na habanje 150mg (EN ISO 2813ili jednakovrijedno ___________________), 
- izduženje pri slomu 180% (DIN 53455ili jednakovrijedno ___________________), 
- vlačna čvrstoća 8 N/mm2 (DIN 53455ili jednakovrijedno ___________________), 
- otpornost na trganje 18N/mm (DIN 53515ili jednakovrijedno ___________________). 
- klase otpornosti na požar Bfl-s1
</t>
  </si>
  <si>
    <t xml:space="preserve">HRN EN 14195:2007 Metalni profili podkonstrukcija za sustave s gips pločamaili jednakovrijedno ___________________.
</t>
  </si>
  <si>
    <t xml:space="preserve">HRN EN 14566:2008 Mehanička spajala za sustave s gips pločama ili jednakovrijedno ___________________.
</t>
  </si>
  <si>
    <t xml:space="preserve">HRN EN 13964:2007 Podovi, stropovi i zidne obloge; Gips proizvodi, spušteni stropovi i ovješeni stropovi ili jednakovrijedno ___________________.
</t>
  </si>
  <si>
    <t xml:space="preserve">HRN EN 13963:2007 Materijal za obradu i zaglađivanje spojeva gips ploča ili jednakovrijedno ___________________.
</t>
  </si>
  <si>
    <t xml:space="preserve">HRN EN 520:2010 Gipsane ploče - Definicije, zahtjevi i metode ispitivanja ili jednakovrijedno ___________________.
</t>
  </si>
  <si>
    <t xml:space="preserve">HRN DIN 18183-1:2010, Pregradni gips zidovi na metalnoj podkonstrukciji ili jednakovrijedno ___________________.
</t>
  </si>
  <si>
    <t xml:space="preserve">HRN DIN 18181:2010, Gips ploče za konstrukcije zgrada; primjena ili jednakovrijedno ___________________.
</t>
  </si>
  <si>
    <t xml:space="preserve">Gips kartonske ploče moraju u pogledu reakcije na vatru zadovoljiti Eurorazred A2-s1-d0 prema HRN EN 13501-1ili jednakovrijedno ___________________.
</t>
  </si>
  <si>
    <t xml:space="preserve">Izolacijski sloj kamene vune 40 kg/m3, d=50 mm (MW - prema HRN EN 13162 ili jednakovrijedno ___________________) se polaže iznad gipskartonske ploče u prostorijama C.3. i B.1.5.
</t>
  </si>
  <si>
    <t xml:space="preserve">Izolacijski sloj kamene vune 40 kg/m3, d=50 mm (MW - prema HRN EN 13162 ili jednakovrijedno ___________________) se polaže iznad gipskartonske ploče u prostorijama dječjih sanitarija u prizemlju i katu te sanitarija za odrasle na katu.
</t>
  </si>
  <si>
    <t xml:space="preserve">Izolacijski sloj kamene vune 40 kg/m3, d=150 mm (MW - prema HRN EN 13162 ili jednakovrijedno ___________________) s parnom branom od PE folije 0,2 mm (s ljepljenim spojevima), se polaže iznad gipskartonske ploče u zoni ulaznog prostora.
</t>
  </si>
  <si>
    <t xml:space="preserve">Izolacijski sloj kamene vune 40 kg/m3, d=80 mm (MW - prema HRN EN 13162 ili jednakovrijedno ___________________)  se polaže iznad cementne ploče.
</t>
  </si>
  <si>
    <t xml:space="preserve">Izolacijski sloj kamene vune debljine 50 mm, 40 kg/m3 (MW - prema HRN EN 13162 ili jednakovrijedno ___________________).
</t>
  </si>
  <si>
    <t xml:space="preserve">Izolacijski sloj kamene vune 40 kg/m3, d=100 mm (MW - prema HRN EN 13162 ili jednakovrijedno ___________________) se polaže iznad parne brane i gipskartonske ploče oko ciijevi ventilacija.
</t>
  </si>
  <si>
    <t xml:space="preserve">Materijal kojim se izvode oznake na kolniku mora imati atest kakvoće, biti postojan i ne smije mijenjati boju. Predviđa se boja s retroreflektivnim zrncima, retrorefleksije klase II, s udjelom od 20 grama zrnaca na 1 kg boje. Pri izvedbi oznaka na kolniku pridržavati se odredbi Pravilnika o prometnim znakovima, opremi i signalizaciji na cestama (N.N. 33/05, 64/05 i 155/05), normi HRN EN 1436:2001, (materijali za oznake na kolniku - Značajke nužne za korisnike ceste) ili jednakovrijedno ___________________ i HRN Z.S2.240 (Boje za tankoslojne oznake na kolniku) ili jednakovrijedno ___________________ kao i Općih tehničkih uvjeta za radove na cestama. Za oznake na kolniku mora biti upotrijebljen materijal ili boja koja bitno ne smanjuje hvatljivost kolnika. Oznake na kolniku izvode se prema normama HRN U.S4.221-234 ili jednakovrijedno ___________________.
Stilizirane oznake prema shemi i odabiru projektanta.
</t>
  </si>
  <si>
    <t xml:space="preserve">puna razdjelna crta bijele boje (H61, H61-1) na asfaltu i betonskim opločnicima, širine 10 cm, (HRN U.S4.225 ili jednakovrijedno ___________________), [parkirališna mjesta]
</t>
  </si>
  <si>
    <t xml:space="preserve">puna razdjelna crta žute boje zabranjeno parkiranje (H51) na asfaltu i betonskim opločnicima, širine 10 cm, (HRN U.S4.225 ili jednakovrijedno ___________________), 
</t>
  </si>
  <si>
    <t xml:space="preserve">razdjelne crte i oznaka žute boje uzdužnog parkirališnog mjesta za invalide (H57-2) na asfaltu i betonskim opločnicima, širine 10 cm, (HRN U.S4.225 ili jednakovrijedno ___________________), [parkirališna mjesta]
</t>
  </si>
  <si>
    <t xml:space="preserve">Vertikalna prometna signalizacija u skladu s normom HRN EN 12899-1:2008 Stalni okomiti prometni znakovi ili jednakovrijedno ___________________.
Obračun po komadu.
</t>
  </si>
  <si>
    <r>
      <rPr>
        <b/>
        <sz val="10"/>
        <rFont val="Calibri"/>
        <family val="2"/>
      </rPr>
      <t>Dobava i postava vatrogasnih aparata</t>
    </r>
    <r>
      <rPr>
        <sz val="10"/>
        <rFont val="Calibri"/>
        <family val="2"/>
        <charset val="238"/>
      </rPr>
      <t xml:space="preserve"> na za to predviđena mjesta. Aparati se ugrađuju ili vješaju na za to predviđene nosače, a prema projektnom rješenju i rasporedu koji je definiran u Elaboratu zaštite od požara.
Vatrogasni aparati postavljaju se na uočljivim i lako dostupnim mjestima, u blizini mogućeg izbijanja požara, a kod prijenosnih aparata ručka za nošenje ne smije biti na visini većoj od 1,5 metara od tla. 
Mjesto postavljanja vatrogasnog aparata u prostorijama čija je površina veća od 50
m² označava se naljepnicom sukladno važećoj hrvatskoj normi HRN EN 7010 ili jednakovrijedno ___________________.</t>
    </r>
    <r>
      <rPr>
        <sz val="10"/>
        <rFont val="Calibri"/>
        <family val="2"/>
      </rPr>
      <t xml:space="preserve">
</t>
    </r>
  </si>
  <si>
    <t xml:space="preserve">Sprave - igrala dječjeg igrališta moraju biti: 
- izrađene prema ISO normama: ISO 9001, ISO 14001, OHSAS 18001  ili jednakovrijedne norme ___________________.
- imati ateste kojima se dokazuje sukladnosti proizvoda s normom  HRN EN 1176:2008 ili jednakovrijedno ___________________, te atesti trebaju  dokazati sljedivost materijala.
 - imati izjave o sukladnosti s normom HRN EN 1176:2008 ili jednakovrijedno ___________________
Sprave-igrala moraju imati sve navedene certifikate i biti sigurna za uporabu.
</t>
  </si>
  <si>
    <t xml:space="preserve">Obračun iskopa: širina/dužina temeljne konstrukcije + 50 cm radnog prostora + propisani bočni nagib građevne jame (DIN 4124, Izvođenje građevnih jama, rovova i kanala ili jednakovrijedno ___________________).
</t>
  </si>
  <si>
    <t xml:space="preserve">Beton se proizvodi prema zahtjevima iz norme HRN EN 206:2014; Specifikacije, svojstva, proizvodnja i sukladnosti ili jednakovrijedno ___________________. Izvedba i njega betonskih konstrukcija prema zahtjevima iz norme HRN ENV 13670-1:2010 ili jednakovrijedno ___________________.
</t>
  </si>
  <si>
    <t xml:space="preserve">Okrugli (spiro) kanali izrađeni iz čelične pocinčane trake debljine prema HRN EN 1506  ili jednakovrijedno ___________________. sa pripadajućim fazonskim komadima i spojnim elementima. Spojevi moraju biti zabrtvljeni i potpuno nepropusni.
</t>
  </si>
  <si>
    <t xml:space="preserve">Okrugli (spiro) kanali izrađeni iz čelične pocinčane trake debljine prema HRN EN 1506  ili jednakovrijedno ___________________, sa pripadajućim fazonskim komadima i spojnim elementima. Spojevi moraju biti zabrtvljeni i potpuno nepropusni.
</t>
  </si>
  <si>
    <t xml:space="preserve">- stolna varijanta
- programator
- kap. 90 kg/h
- priključna snaga 0,25 kW 230 V
</t>
  </si>
  <si>
    <t>Kod izvođenja radova u svemu se pridržavati uputa iz tehničkih listova proizvođača.
U cijenu uključiti potrebnu potkonstrukciju te sav potreban rad i materijal. Obračun po m2 stropa.</t>
  </si>
  <si>
    <t xml:space="preserve">Kod izvođenja radova u svemu se pridržavati uputa iz tehničkih listova proizvođača.
U cijenu uključiti potrebnu potkonstrukciju te sav potreban rad i materijal. Obračun po m2.
</t>
  </si>
  <si>
    <r>
      <rPr>
        <b/>
        <sz val="10"/>
        <color indexed="8"/>
        <rFont val="Calibri"/>
        <family val="2"/>
      </rPr>
      <t xml:space="preserve">Strojno i ručno čišćenje terena </t>
    </r>
    <r>
      <rPr>
        <sz val="10"/>
        <color indexed="8"/>
        <rFont val="Calibri"/>
        <family val="2"/>
        <charset val="238"/>
      </rPr>
      <t xml:space="preserve">u granicama obuhvata od grmlja, šiblja, raslinja, korjenja i raznih žičanih ograda, smeća i manjih prepreka. Raslinje je promjera do 10 cm. Stavka obuhvaća i utovar na kamion, odvoz i zbrinjavanje otpada sukladno važećem Zakonu o gospodarenju otpadom i pripadajućim podzakonskim aktima. Obračun po m2 očišćene površine odnosno m1 ograde.
</t>
    </r>
  </si>
  <si>
    <t xml:space="preserve">Strojno i ručno rušenje betonskih i armirano-betonskih elemenata (ograde i sl.), s vađenjem temelja. Stavka obuhvaća i utovar na kamion, odvoz i zbrinjavanje nastalog otpada sukladno važećem Zakonu o gospodarenju otpadom i pripadajućim podzakonskim aktima.  Obračun u m3.
</t>
  </si>
  <si>
    <r>
      <rPr>
        <b/>
        <sz val="10"/>
        <color indexed="8"/>
        <rFont val="Calibri"/>
        <family val="2"/>
      </rPr>
      <t xml:space="preserve">Strojno i ručno rušenje elemenata prometnice </t>
    </r>
    <r>
      <rPr>
        <sz val="10"/>
        <color indexed="8"/>
        <rFont val="Calibri"/>
        <family val="2"/>
        <charset val="238"/>
      </rPr>
      <t>(asfalt i rubnjaci kolnika i pločnika) te iskop do dna planiranog šljunčanog nasipa, sve u svrhu izgradnje kolnog i pješačkog spoja i uređenja kontaktne zone obuhvata zahvata i prometnice.  Stavka obuhvaća i utovar na kamion, odvoz i zbrinjavanje nastalog otpada sukladno važećem Zakonu o gospodarenju otpadom i pripadajućim podzakonskim aktima.</t>
    </r>
  </si>
  <si>
    <r>
      <rPr>
        <b/>
        <sz val="10"/>
        <color indexed="8"/>
        <rFont val="Calibri"/>
        <family val="2"/>
      </rPr>
      <t>Čiščenje gradilišta nakon završetka svih radova.</t>
    </r>
    <r>
      <rPr>
        <sz val="10"/>
        <color indexed="8"/>
        <rFont val="Calibri"/>
        <family val="2"/>
        <charset val="238"/>
      </rPr>
      <t xml:space="preserve">   Stavka obuhvaća čišćenje zelenih i kolno-pješačkih površina od otpada i zaostalog građevinskog materijala, pranje kolno-pješačkih površina, utovar na kamion, odvoz i zbrinjavanje nastalog otpada sukladno važećem Zakonu o gospodarenju otpadom i pripadajućim podzakonskim aktima.
</t>
    </r>
  </si>
  <si>
    <t xml:space="preserve">zbrinjavanje viška zemljanog materijala B ktg sukladno važećem Zakonu o gospodarenju otpadom i pripadajućim podzakonskim aktima.
</t>
  </si>
  <si>
    <r>
      <rPr>
        <b/>
        <sz val="10"/>
        <color indexed="8"/>
        <rFont val="Calibri"/>
        <family val="2"/>
      </rPr>
      <t>Transport zemljanog materijal</t>
    </r>
    <r>
      <rPr>
        <b/>
        <sz val="10"/>
        <rFont val="Calibri"/>
        <family val="2"/>
      </rPr>
      <t>a B ktg</t>
    </r>
    <r>
      <rPr>
        <sz val="10"/>
        <rFont val="Calibri"/>
        <family val="2"/>
        <charset val="238"/>
      </rPr>
      <t xml:space="preserve"> </t>
    </r>
    <r>
      <rPr>
        <sz val="10"/>
        <color indexed="8"/>
        <rFont val="Calibri"/>
        <family val="2"/>
        <charset val="238"/>
      </rPr>
      <t>s mjesta iskopa na odlagalište, utovar i istovar materijala, transport, održavanje deponija te naknadno zbrinjavanje viška zemlje sukladno važećem Zakonu o gospodarenju otpadom i pripadajućim podzakonskim aktima. Izvođač je dužan prije davanja ponude informirati se o položaju odlagališta i odrediti transportni put odvoza - dodaci na transport neće se posebno obračunavati. Obračun u m3 sraslog tla bez koeficijenta rastresitosti.</t>
    </r>
  </si>
  <si>
    <t xml:space="preserve">Zona kolnih i pješačkih ulaza (izvedbe spojeva na postojeći kolnik te u kontaktnoj zoni izvan predmetne čestice).
Stvarni utrošak rada i materijala pravdati putem građevinske knjige ili građevinskog dnevnika.
Obračun u m3 i m2.
</t>
  </si>
  <si>
    <t xml:space="preserve">planiranje intervencijskih površina -  zona travne rešetke za pristup vatrogasnih vozila (izvedbe unutar predmetne čestice).
Stvarni utrošak rada i materijala pravdati putem građevinske knjige ili građevinskog dnevnika.
</t>
  </si>
  <si>
    <t xml:space="preserve">planiranje kolno-pješačkih površina -  zona kolnih i pješačkih ulaza (izvedbe spojeva na postojeći kolnik i pločnik te popravak u kontaktnoj zoni izvan predmetne čestice).
Stvarni utrošak rada i materijala pravdati putem građevinske knjige ili građevinskog dnevnika.
</t>
  </si>
  <si>
    <t>nasipavanje šljunka d=50 cm -  zona kolnih i pješačkih ulaza (izvedbe spojeva na postojeći kolnik i pločnik te popravak u kontaktnoj zoni izvan predmetne čestice).
Stvarni utrošak rada i materijala pravdati putem građevinske knjige ili građevinskog dnevnika.</t>
  </si>
  <si>
    <t>Obračun po m2 gornje površine stvarno položenog i utvrđenog sloja asfalta. Stvarni utrošak rada i materijala pravdati putem građevinske knjige ili građevinskog dnevnika.</t>
  </si>
  <si>
    <t>nosivi sloj asfalta AC 32 base, 50/70, AG6, M2-E, debljine d=7,0 cm  - zona kolnih i pješačkih ulaza (izvedbe spojeva na postojeći kolnik i pločnik te popravak u kontaktnoj zoni izvan predmetne čestice).
Stvarni utrošak rada i materijala pravdati putem građevinske knjige ili građevinskog dnevnika.</t>
  </si>
  <si>
    <t xml:space="preserve">habajući sloj AC 11 surf u crnoj boji (natur boja) , 50/70, AG2, M2-E, debljina d=4,0 cm  - zona kolnih i pješačkih ulaza (izvedbe spojeva na postojeći kolnik i pločnik te popravak u kontaktnoj zoni izvan predmetne čestice).
Stvarni utrošak rada i materijala pravdati putem građevinske knjige ili građevinskog dnevnika.
</t>
  </si>
  <si>
    <r>
      <rPr>
        <b/>
        <sz val="10"/>
        <rFont val="Calibri"/>
        <family val="2"/>
      </rPr>
      <t>Dobava i postava sustava lijevane gumene antitraumatske podloge</t>
    </r>
    <r>
      <rPr>
        <sz val="10"/>
        <rFont val="Calibri"/>
        <family val="2"/>
      </rPr>
      <t xml:space="preserve"> s izradom donjeg nosivog sloja.  </t>
    </r>
    <r>
      <rPr>
        <sz val="10"/>
        <rFont val="Calibri"/>
        <family val="2"/>
        <charset val="238"/>
      </rPr>
      <t xml:space="preserve">
Polaže na sloj geotekstila (300 g/m2) i sloj šljunka (obračunato u stavci A.3.7.b). Na šljunak se postavlja osnovni gumeni  sloj debljine 28-30 mm SBR granulacije 12 mm. Nakon toga dolazi završni sloj EPDM granulacije 3-4 mm, debljine 10-12 mm. Odabir boja po izboru projektanta.
Prije konačnog odabira izvođač je dužan dostaviti uzorak projektirane boje i obrade.
Završni sloj je UV stabilan, protuklizan, otporan na abraziju i požar. 
Obračun po m2.
</t>
    </r>
  </si>
  <si>
    <t>antitraumatska podloga - boja 1 (kao narančasta)</t>
  </si>
  <si>
    <t>antitraumatska podloga - boja 2 (kao svjetloplava)</t>
  </si>
  <si>
    <t>antitraumatska podloga - boja 3 (kao svjetlocrvena)</t>
  </si>
  <si>
    <t>antitraumatska podloga - boja 4 (kao svjetlozelena)</t>
  </si>
  <si>
    <r>
      <rPr>
        <b/>
        <sz val="10"/>
        <color indexed="8"/>
        <rFont val="Calibri"/>
        <family val="2"/>
      </rPr>
      <t>Dobava i ugradnja gotovih parkovnih betonskih rubnjaka</t>
    </r>
    <r>
      <rPr>
        <sz val="10"/>
        <color indexed="8"/>
        <rFont val="Calibri"/>
        <family val="2"/>
        <charset val="238"/>
      </rPr>
      <t xml:space="preserve"> ravnih rubova veličine 8x20 cm, klasa betona C40/50, položenih na betonsku podlogu C12/15.
Betonski rubnjaci ugrađuju se u projektiranom pravcu i niveleti. Sve izraditi prema detalju u projektu i naputku projektanta.
</t>
    </r>
  </si>
  <si>
    <r>
      <rPr>
        <b/>
        <sz val="10"/>
        <color indexed="8"/>
        <rFont val="Calibri"/>
        <family val="2"/>
      </rPr>
      <t xml:space="preserve">Dobava i postava gotovih skošenih cestovnih betonskih rubnjaka </t>
    </r>
    <r>
      <rPr>
        <sz val="10"/>
        <color indexed="8"/>
        <rFont val="Calibri"/>
        <family val="2"/>
        <charset val="238"/>
      </rPr>
      <t xml:space="preserve">veličine 18x24 cm, klasa betona C40/50, položenih na betonsku podlogu C12/15, između pješačkih i kolnih površina.
</t>
    </r>
  </si>
  <si>
    <t xml:space="preserve">- betonska površina sa reprezentativnom arhitektonskom obradom
- struktura vidljive površine mora biti glatka bez šupljih gnjezda i segregiranog agregata (S2)
- agregat mora biti fino ispunjen cementnim mortom, poroznost (P)
- površina betona mora biti ujednačene boje, bez mrlja od oplatnog ulja, bez mrlja (hrđe) od armature, (F2)
- vidljivi spoj na sudaru dviju ploča oplate mora biti manji od 3 mm, radne fuge, (A2S)
- ravnoča ploha mora biti manja od 2 mm, (E1)
- klasa oplate, (SchK 2) 
- ogrebotine u betonu moraju biti manje od 2 mm
- poroznost plohe (učešće pora) mora biti manje od 0,3%
- obavezna zidarska obrada reški, ogrebotina i prodora za sidra s agregatom i cementom istog podrijetla kao beton (bez mrlja od krpanja)
</t>
  </si>
  <si>
    <r>
      <rPr>
        <b/>
        <sz val="10"/>
        <color indexed="8"/>
        <rFont val="Calibri"/>
        <family val="2"/>
      </rPr>
      <t xml:space="preserve">
</t>
    </r>
    <r>
      <rPr>
        <sz val="10"/>
        <color indexed="8"/>
        <rFont val="Calibri"/>
        <family val="2"/>
        <charset val="238"/>
      </rPr>
      <t>- Kao Schöck Bole O 16/290-4/B755  ili jednakovrijedan proizvod___________________________________ 
(ugrađuje se ispod stupa  poz P1 prema detalju u Mapi 02 Glavnog projekta na str. 266)
- Kao Schöck Bole O 20/290-3/B535 ili jednakovrijedan proizvod___________________________________ (ugrađuje se ispod stupa poz P2 prema detalju u Mapi 02 Glavnog projekta na str. 268).
Obračun po komadu.</t>
    </r>
  </si>
  <si>
    <t>Kao Schöck Bole O 16/290-4/B755 ili jednakovrijedan proizvod________________________</t>
  </si>
  <si>
    <t>Schöck Bole O 20/290-3/B535 ili jednakovrijedan proizvod________________________</t>
  </si>
  <si>
    <r>
      <t xml:space="preserve">Izvođač je dužan izraditi detaljne radioničke nacrte za sve ugradbene elemente namještaja (opreme), a nakon izmjere izvedenog stanja, te sve uzorke materijala dati projektantu na uvid i odabir, a dotični element opreme izraditi nakon pismenog odobrenja projektanta. 
</t>
    </r>
    <r>
      <rPr>
        <b/>
        <sz val="10"/>
        <rFont val="Calibri"/>
        <family val="2"/>
        <charset val="238"/>
      </rPr>
      <t>Svi stavke moraju biti sukladne HACCAP sustavu.</t>
    </r>
  </si>
  <si>
    <t xml:space="preserve">Radove izvodti prema uvjetima i pod nadzorom vlasnika/upravitelja infrastrukture. Obveza je izvođača radova zatražiti uvjete, nadzor i radove na izmještanju stupa od strane vlasnika/upravitelja infrastrukture i prema tim uvjetima postupiti. Sve radnje izvode ovlaštene osobe, prema uvjetima i uz suglasnost i nadzor vlasnika/upravitelja infrastrukture. 
Stavka obuhvaća i utovar na kamion, odvoz i zbrinjavanje nastalog otpada sukladno važećem Zakonu o gospodarenju otpadom i pripadajućim podzakonskim aktima, te izvedbu nove (izmještene) infrastrukture, sve do pune funkcionalnosti. </t>
  </si>
  <si>
    <t xml:space="preserve">signalizacija (sigurnosna signalizacija - vatrodojava), samoljepljive naljepnice, 5 kom
</t>
  </si>
  <si>
    <r>
      <t xml:space="preserve">Uključuje sav potreban materijal, radne skele te čišćenje obrađenih površina nakon završetka radova, do pune gotovosti. </t>
    </r>
    <r>
      <rPr>
        <sz val="10"/>
        <rFont val="Calibri"/>
        <family val="2"/>
      </rPr>
      <t xml:space="preserve">Obračun po komadu i m1.
</t>
    </r>
  </si>
  <si>
    <r>
      <rPr>
        <sz val="10"/>
        <color indexed="8"/>
        <rFont val="Calibri"/>
        <family val="2"/>
      </rPr>
      <t xml:space="preserve">Uključuje sav potreban materijal, ugradnju na zidove te čišćenje obrađenih površina nakon završetka radova, do pune gotovosti. </t>
    </r>
    <r>
      <rPr>
        <sz val="10"/>
        <rFont val="Calibri"/>
        <family val="2"/>
      </rPr>
      <t>Obračun po komadu.</t>
    </r>
  </si>
  <si>
    <t>signalizacija na vratima i staklenim stijenama (ulaz u vrtićke i jasličke jedinice), samoljepljive naljepnice, namjena prostorije, veličina slova do 5 cm</t>
  </si>
  <si>
    <t xml:space="preserve">Izrada, dobava, te izvedba opće usmjeravajuće i ostale signalistike, te piktograma na drvenim i ostakljenim vratima te armirano betonskim i gipskartonskim zidovima. Sve prema razrađenom rješenju iz stavke B.12.20.
</t>
  </si>
  <si>
    <t>signalizacija na vratima, prozirnim stijenama i zidovima (piktogram koji reprezentira ime vrtićke i jasličke jedinice), samoljepljive naljepnice
š/v= 40-70 / 40-70</t>
  </si>
  <si>
    <t>Odabir fonta po izboru projektanta.</t>
  </si>
  <si>
    <t xml:space="preserve">signalizacija na vratima i staklenim stijenama (ulaz u vrtićke i jasličke jedinice i funkcionalne cjeline), samoljepljive naljepnice, ime jedinice/funkcionalne cjeline, veličina slova do 10 cm
</t>
  </si>
  <si>
    <t>signalizacija na prozirnim stijenama (sigurnosna signalizacija - spriječavanje sudaranja s prozirnim stijenama), samoljepljive naljepnice u vidnom području na visini cca. 90 cm, visine do 10 cm</t>
  </si>
  <si>
    <t xml:space="preserve">Prilikom iskopa 'građevne jame' potrebno je, u okviru stručnog nadzora, od strane ovlaštenog geomehaničara, izvršiti pregled jame i nosivost tla, te ih usporediti s podacima iz geomehaničkog elaborata. U slučaju odstupanja u nosivosti treba predložiti adekvatno rješenje (dublji iskop, zamjenu i/ili stabilizaciju tla). Očitovanje geomehaničara mora biti u pisanom obliku. </t>
  </si>
  <si>
    <t>Obrada gornje površine zaribavanjem, sve pripremljeno za polaganje završne podne obloge. U cijenu uključiti sve potrebne zidarske radove.</t>
  </si>
  <si>
    <t>Obrada gornje površine zaribavanjem, sve pripremljeno za polaganje završne podne obloge.U cijenu uključiti sve potrebne zidarske radove.</t>
  </si>
  <si>
    <t xml:space="preserve">Stavka uključuje izradu izvedbene dokumentacije u digitalnom obliku, razradu rješenja, testiranje na lokaciji, digitalnu pripremu rješenja za izvođača i nadzor izrade prototipa, sve u suradnji i po odabiru glavnog projektanta. Obračun po kompletu.
</t>
  </si>
  <si>
    <t xml:space="preserve">Stavka uključuje montažu postrojenja dizala uključujujući sav potreban materijal, pomoćni materijal, rad i pomoćni rad do potpune gotovosti i operativnosti osobnog dizala, te tehnička kontrolu ovlaštene tvrtke. Stavka uključuje sva potrebna izpitivanja i ateste za funkcioniranje dizala. 
Na garancijski rok izvođača na dizalo, ne utječe možebitno održavanje dizala od strane trećih tvrtki koje investitor angažira.
</t>
  </si>
  <si>
    <t xml:space="preserve">Kabina:  
- dimenzije: 1500 x 1500 x 2200 mm
- izvedba: specijalna  čelična konstrukcija, prolazna pod 90 stupnjeva 
- obloga stranica: nehrđajući čelični lim - brušen 
- obloga poda: specijalna protuklizna obloga (po izboru prema uzorku)
- rasvjeta: stropna LED-rasvjeta  
- vrata kabine: automatska  teleskopska, 2-krilna, osigurana “svjetlosnom zavjesom“
- obloga: nehrđajući čelični lim - brušen 
- dodatna oprema: zrcalo, rukohvat, ventilator, govorna veza (kabina - grupa  upravljanja - servisna služba), tipkala sa oznakama na Brailici, sustav za zvučne signale za slijepe osobe; za slučaj  prekida  mrežnog napajanja  ugrađen  je uređaj  za “vožnju u nuždi“ kojim se kabinu automatski vozi u najbližu stanicu </t>
  </si>
  <si>
    <t>Dobava, izrada i montaža vanjske signalistike</t>
  </si>
  <si>
    <t>Izrada i dobava vanjske signalistike - natpisna ploča dječjeg vrtića te ploče s podatcima o financiranju. Sve prema razrađenom rješenju iz stavke B.12.20.</t>
  </si>
  <si>
    <t>natpisna ploča</t>
  </si>
  <si>
    <t>privremena ploča o financiranju</t>
  </si>
  <si>
    <t>stalna ploča o financiranju</t>
  </si>
  <si>
    <t>B.12.25.</t>
  </si>
  <si>
    <t xml:space="preserve">Privremena ploča o podatcima o projektu i financiranju projekta. Sadrži sve propisane elemente.
Informacijska ploča mora uključivati sljedeći sadržaj: 
Sadržaj koji zauzima najmanje 25 % ploče:
- Amblem Unije i tekst: „Europska unija“, 
- Napomena o fondu iz kojeg je sufinanciran projekt,
-  Izjava/slogan.
Preostali dio informacijske ploče (75 %) namijenjen je opisu projekta. Minimalno treba
sadržavati sljedeće elemente:
- Logotip europski strukturni i investicijski fondovi
- Naziv projekta (operacije)
- Naziv korisnika
- Vrijednost projekta i iznos EU sufinanciranja, izraženo u eurima
- Razdoblje provedbe projekta (od – do)
- Hrvatska zastava
Tisak na metalnu ploču ili samoljepljiva folija na metalnoj ploči. 
Veličina ploče minimalno 100 x 70 cm. Montirati uz gradilišnu ploču. </t>
  </si>
  <si>
    <t xml:space="preserve">sječenje, odnosno piljenje stabala, strojno ili ručno, kresanje grana, strojno vađenju panjeva, utovar na kamion, odvoz i zbrinjavanje sukladno važećem Zakonu o gospodarenju otpadom i pripadajućim podzakonskim aktima.
Obračun po komadu.
</t>
  </si>
  <si>
    <t>Stalna ploča o podatcima o projektu i financiranju projekta. Sadrži sve propisane elemente.
Trajna ploča mora uključivati sljedeći sadržaj:
- Amblem Unije i tekst „Europska unija“
- Hrvatsku zastavu
- Napomena o fondu iz kojeg je sufinanciran projekt
- Naziv i glavni cilj projekta (operacije)
- Izjavu/slogan
-logotip europski strukturni i investicijski
fondovi. 
Tisak na pleksiglas ploču. Ploča pričvršćena u zid s 4 vijka s distancerima sa stražnje strane. Distanceri i vijci od nehrđajučeg čelika ili aluminija. 
Veličina pleksiglas ploče  60 x 40 cm, min. debljine 5 mm. Montirati uz glavni ulaz.</t>
  </si>
  <si>
    <t>Natpisna ploča je oblikovana sukladno Uredbi o natpisnoj ploči i zaglavlju akta tijela državne uprave, lokalne, područne (regionalne) i mjesne samouprave, te pravnih osoba koje imaju javne ovlasti (NN 34/02). Natpisna ploča uz puni naziv Dječjeg vrtića obvezno sadrži i grb Republike Hrvatske.
Tisak na pleksiglas ploču. Ploča pričvršćena u zid s 4 vijka s distancerima sa stražnje strane. Distanceri i vijci od nehrđajučeg čelika ili aluminija. 
Veličina pleksiglas ploče  60 x 40 cm, min. debljine 5 mm. Montirati uz glavni ulaz.</t>
  </si>
  <si>
    <t>Platneni metar, materijal fiberglas ili PVC, savitljiva traka debljine cca. 0,5 mm, s metalnim krajevima, dužine 1,5 m</t>
  </si>
  <si>
    <t>Hladnjak, ukupni volumen 110-140 l, kombinirani (zamrzivač gore), min. energetska klasa: E</t>
  </si>
  <si>
    <t xml:space="preserve">Spirometar (ručni). Ručni spirometar s mogućnošću povezivanja ili prijenosa podataka na PC računalo. Zaslon koji pokazuje izmjerene podatke (min. FVC, FEV1, PEF, FEF25-75).
</t>
  </si>
  <si>
    <t>Kaliper, nehrđajući čelik, ravni, mehanički, preciznost do 1 mm, skala do 200 mm</t>
  </si>
  <si>
    <t>Visinomjer, samostojeći, mjerno područje: od 20-60 cm do 205-210 cm, mehanički</t>
  </si>
  <si>
    <t>Vaga medicinska, analogna, maksimalni kapacitet vage: min. 150 kg.</t>
  </si>
  <si>
    <t xml:space="preserve">Zglobni reflektor za pregled, na stalku, na kotačima, gibljiv vrat, LED svjetlo, osvjetljenje min. 20.000 lux,  temperatura boje: 4000-5500K (+/-10%)
</t>
  </si>
  <si>
    <t>Tablice za ispitivanje oštrine vida (Snellen), za nepismene osobe</t>
  </si>
  <si>
    <t>Tablice za raspoznavanje boja (Ishihara), 10 slika za nepismene osobe</t>
  </si>
  <si>
    <t xml:space="preserve">Tlakomjer, analogni, manžeta prilagodljiva za djecu. Maksimalna tolerancija pogreške: +/- 3 mm Hg. Linearna skala od 0 - 300 mm Hg.
</t>
  </si>
  <si>
    <t>Sito za brašno RF, fi 30 cm</t>
  </si>
  <si>
    <t>Tava teflon, fi 30 cm</t>
  </si>
  <si>
    <t>Šalica za mlijeko ili čaj, RF, 2-3 dcl</t>
  </si>
  <si>
    <t>Pladanj za meso, RF 18/10, dužine 35 cm (±10%)</t>
  </si>
  <si>
    <r>
      <t>Pladanj za meso, RF 18/10, dužine 40 cm (</t>
    </r>
    <r>
      <rPr>
        <sz val="10"/>
        <rFont val="Calibri"/>
        <family val="2"/>
        <charset val="238"/>
      </rPr>
      <t>±</t>
    </r>
    <r>
      <rPr>
        <sz val="10"/>
        <rFont val="Calibri"/>
        <family val="2"/>
      </rPr>
      <t>10%)</t>
    </r>
  </si>
  <si>
    <t>Pladanj za meso, RF 18/10, dužine 30 cm (±10%)</t>
  </si>
  <si>
    <r>
      <t>Škripac</t>
    </r>
    <r>
      <rPr>
        <sz val="10"/>
        <rFont val="Calibri"/>
        <family val="2"/>
        <charset val="238"/>
        <scheme val="minor"/>
      </rPr>
      <t xml:space="preserve">, bravarski, raspon 0 mm - min. 90 mm, širina čeljusti min. 100 mm.
</t>
    </r>
  </si>
  <si>
    <r>
      <t>Prijenosna kutija za alat</t>
    </r>
    <r>
      <rPr>
        <sz val="10"/>
        <rFont val="Calibri"/>
        <family val="2"/>
        <charset val="238"/>
        <scheme val="minor"/>
      </rPr>
      <t xml:space="preserve">, plastična, zapremina min. 35 l.
</t>
    </r>
  </si>
  <si>
    <r>
      <t>Kutna brusilica mala</t>
    </r>
    <r>
      <rPr>
        <sz val="10"/>
        <rFont val="Calibri"/>
        <family val="2"/>
        <charset val="238"/>
        <scheme val="minor"/>
      </rPr>
      <t>, priključna snaga min. 900 W, promjer brusne ploče: 125 mm</t>
    </r>
  </si>
  <si>
    <r>
      <t>Električna ručna bušilica</t>
    </r>
    <r>
      <rPr>
        <sz val="10"/>
        <rFont val="Calibri"/>
        <family val="2"/>
        <charset val="238"/>
        <scheme val="minor"/>
      </rPr>
      <t xml:space="preserve">, udarna, priključna snaga 600-800 W.
</t>
    </r>
  </si>
  <si>
    <r>
      <t>Električna ručna bušilica</t>
    </r>
    <r>
      <rPr>
        <sz val="10"/>
        <rFont val="Calibri"/>
        <family val="2"/>
        <charset val="238"/>
        <scheme val="minor"/>
      </rPr>
      <t xml:space="preserve">, udarna, priključna snaga 1000-1500 W.
</t>
    </r>
  </si>
  <si>
    <r>
      <t>Lemilo srednje veličine</t>
    </r>
    <r>
      <rPr>
        <sz val="10"/>
        <rFont val="Calibri"/>
        <family val="2"/>
        <charset val="238"/>
        <scheme val="minor"/>
      </rPr>
      <t>, radna temperatura: min. 450°C, priključna snaga min. 60 W.</t>
    </r>
  </si>
  <si>
    <r>
      <t>Škare za lim</t>
    </r>
    <r>
      <rPr>
        <sz val="10"/>
        <rFont val="Calibri"/>
        <family val="2"/>
        <charset val="238"/>
        <scheme val="minor"/>
      </rPr>
      <t xml:space="preserve">, ravne, rezanje lima debljine do min. 1 mm.
</t>
    </r>
  </si>
  <si>
    <r>
      <t>Skalpel</t>
    </r>
    <r>
      <rPr>
        <sz val="10"/>
        <rFont val="Calibri"/>
        <family val="2"/>
        <charset val="238"/>
        <scheme val="minor"/>
      </rPr>
      <t xml:space="preserve">, gumirana ručka, segmentirana oštrica širine 18 mm.
</t>
    </r>
  </si>
  <si>
    <r>
      <t>Komplet nareznica i ureznica</t>
    </r>
    <r>
      <rPr>
        <sz val="10"/>
        <rFont val="Calibri"/>
        <family val="2"/>
        <charset val="238"/>
        <scheme val="minor"/>
      </rPr>
      <t>, različitih veličina M3-M12, broj dijelova: min. 30.</t>
    </r>
  </si>
  <si>
    <r>
      <t>Stolna bušilica</t>
    </r>
    <r>
      <rPr>
        <sz val="10"/>
        <rFont val="Calibri"/>
        <family val="2"/>
        <charset val="238"/>
        <scheme val="minor"/>
      </rPr>
      <t xml:space="preserve">, priključna snaga min. 450 W, ručno spuštanje.
</t>
    </r>
  </si>
  <si>
    <r>
      <t>Električna ručna blanja</t>
    </r>
    <r>
      <rPr>
        <sz val="10"/>
        <rFont val="Calibri"/>
        <family val="2"/>
        <charset val="238"/>
        <scheme val="minor"/>
      </rPr>
      <t xml:space="preserve">, priključna snaga min. 650 W, širina blanje: 82 mm, dubina blanjanja: min. 0-2 mm.
</t>
    </r>
  </si>
  <si>
    <r>
      <t>Električna ručni cirkular (kružna pila)</t>
    </r>
    <r>
      <rPr>
        <sz val="10"/>
        <rFont val="Calibri"/>
        <family val="2"/>
        <charset val="238"/>
        <scheme val="minor"/>
      </rPr>
      <t xml:space="preserve">, priključna snaga min. 1000 W, promjer lista pile min. 165 mm - 190 mm.
</t>
    </r>
  </si>
  <si>
    <r>
      <t>Električna ručna brusilica</t>
    </r>
    <r>
      <rPr>
        <sz val="10"/>
        <rFont val="Calibri"/>
        <family val="2"/>
        <charset val="238"/>
        <scheme val="minor"/>
      </rPr>
      <t xml:space="preserve">, priključna snaga min. 2200 W, promjer brusne ploče: 230 mm.
</t>
    </r>
  </si>
  <si>
    <r>
      <t>Ubodna pila</t>
    </r>
    <r>
      <rPr>
        <sz val="10"/>
        <rFont val="Calibri"/>
        <family val="2"/>
        <charset val="238"/>
        <scheme val="minor"/>
      </rPr>
      <t xml:space="preserve">, priključna snaga min. 700 W,  s koferom.
</t>
    </r>
  </si>
  <si>
    <r>
      <t>Viljuškasti ključevi</t>
    </r>
    <r>
      <rPr>
        <sz val="10"/>
        <rFont val="Calibri"/>
        <family val="2"/>
        <charset val="238"/>
        <scheme val="minor"/>
      </rPr>
      <t xml:space="preserve">, 6-22 mm, 8 dvostranih ključeva različitih veličina u kompletu.
</t>
    </r>
  </si>
  <si>
    <r>
      <t>Grif ključevi za vodu</t>
    </r>
    <r>
      <rPr>
        <sz val="10"/>
        <rFont val="Calibri"/>
        <family val="2"/>
        <charset val="238"/>
        <scheme val="minor"/>
      </rPr>
      <t xml:space="preserve">, 3 kom različitih veličina u kompletu, za cijevi 1", 1,5", 2".
</t>
    </r>
  </si>
  <si>
    <r>
      <t>Komplet imbus ključeva</t>
    </r>
    <r>
      <rPr>
        <sz val="10"/>
        <rFont val="Calibri"/>
        <family val="2"/>
        <charset val="238"/>
        <scheme val="minor"/>
      </rPr>
      <t>, 9 komada različitih veličina u kompletu, 1,5-10 mm.</t>
    </r>
  </si>
  <si>
    <r>
      <t>Ključevi okasti</t>
    </r>
    <r>
      <rPr>
        <sz val="10"/>
        <rFont val="Calibri"/>
        <family val="2"/>
        <scheme val="minor"/>
      </rPr>
      <t>, 6-22 mm, 8 dvostranih ključeva različitih veličina u kompletu.</t>
    </r>
  </si>
  <si>
    <r>
      <t>Turpije za metal komplet</t>
    </r>
    <r>
      <rPr>
        <sz val="10"/>
        <rFont val="Calibri"/>
        <family val="2"/>
        <charset val="238"/>
        <scheme val="minor"/>
      </rPr>
      <t>, 3 različite turpije u kompletu (okrugla, trokutasta i ravna oštrica), duljna oštrica min. 200 mm.</t>
    </r>
  </si>
  <si>
    <r>
      <t>Turpije za drvo komplet</t>
    </r>
    <r>
      <rPr>
        <sz val="10"/>
        <rFont val="Calibri"/>
        <family val="2"/>
        <charset val="238"/>
        <scheme val="minor"/>
      </rPr>
      <t xml:space="preserve">, 3 različite turpije u kompletu (okrugla, plosnata i polukružna oštrica), duljna oštrica min. 200 mm.
</t>
    </r>
  </si>
  <si>
    <r>
      <t>Pomično mjerilo</t>
    </r>
    <r>
      <rPr>
        <sz val="10"/>
        <rFont val="Calibri"/>
        <family val="2"/>
        <charset val="238"/>
        <scheme val="minor"/>
      </rPr>
      <t xml:space="preserve">, analogno, metalno, raspon mjerenja od 0 do 150-200 mm.
</t>
    </r>
  </si>
  <si>
    <r>
      <t>Električna klamarica za tapiciranje</t>
    </r>
    <r>
      <rPr>
        <sz val="10"/>
        <rFont val="Calibri"/>
        <family val="2"/>
        <charset val="238"/>
        <scheme val="minor"/>
      </rPr>
      <t>, za spajalice od tanke žice tipa 53 (6 – 14 mm) i igle tipa 8 (15 mm), min. 20 impulsa/min.</t>
    </r>
  </si>
  <si>
    <r>
      <t>Nož (rezač) za staklo</t>
    </r>
    <r>
      <rPr>
        <sz val="10"/>
        <rFont val="Calibri"/>
        <family val="2"/>
        <charset val="238"/>
        <scheme val="minor"/>
      </rPr>
      <t>, s kotačićem.</t>
    </r>
  </si>
  <si>
    <r>
      <t>Pila za metal</t>
    </r>
    <r>
      <rPr>
        <sz val="10"/>
        <rFont val="Calibri"/>
        <family val="2"/>
        <charset val="238"/>
        <scheme val="minor"/>
      </rPr>
      <t>, ručna, duljina lista: 300 mm.</t>
    </r>
  </si>
  <si>
    <r>
      <t>Pila za drvo</t>
    </r>
    <r>
      <rPr>
        <sz val="10"/>
        <rFont val="Calibri"/>
        <family val="2"/>
        <charset val="238"/>
        <scheme val="minor"/>
      </rPr>
      <t>, ručna, duljina lista:450 mm.</t>
    </r>
  </si>
  <si>
    <r>
      <t>Čekič</t>
    </r>
    <r>
      <rPr>
        <sz val="10"/>
        <rFont val="Calibri"/>
        <family val="2"/>
        <scheme val="minor"/>
      </rPr>
      <t>, bravarski, težina glave 300 g.</t>
    </r>
  </si>
  <si>
    <r>
      <t>Metar 20 m</t>
    </r>
    <r>
      <rPr>
        <sz val="10"/>
        <rFont val="Calibri"/>
        <family val="2"/>
        <charset val="238"/>
        <scheme val="minor"/>
      </rPr>
      <t xml:space="preserve">, mjerna traka na izvlačenje duljine 20 m, s kočnicom, s gumiranom zaštitom.
</t>
    </r>
  </si>
  <si>
    <r>
      <t>Metar 5 m</t>
    </r>
    <r>
      <rPr>
        <sz val="10"/>
        <rFont val="Calibri"/>
        <family val="2"/>
        <charset val="238"/>
        <scheme val="minor"/>
      </rPr>
      <t xml:space="preserve">, mjerna traka na izvlačenje duljine 5 m, s kočnicom, s gumiranom zaštitom.
</t>
    </r>
  </si>
  <si>
    <r>
      <t>Svrdla</t>
    </r>
    <r>
      <rPr>
        <sz val="10"/>
        <rFont val="Calibri"/>
        <family val="2"/>
        <scheme val="minor"/>
      </rPr>
      <t xml:space="preserve">, set za metal, min. 6 komada različitih veličina u kompletu, promjera 2-8 mm.
</t>
    </r>
  </si>
  <si>
    <r>
      <t>Svrdla</t>
    </r>
    <r>
      <rPr>
        <sz val="10"/>
        <rFont val="Calibri"/>
        <family val="2"/>
        <scheme val="minor"/>
      </rPr>
      <t xml:space="preserve">, set za drvo, min. 8 komada različitih veličina u kompletu, promjera 3-10 mm.
</t>
    </r>
  </si>
  <si>
    <r>
      <t>Aparat za zavarivanje s elektrodama,</t>
    </r>
    <r>
      <rPr>
        <sz val="10"/>
        <rFont val="Calibri"/>
        <family val="2"/>
        <charset val="238"/>
        <scheme val="minor"/>
      </rPr>
      <t xml:space="preserve"> inverterski, MMA zavarivanje, struja za zavarivanje: od 10 do min. 160 A.</t>
    </r>
  </si>
  <si>
    <r>
      <t>Zaštitna maska za zavarivanje</t>
    </r>
    <r>
      <rPr>
        <sz val="10"/>
        <rFont val="Calibri"/>
        <family val="2"/>
        <charset val="238"/>
        <scheme val="minor"/>
      </rPr>
      <t>, analogna, naglavna.</t>
    </r>
  </si>
  <si>
    <r>
      <t>Kliješta, komplet od 3 kliješta:</t>
    </r>
    <r>
      <rPr>
        <sz val="10"/>
        <rFont val="Calibri"/>
        <family val="2"/>
        <charset val="238"/>
        <scheme val="minor"/>
      </rPr>
      <t xml:space="preserve"> telefonska kliješta, bočna rezalica, kombinirana kliješta.
</t>
    </r>
  </si>
  <si>
    <r>
      <t>Pištolj lemilo</t>
    </r>
    <r>
      <rPr>
        <sz val="10"/>
        <rFont val="Calibri"/>
        <family val="2"/>
        <scheme val="minor"/>
      </rPr>
      <t>, priključna snaga 150-200 W.</t>
    </r>
  </si>
  <si>
    <r>
      <t>Nasadni ključevi komplet</t>
    </r>
    <r>
      <rPr>
        <sz val="10"/>
        <rFont val="Calibri"/>
        <family val="2"/>
        <charset val="238"/>
        <scheme val="minor"/>
      </rPr>
      <t xml:space="preserve">, cjevasti s rupama za polugu, 8 različitih veličina (6x7, 8x9, 10x11, 12x13, 14x15, 16x17, 18x19, 20x22 mm), s min. 1 nastavkom (polugom).
</t>
    </r>
  </si>
  <si>
    <r>
      <t>Ključevi nasadni sa drškom (račnom)</t>
    </r>
    <r>
      <rPr>
        <sz val="10"/>
        <rFont val="Calibri"/>
        <family val="2"/>
        <charset val="238"/>
        <scheme val="minor"/>
      </rPr>
      <t>, komplet, minimalno 25 kom izmijenjivih nastavaka različitih veličina (8-32 mm), veličina prihvata: 1/2″, s ergonomskom ručkom (račnom) za zatezanje.</t>
    </r>
  </si>
  <si>
    <r>
      <t>Usadni ključevi komplet (bit nastavci)</t>
    </r>
    <r>
      <rPr>
        <sz val="10"/>
        <rFont val="Calibri"/>
        <family val="2"/>
        <charset val="238"/>
        <scheme val="minor"/>
      </rPr>
      <t xml:space="preserve">, 32 kom raznih veličina i vrsta (ravni, križni, zvjezdasti) u kompletu. Duljina nastavka: 25 mm. Veličina prihvata 1/4″, šesterokutno.
</t>
    </r>
  </si>
  <si>
    <r>
      <t>Pano za alat</t>
    </r>
    <r>
      <rPr>
        <sz val="10"/>
        <rFont val="Calibri"/>
        <family val="2"/>
        <scheme val="minor"/>
      </rPr>
      <t xml:space="preserve">, perforirana metalna ploča, dimenzija 100-130 x 54-80 cm.
</t>
    </r>
  </si>
  <si>
    <r>
      <t>Stalak za kutno pilanje brusilicom</t>
    </r>
    <r>
      <rPr>
        <sz val="10"/>
        <rFont val="Calibri"/>
        <family val="2"/>
        <charset val="238"/>
        <scheme val="minor"/>
      </rPr>
      <t>, za kutne brusilice Ø115 mm - Ø125 mm</t>
    </r>
  </si>
  <si>
    <r>
      <t>Stolna kružna pila</t>
    </r>
    <r>
      <rPr>
        <sz val="10"/>
        <rFont val="Calibri"/>
        <family val="2"/>
        <charset val="238"/>
        <scheme val="minor"/>
      </rPr>
      <t xml:space="preserve">, preklopna, priključna snaga min. 1400 W, promjer lista pile 210-216 mm.
</t>
    </r>
  </si>
  <si>
    <r>
      <rPr>
        <b/>
        <sz val="10"/>
        <rFont val="Calibri"/>
        <family val="2"/>
        <scheme val="minor"/>
      </rPr>
      <t xml:space="preserve">Ispitivač napona, </t>
    </r>
    <r>
      <rPr>
        <sz val="10"/>
        <rFont val="Calibri"/>
        <family val="2"/>
        <scheme val="minor"/>
      </rPr>
      <t>220V-250V, analogni.</t>
    </r>
  </si>
  <si>
    <r>
      <rPr>
        <b/>
        <sz val="10"/>
        <rFont val="Calibri"/>
        <family val="2"/>
        <scheme val="minor"/>
      </rPr>
      <t>Kliješta</t>
    </r>
    <r>
      <rPr>
        <sz val="10"/>
        <rFont val="Calibri"/>
        <family val="2"/>
        <scheme val="minor"/>
      </rPr>
      <t xml:space="preserve"> ze telefonske priključke, za priključke RJ11, RJ12, RJ45.
</t>
    </r>
  </si>
  <si>
    <r>
      <t>Čaša za sok, polipropilenska, periva u perilici za suđe (min. do 65</t>
    </r>
    <r>
      <rPr>
        <sz val="10"/>
        <rFont val="Calibri"/>
        <family val="2"/>
        <charset val="238"/>
      </rPr>
      <t>°</t>
    </r>
    <r>
      <rPr>
        <sz val="10"/>
        <rFont val="Calibri"/>
        <family val="2"/>
      </rPr>
      <t>), bez BPA, 2--3 dcl</t>
    </r>
  </si>
  <si>
    <r>
      <t>Baterijska bušilica</t>
    </r>
    <r>
      <rPr>
        <sz val="10"/>
        <rFont val="Calibri"/>
        <family val="2"/>
        <scheme val="minor"/>
      </rPr>
      <t>, vibracijska (udarna), 18 V, okretni moment min. 80 Nm, uključuje 2 izmjenjive baterije (min. 4 Ah) i punjač.</t>
    </r>
  </si>
  <si>
    <r>
      <rPr>
        <b/>
        <sz val="10"/>
        <rFont val="Calibri"/>
        <family val="2"/>
      </rPr>
      <t>Sjetva travne smjese</t>
    </r>
    <r>
      <rPr>
        <sz val="10"/>
        <rFont val="Calibri"/>
        <family val="2"/>
        <charset val="238"/>
      </rPr>
      <t xml:space="preserve"> na zelenim površinama čestice. Obračun po m2 zasijane površine.
</t>
    </r>
  </si>
  <si>
    <t>bušenje rupa za prolaz cijevi strojarstva - DN 80</t>
  </si>
  <si>
    <t>bušenje rupa za prolaz cijevi strojarstva - Ø 63 mm</t>
  </si>
  <si>
    <t>bušenje rupa za prolaz cijevi strojarstva - Ø 50 mm</t>
  </si>
  <si>
    <t>bušenje rupa za prolaz cijevi strojarstva - Ø 32-40 mm</t>
  </si>
  <si>
    <t>bušenje rupa za prolaz cijevi odvodnje - d50</t>
  </si>
  <si>
    <t>bušenje rupa za prolaz cijevi vodovoda - dn15-25</t>
  </si>
  <si>
    <t>bušenje rupa za prolaz cijevi hidranta - NO 50</t>
  </si>
  <si>
    <t>Prolaz kroz stropnu ploču potrebno je hidroizolacijski obraditi da ne dođe do procurivanja (hidroizolacije), kao i protupožarno brtviti na prodoru između različitih požarnih sektora.
U stavci su navedene nazivne veličine za cijevi. Na dimenziju otvora dodati debljinu toplinske izolacije za cijevi koje su izolirane. Obračun po komadu, uključeni svi radovi i materijal.</t>
  </si>
  <si>
    <t xml:space="preserve">bušenje rupa za prolaz cijevi elektroinstalacija do promjera 50 mm
</t>
  </si>
  <si>
    <r>
      <t xml:space="preserve">Stolni mikser </t>
    </r>
    <r>
      <rPr>
        <sz val="10"/>
        <color indexed="8"/>
        <rFont val="Calibri"/>
        <family val="2"/>
        <scheme val="minor"/>
      </rPr>
      <t>za tijesto, kreme i biskvite kapaciteta 6-7 litara:</t>
    </r>
  </si>
  <si>
    <t xml:space="preserve">- u potpunosti izrađen od nehrđajućih materijala
- posuda zapremine 6-7 litara iz nehrđajućeg čelika
- mogućnost mijenjanja brzina
- pomična glava 
- mogućnost spajanja raznih nastavaka, u kompletu sa dodatnim nastavcima (minimalno s eliptičnom pjenjačom za kreme, spiralnom kukom za tijesto i plosnatom mutilicom za smjese) 
- priključna snaga: min 0,28 kW, napon 220-240 V, 50 Hz (± 5%)
- dim. 24-35 x 25-45 x 40-45  cm.  (± 10%)
</t>
  </si>
  <si>
    <t xml:space="preserve">Svi uređaji za vodu koji su specificirani u stavkama (tuševi s miješalicom, slavine, WC školjke i vodokotlići i sl.) moraju biti svrstani u prva 2 razreda potrošnje vode EU vodne oznake EU Water Label ili jednakovrijedna oznaka _______________________________.
</t>
  </si>
  <si>
    <t xml:space="preserve">2. Instalacija električnih kabela od pozicije nadzornog ormara do kuhinjske nape:
 - 2x (4x1mm²; 4x1.5mm² ÖLFLEX CLASSIC 110 SY ili jednakovrijedan kabl istih karakteristika________________)
 - 2x (2x0.75mm²; 3x0,75mm²  H03VV-F ili jednakovrijedan___________________)
</t>
  </si>
  <si>
    <t xml:space="preserve">Integracijski Niagara N4 kontroler s 500 točaka i 18 mjeseci održavanja SW-a; s 36 ulaza/izlaza  (16UI, 4DI, 8DO, 8AO),1xRS485, 1xM-bus, 2xIP
iSMA tip: iSMA-B-MAC36NL-RS ili jednakovrijedan__________________,
kom: 1
</t>
  </si>
  <si>
    <t xml:space="preserve">-Vanjski osjetnik temperature Pt1000,
S+S Regeltechnik tip: ATF1 Pt1000 ili jednakovrijedan__________________.
kom 1
</t>
  </si>
  <si>
    <t xml:space="preserve">-Uronski osjetnik temperature Pt1000, 100mm
S+S Regeltechnik tip: TF43 Pt1000 100MM ili jednakovrijedan__________________.
kom 13
</t>
  </si>
  <si>
    <t xml:space="preserve">-Čahura za uronski osjetnik temperature, 100mm
S+S Regeltechnik tip: TH08-MS 100MM ili jednakovrijedan__________________.
kom 13
</t>
  </si>
  <si>
    <t xml:space="preserve">-Uronski osjetnik temperature Pt1000, 300mm
S+S Regeltechnik tip: TF43 Pt1000 300MM ili jednakovrijedan__________________.
kom 1
</t>
  </si>
  <si>
    <t xml:space="preserve">-Čahura za uronski osjetnik temperature, 300mm
S+S Regeltechnik tip: TH08-MS 300MM ili jednakovrijedan__________________.
kom 1
</t>
  </si>
  <si>
    <t xml:space="preserve">-Osjetnik tlaka 0-6 bar, 0-10V
S+S Regeltechnik tip: SHD-SD-U 6 ili jednakovrijedan__________________.
kom 1
</t>
  </si>
  <si>
    <t xml:space="preserve">-EM ON/OFF ventil DN25, PN16, kvs26
Belimo tip: R2025-S2  ili jednakovrijedan__________________.
kom 2
</t>
  </si>
  <si>
    <t xml:space="preserve">-Fitinzi za ventil DN25
Belimo tip: ZR2325 ili jednakovrijedan__________________.
kom 6
</t>
  </si>
  <si>
    <t xml:space="preserve">-Elektromotorni pogon ventila, 24VAC
Belimo tip: LR24A ili jednakovrijedan__________________.
kom 2
</t>
  </si>
  <si>
    <t xml:space="preserve">-Uronski osjetnik temperature Pt1000, 300mm
S+S Regeltechnik tip: TF43 Pt1000 300MM ili jednakovrijedan__________________.
kom 4
</t>
  </si>
  <si>
    <t xml:space="preserve">-Čahura za uronski osjetnik temperature, inox, 300mm
S+S Regeltechnik tip: TH08-VA 300MM ili jednakovrijedan__________________.
kom 3
</t>
  </si>
  <si>
    <t>-Kabelski osjetnik temperature
S+S Regeltechnik tip: HTF50 Pt1000 ili jednakovrijedan__________________, slikon 1,5 m.
kom 1</t>
  </si>
  <si>
    <t xml:space="preserve">-Zaštitini termostat podesiv, 0-90 °C, 150mm
S+S Regeltechnik tip: ETR-090 VA/150 ili jednakovrijedan__________________.
kom 1
</t>
  </si>
  <si>
    <t xml:space="preserve">-Osjetnik diferencijalnog tlaka -0…+50/-50..+50/0...100/-100…+100 Pa, 0-10V, (klasa točnosti ± 2% FS)
S+S Regeltechnik tip: PREMASGARD 7110-U ili jednakovrijedan__________________.
kom 1
</t>
  </si>
  <si>
    <t xml:space="preserve">-Pribor za montažu na kanal
S+S Regeltechnik tip: MF-15-K ili jednakovrijedan__________________.
kom 1
</t>
  </si>
  <si>
    <t xml:space="preserve">-Sobni osjetnik temperature Pt1000
S+S Regeltechnik tip: RTF1 Pt1000 ili jednakovrijedan__________________.
kom 1
</t>
  </si>
  <si>
    <t xml:space="preserve">Troputni regulacijski ventil DN25, PN16, kvs10
Belimo tip: H525B ili jednakovrijedan__________________.
kom 1
</t>
  </si>
  <si>
    <t xml:space="preserve">-Fitinzi za ventil DN25
Belimo tip: ZH4525 ili jednakovrijedan__________________.
kom 3
</t>
  </si>
  <si>
    <t xml:space="preserve">-Elektromotorni pogon ventila, 24VAC, 0-10V
Belimo tip: LV24A-SR-TPC ili jednakovrijedan__________________.
kom 1
</t>
  </si>
  <si>
    <t xml:space="preserve">-Frekventni regulator, 0,75kW, IP54 s displejem LCP31
Danfoss tip: FC101 ili jednakovrijedan__________________.
kom 1
</t>
  </si>
  <si>
    <t xml:space="preserve">-Frekventni regulator, 2,2kW, IP54 s displejem LCP31
Danfoss tip: FC101 ili jednakovrijedan__________________.
kom 1
</t>
  </si>
  <si>
    <t>-Tiristorski regulator učina kanalskog elektro grijača, 10kW, 15A, 230V, upravljački signal 0-10V
Thermokon tip: TS3 3Ph 15 ili jednakovrijedan__________________.
kom 1</t>
  </si>
  <si>
    <t xml:space="preserve">-Osjetnik diferencijalnog tlaka 0-5000 Pa, 0-10V
S+S Regeltechnik tip: PREMASGARD 2125 ili jednakovrijedan__________________.
kom 2
</t>
  </si>
  <si>
    <t xml:space="preserve">-Slobodno programibilni FC kontroler s modbus RTU/ASCII ili BACnet komunikacijom. Napajanje 230VAC. Ugrađena 4DI, 4SI,1 DO-HTG(10A), 1 DO-CLG(6A), 3DO-FAN (6A-230VAC), 2TO (0,5A-230VAC), 3AO
iSMA tip: iSMA-B-FCU-HH ili jednakovrijedan__________________.
kom 18
</t>
  </si>
  <si>
    <t xml:space="preserve">-Zidni modul sa 2,6" LCD display-om, upravljačke touch tipke, napajanje 24 V AC, ugrađen temperaturni senzor
iSMA tip: TP-DISP-W ili jednakovrijedan__________________.
kom 18
</t>
  </si>
  <si>
    <t xml:space="preserve">-U/I modul s 16 RO (relay output)
iSMA tip: SFAR-S-16RO ili jednakovrijedan__________________.
kom 15
</t>
  </si>
  <si>
    <t xml:space="preserve">U/I modul za proširenje osnovnog regulatora s 20 ulaza/izlaza  (12UI, 4DO, 4AO)
Johnson Controls tip: FC-20 ili jednakovrijedan__________________, 
kom: 2
</t>
  </si>
  <si>
    <t xml:space="preserve">U/I modul s 16 DI i modbus RTU/BACnet komunikacijom
iSMA tip: SFAR-S-16DI ili jednakovrijedan__________________,
kom 3
</t>
  </si>
  <si>
    <t xml:space="preserve">-U/I modul s 16 RO (relay output)
iSMA tip: SFAR-S-16ROili jednakovrijedan__________________,
kom 2
</t>
  </si>
  <si>
    <t xml:space="preserve">Napojna jedinica 230VAC/24VDC
tip: Phoenix Contact 150Wili jednakovrijedan__________________,
kom 1
</t>
  </si>
  <si>
    <t xml:space="preserve">5 portni ethernet switch za montažu na din šinu, 24VAC
Phoenix Contact tip: IES-005T ili jednakovrijedan__________________,
kom 1
</t>
  </si>
  <si>
    <t xml:space="preserve">Gateway 2 x modbus RS485 na modbus TCP
tip: Moxa MB3280ili jednakovrijedan__________________,
kom 1
</t>
  </si>
  <si>
    <t xml:space="preserve">-10" Touch LCD WEB panel
EasyIO tip: System View10ili jednakovrijedan__________________,
kom 1
</t>
  </si>
  <si>
    <t xml:space="preserve">-Niagara N4 server,
tip: FX-SL000-0E ili jednakovrijedan__________________, 
kom 1
</t>
  </si>
  <si>
    <t xml:space="preserve">-Licenca za 500 integracijskih točaka
Johnson Controls tip: FX-SLPL01K-0E ili jednakovrijedan__________________, 
kom 1
</t>
  </si>
  <si>
    <t xml:space="preserve">-Licenca za nove verzije SW-au trajanju 18 mjeseci od isporuke
Johnson Controls tip: FX-SL010M1-0E ili jednakovrijedan__________________, 
kom 1
</t>
  </si>
  <si>
    <t xml:space="preserve">Dobava elektrokomandnog-upravljačkog ormara strojarnice sa svim potrebnim elementima DDC regulacije. Isporučuje se kompletno ožičen i ispitan, sa svom potrebnom tehničkom dokumentacijom. Elektrokomandni ormar je samostojeće izvedbe u zaštiti IP 54, za unutarnju ugradnju. Signalizacija stanja elektromotornih potrošača prikazana je pomoću touch panela koji se ugrađuje na gornjoj ploči ormara (grafička aplikacija). Dimenzije ormara su 800x2000x400 mm.
</t>
  </si>
  <si>
    <t xml:space="preserve">-UPS 950VA
kpl 1
</t>
  </si>
  <si>
    <t xml:space="preserve">- 22" Flat Panel monitor
Minimalne karakteristike:
Rezolucija 1920x1080
Matrica IPS
Priključak VGA, DVI, 4xUSB, Display port
Proizvod jednakovrijedan Dell U2212HM ili bolji.
Nudi se:____________________________.
kpl 1
</t>
  </si>
  <si>
    <t xml:space="preserve">- Server Računalo CNUS-a
Minimalne karakteristike:
Intel Core procesor i5-4590
(3.3GHz, 6MB Cache, 4 Cores)
Intel H81 Express
4GB (1x4) 1600MHz DDR3 Dual Channel memorije
500GB Serial-ATA III (7200 okr/min) tvrdi disk
16x DVD+/-RW Dual-Layer pogon
Intel HD Graphics 4600
USB tipkovnica (HR raspored)
USB optički miš, dvije tipke+scroll
Microsoft Windows 10 Pro 64-bit (downgrade na Win 7 Pro 64-bit)
Proizvod jednakovrijedan kao Dell Optiplex 3020 MT ili bolji. 
Nudi se:____________________________.
kpl 1
</t>
  </si>
  <si>
    <t xml:space="preserve">U razdjelnik ugraditi slijedeću opremu prema jednopolnoj shemi:
</t>
  </si>
  <si>
    <t xml:space="preserve">Dobava montaža i spajanje samostojećeg tipski testiranog niskonaponskog sklopnog bloka prema shemi "GRO",  u skladu sa standardom IEC 61439-1 i IEC 61439-2 ili jednako vrijedne norme, nazivnog napona izolacije glavnih sabirnica do 1000 V, stupnja zaštite IP31, Forma 2b, zaštićen sa polimer epoxy zaštitom u boji RAL 9001, sa metalnim vratima, sastavljen od; 1 aparatna polja širine 650mm, 1 aparatno-sabirničkog polje širine 800 (650+150) mm te 1 kabelskog polje širine 300mm; ukupnih dimenzija 1750x2107x450 mm ( Š x V x D ), uvod kabela s gornje strane. Razdjelnik je s postoljem od 100 mm. Razdjelnik opremiti bravicama na vratima, nosačem za dokumentaciju, nosačima i pokrovnim pločama komponenata, stranicama i ostalim potrebnim mehaničkim priborom. Predviđene su vertikalne i horizontalne sabirnce za napajanje aparata. 
kom 1
</t>
  </si>
  <si>
    <t xml:space="preserve">odvodnik prenapona 3P+N, maksimalne struje odvoda Imax= 40kA, tip 2, izvedbe s ulošcima i indikacijom dotrajalosti
kom 1
</t>
  </si>
  <si>
    <t xml:space="preserve">minijaturni automatski prekidač sa Vfunkcionalnošću indikacijom sigurnog položaja kontakta i trenutnom identifikacijom kvara, prekidne moći Icu=15kA kod 415V AC prema IEC/EN 60947-2, četveropolni 4P, 40A, C krivulje
kom 1
</t>
  </si>
  <si>
    <t xml:space="preserve">Niskonaponski kompaktni zaštitni prekidač, nazivne struje tijela prekidača 125A, nazivnog napona Ue=690V, tropolni 3P, fiksne izvedbe, nazivne granične prekidne moći Icu=25kA kod 415V AC prema IEC/EN 60947-2, sa termo-magnetskom zaštitnom jedinicom In=100A, podesiva Ir=(0.7-1.0) x In
kom 1
</t>
  </si>
  <si>
    <t xml:space="preserve">sva potrebna montažna i spojna oprema potrebna za ugradnju specificirane opreme u ormar do njegove pune fukcionalnosti; Powerclip sabirnice, igličaste sabirnice, redne stezaljke, sabirnice nule i zemlje, spojni vodovi, plastične kanalice, označavanje, funkcionalno ispitivanje prije isporuke, atesti, ispitni protokol, korisnička dokumentacija te ostali potrebni sitni spojni i montažni materijal i pribor do pune funkcionalnosti ormara.
kpl 1
</t>
  </si>
  <si>
    <t xml:space="preserve">Niskonaponski kompaktni zaštitni prekidač, nazivne struje tijela prekidača 400A, nazivnog napona Ue=690V, tropolni 3P, fiksne izvedbe, nazivne granične prekidne moći Icu=25kA kod 415V AC prema IEC/EN 60947-2, sa termo-magnetskom zaštitnom jedinicom In=250A, podesiva Ir=(0.7-1.0) x In, sa naponskim okidačem MX (230 V AC);
kom 1
</t>
  </si>
  <si>
    <t xml:space="preserve">minijaturni automatski prekidač sa funkcionalnošću indikacijom sigurnog položaja kontakta i trenutnom identifikacijom kvara, prekidne moći Icu=10kA kod 415V AC prema IEC/EN 60947-2 ili jednako vrijedna norma, tropolni 3P, 6A, C krivulje
kom 1
</t>
  </si>
  <si>
    <t xml:space="preserve">minijaturni automatski prekidač sa funkcionalnošću indikacijom sigurnog položaja kontakta i trenutnom identifikacijom kvara, prekidne moći Icu=10kA kod 415V AC prema IEC/EN 60947-2 ili jednakovrijedna norma, tropolni 1P, 6A, C krivulje
kom 3
</t>
  </si>
  <si>
    <t xml:space="preserve">signalna svjetiljka za indikaciju prisutnosti napona, LED, zelene boje, jednostruka, nazivni napon 110-230V AC, 
kom 1
</t>
  </si>
  <si>
    <t xml:space="preserve">Niskonaponski kompaktni zaštitni prekidač, nazivne struje tijela prekidača 125A, nazivnog napona Ue=690V, tropolni 3P, fiksne izvedbe, nazivne granične prekidne moći Icu=25kA kod 415V AC prema IEC/EN 60947-2, sa termo-magnetskom zaštitnom jedinicom In=100A, podesiva Ir=(0.7-1.0) x In
kom 2
</t>
  </si>
  <si>
    <t xml:space="preserve">Niskonaponski kompaktni zaštitni prekidač, nazivne struje tijela prekidača 125A, nazivnog napona Ue=690V, tropolni 3P, fiksne izvedbe, nazivne granične prekidne moći Icu=25kA kod 415V AC prema IEC/EN 60947-2, sa termo-magnetskom zaštitnom jedinicom In=63A, podesiva Ir=(0.7-1.0) x In
kom 4
</t>
  </si>
  <si>
    <t xml:space="preserve">Niskonaponski kompaktni zaštitni prekidač, nazivne struje tijela prekidača 63A, nazivnog napona Ue=690V, tropolni 3P, fiksne izvedbe, nazivne granične prekidne moći Icu=25kA kod 415V AC prema IEC/EN 60947-2, sa termo-magnetskom zaštitnom jedinicom In=40A, podesiva Ir=(0.7-1.0) x In
kom 2
</t>
  </si>
  <si>
    <t xml:space="preserve">Niskonaponski kompaktni zaštitni prekidač, nazivne struje tijela prekidača 63A, nazivnog napona Ue=690V, tropolni 3P, fiksne izvedbe, nazivne granične prekidne moći Icu=25kA kod 415V AC prema IEC/EN 60947-2, sa termo-magnetskom zaštitnom jedinicom In=32A, podesiva Ir=(0.7-1.0) x In
kom 3
</t>
  </si>
  <si>
    <t xml:space="preserve">Niskonaponski kompaktni zaštitni prekidač, nazivne struje tijela prekidača 63A, nazivnog napona Ue=690V, tropolni 3P, fiksne izvedbe, nazivne granične prekidne moći Icu=25kA kod 415V AC prema IEC/EN 60947-2, sa termo-magnetskom zaštitnom jedinicom In=16A, podesiva Ir=(0.7-1.0) x In
kom 4
</t>
  </si>
  <si>
    <t xml:space="preserve">diferencijalna zaštitna sklopka, četveropolna 4P , nazivne struje 40A, osjetljivosti 30mA, tip A
kom 8
</t>
  </si>
  <si>
    <t xml:space="preserve">minijaturni automatski prekidač sa funkcionalnošću indikacijom sigurnog položaja kontakta i trenutnom identifikacijom kvara, prekidne moći Icu=10kA kod 415V AC prema IEC/EN 60947-2 ili jednakovrijedna norma, jednopolni 1P, 16A, C krivulje;
kom 17
</t>
  </si>
  <si>
    <t xml:space="preserve">minijaturni automatski prekidač sa funkcionalnošću indikacijom sigurnog položaja kontakta i trenutnom identifikacijom kvara, prekidne moći Icu=10kA kod 415V AC prema IEC/EN 60947-2 ili jednakovrijedna norma, jednopolni 1P, 10A, C krivulje;
kom 25
</t>
  </si>
  <si>
    <t xml:space="preserve">minijaturni automatski prekidač sa funkcionalnošću indikacijom sigurnog položaja kontakta i trenutnom identifikacijom kvara, prekidne moći Icu=10kA kod 415V AC prema IEC/EN 60947-2 ili jednakovrijedna norma, tropolni 3P, 20A, C krivulje;
kom 1
</t>
  </si>
  <si>
    <t>instalacijski sklopnik, dvopolni 2P, nazivne struje In=10A , nazivnog napona 250V, vrste kontakta 2NO, upravljački napon svitka 230-240V AC 50Hz.
kom 2</t>
  </si>
  <si>
    <t xml:space="preserve">grebenasta preklopka 10A, jednopolna 1P,  tropoložajna 2-0-1,  kut između položaja 45 stupnjeva, montaža fi=22mm.
kom 1
</t>
  </si>
  <si>
    <t xml:space="preserve">IC svjetlosna sklopka (luxomat), područje podešavanja 2-2100lux, 1 preklopni kontakt, In=16A, Un=230VAC 50Hz, sa tipkom za testiranje vodiča na prednjoj strani, indikacija stanja preklopnog kontakta
kom 1
</t>
  </si>
  <si>
    <t xml:space="preserve">odvodnik prenapona 1P+N, maksimalne struje odvoda Imax= 8kA, tip 2, izvedbe s ulošcima i indikacijom dotrajalosti
kom 2
</t>
  </si>
  <si>
    <t xml:space="preserve"> Predviđene su vertikalne i horizontalne sabirnce za napajanje aparata. U razdjelnik ugraditi slijedeću opremu prema jednopolnoj shemi:</t>
  </si>
  <si>
    <t>Dobava montaža i spajanje zidnog modularnog niskonaponskog sklopnog bloka prema shemi "R01", tipski atestiranog u skladu sa standardom IEC 60439-1, nazivnog napona izolacije do 1000 V, stupnja zaštite IP31, zaštićen sa polimer epoxy zaštitom u boji RAL 9002 ili jednakovrijedna boja________________________, sa transparentnim vratima, sastavljen od 1 aparatnog polja širine 600 mm, uvod kabela s gornje strane, visine 18 modula, ukupnih dimenzija 600 x 1080 x 250 mm ( Š x V x D ). Razdjelnik opremiti bravicama na vratima, nosačem za dokumentaciju, nosačima i pokrovnim pločama komponenata, stranicama, krovom i ostalim potrebnim mehaničkim priborom.
kom 1</t>
  </si>
  <si>
    <t xml:space="preserve">odvodnik prenapona 3P+N, maksimalne struje odvoda Imax= 20kA, tip 2, izvedbe s ulošcima i indikacijom dotrajalosti
kom 1
</t>
  </si>
  <si>
    <t xml:space="preserve">minijaturni automatski prekidač sa funkcionalnošću indikacijom sigurnog položaja kontakta i trenutnom identifikacijom kvara, prekidne moći Icu=10kA kod 415V AC prema IEC/EN 60947-2, četveropolni 4P, 25A, C krivulje
kom 1
</t>
  </si>
  <si>
    <t xml:space="preserve">grebenasta preklopka 12A, tropolna 3P,  tropoložajna 2-0-1,  kut između položaja 45 stupnjeva, montažafi=22mm.
kom 1
</t>
  </si>
  <si>
    <t xml:space="preserve">Niskonaponski kompaktni zaštitni prekidač, nazivne struje tijela prekidača 125A, nazivnog napona Ue=690V, tropolni 3P, fiksne izvedbe, nazivne granične prekidne moći Icu=25kA kod 415V AC prema IEC/EN 60947-2, sa termo-magnetskom zaštitnom jedinicom In=63A, podesiva Ir=(0.7-1.0) x In
kom 1
</t>
  </si>
  <si>
    <t xml:space="preserve">minijaturni automatski prekidač sa funkcionalnošću indikacijom sigurnog položaja kontakta i trenutnom identifikacijom kvara, prekidne moći Icu=10kA kod 415V AC prema IEC/EN 60947-2 ili jednakovrijedna norma, jednopolni 1P, 16A, C krivulje;
kom 20
</t>
  </si>
  <si>
    <t xml:space="preserve">instalacijski sklopnik, nazivne struje In=10A , nazivnog napona 250V, vrste kontakta 2NO, upravljački napon svitka 230-240V AC 50Hz.
kom 4
</t>
  </si>
  <si>
    <t xml:space="preserve">grebenasta preklopka 12A, tropolna 3P,  tropoložajna 2-0-1,  kut između položaja 45 stupnjeva, montažafi=22mm.
kom 4
</t>
  </si>
  <si>
    <t xml:space="preserve">Predviđene su vertikalne i horizontalne sabirnce za napajanje aparata. U razdjelnik ugraditi slijedeću opremu prema jednopolnoj shemi:
</t>
  </si>
  <si>
    <t>Dobava montaža i spajanje zidnog modularnog niskonaponskog sklopnog bloka prema shemi "R02", tipski atestiranog u skladu sa standardom IEC 60439-1, nazivnog napona izolacije do 1000 V, stupnja zaštite IP31, zaštićen sa polimer epoxy zaštitom u boji RAL 9002 ili jednakovrijedna boja________________________, sa transparentnim vratima, sastavljen od 1 aparatnog polja širine 600 mm, uvod kabela s gornje strane, visine 18 modula, ukupnih dimenzija 600 x 930 x 250 mm ( Š x V x D ). Razdjelnik opremiti bravicama na vratima, nosačem za dokumentaciju, nosačima i pokrovnim pločama komponenata, stranicama, krovom i ostalim potrebnim mehaničkim priborom.
kom 1</t>
  </si>
  <si>
    <t>instalacijski sklopnik, dvopolni 2P, nazivne struje In=16A , nazivnog napona 250V, vrste kontakta 2NO, upravljački napon svitka 230-240V AC 50Hz.
kom 1</t>
  </si>
  <si>
    <t xml:space="preserve">diferencijalna zaštitna sklopka, četveropolna 4P , nazivne struje 40A, osjetljivosti 30mA, tip A
kom 1
</t>
  </si>
  <si>
    <t xml:space="preserve">grebenasta preklopka 12A, jednopolna 1P,  tropoložajna 2-0-1,  kut između položaja 45 stupnjeva, montaža fi=22mm.
kom 1
</t>
  </si>
  <si>
    <t xml:space="preserve">diferencijalna zaštitna sklopka, četveropolna 4P , nazivne struje 40A, osjetljivosti 30mA, tip A
kom 7
</t>
  </si>
  <si>
    <t xml:space="preserve">minijaturni automatski prekidač sa funkcionalnošću indikacijom sigurnog položaja kontakta i trenutnom identifikacijom kvara, prekidne moći Icu=10kA kod 415V AC prema IEC/EN 60947-2 ili jednakovrijedna norma, jednopolni 1P, 16A, C krivulje;
kom 19
</t>
  </si>
  <si>
    <t xml:space="preserve">minijaturni automatski prekidač sa funkcionalnošću indikacijom sigurnog položaja kontakta i trenutnom identifikacijom kvara, prekidne moći Icu=10kA kod 415V AC prema IEC/EN 60947-2 ili jednakovrijedna norma, jednopolni 1P, 10A, C krivulje;
kom 21
</t>
  </si>
  <si>
    <t xml:space="preserve">Niskonaponski kompaktni zaštitni prekidač, nazivne struje tijela prekidača 63A, nazivnog napona Ue=690V, tropolni 3P, fiksne izvedbe, nazivne granične prekidne moći Icu=25kA kod 415V AC prema IEC/EN 60947-2, sa termo-magnetskom zaštitnom jedinicom In=40A, podesiva Ir=(0.7-1.0) x In
kom 1
</t>
  </si>
  <si>
    <t xml:space="preserve">minijaturni automatski prekidač sa funkcionalnošću indikacijom sigurnog položaja kontakta i trenutnom identifikacijom kvara, prekidne moći Icu=10kA kod 415V AC prema IEC/EN 60947-2 ili jednakovrijedna norma, jednopolni 1P, 6A, C krivulje;
kom 5
</t>
  </si>
  <si>
    <t xml:space="preserve">minijaturni automatski prekidač sa funkcionalnošću indikacijom sigurnog položaja kontakta i trenutnom identifikacijom kvara, prekidne moći Icu=10kA kod 415V AC prema IEC/EN 60947-2 ili jednakovrijedna norma, tropolni 3P, 16A, C krivulje;
kom 3
</t>
  </si>
  <si>
    <t xml:space="preserve">grebenasta preklopka 12A, tropolna 3P,  tropoložajna 2-0-1,  kut između položaja 45 stupnjeva, montažafi=22mm.
kom 3
</t>
  </si>
  <si>
    <t>Dobava montaža i spajanje samostojećeg modularnog niskonaponskog sklopnog bloka prema shemi "RK", tipski atestiranog u skladu sa standardom IEC 60439-1, nazivne struje do 100 A, nazivnog napona izolacije do 1000 V, stupnja zaštite IP30, zaštićen sa polimer epoxy zaštitom u boji RAL 9002 ili jednakovrijedna boja________________________, sa punim vratima, sastavljen od 1 aparatnog polja širine 595 mm, uvod kabela s gornje strane, visine 24 modula, ukupnih dimenzija 595 x 1230 x 250 mm ( Š x V x D ). Razdjelnik opremiti bravicama na vratima, nosačem za dokumentaciju, nosačima i pokrovnim pločama komponenata, stranicama i ostalim potrebnim mehaničkim priborom. 
kom 1</t>
  </si>
  <si>
    <t xml:space="preserve">odvodnik prenapona 3P+N, maksimalne struje odvoda Imax= 20kA, tip 2, izvedbe s ulošcima i indikacijom dotrajalosti, 
kom 1
</t>
  </si>
  <si>
    <t xml:space="preserve">minijaturni automatski prekidač sa funkcionalnošću indikacijom sigurnog položaja kontakta i trenutnom identifikacijom kvara, prekidne moći Icu=15kA kod 415V AC prema IEC/EN 60947-2, četveropolni 4P, 25A, C krivulje
kom 1
</t>
  </si>
  <si>
    <t xml:space="preserve">diferencijalna zaštitna sklopka, četveropolna 4P , nazivne struje 40A, osjetljivosti 30mA, tip A
kom 5
</t>
  </si>
  <si>
    <t xml:space="preserve">diferencijalna zaštitna sklopka, četveropolna 4P , nazivne struje 32A, osjetljivosti 30mA, tip A;
kom 1
</t>
  </si>
  <si>
    <t xml:space="preserve">diferencijalna zaštitna sklopka, četveropolna 4P , nazivne struje 25A, osjetljivosti 30mA, tip A;
kom 1
</t>
  </si>
  <si>
    <t xml:space="preserve">diferencijalna zaštitna sklopka, četveropolna 4P , nazivne struje 20A, osjetljivosti 30mA, tip A;
kom 6
</t>
  </si>
  <si>
    <t xml:space="preserve">diferencijalna zaštitna sklopka, četveropolna 4P , nazivne struje 16A, osjetljivosti 30mA, tip A;
kom 2
</t>
  </si>
  <si>
    <t xml:space="preserve">minijaturni automatski prekidač sa funkcionalnošću indikacijom sigurnog položaja kontakta i trenutnom identifikacijom kvara, prekidne moći Icu=10kA kod 415V AC prema IEC/EN 60947-2 ili jednakovrijedna norma, jednopolni 1P, 16A, C krivulje;
kom 15
</t>
  </si>
  <si>
    <t xml:space="preserve">minijaturni automatski prekidač sa funkcionalnošću indikacijom sigurnog položaja kontakta i trenutnom identifikacijom kvara, prekidne moći Icu=10kA kod 415V AC prema IEC/EN 60947-2 ili jednakovrijedna norma, jednopolni 1P, 10A, C krivulje;
kom 9
</t>
  </si>
  <si>
    <t xml:space="preserve">minijaturni automatski prekidač sa funkcionalnošću indikacijom sigurnog položaja kontakta i trenutnom identifikacijom kvara, prekidne moći Icu=10kA kod 415V AC prema IEC/EN 60947-2 ili jednakovrijedna norma, tropočni 3P, 16A, C krivulje;
kom 1
</t>
  </si>
  <si>
    <t xml:space="preserve">tropolni zaštitni termomagnetski motorski prekidač, sa podesivom termičkom zaštitom 4-6,3A i zadanom magnetskom zaštitom, nazivne granične prekidne moći Icu&gt;100 kA u kategoriji AC-3 nazivnog napona 400/415 V, 50 Hz te sa prednjim pomoćnim kontaknim blokom za signalizaciju položaja N/O+N/C;
kom 1
</t>
  </si>
  <si>
    <t xml:space="preserve">jednopolni zaštitni termomagnetski motorski prekidač, sa podesivom termičkom zaštitom 1,6-2,5A i zadanom magnetskom zaštitom, nazivne granične prekidne moći Icu&gt;100 kA u kategoriji AC-3 nazivnog napona 230/250 V, 50 Hz te sa prednjim pomoćnim kontaknim blokom za signalizaciju položaja N/O+N/C;
kom 1
</t>
  </si>
  <si>
    <t xml:space="preserve">instalacijski sklopnik, nazivne struje In=10A , nazivnog napona 250V, vrste kontakta 2NO, upravljački napon svitka 230-240V AC 50Hz.
kom 2
</t>
  </si>
  <si>
    <t xml:space="preserve">grebenasta preklopka 6A, jednopolna 1P,  dvoložajna 0-1,  kut između položaja 45 stupnjeva, montažafi=22mm.
kom 1
</t>
  </si>
  <si>
    <t xml:space="preserve">Predviđene su vertikalne sabirnce za napajanje aparata. U razdjelnik ugraditi slijedeću opremu prema jednopolnoj shemi:
</t>
  </si>
  <si>
    <t>Dobava montaža i spajanje zidnog modularnog niskonaponskog sklopnog bloka prema shemi "RP", tipski atestiranog u skladu sa standardom IEC 60439-1 ili jednakovrijedne norme, nazivnog napona izolacije do 1000 V, stupnja zaštite IP31, zaštićen sa polimer epoxy zaštitom u boji RAL 9002 ili jednakovrijedna boja________________________, sa transparentnim vratima, sastavljen od 1 aparatnog polja širine 600 mm, uvod kabela s gornje strane, visine 18 modula, ukupnih dimenzija 600 x 480 x 250 mm ( Š x V x D ). Razdjelnik opremiti bravicama na vratima, nosačem za dokumentaciju, nosačima i pokrovnim pločama komponenata, stranicama, krovom i ostalim potrebnim mehaničkim priborom.
kom 1</t>
  </si>
  <si>
    <t>sva potrebna montažna i spojna oprema potrebna za ugradnju specificirane opreme u Prisma Plus G ormare do njegove pune fukcionalnosti; Powerclip sabirnice, igličaste sabirnice, redne stezaljke, sabirnice nule i zemlje, spojni vodovi, plastične kanalice, označavanje, funkcionalno ispitivanje prije isporuke, atesti, ispitni protokol, korisnička dokumentacija te ostali potrebni sitni spojni i montažni materijal i pribor do pune funkcionalnosti ormara.
kpl 1</t>
  </si>
  <si>
    <t xml:space="preserve">signalna svjetiljka za indikaciju prisutnosti napona, LED, zelene boje, jednostruka, nazivni napon 110-230V AC,
kom 1
</t>
  </si>
  <si>
    <t xml:space="preserve">diferencijalna zaštitna sklopka, četveropolna 4P , nazivne struje 63A, osjetljivosti 30mA, tip A
kom 1
</t>
  </si>
  <si>
    <t xml:space="preserve">diferencijalna zaštitna sklopka, četveropolna 4P , nazivne struje 16A, osjetljivosti 30mA, tip A
kom 3
</t>
  </si>
  <si>
    <t xml:space="preserve">minijaturni automatski prekidač sa funkcionalnošću indikacijom sigurnog položaja kontakta i trenutnom identifikacijom kvara, prekidne moći Icu=10kA kod 415V AC prema IEC/EN 60947-2 ili jednakovrijedna norma, jednopolni 1P, 20A, C krivulje;
kom 1
</t>
  </si>
  <si>
    <t xml:space="preserve">minijaturni automatski prekidač sa funkcionalnošću indikacijom sigurnog položaja kontakta i trenutnom identifikacijom kvara, prekidne moći Icu=10kA kod 415V AC prema IEC/EN 60947-2 ili jednakovrijedna norma, jednopolni 1P, 16A, C krivulje;
kom 3
</t>
  </si>
  <si>
    <t xml:space="preserve">minijaturni automatski prekidač sa funkcionalnošću indikacijom sigurnog položaja kontakta i trenutnom identifikacijom kvara, prekidne moći Icu=10kA kod 415V AC prema IEC/EN 60947-2 ili jednakovrijedna norma, jednopolni 1P, 10A, C krivulje;
kom 6
</t>
  </si>
  <si>
    <t xml:space="preserve">minijaturni automatski prekidač sa funkcionalnošću indikacijom sigurnog položaja kontakta i trenutnom identifikacijom kvara, prekidne moći Icu=10kA kod 415V AC prema IEC/EN 60947-2 ili jednakovrijedna norma, tropolni 3P, 16A, C krivulje;
kom 1
</t>
  </si>
  <si>
    <t xml:space="preserve">jednopolni zaštitni termomagnetski motorski prekidač, sa podesivom termičkom zaštitom 0,4-0,63A i zadanom magnetskom zaštitom, nazivne granične prekidne moći Icu&gt;100 kA u kategoriji AC-3 nazivnog napona 230/250 V, 50 Hz te sa prednjim pomoćnim kontaknim blokom za signalizaciju položaja N/O+N/C;
kom 2
</t>
  </si>
  <si>
    <t xml:space="preserve">grebenasta preklopka 12A, jednopolna 1P,  tropoložajna 2-0-1,  kut između položaja 45 stupnjeva, montažafi=22mm.
kom 1
</t>
  </si>
  <si>
    <t xml:space="preserve">kutija, nosač i okvir za 2 modula
kom 1
</t>
  </si>
  <si>
    <t xml:space="preserve">jednopolna sklopka, široka
kom 1
</t>
  </si>
  <si>
    <t xml:space="preserve">izmjenična sklopka, široka
kom 1
</t>
  </si>
  <si>
    <t xml:space="preserve">jednopolna sklopka, uska
kom 2
</t>
  </si>
  <si>
    <t xml:space="preserve">kutija, nosač i okvir za 3 modula
kom 1
</t>
  </si>
  <si>
    <t xml:space="preserve">jednopolna sklopka, uska
kom 3
</t>
  </si>
  <si>
    <t xml:space="preserve">izmjenična sklopka, uska
kom 3
</t>
  </si>
  <si>
    <t xml:space="preserve">izmjenična sklopka, uska
kom 4
</t>
  </si>
  <si>
    <t xml:space="preserve">kutija, nosač i okvir za 4 modula
kom 1
</t>
  </si>
  <si>
    <t xml:space="preserve">jednopolna sklopka, uska
kom 1
</t>
  </si>
  <si>
    <t xml:space="preserve">Regulator intenziteta rasvijetljenosti i upravljanje rasvjetom putem DALI protokola, regulacija pomoću zakretne tipke
kom 1
</t>
  </si>
  <si>
    <t xml:space="preserve">tipkalo rasvjete, široko
kom 1
</t>
  </si>
  <si>
    <t xml:space="preserve">tipkalo za rolete, široko
kom 1
</t>
  </si>
  <si>
    <t xml:space="preserve">tipkalo za krovni prozor i sjenilo, usko
kom 2
</t>
  </si>
  <si>
    <t xml:space="preserve">1f,16A-250V, 1+N+PE
kom 1
</t>
  </si>
  <si>
    <t xml:space="preserve">kutija, nosač i okvir
kom 1
</t>
  </si>
  <si>
    <t xml:space="preserve">1f, 16A-250V, 1+N+PE
kom 3
</t>
  </si>
  <si>
    <t xml:space="preserve">telekomunikacijska RJ45, Cat6 uski
kom 2
</t>
  </si>
  <si>
    <t xml:space="preserve">kutija, nosač i okvir za 8 modula
kom 1
</t>
  </si>
  <si>
    <t xml:space="preserve">RTV/SAT utičnica
kom 1
</t>
  </si>
  <si>
    <t xml:space="preserve">1f,16A-250V, 1+N+PE
kom 2
</t>
  </si>
  <si>
    <t xml:space="preserve">telekomunikacijska RJ45, Cat6, uska
kom 2
</t>
  </si>
  <si>
    <t xml:space="preserve">1f,16A-250V, 1+N+PE
kom 3
</t>
  </si>
  <si>
    <t xml:space="preserve">telekomunikacijska RJ45, Cat6, široka
kom 1
</t>
  </si>
  <si>
    <t xml:space="preserve">1f, 16A-250V, 1+N+PE, IP54
kom 1
</t>
  </si>
  <si>
    <t xml:space="preserve">3f, 16A-400V, 3+N+PE
kom 1
</t>
  </si>
  <si>
    <t xml:space="preserve">kabel za montažu I-Y(St)Y 2x2x0,8mm2, Ø20
10 m1
</t>
  </si>
  <si>
    <t xml:space="preserve">Centralni uređaj za montažu iznad vrata (s ispravljačem, upravljačkom elektronikom i bljeskalicom)  
kom 1
</t>
  </si>
  <si>
    <t xml:space="preserve">kutija za montažu centralnog uređaja
kom 1
</t>
  </si>
  <si>
    <t xml:space="preserve">potezno tipkalo t
kom 1
</t>
  </si>
  <si>
    <t xml:space="preserve">P/Y - 10mm2 (prosječne dužine 10m)
kom 3
</t>
  </si>
  <si>
    <t xml:space="preserve">P/Y  - 6mm2 (prosječne dužine 2m)
kom 10
</t>
  </si>
  <si>
    <t xml:space="preserve">Izrada spoja metalnih masa u sanitarnim čvorovima sa odgovarajućim cijevnim spojnicama. Ako je instalacija od plastičnih pvc cijevi instalaciju nije potrebno izvesti.
kom 10
</t>
  </si>
  <si>
    <t xml:space="preserve">Izrada spojeva metalne podkonstrukcije pregradnih zidova, metalnih polica i tehnologije kuhinje vodičem P/F-Y 6mm2 - 10m komplet sa stopnicom.
kom 5
</t>
  </si>
  <si>
    <t xml:space="preserve">Dobava i polaganje pocinčane čelične trake Fe/Zn 25x4mm u temelju s izradom svih spojeva i premosta ispod hidroizolacije. Stavci pripada i varenje trake na betonsko željezo 1 var/2m.
</t>
  </si>
  <si>
    <t xml:space="preserve">NYY 4 x 1,5mm² (pumpe)
20 m1
</t>
  </si>
  <si>
    <t xml:space="preserve">NYY 3 x 1,5mm² (pumpe, ventili)
60 m1
</t>
  </si>
  <si>
    <t xml:space="preserve">NYY 3 x 1,5mm² (uređaj za demineralizaciju vode)
10 m1
</t>
  </si>
  <si>
    <t xml:space="preserve">NYY 3 x 1,5mm² (uređaj za održavanje tlaka, otplinjavanje i nadopunjavanje)
10 m1
</t>
  </si>
  <si>
    <t xml:space="preserve">NYY 2 x 1,5mm² (termostati)
20 m1
</t>
  </si>
  <si>
    <t xml:space="preserve">LIyCy 10 x 0,75mm² (međuveze)
20 m1
</t>
  </si>
  <si>
    <t xml:space="preserve">Dobava, ugradanja i spajanje komunikacijskog ormara TK, metalni samostojeći ormar, 42U, dim. 800x800x2000, prednje 19" šine, sa staklenim prednjim vratima, filtriranim ortvorima za ventilaciju, na oba boka, s ventilatorom na gornjem otvoru za ventilaciju, s mogućnošću uvoda kabela s gornje i donje strane ormara, cilindar bravicom i ručkom za otvaranje, sa šinom za uzemljenje i uzemljenim svim metalnim dijelovima.
kom 1
</t>
  </si>
  <si>
    <t xml:space="preserve">TS IT perf. krov za uvod kabela 800×800 mm
kom 1
</t>
  </si>
  <si>
    <t xml:space="preserve">Podnožje ormara 800x800x10 mm
kom 2
</t>
  </si>
  <si>
    <t xml:space="preserve">Vent pl. 800×800/900/1000 mm, 2 vent/term
kom 1
</t>
  </si>
  <si>
    <t xml:space="preserve">Sabirnica za uzemljenje
kom 1
</t>
  </si>
  <si>
    <t xml:space="preserve">Utična letva (7) 1U, 19"
kom 2
</t>
  </si>
  <si>
    <t xml:space="preserve">Vertikalni kabelski kanal 42U
kom 2
</t>
  </si>
  <si>
    <t xml:space="preserve">Vodilica kabela 1U
kom 5
</t>
  </si>
  <si>
    <t xml:space="preserve">Vijak M6×16, pakiranje =50,
kom 1
</t>
  </si>
  <si>
    <t xml:space="preserve">Matica M6, pakiranje =50,
kom 1
</t>
  </si>
  <si>
    <t xml:space="preserve">Montaža samostojećeg ormara s izradom uzemljenja svih dijelova na zajedničku sabirnicu
kom 1
</t>
  </si>
  <si>
    <t xml:space="preserve">Ugradnja i spajanje ventilatorskog krova s termostatom
kom 1
</t>
  </si>
  <si>
    <t xml:space="preserve">Priključak KO na razvodnu ploču i uzemljenje
kom 1
</t>
  </si>
  <si>
    <t>Dobava, postava CATV ormarića, dim 300x400x150 mm</t>
  </si>
  <si>
    <t xml:space="preserve">Aluminijski dvodijelni stup,  kom 1 </t>
  </si>
  <si>
    <t xml:space="preserve">Krovni lim,  kom 1  </t>
  </si>
  <si>
    <t xml:space="preserve">Obujmica za pričvršćenje,  kom 2 </t>
  </si>
  <si>
    <t xml:space="preserve">Obujmica za uzemljenje,  kom 1  </t>
  </si>
  <si>
    <t xml:space="preserve">Obujmica za sidrenje,  kom 1 </t>
  </si>
  <si>
    <t xml:space="preserve">Poklopac za stup,  kom 1  </t>
  </si>
  <si>
    <t xml:space="preserve">UKV antena neusmjerena,  kom 1  </t>
  </si>
  <si>
    <t xml:space="preserve">VHF antena,  kom 1 </t>
  </si>
  <si>
    <t xml:space="preserve">UHF antena,  kom 3   </t>
  </si>
  <si>
    <t xml:space="preserve">Sat antena offset 100/110 cm,  kom 1  </t>
  </si>
  <si>
    <t xml:space="preserve">LNB quattro,  kom 2  </t>
  </si>
  <si>
    <t xml:space="preserve">Nosač 2. LNB-a,  kom 1  </t>
  </si>
  <si>
    <t xml:space="preserve">Koaksijalni kabel 75 Ohm-a UC21,  50 m1  </t>
  </si>
  <si>
    <t xml:space="preserve">Nespecificirani sitni materijal i pribor,  kpl 1 </t>
  </si>
  <si>
    <t xml:space="preserve">Pojačalo,  kom 1 </t>
  </si>
  <si>
    <t>Multiprekidač 9/8,  kom 1</t>
  </si>
  <si>
    <t>Atenuator f20db,  kom 1</t>
  </si>
  <si>
    <t>Nespecificirani sitni materijal i pribor,  kpl 1</t>
  </si>
  <si>
    <t>Konektor F,  kom 100</t>
  </si>
  <si>
    <t>Adapter za uzemljenje dvostruki,  kom 7</t>
  </si>
  <si>
    <t>Atenuator f10db,  kom 2</t>
  </si>
  <si>
    <t xml:space="preserve">Ormarić limeni P/Ž, dim 500x700x150 mm,  
kom 1
</t>
  </si>
  <si>
    <t xml:space="preserve">Mikroprocesorski kontroler za upravljanje grijačima na osnovu mjerenja leda/snijega i temperature sa senzorima za vlagu i temperaturu.
</t>
  </si>
  <si>
    <t xml:space="preserve">Isporuka i ugradnja PVC i Ticino samogasivih cijevi, te obujmica:
</t>
  </si>
  <si>
    <t>Poslužavnik RF, 44 x 32 cm (± 10%)</t>
  </si>
  <si>
    <t>Poslužavnik RF, 29 x 22 cm (± 10%)</t>
  </si>
  <si>
    <t>Tacna ultrapas 53x37 cm (± 5%)</t>
  </si>
  <si>
    <t xml:space="preserve">Gastro posuda RF 1/1-100 dim.530x325x100 mm (± 5%)
</t>
  </si>
  <si>
    <t xml:space="preserve">Gastro posuda RF 2/1-65 dim.650x530x65 mm (± 5%)
</t>
  </si>
  <si>
    <t>Zdjelica RF 18/10  fi 15 cm</t>
  </si>
  <si>
    <t>Tanjur desertni RF 18/10, 19 cm</t>
  </si>
  <si>
    <t>Tanjur plitki RF 18/10, 24 cm</t>
  </si>
  <si>
    <t>Vrč RF 18/10 zapremine 2 l</t>
  </si>
  <si>
    <t>Šalica RF 18/10 , 3 dl</t>
  </si>
  <si>
    <t xml:space="preserve">Izrada geodetskog elaborata potrebnog za evidentiranje podataka o katastarskim česticama i podataka o novo izgrađenim građevinama, te predaja i ovjera elaborata u područnom katastarskom i zemljišno-knjižnom uredu.
</t>
  </si>
  <si>
    <r>
      <rPr>
        <b/>
        <sz val="10"/>
        <rFont val="Calibri"/>
        <family val="2"/>
        <charset val="238"/>
        <scheme val="minor"/>
      </rPr>
      <t>Betoniranje podložne AB ploče za postavljanje separatora masti</t>
    </r>
    <r>
      <rPr>
        <sz val="10"/>
        <rFont val="Calibri"/>
        <family val="2"/>
        <scheme val="minor"/>
      </rPr>
      <t xml:space="preserve">, dimenzija 200×125cm i debljine 20cm, betonom klase C25/30. Stavka uključuje nabavu i dopremu i ugradnju sveg potrebnog materijala, pripremu, dovoz i ugradnju betonske smjese, zbijanje pervibratorima, zaštitu betona poslije ugradnje od utjecaja atmosfere, te održavanje betona vlažnim za vrijeme procesa vezivanja.
</t>
    </r>
  </si>
  <si>
    <r>
      <rPr>
        <b/>
        <sz val="10"/>
        <rFont val="Calibri"/>
        <family val="2"/>
        <charset val="238"/>
      </rPr>
      <t>Nabava doprema i ugradnja separatora masti i ulja</t>
    </r>
    <r>
      <rPr>
        <sz val="10"/>
        <rFont val="Calibri"/>
        <family val="2"/>
      </rPr>
      <t xml:space="preserve"> biljnog i životinjskog porijekla kapaciteta Q=4 l/s prema normi HRN EN 1825 ili jednakovrijedno ___________________, s  poklopcima nosivosti 25 tona (2 kom).  
Separator je opremljen sa integriranom taložnicom za krupni otpad i flotacijskom komorom za izdvajanje ulja. Uređaj mora zadovoljavati propisane parametre pročišćavanja prema Pravilniku o graničnim vrijednostima emisija otpadnih voda NN 26/20 (teško hlapljive lipofilne tvari (ukupna masti i ulja) -  20mg/l - površinske vode)
Materijal izrade polietilen, debljina stijenke 10-12 mm. 
Stavka obuhvaća i strojni iskop građevinske jame, zatrpavanje iste nakon ugradnje separatora te odvoz viška materijala iz iskopa. Sve izvesti prema uputama proizvođača. Atestna dokumentacija, Upute za rad i certifikati kvalitete uključeni su u ovu stavku.  
Obračun se vrši po komadu kompletno dobavljenog i ugrađenog uređaja na prethodno pripremljenu betonsku podlogu tlocrtnih dimenzija 200×125cm i debljine 20cm. 
</t>
    </r>
  </si>
  <si>
    <t xml:space="preserve">Dovratnici širine koja odgovara debljini gotovog zida. Sve mjere obavezno uzimati na gradilištu.
</t>
  </si>
  <si>
    <t xml:space="preserve">Protupožarno brtvljenje prodora cijevi kroz granice požarnih sektora. Stavka uključuje: sav potrebni materijal i radove izvedene prema atestiranim postupcima uz uporabu odgovarajućih materijala i atest za izvedene radove (pojedinačno navedena mjesta na kojima su isti obavljeni), uključivo elaborat brtvljenja. 
Za cijevi Φ 42,4 mm -  Φ114,3 mm
</t>
  </si>
  <si>
    <t xml:space="preserve">Zidni odsisni kupaonski ventilator s vremenskom odgodom gašenja te s izvedbom priključka i s izvodom na fasadu. Stavka ukljucuje prodor za cijev promjera 150mm. Uz ventilator se isporučuje nepovratna zaklopka kao i sav ugradbeni te brtveni materijal do pune funkcionalnosti.
Karakteristike ventilatora:
G = 295 m3/h;
dp = 200 Pa;
Nel = 88 W (230V);
LxBxH = 255x152x333 mm;
m = 4,20 kg
</t>
  </si>
  <si>
    <t xml:space="preserve">Podstropni odsisni kupaonski ventilator s vremenskom odgodom gašenja te s izvedbom priključka i s izvodom na fasadu. Stavka ukljucuje prodor za cijev promjera 150mm. Uz ventilator se isporučuje nepovratna zaklopka kao i sav ugradbeni te brtveni materijal do pune funkcionalnosti. 
Karakteristike ventilatora:
G = 100 m3/h;
dp = 50 Pa;
Nel = 88 W (230V);
LxBxH = 300x300x100 mm;
m = 3,00 kg
</t>
  </si>
  <si>
    <t xml:space="preserve">Protupožarno brtvljenje prodora kanala kroz granice požarnih sektora. Stavka uključuje: sav potrebni materijal i radove izvedene prema atestiranim postupcima uz uporabu odgovarajućih materijala i atest za izvedene radove (pojedinačno navedena mjesta na kojima su isti obavljeni), uključivo elaborat brtvljenja.
Za kanale Φ 80 mm - Φ 100 mm
</t>
  </si>
  <si>
    <t xml:space="preserve">Protupožarno brtvljenje prodora cijevi kroz granice požarnih sektora. Stavka uključuje: sav potrebni materijal i radove izvedene prema atestiranim postupcima uz uporabu odgovarajućih materijala i atest za izvedene radove (pojedinačno navedena mjesta na kojima su isti obavljeni), uključivo elaborat brtvljenja.
Za cijevi Φ 21,3 mm -  Φ114,3 mm
</t>
  </si>
  <si>
    <t>Radove izvodi ovlašteno poduzeće prema uvjetima i pod nadzorom vlasnika/upravitelja infrastrukture. Obveza je izvođača radova zatražiti uvjete, nadzor i radove  od strane vlasnika/upravitelja infrastrukture i prema tim uvjetima postupiti. Sve radnje izvode ovlaštene osobe, prema uvjetima i uz suglasnost i nadzor vlasnika/upravitelja infrastrukture. 
Stavka obuhvaća sve radove do pune funkcionalnosti. Obračun komplet.</t>
  </si>
  <si>
    <t>- 1 poklopac - rešetka cestovne oborinske odvodnje (cestovni slivnik)</t>
  </si>
  <si>
    <t>Građevinski radovi izrade energetskog kanala za cijevi od dizalica topline do ulaska u zgradu.
Svjetlog presjeka koridora cca. 0,7x 0,5 m.
Dužine 35 m.
Stavka uključuje iskop za polaganje cijevi, izradu mehaničke zaštite podzemnih cijevi i zakopavanje rova od dizalica topline do ulaska u zgradu.
Zaštitu izvesti oblaganjem cijevi zaštitom s polucijevima (obostrano) od tvrdog PVC-a SN-4 DN 160 prema HRN EN 1401 ili jednakovrijednoj normi _________________te pripadnim obujmicama. Izvode se 3 paralelne zaštitne cijevi (za svaku cijev razvoda zasebno). Nabava, doprema i ugradnja polucijevi je uključena u stavku, s pridržavanjem postojeće instalacije do zatrpavanja rova. Polucijevi se polažu na sloj pijeska, a prije zatrpavanja se oko polucijevi izvodi sloj zaštitnog betona debljine min. 10 cm.</t>
  </si>
  <si>
    <r>
      <rPr>
        <b/>
        <sz val="10"/>
        <rFont val="Calibri"/>
        <family val="2"/>
      </rPr>
      <t xml:space="preserve">Zahvati (denivelacije poklopaca i sl.) na postojećoj komunalnoj i ostaloj infrastrukture </t>
    </r>
    <r>
      <rPr>
        <sz val="10"/>
        <rFont val="Calibri"/>
        <family val="2"/>
      </rPr>
      <t xml:space="preserve">unutar obuhvata i u kontaktnoj zoni obuhvata (elektroinstalacije, telekomunikacije, vodovod, odvodnja).
</t>
    </r>
  </si>
  <si>
    <t>Φ 32 x 1,9</t>
  </si>
  <si>
    <t>Φ 40 x 2,3</t>
  </si>
  <si>
    <t>Φ 50 x 2,9</t>
  </si>
  <si>
    <r>
      <t>Zidna stijena za penjanje</t>
    </r>
    <r>
      <rPr>
        <sz val="10"/>
        <rFont val="Calibri"/>
        <family val="2"/>
        <charset val="238"/>
        <scheme val="minor"/>
      </rPr>
      <t xml:space="preserve"> s 10 hvataljki od epoksi smole, za zakvačiti na švedske ljestve. 
Materijal: drvo, hvataljke od epoksi smole. Dimenzija 80x230 cm.</t>
    </r>
    <r>
      <rPr>
        <sz val="10"/>
        <rFont val="Calibri"/>
        <family val="2"/>
        <scheme val="minor"/>
      </rPr>
      <t xml:space="preserve">
</t>
    </r>
  </si>
  <si>
    <r>
      <t>Gastro posuda RF 2/1-20 dim.650x530x20 mm (± 5%)</t>
    </r>
    <r>
      <rPr>
        <b/>
        <sz val="10"/>
        <rFont val="Calibri"/>
        <family val="2"/>
      </rPr>
      <t xml:space="preserve">
</t>
    </r>
  </si>
  <si>
    <r>
      <rPr>
        <b/>
        <sz val="10"/>
        <rFont val="Calibri"/>
        <family val="2"/>
        <scheme val="minor"/>
      </rPr>
      <t>Tabla</t>
    </r>
    <r>
      <rPr>
        <sz val="10"/>
        <rFont val="Calibri"/>
        <family val="2"/>
        <scheme val="minor"/>
      </rPr>
      <t xml:space="preserve"> upozorenja "PAZI KLIZAV POD"</t>
    </r>
  </si>
  <si>
    <r>
      <rPr>
        <b/>
        <sz val="10"/>
        <rFont val="Calibri"/>
        <family val="2"/>
        <scheme val="minor"/>
      </rPr>
      <t xml:space="preserve">Profesionalni usisavač </t>
    </r>
    <r>
      <rPr>
        <sz val="10"/>
        <rFont val="Calibri"/>
        <family val="2"/>
        <scheme val="minor"/>
      </rPr>
      <t xml:space="preserve">za svakodnevno dugotrajno korištenje u hotelu, uredu, školi, vrtiću, domu …
Karakteristike: - Snaga motora 1200 W, - Protok zraka 32 l / sec, - Podtlak 230 mbar, - Zapremina vrečice 15 l, - Dužina kabla 15 m, - isporučiti s antialergijskim HEPA filterom.
</t>
    </r>
  </si>
  <si>
    <r>
      <rPr>
        <b/>
        <sz val="10"/>
        <rFont val="Calibri"/>
        <family val="2"/>
        <scheme val="minor"/>
      </rPr>
      <t xml:space="preserve">Mokro-suhi usisavač </t>
    </r>
    <r>
      <rPr>
        <sz val="10"/>
        <rFont val="Calibri"/>
        <family val="2"/>
        <scheme val="minor"/>
      </rPr>
      <t>na kotačima sa dvostrukim sistemom za pražnjenje.
Karakteristike</t>
    </r>
    <r>
      <rPr>
        <b/>
        <sz val="10"/>
        <rFont val="Calibri"/>
        <family val="2"/>
        <scheme val="minor"/>
      </rPr>
      <t xml:space="preserve">: - </t>
    </r>
    <r>
      <rPr>
        <sz val="10"/>
        <rFont val="Calibri"/>
        <family val="2"/>
        <scheme val="minor"/>
      </rPr>
      <t xml:space="preserve">Napon 220 V, - Snaga motora 1400 W, - Protok zraka 58 l / sec,  - Podtlak 235 mbar,  - Zapremina 60 l, Dužina kabla 7,5 m
</t>
    </r>
  </si>
  <si>
    <r>
      <rPr>
        <b/>
        <sz val="10"/>
        <rFont val="Calibri"/>
        <family val="2"/>
        <scheme val="minor"/>
      </rPr>
      <t>Višenamjenski stroj za pranje poda</t>
    </r>
    <r>
      <rPr>
        <sz val="10"/>
        <rFont val="Calibri"/>
        <family val="2"/>
        <scheme val="minor"/>
      </rPr>
      <t>, s akumulatorom, s potrošnim elementima i dodacima: PPL četka, najlonska četka, Tynex četka, noseća ploča, akumulator, punjač. Tehnički podaci:
- širina površine koja se čisti:  450 (mm) 
- širina letvice za usisavanje: 790 (mm) 
- teoretska površina čišćenja1575 (m2 /h) 
- zapremina spremnika 40/45 l 
- kapacitet akumulatora: 24/100-150 V/Ah
- snaga motora četke: 420 (W) 
- pritisak četke o pod: 22 ( kg)</t>
    </r>
  </si>
  <si>
    <r>
      <rPr>
        <b/>
        <sz val="10"/>
        <rFont val="Calibri"/>
        <family val="2"/>
        <scheme val="minor"/>
      </rPr>
      <t>Stroj za ribanje i usisavanje poda</t>
    </r>
    <r>
      <rPr>
        <sz val="10"/>
        <rFont val="Calibri"/>
        <family val="2"/>
        <scheme val="minor"/>
      </rPr>
      <t xml:space="preserve"> (srednje veliki, kojima se upravlja hodajući), uključujući potrošne elemente i dodatke: PPL četka, najlonska četka, Tynex četka, noseća ploča.
Tehnički podaci:
- širina površine koja se čisti:I  530 (mm) 
- širina letvice za usisavanje: 760 (mm) 
- teoretska površina čišćenja 2120 (m2 /h) 
- zapremina spremnika 55/55 
- napon  24 (V) 
- snaga motora četke: 480 (W) 
- pritisak četke o pod: 25 ( kg)
</t>
    </r>
  </si>
  <si>
    <r>
      <rPr>
        <b/>
        <sz val="10"/>
        <rFont val="Calibri"/>
        <family val="2"/>
        <scheme val="minor"/>
      </rPr>
      <t>Kolica za čistačice velika</t>
    </r>
    <r>
      <rPr>
        <sz val="10"/>
        <rFont val="Calibri"/>
        <family val="2"/>
        <scheme val="minor"/>
      </rPr>
      <t xml:space="preserve">
Kolica od kromiranih cijevi.
 - Vreća za smeće.
 - Dvije kante po 15-25 l
 - Preša za MOP-ove
 - Dvije male kante po 6-10 l
</t>
    </r>
  </si>
  <si>
    <r>
      <t>Radionički stol s ladicama i policom</t>
    </r>
    <r>
      <rPr>
        <sz val="10"/>
        <rFont val="Calibri"/>
        <family val="2"/>
        <scheme val="minor"/>
      </rPr>
      <t xml:space="preserve">, metalni, čvrsti i stabilni,
Ploča četveroslojna multiplex šperploča ili opcija medijapan ploča, d=40 mm, konstrukcija je napravljena od 4 metalne noge s mogućnošću promjene visine. 
Mogućnost dodatka gumene presvlake ili limenog pokrova
Ladičar s 4 ladice pričvrščen ispod stola bočno. Ladice se zaključavaju cilindričnom bravom.
Dimenzije stola: (DŠV) 200 x 75-80 x 74-(95-117) cm. </t>
    </r>
  </si>
  <si>
    <r>
      <t>Sjedalica metalne konstrukcije</t>
    </r>
    <r>
      <rPr>
        <sz val="10"/>
        <rFont val="Calibri"/>
        <family val="2"/>
        <scheme val="minor"/>
      </rPr>
      <t xml:space="preserve">, zaštićene epoksi zaštitom. Sjedište i naslon sjedalica su od višeslojne vezane ploče (šperploča), v = 45 cm  
                   </t>
    </r>
  </si>
  <si>
    <r>
      <t>Dobava i montaža metalnog radioničkog ormara za alat</t>
    </r>
    <r>
      <rPr>
        <sz val="10"/>
        <rFont val="Calibri"/>
        <family val="2"/>
        <scheme val="minor"/>
      </rPr>
      <t xml:space="preserve">, dim. (ŠDV) 100x55-60x200 cm,  
s dvokrilnim vratima s trosmjernim zabravnim mehanizmom, čvrste metalne konstrukcije.  Svi metalni dijelovi s adekvatnom zaštitnom obradom (prašno plastificiranje), sve u skladu s namjenom. unutrašnjost opremljena policamakoje su podesive po visini, perforiranim oblogama i kutijama.  Ormar ukupne nosivosti minimalno 800 kg. Obavezan pismeni dokaz nosivosti. Na vratima ormara je cilindar brava s ključem i standardna ručka. Sve u boji prema izboru projektanta. 
                                                  </t>
    </r>
  </si>
  <si>
    <r>
      <t>Izvijači komplet</t>
    </r>
    <r>
      <rPr>
        <sz val="10"/>
        <rFont val="Calibri"/>
        <family val="2"/>
        <charset val="238"/>
        <scheme val="minor"/>
      </rPr>
      <t xml:space="preserve">, križni, ravni, torx, min. 12 kom raznih veličina u kompletu. S ergonomskom plastičnom ručkom.
</t>
    </r>
  </si>
  <si>
    <r>
      <t>Viljuškasto-okasti ključevi</t>
    </r>
    <r>
      <rPr>
        <sz val="10"/>
        <rFont val="Calibri"/>
        <family val="2"/>
        <charset val="238"/>
        <scheme val="minor"/>
      </rPr>
      <t>, 6-22 mm ili 8-19 mm, 8 dvostranih ključeva različitih veličina u kompletu</t>
    </r>
  </si>
  <si>
    <r>
      <t>Čekič</t>
    </r>
    <r>
      <rPr>
        <sz val="10"/>
        <rFont val="Calibri"/>
        <family val="2"/>
        <scheme val="minor"/>
      </rPr>
      <t xml:space="preserve">, tesarski, težina glave 600 g, s plastičnom oblogom
</t>
    </r>
  </si>
  <si>
    <r>
      <t>Sajla za čišćenje kanalizacije</t>
    </r>
    <r>
      <rPr>
        <sz val="10"/>
        <rFont val="Calibri"/>
        <family val="2"/>
        <scheme val="minor"/>
      </rPr>
      <t xml:space="preserve">, dužina 20 m, ručna savitljiva sajla, s ručkom.
</t>
    </r>
  </si>
  <si>
    <r>
      <t>Digitaln</t>
    </r>
    <r>
      <rPr>
        <sz val="10"/>
        <rFont val="Calibri"/>
        <family val="2"/>
        <scheme val="minor"/>
      </rPr>
      <t xml:space="preserve">i </t>
    </r>
    <r>
      <rPr>
        <b/>
        <sz val="10"/>
        <rFont val="Calibri"/>
        <family val="2"/>
        <scheme val="minor"/>
      </rPr>
      <t>multimetar</t>
    </r>
    <r>
      <rPr>
        <sz val="10"/>
        <rFont val="Calibri"/>
        <family val="2"/>
        <scheme val="minor"/>
      </rPr>
      <t xml:space="preserve">.
Mjeri: istosmjerni napon so 1000v, izmjenični napon do 1000v, istosmjernu i izmjeničnu struju do 10 A, otpor do 40 Mohma, zujalica 
frekvencija 10 Hz - 10 MHz , auto range, RS 232 
diodni test, data hold, slaba baterija 
display: 3999 , prikazuje sve simbole
</t>
    </r>
  </si>
  <si>
    <r>
      <t xml:space="preserve">Set električarskog alata - 13 kom, </t>
    </r>
    <r>
      <rPr>
        <sz val="10"/>
        <rFont val="Calibri"/>
        <family val="2"/>
        <scheme val="minor"/>
      </rPr>
      <t xml:space="preserve">slijedećeg sadržaja:
- Izvijači plosnati: 6,5 x 150mm, 2,5 x 75mm, 5,5 x 125mm
- Izvijači križni: PH0 x 60mm, PH1 x 80mm, PH2 x 100mm
- Kliješta kombinirana 180mm, kliješta sjekača 160mm, kliješta za skidanje izolacije 160mm, -kliješta špicasta 200mm
- Dvije izolir trake (crvena i crna boja) i ispitivača napona do 250 V
</t>
    </r>
  </si>
  <si>
    <r>
      <rPr>
        <b/>
        <sz val="10"/>
        <rFont val="Calibri"/>
        <family val="2"/>
        <scheme val="minor"/>
      </rPr>
      <t>Produžni kabel</t>
    </r>
    <r>
      <rPr>
        <sz val="10"/>
        <rFont val="Calibri"/>
        <family val="2"/>
        <scheme val="minor"/>
      </rPr>
      <t>, 3 m, s 3 utična mjesta</t>
    </r>
  </si>
  <si>
    <r>
      <rPr>
        <b/>
        <sz val="10"/>
        <rFont val="Calibri"/>
        <family val="2"/>
        <scheme val="minor"/>
      </rPr>
      <t>Produžni kabel</t>
    </r>
    <r>
      <rPr>
        <sz val="10"/>
        <rFont val="Calibri"/>
        <family val="2"/>
        <scheme val="minor"/>
      </rPr>
      <t>, 10 m, s 4 utična mjesta</t>
    </r>
  </si>
  <si>
    <r>
      <t>Akumulatorska svjetiljka,</t>
    </r>
    <r>
      <rPr>
        <sz val="10"/>
        <rFont val="Calibri"/>
        <family val="2"/>
        <scheme val="minor"/>
      </rPr>
      <t xml:space="preserve"> sljedećih karakteristika:
Vrijeme rada: 1.500 / 3.000 min, akumulator: 14,4 V,  težina:  0,48 kg</t>
    </r>
  </si>
  <si>
    <r>
      <t>Lopata za snijeg</t>
    </r>
    <r>
      <rPr>
        <sz val="10"/>
        <rFont val="Calibri"/>
        <family val="2"/>
        <scheme val="minor"/>
      </rPr>
      <t xml:space="preserve">, izrađena od aluminija, s metalnom (gumiranom ili presvučena plastikom) ili drvenom drškom, širina 50 cm.
</t>
    </r>
  </si>
  <si>
    <r>
      <t>Lopata za snijeg</t>
    </r>
    <r>
      <rPr>
        <sz val="10"/>
        <rFont val="Calibri"/>
        <family val="2"/>
        <scheme val="minor"/>
      </rPr>
      <t xml:space="preserve">, izrađena od aluminija, s metalnom (gumiranom ili presvučena plastikom) ili drvenom drškom, širina 28-40 cm.
</t>
    </r>
  </si>
  <si>
    <r>
      <t>Grablje za travu,</t>
    </r>
    <r>
      <rPr>
        <sz val="10"/>
        <rFont val="Calibri"/>
        <family val="2"/>
        <scheme val="minor"/>
      </rPr>
      <t xml:space="preserve"> metalne, s metalnom ili drvenom drškom.
</t>
    </r>
  </si>
  <si>
    <r>
      <t>Lopata</t>
    </r>
    <r>
      <rPr>
        <sz val="10"/>
        <rFont val="Calibri"/>
        <family val="2"/>
        <scheme val="minor"/>
      </rPr>
      <t xml:space="preserve"> pobirača, metalna debljine min. 1,5 mm, s metalnom ili drvenom drškom.</t>
    </r>
  </si>
  <si>
    <r>
      <t>Sjekira,</t>
    </r>
    <r>
      <rPr>
        <sz val="10"/>
        <rFont val="Calibri"/>
        <family val="2"/>
        <scheme val="minor"/>
      </rPr>
      <t xml:space="preserve"> duljina drške 40-70 cm, težina 800 g</t>
    </r>
  </si>
  <si>
    <r>
      <t xml:space="preserve">Gumeno crijevo </t>
    </r>
    <r>
      <rPr>
        <sz val="10"/>
        <rFont val="Calibri"/>
        <family val="2"/>
        <scheme val="minor"/>
      </rPr>
      <t>ф1/2 ", duljine 50 m, s nastavkom za raspršivanje i priključkom za slavinu ф 1/2".</t>
    </r>
  </si>
  <si>
    <r>
      <t>Samohodna rotacijska kosilica</t>
    </r>
    <r>
      <rPr>
        <sz val="10"/>
        <rFont val="Calibri"/>
        <family val="2"/>
        <scheme val="minor"/>
      </rPr>
      <t xml:space="preserve">, motorna, s priborom i alatom. Čvrsta, robusna kosilica za svakodnevno profesionalno korištenje. Izlazne snage min 3 kW. Minimalne širina košnje je min. 53 cm, a visina košnje je podesiva.  Lagani, aluminijski kotači s dvostrukim kugličnim ležajevima i gumeni kotači. Motor s prilagodljivim ručkama za pokretanje i antivibracijski sistem.
</t>
    </r>
  </si>
  <si>
    <r>
      <t>Motorna pila, profesionalna</t>
    </r>
    <r>
      <rPr>
        <sz val="10"/>
        <rFont val="Calibri"/>
        <family val="2"/>
        <scheme val="minor"/>
      </rPr>
      <t xml:space="preserve">, lančana, benzinska, s priborom i alatom. Napredni model za profesionalnu uporabu. Niska potrošnja goriva i emisija štetnih plinova. Potpuno obložene ručke. Snaga min. 2,4 kW. Minimalna preporučena dužina vodilice: 38 cm.
</t>
    </r>
  </si>
  <si>
    <r>
      <t>Škare za živicu, motorne,</t>
    </r>
    <r>
      <rPr>
        <sz val="10"/>
        <rFont val="Calibri"/>
        <family val="2"/>
        <scheme val="minor"/>
      </rPr>
      <t xml:space="preserve"> s priborom i alatom. Dvostrane škare za živicu s motorom. Robustan dizajn. Snaga min. 600 W. Dužina mača 50-60 cm.
</t>
    </r>
  </si>
  <si>
    <r>
      <t>Kresač visokih grana,</t>
    </r>
    <r>
      <rPr>
        <sz val="10"/>
        <rFont val="Calibri"/>
        <family val="2"/>
        <scheme val="minor"/>
      </rPr>
      <t xml:space="preserve"> s priborom i alatom. Akumulatorska teleskopska lančana pila, 18 V, dužina mača 20 cm, uključuje izmjenjivu bateriju (min. 2,5 Ah) i punjač za bateriju. Minimalna podesiva maksimalna radna duljina: 2,6 m.
</t>
    </r>
  </si>
  <si>
    <r>
      <t>Dobava i isporuka kompaktne centrale za sustav odvođenja dima i topline. 
Centrala sa 1 grupom za odimljavanje i 2 grupe za prozračivanje, sa modulom za prosljeđivanje signala na centralu dojave požara, sa modulom za preuzimanje signala sa centrale dojave požara i weather modulom. Slobodni bezpotencijalni kontakt za prijenos signala vanjskom uređaju. Napajanje 230 V</t>
    </r>
    <r>
      <rPr>
        <vertAlign val="subscript"/>
        <sz val="10"/>
        <rFont val="Calibri"/>
        <family val="2"/>
        <scheme val="minor"/>
      </rPr>
      <t xml:space="preserve">AC </t>
    </r>
    <r>
      <rPr>
        <sz val="10"/>
        <rFont val="Calibri"/>
        <family val="2"/>
        <scheme val="minor"/>
      </rPr>
      <t>i 50 Hz. Nazivni napon 24 V</t>
    </r>
    <r>
      <rPr>
        <vertAlign val="subscript"/>
        <sz val="10"/>
        <rFont val="Calibri"/>
        <family val="2"/>
        <scheme val="minor"/>
      </rPr>
      <t xml:space="preserve">DC </t>
    </r>
    <r>
      <rPr>
        <sz val="10"/>
        <rFont val="Calibri"/>
        <family val="2"/>
        <scheme val="minor"/>
      </rPr>
      <t>i izlazna struja 5 A. Temperaturno područje od -5° do +40°C. Zaštita kućišta IP30. Boja RAL 7035. Dimenzija 225 x 285 x 122 mm. Kućište s cilindar bravom za ključ. 
Opremljena sa akumulatorskim baterijama nazivnog napona 24 V</t>
    </r>
    <r>
      <rPr>
        <vertAlign val="subscript"/>
        <sz val="10"/>
        <rFont val="Calibri"/>
        <family val="2"/>
        <scheme val="minor"/>
      </rPr>
      <t>DC</t>
    </r>
    <r>
      <rPr>
        <sz val="10"/>
        <rFont val="Calibri"/>
        <family val="2"/>
        <scheme val="minor"/>
      </rPr>
      <t xml:space="preserve">, kapaciteta za 72 sata pripravnosti i 0,5 sati alarma. 
Kućište za podžbuknu montažu. Dimenzije kućišta 314 x 254 x 97 mm. Dimenzije okvira 282 x 342 x 48 mm. 
U kompletu s integriranim ručnim javljačem i tipkalom za prozračivanje. </t>
    </r>
  </si>
  <si>
    <r>
      <t>Dobava i isporuka vretenastog pogona.
Na 1-krilni krovni prozor na stubištu (v. nacrt) sa dimenzijama svijetlog otvora 1000 x 1150 mm ugraditi vretenasti elektromotor za odvođenje dima i topline. Omogućava otvaranje prema vanjskom prostoru radi ostvarivanja minimalno potrebne površine za odvođenje dima i topline od 1 m</t>
    </r>
    <r>
      <rPr>
        <vertAlign val="superscript"/>
        <sz val="10"/>
        <rFont val="Calibri"/>
        <family val="2"/>
        <scheme val="minor"/>
      </rPr>
      <t>2</t>
    </r>
    <r>
      <rPr>
        <sz val="10"/>
        <rFont val="Calibri"/>
        <family val="2"/>
        <scheme val="minor"/>
      </rPr>
      <t>. Nazivna struja 0,9 A/motor. Struja isključivanja 1,2 A. Radni napon 24 V</t>
    </r>
    <r>
      <rPr>
        <vertAlign val="subscript"/>
        <sz val="10"/>
        <rFont val="Calibri"/>
        <family val="2"/>
        <scheme val="minor"/>
      </rPr>
      <t>DC</t>
    </r>
    <r>
      <rPr>
        <sz val="10"/>
        <rFont val="Calibri"/>
        <family val="2"/>
        <scheme val="minor"/>
      </rPr>
      <t xml:space="preserve">. Hod motora 1000 mm. Brzina hoda 10,4 mm/s. Sila 800 N. Zaštita kućišta IP65. Radna temperatura od -5°C do +60°C. Automatsko isključivanje u krajnjem položaju i isključivanje zbog preopterećenja. 
Isporučeni sustav treba sadržavati pripadajuće konzole za ugradnju i sav pribor za ugradnju. Ispitano i certificirano prema EN 12101-2. 
</t>
    </r>
    <r>
      <rPr>
        <i/>
        <u/>
        <sz val="10"/>
        <rFont val="Calibri"/>
        <family val="2"/>
        <scheme val="minor"/>
      </rPr>
      <t>NAPOMENA:</t>
    </r>
    <r>
      <rPr>
        <i/>
        <sz val="10"/>
        <rFont val="Calibri"/>
        <family val="2"/>
        <scheme val="minor"/>
      </rPr>
      <t xml:space="preserve">
Prije isporuke potrebno je uskladiti tip i model motora sa načinom otvaranja i dimenzijama ugrađenog prozora.
</t>
    </r>
  </si>
  <si>
    <r>
      <t>Dobava i isporuka pogona za zaokretno otvaranje vrata. 
Na 1-krilnim vratima evakaucijskog izlaza u prizemlju sa dimenzijama 1200 x 2200 mm (vidi nacrt), krilo opremiti pogononom za zaokretno otvaranje vrata koji omogućava nesmetano otvaranje vrata radi dovoda svježeg zraka u sustavu odvođenja dima i topline te dobivanje odgovarajuće površine za dovod svježeg zraka od 2 m</t>
    </r>
    <r>
      <rPr>
        <vertAlign val="superscript"/>
        <sz val="10"/>
        <rFont val="Calibri"/>
        <family val="2"/>
        <scheme val="minor"/>
      </rPr>
      <t>2</t>
    </r>
    <r>
      <rPr>
        <sz val="10"/>
        <rFont val="Calibri"/>
        <family val="2"/>
        <scheme val="minor"/>
      </rPr>
      <t>. Radni napon 24 V</t>
    </r>
    <r>
      <rPr>
        <vertAlign val="subscript"/>
        <sz val="10"/>
        <rFont val="Calibri"/>
        <family val="2"/>
        <scheme val="minor"/>
      </rPr>
      <t>DC</t>
    </r>
    <r>
      <rPr>
        <sz val="10"/>
        <rFont val="Calibri"/>
        <family val="2"/>
        <scheme val="minor"/>
      </rPr>
      <t xml:space="preserve">. Nazivna struja 1 A. Struja isključivanja 1,4 A/motor. Kut otvaranja do 93°. Zaštita kućišta IP32. Dimenzija 40 x 56 x 421 mm. S automatskim isključivanjem u krajnjem položaju. U kompletu s konzolama i svim potrebnim priborom za ugradnju. 
</t>
    </r>
    <r>
      <rPr>
        <i/>
        <u/>
        <sz val="10"/>
        <rFont val="Calibri"/>
        <family val="2"/>
        <scheme val="minor"/>
      </rPr>
      <t>NAPOMENA:</t>
    </r>
    <r>
      <rPr>
        <i/>
        <sz val="10"/>
        <rFont val="Calibri"/>
        <family val="2"/>
        <scheme val="minor"/>
      </rPr>
      <t xml:space="preserve">
Predmetna vrata moraju biti opremljena takvim okovom koji će pri aktivaciji sustava dojave požara odnosno sustava za odvod dima i topline omogućiti da ih navedeni pogon može nesmetano otvoriti radi dovoda svježeg zraka za odimljavanje. Opis okova koji to omogućuje nije predmet ove stavke nego je dio bravarske stavke te isti treba biti neizostavno uzet u obzir.
</t>
    </r>
  </si>
  <si>
    <r>
      <t>Dobava i isporuka senzora za vjetar i kišu (vremenske stanice). 
Sastoji se od senzora za vjetar, senzora za kišu, montažne konzole za ugradnju na zid ili stup te prstena za pričvršćenje. Napajanje 24 V</t>
    </r>
    <r>
      <rPr>
        <vertAlign val="subscript"/>
        <sz val="10"/>
        <rFont val="Calibri"/>
        <family val="2"/>
        <scheme val="minor"/>
      </rPr>
      <t>DC</t>
    </r>
    <r>
      <rPr>
        <sz val="10"/>
        <rFont val="Calibri"/>
        <family val="2"/>
        <scheme val="minor"/>
      </rPr>
      <t xml:space="preserve">. Dimenzija 250 x 250 x 80 mm.
</t>
    </r>
  </si>
  <si>
    <r>
      <t>Dobava i isporuka bezhalogenog energetskog i signalnog kabela poboljšanih svojstava za slučaj požara NHXH FE 180/E 90 3x1,5 mm</t>
    </r>
    <r>
      <rPr>
        <vertAlign val="superscript"/>
        <sz val="10"/>
        <rFont val="Calibri"/>
        <family val="2"/>
        <scheme val="minor"/>
      </rPr>
      <t>2</t>
    </r>
    <r>
      <rPr>
        <sz val="10"/>
        <rFont val="Calibri"/>
        <family val="2"/>
        <scheme val="minor"/>
      </rPr>
      <t xml:space="preserve"> za napajanje centrale i spoj s motorom.
</t>
    </r>
  </si>
  <si>
    <r>
      <t>Polaganje bezhalogenog energetskog i signalnog kabela poboljšanih svojstava za slučaj požara NHXH FE 180/E 90 3x1,5 mm</t>
    </r>
    <r>
      <rPr>
        <vertAlign val="superscript"/>
        <sz val="10"/>
        <rFont val="Calibri"/>
        <family val="2"/>
        <scheme val="minor"/>
      </rPr>
      <t xml:space="preserve">2 </t>
    </r>
    <r>
      <rPr>
        <sz val="10"/>
        <rFont val="Calibri"/>
        <family val="2"/>
        <scheme val="minor"/>
      </rPr>
      <t xml:space="preserve"> za napajanje centrale i spoj s motorom</t>
    </r>
  </si>
  <si>
    <r>
      <t>Dobava i isporuka PVC izoliranog instalacijskog kabela NYM-J 7x1,5 mm</t>
    </r>
    <r>
      <rPr>
        <vertAlign val="superscript"/>
        <sz val="10"/>
        <rFont val="Calibri"/>
        <family val="2"/>
        <scheme val="minor"/>
      </rPr>
      <t>2</t>
    </r>
    <r>
      <rPr>
        <sz val="10"/>
        <rFont val="Calibri"/>
        <family val="2"/>
        <scheme val="minor"/>
      </rPr>
      <t xml:space="preserve"> za spoj senzora kiše i vjetra (vremenske stanice).</t>
    </r>
  </si>
  <si>
    <r>
      <t>Polaganje PVC izoliranog instalacijskog kabela NYM-J 7x1,5 mm</t>
    </r>
    <r>
      <rPr>
        <vertAlign val="superscript"/>
        <sz val="10"/>
        <rFont val="Calibri"/>
        <family val="2"/>
        <scheme val="minor"/>
      </rPr>
      <t>2</t>
    </r>
    <r>
      <rPr>
        <sz val="10"/>
        <rFont val="Calibri"/>
        <family val="2"/>
        <scheme val="minor"/>
      </rPr>
      <t xml:space="preserve"> za spoj senzora kiše i vjetra (vremenske stanice).</t>
    </r>
  </si>
  <si>
    <r>
      <t>Vods / Vdob</t>
    </r>
    <r>
      <rPr>
        <vertAlign val="subscript"/>
        <sz val="10"/>
        <rFont val="Calibri"/>
        <family val="2"/>
        <charset val="238"/>
        <scheme val="minor"/>
      </rPr>
      <t xml:space="preserve"> </t>
    </r>
    <r>
      <rPr>
        <sz val="10"/>
        <rFont val="Calibri"/>
        <family val="2"/>
        <charset val="238"/>
        <scheme val="minor"/>
      </rPr>
      <t>= 2000 / 1500 m3/h</t>
    </r>
  </si>
  <si>
    <t>Prije narudžbe odnosno isporuke i ugradnje opreme potrebno je dobiti pismeno odobrenje od nadzornog inženjera/projektanta za ugradnju nuđenih proizvoda na način da se dostave tehnički listovi i certifikati kojima se dokazuje zadovoljavanje tehničkih karakteristika i certifikata koje su navedene u troškovniku.
 Za stavke u kojima se nude rasvjetna tijela (svjetiljke) potrebno je izraditi kontrolne proračune rasvjete (istovjetne onima u projektu) kojima se dokazuje postizanje potrebnih razina rasvijetljenosti, te dostaviti LDT krivulje svjetiljaka korištenih u proračunima.</t>
  </si>
  <si>
    <t>Montaža i spajanje centrale sustava odvođenja dima i topline prema uputama proizvođača za osiguranje potpune funkcionalnosti</t>
  </si>
  <si>
    <t xml:space="preserve">XPS ploče moraju u pogledu reakcije na vatru zadovoljiti Eurorazred E prema HRN EN 13501-1 ili jednakovrijedno _____________________________te imati svojstva navedena u donjoj kodiranoj oznaci ili povoljnija:
</t>
  </si>
  <si>
    <t xml:space="preserve">XPS ploče moraju u pogledu reakcije na vatru zadovoljiti Eurorazred E prema HRN EN 13501-1 ili jednakovrijedno _____________________________ te imati svojstva navedena u donjoj kodiranoj oznaci ili povoljnija:
</t>
  </si>
  <si>
    <t xml:space="preserve">- ljepilo za ljepljenje pločica: poboljšano ljepilo (2) na cementnoj osnovi (C), s prodiženim otvorenim vremenom (E), bez klizanja (T) na vertikalnim plohama (C2TE), prionjljivost nakon 28 dana: 2.2 N/mm2
HRN EN 12004:2017, Ljepila za keramičke pločice ili jednakovrijedno _____________________________.
</t>
  </si>
  <si>
    <t>Visokoučinkovita rekuperatorska jedinica.</t>
  </si>
  <si>
    <t>Podstropni rekuperatori zraka.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</si>
</sst>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7" formatCode="#,##0.00\ &quot;kn&quot;;\-#,##0.00\ &quot;kn&quot;"/>
    <numFmt numFmtId="44" formatCode="_-* #,##0.00\ &quot;kn&quot;_-;\-* #,##0.00\ &quot;kn&quot;_-;_-* &quot;-&quot;??\ &quot;kn&quot;_-;_-@_-"/>
    <numFmt numFmtId="43" formatCode="_-* #,##0.00_-;\-* #,##0.00_-;_-* &quot;-&quot;??_-;_-@_-"/>
    <numFmt numFmtId="164" formatCode="_-* #,##0.00\ _k_n_-;\-* #,##0.00\ _k_n_-;_-* &quot;-&quot;??\ _k_n_-;_-@_-"/>
    <numFmt numFmtId="165" formatCode="#,##0.00_ ;[Red]\-#,##0.00\ "/>
    <numFmt numFmtId="166" formatCode="###,##0.00"/>
    <numFmt numFmtId="167" formatCode="#,##0_ ;[Red]\-#,##0\ "/>
    <numFmt numFmtId="168" formatCode="0.0"/>
    <numFmt numFmtId="169" formatCode="#,##0.00\ &quot;kn&quot;"/>
    <numFmt numFmtId="170" formatCode="_(* #,##0.00_);_(* \(#,##0.00\);_(* &quot;-&quot;??_);_(@_)"/>
    <numFmt numFmtId="171" formatCode="_-* #,##0.00\ _k_n_-;\-* #,##0.00\ _k_n_-;_-* \-??\ _k_n_-;_-@_-"/>
    <numFmt numFmtId="172" formatCode="General_)"/>
    <numFmt numFmtId="173" formatCode="_-* #.##0.00\ _k_n_-;\-* #.##0.00\ _k_n_-;_-* &quot;-&quot;??\ _k_n_-;_-@_-"/>
    <numFmt numFmtId="174" formatCode="#,##0.00_ ;\-#,##0.00\ "/>
    <numFmt numFmtId="175" formatCode="_-* #,##0.00\ [$EUR]_-;\-* #,##0.00\ [$EUR]_-;_-* &quot;-&quot;??\ [$EUR]_-;_-@_-"/>
    <numFmt numFmtId="176" formatCode="_-* #,##0.00\ [$€-1]_-;\-* #,##0.00\ [$€-1]_-;_-* &quot;-&quot;??\ [$€-1]_-;_-@_-"/>
    <numFmt numFmtId="177" formatCode="_-&quot;kn&quot;\ * #,##0.00_-;\-&quot;kn&quot;\ * #,##0.00_-;_-&quot;kn&quot;\ * &quot;-&quot;??_-;_-@_-"/>
    <numFmt numFmtId="178" formatCode="0.00_)"/>
    <numFmt numFmtId="179" formatCode="#,##0.00\ [$EUR]"/>
    <numFmt numFmtId="180" formatCode="#,##0.00\ &quot;€&quot;"/>
    <numFmt numFmtId="181" formatCode="_-&quot;kn &quot;* #,##0.00_-;&quot;-kn &quot;* #,##0.00_-;_-&quot;kn &quot;* \-??_-;_-@_-"/>
  </numFmts>
  <fonts count="174">
    <font>
      <sz val="10"/>
      <name val="Arial"/>
      <charset val="238"/>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0"/>
      <name val="Arial CE"/>
      <family val="2"/>
      <charset val="238"/>
    </font>
    <font>
      <sz val="10"/>
      <name val="Arial"/>
      <family val="2"/>
      <charset val="238"/>
    </font>
    <font>
      <sz val="10"/>
      <name val="Helv"/>
    </font>
    <font>
      <sz val="10"/>
      <name val="Comic Sans MS"/>
      <family val="4"/>
    </font>
    <font>
      <sz val="9"/>
      <name val="Arial"/>
      <family val="2"/>
      <charset val="238"/>
    </font>
    <font>
      <b/>
      <sz val="12"/>
      <name val="Arial"/>
      <family val="2"/>
    </font>
    <font>
      <sz val="8"/>
      <name val="Calibri"/>
      <family val="2"/>
      <charset val="238"/>
    </font>
    <font>
      <sz val="12"/>
      <name val="Arial"/>
      <family val="2"/>
      <charset val="238"/>
    </font>
    <font>
      <sz val="10"/>
      <name val="Calibri"/>
      <family val="2"/>
      <charset val="238"/>
    </font>
    <font>
      <b/>
      <sz val="16"/>
      <name val="ISOCPEUR"/>
      <family val="2"/>
      <charset val="238"/>
    </font>
    <font>
      <i/>
      <sz val="10"/>
      <name val="Times New Roman CE"/>
      <family val="1"/>
      <charset val="238"/>
    </font>
    <font>
      <sz val="10"/>
      <name val="Univers Condensed (PCL6)"/>
      <family val="2"/>
    </font>
    <font>
      <sz val="10"/>
      <name val="Arial CE"/>
      <family val="2"/>
    </font>
    <font>
      <b/>
      <sz val="10"/>
      <name val="Arial Black"/>
      <family val="2"/>
      <charset val="238"/>
    </font>
    <font>
      <b/>
      <sz val="14"/>
      <name val="Arial Black"/>
      <family val="2"/>
      <charset val="238"/>
    </font>
    <font>
      <sz val="9"/>
      <name val="Arial CE"/>
      <family val="2"/>
      <charset val="238"/>
    </font>
    <font>
      <b/>
      <sz val="10"/>
      <name val="Arial CE"/>
      <family val="2"/>
      <charset val="238"/>
    </font>
    <font>
      <sz val="11"/>
      <name val="Arial Black"/>
      <family val="2"/>
      <charset val="238"/>
    </font>
    <font>
      <b/>
      <sz val="9"/>
      <name val="Arial CE"/>
      <charset val="238"/>
    </font>
    <font>
      <sz val="9"/>
      <name val="Arial CE"/>
      <charset val="238"/>
    </font>
    <font>
      <b/>
      <sz val="9"/>
      <name val="Arial CE"/>
      <family val="2"/>
      <charset val="238"/>
    </font>
    <font>
      <i/>
      <sz val="9"/>
      <name val="Arial CE"/>
      <family val="2"/>
      <charset val="238"/>
    </font>
    <font>
      <sz val="10"/>
      <name val="Arial Black"/>
      <family val="2"/>
      <charset val="238"/>
    </font>
    <font>
      <vertAlign val="superscript"/>
      <sz val="9"/>
      <name val="Arial CE"/>
      <family val="2"/>
      <charset val="238"/>
    </font>
    <font>
      <vertAlign val="superscript"/>
      <sz val="9"/>
      <name val="Arial CE"/>
      <charset val="238"/>
    </font>
    <font>
      <sz val="10"/>
      <name val="Tahoma"/>
      <family val="2"/>
      <charset val="238"/>
    </font>
    <font>
      <sz val="10"/>
      <name val="Arial Black"/>
      <family val="2"/>
    </font>
    <font>
      <b/>
      <sz val="10"/>
      <name val="Arial"/>
      <family val="2"/>
    </font>
    <font>
      <b/>
      <sz val="8"/>
      <name val="Arial"/>
      <family val="2"/>
    </font>
    <font>
      <b/>
      <vertAlign val="superscript"/>
      <sz val="10"/>
      <name val="Arial"/>
      <family val="2"/>
    </font>
    <font>
      <sz val="10"/>
      <name val="Arial"/>
      <family val="2"/>
    </font>
    <font>
      <sz val="10"/>
      <name val="Arial CE"/>
      <charset val="238"/>
    </font>
    <font>
      <sz val="10"/>
      <color indexed="8"/>
      <name val="Calibri"/>
      <family val="2"/>
      <charset val="238"/>
    </font>
    <font>
      <b/>
      <sz val="10"/>
      <color indexed="12"/>
      <name val="Calibri"/>
      <family val="2"/>
      <charset val="238"/>
    </font>
    <font>
      <u/>
      <sz val="10"/>
      <color indexed="8"/>
      <name val="Calibri"/>
      <family val="2"/>
      <charset val="238"/>
    </font>
    <font>
      <sz val="10"/>
      <color indexed="12"/>
      <name val="Calibri"/>
      <family val="2"/>
      <charset val="238"/>
    </font>
    <font>
      <i/>
      <sz val="10"/>
      <name val="Calibri"/>
      <family val="2"/>
      <charset val="238"/>
    </font>
    <font>
      <b/>
      <i/>
      <sz val="10"/>
      <name val="Calibri"/>
      <family val="2"/>
      <charset val="238"/>
    </font>
    <font>
      <i/>
      <sz val="10"/>
      <color indexed="10"/>
      <name val="Calibri"/>
      <family val="2"/>
      <charset val="238"/>
    </font>
    <font>
      <b/>
      <sz val="10"/>
      <name val="Arial"/>
      <family val="2"/>
      <charset val="238"/>
    </font>
    <font>
      <b/>
      <sz val="9"/>
      <name val="Arial"/>
      <family val="2"/>
      <charset val="238"/>
    </font>
    <font>
      <sz val="9"/>
      <name val="Arial"/>
      <family val="2"/>
    </font>
    <font>
      <sz val="10"/>
      <color indexed="8"/>
      <name val="Calibri"/>
      <family val="2"/>
    </font>
    <font>
      <sz val="10"/>
      <name val="Calibri"/>
      <family val="2"/>
    </font>
    <font>
      <b/>
      <sz val="10"/>
      <color indexed="12"/>
      <name val="Arial Black"/>
      <family val="2"/>
      <charset val="238"/>
    </font>
    <font>
      <sz val="10"/>
      <color indexed="12"/>
      <name val="Helv"/>
    </font>
    <font>
      <i/>
      <sz val="10"/>
      <color indexed="12"/>
      <name val="Times New Roman CE"/>
      <family val="1"/>
      <charset val="238"/>
    </font>
    <font>
      <sz val="10"/>
      <color indexed="12"/>
      <name val="Arial CE"/>
      <family val="2"/>
      <charset val="238"/>
    </font>
    <font>
      <sz val="10"/>
      <color indexed="12"/>
      <name val="Univers Condensed (PCL6)"/>
      <family val="2"/>
    </font>
    <font>
      <sz val="10"/>
      <color indexed="12"/>
      <name val="Arial CE"/>
      <family val="2"/>
    </font>
    <font>
      <u/>
      <sz val="9"/>
      <name val="Arial CE"/>
      <family val="2"/>
      <charset val="238"/>
    </font>
    <font>
      <sz val="9"/>
      <color indexed="23"/>
      <name val="Arial"/>
      <family val="2"/>
    </font>
    <font>
      <b/>
      <sz val="9"/>
      <color indexed="10"/>
      <name val="Arial CE"/>
      <family val="2"/>
      <charset val="238"/>
    </font>
    <font>
      <sz val="10"/>
      <name val="Arial CE"/>
    </font>
    <font>
      <sz val="9"/>
      <color indexed="12"/>
      <name val="Arial CE"/>
      <family val="2"/>
      <charset val="238"/>
    </font>
    <font>
      <sz val="9"/>
      <color indexed="10"/>
      <name val="Arial CE"/>
      <family val="2"/>
      <charset val="238"/>
    </font>
    <font>
      <i/>
      <sz val="9"/>
      <color indexed="10"/>
      <name val="Arial CE"/>
      <family val="2"/>
      <charset val="238"/>
    </font>
    <font>
      <i/>
      <sz val="9"/>
      <name val="Arial CE"/>
      <charset val="238"/>
    </font>
    <font>
      <sz val="9"/>
      <name val="Helv"/>
    </font>
    <font>
      <b/>
      <sz val="9"/>
      <name val="Arial CE"/>
    </font>
    <font>
      <b/>
      <sz val="10"/>
      <name val="Calibri"/>
      <family val="2"/>
    </font>
    <font>
      <b/>
      <sz val="10"/>
      <color indexed="8"/>
      <name val="Calibri"/>
      <family val="2"/>
    </font>
    <font>
      <sz val="10"/>
      <color indexed="8"/>
      <name val="Arial"/>
      <family val="2"/>
    </font>
    <font>
      <b/>
      <sz val="10"/>
      <color indexed="12"/>
      <name val="Calibri"/>
      <family val="2"/>
    </font>
    <font>
      <sz val="9"/>
      <name val="Calibri"/>
      <family val="2"/>
    </font>
    <font>
      <sz val="10"/>
      <name val="Arial"/>
      <family val="2"/>
    </font>
    <font>
      <sz val="10"/>
      <color indexed="63"/>
      <name val="Arial"/>
      <family val="2"/>
      <charset val="238"/>
    </font>
    <font>
      <b/>
      <sz val="8.5"/>
      <color indexed="8"/>
      <name val="Calibri"/>
      <family val="2"/>
    </font>
    <font>
      <vertAlign val="superscript"/>
      <sz val="9"/>
      <name val="Tahoma"/>
      <family val="2"/>
      <charset val="238"/>
    </font>
    <font>
      <sz val="9"/>
      <name val="Tahoma"/>
      <family val="2"/>
      <charset val="238"/>
    </font>
    <font>
      <sz val="10"/>
      <color indexed="15"/>
      <name val="Arial"/>
      <family val="2"/>
      <charset val="238"/>
    </font>
    <font>
      <i/>
      <sz val="10"/>
      <name val="Calibri"/>
      <family val="2"/>
    </font>
    <font>
      <b/>
      <sz val="10"/>
      <name val="Calibri"/>
      <family val="2"/>
      <charset val="238"/>
    </font>
    <font>
      <sz val="10"/>
      <name val="Calibri"/>
      <family val="2"/>
      <charset val="238"/>
      <scheme val="minor"/>
    </font>
    <font>
      <b/>
      <sz val="10"/>
      <name val="Calibri"/>
      <family val="2"/>
      <charset val="238"/>
      <scheme val="minor"/>
    </font>
    <font>
      <b/>
      <sz val="12"/>
      <name val="Calibri"/>
      <family val="2"/>
      <charset val="238"/>
      <scheme val="minor"/>
    </font>
    <font>
      <b/>
      <sz val="18"/>
      <name val="Calibri"/>
      <family val="2"/>
      <charset val="238"/>
      <scheme val="minor"/>
    </font>
    <font>
      <sz val="12"/>
      <name val="Calibri"/>
      <family val="2"/>
      <charset val="238"/>
      <scheme val="minor"/>
    </font>
    <font>
      <b/>
      <sz val="11"/>
      <name val="Calibri"/>
      <family val="2"/>
      <charset val="238"/>
      <scheme val="minor"/>
    </font>
    <font>
      <sz val="11"/>
      <name val="Calibri"/>
      <family val="2"/>
      <charset val="238"/>
      <scheme val="minor"/>
    </font>
    <font>
      <b/>
      <sz val="9"/>
      <name val="Calibri"/>
      <family val="2"/>
      <charset val="238"/>
      <scheme val="minor"/>
    </font>
    <font>
      <b/>
      <sz val="16"/>
      <name val="Calibri"/>
      <family val="2"/>
      <charset val="238"/>
      <scheme val="minor"/>
    </font>
    <font>
      <sz val="8"/>
      <name val="Calibri"/>
      <family val="2"/>
      <charset val="238"/>
      <scheme val="minor"/>
    </font>
    <font>
      <b/>
      <sz val="10"/>
      <color indexed="63"/>
      <name val="Calibri"/>
      <family val="2"/>
      <charset val="238"/>
      <scheme val="minor"/>
    </font>
    <font>
      <b/>
      <sz val="10"/>
      <color indexed="12"/>
      <name val="Calibri"/>
      <family val="2"/>
      <charset val="238"/>
      <scheme val="minor"/>
    </font>
    <font>
      <sz val="10"/>
      <color indexed="63"/>
      <name val="Calibri"/>
      <family val="2"/>
      <charset val="238"/>
      <scheme val="minor"/>
    </font>
    <font>
      <sz val="10"/>
      <color indexed="12"/>
      <name val="Calibri"/>
      <family val="2"/>
      <charset val="238"/>
      <scheme val="minor"/>
    </font>
    <font>
      <b/>
      <sz val="10"/>
      <color indexed="8"/>
      <name val="Calibri"/>
      <family val="2"/>
      <charset val="238"/>
      <scheme val="minor"/>
    </font>
    <font>
      <sz val="10"/>
      <color indexed="8"/>
      <name val="Calibri"/>
      <family val="2"/>
      <charset val="238"/>
      <scheme val="minor"/>
    </font>
    <font>
      <sz val="9"/>
      <name val="Calibri"/>
      <family val="2"/>
      <charset val="238"/>
      <scheme val="minor"/>
    </font>
    <font>
      <b/>
      <sz val="14"/>
      <name val="Calibri"/>
      <family val="2"/>
      <charset val="238"/>
      <scheme val="minor"/>
    </font>
    <font>
      <sz val="14"/>
      <name val="Calibri"/>
      <family val="2"/>
      <charset val="238"/>
      <scheme val="minor"/>
    </font>
    <font>
      <b/>
      <i/>
      <sz val="10"/>
      <name val="Calibri"/>
      <family val="2"/>
      <charset val="238"/>
      <scheme val="minor"/>
    </font>
    <font>
      <i/>
      <sz val="10"/>
      <name val="Calibri"/>
      <family val="2"/>
      <charset val="238"/>
      <scheme val="minor"/>
    </font>
    <font>
      <sz val="10"/>
      <color indexed="9"/>
      <name val="Calibri"/>
      <family val="2"/>
      <charset val="238"/>
      <scheme val="minor"/>
    </font>
    <font>
      <i/>
      <sz val="10"/>
      <color indexed="12"/>
      <name val="Calibri"/>
      <family val="2"/>
      <charset val="238"/>
      <scheme val="minor"/>
    </font>
    <font>
      <b/>
      <sz val="10"/>
      <name val="Calibri"/>
      <family val="2"/>
      <scheme val="minor"/>
    </font>
    <font>
      <b/>
      <sz val="12"/>
      <name val="Calibri"/>
      <family val="2"/>
      <scheme val="minor"/>
    </font>
    <font>
      <b/>
      <sz val="10"/>
      <color indexed="8"/>
      <name val="Calibri"/>
      <family val="2"/>
      <scheme val="minor"/>
    </font>
    <font>
      <b/>
      <sz val="11"/>
      <name val="Calibri"/>
      <family val="2"/>
      <scheme val="minor"/>
    </font>
    <font>
      <sz val="10"/>
      <name val="Calibri"/>
      <family val="2"/>
      <scheme val="minor"/>
    </font>
    <font>
      <b/>
      <sz val="9"/>
      <name val="Calibri"/>
      <family val="2"/>
      <scheme val="minor"/>
    </font>
    <font>
      <b/>
      <sz val="10"/>
      <color indexed="12"/>
      <name val="Calibri"/>
      <family val="2"/>
      <scheme val="minor"/>
    </font>
    <font>
      <sz val="9"/>
      <name val="Calibri"/>
      <family val="2"/>
      <scheme val="minor"/>
    </font>
    <font>
      <sz val="10"/>
      <color indexed="8"/>
      <name val="Calibri"/>
      <family val="2"/>
      <scheme val="minor"/>
    </font>
    <font>
      <sz val="10"/>
      <color theme="1"/>
      <name val="Calibri"/>
      <family val="2"/>
      <scheme val="minor"/>
    </font>
    <font>
      <sz val="10"/>
      <color rgb="FFFF0000"/>
      <name val="Calibri"/>
      <family val="2"/>
      <charset val="238"/>
      <scheme val="minor"/>
    </font>
    <font>
      <sz val="10"/>
      <color indexed="12"/>
      <name val="Calibri"/>
      <family val="2"/>
      <scheme val="minor"/>
    </font>
    <font>
      <sz val="10"/>
      <color theme="4"/>
      <name val="Calibri"/>
      <family val="2"/>
      <charset val="238"/>
      <scheme val="minor"/>
    </font>
    <font>
      <sz val="8"/>
      <name val="Calibri"/>
      <family val="2"/>
      <scheme val="minor"/>
    </font>
    <font>
      <b/>
      <sz val="14"/>
      <name val="Calibri"/>
      <family val="2"/>
      <scheme val="minor"/>
    </font>
    <font>
      <b/>
      <i/>
      <sz val="10"/>
      <name val="Calibri"/>
      <family val="2"/>
      <scheme val="minor"/>
    </font>
    <font>
      <sz val="12"/>
      <name val="Arial"/>
      <family val="2"/>
    </font>
    <font>
      <sz val="10"/>
      <name val="MS Sans Serif"/>
      <family val="2"/>
      <charset val="238"/>
    </font>
    <font>
      <sz val="11"/>
      <color theme="1"/>
      <name val="Calibri"/>
      <family val="2"/>
      <scheme val="minor"/>
    </font>
    <font>
      <b/>
      <vertAlign val="superscript"/>
      <sz val="10"/>
      <name val="Calibri"/>
      <family val="2"/>
      <scheme val="minor"/>
    </font>
    <font>
      <i/>
      <sz val="10"/>
      <name val="Calibri"/>
      <family val="2"/>
      <scheme val="minor"/>
    </font>
    <font>
      <vertAlign val="superscript"/>
      <sz val="10"/>
      <name val="Calibri"/>
      <family val="2"/>
      <scheme val="minor"/>
    </font>
    <font>
      <sz val="11"/>
      <color indexed="8"/>
      <name val="Calibri"/>
      <family val="2"/>
      <charset val="238"/>
    </font>
    <font>
      <sz val="10"/>
      <name val="Mangal"/>
      <family val="2"/>
      <charset val="238"/>
    </font>
    <font>
      <sz val="10"/>
      <name val="Times New Roman CE"/>
      <family val="1"/>
      <charset val="238"/>
    </font>
    <font>
      <sz val="12"/>
      <name val="Times New Roman CE"/>
      <family val="1"/>
      <charset val="238"/>
    </font>
    <font>
      <sz val="10"/>
      <color theme="1"/>
      <name val="Myriad Pro"/>
      <family val="2"/>
      <charset val="238"/>
    </font>
    <font>
      <sz val="10"/>
      <color indexed="8"/>
      <name val="Myriad Pro"/>
      <family val="2"/>
      <charset val="238"/>
    </font>
    <font>
      <sz val="11"/>
      <name val="Calibri"/>
      <family val="2"/>
      <scheme val="minor"/>
    </font>
    <font>
      <sz val="10"/>
      <color theme="0"/>
      <name val="Calibri"/>
      <family val="2"/>
      <charset val="238"/>
      <scheme val="minor"/>
    </font>
    <font>
      <b/>
      <sz val="10"/>
      <color indexed="8"/>
      <name val="Calibri"/>
      <family val="2"/>
      <charset val="238"/>
    </font>
    <font>
      <sz val="10"/>
      <name val="Arial Narrow"/>
      <family val="2"/>
    </font>
    <font>
      <vertAlign val="subscript"/>
      <sz val="10"/>
      <name val="Calibri"/>
      <family val="2"/>
      <charset val="238"/>
      <scheme val="minor"/>
    </font>
    <font>
      <vertAlign val="superscript"/>
      <sz val="10"/>
      <name val="Calibri"/>
      <family val="2"/>
      <charset val="238"/>
      <scheme val="minor"/>
    </font>
    <font>
      <sz val="12"/>
      <name val="Courier"/>
      <family val="1"/>
      <charset val="238"/>
    </font>
    <font>
      <sz val="11"/>
      <color rgb="FF000000"/>
      <name val="Calibri"/>
      <family val="2"/>
    </font>
    <font>
      <sz val="11"/>
      <name val="Arial"/>
      <family val="2"/>
      <charset val="238"/>
    </font>
    <font>
      <sz val="10"/>
      <color indexed="8"/>
      <name val="MS Sans Serif"/>
      <family val="2"/>
      <charset val="238"/>
    </font>
    <font>
      <b/>
      <sz val="10"/>
      <color indexed="8"/>
      <name val="Arial"/>
      <family val="2"/>
      <charset val="238"/>
    </font>
    <font>
      <sz val="12"/>
      <name val="Arial CE"/>
      <charset val="238"/>
    </font>
    <font>
      <sz val="10"/>
      <color indexed="9"/>
      <name val="Arial"/>
      <family val="2"/>
      <charset val="238"/>
    </font>
    <font>
      <sz val="10"/>
      <color indexed="16"/>
      <name val="Arial"/>
      <family val="2"/>
      <charset val="238"/>
    </font>
    <font>
      <b/>
      <sz val="10"/>
      <color indexed="9"/>
      <name val="Arial"/>
      <family val="2"/>
      <charset val="238"/>
    </font>
    <font>
      <i/>
      <sz val="10"/>
      <color indexed="23"/>
      <name val="Arial"/>
      <family val="2"/>
      <charset val="238"/>
    </font>
    <font>
      <sz val="10"/>
      <color indexed="58"/>
      <name val="Arial"/>
      <family val="2"/>
      <charset val="238"/>
    </font>
    <font>
      <b/>
      <sz val="24"/>
      <color indexed="8"/>
      <name val="Arial"/>
      <family val="2"/>
      <charset val="238"/>
    </font>
    <font>
      <sz val="18"/>
      <color indexed="8"/>
      <name val="Arial"/>
      <family val="2"/>
      <charset val="238"/>
    </font>
    <font>
      <sz val="12"/>
      <color indexed="8"/>
      <name val="Arial"/>
      <family val="2"/>
      <charset val="238"/>
    </font>
    <font>
      <sz val="11"/>
      <color indexed="9"/>
      <name val="Calibri"/>
      <family val="2"/>
      <charset val="238"/>
    </font>
    <font>
      <sz val="10"/>
      <color indexed="19"/>
      <name val="Arial"/>
      <family val="2"/>
      <charset val="238"/>
    </font>
    <font>
      <sz val="12"/>
      <name val="Times"/>
      <family val="1"/>
      <charset val="238"/>
    </font>
    <font>
      <sz val="11"/>
      <color indexed="18"/>
      <name val="Arial"/>
      <family val="2"/>
      <charset val="238"/>
    </font>
    <font>
      <b/>
      <sz val="11"/>
      <name val="Arial"/>
      <family val="2"/>
      <charset val="238"/>
    </font>
    <font>
      <sz val="11"/>
      <color indexed="62"/>
      <name val="Calibri"/>
      <family val="2"/>
      <charset val="238"/>
    </font>
    <font>
      <b/>
      <u/>
      <sz val="11"/>
      <name val="Calibri"/>
      <family val="2"/>
      <charset val="238"/>
      <scheme val="minor"/>
    </font>
    <font>
      <b/>
      <u/>
      <sz val="10"/>
      <name val="Calibri"/>
      <family val="2"/>
      <charset val="238"/>
      <scheme val="minor"/>
    </font>
    <font>
      <u/>
      <sz val="10"/>
      <name val="Calibri"/>
      <family val="2"/>
      <charset val="238"/>
      <scheme val="minor"/>
    </font>
    <font>
      <vertAlign val="subscript"/>
      <sz val="8"/>
      <name val="Calibri"/>
      <family val="2"/>
      <charset val="238"/>
      <scheme val="minor"/>
    </font>
    <font>
      <vertAlign val="subscript"/>
      <sz val="11"/>
      <name val="Calibri"/>
      <family val="2"/>
      <charset val="238"/>
      <scheme val="minor"/>
    </font>
    <font>
      <b/>
      <sz val="10"/>
      <color rgb="FFFF0000"/>
      <name val="Calibri"/>
      <family val="2"/>
      <charset val="238"/>
    </font>
    <font>
      <sz val="10"/>
      <color rgb="FFFF0000"/>
      <name val="Calibri"/>
      <family val="2"/>
      <charset val="238"/>
    </font>
    <font>
      <sz val="8"/>
      <color indexed="8"/>
      <name val="Calibri"/>
      <family val="2"/>
      <charset val="238"/>
    </font>
    <font>
      <sz val="10"/>
      <color rgb="FF00B050"/>
      <name val="Calibri"/>
      <family val="2"/>
      <charset val="238"/>
      <scheme val="minor"/>
    </font>
    <font>
      <sz val="8"/>
      <name val="Arial"/>
      <charset val="238"/>
    </font>
    <font>
      <sz val="14"/>
      <name val="Calibri"/>
      <family val="2"/>
      <scheme val="minor"/>
    </font>
    <font>
      <vertAlign val="subscript"/>
      <sz val="10"/>
      <name val="Calibri"/>
      <family val="2"/>
      <scheme val="minor"/>
    </font>
    <font>
      <i/>
      <u/>
      <sz val="10"/>
      <name val="Calibri"/>
      <family val="2"/>
      <scheme val="minor"/>
    </font>
    <font>
      <sz val="10"/>
      <color rgb="FF92D050"/>
      <name val="Calibri"/>
      <family val="2"/>
      <charset val="238"/>
      <scheme val="minor"/>
    </font>
    <font>
      <b/>
      <sz val="10"/>
      <color rgb="FFFF0000"/>
      <name val="Calibri"/>
      <family val="2"/>
      <charset val="238"/>
      <scheme val="minor"/>
    </font>
    <font>
      <sz val="10"/>
      <color rgb="FFFF0000"/>
      <name val="Calibri"/>
      <family val="2"/>
      <scheme val="minor"/>
    </font>
    <font>
      <sz val="10"/>
      <color rgb="FF00B050"/>
      <name val="Calibri"/>
      <family val="2"/>
      <scheme val="minor"/>
    </font>
    <font>
      <sz val="10"/>
      <color rgb="FF0070C0"/>
      <name val="Calibri"/>
      <family val="2"/>
      <scheme val="minor"/>
    </font>
  </fonts>
  <fills count="19">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rgb="FFFF0000"/>
        <bgColor indexed="64"/>
      </patternFill>
    </fill>
    <fill>
      <patternFill patternType="solid">
        <fgColor indexed="44"/>
      </patternFill>
    </fill>
    <fill>
      <patternFill patternType="solid">
        <fgColor rgb="FFFFC000"/>
        <bgColor indexed="64"/>
      </patternFill>
    </fill>
    <fill>
      <patternFill patternType="solid">
        <fgColor indexed="31"/>
        <bgColor indexed="41"/>
      </patternFill>
    </fill>
    <fill>
      <patternFill patternType="solid">
        <fgColor indexed="46"/>
        <bgColor indexed="45"/>
      </patternFill>
    </fill>
    <fill>
      <patternFill patternType="solid">
        <fgColor indexed="27"/>
        <bgColor indexed="42"/>
      </patternFill>
    </fill>
    <fill>
      <patternFill patternType="solid">
        <fgColor indexed="47"/>
        <bgColor indexed="24"/>
      </patternFill>
    </fill>
    <fill>
      <patternFill patternType="solid">
        <fgColor indexed="8"/>
        <bgColor indexed="18"/>
      </patternFill>
    </fill>
    <fill>
      <patternFill patternType="solid">
        <fgColor indexed="23"/>
        <bgColor indexed="55"/>
      </patternFill>
    </fill>
    <fill>
      <patternFill patternType="solid">
        <fgColor indexed="41"/>
        <bgColor indexed="31"/>
      </patternFill>
    </fill>
    <fill>
      <patternFill patternType="solid">
        <fgColor indexed="24"/>
        <bgColor indexed="47"/>
      </patternFill>
    </fill>
    <fill>
      <patternFill patternType="solid">
        <fgColor indexed="26"/>
        <bgColor indexed="9"/>
      </patternFill>
    </fill>
    <fill>
      <patternFill patternType="solid">
        <fgColor indexed="16"/>
        <bgColor indexed="10"/>
      </patternFill>
    </fill>
    <fill>
      <patternFill patternType="solid">
        <fgColor indexed="42"/>
        <bgColor indexed="27"/>
      </patternFill>
    </fill>
    <fill>
      <patternFill patternType="solid">
        <fgColor indexed="10"/>
        <bgColor indexed="16"/>
      </patternFill>
    </fill>
  </fills>
  <borders count="14">
    <border>
      <left/>
      <right/>
      <top/>
      <bottom/>
      <diagonal/>
    </border>
    <border>
      <left/>
      <right/>
      <top/>
      <bottom style="thin">
        <color indexed="64"/>
      </bottom>
      <diagonal/>
    </border>
    <border>
      <left/>
      <right/>
      <top style="thin">
        <color indexed="64"/>
      </top>
      <bottom/>
      <diagonal/>
    </border>
    <border>
      <left style="hair">
        <color indexed="64"/>
      </left>
      <right style="hair">
        <color indexed="64"/>
      </right>
      <top style="hair">
        <color indexed="64"/>
      </top>
      <bottom style="hair">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s>
  <cellStyleXfs count="179">
    <xf numFmtId="0" fontId="0" fillId="0" borderId="0"/>
    <xf numFmtId="0" fontId="36" fillId="0" borderId="0"/>
    <xf numFmtId="0" fontId="13" fillId="0" borderId="0"/>
    <xf numFmtId="0" fontId="7" fillId="0" borderId="0"/>
    <xf numFmtId="0" fontId="36" fillId="0" borderId="0"/>
    <xf numFmtId="0" fontId="6" fillId="0" borderId="0"/>
    <xf numFmtId="0" fontId="7" fillId="0" borderId="0"/>
    <xf numFmtId="0" fontId="36" fillId="0" borderId="0"/>
    <xf numFmtId="0" fontId="7" fillId="0" borderId="0"/>
    <xf numFmtId="0" fontId="37" fillId="0" borderId="0"/>
    <xf numFmtId="4" fontId="36" fillId="0" borderId="0"/>
    <xf numFmtId="0" fontId="7" fillId="0" borderId="0"/>
    <xf numFmtId="0" fontId="36" fillId="0" borderId="0"/>
    <xf numFmtId="0" fontId="7" fillId="0" borderId="0"/>
    <xf numFmtId="0" fontId="36" fillId="0" borderId="0" applyNumberFormat="0"/>
    <xf numFmtId="0" fontId="7" fillId="0" borderId="0"/>
    <xf numFmtId="0" fontId="8" fillId="0" borderId="0"/>
    <xf numFmtId="0" fontId="10" fillId="0" borderId="0">
      <alignment horizontal="justify" vertical="center" wrapText="1"/>
      <protection locked="0"/>
    </xf>
    <xf numFmtId="170" fontId="7" fillId="0" borderId="0" applyFont="0" applyFill="0" applyBorder="0" applyAlignment="0" applyProtection="0"/>
    <xf numFmtId="0" fontId="36" fillId="0" borderId="0"/>
    <xf numFmtId="44" fontId="7" fillId="0" borderId="0" applyFont="0" applyFill="0" applyBorder="0" applyAlignment="0" applyProtection="0"/>
    <xf numFmtId="0" fontId="7" fillId="0" borderId="0"/>
    <xf numFmtId="0" fontId="119" fillId="0" borderId="0"/>
    <xf numFmtId="0" fontId="120" fillId="0" borderId="0"/>
    <xf numFmtId="0" fontId="8" fillId="0" borderId="0"/>
    <xf numFmtId="0" fontId="7" fillId="0" borderId="0"/>
    <xf numFmtId="0" fontId="124" fillId="0" borderId="0"/>
    <xf numFmtId="0" fontId="36" fillId="0" borderId="0"/>
    <xf numFmtId="0" fontId="5" fillId="0" borderId="0"/>
    <xf numFmtId="164" fontId="7" fillId="0" borderId="0" applyFont="0" applyFill="0" applyBorder="0" applyAlignment="0" applyProtection="0"/>
    <xf numFmtId="171" fontId="125" fillId="0" borderId="0" applyFill="0" applyBorder="0" applyAlignment="0" applyProtection="0"/>
    <xf numFmtId="0" fontId="126" fillId="0" borderId="0">
      <alignment horizontal="right" vertical="top"/>
    </xf>
    <xf numFmtId="0" fontId="127" fillId="0" borderId="0">
      <alignment horizontal="justify" vertical="top" wrapText="1"/>
    </xf>
    <xf numFmtId="0" fontId="36" fillId="0" borderId="0"/>
    <xf numFmtId="0" fontId="7" fillId="0" borderId="0">
      <alignment horizontal="left" vertical="justify"/>
    </xf>
    <xf numFmtId="0" fontId="7" fillId="0" borderId="0">
      <alignment horizontal="left" vertical="justify"/>
    </xf>
    <xf numFmtId="0" fontId="7" fillId="0" borderId="0"/>
    <xf numFmtId="0" fontId="7" fillId="0" borderId="0"/>
    <xf numFmtId="0" fontId="7" fillId="0" borderId="0"/>
    <xf numFmtId="0" fontId="5" fillId="0" borderId="0"/>
    <xf numFmtId="0" fontId="8" fillId="0" borderId="0"/>
    <xf numFmtId="0" fontId="7" fillId="0" borderId="0"/>
    <xf numFmtId="0" fontId="7" fillId="0" borderId="0"/>
    <xf numFmtId="0" fontId="13" fillId="0" borderId="0"/>
    <xf numFmtId="0" fontId="7" fillId="0" borderId="0"/>
    <xf numFmtId="0" fontId="7" fillId="0" borderId="0"/>
    <xf numFmtId="164" fontId="7" fillId="0" borderId="0" applyFont="0" applyFill="0" applyBorder="0" applyAlignment="0" applyProtection="0"/>
    <xf numFmtId="0" fontId="7" fillId="0" borderId="0"/>
    <xf numFmtId="0" fontId="13" fillId="0" borderId="0"/>
    <xf numFmtId="0" fontId="7" fillId="0" borderId="0"/>
    <xf numFmtId="172" fontId="13" fillId="0" borderId="0">
      <alignment horizontal="justify" vertical="top" wrapText="1"/>
    </xf>
    <xf numFmtId="0" fontId="7" fillId="0" borderId="0"/>
    <xf numFmtId="0" fontId="7" fillId="0" borderId="0"/>
    <xf numFmtId="0" fontId="7" fillId="0" borderId="0"/>
    <xf numFmtId="0" fontId="124" fillId="5" borderId="0" applyNumberFormat="0" applyBorder="0" applyAlignment="0" applyProtection="0"/>
    <xf numFmtId="173" fontId="7" fillId="0" borderId="0" applyFont="0" applyFill="0" applyBorder="0" applyAlignment="0" applyProtection="0"/>
    <xf numFmtId="0" fontId="124" fillId="0" borderId="0"/>
    <xf numFmtId="0" fontId="7" fillId="0" borderId="0"/>
    <xf numFmtId="0" fontId="119" fillId="0" borderId="0"/>
    <xf numFmtId="0" fontId="7" fillId="0" borderId="0"/>
    <xf numFmtId="0" fontId="128" fillId="0" borderId="0"/>
    <xf numFmtId="0" fontId="129" fillId="0" borderId="0"/>
    <xf numFmtId="0" fontId="7" fillId="0" borderId="0"/>
    <xf numFmtId="0" fontId="7" fillId="0" borderId="0"/>
    <xf numFmtId="0" fontId="7" fillId="0" borderId="0"/>
    <xf numFmtId="0" fontId="7" fillId="0" borderId="0"/>
    <xf numFmtId="0" fontId="4" fillId="0" borderId="0"/>
    <xf numFmtId="0" fontId="7" fillId="0" borderId="0"/>
    <xf numFmtId="0" fontId="7" fillId="0" borderId="0"/>
    <xf numFmtId="0" fontId="13" fillId="0" borderId="0"/>
    <xf numFmtId="0" fontId="7" fillId="0" borderId="0"/>
    <xf numFmtId="0" fontId="7" fillId="0" borderId="0"/>
    <xf numFmtId="0" fontId="7" fillId="0" borderId="0"/>
    <xf numFmtId="0" fontId="4" fillId="0" borderId="0"/>
    <xf numFmtId="0" fontId="124" fillId="0" borderId="0"/>
    <xf numFmtId="0" fontId="124" fillId="0" borderId="0"/>
    <xf numFmtId="0" fontId="4" fillId="0" borderId="0"/>
    <xf numFmtId="0" fontId="7" fillId="0" borderId="0"/>
    <xf numFmtId="0" fontId="124" fillId="0" borderId="0"/>
    <xf numFmtId="0" fontId="128" fillId="0" borderId="0"/>
    <xf numFmtId="0" fontId="4" fillId="0" borderId="0"/>
    <xf numFmtId="0" fontId="13" fillId="0" borderId="0"/>
    <xf numFmtId="0" fontId="13" fillId="0" borderId="0"/>
    <xf numFmtId="0" fontId="7" fillId="0" borderId="0"/>
    <xf numFmtId="0" fontId="37" fillId="0" borderId="0"/>
    <xf numFmtId="0" fontId="36" fillId="0" borderId="0"/>
    <xf numFmtId="0" fontId="7" fillId="0" borderId="0"/>
    <xf numFmtId="0" fontId="7" fillId="0" borderId="0"/>
    <xf numFmtId="0" fontId="36" fillId="0" borderId="0"/>
    <xf numFmtId="0" fontId="3" fillId="0" borderId="0"/>
    <xf numFmtId="0" fontId="2" fillId="0" borderId="0"/>
    <xf numFmtId="177" fontId="7" fillId="0" borderId="0" applyFont="0" applyFill="0" applyBorder="0" applyAlignment="0" applyProtection="0"/>
    <xf numFmtId="177" fontId="7" fillId="0" borderId="0" applyFont="0" applyFill="0" applyBorder="0" applyAlignment="0" applyProtection="0"/>
    <xf numFmtId="177" fontId="7" fillId="0" borderId="0" applyFont="0" applyFill="0" applyBorder="0" applyAlignment="0" applyProtection="0"/>
    <xf numFmtId="0" fontId="7" fillId="0" borderId="0"/>
    <xf numFmtId="178" fontId="136" fillId="0" borderId="0"/>
    <xf numFmtId="0" fontId="120" fillId="0" borderId="0"/>
    <xf numFmtId="0" fontId="7" fillId="0" borderId="0"/>
    <xf numFmtId="0" fontId="13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38" fillId="0" borderId="0"/>
    <xf numFmtId="0" fontId="7" fillId="0" borderId="0"/>
    <xf numFmtId="0" fontId="2" fillId="0" borderId="0"/>
    <xf numFmtId="0" fontId="7" fillId="0" borderId="0"/>
    <xf numFmtId="0" fontId="36" fillId="0" borderId="0"/>
    <xf numFmtId="0" fontId="120" fillId="0" borderId="0"/>
    <xf numFmtId="0" fontId="119" fillId="0" borderId="0"/>
    <xf numFmtId="9" fontId="7" fillId="0" borderId="0" applyFont="0" applyFill="0" applyBorder="0" applyAlignment="0" applyProtection="0"/>
    <xf numFmtId="0" fontId="139" fillId="0" borderId="0"/>
    <xf numFmtId="181" fontId="7" fillId="0" borderId="0" applyFill="0" applyBorder="0" applyAlignment="0" applyProtection="0"/>
    <xf numFmtId="0" fontId="124" fillId="0" borderId="0"/>
    <xf numFmtId="0" fontId="141" fillId="0" borderId="0"/>
    <xf numFmtId="0" fontId="124" fillId="7" borderId="0" applyNumberFormat="0" applyBorder="0" applyAlignment="0" applyProtection="0"/>
    <xf numFmtId="0" fontId="124" fillId="8" borderId="0" applyNumberFormat="0" applyBorder="0" applyAlignment="0" applyProtection="0"/>
    <xf numFmtId="0" fontId="124" fillId="9" borderId="0" applyNumberFormat="0" applyBorder="0" applyAlignment="0" applyProtection="0"/>
    <xf numFmtId="0" fontId="124" fillId="10" borderId="0" applyNumberFormat="0" applyBorder="0" applyAlignment="0" applyProtection="0"/>
    <xf numFmtId="0" fontId="124" fillId="8" borderId="0" applyNumberFormat="0" applyBorder="0" applyAlignment="0" applyProtection="0"/>
    <xf numFmtId="0" fontId="140" fillId="0" borderId="0" applyNumberFormat="0" applyFill="0" applyBorder="0" applyAlignment="0" applyProtection="0"/>
    <xf numFmtId="0" fontId="142" fillId="11" borderId="0" applyNumberFormat="0" applyBorder="0" applyAlignment="0" applyProtection="0"/>
    <xf numFmtId="0" fontId="142" fillId="12" borderId="0" applyNumberFormat="0" applyBorder="0" applyAlignment="0" applyProtection="0"/>
    <xf numFmtId="0" fontId="140" fillId="13" borderId="0" applyNumberFormat="0" applyBorder="0" applyAlignment="0" applyProtection="0"/>
    <xf numFmtId="0" fontId="143" fillId="14" borderId="0" applyNumberFormat="0" applyBorder="0" applyAlignment="0" applyProtection="0"/>
    <xf numFmtId="0" fontId="7" fillId="15" borderId="12" applyNumberFormat="0" applyAlignment="0" applyProtection="0"/>
    <xf numFmtId="171" fontId="7" fillId="0" borderId="0" applyFill="0" applyBorder="0" applyAlignment="0" applyProtection="0"/>
    <xf numFmtId="0" fontId="144" fillId="16" borderId="0" applyNumberFormat="0" applyBorder="0" applyAlignment="0" applyProtection="0"/>
    <xf numFmtId="0" fontId="145" fillId="0" borderId="0" applyNumberFormat="0" applyFill="0" applyBorder="0" applyAlignment="0" applyProtection="0"/>
    <xf numFmtId="0" fontId="146" fillId="17" borderId="0" applyNumberFormat="0" applyBorder="0" applyAlignment="0" applyProtection="0"/>
    <xf numFmtId="0" fontId="147" fillId="0" borderId="0" applyNumberFormat="0" applyFill="0" applyBorder="0" applyAlignment="0" applyProtection="0"/>
    <xf numFmtId="0" fontId="148" fillId="0" borderId="0" applyNumberFormat="0" applyFill="0" applyBorder="0" applyAlignment="0" applyProtection="0"/>
    <xf numFmtId="0" fontId="149" fillId="0" borderId="0" applyNumberFormat="0" applyFill="0" applyBorder="0" applyAlignment="0" applyProtection="0"/>
    <xf numFmtId="0" fontId="150" fillId="18" borderId="0" applyNumberFormat="0" applyBorder="0" applyAlignment="0" applyProtection="0"/>
    <xf numFmtId="0" fontId="7" fillId="0" borderId="0">
      <alignment horizontal="justify" vertical="top" wrapText="1"/>
    </xf>
    <xf numFmtId="0" fontId="151" fillId="15" borderId="0" applyNumberFormat="0" applyBorder="0" applyAlignment="0" applyProtection="0"/>
    <xf numFmtId="0" fontId="7" fillId="0" borderId="0"/>
    <xf numFmtId="0" fontId="119" fillId="0" borderId="0"/>
    <xf numFmtId="0" fontId="7" fillId="0" borderId="0"/>
    <xf numFmtId="0" fontId="124" fillId="0" borderId="0"/>
    <xf numFmtId="0" fontId="7" fillId="0" borderId="0"/>
    <xf numFmtId="0" fontId="152" fillId="0" borderId="0"/>
    <xf numFmtId="0" fontId="124" fillId="0" borderId="0"/>
    <xf numFmtId="0" fontId="124" fillId="0" borderId="0"/>
    <xf numFmtId="0" fontId="7" fillId="0" borderId="0"/>
    <xf numFmtId="4" fontId="153" fillId="0" borderId="0">
      <alignment horizontal="justify" wrapText="1"/>
    </xf>
    <xf numFmtId="0" fontId="154" fillId="0" borderId="0"/>
    <xf numFmtId="0" fontId="119" fillId="0" borderId="0"/>
    <xf numFmtId="0" fontId="72" fillId="15" borderId="13" applyNumberFormat="0" applyAlignment="0" applyProtection="0"/>
    <xf numFmtId="0" fontId="7" fillId="0" borderId="0" applyAlignment="0"/>
    <xf numFmtId="0" fontId="7" fillId="0" borderId="0" applyNumberFormat="0" applyFill="0" applyBorder="0" applyAlignment="0" applyProtection="0"/>
    <xf numFmtId="0" fontId="7" fillId="0" borderId="0" applyNumberFormat="0" applyFill="0" applyBorder="0" applyAlignment="0" applyProtection="0"/>
    <xf numFmtId="0" fontId="155" fillId="10" borderId="13" applyNumberFormat="0" applyAlignment="0" applyProtection="0"/>
    <xf numFmtId="0" fontId="143" fillId="0" borderId="0" applyNumberForma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cellStyleXfs>
  <cellXfs count="950">
    <xf numFmtId="0" fontId="0" fillId="0" borderId="0" xfId="0"/>
    <xf numFmtId="0" fontId="6" fillId="0" borderId="0" xfId="11" applyFont="1"/>
    <xf numFmtId="0" fontId="0" fillId="0" borderId="0" xfId="0" applyAlignment="1">
      <alignment horizontal="right"/>
    </xf>
    <xf numFmtId="0" fontId="8" fillId="0" borderId="0" xfId="0" applyFont="1"/>
    <xf numFmtId="0" fontId="7" fillId="0" borderId="0" xfId="0" applyFont="1"/>
    <xf numFmtId="0" fontId="7" fillId="0" borderId="0" xfId="0" applyFont="1" applyAlignment="1">
      <alignment horizontal="right"/>
    </xf>
    <xf numFmtId="0" fontId="11" fillId="0" borderId="0" xfId="0" applyFont="1" applyAlignment="1">
      <alignment horizontal="center"/>
    </xf>
    <xf numFmtId="0" fontId="79" fillId="0" borderId="0" xfId="0" applyFont="1"/>
    <xf numFmtId="0" fontId="80" fillId="2" borderId="0" xfId="0" applyFont="1" applyFill="1" applyAlignment="1">
      <alignment vertical="center"/>
    </xf>
    <xf numFmtId="0" fontId="79" fillId="0" borderId="0" xfId="0" applyFont="1" applyAlignment="1">
      <alignment horizontal="right"/>
    </xf>
    <xf numFmtId="0" fontId="80" fillId="0" borderId="0" xfId="0" applyFont="1"/>
    <xf numFmtId="0" fontId="79" fillId="0" borderId="0" xfId="0" quotePrefix="1" applyFont="1"/>
    <xf numFmtId="0" fontId="81" fillId="0" borderId="0" xfId="0" applyFont="1" applyAlignment="1">
      <alignment horizontal="center"/>
    </xf>
    <xf numFmtId="0" fontId="80" fillId="0" borderId="1" xfId="0" applyFont="1" applyBorder="1"/>
    <xf numFmtId="0" fontId="79" fillId="0" borderId="0" xfId="0" applyFont="1" applyAlignment="1">
      <alignment horizontal="left"/>
    </xf>
    <xf numFmtId="0" fontId="80" fillId="2" borderId="0" xfId="0" applyFont="1" applyFill="1"/>
    <xf numFmtId="44" fontId="79" fillId="0" borderId="0" xfId="0" applyNumberFormat="1" applyFont="1"/>
    <xf numFmtId="44" fontId="80" fillId="0" borderId="1" xfId="0" applyNumberFormat="1" applyFont="1" applyBorder="1"/>
    <xf numFmtId="0" fontId="81" fillId="0" borderId="0" xfId="0" applyFont="1" applyAlignment="1">
      <alignment horizontal="right"/>
    </xf>
    <xf numFmtId="0" fontId="82" fillId="0" borderId="0" xfId="0" applyFont="1" applyAlignment="1">
      <alignment horizontal="center"/>
    </xf>
    <xf numFmtId="0" fontId="80" fillId="0" borderId="0" xfId="0" applyFont="1" applyAlignment="1">
      <alignment horizontal="center"/>
    </xf>
    <xf numFmtId="0" fontId="80" fillId="0" borderId="0" xfId="0" applyFont="1" applyAlignment="1">
      <alignment horizontal="left"/>
    </xf>
    <xf numFmtId="0" fontId="79" fillId="0" borderId="0" xfId="0" applyFont="1" applyAlignment="1">
      <alignment vertical="center"/>
    </xf>
    <xf numFmtId="0" fontId="80" fillId="2" borderId="2" xfId="0" applyFont="1" applyFill="1" applyBorder="1"/>
    <xf numFmtId="0" fontId="80" fillId="2" borderId="2" xfId="0" applyFont="1" applyFill="1" applyBorder="1" applyAlignment="1">
      <alignment vertical="center"/>
    </xf>
    <xf numFmtId="0" fontId="81" fillId="0" borderId="0" xfId="0" applyFont="1" applyAlignment="1">
      <alignment horizontal="left"/>
    </xf>
    <xf numFmtId="0" fontId="86" fillId="0" borderId="0" xfId="0" applyFont="1"/>
    <xf numFmtId="0" fontId="87" fillId="2" borderId="0" xfId="0" applyFont="1" applyFill="1" applyAlignment="1">
      <alignment vertical="center"/>
    </xf>
    <xf numFmtId="0" fontId="81" fillId="2" borderId="0" xfId="0" applyFont="1" applyFill="1" applyAlignment="1">
      <alignment horizontal="right" vertical="center"/>
    </xf>
    <xf numFmtId="0" fontId="81" fillId="2" borderId="2" xfId="0" applyFont="1" applyFill="1" applyBorder="1" applyAlignment="1">
      <alignment horizontal="right" vertical="center"/>
    </xf>
    <xf numFmtId="0" fontId="83" fillId="0" borderId="0" xfId="0" applyFont="1" applyAlignment="1">
      <alignment horizontal="right" vertical="center"/>
    </xf>
    <xf numFmtId="0" fontId="16" fillId="0" borderId="0" xfId="5" applyFont="1"/>
    <xf numFmtId="49" fontId="6" fillId="0" borderId="0" xfId="5" applyNumberFormat="1" applyAlignment="1">
      <alignment horizontal="right"/>
    </xf>
    <xf numFmtId="0" fontId="6" fillId="0" borderId="0" xfId="5" applyAlignment="1">
      <alignment horizontal="justify" wrapText="1"/>
    </xf>
    <xf numFmtId="0" fontId="6" fillId="0" borderId="0" xfId="5" applyAlignment="1">
      <alignment horizontal="center"/>
    </xf>
    <xf numFmtId="0" fontId="17" fillId="0" borderId="0" xfId="5" applyFont="1"/>
    <xf numFmtId="7" fontId="18" fillId="0" borderId="0" xfId="5" applyNumberFormat="1" applyFont="1" applyAlignment="1">
      <alignment horizontal="right"/>
    </xf>
    <xf numFmtId="0" fontId="16" fillId="0" borderId="0" xfId="0" applyFont="1"/>
    <xf numFmtId="49" fontId="6" fillId="0" borderId="0" xfId="0" applyNumberFormat="1" applyFont="1" applyAlignment="1">
      <alignment horizontal="right"/>
    </xf>
    <xf numFmtId="0" fontId="6" fillId="0" borderId="0" xfId="0" applyFont="1" applyAlignment="1">
      <alignment horizontal="justify" wrapText="1"/>
    </xf>
    <xf numFmtId="0" fontId="6" fillId="0" borderId="0" xfId="0" applyFont="1" applyAlignment="1">
      <alignment horizontal="center"/>
    </xf>
    <xf numFmtId="0" fontId="17" fillId="0" borderId="0" xfId="0" applyFont="1"/>
    <xf numFmtId="7" fontId="18" fillId="0" borderId="0" xfId="0" applyNumberFormat="1" applyFont="1" applyAlignment="1">
      <alignment horizontal="right"/>
    </xf>
    <xf numFmtId="0" fontId="19" fillId="0" borderId="1" xfId="0" applyFont="1" applyBorder="1" applyAlignment="1">
      <alignment horizontal="right"/>
    </xf>
    <xf numFmtId="0" fontId="20" fillId="0" borderId="1" xfId="0" applyFont="1" applyBorder="1"/>
    <xf numFmtId="0" fontId="19" fillId="0" borderId="1" xfId="0" applyFont="1" applyBorder="1"/>
    <xf numFmtId="0" fontId="8" fillId="0" borderId="1" xfId="0" applyFont="1" applyBorder="1"/>
    <xf numFmtId="0" fontId="21" fillId="0" borderId="0" xfId="11" applyFont="1"/>
    <xf numFmtId="0" fontId="21" fillId="0" borderId="0" xfId="11" applyFont="1" applyAlignment="1">
      <alignment horizontal="left"/>
    </xf>
    <xf numFmtId="0" fontId="21" fillId="0" borderId="0" xfId="11" applyFont="1" applyAlignment="1">
      <alignment horizontal="justify" vertical="justify" wrapText="1"/>
    </xf>
    <xf numFmtId="0" fontId="21" fillId="0" borderId="0" xfId="11" applyFont="1" applyAlignment="1">
      <alignment horizontal="right"/>
    </xf>
    <xf numFmtId="0" fontId="32" fillId="0" borderId="0" xfId="0" applyFont="1" applyAlignment="1">
      <alignment horizontal="left" indent="1"/>
    </xf>
    <xf numFmtId="0" fontId="33" fillId="0" borderId="0" xfId="0" applyFont="1" applyAlignment="1">
      <alignment horizontal="right"/>
    </xf>
    <xf numFmtId="0" fontId="0" fillId="0" borderId="0" xfId="0" applyAlignment="1">
      <alignment horizontal="left" indent="1"/>
    </xf>
    <xf numFmtId="0" fontId="7" fillId="0" borderId="0" xfId="0" applyFont="1" applyAlignment="1">
      <alignment horizontal="left" indent="1"/>
    </xf>
    <xf numFmtId="0" fontId="34" fillId="0" borderId="0" xfId="0" applyFont="1" applyAlignment="1">
      <alignment horizontal="right"/>
    </xf>
    <xf numFmtId="0" fontId="7" fillId="0" borderId="0" xfId="0" applyFont="1" applyAlignment="1">
      <alignment horizontal="center"/>
    </xf>
    <xf numFmtId="0" fontId="83" fillId="0" borderId="0" xfId="0" applyFont="1" applyAlignment="1">
      <alignment horizontal="right" vertical="top"/>
    </xf>
    <xf numFmtId="0" fontId="79" fillId="0" borderId="0" xfId="11" applyFont="1" applyAlignment="1">
      <alignment horizontal="right" vertical="top"/>
    </xf>
    <xf numFmtId="0" fontId="79" fillId="0" borderId="0" xfId="11" applyFont="1"/>
    <xf numFmtId="0" fontId="79" fillId="0" borderId="0" xfId="0" applyFont="1" applyAlignment="1">
      <alignment vertical="top"/>
    </xf>
    <xf numFmtId="0" fontId="79" fillId="0" borderId="0" xfId="0" applyFont="1" applyAlignment="1">
      <alignment horizontal="center" vertical="top"/>
    </xf>
    <xf numFmtId="0" fontId="79" fillId="0" borderId="0" xfId="0" applyFont="1" applyAlignment="1">
      <alignment horizontal="right" vertical="top"/>
    </xf>
    <xf numFmtId="0" fontId="79" fillId="0" borderId="0" xfId="0" applyFont="1" applyAlignment="1">
      <alignment horizontal="center" vertical="center"/>
    </xf>
    <xf numFmtId="0" fontId="80" fillId="2" borderId="1" xfId="0" applyFont="1" applyFill="1" applyBorder="1" applyAlignment="1">
      <alignment horizontal="right" vertical="center"/>
    </xf>
    <xf numFmtId="0" fontId="80" fillId="2" borderId="1" xfId="0" applyFont="1" applyFill="1" applyBorder="1" applyAlignment="1">
      <alignment vertical="top"/>
    </xf>
    <xf numFmtId="0" fontId="79" fillId="2" borderId="1" xfId="0" applyFont="1" applyFill="1" applyBorder="1" applyAlignment="1">
      <alignment horizontal="center" vertical="top"/>
    </xf>
    <xf numFmtId="166" fontId="79" fillId="2" borderId="1" xfId="0" applyNumberFormat="1" applyFont="1" applyFill="1" applyBorder="1" applyAlignment="1">
      <alignment horizontal="right" vertical="top"/>
    </xf>
    <xf numFmtId="166" fontId="79" fillId="2" borderId="1" xfId="0" applyNumberFormat="1" applyFont="1" applyFill="1" applyBorder="1" applyAlignment="1">
      <alignment vertical="top"/>
    </xf>
    <xf numFmtId="166" fontId="80" fillId="2" borderId="1" xfId="0" applyNumberFormat="1" applyFont="1" applyFill="1" applyBorder="1" applyAlignment="1">
      <alignment vertical="top"/>
    </xf>
    <xf numFmtId="0" fontId="80" fillId="0" borderId="0" xfId="0" applyFont="1" applyAlignment="1">
      <alignment horizontal="right" vertical="top"/>
    </xf>
    <xf numFmtId="0" fontId="79" fillId="0" borderId="0" xfId="0" applyFont="1" applyAlignment="1">
      <alignment vertical="top" wrapText="1"/>
    </xf>
    <xf numFmtId="0" fontId="79" fillId="0" borderId="0" xfId="0" applyFont="1" applyAlignment="1">
      <alignment horizontal="center" vertical="top" wrapText="1"/>
    </xf>
    <xf numFmtId="165" fontId="79" fillId="0" borderId="0" xfId="0" applyNumberFormat="1" applyFont="1" applyAlignment="1">
      <alignment horizontal="right" vertical="top"/>
    </xf>
    <xf numFmtId="165" fontId="79" fillId="0" borderId="0" xfId="0" applyNumberFormat="1" applyFont="1" applyAlignment="1">
      <alignment vertical="top"/>
    </xf>
    <xf numFmtId="166" fontId="79" fillId="0" borderId="0" xfId="0" applyNumberFormat="1" applyFont="1" applyAlignment="1">
      <alignment vertical="top" wrapText="1"/>
    </xf>
    <xf numFmtId="49" fontId="89" fillId="0" borderId="0" xfId="0" applyNumberFormat="1" applyFont="1" applyAlignment="1">
      <alignment horizontal="right" vertical="top"/>
    </xf>
    <xf numFmtId="0" fontId="90" fillId="0" borderId="0" xfId="0" applyFont="1" applyAlignment="1">
      <alignment horizontal="left" vertical="top" wrapText="1"/>
    </xf>
    <xf numFmtId="0" fontId="91" fillId="0" borderId="0" xfId="0" applyFont="1" applyAlignment="1">
      <alignment horizontal="center" vertical="top" wrapText="1"/>
    </xf>
    <xf numFmtId="166" fontId="91" fillId="0" borderId="0" xfId="0" applyNumberFormat="1" applyFont="1" applyAlignment="1">
      <alignment vertical="top" wrapText="1"/>
    </xf>
    <xf numFmtId="0" fontId="92" fillId="0" borderId="0" xfId="0" applyFont="1" applyAlignment="1">
      <alignment horizontal="left" vertical="top" wrapText="1"/>
    </xf>
    <xf numFmtId="0" fontId="80" fillId="2" borderId="0" xfId="0" applyFont="1" applyFill="1" applyAlignment="1">
      <alignment horizontal="right" vertical="center"/>
    </xf>
    <xf numFmtId="0" fontId="80" fillId="2" borderId="0" xfId="0" applyFont="1" applyFill="1" applyAlignment="1">
      <alignment vertical="top"/>
    </xf>
    <xf numFmtId="0" fontId="79" fillId="2" borderId="0" xfId="0" applyFont="1" applyFill="1" applyAlignment="1">
      <alignment horizontal="center" vertical="top"/>
    </xf>
    <xf numFmtId="166" fontId="79" fillId="2" borderId="0" xfId="0" applyNumberFormat="1" applyFont="1" applyFill="1" applyAlignment="1">
      <alignment horizontal="right" vertical="top"/>
    </xf>
    <xf numFmtId="166" fontId="79" fillId="2" borderId="0" xfId="0" applyNumberFormat="1" applyFont="1" applyFill="1" applyAlignment="1">
      <alignment vertical="top"/>
    </xf>
    <xf numFmtId="166" fontId="80" fillId="2" borderId="0" xfId="0" applyNumberFormat="1" applyFont="1" applyFill="1" applyAlignment="1">
      <alignment vertical="top"/>
    </xf>
    <xf numFmtId="49" fontId="90" fillId="0" borderId="0" xfId="0" applyNumberFormat="1" applyFont="1" applyAlignment="1">
      <alignment horizontal="right" vertical="center"/>
    </xf>
    <xf numFmtId="0" fontId="90" fillId="0" borderId="0" xfId="0" applyFont="1" applyAlignment="1">
      <alignment vertical="top" wrapText="1"/>
    </xf>
    <xf numFmtId="49" fontId="93" fillId="0" borderId="0" xfId="0" applyNumberFormat="1" applyFont="1" applyAlignment="1">
      <alignment horizontal="right" vertical="top"/>
    </xf>
    <xf numFmtId="0" fontId="94" fillId="0" borderId="0" xfId="0" applyFont="1" applyAlignment="1">
      <alignment vertical="top" wrapText="1"/>
    </xf>
    <xf numFmtId="0" fontId="94" fillId="0" borderId="0" xfId="0" applyFont="1" applyAlignment="1">
      <alignment horizontal="center" vertical="top" wrapText="1"/>
    </xf>
    <xf numFmtId="167" fontId="79" fillId="0" borderId="0" xfId="0" applyNumberFormat="1" applyFont="1" applyAlignment="1">
      <alignment horizontal="right" vertical="top"/>
    </xf>
    <xf numFmtId="165" fontId="79" fillId="0" borderId="0" xfId="9" applyNumberFormat="1" applyFont="1" applyAlignment="1">
      <alignment horizontal="right" vertical="top"/>
    </xf>
    <xf numFmtId="166" fontId="94" fillId="0" borderId="0" xfId="0" applyNumberFormat="1" applyFont="1" applyAlignment="1">
      <alignment vertical="top" wrapText="1"/>
    </xf>
    <xf numFmtId="49" fontId="94" fillId="0" borderId="0" xfId="0" applyNumberFormat="1" applyFont="1" applyAlignment="1">
      <alignment vertical="top" wrapText="1"/>
    </xf>
    <xf numFmtId="0" fontId="92" fillId="0" borderId="0" xfId="0" applyFont="1" applyAlignment="1">
      <alignment vertical="top" wrapText="1"/>
    </xf>
    <xf numFmtId="0" fontId="14" fillId="0" borderId="0" xfId="0" applyFont="1" applyAlignment="1">
      <alignment horizontal="right" vertical="top"/>
    </xf>
    <xf numFmtId="0" fontId="80" fillId="0" borderId="1" xfId="0" applyFont="1" applyBorder="1" applyAlignment="1">
      <alignment horizontal="right" vertical="top"/>
    </xf>
    <xf numFmtId="0" fontId="79" fillId="0" borderId="1" xfId="0" applyFont="1" applyBorder="1" applyAlignment="1">
      <alignment vertical="top" wrapText="1"/>
    </xf>
    <xf numFmtId="0" fontId="79" fillId="0" borderId="1" xfId="0" applyFont="1" applyBorder="1" applyAlignment="1">
      <alignment horizontal="center" vertical="top"/>
    </xf>
    <xf numFmtId="0" fontId="79" fillId="0" borderId="1" xfId="0" applyFont="1" applyBorder="1" applyAlignment="1">
      <alignment horizontal="right" vertical="top"/>
    </xf>
    <xf numFmtId="166" fontId="79" fillId="0" borderId="1" xfId="0" applyNumberFormat="1" applyFont="1" applyBorder="1" applyAlignment="1">
      <alignment vertical="top"/>
    </xf>
    <xf numFmtId="0" fontId="80" fillId="0" borderId="0" xfId="0" applyFont="1" applyAlignment="1">
      <alignment horizontal="right" vertical="center"/>
    </xf>
    <xf numFmtId="0" fontId="80" fillId="0" borderId="0" xfId="0" applyFont="1" applyAlignment="1">
      <alignment vertical="top"/>
    </xf>
    <xf numFmtId="44" fontId="80" fillId="0" borderId="0" xfId="0" applyNumberFormat="1" applyFont="1" applyAlignment="1">
      <alignment vertical="top"/>
    </xf>
    <xf numFmtId="49" fontId="80" fillId="0" borderId="0" xfId="0" applyNumberFormat="1" applyFont="1" applyAlignment="1">
      <alignment horizontal="right" vertical="top"/>
    </xf>
    <xf numFmtId="0" fontId="80" fillId="0" borderId="0" xfId="0" applyFont="1" applyAlignment="1">
      <alignment vertical="top" wrapText="1"/>
    </xf>
    <xf numFmtId="166" fontId="80" fillId="0" borderId="0" xfId="0" applyNumberFormat="1" applyFont="1" applyAlignment="1">
      <alignment vertical="top" wrapText="1"/>
    </xf>
    <xf numFmtId="0" fontId="80" fillId="0" borderId="0" xfId="0" applyFont="1" applyAlignment="1">
      <alignment horizontal="left" vertical="top"/>
    </xf>
    <xf numFmtId="0" fontId="91" fillId="0" borderId="0" xfId="0" applyFont="1" applyAlignment="1">
      <alignment vertical="top" wrapText="1"/>
    </xf>
    <xf numFmtId="49" fontId="90" fillId="0" borderId="0" xfId="0" applyNumberFormat="1" applyFont="1" applyAlignment="1">
      <alignment horizontal="right" vertical="top"/>
    </xf>
    <xf numFmtId="49" fontId="79" fillId="0" borderId="0" xfId="0" applyNumberFormat="1" applyFont="1" applyAlignment="1">
      <alignment vertical="top" wrapText="1"/>
    </xf>
    <xf numFmtId="49" fontId="79" fillId="0" borderId="0" xfId="0" applyNumberFormat="1" applyFont="1" applyAlignment="1">
      <alignment vertical="top"/>
    </xf>
    <xf numFmtId="166" fontId="94" fillId="0" borderId="0" xfId="0" applyNumberFormat="1" applyFont="1" applyAlignment="1">
      <alignment horizontal="right" vertical="top" wrapText="1"/>
    </xf>
    <xf numFmtId="166" fontId="91" fillId="0" borderId="0" xfId="0" applyNumberFormat="1" applyFont="1" applyAlignment="1">
      <alignment horizontal="right" vertical="top" wrapText="1"/>
    </xf>
    <xf numFmtId="0" fontId="79" fillId="0" borderId="0" xfId="0" applyFont="1" applyAlignment="1">
      <alignment horizontal="left" vertical="top"/>
    </xf>
    <xf numFmtId="44" fontId="80" fillId="0" borderId="0" xfId="0" applyNumberFormat="1" applyFont="1"/>
    <xf numFmtId="0" fontId="79" fillId="0" borderId="0" xfId="13" applyFont="1"/>
    <xf numFmtId="0" fontId="79" fillId="0" borderId="0" xfId="13" applyFont="1" applyAlignment="1">
      <alignment horizontal="right"/>
    </xf>
    <xf numFmtId="0" fontId="7" fillId="0" borderId="0" xfId="13"/>
    <xf numFmtId="0" fontId="7" fillId="0" borderId="0" xfId="13" applyAlignment="1">
      <alignment horizontal="right"/>
    </xf>
    <xf numFmtId="2" fontId="95" fillId="0" borderId="0" xfId="7" applyNumberFormat="1" applyFont="1" applyAlignment="1">
      <alignment vertical="top"/>
    </xf>
    <xf numFmtId="2" fontId="95" fillId="0" borderId="0" xfId="7" applyNumberFormat="1" applyFont="1"/>
    <xf numFmtId="0" fontId="95" fillId="0" borderId="0" xfId="7" applyFont="1" applyAlignment="1">
      <alignment horizontal="right"/>
    </xf>
    <xf numFmtId="4" fontId="95" fillId="0" borderId="0" xfId="7" applyNumberFormat="1" applyFont="1"/>
    <xf numFmtId="0" fontId="95" fillId="0" borderId="0" xfId="7" applyFont="1"/>
    <xf numFmtId="0" fontId="88" fillId="0" borderId="3" xfId="7" applyFont="1" applyBorder="1" applyAlignment="1">
      <alignment horizontal="center" vertical="top"/>
    </xf>
    <xf numFmtId="49" fontId="79" fillId="0" borderId="3" xfId="7" applyNumberFormat="1" applyFont="1" applyBorder="1" applyAlignment="1">
      <alignment horizontal="center" vertical="top" wrapText="1"/>
    </xf>
    <xf numFmtId="2" fontId="88" fillId="0" borderId="3" xfId="7" applyNumberFormat="1" applyFont="1" applyBorder="1" applyAlignment="1">
      <alignment horizontal="center" vertical="top"/>
    </xf>
    <xf numFmtId="4" fontId="88" fillId="0" borderId="3" xfId="7" applyNumberFormat="1" applyFont="1" applyBorder="1" applyAlignment="1">
      <alignment horizontal="center" vertical="top"/>
    </xf>
    <xf numFmtId="0" fontId="88" fillId="0" borderId="0" xfId="7" applyFont="1" applyAlignment="1">
      <alignment horizontal="right" vertical="top"/>
    </xf>
    <xf numFmtId="49" fontId="79" fillId="0" borderId="0" xfId="7" applyNumberFormat="1" applyFont="1" applyAlignment="1">
      <alignment horizontal="left" vertical="center" wrapText="1"/>
    </xf>
    <xf numFmtId="0" fontId="88" fillId="0" borderId="0" xfId="7" applyFont="1" applyAlignment="1">
      <alignment horizontal="center" vertical="top"/>
    </xf>
    <xf numFmtId="2" fontId="88" fillId="0" borderId="0" xfId="7" applyNumberFormat="1" applyFont="1" applyAlignment="1">
      <alignment horizontal="right" vertical="top"/>
    </xf>
    <xf numFmtId="4" fontId="88" fillId="0" borderId="0" xfId="7" applyNumberFormat="1" applyFont="1" applyAlignment="1">
      <alignment horizontal="right" vertical="top"/>
    </xf>
    <xf numFmtId="2" fontId="96" fillId="3" borderId="0" xfId="7" applyNumberFormat="1" applyFont="1" applyFill="1" applyAlignment="1">
      <alignment horizontal="right" vertical="top"/>
    </xf>
    <xf numFmtId="4" fontId="97" fillId="3" borderId="0" xfId="7" applyNumberFormat="1" applyFont="1" applyFill="1" applyAlignment="1">
      <alignment horizontal="right" vertical="top"/>
    </xf>
    <xf numFmtId="4" fontId="96" fillId="3" borderId="0" xfId="7" applyNumberFormat="1" applyFont="1" applyFill="1" applyAlignment="1">
      <alignment horizontal="right" vertical="top"/>
    </xf>
    <xf numFmtId="0" fontId="80" fillId="3" borderId="0" xfId="7" applyFont="1" applyFill="1" applyAlignment="1">
      <alignment vertical="center"/>
    </xf>
    <xf numFmtId="0" fontId="80" fillId="0" borderId="0" xfId="7" quotePrefix="1" applyFont="1" applyAlignment="1">
      <alignment horizontal="right" vertical="top"/>
    </xf>
    <xf numFmtId="49" fontId="98" fillId="0" borderId="0" xfId="7" applyNumberFormat="1" applyFont="1" applyAlignment="1">
      <alignment horizontal="left" wrapText="1"/>
    </xf>
    <xf numFmtId="0" fontId="80" fillId="0" borderId="0" xfId="7" applyFont="1" applyAlignment="1">
      <alignment horizontal="center" vertical="top"/>
    </xf>
    <xf numFmtId="4" fontId="80" fillId="0" borderId="0" xfId="7" applyNumberFormat="1" applyFont="1" applyAlignment="1">
      <alignment horizontal="right" vertical="top"/>
    </xf>
    <xf numFmtId="4" fontId="79" fillId="0" borderId="0" xfId="7" applyNumberFormat="1" applyFont="1" applyAlignment="1">
      <alignment horizontal="right" vertical="top"/>
    </xf>
    <xf numFmtId="2" fontId="79" fillId="0" borderId="0" xfId="7" applyNumberFormat="1" applyFont="1" applyAlignment="1">
      <alignment horizontal="center" vertical="top"/>
    </xf>
    <xf numFmtId="2" fontId="80" fillId="0" borderId="0" xfId="7" applyNumberFormat="1" applyFont="1" applyAlignment="1">
      <alignment horizontal="center"/>
    </xf>
    <xf numFmtId="0" fontId="80" fillId="0" borderId="0" xfId="7" applyFont="1" applyAlignment="1">
      <alignment horizontal="right"/>
    </xf>
    <xf numFmtId="4" fontId="80" fillId="0" borderId="0" xfId="7" applyNumberFormat="1" applyFont="1"/>
    <xf numFmtId="0" fontId="80" fillId="0" borderId="0" xfId="7" applyFont="1"/>
    <xf numFmtId="0" fontId="79" fillId="0" borderId="0" xfId="7" applyFont="1" applyAlignment="1">
      <alignment horizontal="right" vertical="top"/>
    </xf>
    <xf numFmtId="49" fontId="99" fillId="0" borderId="0" xfId="8" applyNumberFormat="1" applyFont="1" applyAlignment="1">
      <alignment horizontal="left" vertical="top" wrapText="1"/>
    </xf>
    <xf numFmtId="0" fontId="79" fillId="0" borderId="0" xfId="7" applyFont="1" applyAlignment="1">
      <alignment horizontal="center" vertical="top"/>
    </xf>
    <xf numFmtId="2" fontId="79" fillId="0" borderId="0" xfId="7" applyNumberFormat="1" applyFont="1" applyAlignment="1">
      <alignment horizontal="right" vertical="top"/>
    </xf>
    <xf numFmtId="2" fontId="79" fillId="0" borderId="0" xfId="7" applyNumberFormat="1" applyFont="1" applyAlignment="1">
      <alignment horizontal="right"/>
    </xf>
    <xf numFmtId="4" fontId="79" fillId="0" borderId="0" xfId="7" applyNumberFormat="1" applyFont="1" applyAlignment="1">
      <alignment horizontal="right"/>
    </xf>
    <xf numFmtId="4" fontId="79" fillId="0" borderId="0" xfId="7" applyNumberFormat="1" applyFont="1"/>
    <xf numFmtId="0" fontId="79" fillId="0" borderId="0" xfId="7" applyFont="1" applyAlignment="1">
      <alignment vertical="center"/>
    </xf>
    <xf numFmtId="49" fontId="99" fillId="0" borderId="0" xfId="8" quotePrefix="1" applyNumberFormat="1" applyFont="1" applyAlignment="1">
      <alignment horizontal="justify" vertical="top" wrapText="1"/>
    </xf>
    <xf numFmtId="49" fontId="79" fillId="0" borderId="0" xfId="7" applyNumberFormat="1" applyFont="1" applyAlignment="1">
      <alignment horizontal="left" vertical="top" wrapText="1"/>
    </xf>
    <xf numFmtId="49" fontId="79" fillId="0" borderId="0" xfId="7" quotePrefix="1" applyNumberFormat="1" applyFont="1" applyAlignment="1">
      <alignment horizontal="left" vertical="top" wrapText="1"/>
    </xf>
    <xf numFmtId="2" fontId="79" fillId="0" borderId="0" xfId="7" applyNumberFormat="1" applyFont="1" applyAlignment="1">
      <alignment horizontal="center"/>
    </xf>
    <xf numFmtId="4" fontId="79" fillId="0" borderId="0" xfId="10" applyFont="1"/>
    <xf numFmtId="49" fontId="79" fillId="0" borderId="0" xfId="7" quotePrefix="1" applyNumberFormat="1" applyFont="1" applyAlignment="1">
      <alignment horizontal="justify" vertical="top" wrapText="1"/>
    </xf>
    <xf numFmtId="168" fontId="79" fillId="0" borderId="0" xfId="7" applyNumberFormat="1" applyFont="1" applyAlignment="1">
      <alignment horizontal="center" vertical="top"/>
    </xf>
    <xf numFmtId="4" fontId="79" fillId="3" borderId="0" xfId="7" applyNumberFormat="1" applyFont="1" applyFill="1" applyAlignment="1">
      <alignment horizontal="right" vertical="top"/>
    </xf>
    <xf numFmtId="0" fontId="79" fillId="3" borderId="0" xfId="7" applyFont="1" applyFill="1" applyAlignment="1">
      <alignment vertical="center"/>
    </xf>
    <xf numFmtId="49" fontId="79" fillId="0" borderId="0" xfId="7" applyNumberFormat="1" applyFont="1" applyAlignment="1">
      <alignment horizontal="left" wrapText="1"/>
    </xf>
    <xf numFmtId="0" fontId="95" fillId="0" borderId="0" xfId="7" applyFont="1" applyAlignment="1">
      <alignment horizontal="center" vertical="top"/>
    </xf>
    <xf numFmtId="4" fontId="95" fillId="0" borderId="0" xfId="7" applyNumberFormat="1" applyFont="1" applyAlignment="1">
      <alignment horizontal="right" vertical="top"/>
    </xf>
    <xf numFmtId="168" fontId="95" fillId="0" borderId="0" xfId="7" applyNumberFormat="1" applyFont="1" applyAlignment="1">
      <alignment horizontal="center" vertical="top"/>
    </xf>
    <xf numFmtId="2" fontId="80" fillId="0" borderId="0" xfId="7" applyNumberFormat="1" applyFont="1" applyAlignment="1">
      <alignment horizontal="right"/>
    </xf>
    <xf numFmtId="4" fontId="80" fillId="0" borderId="0" xfId="7" applyNumberFormat="1" applyFont="1" applyAlignment="1">
      <alignment horizontal="right"/>
    </xf>
    <xf numFmtId="0" fontId="79" fillId="0" borderId="0" xfId="7" quotePrefix="1" applyFont="1" applyAlignment="1">
      <alignment horizontal="center" vertical="top"/>
    </xf>
    <xf numFmtId="2" fontId="95" fillId="0" borderId="0" xfId="7" applyNumberFormat="1" applyFont="1" applyAlignment="1">
      <alignment horizontal="right"/>
    </xf>
    <xf numFmtId="4" fontId="95" fillId="0" borderId="0" xfId="7" applyNumberFormat="1" applyFont="1" applyAlignment="1">
      <alignment horizontal="right"/>
    </xf>
    <xf numFmtId="0" fontId="95" fillId="0" borderId="0" xfId="7" applyFont="1" applyAlignment="1">
      <alignment vertical="center"/>
    </xf>
    <xf numFmtId="4" fontId="95" fillId="0" borderId="0" xfId="10" applyFont="1"/>
    <xf numFmtId="168" fontId="79" fillId="0" borderId="0" xfId="7" applyNumberFormat="1" applyFont="1" applyAlignment="1">
      <alignment horizontal="center"/>
    </xf>
    <xf numFmtId="0" fontId="95" fillId="0" borderId="0" xfId="7" quotePrefix="1" applyFont="1" applyAlignment="1">
      <alignment horizontal="center" vertical="top"/>
    </xf>
    <xf numFmtId="49" fontId="80" fillId="0" borderId="0" xfId="7" applyNumberFormat="1" applyFont="1" applyAlignment="1">
      <alignment horizontal="left" vertical="top" wrapText="1"/>
    </xf>
    <xf numFmtId="49" fontId="14" fillId="0" borderId="0" xfId="7" applyNumberFormat="1" applyFont="1" applyAlignment="1">
      <alignment horizontal="left" vertical="top" wrapText="1"/>
    </xf>
    <xf numFmtId="49" fontId="79" fillId="0" borderId="0" xfId="7" applyNumberFormat="1" applyFont="1" applyAlignment="1">
      <alignment horizontal="justify" vertical="top" wrapText="1"/>
    </xf>
    <xf numFmtId="0" fontId="95" fillId="0" borderId="0" xfId="7" applyFont="1" applyAlignment="1">
      <alignment horizontal="right" vertical="top"/>
    </xf>
    <xf numFmtId="2" fontId="95" fillId="0" borderId="0" xfId="7" applyNumberFormat="1" applyFont="1" applyAlignment="1">
      <alignment horizontal="right" vertical="top"/>
    </xf>
    <xf numFmtId="3" fontId="79" fillId="0" borderId="0" xfId="7" applyNumberFormat="1" applyFont="1" applyAlignment="1">
      <alignment horizontal="right" vertical="top"/>
    </xf>
    <xf numFmtId="3" fontId="80" fillId="0" borderId="0" xfId="7" applyNumberFormat="1" applyFont="1" applyAlignment="1">
      <alignment horizontal="right" vertical="top"/>
    </xf>
    <xf numFmtId="0" fontId="101" fillId="0" borderId="0" xfId="0" applyFont="1" applyAlignment="1">
      <alignment vertical="top" wrapText="1"/>
    </xf>
    <xf numFmtId="0" fontId="99" fillId="0" borderId="0" xfId="7" applyFont="1" applyAlignment="1">
      <alignment horizontal="center" vertical="top"/>
    </xf>
    <xf numFmtId="3" fontId="98" fillId="0" borderId="0" xfId="7" applyNumberFormat="1" applyFont="1" applyAlignment="1">
      <alignment horizontal="right" vertical="top"/>
    </xf>
    <xf numFmtId="4" fontId="99" fillId="0" borderId="0" xfId="7" applyNumberFormat="1" applyFont="1" applyAlignment="1">
      <alignment horizontal="right" vertical="top"/>
    </xf>
    <xf numFmtId="4" fontId="98" fillId="0" borderId="0" xfId="7" applyNumberFormat="1" applyFont="1" applyAlignment="1">
      <alignment horizontal="right" vertical="top"/>
    </xf>
    <xf numFmtId="49" fontId="98" fillId="0" borderId="0" xfId="7" quotePrefix="1" applyNumberFormat="1" applyFont="1" applyAlignment="1">
      <alignment horizontal="left" vertical="center" wrapText="1"/>
    </xf>
    <xf numFmtId="0" fontId="100" fillId="0" borderId="0" xfId="7" applyFont="1" applyAlignment="1">
      <alignment horizontal="center" vertical="top"/>
    </xf>
    <xf numFmtId="4" fontId="100" fillId="0" borderId="0" xfId="7" applyNumberFormat="1" applyFont="1" applyAlignment="1">
      <alignment horizontal="right" vertical="top"/>
    </xf>
    <xf numFmtId="2" fontId="100" fillId="0" borderId="0" xfId="7" applyNumberFormat="1" applyFont="1" applyAlignment="1">
      <alignment horizontal="right" vertical="top"/>
    </xf>
    <xf numFmtId="2" fontId="100" fillId="0" borderId="0" xfId="7" applyNumberFormat="1" applyFont="1" applyAlignment="1">
      <alignment horizontal="right" vertical="center"/>
    </xf>
    <xf numFmtId="4" fontId="100" fillId="0" borderId="0" xfId="7" applyNumberFormat="1" applyFont="1" applyAlignment="1">
      <alignment horizontal="right" vertical="center"/>
    </xf>
    <xf numFmtId="4" fontId="80" fillId="0" borderId="0" xfId="7" applyNumberFormat="1" applyFont="1" applyAlignment="1">
      <alignment horizontal="right" vertical="center"/>
    </xf>
    <xf numFmtId="0" fontId="95" fillId="3" borderId="0" xfId="7" applyFont="1" applyFill="1" applyAlignment="1">
      <alignment horizontal="center" vertical="top"/>
    </xf>
    <xf numFmtId="4" fontId="95" fillId="3" borderId="0" xfId="7" applyNumberFormat="1" applyFont="1" applyFill="1" applyAlignment="1">
      <alignment horizontal="right" vertical="top"/>
    </xf>
    <xf numFmtId="0" fontId="95" fillId="3" borderId="0" xfId="7" applyFont="1" applyFill="1" applyAlignment="1">
      <alignment vertical="center"/>
    </xf>
    <xf numFmtId="0" fontId="95" fillId="0" borderId="0" xfId="7" quotePrefix="1" applyFont="1" applyAlignment="1">
      <alignment horizontal="right" vertical="top"/>
    </xf>
    <xf numFmtId="49" fontId="80" fillId="0" borderId="0" xfId="7" quotePrefix="1" applyNumberFormat="1" applyFont="1" applyAlignment="1">
      <alignment horizontal="left" vertical="top"/>
    </xf>
    <xf numFmtId="4" fontId="86" fillId="0" borderId="0" xfId="7" applyNumberFormat="1" applyFont="1" applyAlignment="1">
      <alignment horizontal="right" vertical="top"/>
    </xf>
    <xf numFmtId="44" fontId="80" fillId="0" borderId="0" xfId="7" applyNumberFormat="1" applyFont="1" applyAlignment="1">
      <alignment horizontal="right" vertical="top"/>
    </xf>
    <xf numFmtId="2" fontId="86" fillId="0" borderId="0" xfId="7" applyNumberFormat="1" applyFont="1" applyAlignment="1">
      <alignment horizontal="right"/>
    </xf>
    <xf numFmtId="4" fontId="86" fillId="0" borderId="0" xfId="7" applyNumberFormat="1" applyFont="1" applyAlignment="1">
      <alignment horizontal="right"/>
    </xf>
    <xf numFmtId="0" fontId="86" fillId="0" borderId="0" xfId="7" applyFont="1" applyAlignment="1">
      <alignment vertical="center"/>
    </xf>
    <xf numFmtId="0" fontId="86" fillId="0" borderId="0" xfId="7" applyFont="1"/>
    <xf numFmtId="2" fontId="86" fillId="0" borderId="0" xfId="7" applyNumberFormat="1" applyFont="1" applyAlignment="1">
      <alignment horizontal="right" vertical="top"/>
    </xf>
    <xf numFmtId="0" fontId="81" fillId="3" borderId="0" xfId="7" applyFont="1" applyFill="1" applyAlignment="1">
      <alignment vertical="center" wrapText="1"/>
    </xf>
    <xf numFmtId="0" fontId="79" fillId="3" borderId="0" xfId="0" applyFont="1" applyFill="1" applyAlignment="1">
      <alignment vertical="center" wrapText="1"/>
    </xf>
    <xf numFmtId="0" fontId="96" fillId="3" borderId="0" xfId="7" quotePrefix="1" applyFont="1" applyFill="1" applyAlignment="1">
      <alignment horizontal="center" vertical="top"/>
    </xf>
    <xf numFmtId="0" fontId="96" fillId="3" borderId="0" xfId="7" applyFont="1" applyFill="1" applyAlignment="1">
      <alignment vertical="center"/>
    </xf>
    <xf numFmtId="0" fontId="96" fillId="0" borderId="0" xfId="7" quotePrefix="1" applyFont="1" applyAlignment="1">
      <alignment horizontal="center" vertical="top"/>
    </xf>
    <xf numFmtId="0" fontId="96" fillId="0" borderId="0" xfId="7" applyFont="1" applyAlignment="1">
      <alignment vertical="center"/>
    </xf>
    <xf numFmtId="2" fontId="96" fillId="0" borderId="0" xfId="7" applyNumberFormat="1" applyFont="1" applyAlignment="1">
      <alignment horizontal="right" vertical="top"/>
    </xf>
    <xf numFmtId="4" fontId="97" fillId="0" borderId="0" xfId="7" applyNumberFormat="1" applyFont="1" applyAlignment="1">
      <alignment horizontal="right" vertical="top"/>
    </xf>
    <xf numFmtId="4" fontId="96" fillId="0" borderId="0" xfId="7" applyNumberFormat="1" applyFont="1" applyAlignment="1">
      <alignment horizontal="right" vertical="top"/>
    </xf>
    <xf numFmtId="0" fontId="80" fillId="0" borderId="0" xfId="0" applyFont="1" applyAlignment="1">
      <alignment horizontal="left" vertical="center"/>
    </xf>
    <xf numFmtId="0" fontId="0" fillId="0" borderId="0" xfId="0" applyAlignment="1">
      <alignment vertical="center"/>
    </xf>
    <xf numFmtId="0" fontId="80" fillId="0" borderId="0" xfId="0" applyFont="1" applyAlignment="1">
      <alignment vertical="center"/>
    </xf>
    <xf numFmtId="0" fontId="19" fillId="0" borderId="0" xfId="0" applyFont="1" applyAlignment="1">
      <alignment horizontal="right"/>
    </xf>
    <xf numFmtId="0" fontId="20" fillId="0" borderId="0" xfId="0" applyFont="1"/>
    <xf numFmtId="0" fontId="19" fillId="0" borderId="0" xfId="0" applyFont="1"/>
    <xf numFmtId="0" fontId="102" fillId="0" borderId="0" xfId="0" applyFont="1"/>
    <xf numFmtId="0" fontId="36" fillId="0" borderId="0" xfId="0" applyFont="1" applyAlignment="1">
      <alignment horizontal="right"/>
    </xf>
    <xf numFmtId="0" fontId="36" fillId="0" borderId="0" xfId="0" applyFont="1"/>
    <xf numFmtId="0" fontId="80" fillId="0" borderId="0" xfId="0" applyFont="1" applyAlignment="1">
      <alignment horizontal="center" vertical="top"/>
    </xf>
    <xf numFmtId="0" fontId="33" fillId="0" borderId="0" xfId="0" applyFont="1"/>
    <xf numFmtId="0" fontId="45" fillId="0" borderId="0" xfId="13" applyFont="1"/>
    <xf numFmtId="0" fontId="82" fillId="0" borderId="0" xfId="0" applyFont="1" applyAlignment="1">
      <alignment horizontal="left"/>
    </xf>
    <xf numFmtId="0" fontId="103" fillId="0" borderId="0" xfId="0" applyFont="1" applyAlignment="1">
      <alignment horizontal="center" vertical="top"/>
    </xf>
    <xf numFmtId="0" fontId="103" fillId="0" borderId="0" xfId="0" applyFont="1" applyAlignment="1">
      <alignment horizontal="left" vertical="top"/>
    </xf>
    <xf numFmtId="0" fontId="9" fillId="0" borderId="1" xfId="0" applyFont="1" applyBorder="1"/>
    <xf numFmtId="0" fontId="9" fillId="0" borderId="0" xfId="0" applyFont="1"/>
    <xf numFmtId="0" fontId="81" fillId="3" borderId="0" xfId="7" applyFont="1" applyFill="1" applyAlignment="1">
      <alignment horizontal="center" vertical="center"/>
    </xf>
    <xf numFmtId="49" fontId="81" fillId="3" borderId="0" xfId="7" quotePrefix="1" applyNumberFormat="1" applyFont="1" applyFill="1" applyAlignment="1">
      <alignment horizontal="left" vertical="center"/>
    </xf>
    <xf numFmtId="0" fontId="81" fillId="3" borderId="0" xfId="0" applyFont="1" applyFill="1" applyAlignment="1">
      <alignment horizontal="center" vertical="center"/>
    </xf>
    <xf numFmtId="0" fontId="81" fillId="3" borderId="0" xfId="0" applyFont="1" applyFill="1" applyAlignment="1">
      <alignment horizontal="left"/>
    </xf>
    <xf numFmtId="0" fontId="80" fillId="3" borderId="0" xfId="0" applyFont="1" applyFill="1"/>
    <xf numFmtId="0" fontId="80" fillId="3" borderId="0" xfId="0" applyFont="1" applyFill="1" applyAlignment="1">
      <alignment horizontal="right"/>
    </xf>
    <xf numFmtId="0" fontId="79" fillId="3" borderId="0" xfId="0" applyFont="1" applyFill="1"/>
    <xf numFmtId="0" fontId="81" fillId="3" borderId="0" xfId="0" applyFont="1" applyFill="1"/>
    <xf numFmtId="0" fontId="80" fillId="3" borderId="0" xfId="0" applyFont="1" applyFill="1" applyAlignment="1">
      <alignment horizontal="left"/>
    </xf>
    <xf numFmtId="0" fontId="36" fillId="0" borderId="0" xfId="0" applyFont="1" applyAlignment="1">
      <alignment horizontal="left" indent="1"/>
    </xf>
    <xf numFmtId="0" fontId="103" fillId="3" borderId="0" xfId="0" applyFont="1" applyFill="1" applyAlignment="1">
      <alignment horizontal="center" vertical="top"/>
    </xf>
    <xf numFmtId="0" fontId="81" fillId="3" borderId="0" xfId="7" applyFont="1" applyFill="1" applyAlignment="1">
      <alignment horizontal="center" vertical="top"/>
    </xf>
    <xf numFmtId="0" fontId="21" fillId="0" borderId="0" xfId="11" applyFont="1" applyAlignment="1">
      <alignment horizontal="center" vertical="top"/>
    </xf>
    <xf numFmtId="49" fontId="80" fillId="3" borderId="0" xfId="7" applyNumberFormat="1" applyFont="1" applyFill="1" applyAlignment="1">
      <alignment horizontal="left" wrapText="1"/>
    </xf>
    <xf numFmtId="0" fontId="80" fillId="3" borderId="0" xfId="7" applyFont="1" applyFill="1" applyAlignment="1">
      <alignment horizontal="center" vertical="top"/>
    </xf>
    <xf numFmtId="4" fontId="80" fillId="3" borderId="0" xfId="7" applyNumberFormat="1" applyFont="1" applyFill="1" applyAlignment="1">
      <alignment horizontal="right" vertical="top"/>
    </xf>
    <xf numFmtId="49" fontId="80" fillId="3" borderId="0" xfId="7" applyNumberFormat="1" applyFont="1" applyFill="1" applyAlignment="1">
      <alignment horizontal="left" vertical="top" wrapText="1"/>
    </xf>
    <xf numFmtId="0" fontId="102" fillId="0" borderId="0" xfId="7" applyFont="1" applyAlignment="1">
      <alignment horizontal="right" vertical="top"/>
    </xf>
    <xf numFmtId="0" fontId="102" fillId="0" borderId="2" xfId="7" applyFont="1" applyBorder="1" applyAlignment="1">
      <alignment horizontal="right" vertical="top"/>
    </xf>
    <xf numFmtId="49" fontId="102" fillId="0" borderId="2" xfId="7" quotePrefix="1" applyNumberFormat="1" applyFont="1" applyBorder="1" applyAlignment="1">
      <alignment horizontal="left" vertical="center" wrapText="1"/>
    </xf>
    <xf numFmtId="0" fontId="100" fillId="0" borderId="2" xfId="7" applyFont="1" applyBorder="1" applyAlignment="1">
      <alignment horizontal="center" vertical="top"/>
    </xf>
    <xf numFmtId="4" fontId="100" fillId="0" borderId="2" xfId="7" applyNumberFormat="1" applyFont="1" applyBorder="1" applyAlignment="1">
      <alignment horizontal="right" vertical="top"/>
    </xf>
    <xf numFmtId="4" fontId="79" fillId="0" borderId="2" xfId="7" applyNumberFormat="1" applyFont="1" applyBorder="1" applyAlignment="1">
      <alignment horizontal="right" vertical="top"/>
    </xf>
    <xf numFmtId="0" fontId="80" fillId="2" borderId="0" xfId="0" applyFont="1" applyFill="1" applyAlignment="1">
      <alignment horizontal="right" vertical="top"/>
    </xf>
    <xf numFmtId="49" fontId="104" fillId="0" borderId="0" xfId="0" applyNumberFormat="1" applyFont="1" applyAlignment="1">
      <alignment horizontal="right" vertical="top"/>
    </xf>
    <xf numFmtId="0" fontId="84" fillId="0" borderId="0" xfId="0" applyFont="1"/>
    <xf numFmtId="0" fontId="105" fillId="0" borderId="0" xfId="0" quotePrefix="1" applyFont="1"/>
    <xf numFmtId="0" fontId="105" fillId="0" borderId="0" xfId="0" applyFont="1"/>
    <xf numFmtId="0" fontId="106" fillId="0" borderId="0" xfId="7" applyFont="1" applyAlignment="1">
      <alignment horizontal="right" vertical="top"/>
    </xf>
    <xf numFmtId="0" fontId="102" fillId="0" borderId="0" xfId="7" quotePrefix="1" applyFont="1" applyAlignment="1">
      <alignment horizontal="right" vertical="top"/>
    </xf>
    <xf numFmtId="16" fontId="102" fillId="3" borderId="0" xfId="7" applyNumberFormat="1" applyFont="1" applyFill="1" applyAlignment="1">
      <alignment horizontal="right" vertical="top"/>
    </xf>
    <xf numFmtId="0" fontId="107" fillId="0" borderId="0" xfId="7" applyFont="1" applyAlignment="1">
      <alignment horizontal="right" vertical="top"/>
    </xf>
    <xf numFmtId="16" fontId="102" fillId="0" borderId="0" xfId="7" applyNumberFormat="1" applyFont="1" applyAlignment="1">
      <alignment horizontal="right" vertical="top"/>
    </xf>
    <xf numFmtId="49" fontId="108" fillId="0" borderId="0" xfId="0" applyNumberFormat="1" applyFont="1" applyAlignment="1">
      <alignment horizontal="right" vertical="top"/>
    </xf>
    <xf numFmtId="0" fontId="109" fillId="0" borderId="0" xfId="7" applyFont="1" applyAlignment="1">
      <alignment vertical="center"/>
    </xf>
    <xf numFmtId="49" fontId="106" fillId="0" borderId="0" xfId="7" quotePrefix="1" applyNumberFormat="1" applyFont="1" applyAlignment="1">
      <alignment horizontal="left"/>
    </xf>
    <xf numFmtId="0" fontId="109" fillId="0" borderId="0" xfId="7" applyFont="1" applyAlignment="1">
      <alignment horizontal="center" vertical="top"/>
    </xf>
    <xf numFmtId="49" fontId="106" fillId="0" borderId="0" xfId="7" quotePrefix="1" applyNumberFormat="1" applyFont="1" applyAlignment="1">
      <alignment horizontal="left" vertical="top" wrapText="1"/>
    </xf>
    <xf numFmtId="49" fontId="106" fillId="0" borderId="0" xfId="7" applyNumberFormat="1" applyFont="1" applyAlignment="1">
      <alignment horizontal="left" vertical="top" wrapText="1"/>
    </xf>
    <xf numFmtId="0" fontId="24" fillId="0" borderId="0" xfId="11" applyFont="1" applyAlignment="1">
      <alignment vertical="top"/>
    </xf>
    <xf numFmtId="0" fontId="81" fillId="0" borderId="0" xfId="0" applyFont="1"/>
    <xf numFmtId="0" fontId="108" fillId="0" borderId="0" xfId="0" applyFont="1" applyAlignment="1">
      <alignment vertical="top" wrapText="1"/>
    </xf>
    <xf numFmtId="0" fontId="50" fillId="0" borderId="1" xfId="1" applyFont="1" applyBorder="1" applyAlignment="1">
      <alignment horizontal="right"/>
    </xf>
    <xf numFmtId="0" fontId="50" fillId="0" borderId="1" xfId="1" applyFont="1" applyBorder="1"/>
    <xf numFmtId="0" fontId="51" fillId="0" borderId="1" xfId="1" applyFont="1" applyBorder="1"/>
    <xf numFmtId="0" fontId="51" fillId="0" borderId="0" xfId="1" applyFont="1"/>
    <xf numFmtId="0" fontId="52" fillId="0" borderId="0" xfId="1" applyFont="1"/>
    <xf numFmtId="49" fontId="53" fillId="0" borderId="0" xfId="1" applyNumberFormat="1" applyFont="1" applyAlignment="1">
      <alignment horizontal="right"/>
    </xf>
    <xf numFmtId="0" fontId="53" fillId="0" borderId="0" xfId="1" applyFont="1" applyAlignment="1">
      <alignment horizontal="justify" wrapText="1"/>
    </xf>
    <xf numFmtId="0" fontId="53" fillId="0" borderId="0" xfId="1" applyFont="1" applyAlignment="1">
      <alignment horizontal="center"/>
    </xf>
    <xf numFmtId="0" fontId="54" fillId="0" borderId="0" xfId="1" applyFont="1"/>
    <xf numFmtId="7" fontId="55" fillId="0" borderId="0" xfId="1" applyNumberFormat="1" applyFont="1" applyAlignment="1">
      <alignment horizontal="right"/>
    </xf>
    <xf numFmtId="0" fontId="21" fillId="0" borderId="0" xfId="12" applyFont="1"/>
    <xf numFmtId="0" fontId="56" fillId="0" borderId="0" xfId="12" applyFont="1" applyAlignment="1">
      <alignment horizontal="left"/>
    </xf>
    <xf numFmtId="0" fontId="21" fillId="0" borderId="0" xfId="12" applyFont="1" applyAlignment="1">
      <alignment horizontal="right"/>
    </xf>
    <xf numFmtId="0" fontId="22" fillId="0" borderId="0" xfId="12" applyFont="1" applyAlignment="1">
      <alignment horizontal="left" vertical="center"/>
    </xf>
    <xf numFmtId="0" fontId="21" fillId="0" borderId="0" xfId="12" applyFont="1" applyAlignment="1">
      <alignment horizontal="justify" vertical="justify" wrapText="1"/>
    </xf>
    <xf numFmtId="0" fontId="21" fillId="0" borderId="0" xfId="12" applyFont="1" applyAlignment="1">
      <alignment horizontal="left"/>
    </xf>
    <xf numFmtId="0" fontId="57" fillId="0" borderId="0" xfId="12" applyFont="1" applyAlignment="1">
      <alignment horizontal="center"/>
    </xf>
    <xf numFmtId="0" fontId="24" fillId="0" borderId="0" xfId="12" applyFont="1" applyAlignment="1">
      <alignment horizontal="left"/>
    </xf>
    <xf numFmtId="49" fontId="21" fillId="0" borderId="0" xfId="1" applyNumberFormat="1" applyFont="1" applyAlignment="1">
      <alignment horizontal="left"/>
    </xf>
    <xf numFmtId="49" fontId="21" fillId="0" borderId="0" xfId="1" applyNumberFormat="1" applyFont="1" applyAlignment="1">
      <alignment horizontal="right"/>
    </xf>
    <xf numFmtId="0" fontId="26" fillId="0" borderId="0" xfId="12" applyFont="1" applyAlignment="1">
      <alignment horizontal="left" vertical="center"/>
    </xf>
    <xf numFmtId="0" fontId="6" fillId="0" borderId="0" xfId="12" applyFont="1"/>
    <xf numFmtId="49" fontId="47" fillId="0" borderId="0" xfId="1" applyNumberFormat="1" applyFont="1" applyAlignment="1">
      <alignment horizontal="center"/>
    </xf>
    <xf numFmtId="0" fontId="58" fillId="0" borderId="0" xfId="12" applyFont="1" applyAlignment="1">
      <alignment horizontal="left" vertical="center"/>
    </xf>
    <xf numFmtId="0" fontId="36" fillId="0" borderId="0" xfId="1"/>
    <xf numFmtId="0" fontId="59" fillId="0" borderId="0" xfId="12" applyFont="1"/>
    <xf numFmtId="0" fontId="8" fillId="0" borderId="0" xfId="1" applyFont="1"/>
    <xf numFmtId="0" fontId="20" fillId="0" borderId="1" xfId="1" applyFont="1" applyBorder="1"/>
    <xf numFmtId="0" fontId="19" fillId="0" borderId="2" xfId="1" applyFont="1" applyBorder="1"/>
    <xf numFmtId="0" fontId="60" fillId="0" borderId="0" xfId="12" applyFont="1" applyAlignment="1">
      <alignment horizontal="justify" vertical="justify" wrapText="1"/>
    </xf>
    <xf numFmtId="0" fontId="23" fillId="0" borderId="0" xfId="12" applyFont="1"/>
    <xf numFmtId="0" fontId="22" fillId="0" borderId="0" xfId="12" applyFont="1"/>
    <xf numFmtId="0" fontId="21" fillId="0" borderId="0" xfId="12" applyFont="1" applyAlignment="1">
      <alignment horizontal="center" vertical="center"/>
    </xf>
    <xf numFmtId="0" fontId="27" fillId="0" borderId="0" xfId="12" applyFont="1" applyAlignment="1">
      <alignment horizontal="left"/>
    </xf>
    <xf numFmtId="0" fontId="61" fillId="0" borderId="0" xfId="12" applyFont="1"/>
    <xf numFmtId="0" fontId="28" fillId="0" borderId="0" xfId="12" applyFont="1"/>
    <xf numFmtId="0" fontId="24" fillId="0" borderId="0" xfId="12" applyFont="1" applyAlignment="1">
      <alignment horizontal="center"/>
    </xf>
    <xf numFmtId="0" fontId="21" fillId="0" borderId="0" xfId="12" applyFont="1" applyAlignment="1">
      <alignment horizontal="center" vertical="justify" wrapText="1"/>
    </xf>
    <xf numFmtId="0" fontId="21" fillId="0" borderId="0" xfId="12" applyFont="1" applyAlignment="1">
      <alignment horizontal="left" vertical="justify"/>
    </xf>
    <xf numFmtId="0" fontId="26" fillId="0" borderId="0" xfId="12" applyFont="1" applyAlignment="1">
      <alignment horizontal="right" vertical="justify" wrapText="1"/>
    </xf>
    <xf numFmtId="0" fontId="21" fillId="0" borderId="0" xfId="12" applyFont="1" applyAlignment="1">
      <alignment horizontal="left" vertical="justify" wrapText="1"/>
    </xf>
    <xf numFmtId="0" fontId="27" fillId="0" borderId="0" xfId="12" applyFont="1" applyAlignment="1">
      <alignment horizontal="justify" vertical="justify" wrapText="1"/>
    </xf>
    <xf numFmtId="0" fontId="25" fillId="0" borderId="0" xfId="12" applyFont="1" applyAlignment="1">
      <alignment horizontal="justify" vertical="justify" wrapText="1"/>
    </xf>
    <xf numFmtId="0" fontId="46" fillId="0" borderId="0" xfId="1" applyFont="1" applyAlignment="1">
      <alignment horizontal="left"/>
    </xf>
    <xf numFmtId="0" fontId="10" fillId="0" borderId="0" xfId="1" applyFont="1" applyAlignment="1">
      <alignment horizontal="left"/>
    </xf>
    <xf numFmtId="0" fontId="62" fillId="0" borderId="0" xfId="12" applyFont="1" applyAlignment="1">
      <alignment horizontal="left"/>
    </xf>
    <xf numFmtId="0" fontId="10" fillId="0" borderId="0" xfId="1" applyFont="1"/>
    <xf numFmtId="0" fontId="21" fillId="0" borderId="0" xfId="12" applyFont="1" applyAlignment="1">
      <alignment horizontal="left" vertical="center"/>
    </xf>
    <xf numFmtId="0" fontId="24" fillId="0" borderId="0" xfId="12" applyFont="1" applyAlignment="1">
      <alignment horizontal="left" vertical="center"/>
    </xf>
    <xf numFmtId="0" fontId="47" fillId="0" borderId="0" xfId="12" applyFont="1" applyAlignment="1">
      <alignment horizontal="right" vertical="center"/>
    </xf>
    <xf numFmtId="0" fontId="21" fillId="0" borderId="0" xfId="12" applyFont="1" applyAlignment="1">
      <alignment horizontal="left" vertical="justify" wrapText="1" indent="1"/>
    </xf>
    <xf numFmtId="0" fontId="26" fillId="0" borderId="0" xfId="12" applyFont="1" applyAlignment="1">
      <alignment horizontal="right"/>
    </xf>
    <xf numFmtId="0" fontId="26" fillId="0" borderId="0" xfId="12" applyFont="1" applyAlignment="1">
      <alignment horizontal="left"/>
    </xf>
    <xf numFmtId="0" fontId="63" fillId="0" borderId="0" xfId="12" applyFont="1" applyAlignment="1">
      <alignment horizontal="left"/>
    </xf>
    <xf numFmtId="0" fontId="45" fillId="0" borderId="0" xfId="1" applyFont="1" applyAlignment="1">
      <alignment horizontal="left"/>
    </xf>
    <xf numFmtId="0" fontId="25" fillId="0" borderId="0" xfId="12" applyFont="1" applyAlignment="1">
      <alignment horizontal="left"/>
    </xf>
    <xf numFmtId="0" fontId="24" fillId="0" borderId="0" xfId="12" applyFont="1" applyAlignment="1">
      <alignment horizontal="right"/>
    </xf>
    <xf numFmtId="0" fontId="24" fillId="0" borderId="0" xfId="12" applyFont="1"/>
    <xf numFmtId="0" fontId="36" fillId="0" borderId="0" xfId="1" applyAlignment="1">
      <alignment horizontal="right"/>
    </xf>
    <xf numFmtId="0" fontId="7" fillId="0" borderId="0" xfId="1" applyFont="1"/>
    <xf numFmtId="0" fontId="45" fillId="0" borderId="0" xfId="1" applyFont="1"/>
    <xf numFmtId="0" fontId="31" fillId="0" borderId="0" xfId="1" applyFont="1" applyAlignment="1">
      <alignment horizontal="left"/>
    </xf>
    <xf numFmtId="0" fontId="21" fillId="0" borderId="0" xfId="12" applyFont="1" applyAlignment="1">
      <alignment horizontal="center"/>
    </xf>
    <xf numFmtId="0" fontId="26" fillId="0" borderId="0" xfId="12" applyFont="1"/>
    <xf numFmtId="0" fontId="64" fillId="0" borderId="0" xfId="1" applyFont="1"/>
    <xf numFmtId="0" fontId="10" fillId="0" borderId="0" xfId="12" applyFont="1"/>
    <xf numFmtId="0" fontId="10" fillId="0" borderId="0" xfId="12" applyFont="1" applyAlignment="1">
      <alignment horizontal="left"/>
    </xf>
    <xf numFmtId="0" fontId="10" fillId="0" borderId="0" xfId="12" applyFont="1" applyAlignment="1">
      <alignment horizontal="right"/>
    </xf>
    <xf numFmtId="0" fontId="10" fillId="0" borderId="0" xfId="12" applyFont="1" applyAlignment="1">
      <alignment horizontal="justify" vertical="justify" wrapText="1"/>
    </xf>
    <xf numFmtId="0" fontId="10" fillId="0" borderId="0" xfId="1" applyFont="1" applyAlignment="1">
      <alignment horizontal="right"/>
    </xf>
    <xf numFmtId="0" fontId="19" fillId="0" borderId="0" xfId="1" applyFont="1"/>
    <xf numFmtId="0" fontId="16" fillId="0" borderId="0" xfId="1" applyFont="1"/>
    <xf numFmtId="49" fontId="6" fillId="0" borderId="0" xfId="1" applyNumberFormat="1" applyFont="1" applyAlignment="1">
      <alignment horizontal="right"/>
    </xf>
    <xf numFmtId="0" fontId="6" fillId="0" borderId="0" xfId="1" applyFont="1" applyAlignment="1">
      <alignment horizontal="justify" wrapText="1"/>
    </xf>
    <xf numFmtId="0" fontId="6" fillId="0" borderId="0" xfId="1" applyFont="1" applyAlignment="1">
      <alignment horizontal="center"/>
    </xf>
    <xf numFmtId="0" fontId="21" fillId="0" borderId="1" xfId="12" applyFont="1" applyBorder="1" applyAlignment="1">
      <alignment horizontal="right"/>
    </xf>
    <xf numFmtId="0" fontId="19" fillId="0" borderId="1" xfId="12" applyFont="1" applyBorder="1" applyAlignment="1">
      <alignment horizontal="justify" vertical="justify" wrapText="1"/>
    </xf>
    <xf numFmtId="0" fontId="21" fillId="0" borderId="1" xfId="12" applyFont="1" applyBorder="1" applyAlignment="1">
      <alignment horizontal="justify" vertical="justify" wrapText="1"/>
    </xf>
    <xf numFmtId="0" fontId="65" fillId="0" borderId="0" xfId="12" applyFont="1" applyAlignment="1">
      <alignment horizontal="justify" vertical="justify" wrapText="1"/>
    </xf>
    <xf numFmtId="0" fontId="106" fillId="0" borderId="0" xfId="0" applyFont="1" applyAlignment="1">
      <alignment vertical="top" wrapText="1"/>
    </xf>
    <xf numFmtId="49" fontId="106" fillId="0" borderId="0" xfId="0" applyNumberFormat="1" applyFont="1" applyAlignment="1">
      <alignment vertical="top" wrapText="1"/>
    </xf>
    <xf numFmtId="167" fontId="79" fillId="0" borderId="0" xfId="0" applyNumberFormat="1" applyFont="1" applyAlignment="1">
      <alignment vertical="top"/>
    </xf>
    <xf numFmtId="0" fontId="110" fillId="0" borderId="0" xfId="0" applyFont="1" applyAlignment="1">
      <alignment vertical="top" wrapText="1"/>
    </xf>
    <xf numFmtId="0" fontId="48" fillId="0" borderId="0" xfId="0" applyFont="1" applyAlignment="1">
      <alignment vertical="top" wrapText="1"/>
    </xf>
    <xf numFmtId="0" fontId="111" fillId="0" borderId="0" xfId="0" applyFont="1" applyAlignment="1">
      <alignment vertical="top" wrapText="1"/>
    </xf>
    <xf numFmtId="0" fontId="49" fillId="0" borderId="0" xfId="0" applyFont="1" applyAlignment="1">
      <alignment vertical="top" wrapText="1"/>
    </xf>
    <xf numFmtId="165" fontId="112" fillId="0" borderId="0" xfId="0" applyNumberFormat="1" applyFont="1" applyAlignment="1">
      <alignment horizontal="right" vertical="top"/>
    </xf>
    <xf numFmtId="0" fontId="102" fillId="0" borderId="0" xfId="0" applyFont="1" applyAlignment="1">
      <alignment horizontal="right" vertical="top"/>
    </xf>
    <xf numFmtId="0" fontId="113" fillId="0" borderId="0" xfId="0" applyFont="1" applyAlignment="1">
      <alignment vertical="top" wrapText="1"/>
    </xf>
    <xf numFmtId="0" fontId="67" fillId="0" borderId="0" xfId="0" applyFont="1" applyAlignment="1">
      <alignment vertical="top" wrapText="1"/>
    </xf>
    <xf numFmtId="49" fontId="48" fillId="0" borderId="0" xfId="0" applyNumberFormat="1" applyFont="1" applyAlignment="1">
      <alignment vertical="top" wrapText="1"/>
    </xf>
    <xf numFmtId="49" fontId="106" fillId="0" borderId="0" xfId="6" applyNumberFormat="1" applyFont="1" applyAlignment="1">
      <alignment horizontal="left" vertical="top" wrapText="1"/>
    </xf>
    <xf numFmtId="0" fontId="102" fillId="0" borderId="0" xfId="0" applyFont="1" applyAlignment="1">
      <alignment vertical="top" wrapText="1"/>
    </xf>
    <xf numFmtId="49" fontId="36" fillId="0" borderId="0" xfId="0" applyNumberFormat="1" applyFont="1" applyAlignment="1">
      <alignment horizontal="right" vertical="top"/>
    </xf>
    <xf numFmtId="49" fontId="110" fillId="0" borderId="0" xfId="0" applyNumberFormat="1" applyFont="1" applyAlignment="1">
      <alignment vertical="top" wrapText="1"/>
    </xf>
    <xf numFmtId="0" fontId="94" fillId="0" borderId="0" xfId="0" applyFont="1" applyAlignment="1">
      <alignment horizontal="left" vertical="top" wrapText="1"/>
    </xf>
    <xf numFmtId="49" fontId="79" fillId="0" borderId="0" xfId="8" quotePrefix="1" applyNumberFormat="1" applyFont="1" applyAlignment="1">
      <alignment horizontal="justify" vertical="top" wrapText="1"/>
    </xf>
    <xf numFmtId="49" fontId="106" fillId="0" borderId="0" xfId="7" quotePrefix="1" applyNumberFormat="1" applyFont="1" applyAlignment="1">
      <alignment horizontal="justify" vertical="top" wrapText="1"/>
    </xf>
    <xf numFmtId="0" fontId="104" fillId="0" borderId="0" xfId="0" applyFont="1" applyAlignment="1">
      <alignment vertical="top" wrapText="1"/>
    </xf>
    <xf numFmtId="0" fontId="92" fillId="0" borderId="0" xfId="0" applyFont="1" applyAlignment="1">
      <alignment horizontal="right" vertical="top" wrapText="1"/>
    </xf>
    <xf numFmtId="0" fontId="106" fillId="0" borderId="0" xfId="0" applyFont="1" applyAlignment="1">
      <alignment horizontal="right" vertical="top"/>
    </xf>
    <xf numFmtId="0" fontId="102" fillId="0" borderId="0" xfId="0" applyFont="1" applyAlignment="1">
      <alignment horizontal="right" vertical="top" wrapText="1"/>
    </xf>
    <xf numFmtId="167" fontId="71" fillId="0" borderId="0" xfId="0" applyNumberFormat="1" applyFont="1"/>
    <xf numFmtId="0" fontId="68" fillId="0" borderId="0" xfId="0" applyFont="1" applyAlignment="1">
      <alignment horizontal="center" wrapText="1"/>
    </xf>
    <xf numFmtId="165" fontId="71" fillId="0" borderId="0" xfId="0" applyNumberFormat="1" applyFont="1"/>
    <xf numFmtId="0" fontId="72" fillId="0" borderId="0" xfId="0" applyFont="1" applyAlignment="1">
      <alignment horizontal="center" wrapText="1"/>
    </xf>
    <xf numFmtId="0" fontId="94" fillId="0" borderId="0" xfId="14" applyFont="1" applyAlignment="1">
      <alignment horizontal="center" vertical="top" wrapText="1"/>
    </xf>
    <xf numFmtId="165" fontId="79" fillId="0" borderId="0" xfId="14" applyNumberFormat="1" applyFont="1" applyAlignment="1">
      <alignment horizontal="right" vertical="top"/>
    </xf>
    <xf numFmtId="0" fontId="79" fillId="0" borderId="0" xfId="0" applyFont="1" applyAlignment="1">
      <alignment horizontal="right" vertical="top" wrapText="1"/>
    </xf>
    <xf numFmtId="165" fontId="102" fillId="0" borderId="0" xfId="0" applyNumberFormat="1" applyFont="1" applyAlignment="1">
      <alignment horizontal="right" vertical="top"/>
    </xf>
    <xf numFmtId="0" fontId="94" fillId="0" borderId="0" xfId="0" applyFont="1" applyAlignment="1">
      <alignment horizontal="right" vertical="top" wrapText="1"/>
    </xf>
    <xf numFmtId="49" fontId="38" fillId="0" borderId="0" xfId="0" applyNumberFormat="1" applyFont="1" applyAlignment="1">
      <alignment vertical="top" wrapText="1"/>
    </xf>
    <xf numFmtId="49" fontId="36" fillId="0" borderId="0" xfId="1" applyNumberFormat="1" applyAlignment="1">
      <alignment horizontal="right" vertical="top"/>
    </xf>
    <xf numFmtId="2" fontId="79" fillId="0" borderId="0" xfId="0" applyNumberFormat="1" applyFont="1" applyAlignment="1">
      <alignment horizontal="right" vertical="top"/>
    </xf>
    <xf numFmtId="2" fontId="102" fillId="0" borderId="0" xfId="0" applyNumberFormat="1" applyFont="1" applyAlignment="1">
      <alignment horizontal="right" vertical="top"/>
    </xf>
    <xf numFmtId="2" fontId="79" fillId="0" borderId="0" xfId="0" applyNumberFormat="1" applyFont="1"/>
    <xf numFmtId="2" fontId="112" fillId="0" borderId="0" xfId="0" applyNumberFormat="1" applyFont="1" applyAlignment="1">
      <alignment horizontal="right" vertical="top"/>
    </xf>
    <xf numFmtId="2" fontId="114" fillId="0" borderId="0" xfId="0" applyNumberFormat="1" applyFont="1" applyAlignment="1">
      <alignment horizontal="right" vertical="top"/>
    </xf>
    <xf numFmtId="2" fontId="102" fillId="0" borderId="0" xfId="0" applyNumberFormat="1" applyFont="1"/>
    <xf numFmtId="2" fontId="102" fillId="0" borderId="0" xfId="0" applyNumberFormat="1" applyFont="1" applyAlignment="1">
      <alignment vertical="top"/>
    </xf>
    <xf numFmtId="2" fontId="102" fillId="0" borderId="5" xfId="0" applyNumberFormat="1" applyFont="1" applyBorder="1" applyAlignment="1">
      <alignment vertical="top"/>
    </xf>
    <xf numFmtId="49" fontId="104" fillId="0" borderId="0" xfId="0" applyNumberFormat="1" applyFont="1" applyAlignment="1">
      <alignment vertical="top" wrapText="1"/>
    </xf>
    <xf numFmtId="0" fontId="36" fillId="0" borderId="0" xfId="1" applyAlignment="1">
      <alignment horizontal="center" wrapText="1"/>
    </xf>
    <xf numFmtId="165" fontId="36" fillId="0" borderId="0" xfId="1" applyNumberFormat="1"/>
    <xf numFmtId="166" fontId="36" fillId="0" borderId="0" xfId="1" applyNumberFormat="1" applyAlignment="1">
      <alignment wrapText="1"/>
    </xf>
    <xf numFmtId="0" fontId="76" fillId="0" borderId="0" xfId="1" applyFont="1" applyAlignment="1">
      <alignment horizontal="center" wrapText="1"/>
    </xf>
    <xf numFmtId="167" fontId="76" fillId="0" borderId="0" xfId="1" applyNumberFormat="1" applyFont="1"/>
    <xf numFmtId="165" fontId="36" fillId="0" borderId="0" xfId="9" applyNumberFormat="1" applyFont="1" applyAlignment="1">
      <alignment horizontal="right"/>
    </xf>
    <xf numFmtId="0" fontId="36" fillId="0" borderId="0" xfId="1" applyAlignment="1">
      <alignment horizontal="right" vertical="top"/>
    </xf>
    <xf numFmtId="167" fontId="36" fillId="0" borderId="0" xfId="1" applyNumberFormat="1"/>
    <xf numFmtId="0" fontId="79" fillId="0" borderId="0" xfId="0" applyFont="1" applyAlignment="1">
      <alignment wrapText="1"/>
    </xf>
    <xf numFmtId="167" fontId="79" fillId="0" borderId="0" xfId="0" applyNumberFormat="1" applyFont="1" applyAlignment="1">
      <alignment horizontal="right" vertical="top" wrapText="1"/>
    </xf>
    <xf numFmtId="168" fontId="100" fillId="0" borderId="0" xfId="7" applyNumberFormat="1" applyFont="1" applyAlignment="1">
      <alignment horizontal="center" vertical="top"/>
    </xf>
    <xf numFmtId="2" fontId="79" fillId="0" borderId="0" xfId="7" applyNumberFormat="1" applyFont="1" applyAlignment="1">
      <alignment horizontal="right" vertical="top" wrapText="1"/>
    </xf>
    <xf numFmtId="49" fontId="77" fillId="0" borderId="0" xfId="7" applyNumberFormat="1" applyFont="1" applyAlignment="1">
      <alignment horizontal="left" vertical="top" wrapText="1"/>
    </xf>
    <xf numFmtId="49" fontId="49" fillId="0" borderId="0" xfId="7" applyNumberFormat="1" applyFont="1" applyAlignment="1">
      <alignment horizontal="left" vertical="top" wrapText="1"/>
    </xf>
    <xf numFmtId="0" fontId="106" fillId="0" borderId="0" xfId="7" applyFont="1"/>
    <xf numFmtId="4" fontId="106" fillId="0" borderId="0" xfId="7" applyNumberFormat="1" applyFont="1" applyAlignment="1">
      <alignment horizontal="right"/>
    </xf>
    <xf numFmtId="3" fontId="106" fillId="0" borderId="0" xfId="7" applyNumberFormat="1" applyFont="1"/>
    <xf numFmtId="49" fontId="42" fillId="0" borderId="0" xfId="7" applyNumberFormat="1" applyFont="1" applyAlignment="1">
      <alignment horizontal="left" vertical="top" wrapText="1"/>
    </xf>
    <xf numFmtId="44" fontId="79" fillId="0" borderId="0" xfId="0" applyNumberFormat="1" applyFont="1" applyAlignment="1">
      <alignment horizontal="right" vertical="top"/>
    </xf>
    <xf numFmtId="0" fontId="102" fillId="0" borderId="0" xfId="0" applyFont="1" applyAlignment="1">
      <alignment horizontal="center" vertical="top" wrapText="1"/>
    </xf>
    <xf numFmtId="0" fontId="106" fillId="0" borderId="0" xfId="0" applyFont="1" applyAlignment="1">
      <alignment horizontal="right" vertical="center"/>
    </xf>
    <xf numFmtId="3" fontId="106" fillId="0" borderId="0" xfId="0" applyNumberFormat="1" applyFont="1" applyAlignment="1">
      <alignment horizontal="right" vertical="center"/>
    </xf>
    <xf numFmtId="3" fontId="102" fillId="0" borderId="0" xfId="0" applyNumberFormat="1" applyFont="1" applyAlignment="1">
      <alignment horizontal="right" vertical="center"/>
    </xf>
    <xf numFmtId="0" fontId="106" fillId="0" borderId="0" xfId="0" applyFont="1" applyAlignment="1">
      <alignment horizontal="center"/>
    </xf>
    <xf numFmtId="0" fontId="106" fillId="0" borderId="0" xfId="0" applyFont="1" applyAlignment="1">
      <alignment horizontal="right"/>
    </xf>
    <xf numFmtId="4" fontId="106" fillId="0" borderId="0" xfId="0" applyNumberFormat="1" applyFont="1" applyAlignment="1">
      <alignment horizontal="right"/>
    </xf>
    <xf numFmtId="0" fontId="106" fillId="0" borderId="0" xfId="0" applyFont="1" applyAlignment="1">
      <alignment horizontal="center" wrapText="1"/>
    </xf>
    <xf numFmtId="4" fontId="106" fillId="0" borderId="0" xfId="6" applyNumberFormat="1" applyFont="1" applyAlignment="1">
      <alignment horizontal="right"/>
    </xf>
    <xf numFmtId="49" fontId="106" fillId="0" borderId="0" xfId="0" applyNumberFormat="1" applyFont="1" applyAlignment="1">
      <alignment horizontal="left" vertical="top"/>
    </xf>
    <xf numFmtId="0" fontId="106" fillId="0" borderId="0" xfId="0" applyFont="1"/>
    <xf numFmtId="0" fontId="115" fillId="0" borderId="3" xfId="6" applyFont="1" applyBorder="1" applyAlignment="1">
      <alignment horizontal="center" vertical="center"/>
    </xf>
    <xf numFmtId="49" fontId="106" fillId="0" borderId="3" xfId="6" applyNumberFormat="1" applyFont="1" applyBorder="1" applyAlignment="1">
      <alignment horizontal="center" vertical="center" wrapText="1"/>
    </xf>
    <xf numFmtId="2" fontId="115" fillId="0" borderId="3" xfId="6" applyNumberFormat="1" applyFont="1" applyBorder="1" applyAlignment="1">
      <alignment horizontal="center" vertical="center"/>
    </xf>
    <xf numFmtId="4" fontId="115" fillId="0" borderId="3" xfId="6" applyNumberFormat="1" applyFont="1" applyBorder="1" applyAlignment="1">
      <alignment horizontal="center" vertical="center"/>
    </xf>
    <xf numFmtId="0" fontId="106" fillId="0" borderId="0" xfId="6" applyFont="1" applyAlignment="1">
      <alignment horizontal="right" vertical="top"/>
    </xf>
    <xf numFmtId="0" fontId="106" fillId="0" borderId="0" xfId="6" applyFont="1" applyAlignment="1">
      <alignment horizontal="center"/>
    </xf>
    <xf numFmtId="0" fontId="106" fillId="0" borderId="0" xfId="6" applyFont="1" applyAlignment="1">
      <alignment horizontal="right"/>
    </xf>
    <xf numFmtId="0" fontId="116" fillId="0" borderId="0" xfId="0" applyFont="1" applyAlignment="1">
      <alignment horizontal="center" vertical="top"/>
    </xf>
    <xf numFmtId="49" fontId="116" fillId="0" borderId="0" xfId="0" applyNumberFormat="1" applyFont="1" applyAlignment="1">
      <alignment horizontal="left" vertical="top"/>
    </xf>
    <xf numFmtId="49" fontId="102" fillId="0" borderId="0" xfId="0" applyNumberFormat="1" applyFont="1" applyAlignment="1">
      <alignment horizontal="left" vertical="top"/>
    </xf>
    <xf numFmtId="0" fontId="102" fillId="0" borderId="1" xfId="0" applyFont="1" applyBorder="1" applyAlignment="1">
      <alignment horizontal="right" vertical="top"/>
    </xf>
    <xf numFmtId="49" fontId="102" fillId="0" borderId="1" xfId="0" applyNumberFormat="1" applyFont="1" applyBorder="1" applyAlignment="1">
      <alignment horizontal="left" vertical="top"/>
    </xf>
    <xf numFmtId="0" fontId="102" fillId="0" borderId="1" xfId="0" applyFont="1" applyBorder="1" applyAlignment="1">
      <alignment horizontal="center"/>
    </xf>
    <xf numFmtId="0" fontId="102" fillId="0" borderId="1" xfId="0" applyFont="1" applyBorder="1" applyAlignment="1">
      <alignment horizontal="right"/>
    </xf>
    <xf numFmtId="4" fontId="102" fillId="0" borderId="1" xfId="0" applyNumberFormat="1" applyFont="1" applyBorder="1" applyAlignment="1">
      <alignment horizontal="right"/>
    </xf>
    <xf numFmtId="49" fontId="106" fillId="0" borderId="0" xfId="0" applyNumberFormat="1" applyFont="1" applyAlignment="1">
      <alignment horizontal="left" vertical="top" wrapText="1"/>
    </xf>
    <xf numFmtId="2" fontId="106" fillId="0" borderId="0" xfId="0" applyNumberFormat="1" applyFont="1" applyAlignment="1">
      <alignment horizontal="right"/>
    </xf>
    <xf numFmtId="169" fontId="106" fillId="0" borderId="0" xfId="0" applyNumberFormat="1" applyFont="1" applyAlignment="1">
      <alignment horizontal="right"/>
    </xf>
    <xf numFmtId="49" fontId="106" fillId="0" borderId="1" xfId="0" applyNumberFormat="1" applyFont="1" applyBorder="1" applyAlignment="1">
      <alignment horizontal="left" vertical="top"/>
    </xf>
    <xf numFmtId="0" fontId="106" fillId="0" borderId="1" xfId="0" applyFont="1" applyBorder="1" applyAlignment="1">
      <alignment horizontal="center"/>
    </xf>
    <xf numFmtId="0" fontId="106" fillId="0" borderId="1" xfId="0" applyFont="1" applyBorder="1" applyAlignment="1">
      <alignment horizontal="right"/>
    </xf>
    <xf numFmtId="4" fontId="106" fillId="0" borderId="1" xfId="0" applyNumberFormat="1" applyFont="1" applyBorder="1" applyAlignment="1">
      <alignment horizontal="right"/>
    </xf>
    <xf numFmtId="0" fontId="102" fillId="0" borderId="0" xfId="0" applyFont="1" applyAlignment="1">
      <alignment horizontal="center"/>
    </xf>
    <xf numFmtId="0" fontId="102" fillId="0" borderId="0" xfId="0" applyFont="1" applyAlignment="1">
      <alignment horizontal="right"/>
    </xf>
    <xf numFmtId="4" fontId="102" fillId="0" borderId="0" xfId="0" applyNumberFormat="1" applyFont="1" applyAlignment="1">
      <alignment horizontal="right"/>
    </xf>
    <xf numFmtId="4" fontId="106" fillId="0" borderId="0" xfId="0" applyNumberFormat="1" applyFont="1"/>
    <xf numFmtId="49" fontId="102" fillId="0" borderId="0" xfId="0" applyNumberFormat="1" applyFont="1" applyAlignment="1">
      <alignment horizontal="left" vertical="top" wrapText="1"/>
    </xf>
    <xf numFmtId="1" fontId="106" fillId="0" borderId="0" xfId="0" applyNumberFormat="1" applyFont="1" applyAlignment="1">
      <alignment horizontal="right"/>
    </xf>
    <xf numFmtId="169" fontId="102" fillId="0" borderId="0" xfId="0" applyNumberFormat="1" applyFont="1" applyAlignment="1">
      <alignment horizontal="right"/>
    </xf>
    <xf numFmtId="49" fontId="102" fillId="0" borderId="2" xfId="0" applyNumberFormat="1" applyFont="1" applyBorder="1" applyAlignment="1">
      <alignment vertical="top"/>
    </xf>
    <xf numFmtId="49" fontId="102" fillId="0" borderId="0" xfId="0" applyNumberFormat="1" applyFont="1" applyAlignment="1">
      <alignment vertical="top"/>
    </xf>
    <xf numFmtId="49" fontId="102" fillId="0" borderId="0" xfId="0" applyNumberFormat="1" applyFont="1" applyAlignment="1">
      <alignment vertical="top" wrapText="1"/>
    </xf>
    <xf numFmtId="0" fontId="103" fillId="3" borderId="4" xfId="0" applyFont="1" applyFill="1" applyBorder="1" applyAlignment="1">
      <alignment horizontal="center" vertical="top"/>
    </xf>
    <xf numFmtId="49" fontId="103" fillId="3" borderId="4" xfId="0" applyNumberFormat="1" applyFont="1" applyFill="1" applyBorder="1" applyAlignment="1">
      <alignment horizontal="left" vertical="top"/>
    </xf>
    <xf numFmtId="0" fontId="106" fillId="3" borderId="4" xfId="0" applyFont="1" applyFill="1" applyBorder="1" applyAlignment="1">
      <alignment horizontal="center"/>
    </xf>
    <xf numFmtId="0" fontId="106" fillId="3" borderId="4" xfId="0" applyFont="1" applyFill="1" applyBorder="1" applyAlignment="1">
      <alignment horizontal="right"/>
    </xf>
    <xf numFmtId="2" fontId="106" fillId="3" borderId="4" xfId="0" applyNumberFormat="1" applyFont="1" applyFill="1" applyBorder="1" applyAlignment="1">
      <alignment horizontal="right"/>
    </xf>
    <xf numFmtId="0" fontId="106" fillId="0" borderId="4" xfId="0" applyFont="1" applyBorder="1" applyAlignment="1">
      <alignment horizontal="right" vertical="top"/>
    </xf>
    <xf numFmtId="49" fontId="106" fillId="0" borderId="4" xfId="0" applyNumberFormat="1" applyFont="1" applyBorder="1" applyAlignment="1">
      <alignment horizontal="left" vertical="top"/>
    </xf>
    <xf numFmtId="0" fontId="106" fillId="0" borderId="4" xfId="0" applyFont="1" applyBorder="1" applyAlignment="1">
      <alignment horizontal="center"/>
    </xf>
    <xf numFmtId="0" fontId="106" fillId="0" borderId="4" xfId="0" applyFont="1" applyBorder="1" applyAlignment="1">
      <alignment horizontal="right"/>
    </xf>
    <xf numFmtId="2" fontId="106" fillId="0" borderId="4" xfId="0" applyNumberFormat="1" applyFont="1" applyBorder="1" applyAlignment="1">
      <alignment horizontal="right"/>
    </xf>
    <xf numFmtId="49" fontId="103" fillId="3" borderId="0" xfId="0" applyNumberFormat="1" applyFont="1" applyFill="1" applyAlignment="1">
      <alignment horizontal="left" vertical="top"/>
    </xf>
    <xf numFmtId="0" fontId="106" fillId="3" borderId="0" xfId="0" applyFont="1" applyFill="1" applyAlignment="1">
      <alignment horizontal="center"/>
    </xf>
    <xf numFmtId="0" fontId="106" fillId="3" borderId="0" xfId="0" applyFont="1" applyFill="1" applyAlignment="1">
      <alignment horizontal="right"/>
    </xf>
    <xf numFmtId="2" fontId="106" fillId="3" borderId="0" xfId="0" applyNumberFormat="1" applyFont="1" applyFill="1" applyAlignment="1">
      <alignment horizontal="right"/>
    </xf>
    <xf numFmtId="0" fontId="106" fillId="0" borderId="0" xfId="0" applyFont="1" applyAlignment="1">
      <alignment horizontal="right" vertical="top" wrapText="1"/>
    </xf>
    <xf numFmtId="0" fontId="78" fillId="0" borderId="0" xfId="0" applyFont="1" applyAlignment="1">
      <alignment vertical="top" wrapText="1"/>
    </xf>
    <xf numFmtId="49" fontId="14" fillId="0" borderId="0" xfId="0" applyNumberFormat="1" applyFont="1" applyAlignment="1">
      <alignment vertical="top" wrapText="1"/>
    </xf>
    <xf numFmtId="0" fontId="118" fillId="0" borderId="0" xfId="0" applyFont="1"/>
    <xf numFmtId="49" fontId="49" fillId="0" borderId="0" xfId="0" applyNumberFormat="1" applyFont="1" applyAlignment="1">
      <alignment horizontal="left" vertical="top" wrapText="1"/>
    </xf>
    <xf numFmtId="49" fontId="106" fillId="0" borderId="0" xfId="0" quotePrefix="1" applyNumberFormat="1" applyFont="1" applyAlignment="1">
      <alignment horizontal="left" vertical="top" wrapText="1"/>
    </xf>
    <xf numFmtId="49" fontId="117" fillId="0" borderId="0" xfId="0" quotePrefix="1" applyNumberFormat="1" applyFont="1" applyAlignment="1">
      <alignment horizontal="left" vertical="top" wrapText="1"/>
    </xf>
    <xf numFmtId="0" fontId="80" fillId="0" borderId="1" xfId="0" applyFont="1" applyBorder="1" applyAlignment="1">
      <alignment horizontal="right"/>
    </xf>
    <xf numFmtId="0" fontId="80" fillId="0" borderId="0" xfId="0" applyFont="1" applyAlignment="1">
      <alignment horizontal="right"/>
    </xf>
    <xf numFmtId="0" fontId="106" fillId="0" borderId="0" xfId="19" applyFont="1" applyAlignment="1">
      <alignment wrapText="1"/>
    </xf>
    <xf numFmtId="0" fontId="80" fillId="0" borderId="0" xfId="19" applyFont="1" applyAlignment="1">
      <alignment wrapText="1"/>
    </xf>
    <xf numFmtId="0" fontId="79" fillId="0" borderId="0" xfId="19" applyFont="1" applyAlignment="1">
      <alignment vertical="top" wrapText="1"/>
    </xf>
    <xf numFmtId="0" fontId="79" fillId="0" borderId="0" xfId="19" applyFont="1" applyAlignment="1">
      <alignment horizontal="center" vertical="top" wrapText="1"/>
    </xf>
    <xf numFmtId="0" fontId="79" fillId="0" borderId="0" xfId="19" applyFont="1" applyAlignment="1">
      <alignment horizontal="right" vertical="top" wrapText="1"/>
    </xf>
    <xf numFmtId="0" fontId="96" fillId="3" borderId="0" xfId="7" quotePrefix="1" applyFont="1" applyFill="1" applyAlignment="1">
      <alignment horizontal="center" vertical="top" wrapText="1"/>
    </xf>
    <xf numFmtId="2" fontId="96" fillId="3" borderId="0" xfId="7" applyNumberFormat="1" applyFont="1" applyFill="1" applyAlignment="1">
      <alignment horizontal="right" vertical="top" wrapText="1"/>
    </xf>
    <xf numFmtId="4" fontId="97" fillId="3" borderId="0" xfId="7" applyNumberFormat="1" applyFont="1" applyFill="1" applyAlignment="1">
      <alignment horizontal="right" vertical="top" wrapText="1"/>
    </xf>
    <xf numFmtId="4" fontId="96" fillId="3" borderId="0" xfId="7" applyNumberFormat="1" applyFont="1" applyFill="1" applyAlignment="1">
      <alignment horizontal="right" vertical="top" wrapText="1"/>
    </xf>
    <xf numFmtId="0" fontId="102" fillId="3" borderId="0" xfId="19" applyFont="1" applyFill="1" applyAlignment="1">
      <alignment horizontal="right" vertical="top" wrapText="1"/>
    </xf>
    <xf numFmtId="0" fontId="102" fillId="3" borderId="0" xfId="19" applyFont="1" applyFill="1" applyAlignment="1">
      <alignment horizontal="left" vertical="top" wrapText="1"/>
    </xf>
    <xf numFmtId="0" fontId="106" fillId="3" borderId="0" xfId="19" applyFont="1" applyFill="1" applyAlignment="1">
      <alignment horizontal="center" vertical="top" wrapText="1"/>
    </xf>
    <xf numFmtId="0" fontId="106" fillId="3" borderId="0" xfId="19" applyFont="1" applyFill="1" applyAlignment="1">
      <alignment horizontal="right" vertical="top" wrapText="1"/>
    </xf>
    <xf numFmtId="0" fontId="102" fillId="3" borderId="0" xfId="19" applyFont="1" applyFill="1" applyAlignment="1">
      <alignment horizontal="left" vertical="top"/>
    </xf>
    <xf numFmtId="0" fontId="102" fillId="3" borderId="0" xfId="19" applyFont="1" applyFill="1" applyAlignment="1">
      <alignment horizontal="right" wrapText="1"/>
    </xf>
    <xf numFmtId="0" fontId="102" fillId="3" borderId="0" xfId="19" applyFont="1" applyFill="1" applyAlignment="1">
      <alignment horizontal="center" vertical="top" wrapText="1"/>
    </xf>
    <xf numFmtId="0" fontId="102" fillId="3" borderId="0" xfId="13" applyFont="1" applyFill="1" applyAlignment="1">
      <alignment horizontal="right" vertical="top" wrapText="1"/>
    </xf>
    <xf numFmtId="0" fontId="102" fillId="3" borderId="0" xfId="13" applyFont="1" applyFill="1" applyAlignment="1">
      <alignment horizontal="left" vertical="top" wrapText="1"/>
    </xf>
    <xf numFmtId="0" fontId="106" fillId="3" borderId="0" xfId="13" applyFont="1" applyFill="1" applyAlignment="1">
      <alignment horizontal="center" vertical="top" wrapText="1"/>
    </xf>
    <xf numFmtId="0" fontId="106" fillId="3" borderId="0" xfId="13" applyFont="1" applyFill="1" applyAlignment="1">
      <alignment horizontal="right" vertical="top" wrapText="1"/>
    </xf>
    <xf numFmtId="0" fontId="102" fillId="0" borderId="0" xfId="13" applyFont="1" applyAlignment="1">
      <alignment horizontal="right" vertical="top" wrapText="1"/>
    </xf>
    <xf numFmtId="0" fontId="102" fillId="0" borderId="0" xfId="13" applyFont="1" applyAlignment="1">
      <alignment horizontal="left" vertical="top" wrapText="1"/>
    </xf>
    <xf numFmtId="0" fontId="106" fillId="0" borderId="0" xfId="13" applyFont="1" applyAlignment="1">
      <alignment horizontal="center" vertical="top" wrapText="1"/>
    </xf>
    <xf numFmtId="0" fontId="106" fillId="0" borderId="0" xfId="13" applyFont="1" applyAlignment="1">
      <alignment horizontal="right" vertical="top" wrapText="1"/>
    </xf>
    <xf numFmtId="0" fontId="106" fillId="0" borderId="0" xfId="13" applyFont="1" applyAlignment="1">
      <alignment horizontal="left" vertical="top" wrapText="1"/>
    </xf>
    <xf numFmtId="0" fontId="102" fillId="0" borderId="1" xfId="13" applyFont="1" applyBorder="1" applyAlignment="1">
      <alignment horizontal="right" vertical="top" wrapText="1"/>
    </xf>
    <xf numFmtId="0" fontId="106" fillId="0" borderId="1" xfId="13" applyFont="1" applyBorder="1" applyAlignment="1">
      <alignment horizontal="left" vertical="top" wrapText="1"/>
    </xf>
    <xf numFmtId="0" fontId="106" fillId="0" borderId="1" xfId="13" applyFont="1" applyBorder="1" applyAlignment="1">
      <alignment horizontal="center" vertical="top" wrapText="1"/>
    </xf>
    <xf numFmtId="0" fontId="106" fillId="0" borderId="1" xfId="13" applyFont="1" applyBorder="1" applyAlignment="1">
      <alignment horizontal="right" vertical="top" wrapText="1"/>
    </xf>
    <xf numFmtId="0" fontId="102" fillId="0" borderId="0" xfId="13" applyFont="1" applyAlignment="1">
      <alignment horizontal="center" vertical="top" wrapText="1"/>
    </xf>
    <xf numFmtId="1" fontId="106" fillId="3" borderId="0" xfId="20" applyNumberFormat="1" applyFont="1" applyFill="1" applyAlignment="1">
      <alignment horizontal="right" vertical="top" wrapText="1"/>
    </xf>
    <xf numFmtId="0" fontId="102" fillId="0" borderId="0" xfId="19" applyFont="1" applyAlignment="1">
      <alignment horizontal="right" vertical="top" wrapText="1"/>
    </xf>
    <xf numFmtId="0" fontId="102" fillId="0" borderId="0" xfId="19" applyFont="1" applyAlignment="1">
      <alignment horizontal="left" vertical="top" wrapText="1"/>
    </xf>
    <xf numFmtId="0" fontId="106" fillId="0" borderId="0" xfId="19" applyFont="1" applyAlignment="1">
      <alignment horizontal="center" vertical="top" wrapText="1"/>
    </xf>
    <xf numFmtId="1" fontId="106" fillId="0" borderId="0" xfId="20" applyNumberFormat="1" applyFont="1" applyAlignment="1">
      <alignment horizontal="right" vertical="top" wrapText="1"/>
    </xf>
    <xf numFmtId="44" fontId="106" fillId="0" borderId="0" xfId="20" applyFont="1" applyAlignment="1">
      <alignment horizontal="right" vertical="top" wrapText="1"/>
    </xf>
    <xf numFmtId="0" fontId="106" fillId="0" borderId="0" xfId="19" applyFont="1" applyAlignment="1">
      <alignment horizontal="right" vertical="top" wrapText="1"/>
    </xf>
    <xf numFmtId="0" fontId="106" fillId="0" borderId="0" xfId="19" applyFont="1" applyAlignment="1">
      <alignment horizontal="left" vertical="top" wrapText="1"/>
    </xf>
    <xf numFmtId="49" fontId="106" fillId="0" borderId="0" xfId="19" applyNumberFormat="1" applyFont="1" applyAlignment="1">
      <alignment horizontal="left" vertical="top" wrapText="1"/>
    </xf>
    <xf numFmtId="1" fontId="106" fillId="0" borderId="0" xfId="20" applyNumberFormat="1" applyFont="1" applyFill="1" applyBorder="1" applyAlignment="1">
      <alignment horizontal="right" vertical="top" wrapText="1"/>
    </xf>
    <xf numFmtId="0" fontId="102" fillId="0" borderId="1" xfId="19" applyFont="1" applyBorder="1" applyAlignment="1">
      <alignment horizontal="right" vertical="top" wrapText="1"/>
    </xf>
    <xf numFmtId="0" fontId="106" fillId="0" borderId="1" xfId="19" applyFont="1" applyBorder="1" applyAlignment="1">
      <alignment horizontal="left" vertical="top" wrapText="1"/>
    </xf>
    <xf numFmtId="0" fontId="106" fillId="0" borderId="1" xfId="19" applyFont="1" applyBorder="1" applyAlignment="1">
      <alignment horizontal="center" vertical="top" wrapText="1"/>
    </xf>
    <xf numFmtId="1" fontId="106" fillId="0" borderId="1" xfId="20" applyNumberFormat="1" applyFont="1" applyBorder="1" applyAlignment="1">
      <alignment horizontal="right" vertical="top" wrapText="1"/>
    </xf>
    <xf numFmtId="0" fontId="106" fillId="0" borderId="1" xfId="19" applyFont="1" applyBorder="1" applyAlignment="1">
      <alignment horizontal="right" vertical="top" wrapText="1"/>
    </xf>
    <xf numFmtId="0" fontId="102" fillId="0" borderId="0" xfId="19" applyFont="1" applyAlignment="1">
      <alignment horizontal="center" vertical="top" wrapText="1"/>
    </xf>
    <xf numFmtId="1" fontId="102" fillId="0" borderId="0" xfId="20" applyNumberFormat="1" applyFont="1" applyAlignment="1">
      <alignment horizontal="right" vertical="top" wrapText="1"/>
    </xf>
    <xf numFmtId="0" fontId="103" fillId="3" borderId="0" xfId="19" applyFont="1" applyFill="1" applyAlignment="1">
      <alignment horizontal="center"/>
    </xf>
    <xf numFmtId="0" fontId="103" fillId="3" borderId="0" xfId="19" applyFont="1" applyFill="1"/>
    <xf numFmtId="0" fontId="103" fillId="3" borderId="0" xfId="19" applyFont="1" applyFill="1" applyAlignment="1">
      <alignment horizontal="right"/>
    </xf>
    <xf numFmtId="0" fontId="102" fillId="0" borderId="0" xfId="19" applyFont="1" applyAlignment="1">
      <alignment horizontal="right"/>
    </xf>
    <xf numFmtId="0" fontId="102" fillId="0" borderId="0" xfId="19" applyFont="1"/>
    <xf numFmtId="0" fontId="106" fillId="0" borderId="0" xfId="19" applyFont="1" applyAlignment="1">
      <alignment horizontal="right"/>
    </xf>
    <xf numFmtId="0" fontId="106" fillId="0" borderId="0" xfId="19" applyFont="1"/>
    <xf numFmtId="4" fontId="106" fillId="0" borderId="0" xfId="19" applyNumberFormat="1" applyFont="1" applyAlignment="1">
      <alignment horizontal="right"/>
    </xf>
    <xf numFmtId="169" fontId="106" fillId="0" borderId="0" xfId="19" applyNumberFormat="1" applyFont="1"/>
    <xf numFmtId="0" fontId="102" fillId="0" borderId="1" xfId="19" applyFont="1" applyBorder="1" applyAlignment="1">
      <alignment horizontal="right"/>
    </xf>
    <xf numFmtId="0" fontId="102" fillId="0" borderId="1" xfId="19" applyFont="1" applyBorder="1"/>
    <xf numFmtId="4" fontId="103" fillId="3" borderId="0" xfId="19" applyNumberFormat="1" applyFont="1" applyFill="1" applyAlignment="1">
      <alignment horizontal="right"/>
    </xf>
    <xf numFmtId="0" fontId="106" fillId="0" borderId="0" xfId="19" applyFont="1" applyAlignment="1">
      <alignment vertical="top" wrapText="1"/>
    </xf>
    <xf numFmtId="49" fontId="106" fillId="0" borderId="0" xfId="19" applyNumberFormat="1" applyFont="1" applyAlignment="1" applyProtection="1">
      <alignment horizontal="left" vertical="top" wrapText="1"/>
      <protection locked="0"/>
    </xf>
    <xf numFmtId="0" fontId="80" fillId="0" borderId="0" xfId="7" quotePrefix="1" applyFont="1" applyAlignment="1">
      <alignment horizontal="center" vertical="top" wrapText="1"/>
    </xf>
    <xf numFmtId="0" fontId="80" fillId="0" borderId="0" xfId="7" applyFont="1" applyAlignment="1">
      <alignment vertical="center" wrapText="1"/>
    </xf>
    <xf numFmtId="2" fontId="80" fillId="0" borderId="0" xfId="7" applyNumberFormat="1" applyFont="1" applyAlignment="1">
      <alignment horizontal="right" vertical="top" wrapText="1"/>
    </xf>
    <xf numFmtId="4" fontId="79" fillId="0" borderId="0" xfId="7" applyNumberFormat="1" applyFont="1" applyAlignment="1">
      <alignment horizontal="right" vertical="top" wrapText="1"/>
    </xf>
    <xf numFmtId="4" fontId="80" fillId="0" borderId="0" xfId="7" applyNumberFormat="1" applyFont="1" applyAlignment="1">
      <alignment horizontal="right" vertical="top" wrapText="1"/>
    </xf>
    <xf numFmtId="0" fontId="80" fillId="0" borderId="0" xfId="7" quotePrefix="1" applyFont="1" applyAlignment="1">
      <alignment horizontal="center" vertical="top"/>
    </xf>
    <xf numFmtId="2" fontId="80" fillId="0" borderId="0" xfId="7" applyNumberFormat="1" applyFont="1" applyAlignment="1">
      <alignment horizontal="right" vertical="top"/>
    </xf>
    <xf numFmtId="0" fontId="80" fillId="0" borderId="0" xfId="7" applyFont="1" applyAlignment="1">
      <alignment vertical="center"/>
    </xf>
    <xf numFmtId="0" fontId="15" fillId="0" borderId="0" xfId="0" applyFont="1" applyAlignment="1">
      <alignment vertical="center"/>
    </xf>
    <xf numFmtId="4" fontId="88" fillId="0" borderId="3" xfId="7" applyNumberFormat="1" applyFont="1" applyBorder="1" applyAlignment="1">
      <alignment horizontal="right" vertical="top"/>
    </xf>
    <xf numFmtId="0" fontId="88" fillId="0" borderId="3" xfId="7" applyFont="1" applyBorder="1" applyAlignment="1">
      <alignment horizontal="right" vertical="top"/>
    </xf>
    <xf numFmtId="16" fontId="106" fillId="0" borderId="0" xfId="7" applyNumberFormat="1" applyFont="1" applyAlignment="1">
      <alignment horizontal="right" vertical="top"/>
    </xf>
    <xf numFmtId="16" fontId="106" fillId="0" borderId="0" xfId="7" applyNumberFormat="1" applyFont="1" applyAlignment="1">
      <alignment horizontal="left" vertical="top"/>
    </xf>
    <xf numFmtId="1" fontId="86" fillId="0" borderId="0" xfId="7" applyNumberFormat="1" applyFont="1" applyAlignment="1">
      <alignment horizontal="right" vertical="top"/>
    </xf>
    <xf numFmtId="44" fontId="106" fillId="0" borderId="0" xfId="7" applyNumberFormat="1" applyFont="1" applyAlignment="1">
      <alignment horizontal="right" vertical="top"/>
    </xf>
    <xf numFmtId="1" fontId="88" fillId="0" borderId="0" xfId="7" applyNumberFormat="1" applyFont="1" applyAlignment="1">
      <alignment horizontal="right" vertical="top"/>
    </xf>
    <xf numFmtId="49" fontId="102" fillId="0" borderId="0" xfId="8" applyNumberFormat="1" applyFont="1" applyAlignment="1">
      <alignment horizontal="left" vertical="top" wrapText="1"/>
    </xf>
    <xf numFmtId="0" fontId="106" fillId="0" borderId="0" xfId="7" applyFont="1" applyAlignment="1">
      <alignment horizontal="center" vertical="top"/>
    </xf>
    <xf numFmtId="1" fontId="106" fillId="0" borderId="0" xfId="7" applyNumberFormat="1" applyFont="1" applyAlignment="1">
      <alignment horizontal="right" vertical="top"/>
    </xf>
    <xf numFmtId="4" fontId="106" fillId="0" borderId="0" xfId="7" applyNumberFormat="1" applyFont="1" applyAlignment="1">
      <alignment horizontal="right" vertical="top"/>
    </xf>
    <xf numFmtId="49" fontId="106" fillId="0" borderId="0" xfId="8" applyNumberFormat="1" applyFont="1" applyAlignment="1">
      <alignment horizontal="left" vertical="top" wrapText="1"/>
    </xf>
    <xf numFmtId="1" fontId="106" fillId="0" borderId="0" xfId="7" applyNumberFormat="1" applyFont="1" applyAlignment="1">
      <alignment vertical="center"/>
    </xf>
    <xf numFmtId="0" fontId="106" fillId="0" borderId="0" xfId="7" applyFont="1" applyAlignment="1">
      <alignment vertical="center"/>
    </xf>
    <xf numFmtId="0" fontId="66" fillId="0" borderId="0" xfId="0" quotePrefix="1" applyFont="1" applyAlignment="1">
      <alignment vertical="top"/>
    </xf>
    <xf numFmtId="49" fontId="99" fillId="0" borderId="0" xfId="8" quotePrefix="1" applyNumberFormat="1" applyFont="1" applyAlignment="1">
      <alignment horizontal="left" vertical="top" wrapText="1"/>
    </xf>
    <xf numFmtId="1" fontId="79" fillId="0" borderId="0" xfId="7" applyNumberFormat="1" applyFont="1" applyAlignment="1">
      <alignment horizontal="right" vertical="top"/>
    </xf>
    <xf numFmtId="16" fontId="102" fillId="0" borderId="6" xfId="7" applyNumberFormat="1" applyFont="1" applyBorder="1" applyAlignment="1">
      <alignment horizontal="right" vertical="top"/>
    </xf>
    <xf numFmtId="49" fontId="80" fillId="0" borderId="7" xfId="7" applyNumberFormat="1" applyFont="1" applyBorder="1" applyAlignment="1">
      <alignment horizontal="left" vertical="top" wrapText="1"/>
    </xf>
    <xf numFmtId="0" fontId="80" fillId="0" borderId="7" xfId="7" applyFont="1" applyBorder="1" applyAlignment="1">
      <alignment horizontal="center" vertical="top"/>
    </xf>
    <xf numFmtId="1" fontId="80" fillId="0" borderId="7" xfId="7" applyNumberFormat="1" applyFont="1" applyBorder="1" applyAlignment="1">
      <alignment horizontal="right" vertical="top"/>
    </xf>
    <xf numFmtId="4" fontId="79" fillId="0" borderId="7" xfId="7" applyNumberFormat="1" applyFont="1" applyBorder="1" applyAlignment="1">
      <alignment horizontal="right" vertical="top"/>
    </xf>
    <xf numFmtId="4" fontId="80" fillId="0" borderId="8" xfId="7" applyNumberFormat="1" applyFont="1" applyBorder="1" applyAlignment="1">
      <alignment horizontal="right" vertical="top"/>
    </xf>
    <xf numFmtId="4" fontId="80" fillId="0" borderId="0" xfId="10" applyFont="1"/>
    <xf numFmtId="1" fontId="80" fillId="0" borderId="0" xfId="7" applyNumberFormat="1" applyFont="1" applyAlignment="1">
      <alignment horizontal="right" vertical="top"/>
    </xf>
    <xf numFmtId="16" fontId="102" fillId="0" borderId="9" xfId="7" applyNumberFormat="1" applyFont="1" applyBorder="1" applyAlignment="1">
      <alignment horizontal="right" vertical="top"/>
    </xf>
    <xf numFmtId="49" fontId="80" fillId="0" borderId="10" xfId="7" applyNumberFormat="1" applyFont="1" applyBorder="1" applyAlignment="1">
      <alignment horizontal="left" vertical="top" wrapText="1"/>
    </xf>
    <xf numFmtId="0" fontId="80" fillId="0" borderId="10" xfId="7" applyFont="1" applyBorder="1" applyAlignment="1">
      <alignment horizontal="center" vertical="top"/>
    </xf>
    <xf numFmtId="1" fontId="80" fillId="0" borderId="10" xfId="7" applyNumberFormat="1" applyFont="1" applyBorder="1" applyAlignment="1">
      <alignment horizontal="right" vertical="top"/>
    </xf>
    <xf numFmtId="4" fontId="79" fillId="0" borderId="10" xfId="7" applyNumberFormat="1" applyFont="1" applyBorder="1" applyAlignment="1">
      <alignment horizontal="right" vertical="top"/>
    </xf>
    <xf numFmtId="4" fontId="80" fillId="0" borderId="11" xfId="7" applyNumberFormat="1" applyFont="1" applyBorder="1" applyAlignment="1">
      <alignment horizontal="right" vertical="top"/>
    </xf>
    <xf numFmtId="0" fontId="106" fillId="0" borderId="0" xfId="16" applyFont="1" applyAlignment="1">
      <alignment horizontal="left" vertical="top" wrapText="1"/>
    </xf>
    <xf numFmtId="0" fontId="49" fillId="0" borderId="0" xfId="16" applyFont="1" applyAlignment="1">
      <alignment horizontal="left" vertical="top" wrapText="1"/>
    </xf>
    <xf numFmtId="2" fontId="79" fillId="0" borderId="0" xfId="7" applyNumberFormat="1" applyFont="1" applyAlignment="1">
      <alignment horizontal="left"/>
    </xf>
    <xf numFmtId="0" fontId="14" fillId="0" borderId="0" xfId="86" applyFont="1" applyAlignment="1">
      <alignment horizontal="left" vertical="top" wrapText="1"/>
    </xf>
    <xf numFmtId="2" fontId="79" fillId="4" borderId="0" xfId="7" applyNumberFormat="1" applyFont="1" applyFill="1" applyAlignment="1">
      <alignment horizontal="left"/>
    </xf>
    <xf numFmtId="0" fontId="80" fillId="0" borderId="0" xfId="16" applyFont="1" applyAlignment="1">
      <alignment horizontal="left" vertical="top" wrapText="1"/>
    </xf>
    <xf numFmtId="2" fontId="106" fillId="0" borderId="0" xfId="7" applyNumberFormat="1" applyFont="1" applyAlignment="1">
      <alignment horizontal="center" vertical="top"/>
    </xf>
    <xf numFmtId="2" fontId="106" fillId="0" borderId="0" xfId="7" applyNumberFormat="1" applyFont="1" applyAlignment="1">
      <alignment horizontal="left"/>
    </xf>
    <xf numFmtId="0" fontId="102" fillId="0" borderId="1" xfId="7" applyFont="1" applyBorder="1" applyAlignment="1">
      <alignment horizontal="right" vertical="top"/>
    </xf>
    <xf numFmtId="49" fontId="79" fillId="0" borderId="1" xfId="7" quotePrefix="1" applyNumberFormat="1" applyFont="1" applyBorder="1" applyAlignment="1">
      <alignment horizontal="left" vertical="top" wrapText="1"/>
    </xf>
    <xf numFmtId="0" fontId="79" fillId="0" borderId="1" xfId="7" applyFont="1" applyBorder="1" applyAlignment="1">
      <alignment horizontal="center" vertical="top"/>
    </xf>
    <xf numFmtId="1" fontId="79" fillId="0" borderId="1" xfId="7" applyNumberFormat="1" applyFont="1" applyBorder="1" applyAlignment="1">
      <alignment horizontal="right" vertical="top"/>
    </xf>
    <xf numFmtId="4" fontId="79" fillId="0" borderId="1" xfId="7" applyNumberFormat="1" applyFont="1" applyBorder="1" applyAlignment="1">
      <alignment horizontal="right" vertical="top"/>
    </xf>
    <xf numFmtId="4" fontId="106" fillId="0" borderId="0" xfId="7" applyNumberFormat="1" applyFont="1"/>
    <xf numFmtId="49" fontId="80" fillId="0" borderId="10" xfId="7" applyNumberFormat="1" applyFont="1" applyBorder="1" applyAlignment="1">
      <alignment horizontal="left" vertical="top"/>
    </xf>
    <xf numFmtId="0" fontId="14" fillId="0" borderId="0" xfId="16" applyFont="1" applyAlignment="1">
      <alignment horizontal="left" vertical="top" wrapText="1"/>
    </xf>
    <xf numFmtId="2" fontId="79" fillId="0" borderId="0" xfId="7" applyNumberFormat="1" applyFont="1" applyAlignment="1">
      <alignment horizontal="left" vertical="top"/>
    </xf>
    <xf numFmtId="0" fontId="14" fillId="0" borderId="0" xfId="71" applyFont="1" applyAlignment="1">
      <alignment horizontal="left" vertical="top" wrapText="1"/>
    </xf>
    <xf numFmtId="0" fontId="49" fillId="0" borderId="0" xfId="71" applyFont="1" applyAlignment="1">
      <alignment horizontal="left" vertical="top" wrapText="1"/>
    </xf>
    <xf numFmtId="0" fontId="106" fillId="0" borderId="0" xfId="7" applyFont="1" applyAlignment="1">
      <alignment vertical="top" wrapText="1"/>
    </xf>
    <xf numFmtId="0" fontId="102" fillId="0" borderId="4" xfId="7" applyFont="1" applyBorder="1" applyAlignment="1">
      <alignment horizontal="right" vertical="top"/>
    </xf>
    <xf numFmtId="49" fontId="79" fillId="0" borderId="4" xfId="7" quotePrefix="1" applyNumberFormat="1" applyFont="1" applyBorder="1" applyAlignment="1">
      <alignment horizontal="left" vertical="top" wrapText="1"/>
    </xf>
    <xf numFmtId="0" fontId="79" fillId="0" borderId="4" xfId="7" applyFont="1" applyBorder="1" applyAlignment="1">
      <alignment horizontal="center" vertical="top"/>
    </xf>
    <xf numFmtId="1" fontId="79" fillId="0" borderId="4" xfId="7" applyNumberFormat="1" applyFont="1" applyBorder="1" applyAlignment="1">
      <alignment horizontal="right" vertical="top"/>
    </xf>
    <xf numFmtId="4" fontId="79" fillId="0" borderId="4" xfId="7" applyNumberFormat="1" applyFont="1" applyBorder="1" applyAlignment="1">
      <alignment horizontal="right" vertical="top"/>
    </xf>
    <xf numFmtId="0" fontId="106" fillId="0" borderId="0" xfId="71" applyFont="1" applyAlignment="1">
      <alignment horizontal="left" vertical="top" wrapText="1"/>
    </xf>
    <xf numFmtId="0" fontId="81" fillId="3" borderId="6" xfId="7" applyFont="1" applyFill="1" applyBorder="1" applyAlignment="1">
      <alignment horizontal="center" vertical="center"/>
    </xf>
    <xf numFmtId="0" fontId="81" fillId="3" borderId="7" xfId="7" applyFont="1" applyFill="1" applyBorder="1" applyAlignment="1">
      <alignment horizontal="left" vertical="top" wrapText="1"/>
    </xf>
    <xf numFmtId="44" fontId="84" fillId="3" borderId="8" xfId="7" applyNumberFormat="1" applyFont="1" applyFill="1" applyBorder="1" applyAlignment="1">
      <alignment horizontal="right" vertical="center"/>
    </xf>
    <xf numFmtId="16" fontId="105" fillId="0" borderId="9" xfId="7" applyNumberFormat="1" applyFont="1" applyBorder="1" applyAlignment="1">
      <alignment horizontal="right" vertical="top"/>
    </xf>
    <xf numFmtId="0" fontId="105" fillId="0" borderId="10" xfId="7" applyFont="1" applyBorder="1" applyAlignment="1">
      <alignment horizontal="left" vertical="top"/>
    </xf>
    <xf numFmtId="0" fontId="130" fillId="0" borderId="10" xfId="7" applyFont="1" applyBorder="1" applyAlignment="1">
      <alignment wrapText="1"/>
    </xf>
    <xf numFmtId="1" fontId="105" fillId="0" borderId="10" xfId="7" applyNumberFormat="1" applyFont="1" applyBorder="1" applyAlignment="1">
      <alignment horizontal="right" vertical="top"/>
    </xf>
    <xf numFmtId="4" fontId="130" fillId="0" borderId="10" xfId="7" applyNumberFormat="1" applyFont="1" applyBorder="1" applyAlignment="1">
      <alignment horizontal="right" vertical="top"/>
    </xf>
    <xf numFmtId="49" fontId="106" fillId="0" borderId="0" xfId="7" applyNumberFormat="1" applyFont="1" applyAlignment="1">
      <alignment horizontal="right" vertical="top"/>
    </xf>
    <xf numFmtId="49" fontId="106" fillId="0" borderId="0" xfId="7" applyNumberFormat="1" applyFont="1" applyAlignment="1">
      <alignment horizontal="left" vertical="top"/>
    </xf>
    <xf numFmtId="0" fontId="106" fillId="0" borderId="0" xfId="7" quotePrefix="1" applyFont="1" applyAlignment="1">
      <alignment wrapText="1"/>
    </xf>
    <xf numFmtId="1" fontId="109" fillId="0" borderId="0" xfId="7" applyNumberFormat="1" applyFont="1" applyAlignment="1">
      <alignment horizontal="right" vertical="top"/>
    </xf>
    <xf numFmtId="4" fontId="109" fillId="0" borderId="0" xfId="7" applyNumberFormat="1" applyFont="1" applyAlignment="1">
      <alignment horizontal="right" vertical="top"/>
    </xf>
    <xf numFmtId="0" fontId="106" fillId="0" borderId="0" xfId="7" applyFont="1" applyAlignment="1">
      <alignment horizontal="left" vertical="top"/>
    </xf>
    <xf numFmtId="49" fontId="105" fillId="0" borderId="10" xfId="7" applyNumberFormat="1" applyFont="1" applyBorder="1" applyAlignment="1">
      <alignment horizontal="left" vertical="top"/>
    </xf>
    <xf numFmtId="1" fontId="95" fillId="0" borderId="0" xfId="7" applyNumberFormat="1" applyFont="1" applyAlignment="1">
      <alignment horizontal="right" vertical="top"/>
    </xf>
    <xf numFmtId="4" fontId="79" fillId="0" borderId="0" xfId="7" applyNumberFormat="1" applyFont="1" applyAlignment="1">
      <alignment horizontal="center"/>
    </xf>
    <xf numFmtId="0" fontId="106" fillId="0" borderId="0" xfId="0" applyFont="1" applyAlignment="1">
      <alignment horizontal="center" vertical="top" wrapText="1"/>
    </xf>
    <xf numFmtId="4" fontId="106" fillId="0" borderId="0" xfId="0" applyNumberFormat="1" applyFont="1" applyAlignment="1">
      <alignment horizontal="right" vertical="top"/>
    </xf>
    <xf numFmtId="4" fontId="106" fillId="0" borderId="0" xfId="6" applyNumberFormat="1" applyFont="1" applyAlignment="1">
      <alignment horizontal="right" vertical="top"/>
    </xf>
    <xf numFmtId="0" fontId="102" fillId="0" borderId="0" xfId="0" applyFont="1" applyAlignment="1">
      <alignment horizontal="center" vertical="top"/>
    </xf>
    <xf numFmtId="4" fontId="102" fillId="0" borderId="0" xfId="0" applyNumberFormat="1" applyFont="1" applyAlignment="1">
      <alignment horizontal="right" vertical="top"/>
    </xf>
    <xf numFmtId="0" fontId="106" fillId="0" borderId="0" xfId="0" applyFont="1" applyAlignment="1">
      <alignment horizontal="center" vertical="top"/>
    </xf>
    <xf numFmtId="169" fontId="106" fillId="0" borderId="0" xfId="0" applyNumberFormat="1" applyFont="1" applyAlignment="1">
      <alignment horizontal="right" vertical="top"/>
    </xf>
    <xf numFmtId="0" fontId="106" fillId="0" borderId="1" xfId="0" applyFont="1" applyBorder="1" applyAlignment="1">
      <alignment horizontal="center" vertical="top"/>
    </xf>
    <xf numFmtId="0" fontId="106" fillId="0" borderId="1" xfId="0" applyFont="1" applyBorder="1" applyAlignment="1">
      <alignment horizontal="right" vertical="top"/>
    </xf>
    <xf numFmtId="4" fontId="106" fillId="0" borderId="1" xfId="0" applyNumberFormat="1" applyFont="1" applyBorder="1" applyAlignment="1">
      <alignment horizontal="right" vertical="top"/>
    </xf>
    <xf numFmtId="2" fontId="79" fillId="0" borderId="0" xfId="7" applyNumberFormat="1" applyFont="1" applyAlignment="1">
      <alignment vertical="top"/>
    </xf>
    <xf numFmtId="2" fontId="80" fillId="0" borderId="0" xfId="7" applyNumberFormat="1" applyFont="1" applyAlignment="1">
      <alignment vertical="center"/>
    </xf>
    <xf numFmtId="4" fontId="80" fillId="0" borderId="0" xfId="7" applyNumberFormat="1" applyFont="1" applyAlignment="1">
      <alignment vertical="center"/>
    </xf>
    <xf numFmtId="4" fontId="79" fillId="0" borderId="0" xfId="10" applyFont="1" applyAlignment="1">
      <alignment vertical="center"/>
    </xf>
    <xf numFmtId="174" fontId="106" fillId="0" borderId="0" xfId="20" applyNumberFormat="1" applyFont="1" applyBorder="1" applyAlignment="1">
      <alignment horizontal="right" vertical="top" wrapText="1"/>
    </xf>
    <xf numFmtId="165" fontId="80" fillId="0" borderId="0" xfId="0" applyNumberFormat="1" applyFont="1" applyAlignment="1">
      <alignment horizontal="right" vertical="top"/>
    </xf>
    <xf numFmtId="0" fontId="112" fillId="0" borderId="0" xfId="0" applyFont="1" applyAlignment="1">
      <alignment horizontal="right" vertical="top"/>
    </xf>
    <xf numFmtId="0" fontId="131" fillId="0" borderId="0" xfId="0" applyFont="1" applyAlignment="1">
      <alignment vertical="top" wrapText="1"/>
    </xf>
    <xf numFmtId="175" fontId="80" fillId="2" borderId="0" xfId="0" applyNumberFormat="1" applyFont="1" applyFill="1" applyAlignment="1">
      <alignment vertical="center"/>
    </xf>
    <xf numFmtId="0" fontId="79" fillId="0" borderId="0" xfId="14" applyFont="1" applyAlignment="1">
      <alignment vertical="top" wrapText="1"/>
    </xf>
    <xf numFmtId="0" fontId="79" fillId="0" borderId="0" xfId="14" applyFont="1" applyAlignment="1">
      <alignment horizontal="center" vertical="top" wrapText="1"/>
    </xf>
    <xf numFmtId="165" fontId="79" fillId="0" borderId="0" xfId="14" applyNumberFormat="1" applyFont="1" applyAlignment="1">
      <alignment vertical="top"/>
    </xf>
    <xf numFmtId="166" fontId="79" fillId="0" borderId="0" xfId="14" applyNumberFormat="1" applyFont="1" applyAlignment="1">
      <alignment vertical="top" wrapText="1"/>
    </xf>
    <xf numFmtId="49" fontId="80" fillId="0" borderId="0" xfId="14" applyNumberFormat="1" applyFont="1" applyAlignment="1">
      <alignment horizontal="right" vertical="top"/>
    </xf>
    <xf numFmtId="49" fontId="79" fillId="0" borderId="0" xfId="14" applyNumberFormat="1" applyFont="1" applyAlignment="1">
      <alignment vertical="top" wrapText="1"/>
    </xf>
    <xf numFmtId="0" fontId="94" fillId="0" borderId="0" xfId="14" applyFont="1" applyAlignment="1">
      <alignment vertical="top" wrapText="1"/>
    </xf>
    <xf numFmtId="0" fontId="78" fillId="0" borderId="0" xfId="14" applyFont="1" applyAlignment="1">
      <alignment vertical="top" wrapText="1"/>
    </xf>
    <xf numFmtId="0" fontId="96" fillId="3" borderId="0" xfId="7" applyFont="1" applyFill="1" applyAlignment="1">
      <alignment vertical="center" wrapText="1"/>
    </xf>
    <xf numFmtId="49" fontId="79" fillId="0" borderId="0" xfId="0" applyNumberFormat="1" applyFont="1" applyAlignment="1">
      <alignment horizontal="left" vertical="top" wrapText="1"/>
    </xf>
    <xf numFmtId="49" fontId="14" fillId="0" borderId="0" xfId="0" applyNumberFormat="1" applyFont="1" applyAlignment="1">
      <alignment horizontal="left" vertical="top" wrapText="1"/>
    </xf>
    <xf numFmtId="49" fontId="132" fillId="0" borderId="0" xfId="0" applyNumberFormat="1" applyFont="1" applyAlignment="1">
      <alignment vertical="top" wrapText="1"/>
    </xf>
    <xf numFmtId="175" fontId="79" fillId="0" borderId="0" xfId="0" applyNumberFormat="1" applyFont="1"/>
    <xf numFmtId="175" fontId="80" fillId="3" borderId="0" xfId="0" applyNumberFormat="1" applyFont="1" applyFill="1"/>
    <xf numFmtId="175" fontId="80" fillId="0" borderId="0" xfId="0" applyNumberFormat="1" applyFont="1" applyAlignment="1">
      <alignment vertical="top"/>
    </xf>
    <xf numFmtId="0" fontId="79" fillId="0" borderId="0" xfId="19" applyFont="1" applyAlignment="1" applyProtection="1">
      <alignment horizontal="left" vertical="top" wrapText="1"/>
      <protection locked="0"/>
    </xf>
    <xf numFmtId="0" fontId="80" fillId="0" borderId="0" xfId="19" applyFont="1" applyAlignment="1" applyProtection="1">
      <alignment horizontal="left" vertical="top" wrapText="1"/>
      <protection locked="0"/>
    </xf>
    <xf numFmtId="175" fontId="105" fillId="3" borderId="0" xfId="19" applyNumberFormat="1" applyFont="1" applyFill="1"/>
    <xf numFmtId="2" fontId="79" fillId="0" borderId="0" xfId="7" applyNumberFormat="1" applyFont="1" applyAlignment="1">
      <alignment vertical="center"/>
    </xf>
    <xf numFmtId="2" fontId="80" fillId="0" borderId="0" xfId="7" applyNumberFormat="1" applyFont="1"/>
    <xf numFmtId="175" fontId="80" fillId="0" borderId="2" xfId="7" applyNumberFormat="1" applyFont="1" applyBorder="1" applyAlignment="1">
      <alignment horizontal="right" vertical="top"/>
    </xf>
    <xf numFmtId="175" fontId="80" fillId="0" borderId="0" xfId="7" applyNumberFormat="1" applyFont="1" applyAlignment="1">
      <alignment horizontal="right" vertical="top"/>
    </xf>
    <xf numFmtId="175" fontId="84" fillId="2" borderId="0" xfId="7" applyNumberFormat="1" applyFont="1" applyFill="1" applyAlignment="1">
      <alignment horizontal="right" vertical="top"/>
    </xf>
    <xf numFmtId="176" fontId="88" fillId="0" borderId="3" xfId="7" applyNumberFormat="1" applyFont="1" applyBorder="1" applyAlignment="1">
      <alignment horizontal="center" vertical="top"/>
    </xf>
    <xf numFmtId="176" fontId="88" fillId="0" borderId="0" xfId="7" applyNumberFormat="1" applyFont="1" applyAlignment="1">
      <alignment horizontal="right" vertical="top"/>
    </xf>
    <xf numFmtId="176" fontId="97" fillId="3" borderId="0" xfId="7" applyNumberFormat="1" applyFont="1" applyFill="1" applyAlignment="1">
      <alignment horizontal="right" vertical="top" wrapText="1"/>
    </xf>
    <xf numFmtId="176" fontId="96" fillId="3" borderId="0" xfId="7" applyNumberFormat="1" applyFont="1" applyFill="1" applyAlignment="1">
      <alignment horizontal="right" vertical="top" wrapText="1"/>
    </xf>
    <xf numFmtId="176" fontId="106" fillId="0" borderId="0" xfId="20" applyNumberFormat="1" applyFont="1" applyFill="1" applyAlignment="1">
      <alignment horizontal="right" vertical="top" wrapText="1"/>
    </xf>
    <xf numFmtId="176" fontId="106" fillId="3" borderId="0" xfId="20" applyNumberFormat="1" applyFont="1" applyFill="1" applyAlignment="1">
      <alignment horizontal="right" vertical="top" wrapText="1"/>
    </xf>
    <xf numFmtId="1" fontId="106" fillId="0" borderId="0" xfId="21" applyNumberFormat="1" applyFont="1" applyAlignment="1">
      <alignment horizontal="center" vertical="top" wrapText="1"/>
    </xf>
    <xf numFmtId="176" fontId="106" fillId="0" borderId="0" xfId="20" applyNumberFormat="1" applyFont="1" applyFill="1" applyBorder="1" applyAlignment="1">
      <alignment horizontal="right" vertical="top" wrapText="1"/>
    </xf>
    <xf numFmtId="1" fontId="106" fillId="0" borderId="1" xfId="22" applyNumberFormat="1" applyFont="1" applyBorder="1" applyAlignment="1" applyProtection="1">
      <alignment horizontal="right" vertical="top" wrapText="1"/>
      <protection locked="0"/>
    </xf>
    <xf numFmtId="176" fontId="106" fillId="0" borderId="1" xfId="20" applyNumberFormat="1" applyFont="1" applyFill="1" applyBorder="1" applyAlignment="1">
      <alignment horizontal="right" vertical="top" wrapText="1"/>
    </xf>
    <xf numFmtId="0" fontId="106" fillId="0" borderId="0" xfId="24" applyFont="1" applyAlignment="1">
      <alignment horizontal="left" vertical="top" wrapText="1"/>
    </xf>
    <xf numFmtId="2" fontId="106" fillId="0" borderId="0" xfId="21" applyNumberFormat="1" applyFont="1" applyAlignment="1">
      <alignment horizontal="center" vertical="top" wrapText="1"/>
    </xf>
    <xf numFmtId="1" fontId="106" fillId="0" borderId="0" xfId="22" applyNumberFormat="1" applyFont="1" applyAlignment="1" applyProtection="1">
      <alignment horizontal="right" vertical="top" wrapText="1"/>
      <protection locked="0"/>
    </xf>
    <xf numFmtId="1" fontId="106" fillId="0" borderId="0" xfId="22" applyNumberFormat="1" applyFont="1" applyAlignment="1" applyProtection="1">
      <alignment horizontal="center" vertical="top" wrapText="1"/>
      <protection locked="0"/>
    </xf>
    <xf numFmtId="1" fontId="106" fillId="0" borderId="1" xfId="22" applyNumberFormat="1" applyFont="1" applyBorder="1" applyAlignment="1" applyProtection="1">
      <alignment horizontal="center" vertical="top" wrapText="1"/>
      <protection locked="0"/>
    </xf>
    <xf numFmtId="176" fontId="106" fillId="0" borderId="1" xfId="19" applyNumberFormat="1" applyFont="1" applyBorder="1" applyAlignment="1">
      <alignment horizontal="right" vertical="top" wrapText="1"/>
    </xf>
    <xf numFmtId="176" fontId="106" fillId="0" borderId="0" xfId="19" applyNumberFormat="1" applyFont="1" applyAlignment="1">
      <alignment horizontal="right" vertical="top" wrapText="1"/>
    </xf>
    <xf numFmtId="16" fontId="102" fillId="0" borderId="0" xfId="19" applyNumberFormat="1" applyFont="1" applyAlignment="1">
      <alignment horizontal="right" vertical="top" wrapText="1"/>
    </xf>
    <xf numFmtId="169" fontId="106" fillId="0" borderId="0" xfId="19" applyNumberFormat="1" applyFont="1" applyAlignment="1">
      <alignment horizontal="right" vertical="top" wrapText="1"/>
    </xf>
    <xf numFmtId="176" fontId="102" fillId="0" borderId="0" xfId="20" applyNumberFormat="1" applyFont="1" applyFill="1" applyAlignment="1">
      <alignment horizontal="right" vertical="top" wrapText="1"/>
    </xf>
    <xf numFmtId="0" fontId="79" fillId="0" borderId="0" xfId="19" applyFont="1" applyAlignment="1">
      <alignment horizontal="left" vertical="top" wrapText="1"/>
    </xf>
    <xf numFmtId="0" fontId="106" fillId="0" borderId="0" xfId="25" applyFont="1" applyAlignment="1" applyProtection="1">
      <alignment horizontal="left" vertical="top" wrapText="1"/>
      <protection locked="0"/>
    </xf>
    <xf numFmtId="0" fontId="106" fillId="0" borderId="0" xfId="19" applyFont="1" applyAlignment="1">
      <alignment horizontal="right" wrapText="1"/>
    </xf>
    <xf numFmtId="176" fontId="106" fillId="3" borderId="0" xfId="19" applyNumberFormat="1" applyFont="1" applyFill="1" applyAlignment="1">
      <alignment horizontal="right" vertical="top" wrapText="1"/>
    </xf>
    <xf numFmtId="176" fontId="106" fillId="0" borderId="0" xfId="13" applyNumberFormat="1" applyFont="1" applyAlignment="1">
      <alignment horizontal="right" vertical="top" wrapText="1"/>
    </xf>
    <xf numFmtId="0" fontId="79" fillId="0" borderId="0" xfId="13" applyFont="1" applyAlignment="1">
      <alignment wrapText="1"/>
    </xf>
    <xf numFmtId="0" fontId="102" fillId="0" borderId="0" xfId="19" applyFont="1" applyAlignment="1">
      <alignment horizontal="left" vertical="top"/>
    </xf>
    <xf numFmtId="176" fontId="102" fillId="0" borderId="0" xfId="19" applyNumberFormat="1" applyFont="1" applyAlignment="1">
      <alignment horizontal="right" vertical="top" wrapText="1"/>
    </xf>
    <xf numFmtId="0" fontId="106" fillId="0" borderId="0" xfId="26" applyFont="1" applyAlignment="1">
      <alignment horizontal="left" vertical="top" wrapText="1"/>
    </xf>
    <xf numFmtId="176" fontId="106" fillId="0" borderId="0" xfId="20" applyNumberFormat="1" applyFont="1" applyFill="1" applyBorder="1" applyAlignment="1" applyProtection="1">
      <alignment horizontal="right" vertical="top" wrapText="1"/>
    </xf>
    <xf numFmtId="176" fontId="106" fillId="0" borderId="1" xfId="20" applyNumberFormat="1" applyFont="1" applyFill="1" applyBorder="1" applyAlignment="1" applyProtection="1">
      <alignment horizontal="right" vertical="top" wrapText="1"/>
    </xf>
    <xf numFmtId="49" fontId="102" fillId="0" borderId="0" xfId="27" applyNumberFormat="1" applyFont="1" applyAlignment="1">
      <alignment horizontal="right" vertical="top" wrapText="1"/>
    </xf>
    <xf numFmtId="0" fontId="79" fillId="0" borderId="0" xfId="13" applyFont="1" applyAlignment="1">
      <alignment vertical="top" wrapText="1"/>
    </xf>
    <xf numFmtId="0" fontId="106" fillId="0" borderId="0" xfId="90" applyFont="1" applyAlignment="1">
      <alignment horizontal="left" vertical="top" wrapText="1"/>
    </xf>
    <xf numFmtId="176" fontId="102" fillId="3" borderId="0" xfId="20" applyNumberFormat="1" applyFont="1" applyFill="1" applyAlignment="1">
      <alignment horizontal="right" vertical="top" wrapText="1"/>
    </xf>
    <xf numFmtId="176" fontId="106" fillId="3" borderId="0" xfId="13" applyNumberFormat="1" applyFont="1" applyFill="1" applyAlignment="1">
      <alignment horizontal="right" vertical="top" wrapText="1"/>
    </xf>
    <xf numFmtId="176" fontId="106" fillId="3" borderId="0" xfId="20" applyNumberFormat="1" applyFont="1" applyFill="1" applyBorder="1" applyAlignment="1">
      <alignment horizontal="right" vertical="top" wrapText="1"/>
    </xf>
    <xf numFmtId="176" fontId="106" fillId="0" borderId="1" xfId="13" applyNumberFormat="1" applyFont="1" applyBorder="1" applyAlignment="1">
      <alignment horizontal="right" vertical="top" wrapText="1"/>
    </xf>
    <xf numFmtId="176" fontId="102" fillId="0" borderId="0" xfId="13" applyNumberFormat="1" applyFont="1" applyAlignment="1">
      <alignment horizontal="right" vertical="top" wrapText="1"/>
    </xf>
    <xf numFmtId="176" fontId="106" fillId="0" borderId="0" xfId="20" applyNumberFormat="1" applyFont="1" applyAlignment="1">
      <alignment horizontal="right" vertical="top" wrapText="1"/>
    </xf>
    <xf numFmtId="176" fontId="106" fillId="0" borderId="1" xfId="20" applyNumberFormat="1" applyFont="1" applyBorder="1" applyAlignment="1">
      <alignment horizontal="right" vertical="top" wrapText="1"/>
    </xf>
    <xf numFmtId="176" fontId="102" fillId="0" borderId="0" xfId="20" applyNumberFormat="1" applyFont="1" applyAlignment="1">
      <alignment horizontal="right" vertical="top" wrapText="1"/>
    </xf>
    <xf numFmtId="176" fontId="103" fillId="3" borderId="0" xfId="19" applyNumberFormat="1" applyFont="1" applyFill="1" applyAlignment="1">
      <alignment horizontal="right"/>
    </xf>
    <xf numFmtId="176" fontId="102" fillId="0" borderId="0" xfId="19" applyNumberFormat="1" applyFont="1" applyAlignment="1">
      <alignment horizontal="right"/>
    </xf>
    <xf numFmtId="176" fontId="106" fillId="0" borderId="0" xfId="19" applyNumberFormat="1" applyFont="1" applyAlignment="1">
      <alignment horizontal="right"/>
    </xf>
    <xf numFmtId="176" fontId="102" fillId="0" borderId="1" xfId="19" applyNumberFormat="1" applyFont="1" applyBorder="1" applyAlignment="1">
      <alignment horizontal="right"/>
    </xf>
    <xf numFmtId="176" fontId="102" fillId="3" borderId="0" xfId="20" applyNumberFormat="1" applyFont="1" applyFill="1" applyBorder="1" applyAlignment="1">
      <alignment horizontal="right" vertical="top" wrapText="1"/>
    </xf>
    <xf numFmtId="176" fontId="106" fillId="0" borderId="0" xfId="20" applyNumberFormat="1" applyFont="1" applyBorder="1" applyAlignment="1">
      <alignment horizontal="right" vertical="top" wrapText="1"/>
    </xf>
    <xf numFmtId="164" fontId="106" fillId="0" borderId="0" xfId="20" applyNumberFormat="1" applyFont="1" applyFill="1" applyAlignment="1">
      <alignment horizontal="right" vertical="top" wrapText="1"/>
    </xf>
    <xf numFmtId="164" fontId="79" fillId="0" borderId="0" xfId="9" applyNumberFormat="1" applyFont="1" applyAlignment="1">
      <alignment horizontal="right" vertical="top"/>
    </xf>
    <xf numFmtId="164" fontId="106" fillId="0" borderId="0" xfId="20" applyNumberFormat="1" applyFont="1" applyFill="1" applyBorder="1" applyAlignment="1">
      <alignment horizontal="right" vertical="top" wrapText="1"/>
    </xf>
    <xf numFmtId="164" fontId="106" fillId="0" borderId="1" xfId="20" applyNumberFormat="1" applyFont="1" applyFill="1" applyBorder="1" applyAlignment="1">
      <alignment horizontal="right" vertical="top" wrapText="1"/>
    </xf>
    <xf numFmtId="164" fontId="106" fillId="0" borderId="1" xfId="19" applyNumberFormat="1" applyFont="1" applyBorder="1" applyAlignment="1">
      <alignment horizontal="right" vertical="top" wrapText="1"/>
    </xf>
    <xf numFmtId="164" fontId="106" fillId="0" borderId="0" xfId="19" applyNumberFormat="1" applyFont="1" applyAlignment="1">
      <alignment horizontal="right" vertical="top" wrapText="1"/>
    </xf>
    <xf numFmtId="176" fontId="88" fillId="0" borderId="3" xfId="7" applyNumberFormat="1" applyFont="1" applyBorder="1" applyAlignment="1">
      <alignment horizontal="right" vertical="top"/>
    </xf>
    <xf numFmtId="175" fontId="102" fillId="0" borderId="0" xfId="20" applyNumberFormat="1" applyFont="1" applyFill="1" applyAlignment="1">
      <alignment horizontal="right" vertical="top" wrapText="1"/>
    </xf>
    <xf numFmtId="175" fontId="102" fillId="0" borderId="0" xfId="20" applyNumberFormat="1" applyFont="1" applyFill="1" applyBorder="1" applyAlignment="1">
      <alignment horizontal="right" vertical="top" wrapText="1"/>
    </xf>
    <xf numFmtId="164" fontId="106" fillId="0" borderId="0" xfId="13" applyNumberFormat="1" applyFont="1" applyAlignment="1">
      <alignment horizontal="right" vertical="top" wrapText="1"/>
    </xf>
    <xf numFmtId="164" fontId="106" fillId="0" borderId="0" xfId="20" applyNumberFormat="1" applyFont="1" applyFill="1" applyBorder="1" applyAlignment="1" applyProtection="1">
      <alignment horizontal="right" vertical="top" wrapText="1"/>
    </xf>
    <xf numFmtId="164" fontId="106" fillId="0" borderId="0" xfId="20" applyNumberFormat="1" applyFont="1" applyAlignment="1">
      <alignment horizontal="right" vertical="top" wrapText="1"/>
    </xf>
    <xf numFmtId="175" fontId="102" fillId="0" borderId="0" xfId="20" applyNumberFormat="1" applyFont="1" applyAlignment="1">
      <alignment horizontal="right" vertical="top" wrapText="1"/>
    </xf>
    <xf numFmtId="175" fontId="106" fillId="0" borderId="0" xfId="19" applyNumberFormat="1" applyFont="1" applyAlignment="1">
      <alignment horizontal="right"/>
    </xf>
    <xf numFmtId="175" fontId="105" fillId="3" borderId="0" xfId="19" applyNumberFormat="1" applyFont="1" applyFill="1" applyAlignment="1">
      <alignment horizontal="right"/>
    </xf>
    <xf numFmtId="164" fontId="106" fillId="0" borderId="0" xfId="20" applyNumberFormat="1" applyFont="1" applyBorder="1" applyAlignment="1">
      <alignment horizontal="right" vertical="top" wrapText="1"/>
    </xf>
    <xf numFmtId="49" fontId="80" fillId="0" borderId="0" xfId="0" quotePrefix="1" applyNumberFormat="1" applyFont="1" applyAlignment="1">
      <alignment horizontal="left" vertical="top" wrapText="1"/>
    </xf>
    <xf numFmtId="175" fontId="106" fillId="0" borderId="0" xfId="6" applyNumberFormat="1" applyFont="1" applyAlignment="1">
      <alignment horizontal="right" vertical="top"/>
    </xf>
    <xf numFmtId="175" fontId="106" fillId="0" borderId="0" xfId="0" applyNumberFormat="1" applyFont="1" applyAlignment="1">
      <alignment horizontal="right"/>
    </xf>
    <xf numFmtId="175" fontId="106" fillId="0" borderId="0" xfId="0" applyNumberFormat="1" applyFont="1"/>
    <xf numFmtId="175" fontId="102" fillId="0" borderId="0" xfId="0" applyNumberFormat="1" applyFont="1" applyAlignment="1">
      <alignment vertical="top"/>
    </xf>
    <xf numFmtId="179" fontId="102" fillId="0" borderId="0" xfId="0" applyNumberFormat="1" applyFont="1" applyAlignment="1">
      <alignment vertical="top"/>
    </xf>
    <xf numFmtId="175" fontId="102" fillId="0" borderId="0" xfId="0" applyNumberFormat="1" applyFont="1" applyAlignment="1">
      <alignment horizontal="right"/>
    </xf>
    <xf numFmtId="175" fontId="105" fillId="3" borderId="0" xfId="0" applyNumberFormat="1" applyFont="1" applyFill="1" applyAlignment="1">
      <alignment horizontal="right"/>
    </xf>
    <xf numFmtId="0" fontId="106" fillId="0" borderId="0" xfId="13" applyFont="1" applyAlignment="1">
      <alignment vertical="top" wrapText="1"/>
    </xf>
    <xf numFmtId="0" fontId="106" fillId="0" borderId="0" xfId="13" quotePrefix="1" applyFont="1" applyAlignment="1">
      <alignment vertical="top" wrapText="1"/>
    </xf>
    <xf numFmtId="0" fontId="106" fillId="0" borderId="0" xfId="13" applyFont="1" applyAlignment="1">
      <alignment vertical="top"/>
    </xf>
    <xf numFmtId="0" fontId="106" fillId="0" borderId="0" xfId="13" applyFont="1"/>
    <xf numFmtId="0" fontId="66" fillId="0" borderId="0" xfId="13" quotePrefix="1" applyFont="1" applyAlignment="1">
      <alignment vertical="top"/>
    </xf>
    <xf numFmtId="0" fontId="49" fillId="0" borderId="0" xfId="13" applyFont="1" applyAlignment="1">
      <alignment horizontal="left" vertical="top" wrapText="1"/>
    </xf>
    <xf numFmtId="0" fontId="80" fillId="0" borderId="0" xfId="13" applyFont="1" applyAlignment="1">
      <alignment horizontal="left" vertical="top" wrapText="1"/>
    </xf>
    <xf numFmtId="0" fontId="14" fillId="0" borderId="0" xfId="13" applyFont="1" applyAlignment="1">
      <alignment horizontal="left" vertical="top" wrapText="1"/>
    </xf>
    <xf numFmtId="0" fontId="79" fillId="0" borderId="0" xfId="13" applyFont="1" applyAlignment="1">
      <alignment horizontal="left" vertical="top" wrapText="1"/>
    </xf>
    <xf numFmtId="0" fontId="80" fillId="0" borderId="0" xfId="13" applyFont="1" applyAlignment="1">
      <alignment vertical="top"/>
    </xf>
    <xf numFmtId="0" fontId="80" fillId="0" borderId="0" xfId="13" applyFont="1" applyAlignment="1">
      <alignment vertical="top" wrapText="1"/>
    </xf>
    <xf numFmtId="49" fontId="98" fillId="0" borderId="0" xfId="13" applyNumberFormat="1" applyFont="1" applyAlignment="1">
      <alignment horizontal="left" vertical="top"/>
    </xf>
    <xf numFmtId="0" fontId="79" fillId="3" borderId="7" xfId="13" applyFont="1" applyFill="1" applyBorder="1" applyAlignment="1">
      <alignment vertical="center" wrapText="1"/>
    </xf>
    <xf numFmtId="1" fontId="79" fillId="3" borderId="7" xfId="13" applyNumberFormat="1" applyFont="1" applyFill="1" applyBorder="1" applyAlignment="1">
      <alignment vertical="center" wrapText="1"/>
    </xf>
    <xf numFmtId="175" fontId="80" fillId="0" borderId="0" xfId="0" applyNumberFormat="1" applyFont="1" applyAlignment="1">
      <alignment vertical="center"/>
    </xf>
    <xf numFmtId="175" fontId="80" fillId="2" borderId="2" xfId="0" applyNumberFormat="1" applyFont="1" applyFill="1" applyBorder="1" applyAlignment="1">
      <alignment vertical="center"/>
    </xf>
    <xf numFmtId="1" fontId="79" fillId="6" borderId="0" xfId="7" applyNumberFormat="1" applyFont="1" applyFill="1" applyAlignment="1">
      <alignment horizontal="right" vertical="top"/>
    </xf>
    <xf numFmtId="4" fontId="80" fillId="0" borderId="10" xfId="7" applyNumberFormat="1" applyFont="1" applyBorder="1" applyAlignment="1">
      <alignment horizontal="right" vertical="top"/>
    </xf>
    <xf numFmtId="0" fontId="80" fillId="0" borderId="0" xfId="71" applyFont="1" applyAlignment="1">
      <alignment horizontal="left" vertical="top" wrapText="1"/>
    </xf>
    <xf numFmtId="0" fontId="66" fillId="0" borderId="0" xfId="71" applyFont="1" applyAlignment="1">
      <alignment horizontal="left" vertical="top" wrapText="1"/>
    </xf>
    <xf numFmtId="1" fontId="79" fillId="0" borderId="0" xfId="7" applyNumberFormat="1" applyFont="1" applyAlignment="1">
      <alignment vertical="center"/>
    </xf>
    <xf numFmtId="0" fontId="78" fillId="0" borderId="0" xfId="13" applyFont="1" applyAlignment="1">
      <alignment horizontal="left" vertical="top" wrapText="1"/>
    </xf>
    <xf numFmtId="49" fontId="102" fillId="0" borderId="0" xfId="7" quotePrefix="1" applyNumberFormat="1" applyFont="1" applyAlignment="1">
      <alignment horizontal="left" vertical="top" wrapText="1"/>
    </xf>
    <xf numFmtId="0" fontId="102" fillId="0" borderId="0" xfId="87" applyFont="1" applyAlignment="1">
      <alignment horizontal="left" vertical="top" wrapText="1"/>
    </xf>
    <xf numFmtId="0" fontId="106" fillId="0" borderId="0" xfId="87" applyFont="1" applyAlignment="1">
      <alignment horizontal="left" vertical="top"/>
    </xf>
    <xf numFmtId="0" fontId="102" fillId="0" borderId="1" xfId="87" applyFont="1" applyBorder="1" applyAlignment="1">
      <alignment horizontal="left" vertical="top" wrapText="1"/>
    </xf>
    <xf numFmtId="0" fontId="102" fillId="0" borderId="0" xfId="71" applyFont="1" applyAlignment="1">
      <alignment horizontal="left" vertical="top" wrapText="1"/>
    </xf>
    <xf numFmtId="0" fontId="102" fillId="0" borderId="0" xfId="13" applyFont="1" applyAlignment="1">
      <alignment vertical="top" wrapText="1"/>
    </xf>
    <xf numFmtId="0" fontId="7" fillId="0" borderId="0" xfId="16" applyFont="1" applyAlignment="1">
      <alignment horizontal="center" wrapText="1"/>
    </xf>
    <xf numFmtId="1" fontId="7" fillId="0" borderId="0" xfId="16" applyNumberFormat="1" applyFont="1" applyAlignment="1">
      <alignment horizontal="center" wrapText="1"/>
    </xf>
    <xf numFmtId="0" fontId="158" fillId="0" borderId="0" xfId="13" applyFont="1"/>
    <xf numFmtId="0" fontId="79" fillId="0" borderId="0" xfId="13" applyFont="1" applyAlignment="1">
      <alignment vertical="center"/>
    </xf>
    <xf numFmtId="0" fontId="156" fillId="0" borderId="0" xfId="13" applyFont="1" applyAlignment="1">
      <alignment horizontal="right" wrapText="1"/>
    </xf>
    <xf numFmtId="49" fontId="80" fillId="0" borderId="0" xfId="13" applyNumberFormat="1" applyFont="1" applyAlignment="1">
      <alignment horizontal="right" vertical="top"/>
    </xf>
    <xf numFmtId="0" fontId="80" fillId="0" borderId="0" xfId="49" applyFont="1" applyAlignment="1">
      <alignment horizontal="right" vertical="top"/>
    </xf>
    <xf numFmtId="0" fontId="79" fillId="0" borderId="0" xfId="13" applyFont="1" applyAlignment="1">
      <alignment horizontal="center" vertical="top"/>
    </xf>
    <xf numFmtId="0" fontId="157" fillId="0" borderId="0" xfId="13" applyFont="1" applyAlignment="1">
      <alignment horizontal="center" vertical="top" wrapText="1"/>
    </xf>
    <xf numFmtId="0" fontId="79" fillId="0" borderId="0" xfId="52" applyFont="1" applyAlignment="1">
      <alignment horizontal="center" vertical="top"/>
    </xf>
    <xf numFmtId="0" fontId="79" fillId="0" borderId="0" xfId="45" applyFont="1" applyAlignment="1">
      <alignment horizontal="center" vertical="top"/>
    </xf>
    <xf numFmtId="168" fontId="79" fillId="0" borderId="0" xfId="13" applyNumberFormat="1" applyFont="1" applyAlignment="1">
      <alignment horizontal="center" vertical="top"/>
    </xf>
    <xf numFmtId="0" fontId="95" fillId="0" borderId="0" xfId="45" applyFont="1" applyAlignment="1">
      <alignment horizontal="center" vertical="top"/>
    </xf>
    <xf numFmtId="0" fontId="79" fillId="0" borderId="0" xfId="117" applyFont="1" applyAlignment="1">
      <alignment horizontal="center" vertical="top" wrapText="1"/>
    </xf>
    <xf numFmtId="168" fontId="79" fillId="0" borderId="0" xfId="69" applyNumberFormat="1" applyFont="1" applyAlignment="1">
      <alignment horizontal="center" vertical="top" wrapText="1"/>
    </xf>
    <xf numFmtId="4" fontId="79" fillId="0" borderId="0" xfId="118" applyNumberFormat="1" applyFont="1" applyAlignment="1">
      <alignment horizontal="center" vertical="top"/>
    </xf>
    <xf numFmtId="168" fontId="79" fillId="0" borderId="0" xfId="13" applyNumberFormat="1" applyFont="1" applyAlignment="1">
      <alignment horizontal="center" vertical="top" wrapText="1"/>
    </xf>
    <xf numFmtId="2" fontId="79" fillId="0" borderId="0" xfId="13" applyNumberFormat="1" applyFont="1" applyAlignment="1">
      <alignment horizontal="right" vertical="top" wrapText="1"/>
    </xf>
    <xf numFmtId="4" fontId="79" fillId="0" borderId="0" xfId="13" applyNumberFormat="1" applyFont="1" applyAlignment="1">
      <alignment horizontal="right" vertical="top" wrapText="1"/>
    </xf>
    <xf numFmtId="4" fontId="79" fillId="0" borderId="0" xfId="13" applyNumberFormat="1" applyFont="1" applyAlignment="1">
      <alignment horizontal="right" vertical="top"/>
    </xf>
    <xf numFmtId="0" fontId="157" fillId="0" borderId="0" xfId="13" applyFont="1" applyAlignment="1">
      <alignment horizontal="right" vertical="top" wrapText="1"/>
    </xf>
    <xf numFmtId="0" fontId="80" fillId="0" borderId="0" xfId="13" applyFont="1" applyAlignment="1">
      <alignment horizontal="right" vertical="top" wrapText="1"/>
    </xf>
    <xf numFmtId="4" fontId="79" fillId="0" borderId="0" xfId="52" applyNumberFormat="1" applyFont="1" applyAlignment="1">
      <alignment horizontal="right" vertical="top" wrapText="1"/>
    </xf>
    <xf numFmtId="3" fontId="79" fillId="0" borderId="0" xfId="13" applyNumberFormat="1" applyFont="1" applyAlignment="1">
      <alignment horizontal="right" vertical="top"/>
    </xf>
    <xf numFmtId="0" fontId="79" fillId="0" borderId="0" xfId="13" applyFont="1" applyAlignment="1">
      <alignment horizontal="right" vertical="top"/>
    </xf>
    <xf numFmtId="3" fontId="79" fillId="0" borderId="0" xfId="13" applyNumberFormat="1" applyFont="1" applyAlignment="1">
      <alignment horizontal="right" vertical="top" wrapText="1"/>
    </xf>
    <xf numFmtId="1" fontId="79" fillId="0" borderId="0" xfId="13" applyNumberFormat="1" applyFont="1" applyAlignment="1">
      <alignment horizontal="right" vertical="top" wrapText="1"/>
    </xf>
    <xf numFmtId="4" fontId="79" fillId="0" borderId="0" xfId="49" applyNumberFormat="1" applyFont="1" applyAlignment="1" applyProtection="1">
      <alignment horizontal="right" vertical="top"/>
      <protection locked="0"/>
    </xf>
    <xf numFmtId="4" fontId="79" fillId="0" borderId="0" xfId="45" applyNumberFormat="1" applyFont="1" applyAlignment="1">
      <alignment horizontal="right" vertical="top"/>
    </xf>
    <xf numFmtId="3" fontId="79" fillId="0" borderId="0" xfId="13" quotePrefix="1" applyNumberFormat="1" applyFont="1" applyAlignment="1">
      <alignment horizontal="right" vertical="top" wrapText="1"/>
    </xf>
    <xf numFmtId="0" fontId="79" fillId="0" borderId="0" xfId="45" applyFont="1" applyAlignment="1">
      <alignment horizontal="right" vertical="top"/>
    </xf>
    <xf numFmtId="0" fontId="95" fillId="0" borderId="0" xfId="45" applyFont="1" applyAlignment="1">
      <alignment horizontal="right" vertical="top"/>
    </xf>
    <xf numFmtId="4" fontId="95" fillId="0" borderId="0" xfId="45" applyNumberFormat="1" applyFont="1" applyAlignment="1" applyProtection="1">
      <alignment horizontal="right" vertical="top"/>
      <protection locked="0"/>
    </xf>
    <xf numFmtId="168" fontId="79" fillId="0" borderId="0" xfId="13" applyNumberFormat="1" applyFont="1" applyAlignment="1">
      <alignment horizontal="right" vertical="top" wrapText="1"/>
    </xf>
    <xf numFmtId="1" fontId="85" fillId="0" borderId="0" xfId="118" applyNumberFormat="1" applyFont="1" applyAlignment="1">
      <alignment horizontal="right" vertical="top"/>
    </xf>
    <xf numFmtId="0" fontId="158" fillId="3" borderId="0" xfId="13" applyFont="1" applyFill="1" applyAlignment="1">
      <alignment horizontal="center" vertical="top"/>
    </xf>
    <xf numFmtId="4" fontId="158" fillId="3" borderId="0" xfId="13" applyNumberFormat="1" applyFont="1" applyFill="1" applyAlignment="1">
      <alignment horizontal="right" vertical="top" wrapText="1"/>
    </xf>
    <xf numFmtId="4" fontId="79" fillId="3" borderId="0" xfId="13" applyNumberFormat="1" applyFont="1" applyFill="1" applyAlignment="1">
      <alignment horizontal="right" vertical="top" wrapText="1"/>
    </xf>
    <xf numFmtId="0" fontId="79" fillId="3" borderId="0" xfId="13" applyFont="1" applyFill="1" applyAlignment="1">
      <alignment horizontal="center" vertical="top"/>
    </xf>
    <xf numFmtId="0" fontId="80" fillId="3" borderId="0" xfId="49" applyFont="1" applyFill="1" applyAlignment="1">
      <alignment horizontal="right" vertical="top"/>
    </xf>
    <xf numFmtId="0" fontId="79" fillId="3" borderId="10" xfId="13" applyFont="1" applyFill="1" applyBorder="1" applyAlignment="1">
      <alignment horizontal="center" vertical="top"/>
    </xf>
    <xf numFmtId="4" fontId="79" fillId="3" borderId="10" xfId="13" applyNumberFormat="1" applyFont="1" applyFill="1" applyBorder="1" applyAlignment="1">
      <alignment horizontal="right" vertical="top" wrapText="1"/>
    </xf>
    <xf numFmtId="180" fontId="79" fillId="0" borderId="0" xfId="13" applyNumberFormat="1" applyFont="1" applyAlignment="1">
      <alignment horizontal="right" vertical="top"/>
    </xf>
    <xf numFmtId="168" fontId="79" fillId="3" borderId="0" xfId="13" applyNumberFormat="1" applyFont="1" applyFill="1" applyAlignment="1">
      <alignment horizontal="center" vertical="top"/>
    </xf>
    <xf numFmtId="168" fontId="79" fillId="3" borderId="0" xfId="13" applyNumberFormat="1" applyFont="1" applyFill="1" applyAlignment="1">
      <alignment horizontal="right" vertical="top" wrapText="1"/>
    </xf>
    <xf numFmtId="0" fontId="79" fillId="0" borderId="1" xfId="13" applyFont="1" applyBorder="1" applyAlignment="1">
      <alignment horizontal="center" vertical="top"/>
    </xf>
    <xf numFmtId="3" fontId="79" fillId="0" borderId="1" xfId="13" applyNumberFormat="1" applyFont="1" applyBorder="1" applyAlignment="1">
      <alignment horizontal="right" vertical="top"/>
    </xf>
    <xf numFmtId="168" fontId="79" fillId="3" borderId="10" xfId="13" applyNumberFormat="1" applyFont="1" applyFill="1" applyBorder="1" applyAlignment="1">
      <alignment horizontal="center" vertical="top"/>
    </xf>
    <xf numFmtId="168" fontId="79" fillId="3" borderId="10" xfId="13" applyNumberFormat="1" applyFont="1" applyFill="1" applyBorder="1" applyAlignment="1">
      <alignment horizontal="right" vertical="top" wrapText="1"/>
    </xf>
    <xf numFmtId="0" fontId="79" fillId="0" borderId="0" xfId="13" applyFont="1" applyAlignment="1">
      <alignment horizontal="right" vertical="top" wrapText="1"/>
    </xf>
    <xf numFmtId="175" fontId="79" fillId="0" borderId="0" xfId="13" applyNumberFormat="1" applyFont="1" applyAlignment="1">
      <alignment horizontal="right" vertical="top"/>
    </xf>
    <xf numFmtId="175" fontId="80" fillId="3" borderId="10" xfId="13" applyNumberFormat="1" applyFont="1" applyFill="1" applyBorder="1" applyAlignment="1">
      <alignment horizontal="right" vertical="top"/>
    </xf>
    <xf numFmtId="164" fontId="79" fillId="0" borderId="0" xfId="13" applyNumberFormat="1" applyFont="1" applyAlignment="1">
      <alignment horizontal="right" vertical="top"/>
    </xf>
    <xf numFmtId="164" fontId="96" fillId="3" borderId="0" xfId="7" applyNumberFormat="1" applyFont="1" applyFill="1" applyAlignment="1">
      <alignment horizontal="right" vertical="top" wrapText="1"/>
    </xf>
    <xf numFmtId="164" fontId="157" fillId="0" borderId="0" xfId="13" applyNumberFormat="1" applyFont="1" applyAlignment="1">
      <alignment horizontal="right" vertical="top" wrapText="1"/>
    </xf>
    <xf numFmtId="164" fontId="158" fillId="3" borderId="0" xfId="13" applyNumberFormat="1" applyFont="1" applyFill="1" applyAlignment="1">
      <alignment horizontal="right" vertical="top"/>
    </xf>
    <xf numFmtId="164" fontId="79" fillId="0" borderId="0" xfId="13" applyNumberFormat="1" applyFont="1" applyAlignment="1">
      <alignment horizontal="right" vertical="top" wrapText="1"/>
    </xf>
    <xf numFmtId="164" fontId="79" fillId="0" borderId="0" xfId="45" applyNumberFormat="1" applyFont="1" applyAlignment="1" applyProtection="1">
      <alignment horizontal="right" vertical="top"/>
      <protection hidden="1"/>
    </xf>
    <xf numFmtId="164" fontId="79" fillId="3" borderId="0" xfId="13" applyNumberFormat="1" applyFont="1" applyFill="1" applyAlignment="1">
      <alignment horizontal="right" vertical="top"/>
    </xf>
    <xf numFmtId="164" fontId="95" fillId="0" borderId="0" xfId="45" applyNumberFormat="1" applyFont="1" applyAlignment="1" applyProtection="1">
      <alignment horizontal="right" vertical="top"/>
      <protection hidden="1"/>
    </xf>
    <xf numFmtId="3" fontId="79" fillId="0" borderId="0" xfId="118" applyNumberFormat="1" applyFont="1" applyAlignment="1">
      <alignment horizontal="right" vertical="top"/>
    </xf>
    <xf numFmtId="3" fontId="79" fillId="0" borderId="0" xfId="117" applyNumberFormat="1" applyFont="1" applyAlignment="1" applyProtection="1">
      <alignment horizontal="right" vertical="top"/>
      <protection locked="0"/>
    </xf>
    <xf numFmtId="175" fontId="79" fillId="0" borderId="0" xfId="0" applyNumberFormat="1" applyFont="1" applyAlignment="1">
      <alignment vertical="center"/>
    </xf>
    <xf numFmtId="49" fontId="79" fillId="0" borderId="0" xfId="13" applyNumberFormat="1" applyFont="1" applyAlignment="1">
      <alignment horizontal="left" vertical="top" wrapText="1"/>
    </xf>
    <xf numFmtId="49" fontId="96" fillId="3" borderId="0" xfId="7" applyNumberFormat="1" applyFont="1" applyFill="1" applyAlignment="1">
      <alignment vertical="center" wrapText="1"/>
    </xf>
    <xf numFmtId="49" fontId="84" fillId="0" borderId="0" xfId="13" applyNumberFormat="1" applyFont="1" applyAlignment="1">
      <alignment horizontal="left" vertical="top" wrapText="1"/>
    </xf>
    <xf numFmtId="49" fontId="99" fillId="0" borderId="0" xfId="13" applyNumberFormat="1" applyFont="1" applyAlignment="1">
      <alignment horizontal="left" vertical="top" wrapText="1"/>
    </xf>
    <xf numFmtId="49" fontId="80" fillId="3" borderId="0" xfId="13" applyNumberFormat="1" applyFont="1" applyFill="1" applyAlignment="1">
      <alignment horizontal="left" vertical="top" wrapText="1"/>
    </xf>
    <xf numFmtId="49" fontId="79" fillId="0" borderId="0" xfId="116" applyNumberFormat="1" applyFont="1" applyFill="1" applyBorder="1" applyAlignment="1" applyProtection="1">
      <alignment horizontal="left" vertical="top" wrapText="1" readingOrder="1"/>
    </xf>
    <xf numFmtId="49" fontId="79" fillId="0" borderId="0" xfId="13" quotePrefix="1" applyNumberFormat="1" applyFont="1" applyAlignment="1">
      <alignment horizontal="left" vertical="top" wrapText="1"/>
    </xf>
    <xf numFmtId="49" fontId="80" fillId="3" borderId="10" xfId="13" applyNumberFormat="1" applyFont="1" applyFill="1" applyBorder="1" applyAlignment="1">
      <alignment horizontal="left" vertical="top" wrapText="1"/>
    </xf>
    <xf numFmtId="49" fontId="98" fillId="0" borderId="0" xfId="13" applyNumberFormat="1" applyFont="1" applyAlignment="1">
      <alignment horizontal="left" vertical="top" wrapText="1"/>
    </xf>
    <xf numFmtId="49" fontId="80" fillId="0" borderId="0" xfId="13" applyNumberFormat="1" applyFont="1" applyAlignment="1">
      <alignment horizontal="left" vertical="top" wrapText="1"/>
    </xf>
    <xf numFmtId="49" fontId="79" fillId="0" borderId="0" xfId="117" applyNumberFormat="1" applyFont="1" applyAlignment="1">
      <alignment horizontal="left" vertical="top" wrapText="1"/>
    </xf>
    <xf numFmtId="49" fontId="79" fillId="0" borderId="0" xfId="117" applyNumberFormat="1" applyFont="1" applyAlignment="1" applyProtection="1">
      <alignment horizontal="left" vertical="top" wrapText="1"/>
      <protection locked="0"/>
    </xf>
    <xf numFmtId="49" fontId="85" fillId="0" borderId="0" xfId="13" quotePrefix="1" applyNumberFormat="1" applyFont="1" applyAlignment="1">
      <alignment horizontal="left" vertical="top" wrapText="1"/>
    </xf>
    <xf numFmtId="49" fontId="85" fillId="0" borderId="0" xfId="118" applyNumberFormat="1" applyFont="1" applyAlignment="1">
      <alignment horizontal="left" vertical="top" wrapText="1"/>
    </xf>
    <xf numFmtId="49" fontId="79" fillId="0" borderId="0" xfId="118" quotePrefix="1" applyNumberFormat="1" applyFont="1" applyAlignment="1">
      <alignment horizontal="left" vertical="top" wrapText="1"/>
    </xf>
    <xf numFmtId="0" fontId="95" fillId="0" borderId="0" xfId="7" applyFont="1" applyAlignment="1">
      <alignment vertical="top"/>
    </xf>
    <xf numFmtId="0" fontId="79" fillId="0" borderId="0" xfId="7" applyFont="1" applyAlignment="1">
      <alignment vertical="top"/>
    </xf>
    <xf numFmtId="0" fontId="80" fillId="0" borderId="0" xfId="7" applyFont="1" applyAlignment="1">
      <alignment vertical="top"/>
    </xf>
    <xf numFmtId="175" fontId="105" fillId="0" borderId="11" xfId="7" applyNumberFormat="1" applyFont="1" applyBorder="1" applyAlignment="1">
      <alignment horizontal="right" vertical="top"/>
    </xf>
    <xf numFmtId="175" fontId="106" fillId="0" borderId="0" xfId="7" applyNumberFormat="1" applyFont="1" applyAlignment="1">
      <alignment horizontal="right" vertical="top"/>
    </xf>
    <xf numFmtId="175" fontId="84" fillId="3" borderId="8" xfId="7" applyNumberFormat="1" applyFont="1" applyFill="1" applyBorder="1" applyAlignment="1">
      <alignment horizontal="right" vertical="center"/>
    </xf>
    <xf numFmtId="49" fontId="79" fillId="0" borderId="0" xfId="0" applyNumberFormat="1" applyFont="1" applyAlignment="1">
      <alignment horizontal="center" vertical="top" wrapText="1"/>
    </xf>
    <xf numFmtId="49" fontId="79" fillId="0" borderId="0" xfId="0" applyNumberFormat="1" applyFont="1" applyAlignment="1">
      <alignment horizontal="right" vertical="top"/>
    </xf>
    <xf numFmtId="49" fontId="79" fillId="0" borderId="0" xfId="0" applyNumberFormat="1" applyFont="1" applyAlignment="1">
      <alignment horizontal="right" vertical="top" wrapText="1"/>
    </xf>
    <xf numFmtId="0" fontId="81" fillId="3" borderId="0" xfId="19" applyFont="1" applyFill="1" applyAlignment="1">
      <alignment horizontal="center"/>
    </xf>
    <xf numFmtId="49" fontId="81" fillId="3" borderId="0" xfId="19" applyNumberFormat="1" applyFont="1" applyFill="1"/>
    <xf numFmtId="0" fontId="81" fillId="3" borderId="0" xfId="19" applyFont="1" applyFill="1"/>
    <xf numFmtId="175" fontId="84" fillId="3" borderId="0" xfId="19" applyNumberFormat="1" applyFont="1" applyFill="1"/>
    <xf numFmtId="175" fontId="80" fillId="0" borderId="0" xfId="13" applyNumberFormat="1" applyFont="1" applyAlignment="1">
      <alignment horizontal="right" vertical="top"/>
    </xf>
    <xf numFmtId="4" fontId="79" fillId="0" borderId="0" xfId="0" applyNumberFormat="1" applyFont="1" applyAlignment="1">
      <alignment horizontal="right" vertical="top" wrapText="1"/>
    </xf>
    <xf numFmtId="4" fontId="79" fillId="0" borderId="0" xfId="0" applyNumberFormat="1" applyFont="1" applyAlignment="1">
      <alignment horizontal="right" vertical="top"/>
    </xf>
    <xf numFmtId="0" fontId="81" fillId="3" borderId="0" xfId="19" applyFont="1" applyFill="1" applyAlignment="1">
      <alignment horizontal="right" vertical="top"/>
    </xf>
    <xf numFmtId="4" fontId="81" fillId="3" borderId="0" xfId="19" applyNumberFormat="1" applyFont="1" applyFill="1" applyAlignment="1">
      <alignment horizontal="right" vertical="top"/>
    </xf>
    <xf numFmtId="2" fontId="79" fillId="0" borderId="0" xfId="7" applyNumberFormat="1" applyFont="1" applyAlignment="1">
      <alignment horizontal="right" wrapText="1"/>
    </xf>
    <xf numFmtId="0" fontId="79" fillId="0" borderId="0" xfId="71" applyFont="1" applyAlignment="1">
      <alignment horizontal="left" vertical="top" wrapText="1"/>
    </xf>
    <xf numFmtId="49" fontId="92" fillId="0" borderId="0" xfId="0" applyNumberFormat="1" applyFont="1" applyAlignment="1">
      <alignment horizontal="left" vertical="top" wrapText="1"/>
    </xf>
    <xf numFmtId="0" fontId="14" fillId="0" borderId="0" xfId="0" quotePrefix="1" applyFont="1" applyAlignment="1">
      <alignment vertical="top" wrapText="1"/>
    </xf>
    <xf numFmtId="0" fontId="102" fillId="0" borderId="0" xfId="87" applyFont="1" applyAlignment="1">
      <alignment horizontal="left" vertical="top"/>
    </xf>
    <xf numFmtId="0" fontId="80" fillId="0" borderId="0" xfId="87" applyFont="1" applyAlignment="1">
      <alignment horizontal="left" vertical="top" wrapText="1"/>
    </xf>
    <xf numFmtId="0" fontId="106" fillId="0" borderId="0" xfId="87" applyFont="1" applyAlignment="1">
      <alignment horizontal="left" vertical="top" wrapText="1"/>
    </xf>
    <xf numFmtId="0" fontId="106" fillId="0" borderId="0" xfId="0" applyFont="1" applyAlignment="1">
      <alignment horizontal="left" wrapText="1"/>
    </xf>
    <xf numFmtId="0" fontId="164" fillId="0" borderId="0" xfId="0" applyFont="1" applyAlignment="1">
      <alignment horizontal="center" vertical="top" wrapText="1"/>
    </xf>
    <xf numFmtId="49" fontId="49" fillId="0" borderId="0" xfId="0" applyNumberFormat="1" applyFont="1" applyAlignment="1">
      <alignment vertical="top" wrapText="1"/>
    </xf>
    <xf numFmtId="0" fontId="106" fillId="0" borderId="0" xfId="7" applyFont="1" applyAlignment="1">
      <alignment vertical="top"/>
    </xf>
    <xf numFmtId="0" fontId="106" fillId="0" borderId="0" xfId="13" applyFont="1" applyAlignment="1">
      <alignment horizontal="center" vertical="top"/>
    </xf>
    <xf numFmtId="0" fontId="7" fillId="0" borderId="0" xfId="13" applyAlignment="1">
      <alignment vertical="top" wrapText="1"/>
    </xf>
    <xf numFmtId="0" fontId="7" fillId="0" borderId="0" xfId="13" applyAlignment="1">
      <alignment horizontal="center"/>
    </xf>
    <xf numFmtId="1" fontId="7" fillId="0" borderId="0" xfId="13" applyNumberFormat="1" applyAlignment="1">
      <alignment horizontal="center"/>
    </xf>
    <xf numFmtId="0" fontId="106" fillId="0" borderId="1" xfId="13" applyFont="1" applyBorder="1" applyAlignment="1">
      <alignment horizontal="center" vertical="top"/>
    </xf>
    <xf numFmtId="0" fontId="115" fillId="0" borderId="3" xfId="7" applyFont="1" applyBorder="1" applyAlignment="1">
      <alignment horizontal="center" vertical="top"/>
    </xf>
    <xf numFmtId="49" fontId="106" fillId="0" borderId="3" xfId="7" applyNumberFormat="1" applyFont="1" applyBorder="1" applyAlignment="1">
      <alignment horizontal="center" vertical="top" wrapText="1"/>
    </xf>
    <xf numFmtId="2" fontId="115" fillId="0" borderId="3" xfId="7" applyNumberFormat="1" applyFont="1" applyBorder="1" applyAlignment="1">
      <alignment horizontal="center" vertical="top"/>
    </xf>
    <xf numFmtId="176" fontId="115" fillId="0" borderId="3" xfId="7" applyNumberFormat="1" applyFont="1" applyBorder="1" applyAlignment="1">
      <alignment horizontal="center" vertical="top"/>
    </xf>
    <xf numFmtId="176" fontId="115" fillId="0" borderId="3" xfId="7" applyNumberFormat="1" applyFont="1" applyBorder="1" applyAlignment="1">
      <alignment horizontal="right" vertical="top"/>
    </xf>
    <xf numFmtId="0" fontId="102" fillId="0" borderId="0" xfId="19" applyFont="1" applyAlignment="1">
      <alignment wrapText="1"/>
    </xf>
    <xf numFmtId="176" fontId="106" fillId="0" borderId="0" xfId="19" applyNumberFormat="1" applyFont="1" applyAlignment="1">
      <alignment vertical="top" wrapText="1"/>
    </xf>
    <xf numFmtId="0" fontId="116" fillId="3" borderId="0" xfId="7" quotePrefix="1" applyFont="1" applyFill="1" applyAlignment="1">
      <alignment horizontal="center" vertical="top" wrapText="1"/>
    </xf>
    <xf numFmtId="0" fontId="116" fillId="3" borderId="0" xfId="7" applyFont="1" applyFill="1" applyAlignment="1">
      <alignment vertical="center" wrapText="1"/>
    </xf>
    <xf numFmtId="2" fontId="116" fillId="3" borderId="0" xfId="7" applyNumberFormat="1" applyFont="1" applyFill="1" applyAlignment="1">
      <alignment horizontal="right" vertical="top" wrapText="1"/>
    </xf>
    <xf numFmtId="176" fontId="166" fillId="3" borderId="0" xfId="7" applyNumberFormat="1" applyFont="1" applyFill="1" applyAlignment="1">
      <alignment horizontal="right" vertical="top" wrapText="1"/>
    </xf>
    <xf numFmtId="176" fontId="116" fillId="3" borderId="0" xfId="7" applyNumberFormat="1" applyFont="1" applyFill="1" applyAlignment="1">
      <alignment horizontal="right" vertical="top" wrapText="1"/>
    </xf>
    <xf numFmtId="0" fontId="102" fillId="0" borderId="0" xfId="7" quotePrefix="1" applyFont="1" applyAlignment="1">
      <alignment horizontal="center" vertical="top" wrapText="1"/>
    </xf>
    <xf numFmtId="0" fontId="102" fillId="0" borderId="0" xfId="7" applyFont="1" applyAlignment="1">
      <alignment vertical="center" wrapText="1"/>
    </xf>
    <xf numFmtId="2" fontId="102" fillId="0" borderId="0" xfId="7" applyNumberFormat="1" applyFont="1" applyAlignment="1">
      <alignment horizontal="right" vertical="top" wrapText="1"/>
    </xf>
    <xf numFmtId="176" fontId="106" fillId="0" borderId="0" xfId="7" applyNumberFormat="1" applyFont="1" applyAlignment="1">
      <alignment horizontal="right" vertical="top" wrapText="1"/>
    </xf>
    <xf numFmtId="176" fontId="102" fillId="0" borderId="0" xfId="7" applyNumberFormat="1" applyFont="1" applyAlignment="1">
      <alignment horizontal="right" vertical="top" wrapText="1"/>
    </xf>
    <xf numFmtId="164" fontId="106" fillId="0" borderId="0" xfId="9" applyNumberFormat="1" applyFont="1" applyAlignment="1">
      <alignment horizontal="right" vertical="top"/>
    </xf>
    <xf numFmtId="49" fontId="102" fillId="0" borderId="0" xfId="19" applyNumberFormat="1" applyFont="1" applyAlignment="1" applyProtection="1">
      <alignment horizontal="left" vertical="top" wrapText="1"/>
      <protection locked="0"/>
    </xf>
    <xf numFmtId="176" fontId="106" fillId="0" borderId="0" xfId="9" applyNumberFormat="1" applyFont="1" applyAlignment="1">
      <alignment horizontal="right" vertical="top"/>
    </xf>
    <xf numFmtId="0" fontId="106" fillId="0" borderId="0" xfId="21" applyFont="1" applyAlignment="1">
      <alignment horizontal="left" vertical="top" wrapText="1"/>
    </xf>
    <xf numFmtId="0" fontId="102" fillId="0" borderId="0" xfId="21" applyFont="1" applyAlignment="1">
      <alignment horizontal="left" vertical="top" wrapText="1"/>
    </xf>
    <xf numFmtId="0" fontId="106" fillId="0" borderId="0" xfId="22" applyFont="1" applyAlignment="1" applyProtection="1">
      <alignment horizontal="left" vertical="top" wrapText="1"/>
      <protection locked="0"/>
    </xf>
    <xf numFmtId="0" fontId="106" fillId="0" borderId="0" xfId="23" applyFont="1" applyAlignment="1">
      <alignment horizontal="right" vertical="top" wrapText="1"/>
    </xf>
    <xf numFmtId="164" fontId="80" fillId="0" borderId="0" xfId="20" applyNumberFormat="1" applyFont="1" applyFill="1" applyAlignment="1">
      <alignment horizontal="right" vertical="top" wrapText="1"/>
    </xf>
    <xf numFmtId="0" fontId="106" fillId="0" borderId="1" xfId="22" applyFont="1" applyBorder="1" applyAlignment="1" applyProtection="1">
      <alignment horizontal="left" vertical="top" wrapText="1"/>
      <protection locked="0"/>
    </xf>
    <xf numFmtId="0" fontId="106" fillId="0" borderId="0" xfId="21" applyFont="1" applyAlignment="1">
      <alignment horizontal="justify" vertical="top" wrapText="1"/>
    </xf>
    <xf numFmtId="0" fontId="106" fillId="0" borderId="1" xfId="26" applyFont="1" applyBorder="1" applyAlignment="1">
      <alignment horizontal="left" vertical="top" wrapText="1"/>
    </xf>
    <xf numFmtId="0" fontId="80" fillId="3" borderId="0" xfId="13" applyFont="1" applyFill="1" applyAlignment="1">
      <alignment horizontal="right" vertical="top" wrapText="1"/>
    </xf>
    <xf numFmtId="49" fontId="79" fillId="0" borderId="0" xfId="13" applyNumberFormat="1" applyFont="1" applyAlignment="1">
      <alignment horizontal="left" vertical="top" wrapText="1" shrinkToFit="1"/>
    </xf>
    <xf numFmtId="49" fontId="79" fillId="0" borderId="1" xfId="13" applyNumberFormat="1" applyFont="1" applyBorder="1" applyAlignment="1">
      <alignment horizontal="left" vertical="top" wrapText="1"/>
    </xf>
    <xf numFmtId="165" fontId="79" fillId="0" borderId="0" xfId="177" applyNumberFormat="1" applyFont="1" applyAlignment="1">
      <alignment vertical="top"/>
    </xf>
    <xf numFmtId="165" fontId="79" fillId="0" borderId="0" xfId="178" applyNumberFormat="1" applyFont="1" applyAlignment="1">
      <alignment vertical="top"/>
    </xf>
    <xf numFmtId="4" fontId="113" fillId="0" borderId="0" xfId="0" applyNumberFormat="1" applyFont="1" applyAlignment="1">
      <alignment horizontal="right"/>
    </xf>
    <xf numFmtId="4" fontId="169" fillId="0" borderId="0" xfId="13" applyNumberFormat="1" applyFont="1" applyAlignment="1">
      <alignment horizontal="right" vertical="top"/>
    </xf>
    <xf numFmtId="164" fontId="170" fillId="0" borderId="0" xfId="20" applyNumberFormat="1" applyFont="1" applyFill="1" applyAlignment="1">
      <alignment horizontal="right" vertical="top" wrapText="1"/>
    </xf>
    <xf numFmtId="164" fontId="111" fillId="0" borderId="0" xfId="20" applyNumberFormat="1" applyFont="1" applyFill="1" applyAlignment="1">
      <alignment horizontal="right" vertical="top" wrapText="1"/>
    </xf>
    <xf numFmtId="164" fontId="111" fillId="0" borderId="0" xfId="19" applyNumberFormat="1" applyFont="1" applyAlignment="1">
      <alignment horizontal="right" vertical="top" wrapText="1"/>
    </xf>
    <xf numFmtId="164" fontId="111" fillId="0" borderId="0" xfId="20" applyNumberFormat="1" applyFont="1" applyFill="1" applyBorder="1" applyAlignment="1">
      <alignment horizontal="right" vertical="top" wrapText="1"/>
    </xf>
    <xf numFmtId="4" fontId="172" fillId="0" borderId="0" xfId="7" applyNumberFormat="1" applyFont="1" applyAlignment="1">
      <alignment horizontal="right" vertical="top"/>
    </xf>
    <xf numFmtId="0" fontId="171" fillId="0" borderId="0" xfId="7" applyFont="1" applyAlignment="1">
      <alignment vertical="center"/>
    </xf>
    <xf numFmtId="4" fontId="171" fillId="0" borderId="0" xfId="7" applyNumberFormat="1" applyFont="1" applyAlignment="1">
      <alignment horizontal="right" vertical="top"/>
    </xf>
    <xf numFmtId="4" fontId="173" fillId="0" borderId="0" xfId="7" applyNumberFormat="1" applyFont="1" applyAlignment="1">
      <alignment horizontal="right" vertical="top"/>
    </xf>
    <xf numFmtId="0" fontId="12" fillId="0" borderId="0" xfId="0" applyFont="1" applyAlignment="1">
      <alignment horizontal="center" vertical="center" wrapText="1"/>
    </xf>
    <xf numFmtId="0" fontId="15" fillId="0" borderId="0" xfId="0" applyFont="1" applyAlignment="1">
      <alignment horizontal="center" vertical="center"/>
    </xf>
    <xf numFmtId="0" fontId="9" fillId="0" borderId="1" xfId="0" applyFont="1" applyBorder="1" applyAlignment="1">
      <alignment horizontal="center"/>
    </xf>
    <xf numFmtId="0" fontId="33" fillId="0" borderId="0" xfId="0" applyFont="1" applyAlignment="1">
      <alignment horizontal="left" vertical="top" wrapText="1"/>
    </xf>
    <xf numFmtId="0" fontId="33" fillId="0" borderId="0" xfId="0" applyFont="1" applyAlignment="1">
      <alignment horizontal="left" vertical="top"/>
    </xf>
    <xf numFmtId="0" fontId="33" fillId="0" borderId="0" xfId="0" applyFont="1" applyAlignment="1">
      <alignment horizontal="left" vertical="center" wrapText="1"/>
    </xf>
    <xf numFmtId="0" fontId="33" fillId="0" borderId="0" xfId="0" applyFont="1" applyAlignment="1">
      <alignment horizontal="left" vertical="center"/>
    </xf>
    <xf numFmtId="0" fontId="36" fillId="0" borderId="0" xfId="0" applyFont="1" applyAlignment="1">
      <alignment horizontal="left" vertical="top" wrapText="1"/>
    </xf>
    <xf numFmtId="0" fontId="88" fillId="0" borderId="0" xfId="7" applyFont="1" applyAlignment="1">
      <alignment horizontal="center" vertical="top" wrapText="1"/>
    </xf>
    <xf numFmtId="0" fontId="95" fillId="0" borderId="0" xfId="7" applyFont="1" applyAlignment="1">
      <alignment horizontal="center" vertical="top"/>
    </xf>
    <xf numFmtId="0" fontId="96" fillId="3" borderId="0" xfId="7" applyFont="1" applyFill="1" applyAlignment="1">
      <alignment vertical="center" wrapText="1"/>
    </xf>
    <xf numFmtId="0" fontId="80" fillId="3" borderId="0" xfId="7" applyFont="1" applyFill="1" applyAlignment="1">
      <alignment horizontal="left" vertical="top" wrapText="1"/>
    </xf>
    <xf numFmtId="0" fontId="79" fillId="3" borderId="0" xfId="0" applyFont="1" applyFill="1" applyAlignment="1">
      <alignment horizontal="left" vertical="top" wrapText="1"/>
    </xf>
    <xf numFmtId="0" fontId="106" fillId="0" borderId="0" xfId="7" applyFont="1" applyAlignment="1">
      <alignment horizontal="left" wrapText="1"/>
    </xf>
    <xf numFmtId="0" fontId="106" fillId="0" borderId="0" xfId="0" applyFont="1" applyAlignment="1">
      <alignment horizontal="left" wrapText="1"/>
    </xf>
    <xf numFmtId="0" fontId="106" fillId="0" borderId="0" xfId="7" quotePrefix="1" applyFont="1" applyAlignment="1">
      <alignment horizontal="left" wrapText="1"/>
    </xf>
    <xf numFmtId="0" fontId="115" fillId="0" borderId="0" xfId="0" applyFont="1" applyAlignment="1">
      <alignment horizontal="center" vertical="center" wrapText="1"/>
    </xf>
    <xf numFmtId="0" fontId="102" fillId="0" borderId="2" xfId="0" applyFont="1" applyBorder="1" applyAlignment="1">
      <alignment horizontal="right" vertical="top" wrapText="1"/>
    </xf>
    <xf numFmtId="0" fontId="102" fillId="0" borderId="0" xfId="0" applyFont="1" applyAlignment="1">
      <alignment horizontal="right" vertical="top" wrapText="1"/>
    </xf>
    <xf numFmtId="0" fontId="106" fillId="0" borderId="0" xfId="19" applyFont="1" applyAlignment="1">
      <alignment horizontal="left" vertical="top" wrapText="1"/>
    </xf>
    <xf numFmtId="0" fontId="106" fillId="0" borderId="0" xfId="19" applyFont="1" applyAlignment="1">
      <alignment horizontal="center" vertical="top" wrapText="1"/>
    </xf>
    <xf numFmtId="0" fontId="115" fillId="0" borderId="0" xfId="7" applyFont="1" applyAlignment="1">
      <alignment horizontal="center" vertical="top" wrapText="1"/>
    </xf>
    <xf numFmtId="0" fontId="109" fillId="0" borderId="0" xfId="7" applyFont="1" applyAlignment="1">
      <alignment horizontal="center" vertical="top"/>
    </xf>
  </cellXfs>
  <cellStyles count="179">
    <cellStyle name="20% - Isticanje1 2" xfId="119" xr:uid="{00000000-0005-0000-0000-000000000000}"/>
    <cellStyle name="20% - Isticanje4 2" xfId="120" xr:uid="{00000000-0005-0000-0000-000001000000}"/>
    <cellStyle name="20% - Isticanje5 2" xfId="121" xr:uid="{00000000-0005-0000-0000-000002000000}"/>
    <cellStyle name="20% - Isticanje6 2" xfId="122" xr:uid="{00000000-0005-0000-0000-000003000000}"/>
    <cellStyle name="40% - Isticanje4 2" xfId="123" xr:uid="{00000000-0005-0000-0000-000004000000}"/>
    <cellStyle name="40% - Naglasak1" xfId="54" xr:uid="{00000000-0005-0000-0000-000005000000}"/>
    <cellStyle name="A4 Small 210 x 297 mm" xfId="25" xr:uid="{00000000-0005-0000-0000-000006000000}"/>
    <cellStyle name="Accent" xfId="124" xr:uid="{00000000-0005-0000-0000-000007000000}"/>
    <cellStyle name="Accent 1" xfId="125" xr:uid="{00000000-0005-0000-0000-000008000000}"/>
    <cellStyle name="Accent 2" xfId="126" xr:uid="{00000000-0005-0000-0000-000009000000}"/>
    <cellStyle name="Accent 3" xfId="127" xr:uid="{00000000-0005-0000-0000-00000A000000}"/>
    <cellStyle name="Bad 2" xfId="128" xr:uid="{00000000-0005-0000-0000-00000B000000}"/>
    <cellStyle name="Bilješka 2" xfId="129" xr:uid="{00000000-0005-0000-0000-00000C000000}"/>
    <cellStyle name="Comma 2" xfId="29" xr:uid="{00000000-0005-0000-0000-00000D000000}"/>
    <cellStyle name="Comma 2 2" xfId="30" xr:uid="{00000000-0005-0000-0000-00000E000000}"/>
    <cellStyle name="Comma 2 6" xfId="55" xr:uid="{00000000-0005-0000-0000-00000F000000}"/>
    <cellStyle name="Comma 3" xfId="130" xr:uid="{00000000-0005-0000-0000-000010000000}"/>
    <cellStyle name="Currency 2" xfId="91" xr:uid="{00000000-0005-0000-0000-000011000000}"/>
    <cellStyle name="Currency 2 2" xfId="92" xr:uid="{00000000-0005-0000-0000-000012000000}"/>
    <cellStyle name="Currency 3" xfId="93" xr:uid="{00000000-0005-0000-0000-000013000000}"/>
    <cellStyle name="Currency 3 2" xfId="116" xr:uid="{00000000-0005-0000-0000-000014000000}"/>
    <cellStyle name="Error" xfId="131" xr:uid="{00000000-0005-0000-0000-000015000000}"/>
    <cellStyle name="Excel Built-in Normal" xfId="48" xr:uid="{00000000-0005-0000-0000-000016000000}"/>
    <cellStyle name="Excel Built-in Normal 2" xfId="56" xr:uid="{00000000-0005-0000-0000-000017000000}"/>
    <cellStyle name="Footnote" xfId="132" xr:uid="{00000000-0005-0000-0000-000018000000}"/>
    <cellStyle name="Good 2" xfId="133" xr:uid="{00000000-0005-0000-0000-000019000000}"/>
    <cellStyle name="Heading" xfId="134" xr:uid="{00000000-0005-0000-0000-00001A000000}"/>
    <cellStyle name="Heading 1 2" xfId="135" xr:uid="{00000000-0005-0000-0000-00001B000000}"/>
    <cellStyle name="Heading 2 2" xfId="136" xr:uid="{00000000-0005-0000-0000-00001C000000}"/>
    <cellStyle name="Isticanje2 2" xfId="137" xr:uid="{00000000-0005-0000-0000-00001D000000}"/>
    <cellStyle name="kolona A" xfId="31" xr:uid="{00000000-0005-0000-0000-00001E000000}"/>
    <cellStyle name="kolona B" xfId="32" xr:uid="{00000000-0005-0000-0000-00001F000000}"/>
    <cellStyle name="merge" xfId="138" xr:uid="{00000000-0005-0000-0000-000020000000}"/>
    <cellStyle name="Neutral 2" xfId="139" xr:uid="{00000000-0005-0000-0000-000021000000}"/>
    <cellStyle name="Normal 10" xfId="1" xr:uid="{00000000-0005-0000-0000-000022000000}"/>
    <cellStyle name="Normal 10 2" xfId="45" xr:uid="{00000000-0005-0000-0000-000023000000}"/>
    <cellStyle name="Normal 11" xfId="140" xr:uid="{00000000-0005-0000-0000-000024000000}"/>
    <cellStyle name="Normal 14" xfId="22" xr:uid="{00000000-0005-0000-0000-000025000000}"/>
    <cellStyle name="Normal 17" xfId="23" xr:uid="{00000000-0005-0000-0000-000026000000}"/>
    <cellStyle name="Normal 19" xfId="33" xr:uid="{00000000-0005-0000-0000-000027000000}"/>
    <cellStyle name="Normal 2" xfId="2" xr:uid="{00000000-0005-0000-0000-000028000000}"/>
    <cellStyle name="Normal 2 10" xfId="88" xr:uid="{00000000-0005-0000-0000-000029000000}"/>
    <cellStyle name="Normal 2 2" xfId="34" xr:uid="{00000000-0005-0000-0000-00002A000000}"/>
    <cellStyle name="Normal 2 2 2" xfId="35" xr:uid="{00000000-0005-0000-0000-00002B000000}"/>
    <cellStyle name="Normal 2 2 2 2" xfId="43" xr:uid="{00000000-0005-0000-0000-00002C000000}"/>
    <cellStyle name="Normal 2 2 2 2 2" xfId="49" xr:uid="{00000000-0005-0000-0000-00002D000000}"/>
    <cellStyle name="Normal 2 2 3" xfId="57" xr:uid="{00000000-0005-0000-0000-00002E000000}"/>
    <cellStyle name="Normal 2 2 3 2" xfId="47" xr:uid="{00000000-0005-0000-0000-00002F000000}"/>
    <cellStyle name="Normal 2 2 4" xfId="41" xr:uid="{00000000-0005-0000-0000-000030000000}"/>
    <cellStyle name="Normal 2 2 4 2" xfId="141" xr:uid="{00000000-0005-0000-0000-000031000000}"/>
    <cellStyle name="Normal 2 20" xfId="36" xr:uid="{00000000-0005-0000-0000-000032000000}"/>
    <cellStyle name="Normal 2 3" xfId="58" xr:uid="{00000000-0005-0000-0000-000033000000}"/>
    <cellStyle name="Normal 2 3 2" xfId="94" xr:uid="{00000000-0005-0000-0000-000034000000}"/>
    <cellStyle name="Normal 2 39" xfId="87" xr:uid="{00000000-0005-0000-0000-000035000000}"/>
    <cellStyle name="Normal 2 4" xfId="59" xr:uid="{00000000-0005-0000-0000-000036000000}"/>
    <cellStyle name="Normal 2 4 2" xfId="60" xr:uid="{00000000-0005-0000-0000-000037000000}"/>
    <cellStyle name="Normal 2 4 2 2" xfId="42" xr:uid="{00000000-0005-0000-0000-000038000000}"/>
    <cellStyle name="Normal 2 4 2 2 2" xfId="44" xr:uid="{00000000-0005-0000-0000-000039000000}"/>
    <cellStyle name="Normal 2 4 3" xfId="61" xr:uid="{00000000-0005-0000-0000-00003A000000}"/>
    <cellStyle name="Normal 2 5" xfId="27" xr:uid="{00000000-0005-0000-0000-00003B000000}"/>
    <cellStyle name="Normal 2 6" xfId="95" xr:uid="{00000000-0005-0000-0000-00003C000000}"/>
    <cellStyle name="Normal 27" xfId="62" xr:uid="{00000000-0005-0000-0000-00003D000000}"/>
    <cellStyle name="Normal 27 2" xfId="53" xr:uid="{00000000-0005-0000-0000-00003E000000}"/>
    <cellStyle name="Normal 28" xfId="96" xr:uid="{00000000-0005-0000-0000-00003F000000}"/>
    <cellStyle name="Normal 3" xfId="3" xr:uid="{00000000-0005-0000-0000-000040000000}"/>
    <cellStyle name="Normal 3 13" xfId="63" xr:uid="{00000000-0005-0000-0000-000041000000}"/>
    <cellStyle name="Normal 3 13 2" xfId="64" xr:uid="{00000000-0005-0000-0000-000042000000}"/>
    <cellStyle name="Normal 3 18" xfId="65" xr:uid="{00000000-0005-0000-0000-000043000000}"/>
    <cellStyle name="Normal 3 18 2" xfId="142" xr:uid="{00000000-0005-0000-0000-000044000000}"/>
    <cellStyle name="Normal 3 2" xfId="66" xr:uid="{00000000-0005-0000-0000-000045000000}"/>
    <cellStyle name="Normal 3 2 2" xfId="67" xr:uid="{00000000-0005-0000-0000-000046000000}"/>
    <cellStyle name="Normal 3 2 3" xfId="143" xr:uid="{00000000-0005-0000-0000-000047000000}"/>
    <cellStyle name="Normal 3 2 4" xfId="162" xr:uid="{00000000-0005-0000-0000-000048000000}"/>
    <cellStyle name="Normal 3 21" xfId="68" xr:uid="{00000000-0005-0000-0000-000049000000}"/>
    <cellStyle name="Normal 3 21 2" xfId="144" xr:uid="{00000000-0005-0000-0000-00004A000000}"/>
    <cellStyle name="Normal 3 3" xfId="69" xr:uid="{00000000-0005-0000-0000-00004B000000}"/>
    <cellStyle name="Normal 3 3 2" xfId="97" xr:uid="{00000000-0005-0000-0000-00004C000000}"/>
    <cellStyle name="Normal 3 4" xfId="70" xr:uid="{00000000-0005-0000-0000-00004D000000}"/>
    <cellStyle name="Normal 35" xfId="145" xr:uid="{00000000-0005-0000-0000-00004E000000}"/>
    <cellStyle name="Normal 38" xfId="98" xr:uid="{00000000-0005-0000-0000-00004F000000}"/>
    <cellStyle name="Normal 4" xfId="71" xr:uid="{00000000-0005-0000-0000-000050000000}"/>
    <cellStyle name="Normal 4 2" xfId="72" xr:uid="{00000000-0005-0000-0000-000051000000}"/>
    <cellStyle name="Normal 4 2 2" xfId="51" xr:uid="{00000000-0005-0000-0000-000052000000}"/>
    <cellStyle name="Normal 4 2 2 2" xfId="99" xr:uid="{00000000-0005-0000-0000-000053000000}"/>
    <cellStyle name="Normal 4 2 2 2 2" xfId="168" xr:uid="{00000000-0005-0000-0000-000054000000}"/>
    <cellStyle name="Normal 4 2 3" xfId="100" xr:uid="{00000000-0005-0000-0000-000055000000}"/>
    <cellStyle name="Normal 4 2 3 2" xfId="169" xr:uid="{00000000-0005-0000-0000-000056000000}"/>
    <cellStyle name="Normal 4 3" xfId="73" xr:uid="{00000000-0005-0000-0000-000057000000}"/>
    <cellStyle name="Normal 4 3 2" xfId="101" xr:uid="{00000000-0005-0000-0000-000058000000}"/>
    <cellStyle name="Normal 4 3 2 2" xfId="170" xr:uid="{00000000-0005-0000-0000-000059000000}"/>
    <cellStyle name="Normal 4 3 3" xfId="102" xr:uid="{00000000-0005-0000-0000-00005A000000}"/>
    <cellStyle name="Normal 4 3 3 2" xfId="171" xr:uid="{00000000-0005-0000-0000-00005B000000}"/>
    <cellStyle name="Normal 4 3 4" xfId="163" xr:uid="{00000000-0005-0000-0000-00005C000000}"/>
    <cellStyle name="Normal 4 4" xfId="103" xr:uid="{00000000-0005-0000-0000-00005D000000}"/>
    <cellStyle name="Normal 4 4 2" xfId="104" xr:uid="{00000000-0005-0000-0000-00005E000000}"/>
    <cellStyle name="Normal 4 4 2 2" xfId="173" xr:uid="{00000000-0005-0000-0000-00005F000000}"/>
    <cellStyle name="Normal 4 4 3" xfId="172" xr:uid="{00000000-0005-0000-0000-000060000000}"/>
    <cellStyle name="Normal 4 5" xfId="105" xr:uid="{00000000-0005-0000-0000-000061000000}"/>
    <cellStyle name="Normal 4 5 2" xfId="174" xr:uid="{00000000-0005-0000-0000-000062000000}"/>
    <cellStyle name="Normal 4 6" xfId="106" xr:uid="{00000000-0005-0000-0000-000063000000}"/>
    <cellStyle name="Normal 4 6 2" xfId="175" xr:uid="{00000000-0005-0000-0000-000064000000}"/>
    <cellStyle name="Normal 44" xfId="74" xr:uid="{00000000-0005-0000-0000-000065000000}"/>
    <cellStyle name="Normal 44 2" xfId="146" xr:uid="{00000000-0005-0000-0000-000066000000}"/>
    <cellStyle name="Normal 49" xfId="75" xr:uid="{00000000-0005-0000-0000-000067000000}"/>
    <cellStyle name="Normal 49 2" xfId="147" xr:uid="{00000000-0005-0000-0000-000068000000}"/>
    <cellStyle name="Normal 5" xfId="76" xr:uid="{00000000-0005-0000-0000-000069000000}"/>
    <cellStyle name="Normal 5 2" xfId="77" xr:uid="{00000000-0005-0000-0000-00006A000000}"/>
    <cellStyle name="Normal 5 3" xfId="78" xr:uid="{00000000-0005-0000-0000-00006B000000}"/>
    <cellStyle name="Normal 5 4" xfId="107" xr:uid="{00000000-0005-0000-0000-00006C000000}"/>
    <cellStyle name="Normal 5 5" xfId="164" xr:uid="{00000000-0005-0000-0000-00006D000000}"/>
    <cellStyle name="Normal 54" xfId="4" xr:uid="{00000000-0005-0000-0000-00006E000000}"/>
    <cellStyle name="Normal 6" xfId="37" xr:uid="{00000000-0005-0000-0000-00006F000000}"/>
    <cellStyle name="Normal 6 2" xfId="79" xr:uid="{00000000-0005-0000-0000-000070000000}"/>
    <cellStyle name="Normal 6 2 2" xfId="108" xr:uid="{00000000-0005-0000-0000-000071000000}"/>
    <cellStyle name="Normal 6 3" xfId="148" xr:uid="{00000000-0005-0000-0000-000072000000}"/>
    <cellStyle name="Normal 7" xfId="80" xr:uid="{00000000-0005-0000-0000-000073000000}"/>
    <cellStyle name="Normal 7 2" xfId="50" xr:uid="{00000000-0005-0000-0000-000074000000}"/>
    <cellStyle name="Normal 7 3" xfId="109" xr:uid="{00000000-0005-0000-0000-000075000000}"/>
    <cellStyle name="Normal 7 3 2" xfId="176" xr:uid="{00000000-0005-0000-0000-000076000000}"/>
    <cellStyle name="Normal 7 4" xfId="117" xr:uid="{00000000-0005-0000-0000-000077000000}"/>
    <cellStyle name="Normal 7 5" xfId="165" xr:uid="{00000000-0005-0000-0000-000078000000}"/>
    <cellStyle name="Normal 74" xfId="89" xr:uid="{00000000-0005-0000-0000-000079000000}"/>
    <cellStyle name="Normal 74 2" xfId="166" xr:uid="{00000000-0005-0000-0000-00007A000000}"/>
    <cellStyle name="Normal 8" xfId="81" xr:uid="{00000000-0005-0000-0000-00007B000000}"/>
    <cellStyle name="Normal 8 2" xfId="82" xr:uid="{00000000-0005-0000-0000-00007C000000}"/>
    <cellStyle name="Normal 8 3" xfId="110" xr:uid="{00000000-0005-0000-0000-00007D000000}"/>
    <cellStyle name="Normal 80" xfId="111" xr:uid="{00000000-0005-0000-0000-00007E000000}"/>
    <cellStyle name="Normal 9" xfId="83" xr:uid="{00000000-0005-0000-0000-00007F000000}"/>
    <cellStyle name="Normal_00 PREDLOŽAK GRAĐEVNA in-tegra" xfId="5" xr:uid="{00000000-0005-0000-0000-000080000000}"/>
    <cellStyle name="Normal_DUGA 20040811 raspolagat tenderom nije mala zajebancija" xfId="86" xr:uid="{00000000-0005-0000-0000-000081000000}"/>
    <cellStyle name="Normal_HR7-Z214" xfId="118" xr:uid="{00000000-0005-0000-0000-000082000000}"/>
    <cellStyle name="Normal_ponder" xfId="6" xr:uid="{00000000-0005-0000-0000-000083000000}"/>
    <cellStyle name="Normal_ponder 2" xfId="7" xr:uid="{00000000-0005-0000-0000-000084000000}"/>
    <cellStyle name="Normal_ponder 2 2" xfId="8" xr:uid="{00000000-0005-0000-0000-000085000000}"/>
    <cellStyle name="Normal_Sheet1" xfId="24" xr:uid="{00000000-0005-0000-0000-000086000000}"/>
    <cellStyle name="Normal_Troskovnik_Ikea" xfId="21" xr:uid="{00000000-0005-0000-0000-000087000000}"/>
    <cellStyle name="Normal_TROSKOVNIK-revizija2 2 2" xfId="52" xr:uid="{00000000-0005-0000-0000-000088000000}"/>
    <cellStyle name="Normal_TROŠKOVNIK - KAM - ŽUTO" xfId="9" xr:uid="{00000000-0005-0000-0000-000089000000}"/>
    <cellStyle name="Normal_UGOVORNI TRO_K." xfId="10" xr:uid="{00000000-0005-0000-0000-00008A000000}"/>
    <cellStyle name="Normal_VLAšKA 69-A,B,C,D (2)" xfId="11" xr:uid="{00000000-0005-0000-0000-00008B000000}"/>
    <cellStyle name="Normal_VLAšKA 69-A,B,C,D (2) 2 2" xfId="12" xr:uid="{00000000-0005-0000-0000-00008C000000}"/>
    <cellStyle name="Normal1" xfId="149" xr:uid="{00000000-0005-0000-0000-00008D000000}"/>
    <cellStyle name="Normal2" xfId="150" xr:uid="{00000000-0005-0000-0000-00008E000000}"/>
    <cellStyle name="Normalno" xfId="0" builtinId="0"/>
    <cellStyle name="Normalno 11" xfId="26" xr:uid="{00000000-0005-0000-0000-000090000000}"/>
    <cellStyle name="Normalno 2" xfId="13" xr:uid="{00000000-0005-0000-0000-000091000000}"/>
    <cellStyle name="Normalno 2 2" xfId="38" xr:uid="{00000000-0005-0000-0000-000092000000}"/>
    <cellStyle name="Normalno 2 4" xfId="151" xr:uid="{00000000-0005-0000-0000-000093000000}"/>
    <cellStyle name="Normalno 3" xfId="14" xr:uid="{00000000-0005-0000-0000-000094000000}"/>
    <cellStyle name="Normalno 4" xfId="19" xr:uid="{00000000-0005-0000-0000-000095000000}"/>
    <cellStyle name="Normalno 5" xfId="112" xr:uid="{00000000-0005-0000-0000-000096000000}"/>
    <cellStyle name="Normalno 7" xfId="39" xr:uid="{00000000-0005-0000-0000-000097000000}"/>
    <cellStyle name="Normalno 7 2" xfId="28" xr:uid="{00000000-0005-0000-0000-000098000000}"/>
    <cellStyle name="Normalno 7 2 2" xfId="90" xr:uid="{00000000-0005-0000-0000-000099000000}"/>
    <cellStyle name="Normalno 7 2 2 2" xfId="167" xr:uid="{00000000-0005-0000-0000-00009A000000}"/>
    <cellStyle name="Normalno 7 2 3" xfId="160" xr:uid="{00000000-0005-0000-0000-00009B000000}"/>
    <cellStyle name="Normalno 7 3" xfId="161" xr:uid="{00000000-0005-0000-0000-00009C000000}"/>
    <cellStyle name="Normalny_Arkusz2" xfId="84" xr:uid="{00000000-0005-0000-0000-00009D000000}"/>
    <cellStyle name="Note 2" xfId="152" xr:uid="{00000000-0005-0000-0000-00009E000000}"/>
    <cellStyle name="Obično 2" xfId="15" xr:uid="{00000000-0005-0000-0000-00009F000000}"/>
    <cellStyle name="Obično 3" xfId="113" xr:uid="{00000000-0005-0000-0000-0000A0000000}"/>
    <cellStyle name="Obično 4" xfId="177" xr:uid="{307EC75F-C0F2-40E1-A44A-662BBB33C7D5}"/>
    <cellStyle name="Obično 5" xfId="178" xr:uid="{A5854F96-6D93-499B-BD38-A8CE7A93B810}"/>
    <cellStyle name="Obično_C-G.STENJEVECtroskovnikV+K" xfId="153" xr:uid="{00000000-0005-0000-0000-0000A1000000}"/>
    <cellStyle name="Percent 2" xfId="114" xr:uid="{00000000-0005-0000-0000-0000A2000000}"/>
    <cellStyle name="Standard_Tabelle1" xfId="115" xr:uid="{00000000-0005-0000-0000-0000A3000000}"/>
    <cellStyle name="Status" xfId="154" xr:uid="{00000000-0005-0000-0000-0000A4000000}"/>
    <cellStyle name="Stil 1" xfId="40" xr:uid="{00000000-0005-0000-0000-0000A5000000}"/>
    <cellStyle name="Style 1" xfId="16" xr:uid="{00000000-0005-0000-0000-0000A6000000}"/>
    <cellStyle name="Style 1 2" xfId="85" xr:uid="{00000000-0005-0000-0000-0000A7000000}"/>
    <cellStyle name="Text" xfId="155" xr:uid="{00000000-0005-0000-0000-0000A8000000}"/>
    <cellStyle name="Troškovnik" xfId="17" xr:uid="{00000000-0005-0000-0000-0000A9000000}"/>
    <cellStyle name="Unos 2" xfId="156" xr:uid="{00000000-0005-0000-0000-0000AA000000}"/>
    <cellStyle name="Valuta 2" xfId="20" xr:uid="{00000000-0005-0000-0000-0000AB000000}"/>
    <cellStyle name="Valuta 2 2" xfId="159" xr:uid="{00000000-0005-0000-0000-0000AC000000}"/>
    <cellStyle name="Warning" xfId="157" xr:uid="{00000000-0005-0000-0000-0000AD000000}"/>
    <cellStyle name="Zarez 2" xfId="18" xr:uid="{00000000-0005-0000-0000-0000AE000000}"/>
    <cellStyle name="Zarez 2 2" xfId="158" xr:uid="{00000000-0005-0000-0000-0000AF000000}"/>
    <cellStyle name="Zarez 3" xfId="46" xr:uid="{00000000-0005-0000-0000-0000B0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bwd2\c\Miljenko\slavonski%20brod\opci%20uvjeti,%20napomene%20i%20s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ITULACIJA"/>
      <sheetName val="NAPOMENE"/>
      <sheetName val="OPIS"/>
      <sheetName val="OU-A.I"/>
      <sheetName val="OU-A.II"/>
      <sheetName val="OU-A.III"/>
      <sheetName val="AB"/>
      <sheetName val="OU-A.IV"/>
      <sheetName val="ARMIRACKI"/>
      <sheetName val="OU-A.V"/>
      <sheetName val="ZIDARSKI"/>
      <sheetName val="OU-A.VI"/>
      <sheetName val="FASADERSKI"/>
      <sheetName val="TESARSKI"/>
      <sheetName val="OU-A.VIII"/>
      <sheetName val="KROVOPOKRIVACKI"/>
      <sheetName val="OU-A.IX"/>
      <sheetName val="HIDROIZOLATERSKI"/>
      <sheetName val="OU-A.X"/>
      <sheetName val="TERMOIZOLATERSKI"/>
      <sheetName val="OU-A.XI"/>
      <sheetName val="LIMARSKI"/>
      <sheetName val="UGRADBE"/>
      <sheetName val="OU-A.XIII"/>
      <sheetName val="STOLARSKIfs"/>
      <sheetName val="OU-A.XIV"/>
      <sheetName val="BRAVARSKIfs"/>
      <sheetName val="OU-A.XV"/>
      <sheetName val="SKELARSKI"/>
      <sheetName val="OU-A.XVI"/>
      <sheetName val="KAMENARSKIvp"/>
      <sheetName val="HORTIKULTURNI"/>
      <sheetName val="BAZEN"/>
      <sheetName val="CISCENJEg"/>
      <sheetName val="OU-B.I"/>
      <sheetName val="STOLARSKI"/>
      <sheetName val="OU-B.II"/>
      <sheetName val="BRAVARSKI"/>
      <sheetName val="OU-B.III"/>
      <sheetName val="GIPSKARTONSKI"/>
      <sheetName val="OU-B.IV"/>
      <sheetName val="KERAMICARSKI"/>
      <sheetName val="OU-B.V"/>
      <sheetName val="PARKETARSKI"/>
      <sheetName val="OU-B.VI"/>
      <sheetName val="SOBOSLIKARSKI"/>
      <sheetName val="OU-B.VII"/>
      <sheetName val="KAMENARSKI"/>
      <sheetName val="PECARSKI"/>
      <sheetName val="CISCENJEo"/>
      <sheetName val="OU-A.VII"/>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2"/>
  <sheetViews>
    <sheetView view="pageBreakPreview" topLeftCell="A9" zoomScaleNormal="100" zoomScaleSheetLayoutView="100" workbookViewId="0">
      <selection activeCell="M30" sqref="M30"/>
    </sheetView>
  </sheetViews>
  <sheetFormatPr defaultRowHeight="13.2"/>
  <cols>
    <col min="1" max="1" width="5.6640625" customWidth="1"/>
    <col min="2" max="2" width="40.6640625" customWidth="1"/>
    <col min="3" max="3" width="5.6640625" style="2" customWidth="1"/>
    <col min="4" max="4" width="11.6640625" customWidth="1"/>
    <col min="5" max="5" width="12.6640625" customWidth="1"/>
    <col min="6" max="6" width="16.6640625" customWidth="1"/>
    <col min="7" max="7" width="7.6640625" customWidth="1"/>
  </cols>
  <sheetData>
    <row r="1" spans="1:7" s="1" customFormat="1" ht="30" customHeight="1">
      <c r="A1" s="927" t="s">
        <v>2134</v>
      </c>
      <c r="B1" s="927"/>
      <c r="C1" s="927"/>
      <c r="D1" s="927"/>
      <c r="E1" s="927"/>
      <c r="F1" s="927"/>
      <c r="G1" s="927"/>
    </row>
    <row r="2" spans="1:7" s="1" customFormat="1" ht="16.2">
      <c r="A2" s="235"/>
      <c r="B2" s="235"/>
      <c r="C2" s="235"/>
      <c r="D2" s="235"/>
      <c r="E2" s="235"/>
      <c r="F2" s="235"/>
      <c r="G2" s="235"/>
    </row>
    <row r="3" spans="1:7">
      <c r="C3"/>
    </row>
    <row r="6" spans="1:7" ht="13.8">
      <c r="A6" s="7"/>
      <c r="B6" s="14" t="s">
        <v>5</v>
      </c>
      <c r="E6" s="7"/>
      <c r="F6" s="7"/>
    </row>
    <row r="7" spans="1:7" ht="14.4">
      <c r="A7" s="7"/>
      <c r="B7" s="262" t="s">
        <v>3274</v>
      </c>
      <c r="E7" s="7"/>
      <c r="F7" s="7"/>
    </row>
    <row r="8" spans="1:7" ht="14.4">
      <c r="A8" s="7"/>
      <c r="B8" s="262" t="s">
        <v>2366</v>
      </c>
      <c r="E8" s="7"/>
      <c r="F8" s="7"/>
    </row>
    <row r="9" spans="1:7" ht="14.4">
      <c r="A9" s="7"/>
      <c r="B9" s="262" t="s">
        <v>2368</v>
      </c>
      <c r="C9" s="7"/>
      <c r="E9" s="7"/>
      <c r="F9" s="7"/>
    </row>
    <row r="10" spans="1:7" ht="14.4">
      <c r="A10" s="7"/>
      <c r="B10" s="262" t="s">
        <v>2367</v>
      </c>
      <c r="C10" s="7"/>
      <c r="E10" s="7"/>
      <c r="F10" s="7"/>
    </row>
    <row r="11" spans="1:7" ht="14.4">
      <c r="A11" s="7"/>
      <c r="B11" s="262"/>
      <c r="C11" s="10"/>
      <c r="E11" s="7"/>
      <c r="F11" s="7"/>
    </row>
    <row r="12" spans="1:7" ht="13.8">
      <c r="A12" s="7"/>
      <c r="B12" s="14" t="s">
        <v>1</v>
      </c>
      <c r="C12" s="10"/>
      <c r="E12" s="7"/>
      <c r="F12" s="7"/>
    </row>
    <row r="13" spans="1:7" ht="14.4">
      <c r="A13" s="7"/>
      <c r="B13" s="262" t="s">
        <v>2363</v>
      </c>
      <c r="C13" s="10"/>
      <c r="E13" s="7"/>
      <c r="F13" s="7"/>
    </row>
    <row r="14" spans="1:7" ht="14.4">
      <c r="A14" s="7"/>
      <c r="B14" s="262" t="s">
        <v>2364</v>
      </c>
      <c r="C14" s="7"/>
      <c r="E14" s="7"/>
      <c r="F14" s="7"/>
    </row>
    <row r="15" spans="1:7" ht="14.4">
      <c r="A15" s="7"/>
      <c r="B15" s="262" t="s">
        <v>2365</v>
      </c>
      <c r="C15" s="7"/>
      <c r="E15" s="7"/>
      <c r="F15" s="7"/>
    </row>
    <row r="16" spans="1:7" ht="13.8">
      <c r="A16" s="7"/>
      <c r="B16" s="10"/>
      <c r="C16" s="11"/>
      <c r="E16" s="7"/>
      <c r="F16" s="7"/>
    </row>
    <row r="17" spans="1:9" ht="13.8">
      <c r="A17" s="7"/>
      <c r="B17" s="14"/>
      <c r="C17" s="7"/>
      <c r="E17" s="7"/>
      <c r="F17" s="7"/>
    </row>
    <row r="18" spans="1:9" ht="14.4">
      <c r="A18" s="7"/>
      <c r="B18" s="263"/>
      <c r="C18" s="7"/>
      <c r="E18" s="7"/>
      <c r="F18" s="7"/>
    </row>
    <row r="19" spans="1:9" ht="13.8">
      <c r="A19" s="7"/>
      <c r="B19" s="11"/>
      <c r="C19" s="11"/>
      <c r="E19" s="7"/>
      <c r="F19" s="7"/>
    </row>
    <row r="20" spans="1:9" ht="13.8">
      <c r="A20" s="7"/>
      <c r="B20" s="14" t="s">
        <v>6</v>
      </c>
      <c r="C20" s="7"/>
      <c r="E20" s="7"/>
      <c r="F20" s="7"/>
    </row>
    <row r="21" spans="1:9" ht="14.4">
      <c r="A21" s="7"/>
      <c r="B21" s="263" t="s">
        <v>3272</v>
      </c>
      <c r="C21" s="7"/>
      <c r="E21" s="7"/>
      <c r="F21" s="7"/>
    </row>
    <row r="22" spans="1:9" ht="13.8">
      <c r="A22" s="7"/>
      <c r="B22" s="14"/>
      <c r="C22" s="7"/>
      <c r="E22" s="7"/>
      <c r="F22" s="7"/>
    </row>
    <row r="23" spans="1:9" ht="13.8">
      <c r="A23" s="7"/>
      <c r="B23" s="14" t="s">
        <v>6</v>
      </c>
      <c r="C23" s="7"/>
      <c r="E23" s="7"/>
      <c r="F23" s="7"/>
    </row>
    <row r="24" spans="1:9" ht="14.4">
      <c r="A24" s="7"/>
      <c r="B24" s="263" t="s">
        <v>3273</v>
      </c>
      <c r="C24" s="7"/>
      <c r="E24" s="7"/>
      <c r="F24" s="7"/>
    </row>
    <row r="25" spans="1:9" ht="13.8">
      <c r="A25" s="7"/>
      <c r="B25" s="7"/>
      <c r="C25" s="9"/>
      <c r="D25" s="7"/>
      <c r="E25" s="7"/>
      <c r="F25" s="7"/>
    </row>
    <row r="26" spans="1:9" ht="13.8">
      <c r="A26" s="7"/>
      <c r="B26" s="7"/>
      <c r="C26" s="9"/>
      <c r="D26" s="7"/>
      <c r="E26" s="7"/>
      <c r="F26" s="7"/>
    </row>
    <row r="27" spans="1:9" ht="13.8">
      <c r="A27" s="7"/>
      <c r="B27" s="7"/>
      <c r="C27" s="9"/>
      <c r="D27" s="7"/>
      <c r="E27" s="7"/>
      <c r="F27" s="7"/>
    </row>
    <row r="28" spans="1:9" ht="13.8">
      <c r="A28" s="7"/>
      <c r="B28" s="7"/>
      <c r="C28" s="9"/>
      <c r="D28" s="7"/>
      <c r="E28" s="7"/>
      <c r="F28" s="7"/>
    </row>
    <row r="29" spans="1:9" ht="13.8">
      <c r="A29" s="7"/>
      <c r="B29" s="7"/>
      <c r="C29" s="9"/>
      <c r="D29" s="7"/>
      <c r="E29" s="7"/>
      <c r="F29" s="7"/>
    </row>
    <row r="30" spans="1:9" ht="13.8">
      <c r="A30" s="7"/>
      <c r="B30" s="7"/>
      <c r="C30" s="9"/>
      <c r="D30" s="7"/>
      <c r="E30" s="7"/>
      <c r="F30" s="7"/>
    </row>
    <row r="31" spans="1:9" ht="13.8">
      <c r="A31" s="7"/>
      <c r="B31" s="7"/>
      <c r="C31" s="9"/>
      <c r="D31" s="7"/>
      <c r="E31" s="7"/>
      <c r="F31" s="7"/>
    </row>
    <row r="32" spans="1:9" ht="23.4">
      <c r="A32" s="7"/>
      <c r="B32" s="232" t="s">
        <v>0</v>
      </c>
      <c r="C32" s="9"/>
      <c r="D32" s="19"/>
      <c r="E32" s="7"/>
      <c r="F32" s="277"/>
      <c r="I32" s="26"/>
    </row>
    <row r="33" spans="1:6" ht="15.6">
      <c r="A33" s="7"/>
      <c r="B33" s="25"/>
      <c r="C33" s="18"/>
      <c r="D33" s="12"/>
      <c r="E33" s="7"/>
      <c r="F33" s="7"/>
    </row>
    <row r="34" spans="1:6" ht="15.6">
      <c r="B34" s="4"/>
      <c r="C34" s="5"/>
      <c r="D34" s="6"/>
      <c r="E34" s="4"/>
      <c r="F34" s="4"/>
    </row>
    <row r="35" spans="1:6" ht="15.6">
      <c r="A35" s="233" t="s">
        <v>8</v>
      </c>
      <c r="B35" s="234" t="s">
        <v>1239</v>
      </c>
    </row>
    <row r="36" spans="1:6" ht="15.6">
      <c r="A36" s="233" t="s">
        <v>9</v>
      </c>
      <c r="B36" s="234" t="s">
        <v>1930</v>
      </c>
    </row>
    <row r="37" spans="1:6" ht="15.6">
      <c r="A37" s="233" t="s">
        <v>10</v>
      </c>
      <c r="B37" s="234" t="s">
        <v>2047</v>
      </c>
    </row>
    <row r="38" spans="1:6" ht="15.6">
      <c r="A38" s="233" t="s">
        <v>11</v>
      </c>
      <c r="B38" s="234" t="s">
        <v>2048</v>
      </c>
    </row>
    <row r="39" spans="1:6" ht="15.6">
      <c r="A39" s="233" t="s">
        <v>12</v>
      </c>
      <c r="B39" s="234" t="s">
        <v>2049</v>
      </c>
    </row>
    <row r="40" spans="1:6" ht="15.6">
      <c r="A40" s="233" t="s">
        <v>13</v>
      </c>
      <c r="B40" s="234" t="s">
        <v>2050</v>
      </c>
    </row>
    <row r="41" spans="1:6" ht="15.6">
      <c r="A41" s="233" t="s">
        <v>14</v>
      </c>
      <c r="B41" s="234" t="s">
        <v>3258</v>
      </c>
    </row>
    <row r="42" spans="1:6" ht="15.6">
      <c r="A42" s="233" t="s">
        <v>682</v>
      </c>
      <c r="B42" s="234" t="s">
        <v>1970</v>
      </c>
    </row>
    <row r="43" spans="1:6" ht="15.6">
      <c r="A43" s="233" t="s">
        <v>686</v>
      </c>
      <c r="B43" s="234" t="s">
        <v>2371</v>
      </c>
    </row>
    <row r="45" spans="1:6">
      <c r="B45" s="230"/>
    </row>
    <row r="49" spans="1:5" ht="13.8">
      <c r="B49" s="14" t="s">
        <v>4</v>
      </c>
      <c r="C49" s="7"/>
      <c r="E49" s="7"/>
    </row>
    <row r="50" spans="1:5" ht="14.4">
      <c r="B50" s="264" t="s">
        <v>15</v>
      </c>
      <c r="C50"/>
    </row>
    <row r="51" spans="1:5">
      <c r="B51" s="2"/>
      <c r="C51"/>
    </row>
    <row r="52" spans="1:5">
      <c r="B52" s="2"/>
      <c r="C52"/>
    </row>
    <row r="53" spans="1:5" ht="13.8">
      <c r="A53" s="7"/>
      <c r="B53" s="14" t="s">
        <v>3</v>
      </c>
      <c r="C53" s="7"/>
      <c r="E53" s="7"/>
    </row>
    <row r="54" spans="1:5" ht="14.4">
      <c r="A54" s="7"/>
      <c r="B54" s="264" t="s">
        <v>7</v>
      </c>
      <c r="C54" s="7"/>
      <c r="E54" s="7"/>
    </row>
    <row r="55" spans="1:5" ht="13.8">
      <c r="A55" s="7"/>
      <c r="B55" s="226"/>
      <c r="C55" s="7"/>
      <c r="E55" s="7"/>
    </row>
    <row r="56" spans="1:5" ht="13.8">
      <c r="A56" s="7"/>
      <c r="B56" s="14" t="s">
        <v>2</v>
      </c>
      <c r="C56" s="7"/>
      <c r="E56" s="7"/>
    </row>
    <row r="57" spans="1:5" ht="14.4">
      <c r="A57" s="7"/>
      <c r="B57" s="264" t="s">
        <v>3259</v>
      </c>
      <c r="C57" s="7"/>
      <c r="E57" s="7"/>
    </row>
    <row r="58" spans="1:5" ht="13.8">
      <c r="A58" s="7"/>
      <c r="B58" s="9"/>
      <c r="C58" s="7"/>
      <c r="E58" s="7"/>
    </row>
    <row r="59" spans="1:5" ht="13.8">
      <c r="A59" s="7"/>
      <c r="B59" s="9"/>
      <c r="C59" s="7"/>
      <c r="E59" s="7"/>
    </row>
    <row r="60" spans="1:5" ht="13.8">
      <c r="A60" s="226" t="s">
        <v>1035</v>
      </c>
      <c r="B60" s="7"/>
      <c r="E60" s="7"/>
    </row>
    <row r="61" spans="1:5" ht="13.8">
      <c r="A61" s="7"/>
      <c r="B61" s="7"/>
      <c r="E61" s="7"/>
    </row>
    <row r="62" spans="1:5" ht="13.8">
      <c r="A62" s="7"/>
      <c r="B62" s="226" t="s">
        <v>2362</v>
      </c>
      <c r="E62" s="7"/>
    </row>
    <row r="63" spans="1:5" ht="13.8">
      <c r="A63" s="7"/>
      <c r="B63" s="226"/>
      <c r="E63" s="7"/>
    </row>
    <row r="64" spans="1:5" ht="13.8">
      <c r="A64" s="7"/>
      <c r="B64" s="226" t="s">
        <v>22</v>
      </c>
      <c r="E64" s="7"/>
    </row>
    <row r="65" spans="1:6" ht="13.8">
      <c r="A65" s="7"/>
      <c r="B65" s="7"/>
      <c r="E65" s="7"/>
    </row>
    <row r="66" spans="1:6" ht="13.8">
      <c r="A66" s="229" t="s">
        <v>8</v>
      </c>
      <c r="B66" s="109" t="s">
        <v>1239</v>
      </c>
      <c r="C66" s="52"/>
      <c r="D66" s="230"/>
      <c r="E66" s="7"/>
      <c r="F66" s="228"/>
    </row>
    <row r="67" spans="1:6" ht="13.8">
      <c r="A67" s="228"/>
      <c r="B67" s="9" t="s">
        <v>18</v>
      </c>
      <c r="C67" s="7" t="s">
        <v>19</v>
      </c>
      <c r="D67" s="228"/>
      <c r="E67" s="228"/>
      <c r="F67" s="228"/>
    </row>
    <row r="68" spans="1:6" ht="13.8">
      <c r="A68" s="228"/>
      <c r="B68" s="9"/>
      <c r="C68" s="7" t="s">
        <v>3260</v>
      </c>
      <c r="D68" s="228"/>
      <c r="E68" s="228"/>
      <c r="F68" s="228"/>
    </row>
    <row r="69" spans="1:6" ht="13.8">
      <c r="A69" s="228"/>
      <c r="B69" s="9"/>
      <c r="C69" s="7" t="s">
        <v>3261</v>
      </c>
      <c r="D69" s="228"/>
      <c r="E69" s="228"/>
      <c r="F69" s="228"/>
    </row>
    <row r="70" spans="1:6" ht="13.8">
      <c r="A70" s="228"/>
      <c r="B70" s="227"/>
      <c r="C70" s="7" t="s">
        <v>17</v>
      </c>
      <c r="D70" s="228"/>
      <c r="E70" s="228"/>
      <c r="F70" s="228"/>
    </row>
    <row r="71" spans="1:6" ht="13.8">
      <c r="A71" s="228"/>
      <c r="B71" s="227"/>
      <c r="C71" s="7" t="s">
        <v>3262</v>
      </c>
      <c r="D71" s="228"/>
      <c r="E71" s="228"/>
      <c r="F71" s="228"/>
    </row>
    <row r="72" spans="1:6" ht="13.8">
      <c r="A72" s="228"/>
      <c r="B72" s="227"/>
      <c r="C72" s="7" t="s">
        <v>3263</v>
      </c>
      <c r="D72" s="228"/>
      <c r="E72" s="228"/>
      <c r="F72" s="228"/>
    </row>
    <row r="73" spans="1:6" ht="13.8">
      <c r="A73" s="228"/>
      <c r="B73" s="9" t="s">
        <v>20</v>
      </c>
      <c r="C73" s="7" t="s">
        <v>1033</v>
      </c>
      <c r="D73" s="228"/>
      <c r="E73" s="228"/>
      <c r="F73" s="228"/>
    </row>
    <row r="74" spans="1:6" ht="13.8">
      <c r="A74" s="228"/>
      <c r="B74" s="9" t="s">
        <v>21</v>
      </c>
      <c r="C74" s="7" t="s">
        <v>15</v>
      </c>
      <c r="D74" s="228"/>
      <c r="E74" s="228"/>
      <c r="F74" s="228"/>
    </row>
    <row r="75" spans="1:6" ht="13.8">
      <c r="A75" s="228"/>
      <c r="B75" s="9"/>
      <c r="C75" s="7"/>
      <c r="D75" s="228"/>
      <c r="E75" s="228"/>
      <c r="F75" s="228"/>
    </row>
    <row r="76" spans="1:6" ht="13.8">
      <c r="A76" s="229" t="s">
        <v>9</v>
      </c>
      <c r="B76" s="109" t="s">
        <v>2369</v>
      </c>
      <c r="C76" s="10"/>
      <c r="D76" s="230"/>
      <c r="E76" s="228"/>
      <c r="F76" s="228"/>
    </row>
    <row r="77" spans="1:6" ht="13.8">
      <c r="A77" s="228"/>
      <c r="B77" s="9" t="s">
        <v>18</v>
      </c>
      <c r="C77" s="7" t="s">
        <v>19</v>
      </c>
      <c r="D77" s="228"/>
      <c r="E77" s="228"/>
      <c r="F77" s="228"/>
    </row>
    <row r="78" spans="1:6" ht="13.8">
      <c r="A78" s="228"/>
      <c r="B78" s="9"/>
      <c r="C78" s="7" t="s">
        <v>3260</v>
      </c>
      <c r="D78" s="228"/>
      <c r="E78" s="228"/>
      <c r="F78" s="228"/>
    </row>
    <row r="79" spans="1:6" ht="13.8">
      <c r="A79" s="228"/>
      <c r="B79" s="9"/>
      <c r="C79" s="7" t="s">
        <v>17</v>
      </c>
      <c r="D79" s="228"/>
      <c r="E79" s="228"/>
      <c r="F79" s="228"/>
    </row>
    <row r="80" spans="1:6" ht="13.8">
      <c r="A80" s="228"/>
      <c r="B80" s="9"/>
      <c r="C80" s="7" t="s">
        <v>3262</v>
      </c>
      <c r="D80" s="228"/>
      <c r="E80" s="228"/>
      <c r="F80" s="228"/>
    </row>
    <row r="81" spans="1:6" ht="13.8">
      <c r="A81" s="228"/>
      <c r="B81" s="9" t="s">
        <v>20</v>
      </c>
      <c r="C81" s="7" t="s">
        <v>1033</v>
      </c>
      <c r="D81" s="228"/>
      <c r="E81" s="228"/>
      <c r="F81" s="228"/>
    </row>
    <row r="82" spans="1:6" ht="13.8">
      <c r="A82" s="228"/>
      <c r="B82" s="9" t="s">
        <v>21</v>
      </c>
      <c r="C82" s="7" t="s">
        <v>15</v>
      </c>
      <c r="D82" s="228"/>
      <c r="E82" s="228"/>
      <c r="F82" s="228"/>
    </row>
    <row r="83" spans="1:6">
      <c r="A83" s="228"/>
      <c r="B83" s="228"/>
      <c r="C83" s="227"/>
      <c r="D83" s="228"/>
      <c r="E83" s="228"/>
      <c r="F83" s="228"/>
    </row>
    <row r="84" spans="1:6" ht="13.8">
      <c r="A84" s="229" t="s">
        <v>10</v>
      </c>
      <c r="B84" s="109" t="s">
        <v>2370</v>
      </c>
      <c r="C84" s="52"/>
      <c r="D84" s="230"/>
      <c r="E84" s="228"/>
      <c r="F84" s="228"/>
    </row>
    <row r="85" spans="1:6" ht="13.8">
      <c r="A85" s="228"/>
      <c r="B85" s="9" t="s">
        <v>18</v>
      </c>
      <c r="C85" s="7" t="s">
        <v>19</v>
      </c>
      <c r="D85" s="228"/>
      <c r="E85" s="228"/>
      <c r="F85" s="228"/>
    </row>
    <row r="86" spans="1:6" ht="13.8">
      <c r="A86" s="228"/>
      <c r="B86" s="9"/>
      <c r="C86" s="7" t="s">
        <v>3264</v>
      </c>
      <c r="D86" s="228"/>
      <c r="E86" s="228"/>
      <c r="F86" s="228"/>
    </row>
    <row r="87" spans="1:6" ht="13.8">
      <c r="A87" s="228"/>
      <c r="B87" s="9" t="s">
        <v>20</v>
      </c>
      <c r="C87" s="7" t="s">
        <v>1034</v>
      </c>
      <c r="D87" s="228"/>
      <c r="E87" s="228"/>
      <c r="F87" s="228"/>
    </row>
    <row r="88" spans="1:6" ht="13.8">
      <c r="A88" s="228"/>
      <c r="B88" s="9" t="s">
        <v>21</v>
      </c>
      <c r="C88" s="7" t="s">
        <v>15</v>
      </c>
      <c r="D88" s="228"/>
      <c r="E88" s="228"/>
      <c r="F88" s="228"/>
    </row>
    <row r="89" spans="1:6">
      <c r="A89" s="228"/>
      <c r="B89" s="228"/>
      <c r="C89" s="227"/>
      <c r="D89" s="228"/>
      <c r="E89" s="228"/>
      <c r="F89" s="228"/>
    </row>
    <row r="90" spans="1:6" ht="13.8">
      <c r="A90" s="229" t="s">
        <v>11</v>
      </c>
      <c r="B90" s="109" t="s">
        <v>2048</v>
      </c>
      <c r="C90" s="52"/>
      <c r="D90" s="230"/>
      <c r="E90" s="228"/>
      <c r="F90" s="228"/>
    </row>
    <row r="91" spans="1:6" ht="13.8">
      <c r="A91" s="228"/>
      <c r="B91" s="119" t="s">
        <v>18</v>
      </c>
      <c r="C91" s="118" t="s">
        <v>19</v>
      </c>
      <c r="D91" s="228"/>
      <c r="E91" s="228"/>
      <c r="F91" s="228"/>
    </row>
    <row r="92" spans="1:6" ht="13.8">
      <c r="A92" s="228"/>
      <c r="B92" s="119"/>
      <c r="C92" s="7" t="s">
        <v>3265</v>
      </c>
      <c r="D92" s="228"/>
      <c r="E92" s="228"/>
      <c r="F92" s="228"/>
    </row>
    <row r="93" spans="1:6" ht="13.8">
      <c r="A93" s="228"/>
      <c r="B93" s="119" t="s">
        <v>20</v>
      </c>
      <c r="C93" s="118" t="s">
        <v>3266</v>
      </c>
      <c r="D93" s="228"/>
      <c r="E93" s="228"/>
      <c r="F93" s="228"/>
    </row>
    <row r="94" spans="1:6" ht="13.8">
      <c r="A94" s="228"/>
      <c r="B94" s="9" t="s">
        <v>21</v>
      </c>
      <c r="C94" s="7" t="s">
        <v>15</v>
      </c>
      <c r="D94" s="228"/>
      <c r="E94" s="228"/>
      <c r="F94" s="228"/>
    </row>
    <row r="95" spans="1:6">
      <c r="A95" s="228"/>
      <c r="B95" s="121"/>
      <c r="C95" s="120"/>
      <c r="D95" s="228"/>
      <c r="E95" s="228"/>
      <c r="F95" s="228"/>
    </row>
    <row r="96" spans="1:6" ht="13.8">
      <c r="A96" s="229" t="s">
        <v>12</v>
      </c>
      <c r="B96" s="109" t="s">
        <v>2049</v>
      </c>
      <c r="C96" s="231"/>
      <c r="D96" s="230"/>
      <c r="E96" s="228"/>
      <c r="F96" s="228"/>
    </row>
    <row r="97" spans="1:6" ht="13.8">
      <c r="A97" s="228"/>
      <c r="B97" s="119" t="s">
        <v>18</v>
      </c>
      <c r="C97" s="118" t="s">
        <v>19</v>
      </c>
      <c r="D97" s="228"/>
      <c r="E97" s="228"/>
      <c r="F97" s="228"/>
    </row>
    <row r="98" spans="1:6" ht="13.8">
      <c r="A98" s="228"/>
      <c r="B98" s="119"/>
      <c r="C98" s="7" t="s">
        <v>3267</v>
      </c>
      <c r="D98" s="228"/>
      <c r="E98" s="228"/>
      <c r="F98" s="228"/>
    </row>
    <row r="99" spans="1:6" ht="13.8">
      <c r="A99" s="228"/>
      <c r="B99" s="119" t="s">
        <v>20</v>
      </c>
      <c r="C99" s="118" t="s">
        <v>2373</v>
      </c>
      <c r="D99" s="228"/>
      <c r="E99" s="228"/>
      <c r="F99" s="228"/>
    </row>
    <row r="100" spans="1:6" ht="13.8">
      <c r="A100" s="228"/>
      <c r="B100" s="9" t="s">
        <v>21</v>
      </c>
      <c r="C100" s="7" t="s">
        <v>15</v>
      </c>
      <c r="D100" s="228"/>
      <c r="E100" s="228"/>
      <c r="F100" s="228"/>
    </row>
    <row r="101" spans="1:6" ht="13.8">
      <c r="A101" s="228"/>
      <c r="B101" s="119"/>
      <c r="C101" s="120"/>
      <c r="D101" s="228"/>
      <c r="E101" s="228"/>
      <c r="F101" s="228"/>
    </row>
    <row r="102" spans="1:6" ht="13.8">
      <c r="A102" s="229" t="s">
        <v>13</v>
      </c>
      <c r="B102" s="109" t="s">
        <v>2050</v>
      </c>
      <c r="C102" s="231"/>
      <c r="D102" s="230"/>
      <c r="E102" s="228"/>
      <c r="F102" s="228"/>
    </row>
    <row r="103" spans="1:6" ht="13.8">
      <c r="A103" s="228"/>
      <c r="B103" s="119" t="s">
        <v>18</v>
      </c>
      <c r="C103" s="118" t="s">
        <v>19</v>
      </c>
      <c r="D103" s="228"/>
      <c r="E103" s="228"/>
      <c r="F103" s="228"/>
    </row>
    <row r="104" spans="1:6" ht="13.8">
      <c r="A104" s="228"/>
      <c r="B104" s="119"/>
      <c r="C104" s="7" t="s">
        <v>3268</v>
      </c>
      <c r="D104" s="228"/>
      <c r="E104" s="228"/>
      <c r="F104" s="228"/>
    </row>
    <row r="105" spans="1:6" ht="13.8">
      <c r="A105" s="228"/>
      <c r="B105" s="119" t="s">
        <v>20</v>
      </c>
      <c r="C105" s="118" t="s">
        <v>2373</v>
      </c>
      <c r="D105" s="228"/>
      <c r="E105" s="228"/>
      <c r="F105" s="228"/>
    </row>
    <row r="106" spans="1:6" ht="13.8">
      <c r="A106" s="228"/>
      <c r="B106" s="9" t="s">
        <v>21</v>
      </c>
      <c r="C106" s="7" t="s">
        <v>15</v>
      </c>
      <c r="D106" s="228"/>
      <c r="E106" s="228"/>
      <c r="F106" s="228"/>
    </row>
    <row r="107" spans="1:6" ht="13.8">
      <c r="A107" s="228"/>
      <c r="B107" s="228"/>
      <c r="C107" s="118"/>
      <c r="D107" s="228"/>
      <c r="E107" s="228"/>
      <c r="F107" s="228"/>
    </row>
    <row r="108" spans="1:6" ht="13.8">
      <c r="A108" s="229" t="s">
        <v>14</v>
      </c>
      <c r="B108" s="109" t="s">
        <v>3258</v>
      </c>
      <c r="C108" s="231"/>
      <c r="D108" s="230"/>
      <c r="E108" s="228"/>
      <c r="F108" s="228"/>
    </row>
    <row r="109" spans="1:6" ht="13.8">
      <c r="A109" s="228"/>
      <c r="B109" s="119" t="s">
        <v>18</v>
      </c>
      <c r="C109" s="118" t="s">
        <v>19</v>
      </c>
      <c r="D109" s="228"/>
      <c r="E109" s="228"/>
      <c r="F109" s="228"/>
    </row>
    <row r="110" spans="1:6" ht="13.8">
      <c r="A110" s="228"/>
      <c r="B110" s="119"/>
      <c r="C110" s="7" t="s">
        <v>3270</v>
      </c>
      <c r="D110" s="228"/>
      <c r="E110" s="228"/>
      <c r="F110" s="228"/>
    </row>
    <row r="111" spans="1:6" ht="13.8">
      <c r="A111" s="228"/>
      <c r="B111" s="119" t="s">
        <v>20</v>
      </c>
      <c r="C111" s="118" t="s">
        <v>3271</v>
      </c>
      <c r="D111" s="228"/>
      <c r="E111" s="228"/>
      <c r="F111" s="228"/>
    </row>
    <row r="112" spans="1:6" ht="13.8">
      <c r="A112" s="228"/>
      <c r="B112" s="9" t="s">
        <v>21</v>
      </c>
      <c r="C112" s="7" t="s">
        <v>15</v>
      </c>
      <c r="D112" s="228"/>
      <c r="E112" s="228"/>
      <c r="F112" s="228"/>
    </row>
    <row r="113" spans="1:6" ht="13.8">
      <c r="A113" s="228"/>
      <c r="B113" s="228"/>
      <c r="C113" s="118"/>
      <c r="D113" s="228"/>
      <c r="E113" s="228"/>
      <c r="F113" s="228"/>
    </row>
    <row r="114" spans="1:6" ht="13.8">
      <c r="A114" s="229" t="s">
        <v>14</v>
      </c>
      <c r="B114" s="109" t="s">
        <v>1970</v>
      </c>
      <c r="C114" s="52"/>
      <c r="D114" s="230"/>
      <c r="E114" s="228"/>
      <c r="F114" s="228"/>
    </row>
    <row r="115" spans="1:6" ht="13.8">
      <c r="A115" s="228"/>
      <c r="B115" s="9" t="s">
        <v>18</v>
      </c>
      <c r="C115" s="7" t="s">
        <v>19</v>
      </c>
      <c r="D115" s="228"/>
      <c r="E115" s="228"/>
      <c r="F115" s="228"/>
    </row>
    <row r="116" spans="1:6" ht="13.8">
      <c r="A116" s="228"/>
      <c r="B116" s="9"/>
      <c r="C116" s="7" t="s">
        <v>3260</v>
      </c>
      <c r="D116" s="228"/>
      <c r="E116" s="228"/>
      <c r="F116" s="228"/>
    </row>
    <row r="117" spans="1:6" ht="13.8">
      <c r="A117" s="228"/>
      <c r="B117" s="9"/>
      <c r="C117" s="7" t="s">
        <v>17</v>
      </c>
      <c r="D117" s="228"/>
      <c r="E117" s="228"/>
      <c r="F117" s="228"/>
    </row>
    <row r="118" spans="1:6" ht="13.8">
      <c r="A118" s="228"/>
      <c r="B118" s="9"/>
      <c r="C118" s="7" t="s">
        <v>3262</v>
      </c>
      <c r="D118" s="228"/>
      <c r="E118" s="228"/>
      <c r="F118" s="228"/>
    </row>
    <row r="119" spans="1:6" ht="13.8">
      <c r="A119" s="228"/>
      <c r="B119" s="9" t="s">
        <v>20</v>
      </c>
      <c r="C119" s="7" t="s">
        <v>1033</v>
      </c>
      <c r="D119" s="228"/>
      <c r="E119" s="228"/>
      <c r="F119" s="228"/>
    </row>
    <row r="120" spans="1:6" ht="13.8">
      <c r="A120" s="228"/>
      <c r="B120" s="9" t="s">
        <v>21</v>
      </c>
      <c r="C120" s="7" t="s">
        <v>15</v>
      </c>
      <c r="D120" s="228"/>
      <c r="E120" s="228"/>
      <c r="F120" s="228"/>
    </row>
    <row r="121" spans="1:6" ht="13.8">
      <c r="A121" s="228"/>
      <c r="B121" s="228"/>
      <c r="C121" s="118"/>
      <c r="D121" s="228"/>
      <c r="E121" s="228"/>
      <c r="F121" s="228"/>
    </row>
    <row r="122" spans="1:6" ht="13.8">
      <c r="A122" s="229" t="s">
        <v>682</v>
      </c>
      <c r="B122" s="109" t="s">
        <v>2371</v>
      </c>
      <c r="C122" s="52"/>
      <c r="D122" s="230"/>
      <c r="E122" s="228"/>
      <c r="F122" s="228"/>
    </row>
    <row r="123" spans="1:6" ht="13.8">
      <c r="A123" s="228"/>
      <c r="B123" s="119" t="s">
        <v>18</v>
      </c>
      <c r="C123" s="118" t="s">
        <v>2372</v>
      </c>
      <c r="D123" s="228"/>
      <c r="E123" s="228"/>
      <c r="F123" s="228"/>
    </row>
    <row r="124" spans="1:6" ht="13.8">
      <c r="A124" s="228"/>
      <c r="B124" s="119"/>
      <c r="C124" s="7" t="s">
        <v>3269</v>
      </c>
      <c r="D124" s="228"/>
      <c r="E124" s="228"/>
      <c r="F124" s="228"/>
    </row>
    <row r="125" spans="1:6" ht="13.8">
      <c r="A125" s="228"/>
      <c r="B125" s="9" t="s">
        <v>20</v>
      </c>
      <c r="C125" s="7" t="s">
        <v>1033</v>
      </c>
      <c r="D125" s="228"/>
      <c r="E125" s="228"/>
      <c r="F125" s="228"/>
    </row>
    <row r="126" spans="1:6" ht="13.8">
      <c r="A126" s="228"/>
      <c r="B126" s="9" t="s">
        <v>21</v>
      </c>
      <c r="C126" s="7" t="s">
        <v>15</v>
      </c>
      <c r="D126" s="228"/>
      <c r="E126" s="228"/>
      <c r="F126" s="228"/>
    </row>
    <row r="127" spans="1:6" ht="13.8">
      <c r="C127" s="118"/>
    </row>
    <row r="128" spans="1:6" ht="13.8">
      <c r="B128" s="109"/>
      <c r="C128" s="118"/>
    </row>
    <row r="129" spans="3:3" ht="13.8">
      <c r="C129" s="118"/>
    </row>
    <row r="130" spans="3:3" ht="13.8">
      <c r="C130" s="118"/>
    </row>
    <row r="131" spans="3:3" ht="13.8">
      <c r="C131" s="118"/>
    </row>
    <row r="132" spans="3:3" ht="13.8">
      <c r="C132" s="118"/>
    </row>
  </sheetData>
  <mergeCells count="1">
    <mergeCell ref="A1:G1"/>
  </mergeCells>
  <pageMargins left="0.78740157480314965" right="0.39370078740157483" top="0.39370078740157483" bottom="1.1811023622047245" header="0.39370078740157483" footer="0.59055118110236227"/>
  <pageSetup paperSize="9" scale="83" orientation="portrait" r:id="rId1"/>
  <headerFooter alignWithMargins="0">
    <oddFooter>&amp;L&amp;"-,Uobičajeno"&amp;9&amp;A&amp;C&amp;"-,Uobičajeno"&amp;9DJEČJI VRTIĆ LEKENIK&amp;R&amp;"-,Uobičajeno"str.: &amp;"-,Podebljano"&amp;P/&amp;N</oddFooter>
  </headerFooter>
  <rowBreaks count="1" manualBreakCount="1">
    <brk id="57" max="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7"/>
  <sheetViews>
    <sheetView view="pageBreakPreview" topLeftCell="A18" zoomScaleNormal="100" zoomScaleSheetLayoutView="100" workbookViewId="0">
      <selection activeCell="T7" sqref="T7"/>
    </sheetView>
  </sheetViews>
  <sheetFormatPr defaultRowHeight="13.2"/>
  <cols>
    <col min="1" max="1" width="5.6640625" customWidth="1"/>
    <col min="2" max="2" width="40.6640625" customWidth="1"/>
    <col min="3" max="3" width="5.6640625" customWidth="1"/>
    <col min="4" max="4" width="11.6640625" customWidth="1"/>
    <col min="5" max="5" width="12.6640625" customWidth="1"/>
    <col min="6" max="7" width="16.6640625" customWidth="1"/>
    <col min="8" max="8" width="18.44140625" customWidth="1"/>
    <col min="10" max="10" width="10.109375" bestFit="1" customWidth="1"/>
  </cols>
  <sheetData>
    <row r="1" spans="1:12" s="1" customFormat="1" ht="30" customHeight="1">
      <c r="A1" s="927" t="s">
        <v>2134</v>
      </c>
      <c r="B1" s="927"/>
      <c r="C1" s="927"/>
      <c r="D1" s="927"/>
      <c r="E1" s="927"/>
      <c r="F1" s="927"/>
      <c r="G1" s="555"/>
      <c r="H1" s="555"/>
    </row>
    <row r="2" spans="1:12" s="1" customFormat="1" ht="16.2">
      <c r="A2" s="235"/>
      <c r="B2" s="235"/>
      <c r="C2" s="235"/>
      <c r="D2" s="235"/>
      <c r="E2" s="235"/>
      <c r="F2" s="235"/>
      <c r="G2" s="236"/>
    </row>
    <row r="3" spans="1:12" s="1" customFormat="1" ht="16.2">
      <c r="A3" s="236"/>
      <c r="B3" s="236"/>
      <c r="C3" s="236"/>
      <c r="D3" s="236"/>
      <c r="E3" s="236"/>
      <c r="F3" s="236"/>
      <c r="G3" s="236"/>
    </row>
    <row r="5" spans="1:12" ht="50.1" customHeight="1">
      <c r="A5" s="15"/>
      <c r="B5" s="27" t="s">
        <v>2129</v>
      </c>
      <c r="C5" s="27"/>
      <c r="D5" s="15"/>
      <c r="E5" s="15"/>
      <c r="F5" s="15"/>
      <c r="G5" s="7"/>
    </row>
    <row r="6" spans="1:12" ht="13.8">
      <c r="A6" s="7"/>
      <c r="B6" s="7"/>
      <c r="C6" s="7"/>
      <c r="D6" s="7"/>
      <c r="E6" s="7"/>
      <c r="F6" s="7"/>
      <c r="G6" s="7"/>
    </row>
    <row r="7" spans="1:12" ht="30" customHeight="1">
      <c r="A7" s="15"/>
      <c r="B7" s="27" t="s">
        <v>2362</v>
      </c>
      <c r="C7" s="27"/>
      <c r="D7" s="15"/>
      <c r="E7" s="15"/>
      <c r="F7" s="15"/>
      <c r="G7" s="10"/>
    </row>
    <row r="8" spans="1:12" ht="30" customHeight="1">
      <c r="A8" s="7"/>
      <c r="B8" s="7"/>
      <c r="C8" s="7"/>
      <c r="D8" s="7"/>
      <c r="E8" s="7"/>
      <c r="F8" s="7"/>
      <c r="G8" s="421"/>
      <c r="H8" s="421"/>
      <c r="I8" s="421"/>
      <c r="J8" s="421"/>
    </row>
    <row r="9" spans="1:12" ht="30" customHeight="1">
      <c r="A9" s="220" t="s">
        <v>8</v>
      </c>
      <c r="B9" s="220" t="str">
        <f>naslovnica!B35</f>
        <v>GRAĐEVINSKO OBRTNIČKI RADOVI</v>
      </c>
      <c r="D9" s="221"/>
      <c r="E9" s="222"/>
      <c r="F9" s="834">
        <f>'1.GOR'!F2026</f>
        <v>2680252.02</v>
      </c>
      <c r="G9" s="423"/>
      <c r="H9" s="422"/>
      <c r="I9" s="422"/>
      <c r="J9" s="423"/>
      <c r="L9" s="4"/>
    </row>
    <row r="10" spans="1:12" ht="30" customHeight="1">
      <c r="A10" s="220" t="s">
        <v>9</v>
      </c>
      <c r="B10" s="220" t="str">
        <f>naslovnica!B36</f>
        <v>KRAJOBRAZNO UREĐENJE</v>
      </c>
      <c r="D10" s="221"/>
      <c r="E10" s="222"/>
      <c r="F10" s="834">
        <f>'2.Krajobraz'!F106</f>
        <v>50449.5</v>
      </c>
      <c r="H10" s="422"/>
      <c r="I10" s="422"/>
      <c r="J10" s="423"/>
      <c r="L10" s="4"/>
    </row>
    <row r="11" spans="1:12" ht="30" customHeight="1">
      <c r="A11" s="220" t="s">
        <v>10</v>
      </c>
      <c r="B11" s="220" t="str">
        <f>naslovnica!B37</f>
        <v>VODOVOD I ODVODNJA</v>
      </c>
      <c r="D11" s="221"/>
      <c r="E11" s="222"/>
      <c r="F11" s="834">
        <f>'3.ViO'!F477</f>
        <v>255212.6</v>
      </c>
      <c r="L11" s="4"/>
    </row>
    <row r="12" spans="1:12" ht="30" customHeight="1">
      <c r="A12" s="220" t="s">
        <v>11</v>
      </c>
      <c r="B12" s="220" t="str">
        <f>naslovnica!B38</f>
        <v>STROJARSKE INSTALACIJE</v>
      </c>
      <c r="D12" s="221"/>
      <c r="E12" s="222"/>
      <c r="F12" s="834">
        <f>'4.Strojarstvo'!F1018</f>
        <v>481194.5</v>
      </c>
    </row>
    <row r="13" spans="1:12" ht="30" customHeight="1">
      <c r="A13" s="220" t="s">
        <v>12</v>
      </c>
      <c r="B13" s="220" t="str">
        <f>naslovnica!B39</f>
        <v>ELEKTROINSTALACIJE</v>
      </c>
      <c r="D13" s="221"/>
      <c r="E13" s="222"/>
      <c r="F13" s="834">
        <f>'5.Elektro'!F786</f>
        <v>263710.57</v>
      </c>
      <c r="L13" s="4"/>
    </row>
    <row r="14" spans="1:12" ht="30" customHeight="1">
      <c r="A14" s="220" t="s">
        <v>13</v>
      </c>
      <c r="B14" s="220" t="str">
        <f>naslovnica!B40</f>
        <v>SUSTAV ZA DOJAVU POŽARA</v>
      </c>
      <c r="D14" s="221"/>
      <c r="E14" s="222"/>
      <c r="F14" s="834">
        <f>'6.Vatrodojava'!F178</f>
        <v>41826</v>
      </c>
      <c r="L14" s="4"/>
    </row>
    <row r="15" spans="1:12" ht="30" customHeight="1">
      <c r="A15" s="220" t="s">
        <v>14</v>
      </c>
      <c r="B15" s="220" t="str">
        <f>naslovnica!B41</f>
        <v>DIZALO</v>
      </c>
      <c r="D15" s="221"/>
      <c r="E15" s="222"/>
      <c r="F15" s="834">
        <f>'7.Dizalo'!F34</f>
        <v>38600</v>
      </c>
      <c r="L15" s="4"/>
    </row>
    <row r="16" spans="1:12" ht="30" customHeight="1">
      <c r="A16" s="220" t="s">
        <v>682</v>
      </c>
      <c r="B16" s="220" t="str">
        <f>naslovnica!B42</f>
        <v>KUHINJA I PRAONICA</v>
      </c>
      <c r="D16" s="221"/>
      <c r="E16" s="222"/>
      <c r="F16" s="834">
        <f>'8.Kuhinja-praonica'!F271</f>
        <v>104570</v>
      </c>
      <c r="L16" s="4"/>
    </row>
    <row r="17" spans="1:12" ht="30" customHeight="1">
      <c r="A17" s="220" t="s">
        <v>686</v>
      </c>
      <c r="B17" s="220" t="str">
        <f>naslovnica!B43</f>
        <v>OPREMANJE</v>
      </c>
      <c r="F17" s="834">
        <f>'9.Opremanje'!F1423</f>
        <v>263108.57</v>
      </c>
      <c r="L17" s="4"/>
    </row>
    <row r="18" spans="1:12" ht="30" customHeight="1">
      <c r="A18" s="20"/>
      <c r="B18" s="10"/>
      <c r="C18" s="21"/>
      <c r="D18" s="10"/>
      <c r="E18" s="10"/>
      <c r="F18" s="10"/>
    </row>
    <row r="19" spans="1:12" ht="30" customHeight="1">
      <c r="A19" s="20"/>
      <c r="B19" s="10"/>
      <c r="C19" s="14"/>
      <c r="D19" s="10"/>
      <c r="E19" s="10"/>
      <c r="F19" s="10"/>
    </row>
    <row r="20" spans="1:12" ht="30" customHeight="1">
      <c r="A20" s="10"/>
      <c r="B20" s="9"/>
      <c r="C20" s="14"/>
      <c r="D20" s="10"/>
      <c r="E20" s="10"/>
      <c r="F20" s="16"/>
    </row>
    <row r="21" spans="1:12" ht="30" customHeight="1">
      <c r="A21" s="10"/>
      <c r="B21" s="13"/>
      <c r="C21" s="13"/>
      <c r="D21" s="13"/>
      <c r="E21" s="13"/>
      <c r="F21" s="17"/>
    </row>
    <row r="22" spans="1:12" ht="30" customHeight="1">
      <c r="A22" s="24"/>
      <c r="B22" s="28" t="s">
        <v>2360</v>
      </c>
      <c r="C22" s="15"/>
      <c r="D22" s="8"/>
      <c r="E22" s="8"/>
      <c r="F22" s="648">
        <f>SUM(F9:F21)</f>
        <v>4178923.76</v>
      </c>
      <c r="G22" s="758"/>
    </row>
    <row r="23" spans="1:12" ht="30" customHeight="1">
      <c r="B23" s="30" t="s">
        <v>16</v>
      </c>
      <c r="C23" s="7"/>
      <c r="D23" s="22"/>
      <c r="F23" s="834">
        <f>0.25*F22</f>
        <v>1044730.94</v>
      </c>
    </row>
    <row r="24" spans="1:12" ht="30" customHeight="1">
      <c r="A24" s="24"/>
      <c r="B24" s="29" t="s">
        <v>2361</v>
      </c>
      <c r="C24" s="23"/>
      <c r="D24" s="24"/>
      <c r="E24" s="24"/>
      <c r="F24" s="759">
        <f>SUM(F22:F23)</f>
        <v>5223654.6999999993</v>
      </c>
    </row>
    <row r="25" spans="1:12" ht="13.8">
      <c r="A25" s="7"/>
      <c r="B25" s="7"/>
      <c r="C25" s="7"/>
      <c r="D25" s="7"/>
      <c r="E25" s="7"/>
      <c r="F25" s="7"/>
      <c r="G25" s="7"/>
    </row>
    <row r="26" spans="1:12" ht="13.8">
      <c r="A26" s="7"/>
      <c r="B26" s="7"/>
      <c r="C26" s="7"/>
      <c r="D26" s="7"/>
      <c r="E26" s="7"/>
      <c r="F26" s="7"/>
      <c r="G26" s="7"/>
    </row>
    <row r="27" spans="1:12" s="3" customFormat="1" ht="12.6"/>
  </sheetData>
  <mergeCells count="1">
    <mergeCell ref="A1:F1"/>
  </mergeCells>
  <printOptions horizontalCentered="1"/>
  <pageMargins left="0.78740157480314965" right="0.39370078740157483" top="0.39370078740157483" bottom="1.1811023622047245" header="0.39370078740157483" footer="0.59055118110236227"/>
  <pageSetup paperSize="9" scale="98" orientation="portrait" r:id="rId1"/>
  <headerFooter alignWithMargins="0">
    <oddFooter>&amp;L&amp;"-,Uobičajeno"&amp;9&amp;A&amp;C&amp;"-,Uobičajeno"&amp;9DJEČJI VRTIĆ LEKENIK&amp;R&amp;"-,Uobičajeno"str.: &amp;"-,Podebljano"&amp;P/&amp;N</oddFooter>
  </headerFooter>
  <colBreaks count="1" manualBreakCount="1">
    <brk id="6" max="22"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756"/>
  <sheetViews>
    <sheetView view="pageBreakPreview" topLeftCell="A13" zoomScale="85" zoomScaleNormal="85" zoomScaleSheetLayoutView="85" workbookViewId="0">
      <selection activeCell="P35" sqref="P35"/>
    </sheetView>
  </sheetViews>
  <sheetFormatPr defaultRowHeight="13.2"/>
  <cols>
    <col min="1" max="3" width="3.6640625" customWidth="1"/>
    <col min="4" max="4" width="26.6640625" customWidth="1"/>
    <col min="5" max="5" width="5.6640625" customWidth="1"/>
    <col min="6" max="6" width="18.6640625" customWidth="1"/>
    <col min="7" max="7" width="12.6640625" customWidth="1"/>
    <col min="8" max="8" width="16.6640625" customWidth="1"/>
  </cols>
  <sheetData>
    <row r="1" spans="1:8" s="1" customFormat="1" ht="21.75" customHeight="1">
      <c r="A1" s="927" t="s">
        <v>2134</v>
      </c>
      <c r="B1" s="928"/>
      <c r="C1" s="928"/>
      <c r="D1" s="928"/>
      <c r="E1" s="928"/>
      <c r="F1" s="928"/>
      <c r="G1" s="928"/>
      <c r="H1" s="928"/>
    </row>
    <row r="2" spans="1:8" s="1" customFormat="1" ht="5.0999999999999996" customHeight="1">
      <c r="A2" s="929"/>
      <c r="B2" s="929"/>
      <c r="C2" s="929"/>
      <c r="D2" s="929"/>
      <c r="E2" s="929"/>
      <c r="F2" s="929"/>
      <c r="G2" s="929"/>
      <c r="H2" s="929"/>
    </row>
    <row r="3" spans="1:8" s="1" customFormat="1">
      <c r="A3" s="31"/>
      <c r="B3" s="32"/>
      <c r="C3" s="32"/>
      <c r="D3" s="33"/>
      <c r="E3" s="34"/>
      <c r="F3" s="34"/>
      <c r="G3" s="35"/>
      <c r="H3" s="36"/>
    </row>
    <row r="4" spans="1:8">
      <c r="A4" s="37"/>
      <c r="B4" s="38"/>
      <c r="C4" s="38"/>
      <c r="D4" s="39"/>
      <c r="E4" s="40"/>
      <c r="F4" s="40"/>
      <c r="G4" s="41"/>
      <c r="H4" s="42"/>
    </row>
    <row r="5" spans="1:8" s="3" customFormat="1" ht="21">
      <c r="A5" s="43"/>
      <c r="B5" s="44" t="s">
        <v>22</v>
      </c>
      <c r="C5" s="45"/>
      <c r="D5" s="45"/>
      <c r="E5" s="45"/>
      <c r="F5" s="45"/>
      <c r="G5" s="45"/>
      <c r="H5" s="46"/>
    </row>
    <row r="6" spans="1:8" s="3" customFormat="1" ht="21">
      <c r="A6" s="223"/>
      <c r="B6" s="224"/>
      <c r="C6" s="225"/>
      <c r="D6" s="225"/>
      <c r="E6" s="225"/>
      <c r="F6" s="225"/>
      <c r="G6" s="225"/>
    </row>
    <row r="7" spans="1:8" s="3" customFormat="1" ht="175.5" customHeight="1">
      <c r="A7" s="223"/>
      <c r="B7" s="930" t="s">
        <v>1040</v>
      </c>
      <c r="C7" s="931"/>
      <c r="D7" s="931"/>
      <c r="E7" s="931"/>
      <c r="F7" s="931"/>
      <c r="G7" s="931"/>
      <c r="H7" s="931"/>
    </row>
    <row r="8" spans="1:8" s="3" customFormat="1" ht="24.75" customHeight="1">
      <c r="A8" s="223"/>
      <c r="B8" s="932" t="s">
        <v>1028</v>
      </c>
      <c r="C8" s="933"/>
      <c r="D8" s="933"/>
      <c r="E8" s="933"/>
      <c r="F8" s="933"/>
      <c r="G8" s="933"/>
      <c r="H8" s="933"/>
    </row>
    <row r="9" spans="1:8" s="3" customFormat="1" ht="126.75" customHeight="1">
      <c r="A9" s="223"/>
      <c r="B9" s="934" t="s">
        <v>1585</v>
      </c>
      <c r="C9" s="934"/>
      <c r="D9" s="934"/>
      <c r="E9" s="934"/>
      <c r="F9" s="934"/>
      <c r="G9" s="934"/>
      <c r="H9" s="934"/>
    </row>
    <row r="10" spans="1:8" s="3" customFormat="1" ht="29.25" customHeight="1">
      <c r="A10" s="223"/>
      <c r="B10" s="934" t="s">
        <v>1032</v>
      </c>
      <c r="C10" s="934"/>
      <c r="D10" s="934"/>
      <c r="E10" s="934"/>
      <c r="F10" s="934"/>
      <c r="G10" s="934"/>
      <c r="H10" s="934"/>
    </row>
    <row r="11" spans="1:8" s="3" customFormat="1" ht="43.5" customHeight="1">
      <c r="A11" s="223"/>
      <c r="B11" s="934" t="s">
        <v>1029</v>
      </c>
      <c r="C11" s="934"/>
      <c r="D11" s="934"/>
      <c r="E11" s="934"/>
      <c r="F11" s="934"/>
      <c r="G11" s="934"/>
      <c r="H11" s="934"/>
    </row>
    <row r="12" spans="1:8" s="3" customFormat="1" ht="45" customHeight="1">
      <c r="A12" s="223"/>
      <c r="B12" s="934" t="s">
        <v>1030</v>
      </c>
      <c r="C12" s="934"/>
      <c r="D12" s="934"/>
      <c r="E12" s="934"/>
      <c r="F12" s="934"/>
      <c r="G12" s="934"/>
      <c r="H12" s="934"/>
    </row>
    <row r="13" spans="1:8" s="3" customFormat="1" ht="33.75" customHeight="1">
      <c r="A13" s="223"/>
      <c r="B13" s="934" t="s">
        <v>1031</v>
      </c>
      <c r="C13" s="934"/>
      <c r="D13" s="934"/>
      <c r="E13" s="934"/>
      <c r="F13" s="934"/>
      <c r="G13" s="934"/>
      <c r="H13" s="934"/>
    </row>
    <row r="14" spans="1:8" s="3" customFormat="1" ht="125.25" customHeight="1">
      <c r="A14" s="223"/>
      <c r="B14" s="930" t="s">
        <v>1039</v>
      </c>
      <c r="C14" s="930"/>
      <c r="D14" s="930"/>
      <c r="E14" s="930"/>
      <c r="F14" s="930"/>
      <c r="G14" s="930"/>
      <c r="H14" s="930"/>
    </row>
    <row r="15" spans="1:8" s="3" customFormat="1" ht="50.25" customHeight="1">
      <c r="A15" s="223"/>
      <c r="B15" s="934" t="s">
        <v>1042</v>
      </c>
      <c r="C15" s="934"/>
      <c r="D15" s="934"/>
      <c r="E15" s="934"/>
      <c r="F15" s="934"/>
      <c r="G15" s="934"/>
      <c r="H15" s="934"/>
    </row>
    <row r="16" spans="1:8" s="3" customFormat="1" ht="61.5" customHeight="1">
      <c r="A16" s="223"/>
      <c r="B16" s="934" t="s">
        <v>604</v>
      </c>
      <c r="C16" s="934"/>
      <c r="D16" s="934"/>
      <c r="E16" s="934"/>
      <c r="F16" s="934"/>
      <c r="G16" s="934"/>
      <c r="H16" s="934"/>
    </row>
    <row r="17" spans="1:8" s="3" customFormat="1" ht="34.5" customHeight="1">
      <c r="A17" s="223"/>
      <c r="B17" s="930"/>
      <c r="C17" s="930"/>
      <c r="D17" s="930"/>
      <c r="E17" s="930"/>
      <c r="F17" s="930"/>
      <c r="G17" s="930"/>
      <c r="H17" s="930"/>
    </row>
    <row r="18" spans="1:8" s="3" customFormat="1" ht="33" customHeight="1">
      <c r="A18" s="223"/>
      <c r="B18" s="930"/>
      <c r="C18" s="930"/>
      <c r="D18" s="930"/>
      <c r="E18" s="930"/>
      <c r="F18" s="930"/>
      <c r="G18" s="930"/>
      <c r="H18" s="930"/>
    </row>
    <row r="19" spans="1:8" s="3" customFormat="1" ht="25.5" customHeight="1">
      <c r="A19" s="279"/>
      <c r="B19" s="306" t="s">
        <v>1168</v>
      </c>
      <c r="C19" s="280"/>
      <c r="D19" s="280"/>
      <c r="E19" s="280"/>
      <c r="F19" s="280"/>
      <c r="G19" s="280"/>
      <c r="H19" s="281"/>
    </row>
    <row r="20" spans="1:8" s="3" customFormat="1" ht="15" customHeight="1">
      <c r="A20" s="282"/>
      <c r="B20" s="307" t="s">
        <v>1169</v>
      </c>
      <c r="C20" s="282"/>
      <c r="D20" s="282"/>
      <c r="E20" s="282"/>
      <c r="F20" s="282"/>
      <c r="G20" s="282"/>
      <c r="H20" s="282"/>
    </row>
    <row r="21" spans="1:8" s="3" customFormat="1" ht="15" customHeight="1">
      <c r="A21" s="283"/>
      <c r="B21" s="284"/>
      <c r="C21" s="284"/>
      <c r="D21" s="285"/>
      <c r="E21" s="286"/>
      <c r="F21" s="286"/>
      <c r="G21" s="287"/>
      <c r="H21" s="288"/>
    </row>
    <row r="22" spans="1:8" s="3" customFormat="1" ht="15" customHeight="1">
      <c r="A22" s="289"/>
      <c r="B22" s="290" t="s">
        <v>1170</v>
      </c>
      <c r="C22" s="291"/>
      <c r="D22" s="292"/>
      <c r="E22" s="293"/>
      <c r="F22" s="293"/>
      <c r="G22" s="293"/>
      <c r="H22" s="293"/>
    </row>
    <row r="23" spans="1:8" s="3" customFormat="1" ht="15" customHeight="1">
      <c r="A23" s="289"/>
      <c r="B23" s="294" t="s">
        <v>1171</v>
      </c>
      <c r="C23" s="291"/>
      <c r="D23" s="292"/>
      <c r="E23" s="293"/>
      <c r="F23" s="293"/>
      <c r="G23" s="293"/>
      <c r="H23" s="293"/>
    </row>
    <row r="24" spans="1:8" s="3" customFormat="1" ht="15" customHeight="1">
      <c r="A24" s="289"/>
      <c r="B24" s="294" t="s">
        <v>24</v>
      </c>
      <c r="C24" s="291"/>
      <c r="D24" s="292"/>
      <c r="E24" s="293"/>
      <c r="F24" s="293"/>
      <c r="G24" s="293"/>
      <c r="H24" s="293"/>
    </row>
    <row r="25" spans="1:8" s="3" customFormat="1" ht="15" customHeight="1">
      <c r="A25" s="289"/>
      <c r="B25" s="294" t="s">
        <v>25</v>
      </c>
      <c r="C25" s="291"/>
      <c r="D25" s="292"/>
      <c r="E25" s="293"/>
      <c r="F25" s="293"/>
      <c r="G25" s="293"/>
      <c r="H25" s="293"/>
    </row>
    <row r="26" spans="1:8" s="3" customFormat="1" ht="15" customHeight="1">
      <c r="A26" s="289"/>
      <c r="B26" s="294"/>
      <c r="C26" s="291"/>
      <c r="D26" s="292"/>
      <c r="E26" s="293"/>
      <c r="F26" s="293"/>
      <c r="G26" s="293"/>
      <c r="H26" s="293"/>
    </row>
    <row r="27" spans="1:8" s="3" customFormat="1" ht="15" customHeight="1">
      <c r="A27" s="289"/>
      <c r="B27" s="294" t="s">
        <v>26</v>
      </c>
      <c r="C27" s="291"/>
      <c r="D27" s="292"/>
      <c r="E27" s="293"/>
      <c r="F27" s="293"/>
      <c r="G27" s="293"/>
      <c r="H27" s="293"/>
    </row>
    <row r="28" spans="1:8" s="3" customFormat="1" ht="15" customHeight="1">
      <c r="A28" s="289"/>
      <c r="B28" s="295" t="s">
        <v>27</v>
      </c>
      <c r="C28" s="294" t="s">
        <v>1172</v>
      </c>
      <c r="D28" s="292"/>
      <c r="E28" s="293"/>
      <c r="F28" s="293"/>
      <c r="G28" s="293"/>
      <c r="H28" s="293"/>
    </row>
    <row r="29" spans="1:8" s="3" customFormat="1" ht="15" customHeight="1">
      <c r="A29" s="289"/>
      <c r="B29" s="295" t="s">
        <v>27</v>
      </c>
      <c r="C29" s="294" t="s">
        <v>1173</v>
      </c>
      <c r="D29" s="292"/>
      <c r="E29" s="293"/>
      <c r="F29" s="293"/>
      <c r="G29" s="293"/>
      <c r="H29" s="293"/>
    </row>
    <row r="30" spans="1:8" s="3" customFormat="1" ht="15" customHeight="1">
      <c r="A30" s="289"/>
      <c r="B30" s="295" t="s">
        <v>27</v>
      </c>
      <c r="C30" s="294" t="s">
        <v>1174</v>
      </c>
      <c r="D30" s="292"/>
      <c r="E30" s="293"/>
      <c r="F30" s="293"/>
      <c r="G30" s="293"/>
      <c r="H30" s="293"/>
    </row>
    <row r="31" spans="1:8" s="3" customFormat="1" ht="15" customHeight="1">
      <c r="A31" s="289"/>
      <c r="B31" s="295" t="s">
        <v>27</v>
      </c>
      <c r="C31" s="294" t="s">
        <v>28</v>
      </c>
      <c r="D31" s="292"/>
      <c r="E31" s="293"/>
      <c r="F31" s="293"/>
      <c r="G31" s="293"/>
      <c r="H31" s="293"/>
    </row>
    <row r="32" spans="1:8" s="3" customFormat="1" ht="15" customHeight="1">
      <c r="A32" s="289"/>
      <c r="B32" s="295" t="s">
        <v>27</v>
      </c>
      <c r="C32" s="294" t="s">
        <v>29</v>
      </c>
      <c r="D32" s="292"/>
      <c r="E32" s="293"/>
      <c r="F32" s="293"/>
      <c r="G32" s="293"/>
      <c r="H32" s="293"/>
    </row>
    <row r="33" spans="1:8" s="3" customFormat="1" ht="15" customHeight="1">
      <c r="A33" s="289"/>
      <c r="B33" s="295" t="s">
        <v>27</v>
      </c>
      <c r="C33" s="294" t="s">
        <v>30</v>
      </c>
      <c r="D33" s="292"/>
      <c r="E33" s="293"/>
      <c r="F33" s="293"/>
      <c r="G33" s="293"/>
      <c r="H33" s="293"/>
    </row>
    <row r="34" spans="1:8" s="3" customFormat="1" ht="15" customHeight="1">
      <c r="A34" s="289"/>
      <c r="B34" s="295" t="s">
        <v>27</v>
      </c>
      <c r="C34" s="294" t="s">
        <v>1175</v>
      </c>
      <c r="D34" s="292"/>
      <c r="E34" s="293"/>
      <c r="F34" s="293"/>
      <c r="G34" s="293"/>
      <c r="H34" s="293"/>
    </row>
    <row r="35" spans="1:8" s="3" customFormat="1" ht="15" customHeight="1">
      <c r="A35" s="289"/>
      <c r="B35" s="294" t="s">
        <v>31</v>
      </c>
      <c r="C35" s="291"/>
      <c r="D35" s="292"/>
      <c r="E35" s="293"/>
      <c r="F35" s="293"/>
      <c r="G35" s="293"/>
      <c r="H35" s="293"/>
    </row>
    <row r="36" spans="1:8" s="3" customFormat="1" ht="15" customHeight="1">
      <c r="A36" s="289"/>
      <c r="B36" s="294" t="s">
        <v>32</v>
      </c>
      <c r="C36" s="291"/>
      <c r="D36" s="292"/>
      <c r="E36" s="293"/>
      <c r="F36" s="293"/>
      <c r="G36" s="293"/>
      <c r="H36" s="293"/>
    </row>
    <row r="37" spans="1:8" s="3" customFormat="1" ht="15" customHeight="1">
      <c r="A37" s="289"/>
      <c r="B37" s="294" t="s">
        <v>1176</v>
      </c>
      <c r="C37" s="291"/>
      <c r="D37" s="292"/>
      <c r="E37" s="293"/>
      <c r="F37" s="293"/>
      <c r="G37" s="293"/>
      <c r="H37" s="293"/>
    </row>
    <row r="38" spans="1:8" s="3" customFormat="1" ht="15" customHeight="1">
      <c r="A38" s="289"/>
      <c r="B38" s="296" t="s">
        <v>33</v>
      </c>
      <c r="C38" s="291"/>
      <c r="D38" s="292"/>
      <c r="E38" s="293"/>
      <c r="F38" s="293"/>
      <c r="G38" s="293"/>
      <c r="H38" s="293"/>
    </row>
    <row r="39" spans="1:8" s="3" customFormat="1" ht="15" customHeight="1">
      <c r="A39" s="289"/>
      <c r="B39" s="294"/>
      <c r="C39" s="291"/>
      <c r="D39" s="292"/>
      <c r="E39" s="293"/>
      <c r="F39" s="293"/>
      <c r="G39" s="293"/>
      <c r="H39" s="293"/>
    </row>
    <row r="40" spans="1:8" s="3" customFormat="1" ht="15" customHeight="1">
      <c r="A40" s="289"/>
      <c r="B40" s="294" t="s">
        <v>34</v>
      </c>
      <c r="C40" s="291"/>
      <c r="D40" s="292"/>
      <c r="E40" s="293"/>
      <c r="F40" s="293"/>
      <c r="G40" s="293"/>
      <c r="H40" s="293"/>
    </row>
    <row r="41" spans="1:8" s="3" customFormat="1" ht="15" customHeight="1">
      <c r="A41" s="289"/>
      <c r="B41" s="294" t="s">
        <v>35</v>
      </c>
      <c r="C41" s="291"/>
      <c r="D41" s="292"/>
      <c r="E41" s="293"/>
      <c r="F41" s="293"/>
      <c r="G41" s="293"/>
      <c r="H41" s="293"/>
    </row>
    <row r="42" spans="1:8" s="3" customFormat="1" ht="15" customHeight="1">
      <c r="A42" s="289"/>
      <c r="B42" s="294" t="s">
        <v>36</v>
      </c>
      <c r="C42" s="291"/>
      <c r="D42" s="292"/>
      <c r="E42" s="293"/>
      <c r="F42" s="293"/>
      <c r="G42" s="293"/>
      <c r="H42" s="293"/>
    </row>
    <row r="43" spans="1:8" s="3" customFormat="1" ht="15" customHeight="1">
      <c r="A43" s="289"/>
      <c r="B43" s="294" t="s">
        <v>37</v>
      </c>
      <c r="C43" s="291"/>
      <c r="D43" s="292"/>
      <c r="E43" s="293"/>
      <c r="F43" s="293"/>
      <c r="G43" s="293"/>
      <c r="H43" s="293"/>
    </row>
    <row r="44" spans="1:8" s="3" customFormat="1" ht="15" customHeight="1">
      <c r="A44" s="289"/>
      <c r="B44" s="294" t="s">
        <v>38</v>
      </c>
      <c r="C44" s="291"/>
      <c r="D44" s="292"/>
      <c r="E44" s="293"/>
      <c r="F44" s="293"/>
      <c r="G44" s="293"/>
      <c r="H44" s="293"/>
    </row>
    <row r="45" spans="1:8" s="3" customFormat="1" ht="15" customHeight="1">
      <c r="A45" s="289"/>
      <c r="B45" s="294" t="s">
        <v>39</v>
      </c>
      <c r="C45" s="291"/>
      <c r="D45" s="292"/>
      <c r="E45" s="293"/>
      <c r="F45" s="293"/>
      <c r="G45" s="293"/>
      <c r="H45" s="293"/>
    </row>
    <row r="46" spans="1:8" s="3" customFormat="1" ht="15" customHeight="1">
      <c r="A46" s="289"/>
      <c r="B46" s="294" t="s">
        <v>1177</v>
      </c>
      <c r="C46" s="291"/>
      <c r="D46" s="292"/>
      <c r="E46" s="293"/>
      <c r="F46" s="293"/>
      <c r="G46" s="293"/>
      <c r="H46" s="293"/>
    </row>
    <row r="47" spans="1:8" s="3" customFormat="1" ht="15" customHeight="1">
      <c r="A47" s="289"/>
      <c r="B47" s="294" t="s">
        <v>1178</v>
      </c>
      <c r="C47" s="291"/>
      <c r="D47" s="292"/>
      <c r="E47" s="293"/>
      <c r="F47" s="293"/>
      <c r="G47" s="293"/>
      <c r="H47" s="293"/>
    </row>
    <row r="48" spans="1:8" s="3" customFormat="1" ht="15" customHeight="1">
      <c r="A48" s="289"/>
      <c r="B48" s="294" t="s">
        <v>1179</v>
      </c>
      <c r="C48" s="291"/>
      <c r="D48" s="292"/>
      <c r="E48" s="293"/>
      <c r="F48" s="293"/>
      <c r="G48" s="293"/>
      <c r="H48" s="293"/>
    </row>
    <row r="49" spans="1:8" s="3" customFormat="1" ht="15" customHeight="1">
      <c r="A49" s="289"/>
      <c r="B49" s="294"/>
      <c r="C49" s="291"/>
      <c r="D49" s="292"/>
      <c r="E49" s="293"/>
      <c r="F49" s="293"/>
      <c r="G49" s="293"/>
      <c r="H49" s="293"/>
    </row>
    <row r="50" spans="1:8" s="3" customFormat="1" ht="15" customHeight="1">
      <c r="A50" s="289"/>
      <c r="B50" s="294" t="s">
        <v>40</v>
      </c>
      <c r="C50" s="291"/>
      <c r="D50" s="292"/>
      <c r="E50" s="293"/>
      <c r="F50" s="293"/>
      <c r="G50" s="293"/>
      <c r="H50" s="293"/>
    </row>
    <row r="51" spans="1:8" s="3" customFormat="1" ht="15" customHeight="1">
      <c r="A51" s="289"/>
      <c r="B51" s="294" t="s">
        <v>1180</v>
      </c>
      <c r="C51" s="291"/>
      <c r="D51" s="292"/>
      <c r="E51" s="293"/>
      <c r="F51" s="293"/>
      <c r="G51" s="293"/>
      <c r="H51" s="293"/>
    </row>
    <row r="52" spans="1:8" s="3" customFormat="1" ht="15" customHeight="1">
      <c r="A52" s="289"/>
      <c r="B52" s="294" t="s">
        <v>1181</v>
      </c>
      <c r="C52" s="291"/>
      <c r="D52" s="292"/>
      <c r="E52" s="293"/>
      <c r="F52" s="293"/>
      <c r="G52" s="293"/>
      <c r="H52" s="293"/>
    </row>
    <row r="53" spans="1:8" s="3" customFormat="1" ht="15" customHeight="1">
      <c r="A53" s="289"/>
      <c r="B53" s="294" t="s">
        <v>41</v>
      </c>
      <c r="C53" s="291"/>
      <c r="D53" s="292"/>
      <c r="E53" s="293"/>
      <c r="F53" s="293"/>
      <c r="G53" s="293"/>
      <c r="H53" s="293"/>
    </row>
    <row r="54" spans="1:8" s="3" customFormat="1" ht="15" customHeight="1">
      <c r="A54" s="289"/>
      <c r="B54" s="294" t="s">
        <v>1182</v>
      </c>
      <c r="C54" s="291"/>
      <c r="D54" s="292"/>
      <c r="E54" s="293"/>
      <c r="F54" s="293"/>
      <c r="G54" s="293"/>
      <c r="H54" s="293"/>
    </row>
    <row r="55" spans="1:8" s="3" customFormat="1" ht="15" customHeight="1">
      <c r="A55" s="289"/>
      <c r="B55" s="294" t="s">
        <v>1183</v>
      </c>
      <c r="C55" s="291"/>
      <c r="D55" s="292"/>
      <c r="E55" s="293"/>
      <c r="F55" s="293"/>
      <c r="G55" s="293"/>
      <c r="H55" s="293"/>
    </row>
    <row r="56" spans="1:8" s="3" customFormat="1" ht="15" customHeight="1">
      <c r="A56" s="289"/>
      <c r="B56" s="294" t="s">
        <v>42</v>
      </c>
      <c r="C56" s="291"/>
      <c r="D56" s="292"/>
      <c r="E56" s="293"/>
      <c r="F56" s="293"/>
      <c r="G56" s="293"/>
      <c r="H56" s="293"/>
    </row>
    <row r="57" spans="1:8" s="3" customFormat="1" ht="15" customHeight="1">
      <c r="A57" s="289"/>
      <c r="B57" s="294"/>
      <c r="C57" s="291"/>
      <c r="D57" s="292"/>
      <c r="E57" s="293"/>
      <c r="F57" s="293"/>
      <c r="G57" s="293"/>
      <c r="H57" s="293"/>
    </row>
    <row r="58" spans="1:8" s="3" customFormat="1" ht="15" customHeight="1">
      <c r="A58" s="289"/>
      <c r="B58" s="294" t="s">
        <v>43</v>
      </c>
      <c r="C58" s="291"/>
      <c r="D58" s="292"/>
      <c r="E58" s="293"/>
      <c r="F58" s="293"/>
      <c r="G58" s="293"/>
      <c r="H58" s="293"/>
    </row>
    <row r="59" spans="1:8" s="3" customFormat="1" ht="15" customHeight="1">
      <c r="A59" s="289"/>
      <c r="B59" s="294" t="s">
        <v>1184</v>
      </c>
      <c r="C59" s="291"/>
      <c r="D59" s="292"/>
      <c r="E59" s="293"/>
      <c r="F59" s="293"/>
      <c r="G59" s="293"/>
      <c r="H59" s="293"/>
    </row>
    <row r="60" spans="1:8" s="3" customFormat="1" ht="15" customHeight="1">
      <c r="A60" s="289"/>
      <c r="B60" s="294" t="s">
        <v>1185</v>
      </c>
      <c r="C60" s="291"/>
      <c r="D60" s="292"/>
      <c r="E60" s="293"/>
      <c r="F60" s="293"/>
      <c r="G60" s="293"/>
      <c r="H60" s="293"/>
    </row>
    <row r="61" spans="1:8" s="3" customFormat="1" ht="15" customHeight="1">
      <c r="A61" s="289"/>
      <c r="B61" s="294" t="s">
        <v>1186</v>
      </c>
      <c r="C61" s="291"/>
      <c r="D61" s="292"/>
      <c r="E61" s="293"/>
      <c r="F61" s="293"/>
      <c r="G61" s="293"/>
      <c r="H61" s="293"/>
    </row>
    <row r="62" spans="1:8" s="3" customFormat="1" ht="15" customHeight="1">
      <c r="A62" s="289"/>
      <c r="B62" s="294" t="s">
        <v>44</v>
      </c>
      <c r="C62" s="291"/>
      <c r="D62" s="292"/>
      <c r="E62" s="293"/>
      <c r="F62" s="293"/>
      <c r="G62" s="293"/>
      <c r="H62" s="293"/>
    </row>
    <row r="63" spans="1:8" s="3" customFormat="1" ht="15" customHeight="1">
      <c r="A63" s="289"/>
      <c r="B63" s="294" t="s">
        <v>1187</v>
      </c>
      <c r="C63" s="291"/>
      <c r="D63" s="292"/>
      <c r="E63" s="293"/>
      <c r="F63" s="293"/>
      <c r="G63" s="293"/>
      <c r="H63" s="293"/>
    </row>
    <row r="64" spans="1:8" s="3" customFormat="1" ht="15" customHeight="1">
      <c r="A64" s="289"/>
      <c r="B64" s="294" t="s">
        <v>1188</v>
      </c>
      <c r="C64" s="291"/>
      <c r="D64" s="292"/>
      <c r="E64" s="293"/>
      <c r="F64" s="293"/>
      <c r="G64" s="293"/>
      <c r="H64" s="293"/>
    </row>
    <row r="65" spans="1:8" s="3" customFormat="1" ht="15" customHeight="1">
      <c r="A65" s="289"/>
      <c r="B65" s="294"/>
      <c r="C65" s="291"/>
      <c r="D65" s="292"/>
      <c r="E65" s="293"/>
      <c r="F65" s="293"/>
      <c r="G65" s="293"/>
      <c r="H65" s="293"/>
    </row>
    <row r="66" spans="1:8" s="3" customFormat="1" ht="15" customHeight="1">
      <c r="A66" s="289"/>
      <c r="B66" s="294" t="s">
        <v>45</v>
      </c>
      <c r="C66" s="291"/>
      <c r="D66" s="292"/>
      <c r="E66" s="293"/>
      <c r="F66" s="293"/>
      <c r="G66" s="293"/>
      <c r="H66" s="293"/>
    </row>
    <row r="67" spans="1:8" s="3" customFormat="1" ht="15" customHeight="1">
      <c r="A67" s="289"/>
      <c r="B67" s="294" t="s">
        <v>1189</v>
      </c>
      <c r="C67" s="291"/>
      <c r="D67" s="292"/>
      <c r="E67" s="293"/>
      <c r="F67" s="293"/>
      <c r="G67" s="293"/>
      <c r="H67" s="293"/>
    </row>
    <row r="68" spans="1:8" s="3" customFormat="1" ht="15" customHeight="1">
      <c r="A68" s="289"/>
      <c r="B68" s="294" t="s">
        <v>46</v>
      </c>
      <c r="C68" s="291"/>
      <c r="D68" s="292"/>
      <c r="E68" s="293"/>
      <c r="F68" s="293"/>
      <c r="G68" s="293"/>
      <c r="H68" s="293"/>
    </row>
    <row r="69" spans="1:8" s="3" customFormat="1" ht="15" customHeight="1">
      <c r="A69" s="289"/>
      <c r="B69" s="294"/>
      <c r="C69" s="291"/>
      <c r="D69" s="292"/>
      <c r="E69" s="293"/>
      <c r="F69" s="293"/>
      <c r="G69" s="293"/>
      <c r="H69" s="293"/>
    </row>
    <row r="70" spans="1:8" s="3" customFormat="1" ht="15" customHeight="1">
      <c r="A70" s="289"/>
      <c r="B70" s="294" t="s">
        <v>47</v>
      </c>
      <c r="C70" s="291"/>
      <c r="D70" s="292"/>
      <c r="E70" s="293"/>
      <c r="F70" s="293"/>
      <c r="G70" s="293"/>
      <c r="H70" s="293"/>
    </row>
    <row r="71" spans="1:8" s="3" customFormat="1" ht="15" customHeight="1">
      <c r="A71" s="289"/>
      <c r="B71" s="291" t="s">
        <v>48</v>
      </c>
      <c r="C71" s="294" t="s">
        <v>1190</v>
      </c>
      <c r="D71" s="294"/>
      <c r="E71" s="294"/>
      <c r="F71" s="294"/>
      <c r="G71" s="293"/>
      <c r="H71" s="293"/>
    </row>
    <row r="72" spans="1:8" s="3" customFormat="1" ht="15" customHeight="1">
      <c r="A72" s="289"/>
      <c r="B72" s="291" t="s">
        <v>49</v>
      </c>
      <c r="C72" s="294" t="s">
        <v>50</v>
      </c>
      <c r="D72" s="294"/>
      <c r="E72" s="294"/>
      <c r="F72" s="294"/>
      <c r="G72" s="293"/>
      <c r="H72" s="293"/>
    </row>
    <row r="73" spans="1:8" s="3" customFormat="1" ht="15" customHeight="1">
      <c r="A73" s="289"/>
      <c r="B73" s="291" t="s">
        <v>51</v>
      </c>
      <c r="C73" s="294" t="s">
        <v>52</v>
      </c>
      <c r="D73" s="294"/>
      <c r="E73" s="294"/>
      <c r="F73" s="294"/>
      <c r="G73" s="293"/>
      <c r="H73" s="293"/>
    </row>
    <row r="74" spans="1:8" s="3" customFormat="1" ht="15" customHeight="1">
      <c r="A74" s="289"/>
      <c r="B74" s="291" t="s">
        <v>53</v>
      </c>
      <c r="C74" s="294" t="s">
        <v>54</v>
      </c>
      <c r="D74" s="294"/>
      <c r="E74" s="294"/>
      <c r="F74" s="294"/>
      <c r="G74" s="293"/>
      <c r="H74" s="293"/>
    </row>
    <row r="75" spans="1:8" s="3" customFormat="1" ht="15" customHeight="1">
      <c r="A75" s="289"/>
      <c r="B75" s="294"/>
      <c r="C75" s="291"/>
      <c r="D75" s="292"/>
      <c r="E75" s="293"/>
      <c r="F75" s="293"/>
      <c r="G75" s="293"/>
      <c r="H75" s="293"/>
    </row>
    <row r="76" spans="1:8" s="3" customFormat="1" ht="15" customHeight="1">
      <c r="A76" s="289"/>
      <c r="B76" s="294" t="s">
        <v>1191</v>
      </c>
      <c r="C76" s="291"/>
      <c r="D76" s="292"/>
      <c r="E76" s="293"/>
      <c r="F76" s="293"/>
      <c r="G76" s="293"/>
      <c r="H76" s="293"/>
    </row>
    <row r="77" spans="1:8" s="3" customFormat="1" ht="15" customHeight="1">
      <c r="A77" s="289"/>
      <c r="B77" s="294" t="s">
        <v>1192</v>
      </c>
      <c r="C77" s="291"/>
      <c r="D77" s="292"/>
      <c r="E77" s="293"/>
      <c r="F77" s="293"/>
      <c r="G77" s="293"/>
      <c r="H77" s="293"/>
    </row>
    <row r="78" spans="1:8" s="3" customFormat="1" ht="15" customHeight="1">
      <c r="A78" s="289"/>
      <c r="B78" s="294" t="s">
        <v>1193</v>
      </c>
      <c r="C78" s="291"/>
      <c r="D78" s="292"/>
      <c r="E78" s="293"/>
      <c r="F78" s="293"/>
      <c r="G78" s="293"/>
      <c r="H78" s="293"/>
    </row>
    <row r="79" spans="1:8" s="3" customFormat="1" ht="15" customHeight="1">
      <c r="A79" s="289"/>
      <c r="B79" s="294" t="s">
        <v>1194</v>
      </c>
      <c r="C79" s="291"/>
      <c r="D79" s="292"/>
      <c r="E79" s="293"/>
      <c r="F79" s="293"/>
      <c r="G79" s="293"/>
      <c r="H79" s="293"/>
    </row>
    <row r="80" spans="1:8" s="3" customFormat="1" ht="15" customHeight="1">
      <c r="A80" s="289"/>
      <c r="B80" s="294"/>
      <c r="C80" s="291"/>
      <c r="D80" s="292"/>
      <c r="E80" s="293"/>
      <c r="F80" s="293"/>
      <c r="G80" s="293"/>
      <c r="H80" s="293"/>
    </row>
    <row r="81" spans="1:8" s="3" customFormat="1" ht="15" customHeight="1">
      <c r="A81" s="289"/>
      <c r="B81" s="294" t="s">
        <v>55</v>
      </c>
      <c r="C81" s="291"/>
      <c r="D81" s="292"/>
      <c r="E81" s="293"/>
      <c r="F81" s="293"/>
      <c r="G81" s="293"/>
      <c r="H81" s="293"/>
    </row>
    <row r="82" spans="1:8" s="3" customFormat="1" ht="15" customHeight="1">
      <c r="A82" s="289"/>
      <c r="B82" s="294" t="s">
        <v>56</v>
      </c>
      <c r="C82" s="291"/>
      <c r="D82" s="292"/>
      <c r="E82" s="293"/>
      <c r="F82" s="293"/>
      <c r="G82" s="293"/>
      <c r="H82" s="293"/>
    </row>
    <row r="83" spans="1:8" s="3" customFormat="1" ht="15" customHeight="1">
      <c r="A83" s="289"/>
      <c r="B83" s="294" t="s">
        <v>1195</v>
      </c>
      <c r="C83" s="291"/>
      <c r="D83" s="292"/>
      <c r="E83" s="293"/>
      <c r="F83" s="293"/>
      <c r="G83" s="293"/>
      <c r="H83" s="293"/>
    </row>
    <row r="84" spans="1:8" s="3" customFormat="1" ht="15" customHeight="1">
      <c r="A84" s="289"/>
      <c r="B84" s="294" t="s">
        <v>1196</v>
      </c>
      <c r="C84" s="291"/>
      <c r="D84" s="292"/>
      <c r="E84" s="293"/>
      <c r="F84" s="293"/>
      <c r="G84" s="293"/>
      <c r="H84" s="293"/>
    </row>
    <row r="85" spans="1:8" s="3" customFormat="1" ht="15" customHeight="1">
      <c r="A85" s="289"/>
      <c r="B85" s="294" t="s">
        <v>57</v>
      </c>
      <c r="C85" s="291"/>
      <c r="D85" s="292"/>
      <c r="E85" s="293"/>
      <c r="F85" s="293"/>
      <c r="G85" s="293"/>
      <c r="H85" s="293"/>
    </row>
    <row r="86" spans="1:8" s="3" customFormat="1" ht="15" customHeight="1">
      <c r="A86" s="289"/>
      <c r="B86" s="294" t="s">
        <v>1197</v>
      </c>
      <c r="C86" s="291"/>
      <c r="D86" s="292"/>
      <c r="E86" s="293"/>
      <c r="F86" s="293"/>
      <c r="G86" s="293"/>
      <c r="H86" s="293"/>
    </row>
    <row r="87" spans="1:8" s="3" customFormat="1" ht="15" customHeight="1">
      <c r="A87" s="289"/>
      <c r="B87" s="294" t="s">
        <v>58</v>
      </c>
      <c r="C87" s="291"/>
      <c r="D87" s="292"/>
      <c r="E87" s="293"/>
      <c r="F87" s="293"/>
      <c r="G87" s="293"/>
      <c r="H87" s="293"/>
    </row>
    <row r="88" spans="1:8" s="3" customFormat="1" ht="15" customHeight="1">
      <c r="A88" s="289"/>
      <c r="B88" s="294" t="s">
        <v>1198</v>
      </c>
      <c r="C88" s="291"/>
      <c r="D88" s="292"/>
      <c r="E88" s="293"/>
      <c r="F88" s="293"/>
      <c r="G88" s="293"/>
      <c r="H88" s="293"/>
    </row>
    <row r="89" spans="1:8" s="3" customFormat="1" ht="15" customHeight="1">
      <c r="A89" s="289"/>
      <c r="B89" s="294"/>
      <c r="C89" s="291"/>
      <c r="D89" s="292"/>
      <c r="E89" s="293"/>
      <c r="F89" s="293"/>
      <c r="G89" s="293"/>
      <c r="H89" s="293"/>
    </row>
    <row r="90" spans="1:8" s="3" customFormat="1" ht="15" customHeight="1">
      <c r="A90" s="289"/>
      <c r="B90" s="294" t="s">
        <v>1199</v>
      </c>
      <c r="C90" s="291"/>
      <c r="D90" s="292"/>
      <c r="E90" s="293"/>
      <c r="F90" s="293"/>
      <c r="G90" s="293"/>
      <c r="H90" s="293"/>
    </row>
    <row r="91" spans="1:8" s="3" customFormat="1" ht="15" customHeight="1">
      <c r="A91" s="289"/>
      <c r="B91" s="294" t="s">
        <v>1200</v>
      </c>
      <c r="C91" s="291"/>
      <c r="D91" s="292"/>
      <c r="E91" s="293"/>
      <c r="F91" s="293"/>
      <c r="G91" s="293"/>
      <c r="H91" s="293"/>
    </row>
    <row r="92" spans="1:8" s="3" customFormat="1" ht="15" customHeight="1">
      <c r="A92" s="289"/>
      <c r="B92" s="294"/>
      <c r="C92" s="291"/>
      <c r="D92" s="292"/>
      <c r="E92" s="293"/>
      <c r="F92" s="293"/>
      <c r="G92" s="293"/>
      <c r="H92" s="293"/>
    </row>
    <row r="93" spans="1:8" s="3" customFormat="1" ht="15" customHeight="1">
      <c r="A93" s="289"/>
      <c r="B93" s="294" t="s">
        <v>1201</v>
      </c>
      <c r="C93" s="291"/>
      <c r="D93" s="292"/>
      <c r="E93" s="293"/>
      <c r="F93" s="293"/>
      <c r="G93" s="293"/>
      <c r="H93" s="293"/>
    </row>
    <row r="94" spans="1:8" s="3" customFormat="1" ht="15" customHeight="1">
      <c r="A94" s="289"/>
      <c r="B94" s="294" t="s">
        <v>1202</v>
      </c>
      <c r="C94" s="291"/>
      <c r="D94" s="292"/>
      <c r="E94" s="293"/>
      <c r="F94" s="293"/>
      <c r="G94" s="293"/>
      <c r="H94" s="293"/>
    </row>
    <row r="95" spans="1:8" s="3" customFormat="1" ht="15" customHeight="1">
      <c r="A95" s="289"/>
      <c r="B95" s="294" t="s">
        <v>1203</v>
      </c>
      <c r="C95" s="291"/>
      <c r="D95" s="292"/>
      <c r="E95" s="293"/>
      <c r="F95" s="293"/>
      <c r="G95" s="293"/>
      <c r="H95" s="293"/>
    </row>
    <row r="96" spans="1:8" s="3" customFormat="1" ht="15" customHeight="1">
      <c r="A96" s="289"/>
      <c r="B96" s="294" t="s">
        <v>1204</v>
      </c>
      <c r="C96" s="291"/>
      <c r="D96" s="292"/>
      <c r="E96" s="293"/>
      <c r="F96" s="293"/>
      <c r="G96" s="293"/>
      <c r="H96" s="293"/>
    </row>
    <row r="97" spans="1:8" s="3" customFormat="1" ht="15" customHeight="1">
      <c r="A97" s="289"/>
      <c r="B97" s="294" t="s">
        <v>1205</v>
      </c>
      <c r="C97" s="291"/>
      <c r="D97" s="292"/>
      <c r="E97" s="293"/>
      <c r="F97" s="293"/>
      <c r="G97" s="293"/>
      <c r="H97" s="293"/>
    </row>
    <row r="98" spans="1:8" s="3" customFormat="1" ht="15" customHeight="1">
      <c r="A98" s="289"/>
      <c r="B98" s="294"/>
      <c r="C98" s="291"/>
      <c r="D98" s="292"/>
      <c r="E98" s="293"/>
      <c r="F98" s="293"/>
      <c r="G98" s="293"/>
      <c r="H98" s="293"/>
    </row>
    <row r="99" spans="1:8" s="3" customFormat="1" ht="15" customHeight="1">
      <c r="A99" s="289"/>
      <c r="B99" s="294" t="s">
        <v>59</v>
      </c>
      <c r="C99" s="291"/>
      <c r="D99" s="292"/>
      <c r="E99" s="293"/>
      <c r="F99" s="293"/>
      <c r="G99" s="293"/>
      <c r="H99" s="293"/>
    </row>
    <row r="100" spans="1:8" s="3" customFormat="1" ht="15" customHeight="1">
      <c r="A100" s="289"/>
      <c r="B100" s="294" t="s">
        <v>60</v>
      </c>
      <c r="C100" s="291"/>
      <c r="D100" s="292"/>
      <c r="E100" s="293"/>
      <c r="F100" s="293"/>
      <c r="G100" s="293"/>
      <c r="H100" s="293"/>
    </row>
    <row r="101" spans="1:8" s="3" customFormat="1" ht="15" customHeight="1">
      <c r="A101" s="289"/>
      <c r="B101" s="294" t="s">
        <v>1206</v>
      </c>
      <c r="C101" s="291"/>
      <c r="D101" s="292"/>
      <c r="E101" s="293"/>
      <c r="F101" s="293"/>
      <c r="G101" s="293"/>
      <c r="H101" s="293"/>
    </row>
    <row r="102" spans="1:8" s="3" customFormat="1" ht="15" customHeight="1">
      <c r="A102" s="289"/>
      <c r="B102" s="294" t="s">
        <v>1207</v>
      </c>
      <c r="C102" s="291"/>
      <c r="D102" s="292"/>
      <c r="E102" s="293"/>
      <c r="F102" s="293"/>
      <c r="G102" s="293"/>
      <c r="H102" s="293"/>
    </row>
    <row r="103" spans="1:8" s="3" customFormat="1" ht="15" customHeight="1">
      <c r="A103" s="289"/>
      <c r="B103" s="294"/>
      <c r="C103" s="291"/>
      <c r="D103" s="292"/>
      <c r="E103" s="293"/>
      <c r="F103" s="293"/>
      <c r="G103" s="293"/>
      <c r="H103" s="293"/>
    </row>
    <row r="104" spans="1:8" s="3" customFormat="1" ht="15" customHeight="1">
      <c r="A104" s="289"/>
      <c r="B104" s="294" t="s">
        <v>1208</v>
      </c>
      <c r="C104" s="291"/>
      <c r="D104" s="292"/>
      <c r="E104" s="293"/>
      <c r="F104" s="293"/>
      <c r="G104" s="293"/>
      <c r="H104" s="293"/>
    </row>
    <row r="105" spans="1:8" s="3" customFormat="1" ht="15" customHeight="1">
      <c r="A105" s="289"/>
      <c r="B105" s="294" t="s">
        <v>1209</v>
      </c>
      <c r="C105" s="291"/>
      <c r="D105" s="292"/>
      <c r="E105" s="293"/>
      <c r="F105" s="293"/>
      <c r="G105" s="293"/>
      <c r="H105" s="293"/>
    </row>
    <row r="106" spans="1:8" s="3" customFormat="1" ht="15" customHeight="1">
      <c r="A106" s="289"/>
      <c r="B106" s="294" t="s">
        <v>1210</v>
      </c>
      <c r="C106" s="291"/>
      <c r="D106" s="292"/>
      <c r="E106" s="293"/>
      <c r="F106" s="293"/>
      <c r="G106" s="293"/>
      <c r="H106" s="293"/>
    </row>
    <row r="107" spans="1:8" s="3" customFormat="1" ht="15" customHeight="1">
      <c r="A107" s="289"/>
      <c r="B107" s="294" t="s">
        <v>1211</v>
      </c>
      <c r="C107" s="291"/>
      <c r="D107" s="292"/>
      <c r="E107" s="293"/>
      <c r="F107" s="293"/>
      <c r="G107" s="293"/>
      <c r="H107" s="293"/>
    </row>
    <row r="108" spans="1:8" s="3" customFormat="1" ht="15" customHeight="1">
      <c r="A108" s="289"/>
      <c r="B108" s="294" t="s">
        <v>1212</v>
      </c>
      <c r="C108" s="291"/>
      <c r="D108" s="292"/>
      <c r="E108" s="293"/>
      <c r="F108" s="293"/>
      <c r="G108" s="293"/>
      <c r="H108" s="293"/>
    </row>
    <row r="109" spans="1:8" s="3" customFormat="1" ht="15" customHeight="1">
      <c r="A109" s="289"/>
      <c r="B109" s="294"/>
      <c r="C109" s="291"/>
      <c r="D109" s="292"/>
      <c r="E109" s="293"/>
      <c r="F109" s="293"/>
      <c r="G109" s="293"/>
      <c r="H109" s="293"/>
    </row>
    <row r="110" spans="1:8" s="3" customFormat="1" ht="15" customHeight="1">
      <c r="A110" s="289"/>
      <c r="B110" s="294" t="s">
        <v>1213</v>
      </c>
      <c r="C110" s="291"/>
      <c r="D110" s="292"/>
      <c r="E110" s="293"/>
      <c r="F110" s="293"/>
      <c r="G110" s="293"/>
      <c r="H110" s="293"/>
    </row>
    <row r="111" spans="1:8" s="3" customFormat="1" ht="15" customHeight="1">
      <c r="A111" s="289"/>
      <c r="B111" s="294" t="s">
        <v>1214</v>
      </c>
      <c r="C111" s="291"/>
      <c r="D111" s="292"/>
      <c r="E111" s="293"/>
      <c r="F111" s="293"/>
      <c r="G111" s="293"/>
      <c r="H111" s="293"/>
    </row>
    <row r="112" spans="1:8" s="3" customFormat="1" ht="15" customHeight="1">
      <c r="A112" s="289"/>
      <c r="B112" s="294"/>
      <c r="C112" s="291"/>
      <c r="D112" s="292"/>
      <c r="E112" s="293"/>
      <c r="F112" s="293"/>
      <c r="G112" s="293"/>
      <c r="H112" s="293"/>
    </row>
    <row r="113" spans="1:8" s="3" customFormat="1" ht="15" customHeight="1">
      <c r="A113" s="289"/>
      <c r="B113" s="294" t="s">
        <v>1215</v>
      </c>
      <c r="C113" s="291"/>
      <c r="D113" s="292"/>
      <c r="E113" s="293"/>
      <c r="F113" s="293"/>
      <c r="G113" s="293"/>
      <c r="H113" s="293"/>
    </row>
    <row r="114" spans="1:8" s="3" customFormat="1" ht="15" customHeight="1">
      <c r="A114" s="289"/>
      <c r="B114" s="294" t="s">
        <v>61</v>
      </c>
      <c r="C114" s="291"/>
      <c r="D114" s="292"/>
      <c r="E114" s="293"/>
      <c r="F114" s="293"/>
      <c r="G114" s="293"/>
      <c r="H114" s="293"/>
    </row>
    <row r="115" spans="1:8" s="3" customFormat="1" ht="15" customHeight="1">
      <c r="A115" s="289"/>
      <c r="B115" s="294"/>
      <c r="C115" s="291"/>
      <c r="D115" s="292"/>
      <c r="E115" s="293"/>
      <c r="F115" s="293"/>
      <c r="G115" s="293"/>
      <c r="H115" s="293"/>
    </row>
    <row r="116" spans="1:8" s="3" customFormat="1" ht="15" customHeight="1">
      <c r="A116" s="289"/>
      <c r="B116" s="294" t="s">
        <v>1216</v>
      </c>
      <c r="C116" s="291"/>
      <c r="D116" s="292"/>
      <c r="E116" s="293"/>
      <c r="F116" s="293"/>
      <c r="G116" s="293"/>
      <c r="H116" s="293"/>
    </row>
    <row r="117" spans="1:8" s="3" customFormat="1" ht="15" customHeight="1">
      <c r="A117" s="289"/>
      <c r="B117" s="294" t="s">
        <v>1217</v>
      </c>
      <c r="C117" s="291"/>
      <c r="D117" s="292"/>
      <c r="E117" s="293"/>
      <c r="F117" s="293"/>
      <c r="G117" s="293"/>
      <c r="H117" s="293"/>
    </row>
    <row r="118" spans="1:8" s="3" customFormat="1" ht="15" customHeight="1">
      <c r="A118" s="289"/>
      <c r="B118" s="294" t="s">
        <v>1218</v>
      </c>
      <c r="C118" s="291"/>
      <c r="D118" s="292"/>
      <c r="E118" s="293"/>
      <c r="F118" s="293"/>
      <c r="G118" s="293"/>
      <c r="H118" s="293"/>
    </row>
    <row r="119" spans="1:8" s="3" customFormat="1" ht="15" customHeight="1">
      <c r="A119" s="289"/>
      <c r="B119" s="294"/>
      <c r="C119" s="291"/>
      <c r="D119" s="292"/>
      <c r="E119" s="293"/>
      <c r="F119" s="293"/>
      <c r="G119" s="293"/>
      <c r="H119" s="293"/>
    </row>
    <row r="120" spans="1:8" s="3" customFormat="1" ht="15" customHeight="1">
      <c r="A120" s="289"/>
      <c r="B120" s="294" t="s">
        <v>1219</v>
      </c>
      <c r="C120" s="291"/>
      <c r="D120" s="292"/>
      <c r="E120" s="293"/>
      <c r="F120" s="293"/>
      <c r="G120" s="293"/>
      <c r="H120" s="293"/>
    </row>
    <row r="121" spans="1:8" s="3" customFormat="1" ht="15" customHeight="1">
      <c r="A121" s="289"/>
      <c r="B121" s="294" t="s">
        <v>62</v>
      </c>
      <c r="C121" s="291"/>
      <c r="D121" s="292"/>
      <c r="E121" s="293"/>
      <c r="F121" s="293"/>
      <c r="G121" s="293"/>
      <c r="H121" s="293"/>
    </row>
    <row r="122" spans="1:8" s="3" customFormat="1" ht="15" customHeight="1">
      <c r="A122" s="289"/>
      <c r="B122" s="294" t="s">
        <v>1220</v>
      </c>
      <c r="C122" s="291"/>
      <c r="D122" s="292"/>
      <c r="E122" s="293"/>
      <c r="F122" s="293"/>
      <c r="G122" s="293"/>
      <c r="H122" s="293"/>
    </row>
    <row r="123" spans="1:8" s="3" customFormat="1" ht="15" customHeight="1">
      <c r="A123" s="289"/>
      <c r="B123" s="294" t="s">
        <v>1221</v>
      </c>
      <c r="C123" s="291"/>
      <c r="D123" s="292"/>
      <c r="E123" s="293"/>
      <c r="F123" s="293"/>
      <c r="G123" s="293"/>
      <c r="H123" s="293"/>
    </row>
    <row r="124" spans="1:8" s="3" customFormat="1" ht="15" customHeight="1">
      <c r="A124" s="289"/>
      <c r="B124" s="294"/>
      <c r="C124" s="291"/>
      <c r="D124" s="292"/>
      <c r="E124" s="293"/>
      <c r="F124" s="293"/>
      <c r="G124" s="293"/>
      <c r="H124" s="293"/>
    </row>
    <row r="125" spans="1:8" s="3" customFormat="1" ht="15" customHeight="1">
      <c r="A125" s="289"/>
      <c r="B125" s="297" t="s">
        <v>63</v>
      </c>
      <c r="C125" s="298"/>
      <c r="D125" s="299"/>
      <c r="E125" s="293"/>
      <c r="F125" s="293"/>
      <c r="G125" s="293"/>
      <c r="H125" s="293"/>
    </row>
    <row r="126" spans="1:8" s="3" customFormat="1" ht="15" customHeight="1">
      <c r="A126" s="289"/>
      <c r="B126" s="297" t="s">
        <v>64</v>
      </c>
      <c r="C126" s="298"/>
      <c r="D126" s="299"/>
      <c r="E126" s="293"/>
      <c r="F126" s="293"/>
      <c r="G126" s="293"/>
      <c r="H126" s="293"/>
    </row>
    <row r="127" spans="1:8" s="3" customFormat="1" ht="15" customHeight="1">
      <c r="A127" s="289"/>
      <c r="B127" s="298" t="s">
        <v>48</v>
      </c>
      <c r="C127" s="297" t="s">
        <v>1222</v>
      </c>
      <c r="D127" s="299"/>
      <c r="E127" s="293"/>
      <c r="F127" s="293"/>
      <c r="G127" s="293"/>
      <c r="H127" s="293"/>
    </row>
    <row r="128" spans="1:8" s="3" customFormat="1" ht="15" customHeight="1">
      <c r="A128" s="289"/>
      <c r="B128" s="298" t="s">
        <v>49</v>
      </c>
      <c r="C128" s="297" t="s">
        <v>65</v>
      </c>
      <c r="D128" s="299"/>
      <c r="E128" s="293"/>
      <c r="F128" s="293"/>
      <c r="G128" s="293"/>
      <c r="H128" s="293"/>
    </row>
    <row r="129" spans="1:8" s="3" customFormat="1" ht="15" customHeight="1">
      <c r="A129" s="289"/>
      <c r="B129" s="297"/>
      <c r="C129" s="297" t="s">
        <v>66</v>
      </c>
      <c r="D129" s="299"/>
      <c r="E129" s="293"/>
      <c r="F129" s="293"/>
      <c r="G129" s="293"/>
      <c r="H129" s="293"/>
    </row>
    <row r="130" spans="1:8" s="3" customFormat="1" ht="15" customHeight="1">
      <c r="A130" s="289"/>
      <c r="B130" s="297"/>
      <c r="C130" s="297"/>
      <c r="D130" s="299"/>
      <c r="E130" s="293"/>
      <c r="F130" s="293"/>
      <c r="G130" s="293"/>
      <c r="H130" s="293"/>
    </row>
    <row r="131" spans="1:8" s="3" customFormat="1" ht="15" customHeight="1">
      <c r="A131" s="289"/>
      <c r="B131" s="297" t="s">
        <v>1223</v>
      </c>
      <c r="C131" s="300"/>
      <c r="D131" s="299"/>
      <c r="E131" s="293"/>
      <c r="F131" s="293"/>
      <c r="G131" s="293"/>
      <c r="H131" s="293"/>
    </row>
    <row r="132" spans="1:8" s="3" customFormat="1" ht="15" customHeight="1">
      <c r="A132" s="289"/>
      <c r="B132" s="297" t="s">
        <v>67</v>
      </c>
      <c r="C132" s="298"/>
      <c r="D132" s="299"/>
      <c r="E132" s="293"/>
      <c r="F132" s="293"/>
      <c r="G132" s="293"/>
      <c r="H132" s="293"/>
    </row>
    <row r="133" spans="1:8" s="3" customFormat="1" ht="15" customHeight="1">
      <c r="A133" s="289"/>
      <c r="B133" s="301" t="s">
        <v>68</v>
      </c>
      <c r="C133" s="297" t="s">
        <v>70</v>
      </c>
      <c r="D133" s="299"/>
      <c r="E133" s="293"/>
      <c r="F133" s="293"/>
      <c r="G133" s="293"/>
      <c r="H133" s="293"/>
    </row>
    <row r="134" spans="1:8" s="3" customFormat="1" ht="15" customHeight="1">
      <c r="A134" s="289"/>
      <c r="B134" s="301" t="s">
        <v>68</v>
      </c>
      <c r="C134" s="297" t="s">
        <v>1224</v>
      </c>
      <c r="D134" s="299"/>
      <c r="E134" s="293"/>
      <c r="F134" s="293"/>
      <c r="G134" s="293"/>
      <c r="H134" s="293"/>
    </row>
    <row r="135" spans="1:8" s="3" customFormat="1" ht="15" customHeight="1">
      <c r="A135" s="289"/>
      <c r="B135" s="301" t="s">
        <v>68</v>
      </c>
      <c r="C135" s="297" t="s">
        <v>1225</v>
      </c>
      <c r="D135" s="302"/>
      <c r="E135" s="293"/>
      <c r="F135" s="293"/>
      <c r="G135" s="293"/>
      <c r="H135" s="293"/>
    </row>
    <row r="136" spans="1:8" s="3" customFormat="1" ht="15" customHeight="1">
      <c r="A136" s="289"/>
      <c r="B136" s="301" t="s">
        <v>68</v>
      </c>
      <c r="C136" s="297" t="s">
        <v>69</v>
      </c>
      <c r="D136" s="299"/>
      <c r="E136" s="293"/>
      <c r="F136" s="293"/>
      <c r="G136" s="293"/>
      <c r="H136" s="293"/>
    </row>
    <row r="137" spans="1:8" s="3" customFormat="1" ht="15" customHeight="1">
      <c r="A137" s="289"/>
      <c r="B137" s="301" t="s">
        <v>68</v>
      </c>
      <c r="C137" s="297" t="s">
        <v>1226</v>
      </c>
      <c r="D137" s="299"/>
      <c r="E137" s="293"/>
      <c r="F137" s="293"/>
      <c r="G137" s="293"/>
      <c r="H137" s="293"/>
    </row>
    <row r="138" spans="1:8" s="3" customFormat="1" ht="15" customHeight="1">
      <c r="A138" s="289"/>
      <c r="B138" s="294"/>
      <c r="C138" s="291"/>
      <c r="D138" s="292"/>
      <c r="E138" s="293"/>
      <c r="F138" s="293"/>
      <c r="G138" s="293"/>
      <c r="H138" s="293"/>
    </row>
    <row r="139" spans="1:8" s="3" customFormat="1" ht="15" customHeight="1">
      <c r="A139" s="289"/>
      <c r="B139" s="294" t="s">
        <v>71</v>
      </c>
      <c r="C139" s="291"/>
      <c r="D139" s="292"/>
      <c r="E139" s="293"/>
      <c r="F139" s="293"/>
      <c r="G139" s="293"/>
      <c r="H139" s="293"/>
    </row>
    <row r="140" spans="1:8" s="3" customFormat="1" ht="15" customHeight="1">
      <c r="A140" s="289"/>
      <c r="B140" s="294" t="s">
        <v>1227</v>
      </c>
      <c r="C140" s="291"/>
      <c r="D140" s="292"/>
      <c r="E140" s="293"/>
      <c r="F140" s="293"/>
      <c r="G140" s="293"/>
      <c r="H140" s="293"/>
    </row>
    <row r="141" spans="1:8" s="3" customFormat="1" ht="15" customHeight="1">
      <c r="A141" s="289"/>
      <c r="B141" s="294" t="s">
        <v>1228</v>
      </c>
      <c r="C141" s="291"/>
      <c r="D141" s="292"/>
      <c r="E141" s="293"/>
      <c r="F141" s="293"/>
      <c r="G141" s="293"/>
      <c r="H141" s="293"/>
    </row>
    <row r="142" spans="1:8" s="3" customFormat="1" ht="15" customHeight="1">
      <c r="A142" s="289"/>
      <c r="B142" s="294"/>
      <c r="C142" s="291"/>
      <c r="D142" s="292"/>
      <c r="E142" s="293"/>
      <c r="F142" s="293"/>
      <c r="G142" s="293"/>
      <c r="H142" s="293"/>
    </row>
    <row r="143" spans="1:8" s="3" customFormat="1" ht="15" customHeight="1">
      <c r="A143" s="289"/>
      <c r="B143" s="294" t="s">
        <v>1229</v>
      </c>
      <c r="C143" s="291"/>
      <c r="D143" s="292"/>
      <c r="E143" s="293"/>
      <c r="F143" s="293"/>
      <c r="G143" s="293"/>
      <c r="H143" s="293"/>
    </row>
    <row r="144" spans="1:8" s="3" customFormat="1" ht="15" customHeight="1">
      <c r="A144" s="289"/>
      <c r="B144" s="294" t="s">
        <v>1230</v>
      </c>
      <c r="C144" s="291"/>
      <c r="D144" s="292"/>
      <c r="E144" s="293"/>
      <c r="F144" s="293"/>
      <c r="G144" s="293"/>
      <c r="H144" s="293"/>
    </row>
    <row r="145" spans="1:8" s="3" customFormat="1" ht="15" customHeight="1">
      <c r="A145" s="289"/>
      <c r="B145" s="294" t="s">
        <v>72</v>
      </c>
      <c r="C145" s="291"/>
      <c r="D145" s="292"/>
      <c r="E145" s="293"/>
      <c r="F145" s="293"/>
      <c r="G145" s="293"/>
      <c r="H145" s="293"/>
    </row>
    <row r="146" spans="1:8" s="3" customFormat="1" ht="15" customHeight="1">
      <c r="A146" s="289"/>
      <c r="B146" s="294"/>
      <c r="C146" s="291"/>
      <c r="D146" s="292"/>
      <c r="E146" s="293"/>
      <c r="F146" s="293"/>
      <c r="G146" s="293"/>
      <c r="H146" s="293"/>
    </row>
    <row r="147" spans="1:8" s="3" customFormat="1" ht="15" customHeight="1">
      <c r="A147" s="289"/>
      <c r="B147" s="294" t="s">
        <v>1231</v>
      </c>
      <c r="C147" s="291"/>
      <c r="D147" s="292"/>
      <c r="E147" s="293"/>
      <c r="F147" s="293"/>
      <c r="G147" s="293"/>
      <c r="H147" s="293"/>
    </row>
    <row r="148" spans="1:8" s="3" customFormat="1" ht="15" customHeight="1">
      <c r="A148" s="289"/>
      <c r="B148" s="294" t="s">
        <v>1232</v>
      </c>
      <c r="C148" s="291"/>
      <c r="D148" s="292"/>
      <c r="E148" s="293"/>
      <c r="F148" s="293"/>
      <c r="G148" s="293"/>
      <c r="H148" s="293"/>
    </row>
    <row r="149" spans="1:8" s="3" customFormat="1" ht="15" customHeight="1">
      <c r="A149" s="289"/>
      <c r="B149" s="294" t="s">
        <v>73</v>
      </c>
      <c r="C149" s="291"/>
      <c r="D149" s="292"/>
      <c r="E149" s="293"/>
      <c r="F149" s="293"/>
      <c r="G149" s="293"/>
      <c r="H149" s="293"/>
    </row>
    <row r="150" spans="1:8" s="3" customFormat="1" ht="15" customHeight="1">
      <c r="A150" s="289"/>
      <c r="B150" s="294"/>
      <c r="C150" s="291"/>
      <c r="D150" s="292"/>
      <c r="E150" s="293"/>
      <c r="F150" s="293"/>
      <c r="G150" s="293"/>
      <c r="H150" s="293"/>
    </row>
    <row r="151" spans="1:8" s="3" customFormat="1" ht="15" customHeight="1">
      <c r="A151" s="289"/>
      <c r="B151" s="294" t="s">
        <v>74</v>
      </c>
      <c r="C151" s="291"/>
      <c r="D151" s="293"/>
      <c r="E151" s="293"/>
      <c r="F151" s="293"/>
      <c r="G151" s="293"/>
      <c r="H151" s="293"/>
    </row>
    <row r="152" spans="1:8" s="3" customFormat="1" ht="15" customHeight="1">
      <c r="A152" s="289"/>
      <c r="B152" s="294" t="s">
        <v>75</v>
      </c>
      <c r="C152" s="291"/>
      <c r="D152" s="293"/>
      <c r="E152" s="293"/>
      <c r="F152" s="293"/>
      <c r="G152" s="293"/>
      <c r="H152" s="293"/>
    </row>
    <row r="153" spans="1:8" s="3" customFormat="1" ht="15" customHeight="1">
      <c r="A153" s="289"/>
      <c r="B153" s="294" t="s">
        <v>76</v>
      </c>
      <c r="C153" s="291"/>
      <c r="D153" s="293"/>
      <c r="E153" s="293"/>
      <c r="F153" s="293"/>
      <c r="G153" s="293"/>
      <c r="H153" s="293"/>
    </row>
    <row r="154" spans="1:8" s="3" customFormat="1" ht="15" customHeight="1">
      <c r="A154" s="289"/>
      <c r="B154" s="294" t="s">
        <v>77</v>
      </c>
      <c r="C154" s="291"/>
      <c r="D154" s="293"/>
      <c r="E154" s="293"/>
      <c r="F154" s="293"/>
      <c r="G154" s="293"/>
      <c r="H154" s="293"/>
    </row>
    <row r="155" spans="1:8" s="3" customFormat="1" ht="15" customHeight="1">
      <c r="A155" s="289"/>
      <c r="B155" s="294" t="s">
        <v>78</v>
      </c>
      <c r="C155" s="291"/>
      <c r="D155" s="293"/>
      <c r="E155" s="293"/>
      <c r="F155" s="293"/>
      <c r="G155" s="293"/>
      <c r="H155" s="293"/>
    </row>
    <row r="156" spans="1:8" s="3" customFormat="1" ht="15" customHeight="1">
      <c r="A156" s="289"/>
      <c r="B156" s="294" t="s">
        <v>1233</v>
      </c>
      <c r="C156" s="291"/>
      <c r="D156" s="293"/>
      <c r="E156" s="293"/>
      <c r="F156" s="293"/>
      <c r="G156" s="293"/>
      <c r="H156" s="293"/>
    </row>
    <row r="157" spans="1:8" s="3" customFormat="1" ht="15" customHeight="1">
      <c r="A157" s="289"/>
      <c r="B157" s="294"/>
      <c r="C157" s="291"/>
      <c r="D157" s="293"/>
      <c r="E157" s="293"/>
      <c r="F157" s="293"/>
      <c r="G157" s="293"/>
      <c r="H157" s="293"/>
    </row>
    <row r="158" spans="1:8" s="3" customFormat="1" ht="15" customHeight="1">
      <c r="A158" s="289"/>
      <c r="B158" s="294" t="s">
        <v>79</v>
      </c>
      <c r="C158" s="291"/>
      <c r="D158" s="293"/>
      <c r="E158" s="293"/>
      <c r="F158" s="293"/>
      <c r="G158" s="293"/>
      <c r="H158" s="293"/>
    </row>
    <row r="159" spans="1:8" s="3" customFormat="1" ht="15" customHeight="1">
      <c r="A159" s="289"/>
      <c r="B159" s="294" t="s">
        <v>1234</v>
      </c>
      <c r="C159" s="291"/>
      <c r="D159" s="293"/>
      <c r="E159" s="293"/>
      <c r="F159" s="293"/>
      <c r="G159" s="293"/>
      <c r="H159" s="293"/>
    </row>
    <row r="160" spans="1:8" s="3" customFormat="1" ht="15" customHeight="1">
      <c r="A160" s="303"/>
      <c r="B160" s="303"/>
      <c r="C160" s="303"/>
      <c r="D160" s="303"/>
      <c r="E160" s="303"/>
      <c r="F160" s="303"/>
      <c r="G160" s="303"/>
      <c r="H160" s="303"/>
    </row>
    <row r="161" spans="1:8" s="3" customFormat="1" ht="15" customHeight="1">
      <c r="A161" s="289"/>
      <c r="B161" s="304" t="s">
        <v>1235</v>
      </c>
      <c r="C161" s="291"/>
      <c r="D161" s="292"/>
      <c r="E161" s="293"/>
      <c r="F161" s="293"/>
      <c r="G161" s="293"/>
      <c r="H161" s="293"/>
    </row>
    <row r="162" spans="1:8" s="3" customFormat="1" ht="15" customHeight="1">
      <c r="A162" s="289"/>
      <c r="B162" s="294" t="s">
        <v>100</v>
      </c>
      <c r="C162" s="291"/>
      <c r="D162" s="292"/>
      <c r="E162" s="293"/>
      <c r="F162" s="293"/>
      <c r="G162" s="293"/>
      <c r="H162" s="293"/>
    </row>
    <row r="163" spans="1:8" s="3" customFormat="1" ht="15" customHeight="1">
      <c r="A163" s="305"/>
      <c r="B163" s="289" t="s">
        <v>1236</v>
      </c>
      <c r="C163" s="291"/>
      <c r="D163" s="292"/>
      <c r="E163" s="293"/>
      <c r="F163" s="293"/>
      <c r="G163" s="293"/>
      <c r="H163" s="293"/>
    </row>
    <row r="164" spans="1:8" s="3" customFormat="1" ht="15" customHeight="1">
      <c r="A164" s="305"/>
      <c r="B164" s="289" t="s">
        <v>1237</v>
      </c>
      <c r="C164" s="291"/>
      <c r="D164" s="292"/>
      <c r="E164" s="293"/>
      <c r="F164" s="293"/>
      <c r="G164" s="293"/>
      <c r="H164" s="293"/>
    </row>
    <row r="165" spans="1:8" s="3" customFormat="1" ht="15" customHeight="1">
      <c r="A165" s="289"/>
      <c r="B165" s="294" t="s">
        <v>101</v>
      </c>
      <c r="C165" s="291"/>
      <c r="D165" s="292"/>
      <c r="E165" s="293"/>
      <c r="F165" s="293"/>
      <c r="G165" s="293"/>
      <c r="H165" s="293"/>
    </row>
    <row r="166" spans="1:8" s="3" customFormat="1" ht="15" customHeight="1">
      <c r="A166" s="305"/>
      <c r="B166" s="289" t="s">
        <v>102</v>
      </c>
      <c r="C166" s="291"/>
      <c r="D166" s="292"/>
      <c r="E166" s="293"/>
      <c r="F166" s="293"/>
      <c r="G166" s="293"/>
      <c r="H166" s="293"/>
    </row>
    <row r="167" spans="1:8" s="3" customFormat="1" ht="15" customHeight="1">
      <c r="A167" s="289"/>
      <c r="B167" s="294" t="s">
        <v>1238</v>
      </c>
      <c r="C167" s="291"/>
      <c r="D167" s="292"/>
      <c r="E167" s="293"/>
      <c r="F167" s="293"/>
      <c r="G167" s="293"/>
      <c r="H167" s="293"/>
    </row>
    <row r="168" spans="1:8" s="3" customFormat="1" ht="15" customHeight="1">
      <c r="A168" s="305"/>
      <c r="B168" s="289" t="s">
        <v>103</v>
      </c>
      <c r="C168" s="291"/>
      <c r="D168" s="292"/>
      <c r="E168" s="293"/>
      <c r="F168" s="293"/>
      <c r="G168" s="293"/>
      <c r="H168" s="293"/>
    </row>
    <row r="169" spans="1:8" s="3" customFormat="1" ht="15" customHeight="1">
      <c r="A169" s="289"/>
      <c r="B169" s="294"/>
      <c r="C169" s="291"/>
      <c r="D169" s="293"/>
      <c r="E169" s="293"/>
      <c r="F169" s="293"/>
      <c r="G169" s="293"/>
      <c r="H169" s="293"/>
    </row>
    <row r="170" spans="1:8" s="3" customFormat="1" ht="15" customHeight="1">
      <c r="A170" s="43"/>
      <c r="B170" s="44"/>
      <c r="C170" s="45"/>
      <c r="D170" s="45"/>
      <c r="E170" s="45"/>
      <c r="F170" s="45"/>
      <c r="G170" s="45"/>
      <c r="H170" s="46"/>
    </row>
    <row r="171" spans="1:8" s="3" customFormat="1" ht="15" customHeight="1">
      <c r="A171" s="305"/>
      <c r="B171" s="349" t="s">
        <v>1239</v>
      </c>
      <c r="C171" s="305"/>
      <c r="D171" s="305"/>
      <c r="E171" s="305"/>
      <c r="F171" s="305"/>
      <c r="G171" s="282"/>
      <c r="H171" s="282"/>
    </row>
    <row r="172" spans="1:8" s="3" customFormat="1" ht="15" customHeight="1">
      <c r="A172" s="305"/>
      <c r="B172" s="349"/>
      <c r="C172" s="305"/>
      <c r="D172" s="305"/>
      <c r="E172" s="305"/>
      <c r="F172" s="305"/>
      <c r="G172" s="282"/>
      <c r="H172" s="282"/>
    </row>
    <row r="173" spans="1:8" s="3" customFormat="1" ht="15" customHeight="1">
      <c r="A173" s="350"/>
      <c r="B173" s="351"/>
      <c r="C173" s="351"/>
      <c r="D173" s="352"/>
      <c r="E173" s="353"/>
      <c r="F173" s="353"/>
      <c r="G173" s="287"/>
      <c r="H173" s="288"/>
    </row>
    <row r="174" spans="1:8" s="3" customFormat="1" ht="15" customHeight="1">
      <c r="A174" s="289"/>
      <c r="B174" s="294"/>
      <c r="C174" s="354"/>
      <c r="D174" s="355" t="s">
        <v>23</v>
      </c>
      <c r="E174" s="356"/>
      <c r="F174" s="293"/>
      <c r="G174" s="308"/>
      <c r="H174" s="308"/>
    </row>
    <row r="175" spans="1:8" s="3" customFormat="1" ht="15" customHeight="1">
      <c r="A175" s="289"/>
      <c r="B175" s="294"/>
      <c r="C175" s="291"/>
      <c r="D175" s="293"/>
      <c r="E175" s="293"/>
      <c r="F175" s="293"/>
      <c r="G175" s="308"/>
      <c r="H175" s="308"/>
    </row>
    <row r="176" spans="1:8" s="3" customFormat="1" ht="15" customHeight="1">
      <c r="A176" s="289"/>
      <c r="B176" s="294"/>
      <c r="C176" s="291"/>
      <c r="D176" s="357" t="str">
        <f>A200</f>
        <v>RUŠENJE</v>
      </c>
      <c r="E176" s="293"/>
      <c r="F176" s="293"/>
      <c r="G176" s="308"/>
      <c r="H176" s="308"/>
    </row>
    <row r="177" spans="1:8" s="3" customFormat="1" ht="15" customHeight="1">
      <c r="A177" s="289"/>
      <c r="B177" s="294"/>
      <c r="C177" s="291"/>
      <c r="D177" s="357" t="str">
        <f>A249</f>
        <v>PRIJENOSI I TRANSPORTI</v>
      </c>
      <c r="E177" s="293"/>
      <c r="F177" s="293"/>
      <c r="G177" s="308"/>
      <c r="H177" s="308"/>
    </row>
    <row r="178" spans="1:8" s="3" customFormat="1" ht="15" customHeight="1">
      <c r="A178" s="289"/>
      <c r="B178" s="294"/>
      <c r="C178" s="291"/>
      <c r="D178" s="292" t="str">
        <f>A261</f>
        <v>PRIPREMNI RADOVI</v>
      </c>
      <c r="E178" s="293"/>
      <c r="F178" s="293"/>
      <c r="G178" s="308"/>
      <c r="H178" s="308"/>
    </row>
    <row r="179" spans="1:8" s="3" customFormat="1" ht="15" customHeight="1">
      <c r="A179" s="289"/>
      <c r="B179" s="294"/>
      <c r="C179" s="291"/>
      <c r="D179" s="292" t="str">
        <f>A288</f>
        <v>ZEMLJANI RADOVI</v>
      </c>
      <c r="E179" s="293"/>
      <c r="F179" s="293"/>
      <c r="G179" s="308"/>
      <c r="H179" s="308"/>
    </row>
    <row r="180" spans="1:8" s="3" customFormat="1" ht="15" customHeight="1">
      <c r="A180" s="289"/>
      <c r="B180" s="294"/>
      <c r="C180" s="291"/>
      <c r="D180" s="292" t="str">
        <f>A369</f>
        <v>TESARSKI RADOVI</v>
      </c>
      <c r="E180" s="293"/>
      <c r="F180" s="293"/>
      <c r="G180" s="308"/>
      <c r="H180" s="308"/>
    </row>
    <row r="181" spans="1:8" s="3" customFormat="1" ht="15" customHeight="1">
      <c r="A181" s="289"/>
      <c r="B181" s="294"/>
      <c r="C181" s="291"/>
      <c r="D181" s="292" t="str">
        <f>A476</f>
        <v>BETONSKI I ARMIRANO BETONSKI RADOVI</v>
      </c>
      <c r="E181" s="293"/>
      <c r="F181" s="293"/>
      <c r="G181" s="308"/>
      <c r="H181" s="308"/>
    </row>
    <row r="182" spans="1:8" s="3" customFormat="1" ht="15" customHeight="1">
      <c r="A182" s="289"/>
      <c r="B182" s="294"/>
      <c r="C182" s="291"/>
      <c r="D182" s="292" t="str">
        <f>A631</f>
        <v>ZIDARSKI RADOVI</v>
      </c>
      <c r="E182" s="293"/>
      <c r="F182" s="293"/>
      <c r="G182" s="308"/>
      <c r="H182" s="308"/>
    </row>
    <row r="183" spans="1:8" s="3" customFormat="1" ht="15" customHeight="1">
      <c r="A183" s="289"/>
      <c r="B183" s="294"/>
      <c r="C183" s="291"/>
      <c r="D183" s="292" t="str">
        <f>A738</f>
        <v>ASFALTERSKI RADOVI</v>
      </c>
      <c r="E183" s="293"/>
      <c r="F183" s="293"/>
      <c r="G183" s="308"/>
      <c r="H183" s="308"/>
    </row>
    <row r="184" spans="1:8" s="3" customFormat="1" ht="15" customHeight="1">
      <c r="A184" s="289"/>
      <c r="B184" s="294"/>
      <c r="C184" s="291"/>
      <c r="D184" s="292" t="str">
        <f>A775</f>
        <v>IZOLATERSKI RADOVI</v>
      </c>
      <c r="E184" s="293"/>
      <c r="F184" s="293"/>
      <c r="G184" s="308"/>
      <c r="H184" s="308"/>
    </row>
    <row r="185" spans="1:8" s="3" customFormat="1" ht="15" customHeight="1">
      <c r="A185" s="289"/>
      <c r="B185" s="294"/>
      <c r="C185" s="291"/>
      <c r="D185" s="292" t="str">
        <f>A823</f>
        <v>KROVOPOKRIVAČKI RADOVI</v>
      </c>
      <c r="E185" s="293"/>
      <c r="F185" s="293"/>
      <c r="G185" s="308"/>
      <c r="H185" s="308"/>
    </row>
    <row r="186" spans="1:8" s="3" customFormat="1" ht="15" customHeight="1">
      <c r="A186" s="289"/>
      <c r="B186" s="294"/>
      <c r="C186" s="291"/>
      <c r="D186" s="292" t="str">
        <f>A859</f>
        <v>LIMARSKI RADOVI</v>
      </c>
      <c r="E186" s="293"/>
      <c r="F186" s="293"/>
      <c r="G186" s="308"/>
      <c r="H186" s="308"/>
    </row>
    <row r="187" spans="1:8" s="3" customFormat="1" ht="15" customHeight="1">
      <c r="A187" s="289"/>
      <c r="B187" s="294"/>
      <c r="C187" s="291"/>
      <c r="D187" s="292" t="str">
        <f>A902</f>
        <v>STOLARSKI  RADOVI</v>
      </c>
      <c r="E187" s="293"/>
      <c r="F187" s="293"/>
      <c r="G187" s="308"/>
      <c r="H187" s="308"/>
    </row>
    <row r="188" spans="1:8" s="3" customFormat="1" ht="15" customHeight="1">
      <c r="A188" s="289"/>
      <c r="B188" s="294"/>
      <c r="C188" s="291"/>
      <c r="D188" s="292" t="str">
        <f>A934</f>
        <v>BRAVARSKI RADOVI</v>
      </c>
      <c r="E188" s="293"/>
      <c r="F188" s="293"/>
      <c r="G188" s="308"/>
      <c r="H188" s="308"/>
    </row>
    <row r="189" spans="1:8" s="3" customFormat="1" ht="15" customHeight="1">
      <c r="A189" s="289"/>
      <c r="B189" s="294"/>
      <c r="C189" s="291"/>
      <c r="D189" s="292" t="str">
        <f>A977</f>
        <v>ALUMINIJSKI  RADOVI</v>
      </c>
      <c r="E189" s="293"/>
      <c r="F189" s="293"/>
      <c r="G189" s="308"/>
      <c r="H189" s="308"/>
    </row>
    <row r="190" spans="1:8" s="3" customFormat="1" ht="15" customHeight="1">
      <c r="A190" s="289"/>
      <c r="B190" s="294"/>
      <c r="C190" s="291"/>
      <c r="D190" s="292" t="str">
        <f>A1020</f>
        <v>STAKLARSKI RADOVI</v>
      </c>
      <c r="E190" s="293"/>
      <c r="F190" s="293"/>
      <c r="G190" s="308"/>
      <c r="H190" s="308"/>
    </row>
    <row r="191" spans="1:8" s="3" customFormat="1" ht="15" customHeight="1">
      <c r="A191" s="289"/>
      <c r="B191" s="294"/>
      <c r="C191" s="291"/>
      <c r="D191" s="292" t="str">
        <f>A1062</f>
        <v>SOBOSLIKARSKI I LIČILAČKI RADOVI</v>
      </c>
      <c r="E191" s="293"/>
      <c r="F191" s="293"/>
      <c r="G191" s="308"/>
      <c r="H191" s="308"/>
    </row>
    <row r="192" spans="1:8" s="3" customFormat="1" ht="15" customHeight="1">
      <c r="A192" s="289"/>
      <c r="B192" s="294"/>
      <c r="C192" s="291"/>
      <c r="D192" s="292" t="str">
        <f>A1102</f>
        <v>FASADERSKI RADOVI</v>
      </c>
      <c r="E192" s="293"/>
      <c r="F192" s="293"/>
      <c r="G192" s="308"/>
      <c r="H192" s="308"/>
    </row>
    <row r="193" spans="1:8" s="3" customFormat="1" ht="15" customHeight="1">
      <c r="A193" s="289"/>
      <c r="B193" s="294"/>
      <c r="C193" s="291"/>
      <c r="D193" s="292" t="str">
        <f>A1169</f>
        <v>KERAMIČARSKI RADOVI</v>
      </c>
      <c r="E193" s="293"/>
      <c r="F193" s="293"/>
      <c r="G193" s="308"/>
      <c r="H193" s="308"/>
    </row>
    <row r="194" spans="1:8" s="3" customFormat="1" ht="15" customHeight="1">
      <c r="A194" s="289"/>
      <c r="B194" s="294"/>
      <c r="C194" s="291"/>
      <c r="D194" s="292" t="str">
        <f>A1189</f>
        <v>PODOPOLAGAČKI RADOVI</v>
      </c>
      <c r="E194" s="293"/>
      <c r="F194" s="293"/>
      <c r="G194" s="308"/>
      <c r="H194" s="308"/>
    </row>
    <row r="195" spans="1:8" s="3" customFormat="1" ht="15" customHeight="1">
      <c r="A195" s="289"/>
      <c r="B195" s="294"/>
      <c r="C195" s="291"/>
      <c r="D195" s="292" t="str">
        <f>A1267</f>
        <v>GIPSARSKI RADOVI</v>
      </c>
      <c r="E195" s="293"/>
      <c r="F195" s="293"/>
      <c r="G195" s="308"/>
      <c r="H195" s="308"/>
    </row>
    <row r="196" spans="1:8" s="3" customFormat="1" ht="15" customHeight="1">
      <c r="A196" s="289"/>
      <c r="B196" s="294"/>
      <c r="C196" s="291"/>
      <c r="D196" s="292" t="str">
        <f>A1356</f>
        <v>SPUŠTENI STROPOVI</v>
      </c>
      <c r="E196" s="293"/>
      <c r="F196" s="293"/>
      <c r="G196" s="308"/>
      <c r="H196" s="308"/>
    </row>
    <row r="197" spans="1:8" s="3" customFormat="1" ht="15" customHeight="1">
      <c r="A197" s="289"/>
      <c r="B197" s="294"/>
      <c r="C197" s="291"/>
      <c r="D197" s="292" t="str">
        <f>A1386</f>
        <v>ČELIČNE KONSTRUKCIJE</v>
      </c>
      <c r="E197" s="293"/>
      <c r="F197" s="293"/>
      <c r="G197" s="308"/>
      <c r="H197" s="308"/>
    </row>
    <row r="198" spans="1:8" s="3" customFormat="1" ht="15" customHeight="1">
      <c r="A198" s="289"/>
      <c r="B198" s="294"/>
      <c r="C198" s="291"/>
      <c r="D198" s="293"/>
      <c r="E198" s="293"/>
      <c r="F198" s="293"/>
      <c r="G198" s="293"/>
      <c r="H198" s="293"/>
    </row>
    <row r="199" spans="1:8" s="3" customFormat="1" ht="15" customHeight="1">
      <c r="A199" s="289"/>
      <c r="B199" s="294"/>
      <c r="C199" s="291"/>
      <c r="D199" s="292"/>
      <c r="E199" s="293"/>
      <c r="F199" s="293"/>
      <c r="G199" s="293"/>
      <c r="H199" s="293"/>
    </row>
    <row r="200" spans="1:8" s="3" customFormat="1" ht="15" customHeight="1">
      <c r="A200" s="309" t="s">
        <v>80</v>
      </c>
      <c r="B200" s="294"/>
      <c r="C200" s="291"/>
      <c r="D200" s="292"/>
      <c r="E200" s="293"/>
      <c r="F200" s="293"/>
      <c r="G200" s="293"/>
      <c r="H200" s="293"/>
    </row>
    <row r="201" spans="1:8" s="3" customFormat="1" ht="15" customHeight="1">
      <c r="A201" s="289"/>
      <c r="B201" s="294"/>
      <c r="C201" s="291"/>
      <c r="D201" s="292"/>
      <c r="E201" s="293"/>
      <c r="F201" s="293"/>
      <c r="G201" s="293"/>
      <c r="H201" s="293"/>
    </row>
    <row r="202" spans="1:8" s="3" customFormat="1" ht="15" customHeight="1">
      <c r="A202" s="289"/>
      <c r="B202" s="310" t="s">
        <v>81</v>
      </c>
      <c r="C202" s="291"/>
      <c r="D202" s="292"/>
      <c r="E202" s="293"/>
      <c r="F202" s="293"/>
      <c r="G202" s="293"/>
      <c r="H202" s="293"/>
    </row>
    <row r="203" spans="1:8" s="3" customFormat="1" ht="15" customHeight="1">
      <c r="A203" s="289"/>
      <c r="B203" s="294" t="s">
        <v>82</v>
      </c>
      <c r="C203" s="291"/>
      <c r="D203" s="292"/>
      <c r="E203" s="293"/>
      <c r="F203" s="293"/>
      <c r="G203" s="293"/>
      <c r="H203" s="293"/>
    </row>
    <row r="204" spans="1:8" s="3" customFormat="1" ht="15" customHeight="1">
      <c r="A204" s="289" t="s">
        <v>83</v>
      </c>
      <c r="B204" s="294"/>
      <c r="C204" s="291"/>
      <c r="D204" s="292"/>
      <c r="E204" s="293"/>
      <c r="F204" s="293"/>
      <c r="G204" s="293"/>
      <c r="H204" s="293"/>
    </row>
    <row r="205" spans="1:8" s="3" customFormat="1" ht="15" customHeight="1">
      <c r="A205" s="289"/>
      <c r="B205" s="311" t="s">
        <v>68</v>
      </c>
      <c r="C205" s="312" t="s">
        <v>5063</v>
      </c>
      <c r="D205" s="292"/>
      <c r="E205" s="293"/>
      <c r="F205" s="293"/>
      <c r="G205" s="293"/>
      <c r="H205" s="293"/>
    </row>
    <row r="206" spans="1:8" s="3" customFormat="1" ht="15" customHeight="1">
      <c r="A206" s="289"/>
      <c r="B206" s="311" t="s">
        <v>68</v>
      </c>
      <c r="C206" s="312" t="s">
        <v>5064</v>
      </c>
      <c r="D206" s="292"/>
      <c r="E206" s="293"/>
      <c r="F206" s="293"/>
      <c r="G206" s="293"/>
      <c r="H206" s="293"/>
    </row>
    <row r="207" spans="1:8" s="3" customFormat="1" ht="15" customHeight="1">
      <c r="A207" s="289"/>
      <c r="B207" s="311" t="s">
        <v>68</v>
      </c>
      <c r="C207" s="312" t="s">
        <v>5065</v>
      </c>
      <c r="D207" s="292"/>
      <c r="E207" s="293"/>
      <c r="F207" s="293"/>
      <c r="G207" s="293"/>
      <c r="H207" s="293"/>
    </row>
    <row r="208" spans="1:8" s="3" customFormat="1" ht="15" customHeight="1">
      <c r="A208" s="289"/>
      <c r="B208" s="311" t="s">
        <v>68</v>
      </c>
      <c r="C208" s="312" t="s">
        <v>1241</v>
      </c>
      <c r="D208" s="292"/>
      <c r="E208" s="293"/>
      <c r="F208" s="293"/>
      <c r="G208" s="293"/>
      <c r="H208" s="293"/>
    </row>
    <row r="209" spans="1:8" s="3" customFormat="1" ht="15" customHeight="1">
      <c r="A209" s="289"/>
      <c r="B209" s="311" t="s">
        <v>68</v>
      </c>
      <c r="C209" s="312" t="s">
        <v>5066</v>
      </c>
      <c r="D209" s="292"/>
      <c r="E209" s="293"/>
      <c r="F209" s="293"/>
      <c r="G209" s="293"/>
      <c r="H209" s="293"/>
    </row>
    <row r="210" spans="1:8" s="3" customFormat="1" ht="15" customHeight="1">
      <c r="A210" s="289"/>
      <c r="B210" s="311"/>
      <c r="C210" s="312"/>
      <c r="D210" s="292"/>
      <c r="E210" s="293"/>
      <c r="F210" s="293"/>
      <c r="G210" s="293"/>
      <c r="H210" s="293"/>
    </row>
    <row r="211" spans="1:8" s="3" customFormat="1" ht="15" customHeight="1">
      <c r="A211" s="289"/>
      <c r="B211" s="294"/>
      <c r="C211" s="291"/>
      <c r="D211" s="292"/>
      <c r="E211" s="293"/>
      <c r="F211" s="293"/>
      <c r="G211" s="293"/>
      <c r="H211" s="293"/>
    </row>
    <row r="212" spans="1:8" s="3" customFormat="1" ht="15" customHeight="1">
      <c r="A212" s="289"/>
      <c r="B212" s="294" t="s">
        <v>84</v>
      </c>
      <c r="C212" s="291"/>
      <c r="D212" s="292"/>
      <c r="E212" s="293"/>
      <c r="F212" s="293"/>
      <c r="G212" s="293"/>
      <c r="H212" s="293"/>
    </row>
    <row r="213" spans="1:8" s="3" customFormat="1" ht="15" customHeight="1">
      <c r="A213" s="289" t="s">
        <v>85</v>
      </c>
      <c r="B213" s="294"/>
      <c r="C213" s="291"/>
      <c r="D213" s="292"/>
      <c r="E213" s="293"/>
      <c r="F213" s="293"/>
      <c r="G213" s="293"/>
      <c r="H213" s="293"/>
    </row>
    <row r="214" spans="1:8" s="3" customFormat="1" ht="15" customHeight="1">
      <c r="A214" s="289" t="s">
        <v>86</v>
      </c>
      <c r="B214" s="294"/>
      <c r="C214" s="291"/>
      <c r="D214" s="292"/>
      <c r="E214" s="293"/>
      <c r="F214" s="293"/>
      <c r="G214" s="293"/>
      <c r="H214" s="293"/>
    </row>
    <row r="215" spans="1:8" s="3" customFormat="1" ht="15" customHeight="1">
      <c r="A215" s="289"/>
      <c r="B215" s="294" t="s">
        <v>1242</v>
      </c>
      <c r="C215" s="291"/>
      <c r="D215" s="292"/>
      <c r="E215" s="293"/>
      <c r="F215" s="293"/>
      <c r="G215" s="293"/>
      <c r="H215" s="293"/>
    </row>
    <row r="216" spans="1:8" s="3" customFormat="1" ht="15" customHeight="1">
      <c r="A216" s="289" t="s">
        <v>1243</v>
      </c>
      <c r="B216" s="294"/>
      <c r="C216" s="291"/>
      <c r="D216" s="292"/>
      <c r="E216" s="293"/>
      <c r="F216" s="293"/>
      <c r="G216" s="293"/>
      <c r="H216" s="293"/>
    </row>
    <row r="217" spans="1:8" s="3" customFormat="1" ht="15" customHeight="1">
      <c r="A217" s="289"/>
      <c r="B217" s="294" t="s">
        <v>1244</v>
      </c>
      <c r="C217" s="291"/>
      <c r="D217" s="292"/>
      <c r="E217" s="293"/>
      <c r="F217" s="293"/>
      <c r="G217" s="293"/>
      <c r="H217" s="293"/>
    </row>
    <row r="218" spans="1:8" s="3" customFormat="1" ht="15" customHeight="1">
      <c r="A218" s="289" t="s">
        <v>1245</v>
      </c>
      <c r="B218" s="294"/>
      <c r="C218" s="291"/>
      <c r="D218" s="292"/>
      <c r="E218" s="293"/>
      <c r="F218" s="293"/>
      <c r="G218" s="293"/>
      <c r="H218" s="293"/>
    </row>
    <row r="219" spans="1:8" s="3" customFormat="1" ht="15" customHeight="1">
      <c r="A219" s="289"/>
      <c r="B219" s="294" t="s">
        <v>87</v>
      </c>
      <c r="C219" s="291"/>
      <c r="D219" s="292"/>
      <c r="E219" s="293"/>
      <c r="F219" s="293"/>
      <c r="G219" s="293"/>
      <c r="H219" s="293"/>
    </row>
    <row r="220" spans="1:8" s="3" customFormat="1" ht="15" customHeight="1">
      <c r="A220" s="289" t="s">
        <v>88</v>
      </c>
      <c r="B220" s="294"/>
      <c r="C220" s="291"/>
      <c r="D220" s="292"/>
      <c r="E220" s="293"/>
      <c r="F220" s="293"/>
      <c r="G220" s="293"/>
      <c r="H220" s="293"/>
    </row>
    <row r="221" spans="1:8" s="3" customFormat="1" ht="15" customHeight="1">
      <c r="A221" s="289"/>
      <c r="B221" s="294" t="s">
        <v>89</v>
      </c>
      <c r="C221" s="291"/>
      <c r="D221" s="292"/>
      <c r="E221" s="293"/>
      <c r="F221" s="293"/>
      <c r="G221" s="293"/>
      <c r="H221" s="293"/>
    </row>
    <row r="222" spans="1:8" s="3" customFormat="1" ht="15" customHeight="1">
      <c r="A222" s="289" t="s">
        <v>90</v>
      </c>
      <c r="B222" s="294"/>
      <c r="C222" s="291"/>
      <c r="D222" s="292"/>
      <c r="E222" s="293"/>
      <c r="F222" s="293"/>
      <c r="G222" s="293"/>
      <c r="H222" s="293"/>
    </row>
    <row r="223" spans="1:8" s="3" customFormat="1" ht="15" customHeight="1">
      <c r="A223" s="305"/>
      <c r="B223" s="294" t="s">
        <v>91</v>
      </c>
      <c r="C223" s="291"/>
      <c r="D223" s="292"/>
      <c r="E223" s="293"/>
      <c r="F223" s="293"/>
      <c r="G223" s="293"/>
      <c r="H223" s="293"/>
    </row>
    <row r="224" spans="1:8" s="3" customFormat="1" ht="15" customHeight="1">
      <c r="A224" s="294" t="s">
        <v>92</v>
      </c>
      <c r="B224" s="294"/>
      <c r="C224" s="291"/>
      <c r="D224" s="292"/>
      <c r="E224" s="293"/>
      <c r="F224" s="293"/>
      <c r="G224" s="293"/>
      <c r="H224" s="293"/>
    </row>
    <row r="225" spans="1:8" s="3" customFormat="1" ht="15" customHeight="1">
      <c r="A225" s="305"/>
      <c r="B225" s="294" t="s">
        <v>93</v>
      </c>
      <c r="C225" s="291"/>
      <c r="D225" s="292"/>
      <c r="E225" s="293"/>
      <c r="F225" s="293"/>
      <c r="G225" s="293"/>
      <c r="H225" s="293"/>
    </row>
    <row r="226" spans="1:8" s="3" customFormat="1" ht="15" customHeight="1">
      <c r="A226" s="294" t="s">
        <v>94</v>
      </c>
      <c r="B226" s="294"/>
      <c r="C226" s="291"/>
      <c r="D226" s="292"/>
      <c r="E226" s="293"/>
      <c r="F226" s="293"/>
      <c r="G226" s="293"/>
      <c r="H226" s="293"/>
    </row>
    <row r="227" spans="1:8" s="3" customFormat="1" ht="15" customHeight="1">
      <c r="A227" s="305"/>
      <c r="B227" s="294" t="s">
        <v>95</v>
      </c>
      <c r="C227" s="291"/>
      <c r="D227" s="292"/>
      <c r="E227" s="293"/>
      <c r="F227" s="293"/>
      <c r="G227" s="293"/>
      <c r="H227" s="293"/>
    </row>
    <row r="228" spans="1:8" s="3" customFormat="1" ht="15" customHeight="1">
      <c r="A228" s="305"/>
      <c r="B228" s="294" t="s">
        <v>1246</v>
      </c>
      <c r="C228" s="291"/>
      <c r="D228" s="292"/>
      <c r="E228" s="293"/>
      <c r="F228" s="293"/>
      <c r="G228" s="293"/>
      <c r="H228" s="293"/>
    </row>
    <row r="229" spans="1:8" s="3" customFormat="1" ht="15" customHeight="1">
      <c r="A229" s="294" t="s">
        <v>1247</v>
      </c>
      <c r="B229" s="294"/>
      <c r="C229" s="291"/>
      <c r="D229" s="292"/>
      <c r="E229" s="293"/>
      <c r="F229" s="293"/>
      <c r="G229" s="293"/>
      <c r="H229" s="293"/>
    </row>
    <row r="230" spans="1:8" s="3" customFormat="1" ht="15" customHeight="1">
      <c r="A230" s="294"/>
      <c r="B230" s="294" t="s">
        <v>1248</v>
      </c>
      <c r="C230" s="291"/>
      <c r="D230" s="292"/>
      <c r="E230" s="293"/>
      <c r="F230" s="293"/>
      <c r="G230" s="293"/>
      <c r="H230" s="293"/>
    </row>
    <row r="231" spans="1:8" s="3" customFormat="1" ht="15" customHeight="1">
      <c r="A231" s="294"/>
      <c r="B231" s="294" t="s">
        <v>1249</v>
      </c>
      <c r="C231" s="291"/>
      <c r="D231" s="292"/>
      <c r="E231" s="293"/>
      <c r="F231" s="293"/>
      <c r="G231" s="293"/>
      <c r="H231" s="293"/>
    </row>
    <row r="232" spans="1:8" s="3" customFormat="1" ht="15" customHeight="1">
      <c r="A232" s="289"/>
      <c r="B232" s="294" t="s">
        <v>96</v>
      </c>
      <c r="C232" s="291"/>
      <c r="D232" s="292"/>
      <c r="E232" s="293"/>
      <c r="F232" s="293"/>
      <c r="G232" s="293"/>
      <c r="H232" s="293"/>
    </row>
    <row r="233" spans="1:8" s="3" customFormat="1" ht="15" customHeight="1">
      <c r="A233" s="289" t="s">
        <v>97</v>
      </c>
      <c r="B233" s="294"/>
      <c r="C233" s="291"/>
      <c r="D233" s="292"/>
      <c r="E233" s="293"/>
      <c r="F233" s="293"/>
      <c r="G233" s="293"/>
      <c r="H233" s="293"/>
    </row>
    <row r="234" spans="1:8" s="3" customFormat="1" ht="15" customHeight="1">
      <c r="A234" s="289" t="s">
        <v>98</v>
      </c>
      <c r="B234" s="294"/>
      <c r="C234" s="291"/>
      <c r="D234" s="292"/>
      <c r="E234" s="293"/>
      <c r="F234" s="293"/>
      <c r="G234" s="293"/>
      <c r="H234" s="293"/>
    </row>
    <row r="235" spans="1:8" s="3" customFormat="1" ht="15" customHeight="1">
      <c r="A235" s="294"/>
      <c r="B235" s="294" t="s">
        <v>1250</v>
      </c>
      <c r="C235" s="294"/>
      <c r="D235" s="292"/>
      <c r="E235" s="293"/>
      <c r="F235" s="293"/>
      <c r="G235" s="293"/>
      <c r="H235" s="293"/>
    </row>
    <row r="236" spans="1:8" s="3" customFormat="1" ht="15" customHeight="1">
      <c r="A236" s="294"/>
      <c r="B236" s="294"/>
      <c r="C236" s="294"/>
      <c r="D236" s="292"/>
      <c r="E236" s="293"/>
      <c r="F236" s="293"/>
      <c r="G236" s="293"/>
      <c r="H236" s="293"/>
    </row>
    <row r="237" spans="1:8" s="3" customFormat="1" ht="15" customHeight="1">
      <c r="A237" s="294"/>
      <c r="B237" s="289"/>
      <c r="C237" s="310" t="s">
        <v>116</v>
      </c>
      <c r="D237" s="292"/>
      <c r="E237" s="293"/>
      <c r="F237" s="293"/>
      <c r="G237" s="293"/>
      <c r="H237" s="293"/>
    </row>
    <row r="238" spans="1:8" s="3" customFormat="1" ht="15" customHeight="1">
      <c r="A238" s="294"/>
      <c r="B238" s="294" t="s">
        <v>1251</v>
      </c>
      <c r="C238" s="305"/>
      <c r="D238" s="292"/>
      <c r="E238" s="293"/>
      <c r="F238" s="293"/>
      <c r="G238" s="293"/>
      <c r="H238" s="293"/>
    </row>
    <row r="239" spans="1:8" s="3" customFormat="1" ht="15" customHeight="1">
      <c r="A239" s="294" t="s">
        <v>1252</v>
      </c>
      <c r="B239" s="313"/>
      <c r="C239" s="294"/>
      <c r="D239" s="292"/>
      <c r="E239" s="293"/>
      <c r="F239" s="293"/>
      <c r="G239" s="293"/>
      <c r="H239" s="293"/>
    </row>
    <row r="240" spans="1:8" s="3" customFormat="1" ht="15" customHeight="1">
      <c r="A240" s="294"/>
      <c r="B240" s="313"/>
      <c r="C240" s="294"/>
      <c r="D240" s="292"/>
      <c r="E240" s="293"/>
      <c r="F240" s="293"/>
      <c r="G240" s="293"/>
      <c r="H240" s="293"/>
    </row>
    <row r="241" spans="1:8" s="3" customFormat="1" ht="15" customHeight="1">
      <c r="A241" s="309" t="s">
        <v>1253</v>
      </c>
      <c r="B241" s="313"/>
      <c r="C241" s="294"/>
      <c r="D241" s="292"/>
      <c r="E241" s="293"/>
      <c r="F241" s="293"/>
      <c r="G241" s="293"/>
      <c r="H241" s="293"/>
    </row>
    <row r="242" spans="1:8" s="3" customFormat="1" ht="15" customHeight="1">
      <c r="A242" s="294"/>
      <c r="B242" s="313"/>
      <c r="C242" s="294"/>
      <c r="D242" s="292"/>
      <c r="E242" s="293"/>
      <c r="F242" s="293"/>
      <c r="G242" s="293"/>
      <c r="H242" s="293"/>
    </row>
    <row r="243" spans="1:8" s="3" customFormat="1" ht="15" customHeight="1">
      <c r="A243" s="294"/>
      <c r="B243" s="294" t="s">
        <v>1254</v>
      </c>
      <c r="C243" s="305"/>
      <c r="D243" s="292"/>
      <c r="E243" s="293"/>
      <c r="F243" s="293"/>
      <c r="G243" s="293"/>
      <c r="H243" s="293"/>
    </row>
    <row r="244" spans="1:8" s="3" customFormat="1" ht="15" customHeight="1">
      <c r="A244" s="294" t="s">
        <v>1255</v>
      </c>
      <c r="B244" s="313"/>
      <c r="C244" s="294"/>
      <c r="D244" s="292"/>
      <c r="E244" s="293"/>
      <c r="F244" s="293"/>
      <c r="G244" s="293"/>
      <c r="H244" s="293"/>
    </row>
    <row r="245" spans="1:8" s="3" customFormat="1" ht="15" customHeight="1">
      <c r="A245" s="294"/>
      <c r="B245" s="294" t="s">
        <v>1256</v>
      </c>
      <c r="C245" s="305"/>
      <c r="D245" s="292"/>
      <c r="E245" s="293"/>
      <c r="F245" s="293"/>
      <c r="G245" s="293"/>
      <c r="H245" s="293"/>
    </row>
    <row r="246" spans="1:8" s="3" customFormat="1" ht="15" customHeight="1">
      <c r="A246" s="294" t="s">
        <v>1257</v>
      </c>
      <c r="B246" s="313"/>
      <c r="C246" s="294"/>
      <c r="D246" s="292"/>
      <c r="E246" s="293"/>
      <c r="F246" s="293"/>
      <c r="G246" s="293"/>
      <c r="H246" s="293"/>
    </row>
    <row r="247" spans="1:8" s="3" customFormat="1" ht="15" customHeight="1">
      <c r="A247" s="289"/>
      <c r="B247" s="294"/>
      <c r="C247" s="291"/>
      <c r="D247" s="292"/>
      <c r="E247" s="293"/>
      <c r="F247" s="293"/>
      <c r="G247" s="293"/>
      <c r="H247" s="293"/>
    </row>
    <row r="248" spans="1:8" s="3" customFormat="1" ht="15" customHeight="1">
      <c r="A248" s="289"/>
      <c r="B248" s="294"/>
      <c r="C248" s="291"/>
      <c r="D248" s="292"/>
      <c r="E248" s="293"/>
      <c r="F248" s="293"/>
      <c r="G248" s="293"/>
      <c r="H248" s="293"/>
    </row>
    <row r="249" spans="1:8" s="3" customFormat="1" ht="15" customHeight="1">
      <c r="A249" s="309" t="s">
        <v>99</v>
      </c>
      <c r="B249" s="294"/>
      <c r="C249" s="291"/>
      <c r="D249" s="292"/>
      <c r="E249" s="293"/>
      <c r="F249" s="293"/>
      <c r="G249" s="293"/>
      <c r="H249" s="293"/>
    </row>
    <row r="250" spans="1:8" s="3" customFormat="1" ht="15" customHeight="1">
      <c r="A250" s="289"/>
      <c r="B250" s="294"/>
      <c r="C250" s="291"/>
      <c r="D250" s="292"/>
      <c r="E250" s="293"/>
      <c r="F250" s="293"/>
      <c r="G250" s="293"/>
      <c r="H250" s="293"/>
    </row>
    <row r="251" spans="1:8" s="3" customFormat="1" ht="15" customHeight="1">
      <c r="A251" s="289"/>
      <c r="B251" s="310" t="s">
        <v>81</v>
      </c>
      <c r="C251" s="291"/>
      <c r="D251" s="292"/>
      <c r="E251" s="293"/>
      <c r="F251" s="293"/>
      <c r="G251" s="293"/>
      <c r="H251" s="293"/>
    </row>
    <row r="252" spans="1:8" s="3" customFormat="1" ht="15" customHeight="1">
      <c r="A252" s="289"/>
      <c r="B252" s="294" t="s">
        <v>100</v>
      </c>
      <c r="C252" s="291"/>
      <c r="D252" s="292"/>
      <c r="E252" s="293"/>
      <c r="F252" s="293"/>
      <c r="G252" s="293"/>
      <c r="H252" s="293"/>
    </row>
    <row r="253" spans="1:8" s="3" customFormat="1" ht="15" customHeight="1">
      <c r="A253" s="289" t="s">
        <v>1236</v>
      </c>
      <c r="B253" s="294"/>
      <c r="C253" s="291"/>
      <c r="D253" s="292"/>
      <c r="E253" s="293"/>
      <c r="F253" s="293"/>
      <c r="G253" s="293"/>
      <c r="H253" s="293"/>
    </row>
    <row r="254" spans="1:8" s="3" customFormat="1" ht="15" customHeight="1">
      <c r="A254" s="289" t="s">
        <v>1237</v>
      </c>
      <c r="B254" s="294"/>
      <c r="C254" s="291"/>
      <c r="D254" s="292"/>
      <c r="E254" s="293"/>
      <c r="F254" s="293"/>
      <c r="G254" s="293"/>
      <c r="H254" s="293"/>
    </row>
    <row r="255" spans="1:8" s="3" customFormat="1" ht="15" customHeight="1">
      <c r="A255" s="289"/>
      <c r="B255" s="294" t="s">
        <v>101</v>
      </c>
      <c r="C255" s="291"/>
      <c r="D255" s="292"/>
      <c r="E255" s="293"/>
      <c r="F255" s="293"/>
      <c r="G255" s="293"/>
      <c r="H255" s="293"/>
    </row>
    <row r="256" spans="1:8" s="3" customFormat="1" ht="15" customHeight="1">
      <c r="A256" s="289" t="s">
        <v>102</v>
      </c>
      <c r="B256" s="294"/>
      <c r="C256" s="291"/>
      <c r="D256" s="292"/>
      <c r="E256" s="293"/>
      <c r="F256" s="293"/>
      <c r="G256" s="293"/>
      <c r="H256" s="293"/>
    </row>
    <row r="257" spans="1:8" s="3" customFormat="1" ht="15" customHeight="1">
      <c r="A257" s="289"/>
      <c r="B257" s="294" t="s">
        <v>1238</v>
      </c>
      <c r="C257" s="291"/>
      <c r="D257" s="292"/>
      <c r="E257" s="293"/>
      <c r="F257" s="293"/>
      <c r="G257" s="293"/>
      <c r="H257" s="293"/>
    </row>
    <row r="258" spans="1:8" s="3" customFormat="1" ht="15" customHeight="1">
      <c r="A258" s="289" t="s">
        <v>103</v>
      </c>
      <c r="B258" s="294"/>
      <c r="C258" s="291"/>
      <c r="D258" s="292"/>
      <c r="E258" s="293"/>
      <c r="F258" s="293"/>
      <c r="G258" s="293"/>
      <c r="H258" s="293"/>
    </row>
    <row r="259" spans="1:8" s="3" customFormat="1" ht="15" customHeight="1">
      <c r="A259" s="289"/>
      <c r="B259" s="294"/>
      <c r="C259" s="291"/>
      <c r="D259" s="293"/>
      <c r="E259" s="293"/>
      <c r="F259" s="293"/>
      <c r="G259" s="293"/>
      <c r="H259" s="293"/>
    </row>
    <row r="260" spans="1:8" s="3" customFormat="1" ht="15" customHeight="1">
      <c r="A260" s="289"/>
      <c r="B260" s="294"/>
      <c r="C260" s="291"/>
      <c r="D260" s="293"/>
      <c r="E260" s="293"/>
      <c r="F260" s="293"/>
      <c r="G260" s="293"/>
      <c r="H260" s="293"/>
    </row>
    <row r="261" spans="1:8" s="3" customFormat="1" ht="15" customHeight="1">
      <c r="A261" s="309" t="s">
        <v>104</v>
      </c>
      <c r="B261" s="294"/>
      <c r="C261" s="291"/>
      <c r="D261" s="293"/>
      <c r="E261" s="293"/>
      <c r="F261" s="293"/>
      <c r="G261" s="293"/>
      <c r="H261" s="293"/>
    </row>
    <row r="262" spans="1:8" s="3" customFormat="1" ht="15" customHeight="1">
      <c r="A262" s="289"/>
      <c r="B262" s="294"/>
      <c r="C262" s="291"/>
      <c r="D262" s="293"/>
      <c r="E262" s="293"/>
      <c r="F262" s="293"/>
      <c r="G262" s="293"/>
      <c r="H262" s="293"/>
    </row>
    <row r="263" spans="1:8" s="3" customFormat="1" ht="15" customHeight="1">
      <c r="A263" s="289"/>
      <c r="B263" s="310" t="s">
        <v>81</v>
      </c>
      <c r="C263" s="291"/>
      <c r="D263" s="293"/>
      <c r="E263" s="293"/>
      <c r="F263" s="293"/>
      <c r="G263" s="293"/>
      <c r="H263" s="293"/>
    </row>
    <row r="264" spans="1:8" s="3" customFormat="1" ht="15" customHeight="1">
      <c r="A264" s="289"/>
      <c r="B264" s="294" t="s">
        <v>105</v>
      </c>
      <c r="C264" s="291"/>
      <c r="D264" s="293"/>
      <c r="E264" s="293"/>
      <c r="F264" s="293"/>
      <c r="G264" s="293"/>
      <c r="H264" s="293"/>
    </row>
    <row r="265" spans="1:8" s="3" customFormat="1" ht="15" customHeight="1">
      <c r="A265" s="289" t="s">
        <v>106</v>
      </c>
      <c r="B265" s="294"/>
      <c r="C265" s="291"/>
      <c r="D265" s="293"/>
      <c r="E265" s="293"/>
      <c r="F265" s="293"/>
      <c r="G265" s="293"/>
      <c r="H265" s="293"/>
    </row>
    <row r="266" spans="1:8" s="3" customFormat="1" ht="15" customHeight="1">
      <c r="A266" s="289"/>
      <c r="B266" s="311" t="s">
        <v>68</v>
      </c>
      <c r="C266" s="312" t="s">
        <v>5063</v>
      </c>
      <c r="D266" s="293"/>
      <c r="E266" s="293"/>
      <c r="F266" s="293"/>
      <c r="G266" s="293"/>
      <c r="H266" s="293"/>
    </row>
    <row r="267" spans="1:8" s="3" customFormat="1" ht="15" customHeight="1">
      <c r="A267" s="289"/>
      <c r="B267" s="311" t="s">
        <v>68</v>
      </c>
      <c r="C267" s="312" t="s">
        <v>5064</v>
      </c>
      <c r="D267" s="292"/>
      <c r="E267" s="293"/>
      <c r="F267" s="293"/>
      <c r="G267" s="293"/>
      <c r="H267" s="293"/>
    </row>
    <row r="268" spans="1:8" s="3" customFormat="1" ht="15" customHeight="1">
      <c r="A268" s="289"/>
      <c r="B268" s="294"/>
      <c r="C268" s="291"/>
      <c r="D268" s="293"/>
      <c r="E268" s="293"/>
      <c r="F268" s="293"/>
      <c r="G268" s="293"/>
      <c r="H268" s="293"/>
    </row>
    <row r="269" spans="1:8" s="3" customFormat="1" ht="15" customHeight="1">
      <c r="A269" s="289"/>
      <c r="B269" s="310" t="s">
        <v>107</v>
      </c>
      <c r="C269" s="291"/>
      <c r="D269" s="293"/>
      <c r="E269" s="293"/>
      <c r="F269" s="293"/>
      <c r="G269" s="293"/>
      <c r="H269" s="293"/>
    </row>
    <row r="270" spans="1:8" s="3" customFormat="1" ht="15" customHeight="1">
      <c r="A270" s="289"/>
      <c r="B270" s="294" t="s">
        <v>108</v>
      </c>
      <c r="C270" s="291"/>
      <c r="D270" s="293"/>
      <c r="E270" s="293"/>
      <c r="F270" s="293"/>
      <c r="G270" s="293"/>
      <c r="H270" s="293"/>
    </row>
    <row r="271" spans="1:8" s="3" customFormat="1" ht="15" customHeight="1">
      <c r="A271" s="289" t="s">
        <v>1258</v>
      </c>
      <c r="B271" s="294"/>
      <c r="C271" s="291"/>
      <c r="D271" s="293"/>
      <c r="E271" s="293"/>
      <c r="F271" s="293"/>
      <c r="G271" s="293"/>
      <c r="H271" s="293"/>
    </row>
    <row r="272" spans="1:8" s="3" customFormat="1" ht="15" customHeight="1">
      <c r="A272" s="289" t="s">
        <v>109</v>
      </c>
      <c r="B272" s="294"/>
      <c r="C272" s="291"/>
      <c r="D272" s="293"/>
      <c r="E272" s="293"/>
      <c r="F272" s="293"/>
      <c r="G272" s="293"/>
      <c r="H272" s="293"/>
    </row>
    <row r="273" spans="1:8" s="3" customFormat="1" ht="15" customHeight="1">
      <c r="A273" s="289"/>
      <c r="B273" s="294" t="s">
        <v>110</v>
      </c>
      <c r="C273" s="291"/>
      <c r="D273" s="293"/>
      <c r="E273" s="293"/>
      <c r="F273" s="293"/>
      <c r="G273" s="293"/>
      <c r="H273" s="293"/>
    </row>
    <row r="274" spans="1:8" s="3" customFormat="1" ht="15" customHeight="1">
      <c r="A274" s="289" t="s">
        <v>111</v>
      </c>
      <c r="B274" s="294"/>
      <c r="C274" s="291"/>
      <c r="D274" s="293"/>
      <c r="E274" s="293"/>
      <c r="F274" s="293"/>
      <c r="G274" s="293"/>
      <c r="H274" s="293"/>
    </row>
    <row r="275" spans="1:8" s="3" customFormat="1" ht="15" customHeight="1">
      <c r="A275" s="289"/>
      <c r="B275" s="294" t="s">
        <v>1259</v>
      </c>
      <c r="C275" s="291"/>
      <c r="D275" s="293"/>
      <c r="E275" s="293"/>
      <c r="F275" s="293"/>
      <c r="G275" s="293"/>
      <c r="H275" s="293"/>
    </row>
    <row r="276" spans="1:8" s="3" customFormat="1" ht="15" customHeight="1">
      <c r="A276" s="289" t="s">
        <v>112</v>
      </c>
      <c r="B276" s="294"/>
      <c r="C276" s="291"/>
      <c r="D276" s="293"/>
      <c r="E276" s="293"/>
      <c r="F276" s="293"/>
      <c r="G276" s="293"/>
      <c r="H276" s="293"/>
    </row>
    <row r="277" spans="1:8" s="3" customFormat="1" ht="15" customHeight="1">
      <c r="A277" s="289"/>
      <c r="B277" s="294" t="s">
        <v>113</v>
      </c>
      <c r="C277" s="291"/>
      <c r="D277" s="293"/>
      <c r="E277" s="293"/>
      <c r="F277" s="293"/>
      <c r="G277" s="293"/>
      <c r="H277" s="293"/>
    </row>
    <row r="278" spans="1:8" s="3" customFormat="1" ht="15" customHeight="1">
      <c r="A278" s="289" t="s">
        <v>114</v>
      </c>
      <c r="B278" s="294"/>
      <c r="C278" s="291"/>
      <c r="D278" s="293"/>
      <c r="E278" s="293"/>
      <c r="F278" s="293"/>
      <c r="G278" s="293"/>
      <c r="H278" s="293"/>
    </row>
    <row r="279" spans="1:8" s="3" customFormat="1" ht="15" customHeight="1">
      <c r="A279" s="289" t="s">
        <v>115</v>
      </c>
      <c r="B279" s="294"/>
      <c r="C279" s="291"/>
      <c r="D279" s="293"/>
      <c r="E279" s="293"/>
      <c r="F279" s="293"/>
      <c r="G279" s="293"/>
      <c r="H279" s="293"/>
    </row>
    <row r="280" spans="1:8" s="3" customFormat="1" ht="15" customHeight="1">
      <c r="A280" s="289"/>
      <c r="B280" s="294"/>
      <c r="C280" s="291"/>
      <c r="D280" s="293"/>
      <c r="E280" s="293"/>
      <c r="F280" s="293"/>
      <c r="G280" s="293"/>
      <c r="H280" s="293"/>
    </row>
    <row r="281" spans="1:8" s="3" customFormat="1" ht="15" customHeight="1">
      <c r="A281" s="289"/>
      <c r="B281" s="310" t="s">
        <v>116</v>
      </c>
      <c r="C281" s="291"/>
      <c r="D281" s="293"/>
      <c r="E281" s="293"/>
      <c r="F281" s="293"/>
      <c r="G281" s="293"/>
      <c r="H281" s="293"/>
    </row>
    <row r="282" spans="1:8" s="3" customFormat="1" ht="15" customHeight="1">
      <c r="A282" s="289"/>
      <c r="B282" s="294" t="s">
        <v>117</v>
      </c>
      <c r="C282" s="291"/>
      <c r="D282" s="293"/>
      <c r="E282" s="293"/>
      <c r="F282" s="293"/>
      <c r="G282" s="293"/>
      <c r="H282" s="293"/>
    </row>
    <row r="283" spans="1:8" s="3" customFormat="1" ht="15" customHeight="1">
      <c r="A283" s="289"/>
      <c r="B283" s="294" t="s">
        <v>118</v>
      </c>
      <c r="C283" s="291"/>
      <c r="D283" s="293"/>
      <c r="E283" s="293"/>
      <c r="F283" s="293"/>
      <c r="G283" s="293"/>
      <c r="H283" s="293"/>
    </row>
    <row r="284" spans="1:8" s="3" customFormat="1" ht="15" customHeight="1">
      <c r="A284" s="289" t="s">
        <v>119</v>
      </c>
      <c r="B284" s="294"/>
      <c r="C284" s="291"/>
      <c r="D284" s="293"/>
      <c r="E284" s="293"/>
      <c r="F284" s="293"/>
      <c r="G284" s="293"/>
      <c r="H284" s="293"/>
    </row>
    <row r="285" spans="1:8" s="3" customFormat="1" ht="15" customHeight="1">
      <c r="A285" s="303"/>
      <c r="B285" s="303"/>
      <c r="C285" s="303"/>
      <c r="D285" s="303"/>
      <c r="E285" s="303"/>
      <c r="F285" s="303"/>
      <c r="G285" s="303"/>
      <c r="H285" s="303"/>
    </row>
    <row r="286" spans="1:8" s="3" customFormat="1" ht="15" customHeight="1">
      <c r="A286" s="303"/>
      <c r="B286" s="303"/>
      <c r="C286" s="303"/>
      <c r="D286" s="303"/>
      <c r="E286" s="303"/>
      <c r="F286" s="303"/>
      <c r="G286" s="303"/>
      <c r="H286" s="303"/>
    </row>
    <row r="287" spans="1:8" s="3" customFormat="1" ht="15" customHeight="1">
      <c r="A287" s="303"/>
      <c r="B287" s="303"/>
      <c r="C287" s="303"/>
      <c r="D287" s="303"/>
      <c r="E287" s="303"/>
      <c r="F287" s="303"/>
      <c r="G287" s="303"/>
      <c r="H287" s="303"/>
    </row>
    <row r="288" spans="1:8" s="3" customFormat="1" ht="15" customHeight="1">
      <c r="A288" s="309" t="s">
        <v>120</v>
      </c>
      <c r="B288" s="294"/>
      <c r="C288" s="291"/>
      <c r="D288" s="293"/>
      <c r="E288" s="293"/>
      <c r="F288" s="293"/>
      <c r="G288" s="293"/>
      <c r="H288" s="293"/>
    </row>
    <row r="289" spans="1:8" s="3" customFormat="1" ht="15" customHeight="1">
      <c r="A289" s="289"/>
      <c r="B289" s="294"/>
      <c r="C289" s="291"/>
      <c r="D289" s="293"/>
      <c r="E289" s="293"/>
      <c r="F289" s="293"/>
      <c r="G289" s="293"/>
      <c r="H289" s="293"/>
    </row>
    <row r="290" spans="1:8" s="3" customFormat="1" ht="15" customHeight="1">
      <c r="A290" s="289"/>
      <c r="B290" s="314" t="s">
        <v>121</v>
      </c>
      <c r="C290" s="291"/>
      <c r="D290" s="293"/>
      <c r="E290" s="293"/>
      <c r="F290" s="293"/>
      <c r="G290" s="293"/>
      <c r="H290" s="293"/>
    </row>
    <row r="291" spans="1:8" s="3" customFormat="1" ht="15" customHeight="1">
      <c r="A291" s="289"/>
      <c r="B291" s="294"/>
      <c r="C291" s="291"/>
      <c r="D291" s="293"/>
      <c r="E291" s="293"/>
      <c r="F291" s="293"/>
      <c r="G291" s="293"/>
      <c r="H291" s="293"/>
    </row>
    <row r="292" spans="1:8" s="3" customFormat="1" ht="15" customHeight="1">
      <c r="A292" s="289"/>
      <c r="B292" s="310" t="s">
        <v>81</v>
      </c>
      <c r="C292" s="291"/>
      <c r="D292" s="293"/>
      <c r="E292" s="293"/>
      <c r="F292" s="293"/>
      <c r="G292" s="293"/>
      <c r="H292" s="293"/>
    </row>
    <row r="293" spans="1:8" s="3" customFormat="1" ht="15" customHeight="1">
      <c r="A293" s="289"/>
      <c r="B293" s="294" t="s">
        <v>122</v>
      </c>
      <c r="C293" s="291"/>
      <c r="D293" s="293"/>
      <c r="E293" s="293"/>
      <c r="F293" s="293"/>
      <c r="G293" s="293"/>
      <c r="H293" s="293"/>
    </row>
    <row r="294" spans="1:8" s="3" customFormat="1" ht="15" customHeight="1">
      <c r="A294" s="289" t="s">
        <v>123</v>
      </c>
      <c r="B294" s="294"/>
      <c r="C294" s="291"/>
      <c r="D294" s="293"/>
      <c r="E294" s="293"/>
      <c r="F294" s="293"/>
      <c r="G294" s="293"/>
      <c r="H294" s="293"/>
    </row>
    <row r="295" spans="1:8" s="3" customFormat="1" ht="15" customHeight="1">
      <c r="A295" s="289" t="s">
        <v>124</v>
      </c>
      <c r="B295" s="294"/>
      <c r="C295" s="291"/>
      <c r="D295" s="293"/>
      <c r="E295" s="293"/>
      <c r="F295" s="293"/>
      <c r="G295" s="293"/>
      <c r="H295" s="293"/>
    </row>
    <row r="296" spans="1:8" s="3" customFormat="1" ht="15" customHeight="1">
      <c r="A296" s="289"/>
      <c r="B296" s="294" t="s">
        <v>125</v>
      </c>
      <c r="C296" s="291"/>
      <c r="D296" s="293"/>
      <c r="E296" s="293"/>
      <c r="F296" s="293"/>
      <c r="G296" s="293"/>
      <c r="H296" s="293"/>
    </row>
    <row r="297" spans="1:8" s="3" customFormat="1" ht="15" customHeight="1">
      <c r="A297" s="289" t="s">
        <v>1260</v>
      </c>
      <c r="B297" s="294"/>
      <c r="C297" s="291"/>
      <c r="D297" s="293"/>
      <c r="E297" s="293"/>
      <c r="F297" s="293"/>
      <c r="G297" s="293"/>
      <c r="H297" s="293"/>
    </row>
    <row r="298" spans="1:8" s="3" customFormat="1" ht="15" customHeight="1">
      <c r="A298" s="289" t="s">
        <v>126</v>
      </c>
      <c r="B298" s="294"/>
      <c r="C298" s="291"/>
      <c r="D298" s="293"/>
      <c r="E298" s="293"/>
      <c r="F298" s="293"/>
      <c r="G298" s="293"/>
      <c r="H298" s="293"/>
    </row>
    <row r="299" spans="1:8" s="3" customFormat="1" ht="15" customHeight="1">
      <c r="A299" s="289"/>
      <c r="B299" s="294" t="s">
        <v>127</v>
      </c>
      <c r="C299" s="291"/>
      <c r="D299" s="293"/>
      <c r="E299" s="293"/>
      <c r="F299" s="293"/>
      <c r="G299" s="293"/>
      <c r="H299" s="293"/>
    </row>
    <row r="300" spans="1:8" s="3" customFormat="1" ht="15" customHeight="1">
      <c r="A300" s="289" t="s">
        <v>1261</v>
      </c>
      <c r="B300" s="294"/>
      <c r="C300" s="291"/>
      <c r="D300" s="293"/>
      <c r="E300" s="293"/>
      <c r="F300" s="293"/>
      <c r="G300" s="293"/>
      <c r="H300" s="293"/>
    </row>
    <row r="301" spans="1:8" s="3" customFormat="1" ht="15" customHeight="1">
      <c r="A301" s="289" t="s">
        <v>128</v>
      </c>
      <c r="B301" s="294"/>
      <c r="C301" s="291"/>
      <c r="D301" s="293"/>
      <c r="E301" s="293"/>
      <c r="F301" s="293"/>
      <c r="G301" s="293"/>
      <c r="H301" s="293"/>
    </row>
    <row r="302" spans="1:8" s="3" customFormat="1" ht="15" customHeight="1">
      <c r="A302" s="289"/>
      <c r="B302" s="294" t="s">
        <v>1262</v>
      </c>
      <c r="C302" s="291"/>
      <c r="D302" s="293"/>
      <c r="E302" s="293"/>
      <c r="F302" s="293"/>
      <c r="G302" s="293"/>
      <c r="H302" s="293"/>
    </row>
    <row r="303" spans="1:8" s="3" customFormat="1" ht="15" customHeight="1">
      <c r="A303" s="289"/>
      <c r="B303" s="315" t="s">
        <v>129</v>
      </c>
      <c r="C303" s="294" t="s">
        <v>130</v>
      </c>
      <c r="D303" s="293"/>
      <c r="E303" s="293"/>
      <c r="F303" s="293"/>
      <c r="G303" s="293"/>
      <c r="H303" s="293"/>
    </row>
    <row r="304" spans="1:8" s="3" customFormat="1" ht="15" customHeight="1">
      <c r="A304" s="289"/>
      <c r="B304" s="315" t="s">
        <v>131</v>
      </c>
      <c r="C304" s="294" t="s">
        <v>132</v>
      </c>
      <c r="D304" s="293"/>
      <c r="E304" s="293"/>
      <c r="F304" s="293"/>
      <c r="G304" s="293"/>
      <c r="H304" s="293"/>
    </row>
    <row r="305" spans="1:8" s="3" customFormat="1" ht="15" customHeight="1">
      <c r="A305" s="289"/>
      <c r="B305" s="315" t="s">
        <v>133</v>
      </c>
      <c r="C305" s="294" t="s">
        <v>134</v>
      </c>
      <c r="D305" s="293"/>
      <c r="E305" s="293"/>
      <c r="F305" s="293"/>
      <c r="G305" s="293"/>
      <c r="H305" s="293"/>
    </row>
    <row r="306" spans="1:8" s="3" customFormat="1" ht="15" customHeight="1">
      <c r="A306" s="289"/>
      <c r="B306" s="294" t="s">
        <v>135</v>
      </c>
      <c r="C306" s="291"/>
      <c r="D306" s="293"/>
      <c r="E306" s="293"/>
      <c r="F306" s="293"/>
      <c r="G306" s="293"/>
      <c r="H306" s="293"/>
    </row>
    <row r="307" spans="1:8" s="3" customFormat="1" ht="15" customHeight="1">
      <c r="A307" s="289" t="s">
        <v>136</v>
      </c>
      <c r="B307" s="294"/>
      <c r="C307" s="291"/>
      <c r="D307" s="293"/>
      <c r="E307" s="293"/>
      <c r="F307" s="293"/>
      <c r="G307" s="293"/>
      <c r="H307" s="293"/>
    </row>
    <row r="308" spans="1:8" s="3" customFormat="1" ht="15" customHeight="1">
      <c r="A308" s="289"/>
      <c r="B308" s="311" t="s">
        <v>68</v>
      </c>
      <c r="C308" s="312" t="s">
        <v>5063</v>
      </c>
      <c r="D308" s="293"/>
      <c r="E308" s="293"/>
      <c r="F308" s="293"/>
      <c r="G308" s="293"/>
      <c r="H308" s="293"/>
    </row>
    <row r="309" spans="1:8" s="3" customFormat="1" ht="15" customHeight="1">
      <c r="A309" s="289"/>
      <c r="B309" s="311" t="s">
        <v>68</v>
      </c>
      <c r="C309" s="312" t="s">
        <v>5064</v>
      </c>
      <c r="D309" s="292"/>
      <c r="E309" s="293"/>
      <c r="F309" s="293"/>
      <c r="G309" s="293"/>
      <c r="H309" s="293"/>
    </row>
    <row r="310" spans="1:8" s="3" customFormat="1" ht="15" customHeight="1">
      <c r="A310" s="289"/>
      <c r="B310" s="294"/>
      <c r="C310" s="291"/>
      <c r="D310" s="293"/>
      <c r="E310" s="293"/>
      <c r="F310" s="293"/>
      <c r="G310" s="293"/>
      <c r="H310" s="293"/>
    </row>
    <row r="311" spans="1:8" s="3" customFormat="1" ht="15" customHeight="1">
      <c r="A311" s="289"/>
      <c r="B311" s="310" t="s">
        <v>137</v>
      </c>
      <c r="C311" s="291"/>
      <c r="D311" s="293"/>
      <c r="E311" s="293"/>
      <c r="F311" s="293"/>
      <c r="G311" s="293"/>
      <c r="H311" s="293"/>
    </row>
    <row r="312" spans="1:8" s="3" customFormat="1" ht="15" customHeight="1">
      <c r="A312" s="289"/>
      <c r="B312" s="294" t="s">
        <v>138</v>
      </c>
      <c r="C312" s="291"/>
      <c r="D312" s="293"/>
      <c r="E312" s="293"/>
      <c r="F312" s="293"/>
      <c r="G312" s="293"/>
      <c r="H312" s="293"/>
    </row>
    <row r="313" spans="1:8" s="3" customFormat="1" ht="15" customHeight="1">
      <c r="A313" s="289" t="s">
        <v>139</v>
      </c>
      <c r="B313" s="294"/>
      <c r="C313" s="291"/>
      <c r="D313" s="293"/>
      <c r="E313" s="293"/>
      <c r="F313" s="293"/>
      <c r="G313" s="293"/>
      <c r="H313" s="293"/>
    </row>
    <row r="314" spans="1:8" s="3" customFormat="1" ht="15" customHeight="1">
      <c r="A314" s="289"/>
      <c r="B314" s="294" t="s">
        <v>140</v>
      </c>
      <c r="C314" s="291"/>
      <c r="D314" s="293"/>
      <c r="E314" s="293"/>
      <c r="F314" s="293"/>
      <c r="G314" s="293"/>
      <c r="H314" s="293"/>
    </row>
    <row r="315" spans="1:8" s="3" customFormat="1" ht="15" customHeight="1">
      <c r="A315" s="289" t="s">
        <v>141</v>
      </c>
      <c r="B315" s="294"/>
      <c r="C315" s="291"/>
      <c r="D315" s="293"/>
      <c r="E315" s="293"/>
      <c r="F315" s="293"/>
      <c r="G315" s="293"/>
      <c r="H315" s="293"/>
    </row>
    <row r="316" spans="1:8" s="3" customFormat="1" ht="15" customHeight="1">
      <c r="A316" s="289"/>
      <c r="B316" s="294"/>
      <c r="C316" s="291"/>
      <c r="D316" s="293"/>
      <c r="E316" s="293"/>
      <c r="F316" s="293"/>
      <c r="G316" s="293"/>
      <c r="H316" s="293"/>
    </row>
    <row r="317" spans="1:8" s="3" customFormat="1" ht="15" customHeight="1">
      <c r="A317" s="289"/>
      <c r="B317" s="310" t="s">
        <v>142</v>
      </c>
      <c r="C317" s="291"/>
      <c r="D317" s="293"/>
      <c r="E317" s="293"/>
      <c r="F317" s="293"/>
      <c r="G317" s="293"/>
      <c r="H317" s="293"/>
    </row>
    <row r="318" spans="1:8" s="3" customFormat="1" ht="15" customHeight="1">
      <c r="A318" s="289"/>
      <c r="B318" s="294" t="s">
        <v>143</v>
      </c>
      <c r="C318" s="291"/>
      <c r="D318" s="293"/>
      <c r="E318" s="293"/>
      <c r="F318" s="293"/>
      <c r="G318" s="293"/>
      <c r="H318" s="293"/>
    </row>
    <row r="319" spans="1:8" s="3" customFormat="1" ht="15" customHeight="1">
      <c r="A319" s="289" t="s">
        <v>144</v>
      </c>
      <c r="B319" s="294"/>
      <c r="C319" s="291"/>
      <c r="D319" s="293"/>
      <c r="E319" s="293"/>
      <c r="F319" s="293"/>
      <c r="G319" s="293"/>
      <c r="H319" s="293"/>
    </row>
    <row r="320" spans="1:8" s="3" customFormat="1" ht="15" customHeight="1">
      <c r="A320" s="289"/>
      <c r="B320" s="294" t="s">
        <v>1263</v>
      </c>
      <c r="C320" s="291"/>
      <c r="D320" s="293"/>
      <c r="E320" s="293"/>
      <c r="F320" s="293"/>
      <c r="G320" s="293"/>
      <c r="H320" s="293"/>
    </row>
    <row r="321" spans="1:8" s="3" customFormat="1" ht="15" customHeight="1">
      <c r="A321" s="289"/>
      <c r="B321" s="294" t="s">
        <v>145</v>
      </c>
      <c r="C321" s="291"/>
      <c r="D321" s="293"/>
      <c r="E321" s="293"/>
      <c r="F321" s="293"/>
      <c r="G321" s="293"/>
      <c r="H321" s="293"/>
    </row>
    <row r="322" spans="1:8" s="3" customFormat="1" ht="15" customHeight="1">
      <c r="A322" s="289" t="s">
        <v>146</v>
      </c>
      <c r="B322" s="294"/>
      <c r="C322" s="291"/>
      <c r="D322" s="293"/>
      <c r="E322" s="293"/>
      <c r="F322" s="293"/>
      <c r="G322" s="293"/>
      <c r="H322" s="293"/>
    </row>
    <row r="323" spans="1:8" s="3" customFormat="1" ht="15" customHeight="1">
      <c r="A323" s="289"/>
      <c r="B323" s="294" t="s">
        <v>147</v>
      </c>
      <c r="C323" s="291"/>
      <c r="D323" s="293"/>
      <c r="E323" s="293"/>
      <c r="F323" s="293"/>
      <c r="G323" s="293"/>
      <c r="H323" s="293"/>
    </row>
    <row r="324" spans="1:8" s="3" customFormat="1" ht="15" customHeight="1">
      <c r="A324" s="289" t="s">
        <v>148</v>
      </c>
      <c r="B324" s="294"/>
      <c r="C324" s="291"/>
      <c r="D324" s="293"/>
      <c r="E324" s="293"/>
      <c r="F324" s="293"/>
      <c r="G324" s="293"/>
      <c r="H324" s="293"/>
    </row>
    <row r="325" spans="1:8" s="3" customFormat="1" ht="15" customHeight="1">
      <c r="A325" s="289" t="s">
        <v>149</v>
      </c>
      <c r="B325" s="294"/>
      <c r="C325" s="291"/>
      <c r="D325" s="293"/>
      <c r="E325" s="293"/>
      <c r="F325" s="293"/>
      <c r="G325" s="293"/>
      <c r="H325" s="293"/>
    </row>
    <row r="326" spans="1:8" s="3" customFormat="1" ht="15" customHeight="1">
      <c r="A326" s="289"/>
      <c r="B326" s="294" t="s">
        <v>150</v>
      </c>
      <c r="C326" s="291"/>
      <c r="D326" s="293"/>
      <c r="E326" s="293"/>
      <c r="F326" s="293"/>
      <c r="G326" s="293"/>
      <c r="H326" s="293"/>
    </row>
    <row r="327" spans="1:8" s="3" customFormat="1" ht="15" customHeight="1">
      <c r="A327" s="289" t="s">
        <v>1264</v>
      </c>
      <c r="B327" s="294"/>
      <c r="C327" s="291"/>
      <c r="D327" s="293"/>
      <c r="E327" s="293"/>
      <c r="F327" s="293"/>
      <c r="G327" s="293"/>
      <c r="H327" s="293"/>
    </row>
    <row r="328" spans="1:8" s="3" customFormat="1" ht="15" customHeight="1">
      <c r="A328" s="289" t="s">
        <v>151</v>
      </c>
      <c r="B328" s="294"/>
      <c r="C328" s="291"/>
      <c r="D328" s="293"/>
      <c r="E328" s="293"/>
      <c r="F328" s="293"/>
      <c r="G328" s="293"/>
      <c r="H328" s="293"/>
    </row>
    <row r="329" spans="1:8" s="3" customFormat="1" ht="15" customHeight="1">
      <c r="A329" s="289"/>
      <c r="B329" s="294"/>
      <c r="C329" s="291"/>
      <c r="D329" s="293"/>
      <c r="E329" s="293"/>
      <c r="F329" s="293"/>
      <c r="G329" s="293"/>
      <c r="H329" s="293"/>
    </row>
    <row r="330" spans="1:8" s="3" customFormat="1" ht="15" customHeight="1">
      <c r="A330" s="289"/>
      <c r="B330" s="310" t="s">
        <v>152</v>
      </c>
      <c r="C330" s="291"/>
      <c r="D330" s="293"/>
      <c r="E330" s="293"/>
      <c r="F330" s="293"/>
      <c r="G330" s="293"/>
      <c r="H330" s="293"/>
    </row>
    <row r="331" spans="1:8" s="3" customFormat="1" ht="15" customHeight="1">
      <c r="A331" s="289"/>
      <c r="B331" s="294" t="s">
        <v>153</v>
      </c>
      <c r="C331" s="291"/>
      <c r="D331" s="293"/>
      <c r="E331" s="293"/>
      <c r="F331" s="293"/>
      <c r="G331" s="293"/>
      <c r="H331" s="293"/>
    </row>
    <row r="332" spans="1:8" s="3" customFormat="1" ht="15" customHeight="1">
      <c r="A332" s="289" t="s">
        <v>154</v>
      </c>
      <c r="B332" s="294"/>
      <c r="C332" s="291"/>
      <c r="D332" s="293"/>
      <c r="E332" s="293"/>
      <c r="F332" s="293"/>
      <c r="G332" s="293"/>
      <c r="H332" s="293"/>
    </row>
    <row r="333" spans="1:8" s="3" customFormat="1" ht="15" customHeight="1">
      <c r="A333" s="289" t="s">
        <v>155</v>
      </c>
      <c r="B333" s="294"/>
      <c r="C333" s="291"/>
      <c r="D333" s="293"/>
      <c r="E333" s="293"/>
      <c r="F333" s="293"/>
      <c r="G333" s="293"/>
      <c r="H333" s="293"/>
    </row>
    <row r="334" spans="1:8" s="3" customFormat="1" ht="15" customHeight="1">
      <c r="A334" s="289"/>
      <c r="B334" s="294" t="s">
        <v>1265</v>
      </c>
      <c r="C334" s="291"/>
      <c r="D334" s="293"/>
      <c r="E334" s="293"/>
      <c r="F334" s="293"/>
      <c r="G334" s="293"/>
      <c r="H334" s="293"/>
    </row>
    <row r="335" spans="1:8" s="3" customFormat="1" ht="15" customHeight="1">
      <c r="A335" s="289"/>
      <c r="B335" s="294"/>
      <c r="C335" s="291"/>
      <c r="D335" s="293"/>
      <c r="E335" s="293"/>
      <c r="F335" s="293"/>
      <c r="G335" s="293"/>
      <c r="H335" s="293"/>
    </row>
    <row r="336" spans="1:8" s="3" customFormat="1" ht="15" customHeight="1">
      <c r="A336" s="289"/>
      <c r="B336" s="310" t="s">
        <v>156</v>
      </c>
      <c r="C336" s="291"/>
      <c r="D336" s="293"/>
      <c r="E336" s="293"/>
      <c r="F336" s="293"/>
      <c r="G336" s="293"/>
      <c r="H336" s="293"/>
    </row>
    <row r="337" spans="1:8" s="3" customFormat="1" ht="15" customHeight="1">
      <c r="A337" s="289"/>
      <c r="B337" s="294" t="s">
        <v>157</v>
      </c>
      <c r="C337" s="291"/>
      <c r="D337" s="293"/>
      <c r="E337" s="293"/>
      <c r="F337" s="293"/>
      <c r="G337" s="293"/>
      <c r="H337" s="293"/>
    </row>
    <row r="338" spans="1:8" s="3" customFormat="1" ht="15" customHeight="1">
      <c r="A338" s="289" t="s">
        <v>158</v>
      </c>
      <c r="B338" s="294"/>
      <c r="C338" s="291"/>
      <c r="D338" s="293"/>
      <c r="E338" s="293"/>
      <c r="F338" s="293"/>
      <c r="G338" s="293"/>
      <c r="H338" s="293"/>
    </row>
    <row r="339" spans="1:8" s="3" customFormat="1" ht="15" customHeight="1">
      <c r="A339" s="289"/>
      <c r="B339" s="294"/>
      <c r="C339" s="291"/>
      <c r="D339" s="293"/>
      <c r="E339" s="293"/>
      <c r="F339" s="293"/>
      <c r="G339" s="293"/>
      <c r="H339" s="293"/>
    </row>
    <row r="340" spans="1:8" s="3" customFormat="1" ht="15" customHeight="1">
      <c r="A340" s="289"/>
      <c r="B340" s="310" t="s">
        <v>159</v>
      </c>
      <c r="C340" s="291"/>
      <c r="D340" s="293"/>
      <c r="E340" s="293"/>
      <c r="F340" s="293"/>
      <c r="G340" s="293"/>
      <c r="H340" s="293"/>
    </row>
    <row r="341" spans="1:8" s="3" customFormat="1" ht="15" customHeight="1">
      <c r="A341" s="289"/>
      <c r="B341" s="294" t="s">
        <v>160</v>
      </c>
      <c r="C341" s="291"/>
      <c r="D341" s="293"/>
      <c r="E341" s="293"/>
      <c r="F341" s="293"/>
      <c r="G341" s="293"/>
      <c r="H341" s="293"/>
    </row>
    <row r="342" spans="1:8" s="3" customFormat="1" ht="15" customHeight="1">
      <c r="A342" s="289" t="s">
        <v>161</v>
      </c>
      <c r="B342" s="294"/>
      <c r="C342" s="291"/>
      <c r="D342" s="293"/>
      <c r="E342" s="293"/>
      <c r="F342" s="293"/>
      <c r="G342" s="293"/>
      <c r="H342" s="293"/>
    </row>
    <row r="343" spans="1:8" s="3" customFormat="1" ht="15" customHeight="1">
      <c r="A343" s="289"/>
      <c r="B343" s="294"/>
      <c r="C343" s="291"/>
      <c r="D343" s="293"/>
      <c r="E343" s="293"/>
      <c r="F343" s="293"/>
      <c r="G343" s="293"/>
      <c r="H343" s="293"/>
    </row>
    <row r="344" spans="1:8" s="3" customFormat="1" ht="15" customHeight="1">
      <c r="A344" s="289"/>
      <c r="B344" s="310" t="s">
        <v>116</v>
      </c>
      <c r="C344" s="291"/>
      <c r="D344" s="293"/>
      <c r="E344" s="293"/>
      <c r="F344" s="293"/>
      <c r="G344" s="293"/>
      <c r="H344" s="293"/>
    </row>
    <row r="345" spans="1:8" s="3" customFormat="1" ht="15" customHeight="1">
      <c r="A345" s="289"/>
      <c r="B345" s="294" t="s">
        <v>169</v>
      </c>
      <c r="C345" s="291"/>
      <c r="D345" s="293"/>
      <c r="E345" s="293"/>
      <c r="F345" s="293"/>
      <c r="G345" s="293"/>
      <c r="H345" s="293"/>
    </row>
    <row r="346" spans="1:8" s="3" customFormat="1" ht="15" customHeight="1">
      <c r="A346" s="289" t="s">
        <v>162</v>
      </c>
      <c r="B346" s="294"/>
      <c r="C346" s="291"/>
      <c r="D346" s="293"/>
      <c r="E346" s="293"/>
      <c r="F346" s="293"/>
      <c r="G346" s="293"/>
      <c r="H346" s="293"/>
    </row>
    <row r="347" spans="1:8" s="3" customFormat="1" ht="15" customHeight="1">
      <c r="A347" s="289"/>
      <c r="B347" s="294" t="s">
        <v>1266</v>
      </c>
      <c r="C347" s="291"/>
      <c r="D347" s="293"/>
      <c r="E347" s="293"/>
      <c r="F347" s="293"/>
      <c r="G347" s="293"/>
      <c r="H347" s="293"/>
    </row>
    <row r="348" spans="1:8" s="3" customFormat="1" ht="15" customHeight="1">
      <c r="A348" s="289"/>
      <c r="B348" s="294" t="s">
        <v>1267</v>
      </c>
      <c r="C348" s="291"/>
      <c r="D348" s="293"/>
      <c r="E348" s="293"/>
      <c r="F348" s="293"/>
      <c r="G348" s="293"/>
      <c r="H348" s="293"/>
    </row>
    <row r="349" spans="1:8" s="3" customFormat="1" ht="15" customHeight="1">
      <c r="A349" s="289"/>
      <c r="B349" s="291" t="s">
        <v>267</v>
      </c>
      <c r="C349" s="294" t="s">
        <v>1268</v>
      </c>
      <c r="D349" s="293"/>
      <c r="E349" s="316" t="s">
        <v>217</v>
      </c>
      <c r="F349" s="317" t="s">
        <v>1269</v>
      </c>
      <c r="G349" s="293"/>
      <c r="H349" s="293"/>
    </row>
    <row r="350" spans="1:8" s="3" customFormat="1" ht="15" customHeight="1">
      <c r="A350" s="289"/>
      <c r="B350" s="291" t="s">
        <v>267</v>
      </c>
      <c r="C350" s="294" t="s">
        <v>1270</v>
      </c>
      <c r="D350" s="293"/>
      <c r="E350" s="316" t="s">
        <v>217</v>
      </c>
      <c r="F350" s="317" t="s">
        <v>1271</v>
      </c>
      <c r="G350" s="293"/>
      <c r="H350" s="293"/>
    </row>
    <row r="351" spans="1:8" s="3" customFormat="1" ht="15" customHeight="1">
      <c r="A351" s="289"/>
      <c r="B351" s="291" t="s">
        <v>267</v>
      </c>
      <c r="C351" s="294" t="s">
        <v>1272</v>
      </c>
      <c r="D351" s="293"/>
      <c r="E351" s="316" t="s">
        <v>217</v>
      </c>
      <c r="F351" s="317" t="s">
        <v>1273</v>
      </c>
      <c r="G351" s="293"/>
      <c r="H351" s="293"/>
    </row>
    <row r="352" spans="1:8" s="3" customFormat="1" ht="15" customHeight="1">
      <c r="A352" s="289"/>
      <c r="B352" s="291" t="s">
        <v>267</v>
      </c>
      <c r="C352" s="294" t="s">
        <v>1274</v>
      </c>
      <c r="D352" s="293"/>
      <c r="E352" s="316" t="s">
        <v>217</v>
      </c>
      <c r="F352" s="317" t="s">
        <v>1273</v>
      </c>
      <c r="G352" s="293"/>
      <c r="H352" s="293"/>
    </row>
    <row r="353" spans="1:8" s="3" customFormat="1" ht="15" customHeight="1">
      <c r="A353" s="289"/>
      <c r="B353" s="294"/>
      <c r="C353" s="291"/>
      <c r="D353" s="293"/>
      <c r="E353" s="293"/>
      <c r="F353" s="293"/>
      <c r="G353" s="293"/>
      <c r="H353" s="293"/>
    </row>
    <row r="354" spans="1:8" s="3" customFormat="1" ht="15" customHeight="1">
      <c r="A354" s="289"/>
      <c r="B354" s="294" t="s">
        <v>163</v>
      </c>
      <c r="C354" s="291"/>
      <c r="D354" s="293"/>
      <c r="E354" s="293"/>
      <c r="F354" s="293"/>
      <c r="G354" s="293"/>
      <c r="H354" s="293"/>
    </row>
    <row r="355" spans="1:8" s="3" customFormat="1" ht="15" customHeight="1">
      <c r="A355" s="289" t="s">
        <v>164</v>
      </c>
      <c r="B355" s="294"/>
      <c r="C355" s="291"/>
      <c r="D355" s="293"/>
      <c r="E355" s="293"/>
      <c r="F355" s="293"/>
      <c r="G355" s="293"/>
      <c r="H355" s="293"/>
    </row>
    <row r="356" spans="1:8" s="3" customFormat="1" ht="15" customHeight="1">
      <c r="A356" s="289" t="s">
        <v>1275</v>
      </c>
      <c r="B356" s="294"/>
      <c r="C356" s="291"/>
      <c r="D356" s="293"/>
      <c r="E356" s="293"/>
      <c r="F356" s="293"/>
      <c r="G356" s="293"/>
      <c r="H356" s="293"/>
    </row>
    <row r="357" spans="1:8" s="3" customFormat="1" ht="15" customHeight="1">
      <c r="A357" s="289"/>
      <c r="B357" s="294"/>
      <c r="C357" s="291"/>
      <c r="D357" s="293"/>
      <c r="E357" s="293"/>
      <c r="F357" s="293"/>
      <c r="G357" s="293"/>
      <c r="H357" s="293"/>
    </row>
    <row r="358" spans="1:8" s="3" customFormat="1" ht="15" customHeight="1">
      <c r="A358" s="289"/>
      <c r="B358" s="314" t="s">
        <v>165</v>
      </c>
      <c r="C358" s="291"/>
      <c r="D358" s="293"/>
      <c r="E358" s="293"/>
      <c r="F358" s="293"/>
      <c r="G358" s="293"/>
      <c r="H358" s="293"/>
    </row>
    <row r="359" spans="1:8" s="3" customFormat="1" ht="15" customHeight="1">
      <c r="A359" s="289"/>
      <c r="B359" s="294"/>
      <c r="C359" s="291"/>
      <c r="D359" s="293"/>
      <c r="E359" s="293"/>
      <c r="F359" s="293"/>
      <c r="G359" s="293"/>
      <c r="H359" s="293"/>
    </row>
    <row r="360" spans="1:8" s="3" customFormat="1" ht="15" customHeight="1">
      <c r="A360" s="289"/>
      <c r="B360" s="310" t="s">
        <v>81</v>
      </c>
      <c r="C360" s="291"/>
      <c r="D360" s="293"/>
      <c r="E360" s="293"/>
      <c r="F360" s="293"/>
      <c r="G360" s="293"/>
      <c r="H360" s="293"/>
    </row>
    <row r="361" spans="1:8" s="3" customFormat="1" ht="15" customHeight="1">
      <c r="A361" s="289"/>
      <c r="B361" s="294" t="s">
        <v>166</v>
      </c>
      <c r="C361" s="291"/>
      <c r="D361" s="293"/>
      <c r="E361" s="293"/>
      <c r="F361" s="293"/>
      <c r="G361" s="293"/>
      <c r="H361" s="293"/>
    </row>
    <row r="362" spans="1:8" s="3" customFormat="1" ht="15" customHeight="1">
      <c r="A362" s="289" t="s">
        <v>167</v>
      </c>
      <c r="B362" s="294"/>
      <c r="C362" s="291"/>
      <c r="D362" s="293"/>
      <c r="E362" s="293"/>
      <c r="F362" s="293"/>
      <c r="G362" s="293"/>
      <c r="H362" s="293"/>
    </row>
    <row r="363" spans="1:8" s="3" customFormat="1" ht="15" customHeight="1">
      <c r="A363" s="289"/>
      <c r="B363" s="294" t="s">
        <v>168</v>
      </c>
      <c r="C363" s="291"/>
      <c r="D363" s="293"/>
      <c r="E363" s="293"/>
      <c r="F363" s="293"/>
      <c r="G363" s="293"/>
      <c r="H363" s="293"/>
    </row>
    <row r="364" spans="1:8" s="3" customFormat="1" ht="15" customHeight="1">
      <c r="A364" s="289"/>
      <c r="B364" s="294"/>
      <c r="C364" s="291"/>
      <c r="D364" s="293"/>
      <c r="E364" s="293"/>
      <c r="F364" s="293"/>
      <c r="G364" s="293"/>
      <c r="H364" s="293"/>
    </row>
    <row r="365" spans="1:8" s="3" customFormat="1" ht="15" customHeight="1">
      <c r="A365" s="289"/>
      <c r="B365" s="310" t="s">
        <v>116</v>
      </c>
      <c r="C365" s="291"/>
      <c r="D365" s="293"/>
      <c r="E365" s="293"/>
      <c r="F365" s="293"/>
      <c r="G365" s="293"/>
      <c r="H365" s="293"/>
    </row>
    <row r="366" spans="1:8" s="3" customFormat="1" ht="15" customHeight="1">
      <c r="A366" s="289"/>
      <c r="B366" s="294" t="s">
        <v>169</v>
      </c>
      <c r="C366" s="291"/>
      <c r="D366" s="293"/>
      <c r="E366" s="293"/>
      <c r="F366" s="293"/>
      <c r="G366" s="293"/>
      <c r="H366" s="293"/>
    </row>
    <row r="367" spans="1:8" s="3" customFormat="1" ht="15" customHeight="1">
      <c r="A367" s="289" t="s">
        <v>170</v>
      </c>
      <c r="B367" s="294"/>
      <c r="C367" s="291"/>
      <c r="D367" s="293"/>
      <c r="E367" s="293"/>
      <c r="F367" s="293"/>
      <c r="G367" s="293"/>
      <c r="H367" s="293"/>
    </row>
    <row r="368" spans="1:8" s="3" customFormat="1" ht="15" customHeight="1">
      <c r="A368" s="303"/>
      <c r="B368" s="303"/>
      <c r="C368" s="303"/>
      <c r="D368" s="303"/>
      <c r="E368" s="303"/>
      <c r="F368" s="303"/>
      <c r="G368" s="303"/>
      <c r="H368" s="303"/>
    </row>
    <row r="369" spans="1:8" s="3" customFormat="1" ht="15" customHeight="1">
      <c r="A369" s="309" t="s">
        <v>171</v>
      </c>
      <c r="B369" s="294"/>
      <c r="C369" s="291"/>
      <c r="D369" s="293"/>
      <c r="E369" s="293"/>
      <c r="F369" s="293"/>
      <c r="G369" s="293"/>
      <c r="H369" s="293"/>
    </row>
    <row r="370" spans="1:8" s="3" customFormat="1" ht="15" customHeight="1">
      <c r="A370" s="289"/>
      <c r="B370" s="294"/>
      <c r="C370" s="291"/>
      <c r="D370" s="293"/>
      <c r="E370" s="293"/>
      <c r="F370" s="293"/>
      <c r="G370" s="293"/>
      <c r="H370" s="293"/>
    </row>
    <row r="371" spans="1:8" s="3" customFormat="1" ht="15" customHeight="1">
      <c r="A371" s="289"/>
      <c r="B371" s="310" t="s">
        <v>81</v>
      </c>
      <c r="C371" s="291"/>
      <c r="D371" s="293"/>
      <c r="E371" s="293"/>
      <c r="F371" s="293"/>
      <c r="G371" s="293"/>
      <c r="H371" s="293"/>
    </row>
    <row r="372" spans="1:8" s="3" customFormat="1" ht="15" customHeight="1">
      <c r="A372" s="289"/>
      <c r="B372" s="294" t="s">
        <v>172</v>
      </c>
      <c r="C372" s="291"/>
      <c r="D372" s="293"/>
      <c r="E372" s="293"/>
      <c r="F372" s="293"/>
      <c r="G372" s="293"/>
      <c r="H372" s="293"/>
    </row>
    <row r="373" spans="1:8" s="3" customFormat="1" ht="15" customHeight="1">
      <c r="A373" s="289" t="s">
        <v>136</v>
      </c>
      <c r="B373" s="294"/>
      <c r="C373" s="291"/>
      <c r="D373" s="293"/>
      <c r="E373" s="293"/>
      <c r="F373" s="293"/>
      <c r="G373" s="293"/>
      <c r="H373" s="293"/>
    </row>
    <row r="374" spans="1:8" s="3" customFormat="1" ht="15" customHeight="1">
      <c r="A374" s="289"/>
      <c r="B374" s="311" t="s">
        <v>68</v>
      </c>
      <c r="C374" s="312" t="s">
        <v>5063</v>
      </c>
      <c r="D374" s="293"/>
      <c r="E374" s="293"/>
      <c r="F374" s="293"/>
      <c r="G374" s="293"/>
      <c r="H374" s="293"/>
    </row>
    <row r="375" spans="1:8" s="3" customFormat="1" ht="15" customHeight="1">
      <c r="A375" s="289"/>
      <c r="B375" s="311" t="s">
        <v>68</v>
      </c>
      <c r="C375" s="312" t="s">
        <v>5067</v>
      </c>
      <c r="D375" s="293"/>
      <c r="E375" s="293"/>
      <c r="F375" s="293"/>
      <c r="G375" s="293"/>
      <c r="H375" s="293"/>
    </row>
    <row r="376" spans="1:8" s="3" customFormat="1" ht="15" customHeight="1">
      <c r="A376" s="289"/>
      <c r="B376" s="311" t="s">
        <v>68</v>
      </c>
      <c r="C376" s="312" t="s">
        <v>5068</v>
      </c>
      <c r="D376" s="293"/>
      <c r="E376" s="293"/>
      <c r="F376" s="293"/>
      <c r="G376" s="293"/>
      <c r="H376" s="293"/>
    </row>
    <row r="377" spans="1:8" s="3" customFormat="1" ht="15" customHeight="1">
      <c r="A377" s="289"/>
      <c r="B377" s="311" t="s">
        <v>68</v>
      </c>
      <c r="C377" s="312" t="s">
        <v>5064</v>
      </c>
      <c r="D377" s="292"/>
      <c r="E377" s="293"/>
      <c r="F377" s="293"/>
      <c r="G377" s="293"/>
      <c r="H377" s="293"/>
    </row>
    <row r="378" spans="1:8" s="3" customFormat="1" ht="15" customHeight="1">
      <c r="A378" s="289"/>
      <c r="B378" s="294"/>
      <c r="C378" s="291"/>
      <c r="D378" s="293"/>
      <c r="E378" s="293"/>
      <c r="F378" s="293"/>
      <c r="G378" s="293"/>
      <c r="H378" s="293"/>
    </row>
    <row r="379" spans="1:8" s="3" customFormat="1" ht="15" customHeight="1">
      <c r="A379" s="289"/>
      <c r="B379" s="314" t="s">
        <v>173</v>
      </c>
      <c r="C379" s="291"/>
      <c r="D379" s="293"/>
      <c r="E379" s="293"/>
      <c r="F379" s="293"/>
      <c r="G379" s="293"/>
      <c r="H379" s="293"/>
    </row>
    <row r="380" spans="1:8" s="3" customFormat="1" ht="15" customHeight="1">
      <c r="A380" s="289"/>
      <c r="B380" s="294"/>
      <c r="C380" s="291"/>
      <c r="D380" s="293"/>
      <c r="E380" s="293"/>
      <c r="F380" s="293"/>
      <c r="G380" s="293"/>
      <c r="H380" s="293"/>
    </row>
    <row r="381" spans="1:8" s="3" customFormat="1" ht="15" customHeight="1">
      <c r="A381" s="289"/>
      <c r="B381" s="310" t="s">
        <v>81</v>
      </c>
      <c r="C381" s="291"/>
      <c r="D381" s="293"/>
      <c r="E381" s="293"/>
      <c r="F381" s="293"/>
      <c r="G381" s="293"/>
      <c r="H381" s="293"/>
    </row>
    <row r="382" spans="1:8" s="3" customFormat="1" ht="15" customHeight="1">
      <c r="A382" s="289"/>
      <c r="B382" s="294" t="s">
        <v>1276</v>
      </c>
      <c r="C382" s="291"/>
      <c r="D382" s="293"/>
      <c r="E382" s="293"/>
      <c r="F382" s="293"/>
      <c r="G382" s="293"/>
      <c r="H382" s="293"/>
    </row>
    <row r="383" spans="1:8" s="3" customFormat="1" ht="15" customHeight="1">
      <c r="A383" s="294" t="s">
        <v>1277</v>
      </c>
      <c r="B383" s="294"/>
      <c r="C383" s="291"/>
      <c r="D383" s="293"/>
      <c r="E383" s="293"/>
      <c r="F383" s="293"/>
      <c r="G383" s="293"/>
      <c r="H383" s="293"/>
    </row>
    <row r="384" spans="1:8" s="3" customFormat="1" ht="15" customHeight="1">
      <c r="A384" s="294" t="s">
        <v>370</v>
      </c>
      <c r="B384" s="282"/>
      <c r="C384" s="291"/>
      <c r="D384" s="293"/>
      <c r="E384" s="293"/>
      <c r="F384" s="293"/>
      <c r="G384" s="293"/>
      <c r="H384" s="293"/>
    </row>
    <row r="385" spans="1:8" s="3" customFormat="1" ht="15" customHeight="1">
      <c r="A385" s="289"/>
      <c r="B385" s="294" t="s">
        <v>174</v>
      </c>
      <c r="C385" s="291"/>
      <c r="D385" s="293"/>
      <c r="E385" s="293"/>
      <c r="F385" s="293"/>
      <c r="G385" s="293"/>
      <c r="H385" s="293"/>
    </row>
    <row r="386" spans="1:8" s="3" customFormat="1" ht="15" customHeight="1">
      <c r="A386" s="289" t="s">
        <v>175</v>
      </c>
      <c r="B386" s="294"/>
      <c r="C386" s="291"/>
      <c r="D386" s="293"/>
      <c r="E386" s="293"/>
      <c r="F386" s="293"/>
      <c r="G386" s="293"/>
      <c r="H386" s="293"/>
    </row>
    <row r="387" spans="1:8" s="3" customFormat="1" ht="15" customHeight="1">
      <c r="A387" s="289"/>
      <c r="B387" s="294" t="s">
        <v>176</v>
      </c>
      <c r="C387" s="291"/>
      <c r="D387" s="293"/>
      <c r="E387" s="293"/>
      <c r="F387" s="293"/>
      <c r="G387" s="293"/>
      <c r="H387" s="293"/>
    </row>
    <row r="388" spans="1:8" s="3" customFormat="1" ht="15" customHeight="1">
      <c r="A388" s="289"/>
      <c r="B388" s="294" t="s">
        <v>1278</v>
      </c>
      <c r="C388" s="291"/>
      <c r="D388" s="293"/>
      <c r="E388" s="293"/>
      <c r="F388" s="293"/>
      <c r="G388" s="293"/>
      <c r="H388" s="293"/>
    </row>
    <row r="389" spans="1:8" s="3" customFormat="1" ht="15" customHeight="1">
      <c r="A389" s="289" t="s">
        <v>177</v>
      </c>
      <c r="B389" s="294"/>
      <c r="C389" s="291"/>
      <c r="D389" s="293"/>
      <c r="E389" s="293"/>
      <c r="F389" s="293"/>
      <c r="G389" s="293"/>
      <c r="H389" s="293"/>
    </row>
    <row r="390" spans="1:8" s="3" customFormat="1" ht="15" customHeight="1">
      <c r="A390" s="289" t="s">
        <v>178</v>
      </c>
      <c r="B390" s="294"/>
      <c r="C390" s="291"/>
      <c r="D390" s="293"/>
      <c r="E390" s="293"/>
      <c r="F390" s="293"/>
      <c r="G390" s="293"/>
      <c r="H390" s="293"/>
    </row>
    <row r="391" spans="1:8" s="3" customFormat="1" ht="15" customHeight="1">
      <c r="A391" s="289" t="s">
        <v>179</v>
      </c>
      <c r="B391" s="294"/>
      <c r="C391" s="291"/>
      <c r="D391" s="293"/>
      <c r="E391" s="293"/>
      <c r="F391" s="293"/>
      <c r="G391" s="293"/>
      <c r="H391" s="293"/>
    </row>
    <row r="392" spans="1:8" s="3" customFormat="1" ht="15" customHeight="1">
      <c r="A392" s="289"/>
      <c r="B392" s="294"/>
      <c r="C392" s="291"/>
      <c r="D392" s="293"/>
      <c r="E392" s="293"/>
      <c r="F392" s="293"/>
      <c r="G392" s="293"/>
      <c r="H392" s="293"/>
    </row>
    <row r="393" spans="1:8" s="3" customFormat="1" ht="15" customHeight="1">
      <c r="A393" s="289"/>
      <c r="B393" s="310" t="s">
        <v>180</v>
      </c>
      <c r="C393" s="291"/>
      <c r="D393" s="293"/>
      <c r="E393" s="293"/>
      <c r="F393" s="293"/>
      <c r="G393" s="293"/>
      <c r="H393" s="293"/>
    </row>
    <row r="394" spans="1:8" s="3" customFormat="1" ht="15" customHeight="1">
      <c r="A394" s="289"/>
      <c r="B394" s="294" t="s">
        <v>1279</v>
      </c>
      <c r="C394" s="291"/>
      <c r="D394" s="293"/>
      <c r="E394" s="293"/>
      <c r="F394" s="293"/>
      <c r="G394" s="293"/>
      <c r="H394" s="293"/>
    </row>
    <row r="395" spans="1:8" s="3" customFormat="1" ht="15" customHeight="1">
      <c r="A395" s="289"/>
      <c r="B395" s="294" t="s">
        <v>181</v>
      </c>
      <c r="C395" s="291"/>
      <c r="D395" s="293"/>
      <c r="E395" s="293"/>
      <c r="F395" s="293"/>
      <c r="G395" s="293"/>
      <c r="H395" s="293"/>
    </row>
    <row r="396" spans="1:8" s="3" customFormat="1" ht="15" customHeight="1">
      <c r="A396" s="289" t="s">
        <v>182</v>
      </c>
      <c r="B396" s="294"/>
      <c r="C396" s="291"/>
      <c r="D396" s="293"/>
      <c r="E396" s="293"/>
      <c r="F396" s="293"/>
      <c r="G396" s="293"/>
      <c r="H396" s="293"/>
    </row>
    <row r="397" spans="1:8" s="3" customFormat="1" ht="15" customHeight="1">
      <c r="A397" s="289"/>
      <c r="B397" s="294"/>
      <c r="C397" s="291"/>
      <c r="D397" s="293" t="s">
        <v>183</v>
      </c>
      <c r="E397" s="318">
        <v>5</v>
      </c>
      <c r="F397" s="293" t="s">
        <v>184</v>
      </c>
      <c r="G397" s="293"/>
      <c r="H397" s="293"/>
    </row>
    <row r="398" spans="1:8" s="3" customFormat="1" ht="15" customHeight="1">
      <c r="A398" s="289"/>
      <c r="B398" s="294"/>
      <c r="C398" s="291"/>
      <c r="D398" s="293" t="s">
        <v>185</v>
      </c>
      <c r="E398" s="318">
        <v>5</v>
      </c>
      <c r="F398" s="293" t="s">
        <v>184</v>
      </c>
      <c r="G398" s="293"/>
      <c r="H398" s="293"/>
    </row>
    <row r="399" spans="1:8" s="3" customFormat="1" ht="15" customHeight="1">
      <c r="A399" s="289"/>
      <c r="B399" s="294"/>
      <c r="C399" s="291"/>
      <c r="D399" s="293" t="s">
        <v>186</v>
      </c>
      <c r="E399" s="318">
        <v>5</v>
      </c>
      <c r="F399" s="293" t="s">
        <v>184</v>
      </c>
      <c r="G399" s="293"/>
      <c r="H399" s="293"/>
    </row>
    <row r="400" spans="1:8" s="3" customFormat="1" ht="15" customHeight="1">
      <c r="A400" s="289"/>
      <c r="B400" s="294"/>
      <c r="C400" s="291"/>
      <c r="D400" s="319" t="s">
        <v>187</v>
      </c>
      <c r="E400" s="318">
        <v>10</v>
      </c>
      <c r="F400" s="293" t="s">
        <v>184</v>
      </c>
      <c r="G400" s="293"/>
      <c r="H400" s="293"/>
    </row>
    <row r="401" spans="1:8" s="3" customFormat="1" ht="15" customHeight="1">
      <c r="A401" s="289"/>
      <c r="B401" s="294"/>
      <c r="C401" s="291"/>
      <c r="D401" s="320" t="s">
        <v>188</v>
      </c>
      <c r="E401" s="318">
        <v>16</v>
      </c>
      <c r="F401" s="293" t="s">
        <v>184</v>
      </c>
      <c r="G401" s="293"/>
      <c r="H401" s="293"/>
    </row>
    <row r="402" spans="1:8" s="3" customFormat="1" ht="15" customHeight="1">
      <c r="A402" s="289"/>
      <c r="B402" s="294"/>
      <c r="C402" s="291"/>
      <c r="D402" s="321" t="s">
        <v>189</v>
      </c>
      <c r="E402" s="318">
        <v>40</v>
      </c>
      <c r="F402" s="293" t="s">
        <v>184</v>
      </c>
      <c r="G402" s="293"/>
      <c r="H402" s="293"/>
    </row>
    <row r="403" spans="1:8" s="3" customFormat="1" ht="15" customHeight="1">
      <c r="A403" s="289"/>
      <c r="B403" s="294" t="s">
        <v>190</v>
      </c>
      <c r="C403" s="291"/>
      <c r="D403" s="293"/>
      <c r="E403" s="293"/>
      <c r="F403" s="293"/>
      <c r="G403" s="293"/>
      <c r="H403" s="293"/>
    </row>
    <row r="404" spans="1:8" s="3" customFormat="1" ht="15" customHeight="1">
      <c r="A404" s="289"/>
      <c r="B404" s="294" t="s">
        <v>191</v>
      </c>
      <c r="C404" s="291"/>
      <c r="D404" s="293"/>
      <c r="E404" s="293"/>
      <c r="F404" s="293"/>
      <c r="G404" s="293"/>
      <c r="H404" s="293"/>
    </row>
    <row r="405" spans="1:8" s="3" customFormat="1" ht="15" customHeight="1">
      <c r="A405" s="289"/>
      <c r="B405" s="294"/>
      <c r="C405" s="291"/>
      <c r="D405" s="293"/>
      <c r="E405" s="293"/>
      <c r="F405" s="293"/>
      <c r="G405" s="293"/>
      <c r="H405" s="293"/>
    </row>
    <row r="406" spans="1:8" s="3" customFormat="1" ht="15" customHeight="1">
      <c r="A406" s="289"/>
      <c r="B406" s="310" t="s">
        <v>192</v>
      </c>
      <c r="C406" s="291"/>
      <c r="D406" s="293"/>
      <c r="E406" s="293"/>
      <c r="F406" s="293"/>
      <c r="G406" s="293"/>
      <c r="H406" s="293"/>
    </row>
    <row r="407" spans="1:8" s="3" customFormat="1" ht="15" customHeight="1">
      <c r="A407" s="289"/>
      <c r="B407" s="294" t="s">
        <v>193</v>
      </c>
      <c r="C407" s="291"/>
      <c r="D407" s="293"/>
      <c r="E407" s="293"/>
      <c r="F407" s="293"/>
      <c r="G407" s="293"/>
      <c r="H407" s="293"/>
    </row>
    <row r="408" spans="1:8" s="3" customFormat="1" ht="15" customHeight="1">
      <c r="A408" s="289" t="s">
        <v>194</v>
      </c>
      <c r="B408" s="294"/>
      <c r="C408" s="291"/>
      <c r="D408" s="293"/>
      <c r="E408" s="293"/>
      <c r="F408" s="293"/>
      <c r="G408" s="293"/>
      <c r="H408" s="293"/>
    </row>
    <row r="409" spans="1:8" s="3" customFormat="1" ht="15" customHeight="1">
      <c r="A409" s="289" t="s">
        <v>1280</v>
      </c>
      <c r="B409" s="294"/>
      <c r="C409" s="291"/>
      <c r="D409" s="293"/>
      <c r="E409" s="293"/>
      <c r="F409" s="293"/>
      <c r="G409" s="293"/>
      <c r="H409" s="293"/>
    </row>
    <row r="410" spans="1:8" s="3" customFormat="1" ht="15" customHeight="1">
      <c r="A410" s="289" t="s">
        <v>195</v>
      </c>
      <c r="B410" s="294"/>
      <c r="C410" s="291"/>
      <c r="D410" s="293"/>
      <c r="E410" s="293"/>
      <c r="F410" s="293"/>
      <c r="G410" s="293"/>
      <c r="H410" s="293"/>
    </row>
    <row r="411" spans="1:8" s="3" customFormat="1" ht="15" customHeight="1">
      <c r="A411" s="289" t="s">
        <v>196</v>
      </c>
      <c r="B411" s="294"/>
      <c r="C411" s="291"/>
      <c r="D411" s="293"/>
      <c r="E411" s="293"/>
      <c r="F411" s="293"/>
      <c r="G411" s="293"/>
      <c r="H411" s="293"/>
    </row>
    <row r="412" spans="1:8" s="3" customFormat="1" ht="15" customHeight="1">
      <c r="A412" s="289" t="s">
        <v>1281</v>
      </c>
      <c r="B412" s="294"/>
      <c r="C412" s="291"/>
      <c r="D412" s="293"/>
      <c r="E412" s="293"/>
      <c r="F412" s="293"/>
      <c r="G412" s="293"/>
      <c r="H412" s="293"/>
    </row>
    <row r="413" spans="1:8" s="3" customFormat="1" ht="15" customHeight="1">
      <c r="A413" s="289" t="s">
        <v>197</v>
      </c>
      <c r="B413" s="294"/>
      <c r="C413" s="291"/>
      <c r="D413" s="293"/>
      <c r="E413" s="293"/>
      <c r="F413" s="293"/>
      <c r="G413" s="293"/>
      <c r="H413" s="293"/>
    </row>
    <row r="414" spans="1:8" s="3" customFormat="1" ht="15" customHeight="1">
      <c r="A414" s="289" t="s">
        <v>198</v>
      </c>
      <c r="B414" s="294"/>
      <c r="C414" s="291"/>
      <c r="D414" s="293"/>
      <c r="E414" s="293"/>
      <c r="F414" s="293"/>
      <c r="G414" s="293"/>
      <c r="H414" s="293"/>
    </row>
    <row r="415" spans="1:8" s="3" customFormat="1" ht="15" customHeight="1">
      <c r="A415" s="289"/>
      <c r="B415" s="294" t="s">
        <v>199</v>
      </c>
      <c r="C415" s="291"/>
      <c r="D415" s="293"/>
      <c r="E415" s="293"/>
      <c r="F415" s="293"/>
      <c r="G415" s="293"/>
      <c r="H415" s="293"/>
    </row>
    <row r="416" spans="1:8" s="3" customFormat="1" ht="15" customHeight="1">
      <c r="A416" s="289" t="s">
        <v>200</v>
      </c>
      <c r="B416" s="294"/>
      <c r="C416" s="291"/>
      <c r="D416" s="293"/>
      <c r="E416" s="293"/>
      <c r="F416" s="293"/>
      <c r="G416" s="293"/>
      <c r="H416" s="293"/>
    </row>
    <row r="417" spans="1:8" s="3" customFormat="1" ht="15" customHeight="1">
      <c r="A417" s="289" t="s">
        <v>1282</v>
      </c>
      <c r="B417" s="294"/>
      <c r="C417" s="291"/>
      <c r="D417" s="293"/>
      <c r="E417" s="293"/>
      <c r="F417" s="293"/>
      <c r="G417" s="293"/>
      <c r="H417" s="293"/>
    </row>
    <row r="418" spans="1:8" s="3" customFormat="1" ht="15" customHeight="1">
      <c r="A418" s="289" t="s">
        <v>1283</v>
      </c>
      <c r="B418" s="294"/>
      <c r="C418" s="291"/>
      <c r="D418" s="293"/>
      <c r="E418" s="293"/>
      <c r="F418" s="293"/>
      <c r="G418" s="293"/>
      <c r="H418" s="293"/>
    </row>
    <row r="419" spans="1:8" s="3" customFormat="1" ht="15" customHeight="1">
      <c r="A419" s="289" t="s">
        <v>201</v>
      </c>
      <c r="B419" s="294"/>
      <c r="C419" s="291"/>
      <c r="D419" s="293"/>
      <c r="E419" s="293"/>
      <c r="F419" s="293"/>
      <c r="G419" s="293"/>
      <c r="H419" s="293"/>
    </row>
    <row r="420" spans="1:8" s="3" customFormat="1" ht="15" customHeight="1">
      <c r="A420" s="289"/>
      <c r="B420" s="294" t="s">
        <v>202</v>
      </c>
      <c r="C420" s="291"/>
      <c r="D420" s="293"/>
      <c r="E420" s="293"/>
      <c r="F420" s="293"/>
      <c r="G420" s="293"/>
      <c r="H420" s="293"/>
    </row>
    <row r="421" spans="1:8" s="3" customFormat="1" ht="15" customHeight="1">
      <c r="A421" s="289" t="s">
        <v>203</v>
      </c>
      <c r="B421" s="294"/>
      <c r="C421" s="291"/>
      <c r="D421" s="293"/>
      <c r="E421" s="293"/>
      <c r="F421" s="293"/>
      <c r="G421" s="293"/>
      <c r="H421" s="293"/>
    </row>
    <row r="422" spans="1:8" s="3" customFormat="1" ht="15" customHeight="1">
      <c r="A422" s="289" t="s">
        <v>204</v>
      </c>
      <c r="B422" s="294"/>
      <c r="C422" s="291"/>
      <c r="D422" s="293"/>
      <c r="E422" s="293"/>
      <c r="F422" s="293"/>
      <c r="G422" s="293"/>
      <c r="H422" s="293"/>
    </row>
    <row r="423" spans="1:8" s="3" customFormat="1" ht="15" customHeight="1">
      <c r="A423" s="289"/>
      <c r="B423" s="294" t="s">
        <v>205</v>
      </c>
      <c r="C423" s="291"/>
      <c r="D423" s="293"/>
      <c r="E423" s="293"/>
      <c r="F423" s="293"/>
      <c r="G423" s="293"/>
      <c r="H423" s="293"/>
    </row>
    <row r="424" spans="1:8" s="3" customFormat="1" ht="15" customHeight="1">
      <c r="A424" s="289" t="s">
        <v>206</v>
      </c>
      <c r="B424" s="294"/>
      <c r="C424" s="291"/>
      <c r="D424" s="293"/>
      <c r="E424" s="293"/>
      <c r="F424" s="293"/>
      <c r="G424" s="293"/>
      <c r="H424" s="293"/>
    </row>
    <row r="425" spans="1:8" s="3" customFormat="1" ht="15" customHeight="1">
      <c r="A425" s="289"/>
      <c r="B425" s="294" t="s">
        <v>1284</v>
      </c>
      <c r="C425" s="291"/>
      <c r="D425" s="293"/>
      <c r="E425" s="293"/>
      <c r="F425" s="293"/>
      <c r="G425" s="293"/>
      <c r="H425" s="293"/>
    </row>
    <row r="426" spans="1:8" s="3" customFormat="1" ht="15" customHeight="1">
      <c r="A426" s="289" t="s">
        <v>207</v>
      </c>
      <c r="B426" s="294"/>
      <c r="C426" s="291"/>
      <c r="D426" s="293"/>
      <c r="E426" s="293"/>
      <c r="F426" s="293"/>
      <c r="G426" s="293"/>
      <c r="H426" s="293"/>
    </row>
    <row r="427" spans="1:8" s="3" customFormat="1" ht="15" customHeight="1">
      <c r="A427" s="289" t="s">
        <v>208</v>
      </c>
      <c r="B427" s="294"/>
      <c r="C427" s="291"/>
      <c r="D427" s="293"/>
      <c r="E427" s="293"/>
      <c r="F427" s="293"/>
      <c r="G427" s="293"/>
      <c r="H427" s="293"/>
    </row>
    <row r="428" spans="1:8" s="3" customFormat="1" ht="15" customHeight="1">
      <c r="A428" s="289"/>
      <c r="B428" s="294"/>
      <c r="C428" s="291"/>
      <c r="D428" s="293"/>
      <c r="E428" s="293"/>
      <c r="F428" s="293"/>
      <c r="G428" s="293"/>
      <c r="H428" s="293"/>
    </row>
    <row r="429" spans="1:8" s="3" customFormat="1" ht="15" customHeight="1">
      <c r="A429" s="289"/>
      <c r="B429" s="310" t="s">
        <v>116</v>
      </c>
      <c r="C429" s="291"/>
      <c r="D429" s="293"/>
      <c r="E429" s="293"/>
      <c r="F429" s="293"/>
      <c r="G429" s="293"/>
      <c r="H429" s="293"/>
    </row>
    <row r="430" spans="1:8" s="3" customFormat="1" ht="15" customHeight="1">
      <c r="A430" s="289"/>
      <c r="B430" s="294" t="s">
        <v>209</v>
      </c>
      <c r="C430" s="291"/>
      <c r="D430" s="293"/>
      <c r="E430" s="293"/>
      <c r="F430" s="293"/>
      <c r="G430" s="293"/>
      <c r="H430" s="293"/>
    </row>
    <row r="431" spans="1:8" s="3" customFormat="1" ht="15" customHeight="1">
      <c r="A431" s="289" t="s">
        <v>210</v>
      </c>
      <c r="B431" s="294"/>
      <c r="C431" s="291"/>
      <c r="D431" s="293"/>
      <c r="E431" s="293"/>
      <c r="F431" s="293"/>
      <c r="G431" s="293"/>
      <c r="H431" s="293"/>
    </row>
    <row r="432" spans="1:8" s="3" customFormat="1" ht="15" customHeight="1">
      <c r="A432" s="289"/>
      <c r="B432" s="294"/>
      <c r="C432" s="291"/>
      <c r="D432" s="293"/>
      <c r="E432" s="293"/>
      <c r="F432" s="293"/>
      <c r="G432" s="293"/>
      <c r="H432" s="293"/>
    </row>
    <row r="433" spans="1:8" s="3" customFormat="1" ht="15" customHeight="1">
      <c r="A433" s="289"/>
      <c r="B433" s="314" t="s">
        <v>211</v>
      </c>
      <c r="C433" s="291"/>
      <c r="D433" s="293"/>
      <c r="E433" s="293"/>
      <c r="F433" s="293"/>
      <c r="G433" s="293"/>
      <c r="H433" s="293"/>
    </row>
    <row r="434" spans="1:8" s="3" customFormat="1" ht="15" customHeight="1">
      <c r="A434" s="289"/>
      <c r="B434" s="294"/>
      <c r="C434" s="291"/>
      <c r="D434" s="293"/>
      <c r="E434" s="293"/>
      <c r="F434" s="293"/>
      <c r="G434" s="293"/>
      <c r="H434" s="293"/>
    </row>
    <row r="435" spans="1:8" s="3" customFormat="1" ht="15" customHeight="1">
      <c r="A435" s="289"/>
      <c r="B435" s="310" t="s">
        <v>81</v>
      </c>
      <c r="C435" s="291"/>
      <c r="D435" s="293"/>
      <c r="E435" s="293"/>
      <c r="F435" s="293"/>
      <c r="G435" s="293"/>
      <c r="H435" s="293"/>
    </row>
    <row r="436" spans="1:8" s="3" customFormat="1" ht="15" customHeight="1">
      <c r="A436" s="289"/>
      <c r="B436" s="294" t="s">
        <v>1285</v>
      </c>
      <c r="C436" s="291"/>
      <c r="D436" s="293"/>
      <c r="E436" s="293"/>
      <c r="F436" s="293"/>
      <c r="G436" s="293"/>
      <c r="H436" s="293"/>
    </row>
    <row r="437" spans="1:8" s="3" customFormat="1" ht="15" customHeight="1">
      <c r="A437" s="289"/>
      <c r="B437" s="294"/>
      <c r="C437" s="291"/>
      <c r="D437" s="293"/>
      <c r="E437" s="293"/>
      <c r="F437" s="293"/>
      <c r="G437" s="293"/>
      <c r="H437" s="293"/>
    </row>
    <row r="438" spans="1:8" s="3" customFormat="1" ht="15" customHeight="1">
      <c r="A438" s="289"/>
      <c r="B438" s="310" t="s">
        <v>192</v>
      </c>
      <c r="C438" s="291"/>
      <c r="D438" s="293"/>
      <c r="E438" s="293"/>
      <c r="F438" s="293"/>
      <c r="G438" s="293"/>
      <c r="H438" s="293"/>
    </row>
    <row r="439" spans="1:8" s="3" customFormat="1" ht="15" customHeight="1">
      <c r="A439" s="289"/>
      <c r="B439" s="294" t="s">
        <v>212</v>
      </c>
      <c r="C439" s="291"/>
      <c r="D439" s="293"/>
      <c r="E439" s="293"/>
      <c r="F439" s="293"/>
      <c r="G439" s="293"/>
      <c r="H439" s="293"/>
    </row>
    <row r="440" spans="1:8" s="3" customFormat="1" ht="15" customHeight="1">
      <c r="A440" s="289" t="s">
        <v>213</v>
      </c>
      <c r="B440" s="294"/>
      <c r="C440" s="291"/>
      <c r="D440" s="293"/>
      <c r="E440" s="293"/>
      <c r="F440" s="293"/>
      <c r="G440" s="293"/>
      <c r="H440" s="293"/>
    </row>
    <row r="441" spans="1:8" s="3" customFormat="1" ht="15" customHeight="1">
      <c r="A441" s="289"/>
      <c r="B441" s="294" t="s">
        <v>214</v>
      </c>
      <c r="C441" s="291"/>
      <c r="D441" s="293"/>
      <c r="E441" s="293"/>
      <c r="F441" s="293"/>
      <c r="G441" s="293"/>
      <c r="H441" s="293"/>
    </row>
    <row r="442" spans="1:8" s="3" customFormat="1" ht="15" customHeight="1">
      <c r="A442" s="289" t="s">
        <v>215</v>
      </c>
      <c r="B442" s="294"/>
      <c r="C442" s="291"/>
      <c r="D442" s="293"/>
      <c r="E442" s="293"/>
      <c r="F442" s="293"/>
      <c r="G442" s="293"/>
      <c r="H442" s="293"/>
    </row>
    <row r="443" spans="1:8" s="3" customFormat="1" ht="15" customHeight="1">
      <c r="A443" s="289"/>
      <c r="B443" s="294" t="s">
        <v>216</v>
      </c>
      <c r="C443" s="291"/>
      <c r="D443" s="293"/>
      <c r="E443" s="293"/>
      <c r="F443" s="293"/>
      <c r="G443" s="293"/>
      <c r="H443" s="293"/>
    </row>
    <row r="444" spans="1:8" s="3" customFormat="1" ht="15" customHeight="1">
      <c r="A444" s="289" t="s">
        <v>1286</v>
      </c>
      <c r="B444" s="294"/>
      <c r="C444" s="291"/>
      <c r="D444" s="293"/>
      <c r="E444" s="293"/>
      <c r="F444" s="293"/>
      <c r="G444" s="293"/>
      <c r="H444" s="293"/>
    </row>
    <row r="445" spans="1:8" s="3" customFormat="1" ht="15" customHeight="1">
      <c r="A445" s="289"/>
      <c r="B445" s="322" t="s">
        <v>1287</v>
      </c>
      <c r="C445" s="291"/>
      <c r="D445" s="293"/>
      <c r="E445" s="316"/>
      <c r="F445" s="294"/>
      <c r="G445" s="293"/>
      <c r="H445" s="293"/>
    </row>
    <row r="446" spans="1:8" s="3" customFormat="1" ht="15" customHeight="1">
      <c r="A446" s="294" t="s">
        <v>1288</v>
      </c>
      <c r="B446" s="294"/>
      <c r="C446" s="294"/>
      <c r="D446" s="293"/>
      <c r="E446" s="316"/>
      <c r="F446" s="294"/>
      <c r="G446" s="293"/>
      <c r="H446" s="293"/>
    </row>
    <row r="447" spans="1:8" s="3" customFormat="1" ht="15" customHeight="1">
      <c r="A447" s="294" t="s">
        <v>1289</v>
      </c>
      <c r="B447" s="294"/>
      <c r="C447" s="294"/>
      <c r="D447" s="293"/>
      <c r="E447" s="316"/>
      <c r="F447" s="294"/>
      <c r="G447" s="293"/>
      <c r="H447" s="293"/>
    </row>
    <row r="448" spans="1:8" s="3" customFormat="1" ht="15" customHeight="1">
      <c r="A448" s="294"/>
      <c r="B448" s="323" t="s">
        <v>1290</v>
      </c>
      <c r="C448" s="294"/>
      <c r="D448" s="293"/>
      <c r="E448" s="316"/>
      <c r="F448" s="294"/>
      <c r="G448" s="293"/>
      <c r="H448" s="293"/>
    </row>
    <row r="449" spans="1:8" s="3" customFormat="1" ht="15" customHeight="1">
      <c r="A449" s="294"/>
      <c r="B449" s="323" t="s">
        <v>1291</v>
      </c>
      <c r="C449" s="294"/>
      <c r="D449" s="293"/>
      <c r="E449" s="316"/>
      <c r="F449" s="294"/>
      <c r="G449" s="293"/>
      <c r="H449" s="293"/>
    </row>
    <row r="450" spans="1:8" s="3" customFormat="1" ht="15" customHeight="1">
      <c r="A450" s="294" t="s">
        <v>1292</v>
      </c>
      <c r="B450" s="294"/>
      <c r="C450" s="294"/>
      <c r="D450" s="293"/>
      <c r="E450" s="316"/>
      <c r="F450" s="294"/>
      <c r="G450" s="293"/>
      <c r="H450" s="293"/>
    </row>
    <row r="451" spans="1:8" s="3" customFormat="1" ht="15" customHeight="1">
      <c r="A451" s="294" t="s">
        <v>1293</v>
      </c>
      <c r="B451" s="294"/>
      <c r="C451" s="294"/>
      <c r="D451" s="293"/>
      <c r="E451" s="316"/>
      <c r="F451" s="294"/>
      <c r="G451" s="293"/>
      <c r="H451" s="293"/>
    </row>
    <row r="452" spans="1:8" s="3" customFormat="1" ht="15" customHeight="1">
      <c r="A452" s="294" t="s">
        <v>1294</v>
      </c>
      <c r="B452" s="294"/>
      <c r="C452" s="294"/>
      <c r="D452" s="293"/>
      <c r="E452" s="316"/>
      <c r="F452" s="294"/>
      <c r="G452" s="293"/>
      <c r="H452" s="293"/>
    </row>
    <row r="453" spans="1:8" s="3" customFormat="1" ht="15" customHeight="1">
      <c r="A453" s="294" t="s">
        <v>1295</v>
      </c>
      <c r="B453" s="294"/>
      <c r="C453" s="294"/>
      <c r="D453" s="293"/>
      <c r="E453" s="316"/>
      <c r="F453" s="294"/>
      <c r="G453" s="293"/>
      <c r="H453" s="293"/>
    </row>
    <row r="454" spans="1:8" s="3" customFormat="1" ht="15" customHeight="1">
      <c r="A454" s="294"/>
      <c r="B454" s="323" t="s">
        <v>1296</v>
      </c>
      <c r="C454" s="294"/>
      <c r="D454" s="293"/>
      <c r="E454" s="316"/>
      <c r="F454" s="294"/>
      <c r="G454" s="293"/>
      <c r="H454" s="293"/>
    </row>
    <row r="455" spans="1:8" s="3" customFormat="1" ht="15" customHeight="1">
      <c r="A455" s="294" t="s">
        <v>1297</v>
      </c>
      <c r="B455" s="294"/>
      <c r="C455" s="294"/>
      <c r="D455" s="293"/>
      <c r="E455" s="316"/>
      <c r="F455" s="294"/>
      <c r="G455" s="293"/>
      <c r="H455" s="293"/>
    </row>
    <row r="456" spans="1:8" s="3" customFormat="1" ht="15" customHeight="1">
      <c r="A456" s="294" t="s">
        <v>1298</v>
      </c>
      <c r="B456" s="294"/>
      <c r="C456" s="294"/>
      <c r="D456" s="293"/>
      <c r="E456" s="316"/>
      <c r="F456" s="294"/>
      <c r="G456" s="293"/>
      <c r="H456" s="293"/>
    </row>
    <row r="457" spans="1:8" s="3" customFormat="1" ht="15" customHeight="1">
      <c r="A457" s="294"/>
      <c r="B457" s="323" t="s">
        <v>1299</v>
      </c>
      <c r="C457" s="294"/>
      <c r="D457" s="293"/>
      <c r="E457" s="316"/>
      <c r="F457" s="294"/>
      <c r="G457" s="293"/>
      <c r="H457" s="293"/>
    </row>
    <row r="458" spans="1:8" s="3" customFormat="1" ht="15" customHeight="1">
      <c r="A458" s="294" t="s">
        <v>1300</v>
      </c>
      <c r="B458" s="294"/>
      <c r="C458" s="294"/>
      <c r="D458" s="293"/>
      <c r="E458" s="316"/>
      <c r="F458" s="294"/>
      <c r="G458" s="293"/>
      <c r="H458" s="293"/>
    </row>
    <row r="459" spans="1:8" s="3" customFormat="1" ht="15" customHeight="1">
      <c r="A459" s="294" t="s">
        <v>1301</v>
      </c>
      <c r="B459" s="294"/>
      <c r="C459" s="294"/>
      <c r="D459" s="293"/>
      <c r="E459" s="316"/>
      <c r="F459" s="294"/>
      <c r="G459" s="293"/>
      <c r="H459" s="293"/>
    </row>
    <row r="460" spans="1:8" s="3" customFormat="1" ht="15" customHeight="1">
      <c r="A460" s="294" t="s">
        <v>1302</v>
      </c>
      <c r="B460" s="294"/>
      <c r="C460" s="294"/>
      <c r="D460" s="293"/>
      <c r="E460" s="316"/>
      <c r="F460" s="294"/>
      <c r="G460" s="293"/>
      <c r="H460" s="293"/>
    </row>
    <row r="461" spans="1:8" s="3" customFormat="1" ht="15" customHeight="1">
      <c r="A461" s="294"/>
      <c r="B461" s="323" t="s">
        <v>1303</v>
      </c>
      <c r="C461" s="294"/>
      <c r="D461" s="293"/>
      <c r="E461" s="316"/>
      <c r="F461" s="294"/>
      <c r="G461" s="293"/>
      <c r="H461" s="293"/>
    </row>
    <row r="462" spans="1:8" s="3" customFormat="1" ht="15" customHeight="1">
      <c r="A462" s="294" t="s">
        <v>1304</v>
      </c>
      <c r="B462" s="294"/>
      <c r="C462" s="294"/>
      <c r="D462" s="293"/>
      <c r="E462" s="316"/>
      <c r="F462" s="294"/>
      <c r="G462" s="293"/>
      <c r="H462" s="293"/>
    </row>
    <row r="463" spans="1:8" s="3" customFormat="1" ht="15" customHeight="1">
      <c r="A463" s="294" t="s">
        <v>1305</v>
      </c>
      <c r="B463" s="294"/>
      <c r="C463" s="294"/>
      <c r="D463" s="293"/>
      <c r="E463" s="316"/>
      <c r="F463" s="294"/>
      <c r="G463" s="293"/>
      <c r="H463" s="293"/>
    </row>
    <row r="464" spans="1:8" s="3" customFormat="1" ht="15" customHeight="1">
      <c r="A464" s="289"/>
      <c r="B464" s="323" t="s">
        <v>1306</v>
      </c>
      <c r="C464" s="291"/>
      <c r="D464" s="293"/>
      <c r="E464" s="316"/>
      <c r="F464" s="294"/>
      <c r="G464" s="293"/>
      <c r="H464" s="293"/>
    </row>
    <row r="465" spans="1:8" s="3" customFormat="1" ht="15" customHeight="1">
      <c r="A465" s="289"/>
      <c r="B465" s="294"/>
      <c r="C465" s="291"/>
      <c r="D465" s="293"/>
      <c r="E465" s="293"/>
      <c r="F465" s="293"/>
      <c r="G465" s="293"/>
      <c r="H465" s="293"/>
    </row>
    <row r="466" spans="1:8" s="3" customFormat="1" ht="15" customHeight="1">
      <c r="A466" s="289"/>
      <c r="B466" s="310" t="s">
        <v>116</v>
      </c>
      <c r="C466" s="291"/>
      <c r="D466" s="293"/>
      <c r="E466" s="293"/>
      <c r="F466" s="293"/>
      <c r="G466" s="293"/>
      <c r="H466" s="293"/>
    </row>
    <row r="467" spans="1:8" s="3" customFormat="1" ht="15" customHeight="1">
      <c r="A467" s="289"/>
      <c r="B467" s="294" t="s">
        <v>218</v>
      </c>
      <c r="C467" s="291"/>
      <c r="D467" s="293"/>
      <c r="E467" s="293"/>
      <c r="F467" s="293"/>
      <c r="G467" s="293"/>
      <c r="H467" s="293"/>
    </row>
    <row r="468" spans="1:8" s="3" customFormat="1" ht="15" customHeight="1">
      <c r="A468" s="289"/>
      <c r="B468" s="294" t="s">
        <v>219</v>
      </c>
      <c r="C468" s="291"/>
      <c r="D468" s="293"/>
      <c r="E468" s="293"/>
      <c r="F468" s="293"/>
      <c r="G468" s="293"/>
      <c r="H468" s="293"/>
    </row>
    <row r="469" spans="1:8" s="3" customFormat="1" ht="15" customHeight="1">
      <c r="A469" s="289" t="s">
        <v>220</v>
      </c>
      <c r="B469" s="294"/>
      <c r="C469" s="291"/>
      <c r="D469" s="293"/>
      <c r="E469" s="293"/>
      <c r="F469" s="293"/>
      <c r="G469" s="293"/>
      <c r="H469" s="293"/>
    </row>
    <row r="470" spans="1:8" s="3" customFormat="1" ht="15" customHeight="1">
      <c r="A470" s="289"/>
      <c r="B470" s="294" t="s">
        <v>221</v>
      </c>
      <c r="C470" s="291"/>
      <c r="D470" s="293"/>
      <c r="E470" s="293"/>
      <c r="F470" s="293"/>
      <c r="G470" s="293"/>
      <c r="H470" s="293"/>
    </row>
    <row r="471" spans="1:8" s="3" customFormat="1" ht="15" customHeight="1">
      <c r="A471" s="289"/>
      <c r="B471" s="294" t="s">
        <v>222</v>
      </c>
      <c r="C471" s="291"/>
      <c r="D471" s="293"/>
      <c r="E471" s="293"/>
      <c r="F471" s="293"/>
      <c r="G471" s="293"/>
      <c r="H471" s="293"/>
    </row>
    <row r="472" spans="1:8" s="3" customFormat="1" ht="15" customHeight="1">
      <c r="A472" s="289"/>
      <c r="B472" s="294" t="s">
        <v>223</v>
      </c>
      <c r="C472" s="291"/>
      <c r="D472" s="293"/>
      <c r="E472" s="293"/>
      <c r="F472" s="293"/>
      <c r="G472" s="293"/>
      <c r="H472" s="293"/>
    </row>
    <row r="473" spans="1:8" s="3" customFormat="1" ht="15" customHeight="1">
      <c r="A473" s="289" t="s">
        <v>1307</v>
      </c>
      <c r="B473" s="294"/>
      <c r="C473" s="291"/>
      <c r="D473" s="293"/>
      <c r="E473" s="293"/>
      <c r="F473" s="293"/>
      <c r="G473" s="293"/>
      <c r="H473" s="293"/>
    </row>
    <row r="474" spans="1:8" s="3" customFormat="1" ht="15" customHeight="1">
      <c r="A474" s="289" t="s">
        <v>1308</v>
      </c>
      <c r="B474" s="294"/>
      <c r="C474" s="291"/>
      <c r="D474" s="293"/>
      <c r="E474" s="293"/>
      <c r="F474" s="293"/>
      <c r="G474" s="293"/>
      <c r="H474" s="293"/>
    </row>
    <row r="475" spans="1:8" s="3" customFormat="1" ht="15" customHeight="1">
      <c r="A475" s="303"/>
      <c r="B475" s="303"/>
      <c r="C475" s="303"/>
      <c r="D475" s="303"/>
      <c r="E475" s="303"/>
      <c r="F475" s="303"/>
      <c r="G475" s="303"/>
      <c r="H475" s="303"/>
    </row>
    <row r="476" spans="1:8" s="3" customFormat="1" ht="15" customHeight="1">
      <c r="A476" s="309" t="s">
        <v>224</v>
      </c>
      <c r="B476" s="294"/>
      <c r="C476" s="291"/>
      <c r="D476" s="293"/>
      <c r="E476" s="293"/>
      <c r="F476" s="293"/>
      <c r="G476" s="293"/>
      <c r="H476" s="293"/>
    </row>
    <row r="477" spans="1:8" s="3" customFormat="1" ht="15" customHeight="1">
      <c r="A477" s="289"/>
      <c r="B477" s="294"/>
      <c r="C477" s="291"/>
      <c r="D477" s="293"/>
      <c r="E477" s="293"/>
      <c r="F477" s="293"/>
      <c r="G477" s="293"/>
      <c r="H477" s="293"/>
    </row>
    <row r="478" spans="1:8" s="3" customFormat="1" ht="15" customHeight="1">
      <c r="A478" s="289"/>
      <c r="B478" s="314" t="s">
        <v>225</v>
      </c>
      <c r="C478" s="291"/>
      <c r="D478" s="293"/>
      <c r="E478" s="293"/>
      <c r="F478" s="293"/>
      <c r="G478" s="293"/>
      <c r="H478" s="293"/>
    </row>
    <row r="479" spans="1:8" s="3" customFormat="1" ht="15" customHeight="1">
      <c r="A479" s="289"/>
      <c r="B479" s="294"/>
      <c r="C479" s="291"/>
      <c r="D479" s="293"/>
      <c r="E479" s="293"/>
      <c r="F479" s="293"/>
      <c r="G479" s="293"/>
      <c r="H479" s="293"/>
    </row>
    <row r="480" spans="1:8" s="3" customFormat="1" ht="15" customHeight="1">
      <c r="A480" s="289"/>
      <c r="B480" s="310" t="s">
        <v>81</v>
      </c>
      <c r="C480" s="291"/>
      <c r="D480" s="293"/>
      <c r="E480" s="293"/>
      <c r="F480" s="293"/>
      <c r="G480" s="293"/>
      <c r="H480" s="293"/>
    </row>
    <row r="481" spans="1:8" s="3" customFormat="1" ht="15" customHeight="1">
      <c r="A481" s="289"/>
      <c r="B481" s="294" t="s">
        <v>226</v>
      </c>
      <c r="C481" s="291"/>
      <c r="D481" s="293"/>
      <c r="E481" s="293"/>
      <c r="F481" s="293"/>
      <c r="G481" s="293"/>
      <c r="H481" s="293"/>
    </row>
    <row r="482" spans="1:8" s="3" customFormat="1" ht="15" customHeight="1">
      <c r="A482" s="289" t="s">
        <v>227</v>
      </c>
      <c r="B482" s="294"/>
      <c r="C482" s="291"/>
      <c r="D482" s="293"/>
      <c r="E482" s="293"/>
      <c r="F482" s="293"/>
      <c r="G482" s="293"/>
      <c r="H482" s="293"/>
    </row>
    <row r="483" spans="1:8" s="3" customFormat="1" ht="15" customHeight="1">
      <c r="A483" s="289"/>
      <c r="B483" s="311" t="s">
        <v>68</v>
      </c>
      <c r="C483" s="312" t="s">
        <v>5063</v>
      </c>
      <c r="D483" s="293"/>
      <c r="E483" s="293"/>
      <c r="F483" s="293"/>
      <c r="G483" s="293"/>
      <c r="H483" s="293"/>
    </row>
    <row r="484" spans="1:8" s="3" customFormat="1" ht="15" customHeight="1">
      <c r="A484" s="289"/>
      <c r="B484" s="311" t="s">
        <v>68</v>
      </c>
      <c r="C484" s="312" t="s">
        <v>5067</v>
      </c>
      <c r="D484" s="293"/>
      <c r="E484" s="293"/>
      <c r="F484" s="293"/>
      <c r="G484" s="293"/>
      <c r="H484" s="293"/>
    </row>
    <row r="485" spans="1:8" s="3" customFormat="1" ht="15" customHeight="1">
      <c r="A485" s="289"/>
      <c r="B485" s="311" t="s">
        <v>68</v>
      </c>
      <c r="C485" s="312" t="s">
        <v>5068</v>
      </c>
      <c r="D485" s="293"/>
      <c r="E485" s="293"/>
      <c r="F485" s="293"/>
      <c r="G485" s="293"/>
      <c r="H485" s="293"/>
    </row>
    <row r="486" spans="1:8" s="3" customFormat="1" ht="15" customHeight="1">
      <c r="A486" s="289"/>
      <c r="B486" s="311" t="s">
        <v>68</v>
      </c>
      <c r="C486" s="312" t="s">
        <v>5064</v>
      </c>
      <c r="D486" s="292"/>
      <c r="E486" s="293"/>
      <c r="F486" s="293"/>
      <c r="G486" s="293"/>
      <c r="H486" s="293"/>
    </row>
    <row r="487" spans="1:8" s="3" customFormat="1" ht="15" customHeight="1">
      <c r="A487" s="289"/>
      <c r="B487" s="311"/>
      <c r="C487" s="324"/>
      <c r="D487" s="292"/>
      <c r="E487" s="293"/>
      <c r="F487" s="293"/>
      <c r="G487" s="293"/>
      <c r="H487" s="293"/>
    </row>
    <row r="488" spans="1:8" s="3" customFormat="1" ht="15" customHeight="1">
      <c r="A488" s="289"/>
      <c r="B488" s="294" t="s">
        <v>1276</v>
      </c>
      <c r="C488" s="291"/>
      <c r="D488" s="293"/>
      <c r="E488" s="293"/>
      <c r="F488" s="293"/>
      <c r="G488" s="293"/>
      <c r="H488" s="293"/>
    </row>
    <row r="489" spans="1:8" s="3" customFormat="1" ht="15" customHeight="1">
      <c r="A489" s="294" t="s">
        <v>1277</v>
      </c>
      <c r="B489" s="294"/>
      <c r="C489" s="291"/>
      <c r="D489" s="293"/>
      <c r="E489" s="293"/>
      <c r="F489" s="293"/>
      <c r="G489" s="293"/>
      <c r="H489" s="293"/>
    </row>
    <row r="490" spans="1:8" s="3" customFormat="1" ht="15" customHeight="1">
      <c r="A490" s="294" t="s">
        <v>370</v>
      </c>
      <c r="B490" s="305"/>
      <c r="C490" s="291"/>
      <c r="D490" s="293"/>
      <c r="E490" s="293"/>
      <c r="F490" s="293"/>
      <c r="G490" s="293"/>
      <c r="H490" s="293"/>
    </row>
    <row r="491" spans="1:8" s="3" customFormat="1" ht="15" customHeight="1">
      <c r="A491" s="289"/>
      <c r="B491" s="294" t="s">
        <v>230</v>
      </c>
      <c r="C491" s="291"/>
      <c r="D491" s="293"/>
      <c r="E491" s="293"/>
      <c r="F491" s="293"/>
      <c r="G491" s="293"/>
      <c r="H491" s="293"/>
    </row>
    <row r="492" spans="1:8" s="3" customFormat="1" ht="15" customHeight="1">
      <c r="A492" s="289"/>
      <c r="B492" s="311" t="s">
        <v>68</v>
      </c>
      <c r="C492" s="294" t="s">
        <v>231</v>
      </c>
      <c r="D492" s="293"/>
      <c r="E492" s="293"/>
      <c r="F492" s="293"/>
      <c r="G492" s="293"/>
      <c r="H492" s="293"/>
    </row>
    <row r="493" spans="1:8" s="3" customFormat="1" ht="15" customHeight="1">
      <c r="A493" s="289"/>
      <c r="B493" s="311" t="s">
        <v>68</v>
      </c>
      <c r="C493" s="294" t="s">
        <v>232</v>
      </c>
      <c r="D493" s="293"/>
      <c r="E493" s="293"/>
      <c r="F493" s="293"/>
      <c r="G493" s="293"/>
      <c r="H493" s="293"/>
    </row>
    <row r="494" spans="1:8" s="3" customFormat="1" ht="15" customHeight="1">
      <c r="A494" s="289"/>
      <c r="B494" s="311" t="s">
        <v>68</v>
      </c>
      <c r="C494" s="294" t="s">
        <v>233</v>
      </c>
      <c r="D494" s="293"/>
      <c r="E494" s="293"/>
      <c r="F494" s="293"/>
      <c r="G494" s="293"/>
      <c r="H494" s="293"/>
    </row>
    <row r="495" spans="1:8" s="3" customFormat="1" ht="15" customHeight="1">
      <c r="A495" s="289"/>
      <c r="B495" s="294" t="s">
        <v>228</v>
      </c>
      <c r="C495" s="291"/>
      <c r="D495" s="293"/>
      <c r="E495" s="293"/>
      <c r="F495" s="293"/>
      <c r="G495" s="293"/>
      <c r="H495" s="293"/>
    </row>
    <row r="496" spans="1:8" s="3" customFormat="1" ht="15" customHeight="1">
      <c r="A496" s="289" t="s">
        <v>229</v>
      </c>
      <c r="B496" s="294"/>
      <c r="C496" s="291"/>
      <c r="D496" s="293"/>
      <c r="E496" s="293"/>
      <c r="F496" s="293"/>
      <c r="G496" s="293"/>
      <c r="H496" s="293"/>
    </row>
    <row r="497" spans="1:8" s="3" customFormat="1" ht="15" customHeight="1">
      <c r="A497" s="289"/>
      <c r="B497" s="294"/>
      <c r="C497" s="291"/>
      <c r="D497" s="293"/>
      <c r="E497" s="293"/>
      <c r="F497" s="293"/>
      <c r="G497" s="293"/>
      <c r="H497" s="293"/>
    </row>
    <row r="498" spans="1:8" s="3" customFormat="1" ht="15" customHeight="1">
      <c r="A498" s="289"/>
      <c r="B498" s="310" t="s">
        <v>234</v>
      </c>
      <c r="C498" s="291"/>
      <c r="D498" s="293"/>
      <c r="E498" s="293"/>
      <c r="F498" s="293"/>
      <c r="G498" s="293"/>
      <c r="H498" s="293"/>
    </row>
    <row r="499" spans="1:8" s="3" customFormat="1" ht="15" customHeight="1">
      <c r="A499" s="289"/>
      <c r="B499" s="325" t="s">
        <v>1309</v>
      </c>
      <c r="C499" s="291"/>
      <c r="D499" s="293"/>
      <c r="E499" s="293"/>
      <c r="F499" s="293"/>
      <c r="G499" s="293"/>
      <c r="H499" s="293"/>
    </row>
    <row r="500" spans="1:8" s="3" customFormat="1" ht="15" customHeight="1">
      <c r="A500" s="289" t="s">
        <v>1310</v>
      </c>
      <c r="B500" s="294"/>
      <c r="C500" s="291"/>
      <c r="D500" s="293"/>
      <c r="E500" s="293"/>
      <c r="F500" s="293"/>
      <c r="G500" s="293"/>
      <c r="H500" s="293"/>
    </row>
    <row r="501" spans="1:8" s="3" customFormat="1" ht="15" customHeight="1">
      <c r="A501" s="289" t="s">
        <v>1311</v>
      </c>
      <c r="B501" s="294"/>
      <c r="C501" s="291"/>
      <c r="D501" s="293"/>
      <c r="E501" s="293"/>
      <c r="F501" s="293"/>
      <c r="G501" s="293"/>
      <c r="H501" s="293"/>
    </row>
    <row r="502" spans="1:8" s="3" customFormat="1" ht="15" customHeight="1">
      <c r="A502" s="289" t="s">
        <v>1312</v>
      </c>
      <c r="B502" s="294"/>
      <c r="C502" s="291"/>
      <c r="D502" s="293"/>
      <c r="E502" s="293"/>
      <c r="F502" s="293"/>
      <c r="G502" s="293"/>
      <c r="H502" s="293"/>
    </row>
    <row r="503" spans="1:8" s="3" customFormat="1" ht="15" customHeight="1">
      <c r="A503" s="289" t="s">
        <v>1313</v>
      </c>
      <c r="B503" s="294"/>
      <c r="C503" s="291"/>
      <c r="D503" s="293"/>
      <c r="E503" s="293"/>
      <c r="F503" s="293"/>
      <c r="G503" s="293"/>
      <c r="H503" s="293"/>
    </row>
    <row r="504" spans="1:8" s="3" customFormat="1" ht="15" customHeight="1">
      <c r="A504" s="303"/>
      <c r="B504" s="303"/>
      <c r="C504" s="303"/>
      <c r="D504" s="303"/>
      <c r="E504" s="303"/>
      <c r="F504" s="303"/>
      <c r="G504" s="303"/>
      <c r="H504" s="303"/>
    </row>
    <row r="505" spans="1:8" s="3" customFormat="1" ht="15" customHeight="1">
      <c r="A505" s="289"/>
      <c r="B505" s="294" t="s">
        <v>235</v>
      </c>
      <c r="C505" s="291"/>
      <c r="D505" s="293"/>
      <c r="E505" s="293"/>
      <c r="F505" s="293"/>
      <c r="G505" s="293"/>
      <c r="H505" s="293"/>
    </row>
    <row r="506" spans="1:8" s="3" customFormat="1" ht="15" customHeight="1">
      <c r="A506" s="289" t="s">
        <v>236</v>
      </c>
      <c r="B506" s="294"/>
      <c r="C506" s="291"/>
      <c r="D506" s="293"/>
      <c r="E506" s="293"/>
      <c r="F506" s="293"/>
      <c r="G506" s="293"/>
      <c r="H506" s="293"/>
    </row>
    <row r="507" spans="1:8" s="3" customFormat="1" ht="15" customHeight="1">
      <c r="A507" s="289"/>
      <c r="B507" s="294"/>
      <c r="C507" s="291"/>
      <c r="D507" s="293"/>
      <c r="E507" s="293"/>
      <c r="F507" s="293"/>
      <c r="G507" s="293"/>
      <c r="H507" s="293"/>
    </row>
    <row r="508" spans="1:8" s="3" customFormat="1" ht="15" customHeight="1">
      <c r="A508" s="289"/>
      <c r="B508" s="310" t="s">
        <v>237</v>
      </c>
      <c r="C508" s="291"/>
      <c r="D508" s="293"/>
      <c r="E508" s="293"/>
      <c r="F508" s="293"/>
      <c r="G508" s="293"/>
      <c r="H508" s="293"/>
    </row>
    <row r="509" spans="1:8" s="3" customFormat="1" ht="15" customHeight="1">
      <c r="A509" s="289"/>
      <c r="B509" s="294" t="s">
        <v>238</v>
      </c>
      <c r="C509" s="291"/>
      <c r="D509" s="293"/>
      <c r="E509" s="293"/>
      <c r="F509" s="293"/>
      <c r="G509" s="293"/>
      <c r="H509" s="293"/>
    </row>
    <row r="510" spans="1:8" s="3" customFormat="1" ht="15" customHeight="1">
      <c r="A510" s="289" t="s">
        <v>239</v>
      </c>
      <c r="B510" s="294"/>
      <c r="C510" s="291"/>
      <c r="D510" s="293"/>
      <c r="E510" s="293"/>
      <c r="F510" s="293"/>
      <c r="G510" s="293"/>
      <c r="H510" s="293"/>
    </row>
    <row r="511" spans="1:8" s="3" customFormat="1" ht="15" customHeight="1">
      <c r="A511" s="289" t="s">
        <v>240</v>
      </c>
      <c r="B511" s="294"/>
      <c r="C511" s="291"/>
      <c r="D511" s="293"/>
      <c r="E511" s="293"/>
      <c r="F511" s="293"/>
      <c r="G511" s="293"/>
      <c r="H511" s="293"/>
    </row>
    <row r="512" spans="1:8" s="3" customFormat="1" ht="15" customHeight="1">
      <c r="A512" s="289" t="s">
        <v>241</v>
      </c>
      <c r="B512" s="294"/>
      <c r="C512" s="291"/>
      <c r="D512" s="293"/>
      <c r="E512" s="293"/>
      <c r="F512" s="293"/>
      <c r="G512" s="293"/>
      <c r="H512" s="293"/>
    </row>
    <row r="513" spans="1:8" s="3" customFormat="1" ht="15" customHeight="1">
      <c r="A513" s="289"/>
      <c r="B513" s="294" t="s">
        <v>242</v>
      </c>
      <c r="C513" s="291"/>
      <c r="D513" s="293"/>
      <c r="E513" s="293"/>
      <c r="F513" s="293"/>
      <c r="G513" s="293"/>
      <c r="H513" s="293"/>
    </row>
    <row r="514" spans="1:8" s="3" customFormat="1" ht="15" customHeight="1">
      <c r="A514" s="289" t="s">
        <v>243</v>
      </c>
      <c r="B514" s="294"/>
      <c r="C514" s="291"/>
      <c r="D514" s="293"/>
      <c r="E514" s="293"/>
      <c r="F514" s="293"/>
      <c r="G514" s="293"/>
      <c r="H514" s="293"/>
    </row>
    <row r="515" spans="1:8" s="3" customFormat="1" ht="15" customHeight="1">
      <c r="A515" s="289"/>
      <c r="B515" s="294" t="s">
        <v>244</v>
      </c>
      <c r="C515" s="291"/>
      <c r="D515" s="293"/>
      <c r="E515" s="293"/>
      <c r="F515" s="293"/>
      <c r="G515" s="293"/>
      <c r="H515" s="293"/>
    </row>
    <row r="516" spans="1:8" s="3" customFormat="1" ht="15" customHeight="1">
      <c r="A516" s="289" t="s">
        <v>1314</v>
      </c>
      <c r="B516" s="294"/>
      <c r="C516" s="291"/>
      <c r="D516" s="293"/>
      <c r="E516" s="293"/>
      <c r="F516" s="293"/>
      <c r="G516" s="293"/>
      <c r="H516" s="293"/>
    </row>
    <row r="517" spans="1:8" s="3" customFormat="1" ht="15" customHeight="1">
      <c r="A517" s="289"/>
      <c r="B517" s="294"/>
      <c r="C517" s="291"/>
      <c r="D517" s="293"/>
      <c r="E517" s="293"/>
      <c r="F517" s="293"/>
      <c r="G517" s="293"/>
      <c r="H517" s="293"/>
    </row>
    <row r="518" spans="1:8" s="3" customFormat="1" ht="15" customHeight="1">
      <c r="A518" s="289"/>
      <c r="B518" s="310" t="s">
        <v>245</v>
      </c>
      <c r="C518" s="291"/>
      <c r="D518" s="293"/>
      <c r="E518" s="293"/>
      <c r="F518" s="293"/>
      <c r="G518" s="293"/>
      <c r="H518" s="293"/>
    </row>
    <row r="519" spans="1:8" s="3" customFormat="1" ht="15" customHeight="1">
      <c r="A519" s="289"/>
      <c r="B519" s="294" t="s">
        <v>246</v>
      </c>
      <c r="C519" s="291"/>
      <c r="D519" s="293"/>
      <c r="E519" s="293"/>
      <c r="F519" s="293"/>
      <c r="G519" s="293"/>
      <c r="H519" s="293"/>
    </row>
    <row r="520" spans="1:8" s="3" customFormat="1" ht="15" customHeight="1">
      <c r="A520" s="289" t="s">
        <v>1315</v>
      </c>
      <c r="B520" s="294"/>
      <c r="C520" s="291"/>
      <c r="D520" s="293"/>
      <c r="E520" s="293"/>
      <c r="F520" s="293"/>
      <c r="G520" s="293"/>
      <c r="H520" s="293"/>
    </row>
    <row r="521" spans="1:8" s="3" customFormat="1" ht="15" customHeight="1">
      <c r="A521" s="289"/>
      <c r="B521" s="294" t="s">
        <v>1316</v>
      </c>
      <c r="C521" s="291"/>
      <c r="D521" s="293"/>
      <c r="E521" s="293"/>
      <c r="F521" s="293"/>
      <c r="G521" s="293"/>
      <c r="H521" s="293"/>
    </row>
    <row r="522" spans="1:8" s="3" customFormat="1" ht="15" customHeight="1">
      <c r="A522" s="289"/>
      <c r="B522" s="294" t="s">
        <v>247</v>
      </c>
      <c r="C522" s="291"/>
      <c r="D522" s="293"/>
      <c r="E522" s="293"/>
      <c r="F522" s="293"/>
      <c r="G522" s="293"/>
      <c r="H522" s="293"/>
    </row>
    <row r="523" spans="1:8" s="3" customFormat="1" ht="15" customHeight="1">
      <c r="A523" s="289" t="s">
        <v>1317</v>
      </c>
      <c r="B523" s="294"/>
      <c r="C523" s="291"/>
      <c r="D523" s="293"/>
      <c r="E523" s="293"/>
      <c r="F523" s="293"/>
      <c r="G523" s="293"/>
      <c r="H523" s="293"/>
    </row>
    <row r="524" spans="1:8" s="3" customFormat="1" ht="15" customHeight="1">
      <c r="A524" s="289"/>
      <c r="B524" s="294" t="s">
        <v>1318</v>
      </c>
      <c r="C524" s="291"/>
      <c r="D524" s="293"/>
      <c r="E524" s="293"/>
      <c r="F524" s="293"/>
      <c r="G524" s="293"/>
      <c r="H524" s="293"/>
    </row>
    <row r="525" spans="1:8" s="3" customFormat="1" ht="15" customHeight="1">
      <c r="A525" s="289"/>
      <c r="B525" s="294" t="s">
        <v>248</v>
      </c>
      <c r="C525" s="291"/>
      <c r="D525" s="293"/>
      <c r="E525" s="293"/>
      <c r="F525" s="293"/>
      <c r="G525" s="293"/>
      <c r="H525" s="293"/>
    </row>
    <row r="526" spans="1:8" s="3" customFormat="1" ht="15" customHeight="1">
      <c r="A526" s="289"/>
      <c r="B526" s="294" t="s">
        <v>249</v>
      </c>
      <c r="C526" s="291"/>
      <c r="D526" s="293"/>
      <c r="E526" s="293"/>
      <c r="F526" s="293"/>
      <c r="G526" s="293"/>
      <c r="H526" s="293"/>
    </row>
    <row r="527" spans="1:8" s="3" customFormat="1" ht="15" customHeight="1">
      <c r="A527" s="289"/>
      <c r="B527" s="294" t="s">
        <v>250</v>
      </c>
      <c r="C527" s="291"/>
      <c r="D527" s="293"/>
      <c r="E527" s="293"/>
      <c r="F527" s="293"/>
      <c r="G527" s="293"/>
      <c r="H527" s="293"/>
    </row>
    <row r="528" spans="1:8" s="3" customFormat="1" ht="15" customHeight="1">
      <c r="A528" s="289" t="s">
        <v>1319</v>
      </c>
      <c r="B528" s="294"/>
      <c r="C528" s="291"/>
      <c r="D528" s="293"/>
      <c r="E528" s="293"/>
      <c r="F528" s="293"/>
      <c r="G528" s="293"/>
      <c r="H528" s="293"/>
    </row>
    <row r="529" spans="1:8" s="3" customFormat="1" ht="15" customHeight="1">
      <c r="A529" s="289"/>
      <c r="B529" s="294" t="s">
        <v>1320</v>
      </c>
      <c r="C529" s="291"/>
      <c r="D529" s="293"/>
      <c r="E529" s="293"/>
      <c r="F529" s="293"/>
      <c r="G529" s="293"/>
      <c r="H529" s="293"/>
    </row>
    <row r="530" spans="1:8" s="3" customFormat="1" ht="15" customHeight="1">
      <c r="A530" s="289"/>
      <c r="B530" s="294"/>
      <c r="C530" s="291"/>
      <c r="D530" s="293" t="s">
        <v>1321</v>
      </c>
      <c r="E530" s="316" t="s">
        <v>217</v>
      </c>
      <c r="F530" s="294" t="s">
        <v>251</v>
      </c>
      <c r="G530" s="293"/>
      <c r="H530" s="293"/>
    </row>
    <row r="531" spans="1:8" s="3" customFormat="1" ht="15" customHeight="1">
      <c r="A531" s="289"/>
      <c r="B531" s="294"/>
      <c r="C531" s="291"/>
      <c r="D531" s="293"/>
      <c r="E531" s="293"/>
      <c r="F531" s="293"/>
      <c r="G531" s="293"/>
      <c r="H531" s="293"/>
    </row>
    <row r="532" spans="1:8" s="3" customFormat="1" ht="15" customHeight="1">
      <c r="A532" s="289"/>
      <c r="B532" s="310" t="s">
        <v>252</v>
      </c>
      <c r="C532" s="291"/>
      <c r="D532" s="293"/>
      <c r="E532" s="293"/>
      <c r="F532" s="293"/>
      <c r="G532" s="293"/>
      <c r="H532" s="293"/>
    </row>
    <row r="533" spans="1:8" s="3" customFormat="1" ht="15" customHeight="1">
      <c r="A533" s="289"/>
      <c r="B533" s="294" t="s">
        <v>253</v>
      </c>
      <c r="C533" s="291"/>
      <c r="D533" s="293"/>
      <c r="E533" s="293"/>
      <c r="F533" s="293"/>
      <c r="G533" s="293"/>
      <c r="H533" s="293"/>
    </row>
    <row r="534" spans="1:8" s="3" customFormat="1" ht="15" customHeight="1">
      <c r="A534" s="289" t="s">
        <v>254</v>
      </c>
      <c r="B534" s="294"/>
      <c r="C534" s="291"/>
      <c r="D534" s="293"/>
      <c r="E534" s="293"/>
      <c r="F534" s="293"/>
      <c r="G534" s="293"/>
      <c r="H534" s="293"/>
    </row>
    <row r="535" spans="1:8" s="3" customFormat="1" ht="15" customHeight="1">
      <c r="A535" s="289"/>
      <c r="B535" s="294" t="s">
        <v>255</v>
      </c>
      <c r="C535" s="291"/>
      <c r="D535" s="293"/>
      <c r="E535" s="293"/>
      <c r="F535" s="293"/>
      <c r="G535" s="293"/>
      <c r="H535" s="293"/>
    </row>
    <row r="536" spans="1:8" s="3" customFormat="1" ht="15" customHeight="1">
      <c r="A536" s="289" t="s">
        <v>1322</v>
      </c>
      <c r="B536" s="294"/>
      <c r="C536" s="291"/>
      <c r="D536" s="293"/>
      <c r="E536" s="293"/>
      <c r="F536" s="293"/>
      <c r="G536" s="293"/>
      <c r="H536" s="293"/>
    </row>
    <row r="537" spans="1:8" s="3" customFormat="1" ht="15" customHeight="1">
      <c r="A537" s="289"/>
      <c r="B537" s="294" t="s">
        <v>256</v>
      </c>
      <c r="C537" s="291"/>
      <c r="D537" s="293"/>
      <c r="E537" s="293"/>
      <c r="F537" s="293"/>
      <c r="G537" s="293"/>
      <c r="H537" s="293"/>
    </row>
    <row r="538" spans="1:8" s="3" customFormat="1" ht="15" customHeight="1">
      <c r="A538" s="289"/>
      <c r="B538" s="294"/>
      <c r="C538" s="291" t="s">
        <v>48</v>
      </c>
      <c r="D538" s="326" t="s">
        <v>257</v>
      </c>
      <c r="E538" s="293"/>
      <c r="F538" s="293"/>
      <c r="G538" s="293"/>
      <c r="H538" s="293"/>
    </row>
    <row r="539" spans="1:8" s="3" customFormat="1" ht="15" customHeight="1">
      <c r="A539" s="289"/>
      <c r="B539" s="294"/>
      <c r="C539" s="291" t="s">
        <v>49</v>
      </c>
      <c r="D539" s="326" t="s">
        <v>258</v>
      </c>
      <c r="E539" s="293"/>
      <c r="F539" s="293"/>
      <c r="G539" s="293"/>
      <c r="H539" s="293"/>
    </row>
    <row r="540" spans="1:8" s="3" customFormat="1" ht="15" customHeight="1">
      <c r="A540" s="289"/>
      <c r="B540" s="294"/>
      <c r="C540" s="291" t="s">
        <v>51</v>
      </c>
      <c r="D540" s="326" t="s">
        <v>259</v>
      </c>
      <c r="E540" s="293"/>
      <c r="F540" s="293"/>
      <c r="G540" s="293"/>
      <c r="H540" s="293"/>
    </row>
    <row r="541" spans="1:8" s="3" customFormat="1" ht="15" customHeight="1">
      <c r="A541" s="289"/>
      <c r="B541" s="294" t="s">
        <v>260</v>
      </c>
      <c r="C541" s="291"/>
      <c r="D541" s="293"/>
      <c r="E541" s="293"/>
      <c r="F541" s="293"/>
      <c r="G541" s="293"/>
      <c r="H541" s="293"/>
    </row>
    <row r="542" spans="1:8" s="3" customFormat="1" ht="15" customHeight="1">
      <c r="A542" s="289"/>
      <c r="B542" s="294" t="s">
        <v>261</v>
      </c>
      <c r="C542" s="291"/>
      <c r="D542" s="293"/>
      <c r="E542" s="293"/>
      <c r="F542" s="293"/>
      <c r="G542" s="293"/>
      <c r="H542" s="293"/>
    </row>
    <row r="543" spans="1:8" s="3" customFormat="1" ht="15" customHeight="1">
      <c r="A543" s="289" t="s">
        <v>262</v>
      </c>
      <c r="B543" s="294"/>
      <c r="C543" s="291"/>
      <c r="D543" s="293"/>
      <c r="E543" s="293"/>
      <c r="F543" s="293"/>
      <c r="G543" s="293"/>
      <c r="H543" s="293"/>
    </row>
    <row r="544" spans="1:8" s="3" customFormat="1" ht="15" customHeight="1">
      <c r="A544" s="289" t="s">
        <v>1323</v>
      </c>
      <c r="B544" s="294"/>
      <c r="C544" s="291"/>
      <c r="D544" s="293"/>
      <c r="E544" s="293"/>
      <c r="F544" s="293"/>
      <c r="G544" s="293"/>
      <c r="H544" s="293"/>
    </row>
    <row r="545" spans="1:8" s="3" customFormat="1" ht="15" customHeight="1">
      <c r="A545" s="289"/>
      <c r="B545" s="294" t="s">
        <v>263</v>
      </c>
      <c r="C545" s="291"/>
      <c r="D545" s="293"/>
      <c r="E545" s="293"/>
      <c r="F545" s="293"/>
      <c r="G545" s="293"/>
      <c r="H545" s="293"/>
    </row>
    <row r="546" spans="1:8" s="3" customFormat="1" ht="15" customHeight="1">
      <c r="A546" s="289" t="s">
        <v>1324</v>
      </c>
      <c r="B546" s="294"/>
      <c r="C546" s="291"/>
      <c r="D546" s="293"/>
      <c r="E546" s="293"/>
      <c r="F546" s="293"/>
      <c r="G546" s="293"/>
      <c r="H546" s="293"/>
    </row>
    <row r="547" spans="1:8" s="3" customFormat="1" ht="15" customHeight="1">
      <c r="A547" s="289"/>
      <c r="B547" s="294" t="s">
        <v>264</v>
      </c>
      <c r="C547" s="291"/>
      <c r="D547" s="293"/>
      <c r="E547" s="293"/>
      <c r="F547" s="293"/>
      <c r="G547" s="293"/>
      <c r="H547" s="293"/>
    </row>
    <row r="548" spans="1:8" s="3" customFormat="1" ht="15" customHeight="1">
      <c r="A548" s="289" t="s">
        <v>1325</v>
      </c>
      <c r="B548" s="294"/>
      <c r="C548" s="291"/>
      <c r="D548" s="293"/>
      <c r="E548" s="293"/>
      <c r="F548" s="293"/>
      <c r="G548" s="293"/>
      <c r="H548" s="293"/>
    </row>
    <row r="549" spans="1:8" s="3" customFormat="1" ht="15" customHeight="1">
      <c r="A549" s="289"/>
      <c r="B549" s="294" t="s">
        <v>265</v>
      </c>
      <c r="C549" s="291"/>
      <c r="D549" s="293"/>
      <c r="E549" s="293"/>
      <c r="F549" s="293"/>
      <c r="G549" s="293"/>
      <c r="H549" s="293"/>
    </row>
    <row r="550" spans="1:8" s="3" customFormat="1" ht="15" customHeight="1">
      <c r="A550" s="289" t="s">
        <v>266</v>
      </c>
      <c r="B550" s="294"/>
      <c r="C550" s="291"/>
      <c r="D550" s="293"/>
      <c r="E550" s="293"/>
      <c r="F550" s="293"/>
      <c r="G550" s="293"/>
      <c r="H550" s="293"/>
    </row>
    <row r="551" spans="1:8" s="3" customFormat="1" ht="15" customHeight="1">
      <c r="A551" s="289" t="s">
        <v>1326</v>
      </c>
      <c r="B551" s="294"/>
      <c r="C551" s="291"/>
      <c r="D551" s="293"/>
      <c r="E551" s="293"/>
      <c r="F551" s="293"/>
      <c r="G551" s="293"/>
      <c r="H551" s="293"/>
    </row>
    <row r="552" spans="1:8" s="3" customFormat="1" ht="15" customHeight="1">
      <c r="A552" s="289" t="s">
        <v>1327</v>
      </c>
      <c r="B552" s="294"/>
      <c r="C552" s="291"/>
      <c r="D552" s="293"/>
      <c r="E552" s="293"/>
      <c r="F552" s="293"/>
      <c r="G552" s="293"/>
      <c r="H552" s="293"/>
    </row>
    <row r="553" spans="1:8" s="3" customFormat="1" ht="15" customHeight="1">
      <c r="A553" s="289"/>
      <c r="B553" s="294" t="s">
        <v>1328</v>
      </c>
      <c r="C553" s="291"/>
      <c r="D553" s="293"/>
      <c r="E553" s="293"/>
      <c r="F553" s="293"/>
      <c r="G553" s="293"/>
      <c r="H553" s="293"/>
    </row>
    <row r="554" spans="1:8" s="3" customFormat="1" ht="15" customHeight="1">
      <c r="A554" s="289"/>
      <c r="B554" s="291" t="s">
        <v>267</v>
      </c>
      <c r="C554" s="294" t="s">
        <v>1329</v>
      </c>
      <c r="D554" s="293"/>
      <c r="E554" s="293"/>
      <c r="F554" s="293"/>
      <c r="G554" s="293"/>
      <c r="H554" s="293"/>
    </row>
    <row r="555" spans="1:8" s="3" customFormat="1" ht="15" customHeight="1">
      <c r="A555" s="289"/>
      <c r="B555" s="294"/>
      <c r="C555" s="294" t="s">
        <v>268</v>
      </c>
      <c r="D555" s="293"/>
      <c r="E555" s="293"/>
      <c r="F555" s="293"/>
      <c r="G555" s="293"/>
      <c r="H555" s="293"/>
    </row>
    <row r="556" spans="1:8" s="3" customFormat="1" ht="15" customHeight="1">
      <c r="A556" s="289"/>
      <c r="B556" s="291" t="s">
        <v>267</v>
      </c>
      <c r="C556" s="294" t="s">
        <v>269</v>
      </c>
      <c r="D556" s="293"/>
      <c r="E556" s="293"/>
      <c r="F556" s="293"/>
      <c r="G556" s="293"/>
      <c r="H556" s="293"/>
    </row>
    <row r="557" spans="1:8" s="3" customFormat="1" ht="15" customHeight="1">
      <c r="A557" s="289"/>
      <c r="B557" s="294"/>
      <c r="C557" s="294" t="s">
        <v>1330</v>
      </c>
      <c r="D557" s="293"/>
      <c r="E557" s="293"/>
      <c r="F557" s="293"/>
      <c r="G557" s="293"/>
      <c r="H557" s="293"/>
    </row>
    <row r="558" spans="1:8" s="3" customFormat="1" ht="15" customHeight="1">
      <c r="A558" s="289"/>
      <c r="B558" s="294"/>
      <c r="C558" s="294" t="s">
        <v>270</v>
      </c>
      <c r="D558" s="293"/>
      <c r="E558" s="293"/>
      <c r="F558" s="293"/>
      <c r="G558" s="293"/>
      <c r="H558" s="293"/>
    </row>
    <row r="559" spans="1:8" s="3" customFormat="1" ht="15" customHeight="1">
      <c r="A559" s="289"/>
      <c r="B559" s="291" t="s">
        <v>267</v>
      </c>
      <c r="C559" s="294" t="s">
        <v>271</v>
      </c>
      <c r="D559" s="293"/>
      <c r="E559" s="293"/>
      <c r="F559" s="293"/>
      <c r="G559" s="293"/>
      <c r="H559" s="293"/>
    </row>
    <row r="560" spans="1:8" s="3" customFormat="1" ht="15" customHeight="1">
      <c r="A560" s="289"/>
      <c r="B560" s="294"/>
      <c r="C560" s="294" t="s">
        <v>272</v>
      </c>
      <c r="D560" s="293"/>
      <c r="E560" s="293"/>
      <c r="F560" s="293"/>
      <c r="G560" s="293"/>
      <c r="H560" s="293"/>
    </row>
    <row r="561" spans="1:8" s="3" customFormat="1" ht="15" customHeight="1">
      <c r="A561" s="289"/>
      <c r="B561" s="294" t="s">
        <v>273</v>
      </c>
      <c r="C561" s="294"/>
      <c r="D561" s="293"/>
      <c r="E561" s="293"/>
      <c r="F561" s="293"/>
      <c r="G561" s="293"/>
      <c r="H561" s="293"/>
    </row>
    <row r="562" spans="1:8" s="3" customFormat="1" ht="15" customHeight="1">
      <c r="A562" s="289" t="s">
        <v>274</v>
      </c>
      <c r="B562" s="294"/>
      <c r="C562" s="294"/>
      <c r="D562" s="293"/>
      <c r="E562" s="293"/>
      <c r="F562" s="293"/>
      <c r="G562" s="293"/>
      <c r="H562" s="293"/>
    </row>
    <row r="563" spans="1:8" s="3" customFormat="1" ht="15" customHeight="1">
      <c r="A563" s="289" t="s">
        <v>1331</v>
      </c>
      <c r="B563" s="294"/>
      <c r="C563" s="291"/>
      <c r="D563" s="293"/>
      <c r="E563" s="293"/>
      <c r="F563" s="293"/>
      <c r="G563" s="293"/>
      <c r="H563" s="293"/>
    </row>
    <row r="564" spans="1:8" s="3" customFormat="1" ht="15" customHeight="1">
      <c r="A564" s="289" t="s">
        <v>1332</v>
      </c>
      <c r="B564" s="294"/>
      <c r="C564" s="291"/>
      <c r="D564" s="293"/>
      <c r="E564" s="293"/>
      <c r="F564" s="293"/>
      <c r="G564" s="293"/>
      <c r="H564" s="293"/>
    </row>
    <row r="565" spans="1:8" s="3" customFormat="1" ht="15" customHeight="1">
      <c r="A565" s="289" t="s">
        <v>1333</v>
      </c>
      <c r="B565" s="294"/>
      <c r="C565" s="291"/>
      <c r="D565" s="293"/>
      <c r="E565" s="293"/>
      <c r="F565" s="293"/>
      <c r="G565" s="293"/>
      <c r="H565" s="293"/>
    </row>
    <row r="566" spans="1:8" s="3" customFormat="1" ht="15" customHeight="1">
      <c r="A566" s="289"/>
      <c r="B566" s="294" t="s">
        <v>275</v>
      </c>
      <c r="C566" s="291"/>
      <c r="D566" s="293"/>
      <c r="E566" s="293"/>
      <c r="F566" s="293"/>
      <c r="G566" s="293"/>
      <c r="H566" s="293"/>
    </row>
    <row r="567" spans="1:8" s="3" customFormat="1" ht="15" customHeight="1">
      <c r="A567" s="289" t="s">
        <v>276</v>
      </c>
      <c r="B567" s="294"/>
      <c r="C567" s="291"/>
      <c r="D567" s="293"/>
      <c r="E567" s="293"/>
      <c r="F567" s="293"/>
      <c r="G567" s="293"/>
      <c r="H567" s="293"/>
    </row>
    <row r="568" spans="1:8" s="3" customFormat="1" ht="15" customHeight="1">
      <c r="A568" s="289"/>
      <c r="B568" s="294" t="s">
        <v>277</v>
      </c>
      <c r="C568" s="291"/>
      <c r="D568" s="293"/>
      <c r="E568" s="293"/>
      <c r="F568" s="293"/>
      <c r="G568" s="293"/>
      <c r="H568" s="293"/>
    </row>
    <row r="569" spans="1:8" s="3" customFormat="1" ht="15" customHeight="1">
      <c r="A569" s="289"/>
      <c r="B569" s="294" t="s">
        <v>278</v>
      </c>
      <c r="C569" s="291"/>
      <c r="D569" s="293"/>
      <c r="E569" s="293"/>
      <c r="F569" s="293"/>
      <c r="G569" s="293"/>
      <c r="H569" s="293"/>
    </row>
    <row r="570" spans="1:8" s="3" customFormat="1" ht="15" customHeight="1">
      <c r="A570" s="289" t="s">
        <v>279</v>
      </c>
      <c r="B570" s="294"/>
      <c r="C570" s="291"/>
      <c r="D570" s="293"/>
      <c r="E570" s="293"/>
      <c r="F570" s="293"/>
      <c r="G570" s="293"/>
      <c r="H570" s="293"/>
    </row>
    <row r="571" spans="1:8" s="3" customFormat="1" ht="15" customHeight="1">
      <c r="A571" s="289"/>
      <c r="B571" s="294" t="s">
        <v>280</v>
      </c>
      <c r="C571" s="291"/>
      <c r="D571" s="293"/>
      <c r="E571" s="293"/>
      <c r="F571" s="293"/>
      <c r="G571" s="293"/>
      <c r="H571" s="293"/>
    </row>
    <row r="572" spans="1:8" s="3" customFormat="1" ht="15" customHeight="1">
      <c r="A572" s="289" t="s">
        <v>281</v>
      </c>
      <c r="B572" s="294"/>
      <c r="C572" s="291"/>
      <c r="D572" s="293"/>
      <c r="E572" s="293"/>
      <c r="F572" s="289"/>
      <c r="G572" s="294"/>
      <c r="H572" s="293"/>
    </row>
    <row r="573" spans="1:8" s="3" customFormat="1" ht="15" customHeight="1">
      <c r="A573" s="289" t="s">
        <v>282</v>
      </c>
      <c r="B573" s="294"/>
      <c r="C573" s="291"/>
      <c r="D573" s="293"/>
      <c r="E573" s="293"/>
      <c r="F573" s="289"/>
      <c r="G573" s="294"/>
      <c r="H573" s="293"/>
    </row>
    <row r="574" spans="1:8" s="3" customFormat="1" ht="15" customHeight="1">
      <c r="A574" s="289" t="s">
        <v>1334</v>
      </c>
      <c r="B574" s="294"/>
      <c r="C574" s="291"/>
      <c r="D574" s="293"/>
      <c r="E574" s="293"/>
      <c r="F574" s="289"/>
      <c r="G574" s="294"/>
      <c r="H574" s="293"/>
    </row>
    <row r="575" spans="1:8" s="3" customFormat="1" ht="15" customHeight="1">
      <c r="A575" s="289"/>
      <c r="B575" s="294" t="s">
        <v>283</v>
      </c>
      <c r="C575" s="291"/>
      <c r="D575" s="293"/>
      <c r="E575" s="293"/>
      <c r="F575" s="289"/>
      <c r="G575" s="294"/>
      <c r="H575" s="293"/>
    </row>
    <row r="576" spans="1:8" s="3" customFormat="1" ht="15" customHeight="1">
      <c r="A576" s="289" t="s">
        <v>1335</v>
      </c>
      <c r="B576" s="294"/>
      <c r="C576" s="291"/>
      <c r="D576" s="293"/>
      <c r="E576" s="293"/>
      <c r="F576" s="289"/>
      <c r="G576" s="294"/>
      <c r="H576" s="293"/>
    </row>
    <row r="577" spans="1:8" s="3" customFormat="1" ht="15" customHeight="1">
      <c r="A577" s="289" t="s">
        <v>1336</v>
      </c>
      <c r="B577" s="294"/>
      <c r="C577" s="291"/>
      <c r="D577" s="293"/>
      <c r="E577" s="293"/>
      <c r="F577" s="289"/>
      <c r="G577" s="294"/>
      <c r="H577" s="293"/>
    </row>
    <row r="578" spans="1:8" s="3" customFormat="1" ht="15" customHeight="1">
      <c r="A578" s="289"/>
      <c r="B578" s="325" t="s">
        <v>1337</v>
      </c>
      <c r="C578" s="291"/>
      <c r="D578" s="293"/>
      <c r="E578" s="293"/>
      <c r="F578" s="289"/>
      <c r="G578" s="294"/>
      <c r="H578" s="293"/>
    </row>
    <row r="579" spans="1:8" s="3" customFormat="1" ht="15" customHeight="1">
      <c r="A579" s="289"/>
      <c r="B579" s="311" t="s">
        <v>68</v>
      </c>
      <c r="C579" s="323" t="s">
        <v>284</v>
      </c>
      <c r="D579" s="293"/>
      <c r="E579" s="293"/>
      <c r="F579" s="289"/>
      <c r="G579" s="294"/>
      <c r="H579" s="293"/>
    </row>
    <row r="580" spans="1:8" s="3" customFormat="1" ht="15" customHeight="1">
      <c r="A580" s="289"/>
      <c r="B580" s="294"/>
      <c r="C580" s="294" t="s">
        <v>1338</v>
      </c>
      <c r="D580" s="293"/>
      <c r="E580" s="293"/>
      <c r="F580" s="289"/>
      <c r="G580" s="294"/>
      <c r="H580" s="293"/>
    </row>
    <row r="581" spans="1:8" s="3" customFormat="1" ht="15" customHeight="1">
      <c r="A581" s="289"/>
      <c r="B581" s="311" t="s">
        <v>68</v>
      </c>
      <c r="C581" s="323" t="s">
        <v>285</v>
      </c>
      <c r="D581" s="293"/>
      <c r="E581" s="293"/>
      <c r="F581" s="289"/>
      <c r="G581" s="294"/>
      <c r="H581" s="293"/>
    </row>
    <row r="582" spans="1:8" s="3" customFormat="1" ht="15" customHeight="1">
      <c r="A582" s="289"/>
      <c r="B582" s="294"/>
      <c r="C582" s="294" t="s">
        <v>286</v>
      </c>
      <c r="D582" s="293"/>
      <c r="E582" s="293"/>
      <c r="F582" s="289"/>
      <c r="G582" s="294"/>
      <c r="H582" s="293"/>
    </row>
    <row r="583" spans="1:8" s="3" customFormat="1" ht="15" customHeight="1">
      <c r="A583" s="289"/>
      <c r="B583" s="311" t="s">
        <v>68</v>
      </c>
      <c r="C583" s="323" t="s">
        <v>287</v>
      </c>
      <c r="D583" s="293"/>
      <c r="E583" s="293"/>
      <c r="F583" s="289"/>
      <c r="G583" s="294"/>
      <c r="H583" s="293"/>
    </row>
    <row r="584" spans="1:8" s="3" customFormat="1" ht="15" customHeight="1">
      <c r="A584" s="289"/>
      <c r="B584" s="294"/>
      <c r="C584" s="323" t="s">
        <v>288</v>
      </c>
      <c r="D584" s="293"/>
      <c r="E584" s="293"/>
      <c r="F584" s="289"/>
      <c r="G584" s="294"/>
      <c r="H584" s="293"/>
    </row>
    <row r="585" spans="1:8" s="3" customFormat="1" ht="15" customHeight="1">
      <c r="A585" s="289"/>
      <c r="B585" s="311" t="s">
        <v>68</v>
      </c>
      <c r="C585" s="323" t="s">
        <v>289</v>
      </c>
      <c r="D585" s="293"/>
      <c r="E585" s="293"/>
      <c r="F585" s="289"/>
      <c r="G585" s="294"/>
      <c r="H585" s="293"/>
    </row>
    <row r="586" spans="1:8" s="3" customFormat="1" ht="15" customHeight="1">
      <c r="A586" s="289"/>
      <c r="B586" s="311" t="s">
        <v>68</v>
      </c>
      <c r="C586" s="323" t="s">
        <v>290</v>
      </c>
      <c r="D586" s="293"/>
      <c r="E586" s="293"/>
      <c r="F586" s="289"/>
      <c r="G586" s="294"/>
      <c r="H586" s="293"/>
    </row>
    <row r="587" spans="1:8" s="3" customFormat="1" ht="15" customHeight="1">
      <c r="A587" s="289"/>
      <c r="B587" s="294"/>
      <c r="C587" s="294" t="s">
        <v>291</v>
      </c>
      <c r="D587" s="293"/>
      <c r="E587" s="293"/>
      <c r="F587" s="289"/>
      <c r="G587" s="294"/>
      <c r="H587" s="293"/>
    </row>
    <row r="588" spans="1:8" s="3" customFormat="1" ht="15" customHeight="1">
      <c r="A588" s="289"/>
      <c r="B588" s="294"/>
      <c r="C588" s="294" t="s">
        <v>292</v>
      </c>
      <c r="D588" s="293"/>
      <c r="E588" s="293"/>
      <c r="F588" s="289"/>
      <c r="G588" s="325"/>
      <c r="H588" s="293"/>
    </row>
    <row r="589" spans="1:8" s="3" customFormat="1" ht="15" customHeight="1">
      <c r="A589" s="289"/>
      <c r="B589" s="325" t="s">
        <v>293</v>
      </c>
      <c r="C589" s="294"/>
      <c r="D589" s="293"/>
      <c r="E589" s="293"/>
      <c r="F589" s="289"/>
      <c r="G589" s="294"/>
      <c r="H589" s="293"/>
    </row>
    <row r="590" spans="1:8" s="3" customFormat="1" ht="15" customHeight="1">
      <c r="A590" s="289" t="s">
        <v>294</v>
      </c>
      <c r="B590" s="294"/>
      <c r="C590" s="294"/>
      <c r="D590" s="293"/>
      <c r="E590" s="293"/>
      <c r="F590" s="293"/>
      <c r="G590" s="293"/>
      <c r="H590" s="293"/>
    </row>
    <row r="591" spans="1:8" s="3" customFormat="1" ht="15" customHeight="1">
      <c r="A591" s="289" t="s">
        <v>295</v>
      </c>
      <c r="B591" s="294"/>
      <c r="C591" s="294"/>
      <c r="D591" s="293"/>
      <c r="E591" s="293"/>
      <c r="F591" s="293"/>
      <c r="G591" s="293"/>
      <c r="H591" s="293"/>
    </row>
    <row r="592" spans="1:8" s="3" customFormat="1" ht="15" customHeight="1">
      <c r="A592" s="289" t="s">
        <v>296</v>
      </c>
      <c r="B592" s="294"/>
      <c r="C592" s="294"/>
      <c r="D592" s="293"/>
      <c r="E592" s="293"/>
      <c r="F592" s="293"/>
      <c r="G592" s="293"/>
      <c r="H592" s="293"/>
    </row>
    <row r="593" spans="1:8" s="3" customFormat="1" ht="15" customHeight="1">
      <c r="A593" s="289"/>
      <c r="B593" s="294"/>
      <c r="C593" s="291"/>
      <c r="D593" s="293"/>
      <c r="E593" s="293"/>
      <c r="F593" s="293"/>
      <c r="G593" s="293"/>
      <c r="H593" s="293"/>
    </row>
    <row r="594" spans="1:8" s="3" customFormat="1" ht="15" customHeight="1">
      <c r="A594" s="289"/>
      <c r="B594" s="310" t="s">
        <v>297</v>
      </c>
      <c r="C594" s="291"/>
      <c r="D594" s="293"/>
      <c r="E594" s="293"/>
      <c r="F594" s="293"/>
      <c r="G594" s="293"/>
      <c r="H594" s="293"/>
    </row>
    <row r="595" spans="1:8" s="3" customFormat="1" ht="15" customHeight="1">
      <c r="A595" s="289"/>
      <c r="B595" s="294" t="s">
        <v>298</v>
      </c>
      <c r="C595" s="291"/>
      <c r="D595" s="293"/>
      <c r="E595" s="293"/>
      <c r="F595" s="293"/>
      <c r="G595" s="293"/>
      <c r="H595" s="293"/>
    </row>
    <row r="596" spans="1:8" s="3" customFormat="1" ht="15" customHeight="1">
      <c r="A596" s="289"/>
      <c r="B596" s="291" t="s">
        <v>267</v>
      </c>
      <c r="C596" s="294" t="s">
        <v>1339</v>
      </c>
      <c r="D596" s="293"/>
      <c r="E596" s="293"/>
      <c r="F596" s="293"/>
      <c r="G596" s="293"/>
      <c r="H596" s="293"/>
    </row>
    <row r="597" spans="1:8" s="3" customFormat="1" ht="15" customHeight="1">
      <c r="A597" s="289"/>
      <c r="B597" s="291" t="s">
        <v>267</v>
      </c>
      <c r="C597" s="294" t="s">
        <v>299</v>
      </c>
      <c r="D597" s="293"/>
      <c r="E597" s="293"/>
      <c r="F597" s="293"/>
      <c r="G597" s="293"/>
      <c r="H597" s="293"/>
    </row>
    <row r="598" spans="1:8" s="3" customFormat="1" ht="15" customHeight="1">
      <c r="A598" s="289"/>
      <c r="B598" s="294"/>
      <c r="C598" s="294" t="s">
        <v>300</v>
      </c>
      <c r="D598" s="293"/>
      <c r="E598" s="293"/>
      <c r="F598" s="293"/>
      <c r="G598" s="293"/>
      <c r="H598" s="293"/>
    </row>
    <row r="599" spans="1:8" s="3" customFormat="1" ht="15" customHeight="1">
      <c r="A599" s="289"/>
      <c r="B599" s="291" t="s">
        <v>267</v>
      </c>
      <c r="C599" s="294" t="s">
        <v>301</v>
      </c>
      <c r="D599" s="293"/>
      <c r="E599" s="293"/>
      <c r="F599" s="293"/>
      <c r="G599" s="293"/>
      <c r="H599" s="293"/>
    </row>
    <row r="600" spans="1:8" s="3" customFormat="1" ht="15" customHeight="1">
      <c r="A600" s="289"/>
      <c r="B600" s="294"/>
      <c r="C600" s="294" t="s">
        <v>302</v>
      </c>
      <c r="D600" s="293"/>
      <c r="E600" s="293"/>
      <c r="F600" s="293"/>
      <c r="G600" s="293"/>
      <c r="H600" s="293"/>
    </row>
    <row r="601" spans="1:8" s="3" customFormat="1" ht="15" customHeight="1">
      <c r="A601" s="289"/>
      <c r="B601" s="291" t="s">
        <v>267</v>
      </c>
      <c r="C601" s="294" t="s">
        <v>1340</v>
      </c>
      <c r="D601" s="293"/>
      <c r="E601" s="293"/>
      <c r="F601" s="293"/>
      <c r="G601" s="293"/>
      <c r="H601" s="293"/>
    </row>
    <row r="602" spans="1:8" s="3" customFormat="1" ht="15" customHeight="1">
      <c r="A602" s="289"/>
      <c r="B602" s="294"/>
      <c r="C602" s="294" t="s">
        <v>1341</v>
      </c>
      <c r="D602" s="293"/>
      <c r="E602" s="293"/>
      <c r="F602" s="293"/>
      <c r="G602" s="293"/>
      <c r="H602" s="293"/>
    </row>
    <row r="603" spans="1:8" s="3" customFormat="1" ht="15" customHeight="1">
      <c r="A603" s="289"/>
      <c r="B603" s="291" t="s">
        <v>267</v>
      </c>
      <c r="C603" s="294" t="s">
        <v>303</v>
      </c>
      <c r="D603" s="293"/>
      <c r="E603" s="293"/>
      <c r="F603" s="293"/>
      <c r="G603" s="293"/>
      <c r="H603" s="293"/>
    </row>
    <row r="604" spans="1:8" s="3" customFormat="1" ht="15" customHeight="1">
      <c r="A604" s="289"/>
      <c r="B604" s="294" t="s">
        <v>304</v>
      </c>
      <c r="C604" s="291"/>
      <c r="D604" s="293"/>
      <c r="E604" s="293"/>
      <c r="F604" s="293"/>
      <c r="G604" s="293"/>
      <c r="H604" s="293"/>
    </row>
    <row r="605" spans="1:8" s="3" customFormat="1" ht="15" customHeight="1">
      <c r="A605" s="289"/>
      <c r="B605" s="291" t="s">
        <v>267</v>
      </c>
      <c r="C605" s="294" t="s">
        <v>305</v>
      </c>
      <c r="D605" s="293"/>
      <c r="E605" s="293"/>
      <c r="F605" s="293"/>
      <c r="G605" s="293"/>
      <c r="H605" s="293"/>
    </row>
    <row r="606" spans="1:8" s="3" customFormat="1" ht="15" customHeight="1">
      <c r="A606" s="289"/>
      <c r="B606" s="291" t="s">
        <v>267</v>
      </c>
      <c r="C606" s="294" t="s">
        <v>306</v>
      </c>
      <c r="D606" s="293"/>
      <c r="E606" s="293"/>
      <c r="F606" s="293"/>
      <c r="G606" s="293"/>
      <c r="H606" s="293"/>
    </row>
    <row r="607" spans="1:8" s="3" customFormat="1" ht="15" customHeight="1">
      <c r="A607" s="289"/>
      <c r="B607" s="291" t="s">
        <v>267</v>
      </c>
      <c r="C607" s="294" t="s">
        <v>307</v>
      </c>
      <c r="D607" s="293"/>
      <c r="E607" s="293"/>
      <c r="F607" s="293"/>
      <c r="G607" s="293"/>
      <c r="H607" s="293"/>
    </row>
    <row r="608" spans="1:8" s="3" customFormat="1" ht="15" customHeight="1">
      <c r="A608" s="289"/>
      <c r="B608" s="294" t="s">
        <v>1342</v>
      </c>
      <c r="C608" s="294"/>
      <c r="D608" s="293"/>
      <c r="E608" s="293"/>
      <c r="F608" s="293"/>
      <c r="G608" s="293"/>
      <c r="H608" s="293"/>
    </row>
    <row r="609" spans="1:8" s="3" customFormat="1" ht="15" customHeight="1">
      <c r="A609" s="294" t="s">
        <v>308</v>
      </c>
      <c r="B609" s="294"/>
      <c r="C609" s="294"/>
      <c r="D609" s="293"/>
      <c r="E609" s="293"/>
      <c r="F609" s="293"/>
      <c r="G609" s="293"/>
      <c r="H609" s="293"/>
    </row>
    <row r="610" spans="1:8" s="3" customFormat="1" ht="15" customHeight="1">
      <c r="A610" s="294" t="s">
        <v>309</v>
      </c>
      <c r="B610" s="294"/>
      <c r="C610" s="294"/>
      <c r="D610" s="293"/>
      <c r="E610" s="293"/>
      <c r="F610" s="293"/>
      <c r="G610" s="293"/>
      <c r="H610" s="293"/>
    </row>
    <row r="611" spans="1:8" s="3" customFormat="1" ht="15" customHeight="1">
      <c r="A611" s="294" t="s">
        <v>310</v>
      </c>
      <c r="B611" s="291"/>
      <c r="C611" s="294"/>
      <c r="D611" s="293"/>
      <c r="E611" s="293"/>
      <c r="F611" s="293"/>
      <c r="G611" s="293"/>
      <c r="H611" s="293"/>
    </row>
    <row r="612" spans="1:8" s="3" customFormat="1" ht="15" customHeight="1">
      <c r="A612" s="294"/>
      <c r="B612" s="291"/>
      <c r="C612" s="294"/>
      <c r="D612" s="293"/>
      <c r="E612" s="293"/>
      <c r="F612" s="293"/>
      <c r="G612" s="293"/>
      <c r="H612" s="293"/>
    </row>
    <row r="613" spans="1:8" s="3" customFormat="1" ht="15" customHeight="1">
      <c r="A613" s="294"/>
      <c r="B613" s="310" t="s">
        <v>1343</v>
      </c>
      <c r="C613" s="294"/>
      <c r="D613" s="293"/>
      <c r="E613" s="293"/>
      <c r="F613" s="293"/>
      <c r="G613" s="293"/>
      <c r="H613" s="293"/>
    </row>
    <row r="614" spans="1:8" s="3" customFormat="1" ht="15" customHeight="1">
      <c r="A614" s="305"/>
      <c r="B614" s="294" t="s">
        <v>1344</v>
      </c>
      <c r="C614" s="294"/>
      <c r="D614" s="293"/>
      <c r="E614" s="293"/>
      <c r="F614" s="293"/>
      <c r="G614" s="293"/>
      <c r="H614" s="293"/>
    </row>
    <row r="615" spans="1:8" s="3" customFormat="1" ht="15" customHeight="1">
      <c r="A615" s="294" t="s">
        <v>1345</v>
      </c>
      <c r="B615" s="291"/>
      <c r="C615" s="294"/>
      <c r="D615" s="293"/>
      <c r="E615" s="293"/>
      <c r="F615" s="293"/>
      <c r="G615" s="293"/>
      <c r="H615" s="293"/>
    </row>
    <row r="616" spans="1:8" s="3" customFormat="1" ht="15" customHeight="1">
      <c r="A616" s="294"/>
      <c r="B616" s="294" t="s">
        <v>1346</v>
      </c>
      <c r="C616" s="294"/>
      <c r="D616" s="293"/>
      <c r="E616" s="293"/>
      <c r="F616" s="293"/>
      <c r="G616" s="293"/>
      <c r="H616" s="293"/>
    </row>
    <row r="617" spans="1:8" s="3" customFormat="1" ht="15" customHeight="1">
      <c r="A617" s="294"/>
      <c r="B617" s="311" t="s">
        <v>68</v>
      </c>
      <c r="C617" s="294" t="s">
        <v>1347</v>
      </c>
      <c r="D617" s="293"/>
      <c r="E617" s="293"/>
      <c r="F617" s="293"/>
      <c r="G617" s="293"/>
      <c r="H617" s="293"/>
    </row>
    <row r="618" spans="1:8" s="3" customFormat="1" ht="15" customHeight="1">
      <c r="A618" s="294"/>
      <c r="B618" s="291"/>
      <c r="C618" s="294" t="s">
        <v>1348</v>
      </c>
      <c r="D618" s="293"/>
      <c r="E618" s="293"/>
      <c r="F618" s="293"/>
      <c r="G618" s="293"/>
      <c r="H618" s="293"/>
    </row>
    <row r="619" spans="1:8" s="3" customFormat="1" ht="15" customHeight="1">
      <c r="A619" s="294"/>
      <c r="B619" s="311" t="s">
        <v>68</v>
      </c>
      <c r="C619" s="294" t="s">
        <v>1349</v>
      </c>
      <c r="D619" s="293"/>
      <c r="E619" s="293"/>
      <c r="F619" s="293"/>
      <c r="G619" s="293"/>
      <c r="H619" s="293"/>
    </row>
    <row r="620" spans="1:8" s="3" customFormat="1" ht="15" customHeight="1">
      <c r="A620" s="294"/>
      <c r="B620" s="311" t="s">
        <v>68</v>
      </c>
      <c r="C620" s="294" t="s">
        <v>1350</v>
      </c>
      <c r="D620" s="293"/>
      <c r="E620" s="293"/>
      <c r="F620" s="293"/>
      <c r="G620" s="293"/>
      <c r="H620" s="293"/>
    </row>
    <row r="621" spans="1:8" s="3" customFormat="1" ht="15" customHeight="1">
      <c r="A621" s="294"/>
      <c r="B621" s="291"/>
      <c r="C621" s="294" t="s">
        <v>1351</v>
      </c>
      <c r="D621" s="293"/>
      <c r="E621" s="293"/>
      <c r="F621" s="293"/>
      <c r="G621" s="293"/>
      <c r="H621" s="293"/>
    </row>
    <row r="622" spans="1:8" s="3" customFormat="1" ht="15" customHeight="1">
      <c r="A622" s="294"/>
      <c r="B622" s="291"/>
      <c r="C622" s="294"/>
      <c r="D622" s="293"/>
      <c r="E622" s="293"/>
      <c r="F622" s="293"/>
      <c r="G622" s="293"/>
      <c r="H622" s="293"/>
    </row>
    <row r="623" spans="1:8" s="3" customFormat="1" ht="15" customHeight="1">
      <c r="A623" s="289"/>
      <c r="B623" s="310" t="s">
        <v>116</v>
      </c>
      <c r="C623" s="291"/>
      <c r="D623" s="293"/>
      <c r="E623" s="293"/>
      <c r="F623" s="293"/>
      <c r="G623" s="293"/>
      <c r="H623" s="293"/>
    </row>
    <row r="624" spans="1:8" s="3" customFormat="1" ht="15" customHeight="1">
      <c r="A624" s="289"/>
      <c r="B624" s="294" t="s">
        <v>311</v>
      </c>
      <c r="C624" s="291"/>
      <c r="D624" s="293"/>
      <c r="E624" s="293"/>
      <c r="F624" s="293"/>
      <c r="G624" s="293"/>
      <c r="H624" s="293"/>
    </row>
    <row r="625" spans="1:8" s="3" customFormat="1" ht="15" customHeight="1">
      <c r="A625" s="289" t="s">
        <v>312</v>
      </c>
      <c r="B625" s="294"/>
      <c r="C625" s="291"/>
      <c r="D625" s="293"/>
      <c r="E625" s="293"/>
      <c r="F625" s="293"/>
      <c r="G625" s="293"/>
      <c r="H625" s="293"/>
    </row>
    <row r="626" spans="1:8" s="3" customFormat="1" ht="15" customHeight="1">
      <c r="A626" s="289"/>
      <c r="B626" s="294" t="s">
        <v>313</v>
      </c>
      <c r="C626" s="291"/>
      <c r="D626" s="293"/>
      <c r="E626" s="293"/>
      <c r="F626" s="293"/>
      <c r="G626" s="293"/>
      <c r="H626" s="293"/>
    </row>
    <row r="627" spans="1:8" s="3" customFormat="1" ht="15" customHeight="1">
      <c r="A627" s="289" t="s">
        <v>314</v>
      </c>
      <c r="B627" s="294"/>
      <c r="C627" s="291"/>
      <c r="D627" s="293"/>
      <c r="E627" s="293"/>
      <c r="F627" s="293"/>
      <c r="G627" s="293"/>
      <c r="H627" s="293"/>
    </row>
    <row r="628" spans="1:8" s="3" customFormat="1" ht="15" customHeight="1">
      <c r="A628" s="289" t="s">
        <v>314</v>
      </c>
      <c r="B628" s="294"/>
      <c r="C628" s="291"/>
      <c r="D628" s="293"/>
      <c r="E628" s="293"/>
      <c r="F628" s="293"/>
      <c r="G628" s="293"/>
      <c r="H628" s="293"/>
    </row>
    <row r="629" spans="1:8" s="3" customFormat="1" ht="15" customHeight="1">
      <c r="A629" s="303"/>
      <c r="B629" s="303"/>
      <c r="C629" s="303"/>
      <c r="D629" s="303"/>
      <c r="E629" s="303"/>
      <c r="F629" s="303"/>
      <c r="G629" s="303"/>
      <c r="H629" s="303"/>
    </row>
    <row r="630" spans="1:8" s="3" customFormat="1" ht="15" customHeight="1">
      <c r="A630" s="303"/>
      <c r="B630" s="303"/>
      <c r="C630" s="303"/>
      <c r="D630" s="303"/>
      <c r="E630" s="303"/>
      <c r="F630" s="303"/>
      <c r="G630" s="303"/>
      <c r="H630" s="303"/>
    </row>
    <row r="631" spans="1:8" s="3" customFormat="1" ht="15" customHeight="1">
      <c r="A631" s="309" t="s">
        <v>315</v>
      </c>
      <c r="B631" s="294"/>
      <c r="C631" s="291"/>
      <c r="D631" s="293"/>
      <c r="E631" s="293"/>
      <c r="F631" s="293"/>
      <c r="G631" s="293"/>
      <c r="H631" s="293"/>
    </row>
    <row r="632" spans="1:8" s="3" customFormat="1" ht="15" customHeight="1">
      <c r="A632" s="289"/>
      <c r="B632" s="294"/>
      <c r="C632" s="291"/>
      <c r="D632" s="293"/>
      <c r="E632" s="293"/>
      <c r="F632" s="293"/>
      <c r="G632" s="293"/>
      <c r="H632" s="293"/>
    </row>
    <row r="633" spans="1:8" s="3" customFormat="1" ht="15" customHeight="1">
      <c r="A633" s="289"/>
      <c r="B633" s="314" t="s">
        <v>316</v>
      </c>
      <c r="C633" s="291"/>
      <c r="D633" s="293"/>
      <c r="E633" s="293"/>
      <c r="F633" s="293"/>
      <c r="G633" s="293"/>
      <c r="H633" s="293"/>
    </row>
    <row r="634" spans="1:8" s="3" customFormat="1" ht="15" customHeight="1">
      <c r="A634" s="289"/>
      <c r="B634" s="294"/>
      <c r="C634" s="291"/>
      <c r="D634" s="293"/>
      <c r="E634" s="293"/>
      <c r="F634" s="293"/>
      <c r="G634" s="293"/>
      <c r="H634" s="293"/>
    </row>
    <row r="635" spans="1:8" s="3" customFormat="1" ht="15" customHeight="1">
      <c r="A635" s="289"/>
      <c r="B635" s="310" t="s">
        <v>81</v>
      </c>
      <c r="C635" s="291"/>
      <c r="D635" s="293"/>
      <c r="E635" s="293"/>
      <c r="F635" s="293"/>
      <c r="G635" s="293"/>
      <c r="H635" s="293"/>
    </row>
    <row r="636" spans="1:8" s="3" customFormat="1" ht="15" customHeight="1">
      <c r="A636" s="289"/>
      <c r="B636" s="294" t="s">
        <v>317</v>
      </c>
      <c r="C636" s="291"/>
      <c r="D636" s="293"/>
      <c r="E636" s="293"/>
      <c r="F636" s="293"/>
      <c r="G636" s="293"/>
      <c r="H636" s="293"/>
    </row>
    <row r="637" spans="1:8" s="3" customFormat="1" ht="15" customHeight="1">
      <c r="A637" s="289" t="s">
        <v>318</v>
      </c>
      <c r="B637" s="294"/>
      <c r="C637" s="291"/>
      <c r="D637" s="293"/>
      <c r="E637" s="293"/>
      <c r="F637" s="293"/>
      <c r="G637" s="293"/>
      <c r="H637" s="293"/>
    </row>
    <row r="638" spans="1:8" s="3" customFormat="1" ht="15" customHeight="1">
      <c r="A638" s="289"/>
      <c r="B638" s="311" t="s">
        <v>68</v>
      </c>
      <c r="C638" s="312" t="s">
        <v>5063</v>
      </c>
      <c r="D638" s="293"/>
      <c r="E638" s="293"/>
      <c r="F638" s="293"/>
      <c r="G638" s="293"/>
      <c r="H638" s="293"/>
    </row>
    <row r="639" spans="1:8" s="3" customFormat="1" ht="15" customHeight="1">
      <c r="A639" s="289"/>
      <c r="B639" s="311" t="s">
        <v>68</v>
      </c>
      <c r="C639" s="312" t="s">
        <v>5067</v>
      </c>
      <c r="D639" s="293"/>
      <c r="E639" s="293"/>
      <c r="F639" s="293"/>
      <c r="G639" s="293"/>
      <c r="H639" s="293"/>
    </row>
    <row r="640" spans="1:8" s="3" customFormat="1" ht="15" customHeight="1">
      <c r="A640" s="289"/>
      <c r="B640" s="311" t="s">
        <v>68</v>
      </c>
      <c r="C640" s="312" t="s">
        <v>5068</v>
      </c>
      <c r="D640" s="293"/>
      <c r="E640" s="293"/>
      <c r="F640" s="293"/>
      <c r="G640" s="293"/>
      <c r="H640" s="293"/>
    </row>
    <row r="641" spans="1:8" s="3" customFormat="1" ht="15" customHeight="1">
      <c r="A641" s="289"/>
      <c r="B641" s="311" t="s">
        <v>68</v>
      </c>
      <c r="C641" s="312" t="s">
        <v>5064</v>
      </c>
      <c r="D641" s="293"/>
      <c r="E641" s="293"/>
      <c r="F641" s="293"/>
      <c r="G641" s="293"/>
      <c r="H641" s="293"/>
    </row>
    <row r="642" spans="1:8" s="3" customFormat="1" ht="15" customHeight="1">
      <c r="A642" s="289"/>
      <c r="B642" s="311"/>
      <c r="C642" s="324"/>
      <c r="D642" s="292"/>
      <c r="E642" s="293"/>
      <c r="F642" s="293"/>
      <c r="G642" s="293"/>
      <c r="H642" s="293"/>
    </row>
    <row r="643" spans="1:8" s="3" customFormat="1" ht="15" customHeight="1">
      <c r="A643" s="289"/>
      <c r="B643" s="326" t="s">
        <v>319</v>
      </c>
      <c r="C643" s="312"/>
      <c r="D643" s="293"/>
      <c r="E643" s="293"/>
      <c r="F643" s="293"/>
      <c r="G643" s="293"/>
      <c r="H643" s="293"/>
    </row>
    <row r="644" spans="1:8" s="3" customFormat="1" ht="15" customHeight="1">
      <c r="A644" s="289"/>
      <c r="B644" s="327" t="s">
        <v>1352</v>
      </c>
      <c r="C644" s="312"/>
      <c r="D644" s="293"/>
      <c r="E644" s="293"/>
      <c r="F644" s="293"/>
      <c r="G644" s="293"/>
      <c r="H644" s="293"/>
    </row>
    <row r="645" spans="1:8" s="3" customFormat="1" ht="15" customHeight="1">
      <c r="A645" s="289"/>
      <c r="B645" s="326" t="s">
        <v>320</v>
      </c>
      <c r="C645" s="312"/>
      <c r="D645" s="293"/>
      <c r="E645" s="293"/>
      <c r="F645" s="293"/>
      <c r="G645" s="293"/>
      <c r="H645" s="293"/>
    </row>
    <row r="646" spans="1:8" s="3" customFormat="1" ht="15" customHeight="1">
      <c r="A646" s="289"/>
      <c r="B646" s="327" t="s">
        <v>321</v>
      </c>
      <c r="C646" s="312"/>
      <c r="D646" s="293"/>
      <c r="E646" s="293"/>
      <c r="F646" s="293"/>
      <c r="G646" s="293"/>
      <c r="H646" s="293"/>
    </row>
    <row r="647" spans="1:8" s="3" customFormat="1" ht="15" customHeight="1">
      <c r="A647" s="289"/>
      <c r="B647" s="326" t="s">
        <v>322</v>
      </c>
      <c r="C647" s="312"/>
      <c r="D647" s="293"/>
      <c r="E647" s="293"/>
      <c r="F647" s="293"/>
      <c r="G647" s="293"/>
      <c r="H647" s="293"/>
    </row>
    <row r="648" spans="1:8" s="3" customFormat="1" ht="15" customHeight="1">
      <c r="A648" s="289"/>
      <c r="B648" s="294"/>
      <c r="C648" s="291"/>
      <c r="D648" s="293"/>
      <c r="E648" s="293"/>
      <c r="F648" s="293"/>
      <c r="G648" s="293"/>
      <c r="H648" s="293"/>
    </row>
    <row r="649" spans="1:8" s="3" customFormat="1" ht="15" customHeight="1">
      <c r="A649" s="289"/>
      <c r="B649" s="310" t="s">
        <v>323</v>
      </c>
      <c r="C649" s="291"/>
      <c r="D649" s="293"/>
      <c r="E649" s="293"/>
      <c r="F649" s="293"/>
      <c r="G649" s="293"/>
      <c r="H649" s="293"/>
    </row>
    <row r="650" spans="1:8" s="3" customFormat="1" ht="15" customHeight="1">
      <c r="A650" s="289"/>
      <c r="B650" s="294" t="s">
        <v>1276</v>
      </c>
      <c r="C650" s="291"/>
      <c r="D650" s="293"/>
      <c r="E650" s="293"/>
      <c r="F650" s="293"/>
      <c r="G650" s="293"/>
      <c r="H650" s="293"/>
    </row>
    <row r="651" spans="1:8" s="3" customFormat="1" ht="15" customHeight="1">
      <c r="A651" s="294" t="s">
        <v>1277</v>
      </c>
      <c r="B651" s="294"/>
      <c r="C651" s="291"/>
      <c r="D651" s="293"/>
      <c r="E651" s="293"/>
      <c r="F651" s="293"/>
      <c r="G651" s="293"/>
      <c r="H651" s="293"/>
    </row>
    <row r="652" spans="1:8" s="3" customFormat="1" ht="15" customHeight="1">
      <c r="A652" s="294" t="s">
        <v>370</v>
      </c>
      <c r="B652" s="305"/>
      <c r="C652" s="291"/>
      <c r="D652" s="293"/>
      <c r="E652" s="293"/>
      <c r="F652" s="293"/>
      <c r="G652" s="293"/>
      <c r="H652" s="293"/>
    </row>
    <row r="653" spans="1:8" s="3" customFormat="1" ht="15" customHeight="1">
      <c r="A653" s="289"/>
      <c r="B653" s="294" t="s">
        <v>324</v>
      </c>
      <c r="C653" s="291"/>
      <c r="D653" s="293"/>
      <c r="E653" s="293"/>
      <c r="F653" s="293"/>
      <c r="G653" s="293"/>
      <c r="H653" s="293"/>
    </row>
    <row r="654" spans="1:8" s="3" customFormat="1" ht="15" customHeight="1">
      <c r="A654" s="289" t="s">
        <v>325</v>
      </c>
      <c r="B654" s="294"/>
      <c r="C654" s="291"/>
      <c r="D654" s="293"/>
      <c r="E654" s="293"/>
      <c r="F654" s="293"/>
      <c r="G654" s="293"/>
      <c r="H654" s="293"/>
    </row>
    <row r="655" spans="1:8" s="3" customFormat="1" ht="15" customHeight="1">
      <c r="A655" s="289"/>
      <c r="B655" s="294" t="s">
        <v>1353</v>
      </c>
      <c r="C655" s="291"/>
      <c r="D655" s="293"/>
      <c r="E655" s="293"/>
      <c r="F655" s="293"/>
      <c r="G655" s="293"/>
      <c r="H655" s="293"/>
    </row>
    <row r="656" spans="1:8" s="3" customFormat="1" ht="15" customHeight="1">
      <c r="A656" s="289"/>
      <c r="B656" s="294" t="s">
        <v>1354</v>
      </c>
      <c r="C656" s="291"/>
      <c r="D656" s="293"/>
      <c r="E656" s="293"/>
      <c r="F656" s="293"/>
      <c r="G656" s="293"/>
      <c r="H656" s="293"/>
    </row>
    <row r="657" spans="1:8" s="3" customFormat="1" ht="15" customHeight="1">
      <c r="A657" s="289" t="s">
        <v>326</v>
      </c>
      <c r="B657" s="294"/>
      <c r="C657" s="291"/>
      <c r="D657" s="293"/>
      <c r="E657" s="293"/>
      <c r="F657" s="293"/>
      <c r="G657" s="293"/>
      <c r="H657" s="293"/>
    </row>
    <row r="658" spans="1:8" s="3" customFormat="1" ht="15" customHeight="1">
      <c r="A658" s="289"/>
      <c r="B658" s="294"/>
      <c r="C658" s="291"/>
      <c r="D658" s="293"/>
      <c r="E658" s="293"/>
      <c r="F658" s="293"/>
      <c r="G658" s="293"/>
      <c r="H658" s="293"/>
    </row>
    <row r="659" spans="1:8" s="3" customFormat="1" ht="15" customHeight="1">
      <c r="A659" s="289"/>
      <c r="B659" s="310" t="s">
        <v>116</v>
      </c>
      <c r="C659" s="291"/>
      <c r="D659" s="293"/>
      <c r="E659" s="293"/>
      <c r="F659" s="293"/>
      <c r="G659" s="293"/>
      <c r="H659" s="293"/>
    </row>
    <row r="660" spans="1:8" s="3" customFormat="1" ht="15" customHeight="1">
      <c r="A660" s="289"/>
      <c r="B660" s="294" t="s">
        <v>327</v>
      </c>
      <c r="C660" s="291"/>
      <c r="D660" s="293"/>
      <c r="E660" s="293"/>
      <c r="F660" s="293"/>
      <c r="G660" s="293"/>
      <c r="H660" s="293"/>
    </row>
    <row r="661" spans="1:8" s="3" customFormat="1" ht="15" customHeight="1">
      <c r="A661" s="289"/>
      <c r="B661" s="294" t="s">
        <v>328</v>
      </c>
      <c r="C661" s="291"/>
      <c r="D661" s="293"/>
      <c r="E661" s="293"/>
      <c r="F661" s="293"/>
      <c r="G661" s="293"/>
      <c r="H661" s="293"/>
    </row>
    <row r="662" spans="1:8" s="3" customFormat="1" ht="15" customHeight="1">
      <c r="A662" s="289"/>
      <c r="B662" s="294"/>
      <c r="C662" s="291"/>
      <c r="D662" s="293"/>
      <c r="E662" s="293"/>
      <c r="F662" s="293"/>
      <c r="G662" s="293"/>
      <c r="H662" s="293"/>
    </row>
    <row r="663" spans="1:8" s="3" customFormat="1" ht="15" customHeight="1">
      <c r="A663" s="289"/>
      <c r="B663" s="314" t="s">
        <v>329</v>
      </c>
      <c r="C663" s="291"/>
      <c r="D663" s="293"/>
      <c r="E663" s="293"/>
      <c r="F663" s="293"/>
      <c r="G663" s="293"/>
      <c r="H663" s="293"/>
    </row>
    <row r="664" spans="1:8" s="3" customFormat="1" ht="15" customHeight="1">
      <c r="A664" s="289"/>
      <c r="B664" s="294"/>
      <c r="C664" s="291"/>
      <c r="D664" s="293"/>
      <c r="E664" s="293"/>
      <c r="F664" s="293"/>
      <c r="G664" s="293"/>
      <c r="H664" s="293"/>
    </row>
    <row r="665" spans="1:8" s="3" customFormat="1" ht="15" customHeight="1">
      <c r="A665" s="289"/>
      <c r="B665" s="294" t="s">
        <v>1355</v>
      </c>
      <c r="C665" s="291"/>
      <c r="D665" s="293"/>
      <c r="E665" s="293"/>
      <c r="F665" s="293"/>
      <c r="G665" s="293"/>
      <c r="H665" s="293"/>
    </row>
    <row r="666" spans="1:8" s="3" customFormat="1" ht="15" customHeight="1">
      <c r="A666" s="289" t="s">
        <v>330</v>
      </c>
      <c r="B666" s="294"/>
      <c r="C666" s="291"/>
      <c r="D666" s="293"/>
      <c r="E666" s="293"/>
      <c r="F666" s="293"/>
      <c r="G666" s="293"/>
      <c r="H666" s="293"/>
    </row>
    <row r="667" spans="1:8" s="3" customFormat="1" ht="15" customHeight="1">
      <c r="A667" s="289"/>
      <c r="B667" s="294"/>
      <c r="C667" s="291"/>
      <c r="D667" s="293"/>
      <c r="E667" s="293"/>
      <c r="F667" s="293"/>
      <c r="G667" s="293"/>
      <c r="H667" s="293"/>
    </row>
    <row r="668" spans="1:8" s="3" customFormat="1" ht="15" customHeight="1">
      <c r="A668" s="289"/>
      <c r="B668" s="310" t="s">
        <v>323</v>
      </c>
      <c r="C668" s="291"/>
      <c r="D668" s="293"/>
      <c r="E668" s="293"/>
      <c r="F668" s="293"/>
      <c r="G668" s="293"/>
      <c r="H668" s="293"/>
    </row>
    <row r="669" spans="1:8" s="3" customFormat="1" ht="15" customHeight="1">
      <c r="A669" s="289"/>
      <c r="B669" s="294" t="s">
        <v>1276</v>
      </c>
      <c r="C669" s="291"/>
      <c r="D669" s="293"/>
      <c r="E669" s="293"/>
      <c r="F669" s="293"/>
      <c r="G669" s="293"/>
      <c r="H669" s="293"/>
    </row>
    <row r="670" spans="1:8" s="3" customFormat="1" ht="15" customHeight="1">
      <c r="A670" s="294" t="s">
        <v>1277</v>
      </c>
      <c r="B670" s="294"/>
      <c r="C670" s="291"/>
      <c r="D670" s="293"/>
      <c r="E670" s="293"/>
      <c r="F670" s="293"/>
      <c r="G670" s="293"/>
      <c r="H670" s="293"/>
    </row>
    <row r="671" spans="1:8" s="3" customFormat="1" ht="15" customHeight="1">
      <c r="A671" s="294" t="s">
        <v>370</v>
      </c>
      <c r="B671" s="305"/>
      <c r="C671" s="291"/>
      <c r="D671" s="293"/>
      <c r="E671" s="293"/>
      <c r="F671" s="293"/>
      <c r="G671" s="293"/>
      <c r="H671" s="293"/>
    </row>
    <row r="672" spans="1:8" s="3" customFormat="1" ht="15" customHeight="1">
      <c r="A672" s="289"/>
      <c r="B672" s="294" t="s">
        <v>331</v>
      </c>
      <c r="C672" s="291"/>
      <c r="D672" s="293"/>
      <c r="E672" s="293"/>
      <c r="F672" s="293"/>
      <c r="G672" s="293"/>
      <c r="H672" s="293"/>
    </row>
    <row r="673" spans="1:8" s="3" customFormat="1" ht="15" customHeight="1">
      <c r="A673" s="289" t="s">
        <v>332</v>
      </c>
      <c r="B673" s="294"/>
      <c r="C673" s="291"/>
      <c r="D673" s="293"/>
      <c r="E673" s="293"/>
      <c r="F673" s="293"/>
      <c r="G673" s="293"/>
      <c r="H673" s="293"/>
    </row>
    <row r="674" spans="1:8" s="3" customFormat="1" ht="15" customHeight="1">
      <c r="A674" s="289"/>
      <c r="B674" s="294" t="s">
        <v>333</v>
      </c>
      <c r="C674" s="291"/>
      <c r="D674" s="293"/>
      <c r="E674" s="293"/>
      <c r="F674" s="293"/>
      <c r="G674" s="293"/>
      <c r="H674" s="293"/>
    </row>
    <row r="675" spans="1:8" s="3" customFormat="1" ht="15" customHeight="1">
      <c r="A675" s="289" t="s">
        <v>1356</v>
      </c>
      <c r="B675" s="294"/>
      <c r="C675" s="291"/>
      <c r="D675" s="293"/>
      <c r="E675" s="293"/>
      <c r="F675" s="293"/>
      <c r="G675" s="293"/>
      <c r="H675" s="293"/>
    </row>
    <row r="676" spans="1:8" s="3" customFormat="1" ht="15" customHeight="1">
      <c r="A676" s="289" t="s">
        <v>334</v>
      </c>
      <c r="B676" s="294"/>
      <c r="C676" s="291"/>
      <c r="D676" s="293"/>
      <c r="E676" s="293"/>
      <c r="F676" s="293"/>
      <c r="G676" s="293"/>
      <c r="H676" s="293"/>
    </row>
    <row r="677" spans="1:8" s="3" customFormat="1" ht="15" customHeight="1">
      <c r="A677" s="289"/>
      <c r="B677" s="294" t="s">
        <v>335</v>
      </c>
      <c r="C677" s="291"/>
      <c r="D677" s="293"/>
      <c r="E677" s="293"/>
      <c r="F677" s="293"/>
      <c r="G677" s="293"/>
      <c r="H677" s="293"/>
    </row>
    <row r="678" spans="1:8" s="3" customFormat="1" ht="15" customHeight="1">
      <c r="A678" s="289" t="s">
        <v>336</v>
      </c>
      <c r="B678" s="294"/>
      <c r="C678" s="291"/>
      <c r="D678" s="293"/>
      <c r="E678" s="293"/>
      <c r="F678" s="293"/>
      <c r="G678" s="293"/>
      <c r="H678" s="293"/>
    </row>
    <row r="679" spans="1:8" s="3" customFormat="1" ht="15" customHeight="1">
      <c r="A679" s="289"/>
      <c r="B679" s="294"/>
      <c r="C679" s="291"/>
      <c r="D679" s="293"/>
      <c r="E679" s="293"/>
      <c r="F679" s="293"/>
      <c r="G679" s="293"/>
      <c r="H679" s="293"/>
    </row>
    <row r="680" spans="1:8" s="3" customFormat="1" ht="15" customHeight="1">
      <c r="A680" s="289"/>
      <c r="B680" s="310" t="s">
        <v>116</v>
      </c>
      <c r="C680" s="291"/>
      <c r="D680" s="293"/>
      <c r="E680" s="293"/>
      <c r="F680" s="293"/>
      <c r="G680" s="293"/>
      <c r="H680" s="293"/>
    </row>
    <row r="681" spans="1:8" s="3" customFormat="1" ht="15" customHeight="1">
      <c r="A681" s="289"/>
      <c r="B681" s="294" t="s">
        <v>337</v>
      </c>
      <c r="C681" s="291"/>
      <c r="D681" s="293"/>
      <c r="E681" s="293"/>
      <c r="F681" s="293"/>
      <c r="G681" s="293"/>
      <c r="H681" s="293"/>
    </row>
    <row r="682" spans="1:8" s="3" customFormat="1" ht="15" customHeight="1">
      <c r="A682" s="289"/>
      <c r="B682" s="294"/>
      <c r="C682" s="291"/>
      <c r="D682" s="293"/>
      <c r="E682" s="293"/>
      <c r="F682" s="293"/>
      <c r="G682" s="293"/>
      <c r="H682" s="293"/>
    </row>
    <row r="683" spans="1:8" s="3" customFormat="1" ht="15" customHeight="1">
      <c r="A683" s="289"/>
      <c r="B683" s="314" t="s">
        <v>338</v>
      </c>
      <c r="C683" s="291"/>
      <c r="D683" s="293"/>
      <c r="E683" s="293"/>
      <c r="F683" s="293"/>
      <c r="G683" s="293"/>
      <c r="H683" s="293"/>
    </row>
    <row r="684" spans="1:8" s="3" customFormat="1" ht="15" customHeight="1">
      <c r="A684" s="289"/>
      <c r="B684" s="294"/>
      <c r="C684" s="291"/>
      <c r="D684" s="293"/>
      <c r="E684" s="293"/>
      <c r="F684" s="293"/>
      <c r="G684" s="293"/>
      <c r="H684" s="293"/>
    </row>
    <row r="685" spans="1:8" s="3" customFormat="1" ht="15" customHeight="1">
      <c r="A685" s="289"/>
      <c r="B685" s="310" t="s">
        <v>1357</v>
      </c>
      <c r="C685" s="291"/>
      <c r="D685" s="293"/>
      <c r="E685" s="293"/>
      <c r="F685" s="293"/>
      <c r="G685" s="293"/>
      <c r="H685" s="293"/>
    </row>
    <row r="686" spans="1:8" s="3" customFormat="1" ht="15" customHeight="1">
      <c r="A686" s="289"/>
      <c r="B686" s="294" t="s">
        <v>1358</v>
      </c>
      <c r="C686" s="291"/>
      <c r="D686" s="293"/>
      <c r="E686" s="293"/>
      <c r="F686" s="293"/>
      <c r="G686" s="293"/>
      <c r="H686" s="293"/>
    </row>
    <row r="687" spans="1:8" s="3" customFormat="1" ht="15" customHeight="1">
      <c r="A687" s="328" t="s">
        <v>68</v>
      </c>
      <c r="B687" s="294" t="s">
        <v>1359</v>
      </c>
      <c r="C687" s="291"/>
      <c r="D687" s="293"/>
      <c r="E687" s="293"/>
      <c r="F687" s="293"/>
      <c r="G687" s="293"/>
      <c r="H687" s="293"/>
    </row>
    <row r="688" spans="1:8" s="3" customFormat="1" ht="15" customHeight="1">
      <c r="A688" s="328" t="s">
        <v>68</v>
      </c>
      <c r="B688" s="294" t="s">
        <v>1360</v>
      </c>
      <c r="C688" s="291"/>
      <c r="D688" s="293"/>
      <c r="E688" s="293"/>
      <c r="F688" s="293"/>
      <c r="G688" s="293"/>
      <c r="H688" s="293"/>
    </row>
    <row r="689" spans="1:8" s="3" customFormat="1" ht="15" customHeight="1">
      <c r="A689" s="328" t="s">
        <v>68</v>
      </c>
      <c r="B689" s="294" t="s">
        <v>1361</v>
      </c>
      <c r="C689" s="291"/>
      <c r="D689" s="293"/>
      <c r="E689" s="293"/>
      <c r="F689" s="293"/>
      <c r="G689" s="293"/>
      <c r="H689" s="293"/>
    </row>
    <row r="690" spans="1:8" s="3" customFormat="1" ht="15" customHeight="1">
      <c r="A690" s="328" t="s">
        <v>68</v>
      </c>
      <c r="B690" s="294" t="s">
        <v>1362</v>
      </c>
      <c r="C690" s="291"/>
      <c r="D690" s="293"/>
      <c r="E690" s="293"/>
      <c r="F690" s="293"/>
      <c r="G690" s="293"/>
      <c r="H690" s="293"/>
    </row>
    <row r="691" spans="1:8" s="3" customFormat="1" ht="15" customHeight="1">
      <c r="A691" s="328" t="s">
        <v>68</v>
      </c>
      <c r="B691" s="294" t="s">
        <v>1363</v>
      </c>
      <c r="C691" s="291"/>
      <c r="D691" s="293"/>
      <c r="E691" s="293"/>
      <c r="F691" s="293"/>
      <c r="G691" s="293"/>
      <c r="H691" s="293"/>
    </row>
    <row r="692" spans="1:8" s="3" customFormat="1" ht="15" customHeight="1">
      <c r="A692" s="328" t="s">
        <v>68</v>
      </c>
      <c r="B692" s="294" t="s">
        <v>1364</v>
      </c>
      <c r="C692" s="291"/>
      <c r="D692" s="293"/>
      <c r="E692" s="293"/>
      <c r="F692" s="293"/>
      <c r="G692" s="293"/>
      <c r="H692" s="293"/>
    </row>
    <row r="693" spans="1:8" s="3" customFormat="1" ht="15" customHeight="1">
      <c r="A693" s="328" t="s">
        <v>68</v>
      </c>
      <c r="B693" s="294" t="s">
        <v>1365</v>
      </c>
      <c r="C693" s="291"/>
      <c r="D693" s="293"/>
      <c r="E693" s="293"/>
      <c r="F693" s="293"/>
      <c r="G693" s="293"/>
      <c r="H693" s="293"/>
    </row>
    <row r="694" spans="1:8" s="3" customFormat="1" ht="15" customHeight="1">
      <c r="A694" s="289"/>
      <c r="B694" s="294"/>
      <c r="C694" s="291"/>
      <c r="D694" s="293"/>
      <c r="E694" s="293"/>
      <c r="F694" s="293"/>
      <c r="G694" s="293"/>
      <c r="H694" s="293"/>
    </row>
    <row r="695" spans="1:8" s="3" customFormat="1" ht="15" customHeight="1">
      <c r="A695" s="289"/>
      <c r="B695" s="310" t="s">
        <v>339</v>
      </c>
      <c r="C695" s="291"/>
      <c r="D695" s="293"/>
      <c r="E695" s="293"/>
      <c r="F695" s="293"/>
      <c r="G695" s="293"/>
      <c r="H695" s="293"/>
    </row>
    <row r="696" spans="1:8" s="3" customFormat="1" ht="15" customHeight="1">
      <c r="A696" s="289"/>
      <c r="B696" s="294" t="s">
        <v>340</v>
      </c>
      <c r="C696" s="291"/>
      <c r="D696" s="293"/>
      <c r="E696" s="293"/>
      <c r="F696" s="293"/>
      <c r="G696" s="293"/>
      <c r="H696" s="293"/>
    </row>
    <row r="697" spans="1:8" s="3" customFormat="1" ht="15" customHeight="1">
      <c r="A697" s="289" t="s">
        <v>341</v>
      </c>
      <c r="B697" s="294"/>
      <c r="C697" s="291"/>
      <c r="D697" s="293"/>
      <c r="E697" s="293"/>
      <c r="F697" s="293"/>
      <c r="G697" s="293"/>
      <c r="H697" s="293"/>
    </row>
    <row r="698" spans="1:8" s="3" customFormat="1" ht="15" customHeight="1">
      <c r="A698" s="289"/>
      <c r="B698" s="291">
        <v>75</v>
      </c>
      <c r="C698" s="294" t="s">
        <v>342</v>
      </c>
      <c r="D698" s="329" t="s">
        <v>1366</v>
      </c>
      <c r="E698" s="293"/>
      <c r="F698" s="293"/>
      <c r="G698" s="293"/>
      <c r="H698" s="293"/>
    </row>
    <row r="699" spans="1:8" s="3" customFormat="1" ht="15" customHeight="1">
      <c r="A699" s="289"/>
      <c r="B699" s="291">
        <v>85</v>
      </c>
      <c r="C699" s="294" t="s">
        <v>342</v>
      </c>
      <c r="D699" s="329" t="s">
        <v>1367</v>
      </c>
      <c r="E699" s="293"/>
      <c r="F699" s="293"/>
      <c r="G699" s="293"/>
      <c r="H699" s="293"/>
    </row>
    <row r="700" spans="1:8" s="3" customFormat="1" ht="15" customHeight="1">
      <c r="A700" s="289"/>
      <c r="B700" s="291">
        <v>95</v>
      </c>
      <c r="C700" s="294" t="s">
        <v>342</v>
      </c>
      <c r="D700" s="329" t="s">
        <v>1368</v>
      </c>
      <c r="E700" s="293"/>
      <c r="F700" s="293"/>
      <c r="G700" s="293"/>
      <c r="H700" s="293"/>
    </row>
    <row r="701" spans="1:8" s="3" customFormat="1" ht="15" customHeight="1">
      <c r="A701" s="289"/>
      <c r="B701" s="291">
        <v>105</v>
      </c>
      <c r="C701" s="294" t="s">
        <v>342</v>
      </c>
      <c r="D701" s="329" t="s">
        <v>1369</v>
      </c>
      <c r="E701" s="293"/>
      <c r="F701" s="293"/>
      <c r="G701" s="293"/>
      <c r="H701" s="293"/>
    </row>
    <row r="702" spans="1:8" s="3" customFormat="1" ht="15" customHeight="1">
      <c r="A702" s="289"/>
      <c r="B702" s="294" t="s">
        <v>343</v>
      </c>
      <c r="C702" s="291"/>
      <c r="D702" s="293"/>
      <c r="E702" s="293"/>
      <c r="F702" s="293"/>
      <c r="G702" s="293"/>
      <c r="H702" s="293"/>
    </row>
    <row r="703" spans="1:8" s="3" customFormat="1" ht="15" customHeight="1">
      <c r="A703" s="289"/>
      <c r="B703" s="294" t="s">
        <v>344</v>
      </c>
      <c r="C703" s="291"/>
      <c r="D703" s="293"/>
      <c r="E703" s="293"/>
      <c r="F703" s="293"/>
      <c r="G703" s="293"/>
      <c r="H703" s="293"/>
    </row>
    <row r="704" spans="1:8" s="3" customFormat="1" ht="15" customHeight="1">
      <c r="A704" s="289"/>
      <c r="B704" s="294"/>
      <c r="C704" s="291"/>
      <c r="D704" s="293"/>
      <c r="E704" s="293"/>
      <c r="F704" s="293"/>
      <c r="G704" s="293"/>
      <c r="H704" s="293"/>
    </row>
    <row r="705" spans="1:8" s="3" customFormat="1" ht="15" customHeight="1">
      <c r="A705" s="289"/>
      <c r="B705" s="294" t="s">
        <v>1370</v>
      </c>
      <c r="C705" s="291"/>
      <c r="D705" s="293"/>
      <c r="E705" s="293"/>
      <c r="F705" s="293"/>
      <c r="G705" s="293"/>
      <c r="H705" s="293"/>
    </row>
    <row r="706" spans="1:8" s="3" customFormat="1" ht="15" customHeight="1">
      <c r="A706" s="289" t="s">
        <v>345</v>
      </c>
      <c r="B706" s="294"/>
      <c r="C706" s="291"/>
      <c r="D706" s="293"/>
      <c r="E706" s="293"/>
      <c r="F706" s="293"/>
      <c r="G706" s="293"/>
      <c r="H706" s="293"/>
    </row>
    <row r="707" spans="1:8" s="3" customFormat="1" ht="15" customHeight="1">
      <c r="A707" s="289"/>
      <c r="B707" s="294" t="s">
        <v>346</v>
      </c>
      <c r="C707" s="291"/>
      <c r="D707" s="293"/>
      <c r="E707" s="293"/>
      <c r="F707" s="293"/>
      <c r="G707" s="293"/>
      <c r="H707" s="293"/>
    </row>
    <row r="708" spans="1:8" s="3" customFormat="1" ht="15" customHeight="1">
      <c r="A708" s="289" t="s">
        <v>347</v>
      </c>
      <c r="B708" s="294"/>
      <c r="C708" s="291"/>
      <c r="D708" s="293"/>
      <c r="E708" s="293"/>
      <c r="F708" s="293"/>
      <c r="G708" s="293"/>
      <c r="H708" s="293"/>
    </row>
    <row r="709" spans="1:8" s="3" customFormat="1" ht="15" customHeight="1">
      <c r="A709" s="289" t="s">
        <v>348</v>
      </c>
      <c r="B709" s="294"/>
      <c r="C709" s="291"/>
      <c r="D709" s="293"/>
      <c r="E709" s="293"/>
      <c r="F709" s="293"/>
      <c r="G709" s="293"/>
      <c r="H709" s="293"/>
    </row>
    <row r="710" spans="1:8" s="3" customFormat="1" ht="15" customHeight="1">
      <c r="A710" s="289" t="s">
        <v>349</v>
      </c>
      <c r="B710" s="294"/>
      <c r="C710" s="291"/>
      <c r="D710" s="293"/>
      <c r="E710" s="293"/>
      <c r="F710" s="293"/>
      <c r="G710" s="293"/>
      <c r="H710" s="293"/>
    </row>
    <row r="711" spans="1:8" s="3" customFormat="1" ht="15" customHeight="1">
      <c r="A711" s="289"/>
      <c r="B711" s="294"/>
      <c r="C711" s="291"/>
      <c r="D711" s="293"/>
      <c r="E711" s="293"/>
      <c r="F711" s="293"/>
      <c r="G711" s="293"/>
      <c r="H711" s="293"/>
    </row>
    <row r="712" spans="1:8" s="3" customFormat="1" ht="15" customHeight="1">
      <c r="A712" s="289"/>
      <c r="B712" s="310" t="s">
        <v>350</v>
      </c>
      <c r="C712" s="291"/>
      <c r="D712" s="293"/>
      <c r="E712" s="293"/>
      <c r="F712" s="293"/>
      <c r="G712" s="293"/>
      <c r="H712" s="293"/>
    </row>
    <row r="713" spans="1:8" s="3" customFormat="1" ht="15" customHeight="1">
      <c r="A713" s="289"/>
      <c r="B713" s="294" t="s">
        <v>351</v>
      </c>
      <c r="C713" s="291"/>
      <c r="D713" s="293"/>
      <c r="E713" s="293"/>
      <c r="F713" s="293"/>
      <c r="G713" s="293"/>
      <c r="H713" s="293"/>
    </row>
    <row r="714" spans="1:8" s="3" customFormat="1" ht="15" customHeight="1">
      <c r="A714" s="289"/>
      <c r="B714" s="330" t="s">
        <v>352</v>
      </c>
      <c r="C714" s="331" t="s">
        <v>353</v>
      </c>
      <c r="D714" s="293"/>
      <c r="E714" s="293"/>
      <c r="F714" s="293"/>
      <c r="G714" s="293"/>
      <c r="H714" s="293"/>
    </row>
    <row r="715" spans="1:8" s="3" customFormat="1" ht="15" customHeight="1">
      <c r="A715" s="289"/>
      <c r="B715" s="291" t="s">
        <v>267</v>
      </c>
      <c r="C715" s="294" t="s">
        <v>354</v>
      </c>
      <c r="D715" s="293"/>
      <c r="E715" s="293"/>
      <c r="F715" s="293"/>
      <c r="G715" s="293"/>
      <c r="H715" s="293"/>
    </row>
    <row r="716" spans="1:8" s="3" customFormat="1" ht="15" customHeight="1">
      <c r="A716" s="289"/>
      <c r="B716" s="330" t="s">
        <v>355</v>
      </c>
      <c r="C716" s="331" t="s">
        <v>356</v>
      </c>
      <c r="D716" s="293"/>
      <c r="E716" s="293"/>
      <c r="F716" s="293"/>
      <c r="G716" s="293"/>
      <c r="H716" s="293"/>
    </row>
    <row r="717" spans="1:8" s="3" customFormat="1" ht="15" customHeight="1">
      <c r="A717" s="289"/>
      <c r="B717" s="291" t="s">
        <v>267</v>
      </c>
      <c r="C717" s="294" t="s">
        <v>1371</v>
      </c>
      <c r="D717" s="293"/>
      <c r="E717" s="293"/>
      <c r="F717" s="293"/>
      <c r="G717" s="293"/>
      <c r="H717" s="293"/>
    </row>
    <row r="718" spans="1:8" s="3" customFormat="1" ht="15" customHeight="1">
      <c r="A718" s="289"/>
      <c r="B718" s="294"/>
      <c r="C718" s="294" t="s">
        <v>357</v>
      </c>
      <c r="D718" s="293"/>
      <c r="E718" s="293"/>
      <c r="F718" s="293"/>
      <c r="G718" s="293"/>
      <c r="H718" s="293"/>
    </row>
    <row r="719" spans="1:8" s="3" customFormat="1" ht="15" customHeight="1">
      <c r="A719" s="289"/>
      <c r="B719" s="330" t="s">
        <v>358</v>
      </c>
      <c r="C719" s="331" t="s">
        <v>359</v>
      </c>
      <c r="D719" s="293"/>
      <c r="E719" s="293"/>
      <c r="F719" s="293"/>
      <c r="G719" s="293"/>
      <c r="H719" s="293"/>
    </row>
    <row r="720" spans="1:8" s="3" customFormat="1" ht="15" customHeight="1">
      <c r="A720" s="289"/>
      <c r="B720" s="291" t="s">
        <v>267</v>
      </c>
      <c r="C720" s="294" t="s">
        <v>360</v>
      </c>
      <c r="D720" s="293"/>
      <c r="E720" s="293"/>
      <c r="F720" s="293"/>
      <c r="G720" s="293"/>
      <c r="H720" s="293"/>
    </row>
    <row r="721" spans="1:8" s="3" customFormat="1" ht="15" customHeight="1">
      <c r="A721" s="289"/>
      <c r="B721" s="294"/>
      <c r="C721" s="294" t="s">
        <v>1372</v>
      </c>
      <c r="D721" s="293"/>
      <c r="E721" s="293"/>
      <c r="F721" s="293"/>
      <c r="G721" s="293"/>
      <c r="H721" s="293"/>
    </row>
    <row r="722" spans="1:8" s="3" customFormat="1" ht="15" customHeight="1">
      <c r="A722" s="289"/>
      <c r="B722" s="294"/>
      <c r="C722" s="291"/>
      <c r="D722" s="293"/>
      <c r="E722" s="293"/>
      <c r="F722" s="293"/>
      <c r="G722" s="293"/>
      <c r="H722" s="293"/>
    </row>
    <row r="723" spans="1:8" s="3" customFormat="1" ht="15" customHeight="1">
      <c r="A723" s="289"/>
      <c r="B723" s="294" t="s">
        <v>361</v>
      </c>
      <c r="C723" s="291"/>
      <c r="D723" s="293"/>
      <c r="E723" s="293"/>
      <c r="F723" s="293"/>
      <c r="G723" s="293"/>
      <c r="H723" s="293"/>
    </row>
    <row r="724" spans="1:8" s="3" customFormat="1" ht="15" customHeight="1">
      <c r="A724" s="289" t="s">
        <v>362</v>
      </c>
      <c r="B724" s="294"/>
      <c r="C724" s="291"/>
      <c r="D724" s="293"/>
      <c r="E724" s="293"/>
      <c r="F724" s="293"/>
      <c r="G724" s="293"/>
      <c r="H724" s="293"/>
    </row>
    <row r="725" spans="1:8" s="3" customFormat="1" ht="15" customHeight="1">
      <c r="A725" s="289"/>
      <c r="B725" s="294" t="s">
        <v>1373</v>
      </c>
      <c r="C725" s="291"/>
      <c r="D725" s="293"/>
      <c r="E725" s="293"/>
      <c r="F725" s="293"/>
      <c r="G725" s="293"/>
      <c r="H725" s="293"/>
    </row>
    <row r="726" spans="1:8" s="3" customFormat="1" ht="15" customHeight="1">
      <c r="A726" s="289" t="s">
        <v>363</v>
      </c>
      <c r="B726" s="294"/>
      <c r="C726" s="291"/>
      <c r="D726" s="293"/>
      <c r="E726" s="293"/>
      <c r="F726" s="293"/>
      <c r="G726" s="293"/>
      <c r="H726" s="293"/>
    </row>
    <row r="727" spans="1:8" s="3" customFormat="1" ht="15" customHeight="1">
      <c r="A727" s="289"/>
      <c r="B727" s="294"/>
      <c r="C727" s="291"/>
      <c r="D727" s="293"/>
      <c r="E727" s="293"/>
      <c r="F727" s="293"/>
      <c r="G727" s="293"/>
      <c r="H727" s="293"/>
    </row>
    <row r="728" spans="1:8" s="3" customFormat="1" ht="15" customHeight="1">
      <c r="A728" s="289"/>
      <c r="B728" s="310" t="s">
        <v>116</v>
      </c>
      <c r="C728" s="291"/>
      <c r="D728" s="293"/>
      <c r="E728" s="293"/>
      <c r="F728" s="293"/>
      <c r="G728" s="293"/>
      <c r="H728" s="293"/>
    </row>
    <row r="729" spans="1:8" s="3" customFormat="1" ht="15" customHeight="1">
      <c r="A729" s="289"/>
      <c r="B729" s="294" t="s">
        <v>1374</v>
      </c>
      <c r="C729" s="291"/>
      <c r="D729" s="293"/>
      <c r="E729" s="293"/>
      <c r="F729" s="293"/>
      <c r="G729" s="293"/>
      <c r="H729" s="293"/>
    </row>
    <row r="730" spans="1:8" s="3" customFormat="1" ht="15" customHeight="1">
      <c r="A730" s="289"/>
      <c r="B730" s="294"/>
      <c r="C730" s="291"/>
      <c r="D730" s="293"/>
      <c r="E730" s="293"/>
      <c r="F730" s="293"/>
      <c r="G730" s="293"/>
      <c r="H730" s="293"/>
    </row>
    <row r="731" spans="1:8" s="3" customFormat="1" ht="15" customHeight="1">
      <c r="A731" s="289"/>
      <c r="B731" s="314" t="s">
        <v>364</v>
      </c>
      <c r="C731" s="291"/>
      <c r="D731" s="293"/>
      <c r="E731" s="293"/>
      <c r="F731" s="293"/>
      <c r="G731" s="293"/>
      <c r="H731" s="293"/>
    </row>
    <row r="732" spans="1:8" s="3" customFormat="1" ht="15" customHeight="1">
      <c r="A732" s="289"/>
      <c r="B732" s="294"/>
      <c r="C732" s="291"/>
      <c r="D732" s="293"/>
      <c r="E732" s="293"/>
      <c r="F732" s="293"/>
      <c r="G732" s="293"/>
      <c r="H732" s="293"/>
    </row>
    <row r="733" spans="1:8" s="3" customFormat="1" ht="15" customHeight="1">
      <c r="A733" s="289"/>
      <c r="B733" s="310" t="s">
        <v>116</v>
      </c>
      <c r="C733" s="291"/>
      <c r="D733" s="293"/>
      <c r="E733" s="293"/>
      <c r="F733" s="293"/>
      <c r="G733" s="293"/>
      <c r="H733" s="293"/>
    </row>
    <row r="734" spans="1:8" s="3" customFormat="1" ht="15" customHeight="1">
      <c r="A734" s="289"/>
      <c r="B734" s="294" t="s">
        <v>365</v>
      </c>
      <c r="C734" s="291"/>
      <c r="D734" s="293"/>
      <c r="E734" s="293"/>
      <c r="F734" s="293"/>
      <c r="G734" s="293"/>
      <c r="H734" s="293"/>
    </row>
    <row r="735" spans="1:8" s="3" customFormat="1" ht="15" customHeight="1">
      <c r="A735" s="289" t="s">
        <v>366</v>
      </c>
      <c r="B735" s="294"/>
      <c r="C735" s="291"/>
      <c r="D735" s="293"/>
      <c r="E735" s="293"/>
      <c r="F735" s="293"/>
      <c r="G735" s="293"/>
      <c r="H735" s="293"/>
    </row>
    <row r="736" spans="1:8" s="3" customFormat="1" ht="15" customHeight="1">
      <c r="A736" s="289"/>
      <c r="B736" s="294" t="s">
        <v>1375</v>
      </c>
      <c r="C736" s="291"/>
      <c r="D736" s="293"/>
      <c r="E736" s="293"/>
      <c r="F736" s="293"/>
      <c r="G736" s="293"/>
      <c r="H736" s="293"/>
    </row>
    <row r="737" spans="1:8" s="3" customFormat="1" ht="15" customHeight="1">
      <c r="A737" s="303"/>
      <c r="B737" s="303"/>
      <c r="C737" s="303"/>
      <c r="D737" s="303"/>
      <c r="E737" s="303"/>
      <c r="F737" s="303"/>
      <c r="G737" s="303"/>
      <c r="H737" s="303"/>
    </row>
    <row r="738" spans="1:8" s="3" customFormat="1" ht="15" customHeight="1">
      <c r="A738" s="309" t="s">
        <v>367</v>
      </c>
      <c r="B738" s="294"/>
      <c r="C738" s="291"/>
      <c r="D738" s="293"/>
      <c r="E738" s="293"/>
      <c r="F738" s="293"/>
      <c r="G738" s="293"/>
      <c r="H738" s="293"/>
    </row>
    <row r="739" spans="1:8" s="3" customFormat="1" ht="15" customHeight="1">
      <c r="A739" s="289"/>
      <c r="B739" s="294"/>
      <c r="C739" s="291"/>
      <c r="D739" s="293"/>
      <c r="E739" s="293"/>
      <c r="F739" s="293"/>
      <c r="G739" s="293"/>
      <c r="H739" s="293"/>
    </row>
    <row r="740" spans="1:8" s="3" customFormat="1" ht="15" customHeight="1">
      <c r="A740" s="289"/>
      <c r="B740" s="310" t="s">
        <v>81</v>
      </c>
      <c r="C740" s="305"/>
      <c r="D740" s="293"/>
      <c r="E740" s="293"/>
      <c r="F740" s="293"/>
      <c r="G740" s="293"/>
      <c r="H740" s="293"/>
    </row>
    <row r="741" spans="1:8" s="3" customFormat="1" ht="15" customHeight="1">
      <c r="A741" s="289"/>
      <c r="B741" s="294" t="s">
        <v>1376</v>
      </c>
      <c r="C741" s="305"/>
      <c r="D741" s="293"/>
      <c r="E741" s="293"/>
      <c r="F741" s="293"/>
      <c r="G741" s="293"/>
      <c r="H741" s="293"/>
    </row>
    <row r="742" spans="1:8" s="3" customFormat="1" ht="15" customHeight="1">
      <c r="A742" s="289" t="s">
        <v>368</v>
      </c>
      <c r="B742" s="294"/>
      <c r="C742" s="305"/>
      <c r="D742" s="293"/>
      <c r="E742" s="293"/>
      <c r="F742" s="293"/>
      <c r="G742" s="293"/>
      <c r="H742" s="293"/>
    </row>
    <row r="743" spans="1:8" s="3" customFormat="1" ht="15" customHeight="1">
      <c r="A743" s="289"/>
      <c r="B743" s="311" t="s">
        <v>68</v>
      </c>
      <c r="C743" s="312" t="s">
        <v>5063</v>
      </c>
      <c r="D743" s="293"/>
      <c r="E743" s="293"/>
      <c r="F743" s="293"/>
      <c r="G743" s="293"/>
      <c r="H743" s="293"/>
    </row>
    <row r="744" spans="1:8" s="3" customFormat="1" ht="15" customHeight="1">
      <c r="A744" s="289"/>
      <c r="B744" s="311" t="s">
        <v>68</v>
      </c>
      <c r="C744" s="332" t="s">
        <v>369</v>
      </c>
      <c r="D744" s="293"/>
      <c r="E744" s="293"/>
      <c r="F744" s="293"/>
      <c r="G744" s="293"/>
      <c r="H744" s="293"/>
    </row>
    <row r="745" spans="1:8" s="3" customFormat="1" ht="15" customHeight="1">
      <c r="A745" s="289"/>
      <c r="B745" s="311" t="s">
        <v>68</v>
      </c>
      <c r="C745" s="312" t="s">
        <v>5067</v>
      </c>
      <c r="D745" s="293"/>
      <c r="E745" s="293"/>
      <c r="F745" s="293"/>
      <c r="G745" s="293"/>
      <c r="H745" s="293"/>
    </row>
    <row r="746" spans="1:8" s="3" customFormat="1" ht="15" customHeight="1">
      <c r="A746" s="289"/>
      <c r="B746" s="311" t="s">
        <v>68</v>
      </c>
      <c r="C746" s="312" t="s">
        <v>5068</v>
      </c>
      <c r="D746" s="293"/>
      <c r="E746" s="293"/>
      <c r="F746" s="293"/>
      <c r="G746" s="293"/>
      <c r="H746" s="293"/>
    </row>
    <row r="747" spans="1:8" s="3" customFormat="1" ht="15" customHeight="1">
      <c r="A747" s="289"/>
      <c r="B747" s="311" t="s">
        <v>68</v>
      </c>
      <c r="C747" s="312" t="s">
        <v>5064</v>
      </c>
      <c r="D747" s="293"/>
      <c r="E747" s="293"/>
      <c r="F747" s="293"/>
      <c r="G747" s="293"/>
      <c r="H747" s="293"/>
    </row>
    <row r="748" spans="1:8" s="3" customFormat="1" ht="15" customHeight="1">
      <c r="A748" s="289"/>
      <c r="B748" s="311"/>
      <c r="C748" s="332"/>
      <c r="D748" s="292"/>
      <c r="E748" s="293"/>
      <c r="F748" s="293"/>
      <c r="G748" s="293"/>
      <c r="H748" s="293"/>
    </row>
    <row r="749" spans="1:8" s="3" customFormat="1" ht="15" customHeight="1">
      <c r="A749" s="289"/>
      <c r="B749" s="294" t="s">
        <v>1276</v>
      </c>
      <c r="C749" s="291"/>
      <c r="D749" s="293"/>
      <c r="E749" s="293"/>
      <c r="F749" s="293"/>
      <c r="G749" s="293"/>
      <c r="H749" s="293"/>
    </row>
    <row r="750" spans="1:8" s="3" customFormat="1" ht="15" customHeight="1">
      <c r="A750" s="294" t="s">
        <v>1277</v>
      </c>
      <c r="B750" s="294"/>
      <c r="C750" s="291"/>
      <c r="D750" s="293"/>
      <c r="E750" s="293"/>
      <c r="F750" s="293"/>
      <c r="G750" s="293"/>
      <c r="H750" s="293"/>
    </row>
    <row r="751" spans="1:8" s="3" customFormat="1" ht="15" customHeight="1">
      <c r="A751" s="294" t="s">
        <v>370</v>
      </c>
      <c r="B751" s="305"/>
      <c r="C751" s="291"/>
      <c r="D751" s="293"/>
      <c r="E751" s="293"/>
      <c r="F751" s="293"/>
      <c r="G751" s="293"/>
      <c r="H751" s="293"/>
    </row>
    <row r="752" spans="1:8" s="3" customFormat="1" ht="15" customHeight="1">
      <c r="A752" s="289"/>
      <c r="B752" s="296" t="s">
        <v>371</v>
      </c>
      <c r="C752" s="291"/>
      <c r="D752" s="293"/>
      <c r="E752" s="293"/>
      <c r="F752" s="293"/>
      <c r="G752" s="293"/>
      <c r="H752" s="293"/>
    </row>
    <row r="753" spans="1:8" s="3" customFormat="1" ht="15" customHeight="1">
      <c r="A753" s="289"/>
      <c r="B753" s="296" t="s">
        <v>372</v>
      </c>
      <c r="C753" s="291"/>
      <c r="D753" s="293"/>
      <c r="E753" s="293"/>
      <c r="F753" s="293"/>
      <c r="G753" s="293"/>
      <c r="H753" s="293"/>
    </row>
    <row r="754" spans="1:8" s="3" customFormat="1" ht="15" customHeight="1">
      <c r="A754" s="289" t="s">
        <v>373</v>
      </c>
      <c r="B754" s="294"/>
      <c r="C754" s="291"/>
      <c r="D754" s="293"/>
      <c r="E754" s="293"/>
      <c r="F754" s="293"/>
      <c r="G754" s="293"/>
      <c r="H754" s="293"/>
    </row>
    <row r="755" spans="1:8" s="3" customFormat="1" ht="15" customHeight="1">
      <c r="A755" s="289"/>
      <c r="B755" s="294"/>
      <c r="C755" s="291"/>
      <c r="D755" s="293"/>
      <c r="E755" s="293"/>
      <c r="F755" s="293"/>
      <c r="G755" s="293"/>
      <c r="H755" s="293"/>
    </row>
    <row r="756" spans="1:8" s="3" customFormat="1" ht="15" customHeight="1">
      <c r="A756" s="289"/>
      <c r="B756" s="333" t="s">
        <v>1377</v>
      </c>
      <c r="C756" s="291"/>
      <c r="D756" s="293"/>
      <c r="E756" s="293"/>
      <c r="F756" s="293"/>
      <c r="G756" s="293"/>
      <c r="H756" s="293"/>
    </row>
    <row r="757" spans="1:8" s="3" customFormat="1" ht="15" customHeight="1">
      <c r="A757" s="289" t="s">
        <v>1378</v>
      </c>
      <c r="B757" s="294"/>
      <c r="C757" s="291"/>
      <c r="D757" s="293"/>
      <c r="E757" s="293"/>
      <c r="F757" s="293"/>
      <c r="G757" s="293"/>
      <c r="H757" s="293"/>
    </row>
    <row r="758" spans="1:8" s="3" customFormat="1" ht="15" customHeight="1">
      <c r="A758" s="289" t="s">
        <v>1379</v>
      </c>
      <c r="B758" s="294"/>
      <c r="C758" s="291"/>
      <c r="D758" s="293"/>
      <c r="E758" s="293"/>
      <c r="F758" s="293"/>
      <c r="G758" s="293"/>
      <c r="H758" s="293"/>
    </row>
    <row r="759" spans="1:8" s="3" customFormat="1" ht="15" customHeight="1">
      <c r="A759" s="289"/>
      <c r="B759" s="294"/>
      <c r="C759" s="291"/>
      <c r="D759" s="293"/>
      <c r="E759" s="293"/>
      <c r="F759" s="293"/>
      <c r="G759" s="293"/>
      <c r="H759" s="293"/>
    </row>
    <row r="760" spans="1:8" s="3" customFormat="1" ht="15" customHeight="1">
      <c r="A760" s="289"/>
      <c r="B760" s="333" t="s">
        <v>1380</v>
      </c>
      <c r="C760" s="291"/>
      <c r="D760" s="293"/>
      <c r="E760" s="293"/>
      <c r="F760" s="293"/>
      <c r="G760" s="293"/>
      <c r="H760" s="293"/>
    </row>
    <row r="761" spans="1:8" s="3" customFormat="1" ht="15" customHeight="1">
      <c r="A761" s="289" t="s">
        <v>1381</v>
      </c>
      <c r="B761" s="294"/>
      <c r="C761" s="291"/>
      <c r="D761" s="293"/>
      <c r="E761" s="293"/>
      <c r="F761" s="293"/>
      <c r="G761" s="293"/>
      <c r="H761" s="293"/>
    </row>
    <row r="762" spans="1:8" s="3" customFormat="1" ht="15" customHeight="1">
      <c r="A762" s="289" t="s">
        <v>1379</v>
      </c>
      <c r="B762" s="294"/>
      <c r="C762" s="291"/>
      <c r="D762" s="293"/>
      <c r="E762" s="293"/>
      <c r="F762" s="293"/>
      <c r="G762" s="293"/>
      <c r="H762" s="293"/>
    </row>
    <row r="763" spans="1:8" s="3" customFormat="1" ht="15" customHeight="1">
      <c r="A763" s="289"/>
      <c r="B763" s="294"/>
      <c r="C763" s="291"/>
      <c r="D763" s="293"/>
      <c r="E763" s="293"/>
      <c r="F763" s="293"/>
      <c r="G763" s="293"/>
      <c r="H763" s="293"/>
    </row>
    <row r="764" spans="1:8" s="3" customFormat="1" ht="15" customHeight="1">
      <c r="A764" s="289"/>
      <c r="B764" s="333" t="s">
        <v>1382</v>
      </c>
      <c r="C764" s="291"/>
      <c r="D764" s="293"/>
      <c r="E764" s="293"/>
      <c r="F764" s="293"/>
      <c r="G764" s="293"/>
      <c r="H764" s="293"/>
    </row>
    <row r="765" spans="1:8" s="3" customFormat="1" ht="15" customHeight="1">
      <c r="A765" s="289" t="s">
        <v>1383</v>
      </c>
      <c r="B765" s="294"/>
      <c r="C765" s="291"/>
      <c r="D765" s="293"/>
      <c r="E765" s="293"/>
      <c r="F765" s="293"/>
      <c r="G765" s="293"/>
      <c r="H765" s="293"/>
    </row>
    <row r="766" spans="1:8" s="3" customFormat="1" ht="15" customHeight="1">
      <c r="A766" s="289" t="s">
        <v>1379</v>
      </c>
      <c r="B766" s="294"/>
      <c r="C766" s="291"/>
      <c r="D766" s="293"/>
      <c r="E766" s="293"/>
      <c r="F766" s="293"/>
      <c r="G766" s="293"/>
      <c r="H766" s="293"/>
    </row>
    <row r="767" spans="1:8" s="3" customFormat="1" ht="15" customHeight="1">
      <c r="A767" s="289"/>
      <c r="B767" s="294"/>
      <c r="C767" s="291"/>
      <c r="D767" s="293"/>
      <c r="E767" s="293"/>
      <c r="F767" s="293"/>
      <c r="G767" s="293"/>
      <c r="H767" s="293"/>
    </row>
    <row r="768" spans="1:8" s="3" customFormat="1" ht="15" customHeight="1">
      <c r="A768" s="289"/>
      <c r="B768" s="333" t="s">
        <v>1384</v>
      </c>
      <c r="C768" s="291"/>
      <c r="D768" s="293"/>
      <c r="E768" s="293"/>
      <c r="F768" s="293"/>
      <c r="G768" s="293"/>
      <c r="H768" s="293"/>
    </row>
    <row r="769" spans="1:8" s="3" customFormat="1" ht="15" customHeight="1">
      <c r="A769" s="289" t="s">
        <v>1385</v>
      </c>
      <c r="B769" s="294"/>
      <c r="C769" s="291"/>
      <c r="D769" s="293"/>
      <c r="E769" s="293"/>
      <c r="F769" s="293"/>
      <c r="G769" s="293"/>
      <c r="H769" s="293"/>
    </row>
    <row r="770" spans="1:8" s="3" customFormat="1" ht="15" customHeight="1">
      <c r="A770" s="289" t="s">
        <v>1379</v>
      </c>
      <c r="B770" s="294"/>
      <c r="C770" s="291"/>
      <c r="D770" s="293"/>
      <c r="E770" s="293"/>
      <c r="F770" s="293"/>
      <c r="G770" s="293"/>
      <c r="H770" s="293"/>
    </row>
    <row r="771" spans="1:8" s="3" customFormat="1" ht="15" customHeight="1">
      <c r="A771" s="289"/>
      <c r="B771" s="294"/>
      <c r="C771" s="291"/>
      <c r="D771" s="293"/>
      <c r="E771" s="293"/>
      <c r="F771" s="293"/>
      <c r="G771" s="293"/>
      <c r="H771" s="293"/>
    </row>
    <row r="772" spans="1:8" s="3" customFormat="1" ht="15" customHeight="1">
      <c r="A772" s="289"/>
      <c r="B772" s="310" t="s">
        <v>116</v>
      </c>
      <c r="C772" s="291"/>
      <c r="D772" s="293"/>
      <c r="E772" s="293"/>
      <c r="F772" s="293"/>
      <c r="G772" s="293"/>
      <c r="H772" s="293"/>
    </row>
    <row r="773" spans="1:8" s="3" customFormat="1" ht="15" customHeight="1">
      <c r="A773" s="289"/>
      <c r="B773" s="294" t="s">
        <v>374</v>
      </c>
      <c r="C773" s="291"/>
      <c r="D773" s="293"/>
      <c r="E773" s="293"/>
      <c r="F773" s="293"/>
      <c r="G773" s="293"/>
      <c r="H773" s="293"/>
    </row>
    <row r="774" spans="1:8" s="3" customFormat="1" ht="15" customHeight="1">
      <c r="A774" s="303"/>
      <c r="B774" s="303"/>
      <c r="C774" s="303"/>
      <c r="D774" s="303"/>
      <c r="E774" s="303"/>
      <c r="F774" s="303"/>
      <c r="G774" s="303"/>
      <c r="H774" s="303"/>
    </row>
    <row r="775" spans="1:8" s="3" customFormat="1" ht="15" customHeight="1">
      <c r="A775" s="309" t="s">
        <v>375</v>
      </c>
      <c r="B775" s="294"/>
      <c r="C775" s="291"/>
      <c r="D775" s="293"/>
      <c r="E775" s="293"/>
      <c r="F775" s="293"/>
      <c r="G775" s="293"/>
      <c r="H775" s="293"/>
    </row>
    <row r="776" spans="1:8" s="3" customFormat="1" ht="15" customHeight="1">
      <c r="A776" s="289"/>
      <c r="B776" s="294"/>
      <c r="C776" s="291"/>
      <c r="D776" s="293"/>
      <c r="E776" s="293"/>
      <c r="F776" s="293"/>
      <c r="G776" s="293"/>
      <c r="H776" s="293"/>
    </row>
    <row r="777" spans="1:8" s="3" customFormat="1" ht="15" customHeight="1">
      <c r="A777" s="289"/>
      <c r="B777" s="314" t="s">
        <v>376</v>
      </c>
      <c r="C777" s="291"/>
      <c r="D777" s="293"/>
      <c r="E777" s="293"/>
      <c r="F777" s="293"/>
      <c r="G777" s="293"/>
      <c r="H777" s="293"/>
    </row>
    <row r="778" spans="1:8" s="3" customFormat="1" ht="15" customHeight="1">
      <c r="A778" s="289"/>
      <c r="B778" s="294"/>
      <c r="C778" s="291"/>
      <c r="D778" s="293"/>
      <c r="E778" s="293"/>
      <c r="F778" s="293"/>
      <c r="G778" s="293"/>
      <c r="H778" s="293"/>
    </row>
    <row r="779" spans="1:8" s="3" customFormat="1" ht="15" customHeight="1">
      <c r="A779" s="289"/>
      <c r="B779" s="310" t="s">
        <v>81</v>
      </c>
      <c r="C779" s="291"/>
      <c r="D779" s="293"/>
      <c r="E779" s="293"/>
      <c r="F779" s="293"/>
      <c r="G779" s="293"/>
      <c r="H779" s="293"/>
    </row>
    <row r="780" spans="1:8" s="3" customFormat="1" ht="15" customHeight="1">
      <c r="A780" s="289"/>
      <c r="B780" s="294" t="s">
        <v>377</v>
      </c>
      <c r="C780" s="291"/>
      <c r="D780" s="293"/>
      <c r="E780" s="293"/>
      <c r="F780" s="293"/>
      <c r="G780" s="293"/>
      <c r="H780" s="293"/>
    </row>
    <row r="781" spans="1:8" s="3" customFormat="1" ht="15" customHeight="1">
      <c r="A781" s="289" t="s">
        <v>368</v>
      </c>
      <c r="B781" s="294"/>
      <c r="C781" s="291"/>
      <c r="D781" s="293"/>
      <c r="E781" s="293"/>
      <c r="F781" s="293"/>
      <c r="G781" s="293"/>
      <c r="H781" s="293"/>
    </row>
    <row r="782" spans="1:8" s="3" customFormat="1" ht="15" customHeight="1">
      <c r="A782" s="289"/>
      <c r="B782" s="311" t="s">
        <v>68</v>
      </c>
      <c r="C782" s="312" t="s">
        <v>5063</v>
      </c>
      <c r="D782" s="293"/>
      <c r="E782" s="293"/>
      <c r="F782" s="293"/>
      <c r="G782" s="293"/>
      <c r="H782" s="293"/>
    </row>
    <row r="783" spans="1:8" s="3" customFormat="1" ht="15" customHeight="1">
      <c r="A783" s="289"/>
      <c r="B783" s="311" t="s">
        <v>68</v>
      </c>
      <c r="C783" s="312" t="s">
        <v>5067</v>
      </c>
      <c r="D783" s="293"/>
      <c r="E783" s="293"/>
      <c r="F783" s="293"/>
      <c r="G783" s="293"/>
      <c r="H783" s="293"/>
    </row>
    <row r="784" spans="1:8" s="3" customFormat="1" ht="15" customHeight="1">
      <c r="A784" s="289"/>
      <c r="B784" s="311" t="s">
        <v>68</v>
      </c>
      <c r="C784" s="312" t="s">
        <v>5068</v>
      </c>
      <c r="D784" s="293"/>
      <c r="E784" s="293"/>
      <c r="F784" s="293"/>
      <c r="G784" s="293"/>
      <c r="H784" s="293"/>
    </row>
    <row r="785" spans="1:8" s="3" customFormat="1" ht="15" customHeight="1">
      <c r="A785" s="289"/>
      <c r="B785" s="311" t="s">
        <v>68</v>
      </c>
      <c r="C785" s="312" t="s">
        <v>5064</v>
      </c>
      <c r="D785" s="293"/>
      <c r="E785" s="293"/>
      <c r="F785" s="293"/>
      <c r="G785" s="293"/>
      <c r="H785" s="293"/>
    </row>
    <row r="786" spans="1:8" s="3" customFormat="1" ht="15" customHeight="1">
      <c r="A786" s="289"/>
      <c r="B786" s="311"/>
      <c r="C786" s="312" t="s">
        <v>1240</v>
      </c>
      <c r="D786" s="292"/>
      <c r="E786" s="293"/>
      <c r="F786" s="293"/>
      <c r="G786" s="293"/>
      <c r="H786" s="293"/>
    </row>
    <row r="787" spans="1:8" s="3" customFormat="1" ht="15" customHeight="1">
      <c r="A787" s="289"/>
      <c r="B787" s="311"/>
      <c r="C787" s="312"/>
      <c r="D787" s="293"/>
      <c r="E787" s="293"/>
      <c r="F787" s="293"/>
      <c r="G787" s="293"/>
      <c r="H787" s="293"/>
    </row>
    <row r="788" spans="1:8" s="3" customFormat="1" ht="15" customHeight="1">
      <c r="A788" s="289"/>
      <c r="B788" s="310" t="s">
        <v>323</v>
      </c>
      <c r="C788" s="291"/>
      <c r="D788" s="293"/>
      <c r="E788" s="293"/>
      <c r="F788" s="293"/>
      <c r="G788" s="293"/>
      <c r="H788" s="293"/>
    </row>
    <row r="789" spans="1:8" s="3" customFormat="1" ht="15" customHeight="1">
      <c r="A789" s="289"/>
      <c r="B789" s="294" t="s">
        <v>1276</v>
      </c>
      <c r="C789" s="291"/>
      <c r="D789" s="293"/>
      <c r="E789" s="293"/>
      <c r="F789" s="293"/>
      <c r="G789" s="293"/>
      <c r="H789" s="293"/>
    </row>
    <row r="790" spans="1:8" s="3" customFormat="1" ht="15" customHeight="1">
      <c r="A790" s="294" t="s">
        <v>1277</v>
      </c>
      <c r="B790" s="294"/>
      <c r="C790" s="291"/>
      <c r="D790" s="293"/>
      <c r="E790" s="293"/>
      <c r="F790" s="293"/>
      <c r="G790" s="293"/>
      <c r="H790" s="293"/>
    </row>
    <row r="791" spans="1:8" s="3" customFormat="1" ht="15" customHeight="1">
      <c r="A791" s="294" t="s">
        <v>370</v>
      </c>
      <c r="B791" s="305"/>
      <c r="C791" s="291"/>
      <c r="D791" s="293"/>
      <c r="E791" s="293"/>
      <c r="F791" s="293"/>
      <c r="G791" s="293"/>
      <c r="H791" s="293"/>
    </row>
    <row r="792" spans="1:8" s="3" customFormat="1" ht="15" customHeight="1">
      <c r="A792" s="289"/>
      <c r="B792" s="294" t="s">
        <v>378</v>
      </c>
      <c r="C792" s="291"/>
      <c r="D792" s="293"/>
      <c r="E792" s="293"/>
      <c r="F792" s="293"/>
      <c r="G792" s="293"/>
      <c r="H792" s="293"/>
    </row>
    <row r="793" spans="1:8" s="3" customFormat="1" ht="15" customHeight="1">
      <c r="A793" s="289" t="s">
        <v>379</v>
      </c>
      <c r="B793" s="294"/>
      <c r="C793" s="291"/>
      <c r="D793" s="293"/>
      <c r="E793" s="293"/>
      <c r="F793" s="293"/>
      <c r="G793" s="293"/>
      <c r="H793" s="293"/>
    </row>
    <row r="794" spans="1:8" s="3" customFormat="1" ht="15" customHeight="1">
      <c r="A794" s="289" t="s">
        <v>380</v>
      </c>
      <c r="B794" s="294"/>
      <c r="C794" s="291"/>
      <c r="D794" s="293"/>
      <c r="E794" s="293"/>
      <c r="F794" s="293"/>
      <c r="G794" s="293"/>
      <c r="H794" s="293"/>
    </row>
    <row r="795" spans="1:8" s="3" customFormat="1" ht="15" customHeight="1">
      <c r="A795" s="289" t="s">
        <v>381</v>
      </c>
      <c r="B795" s="294"/>
      <c r="C795" s="291"/>
      <c r="D795" s="293"/>
      <c r="E795" s="293"/>
      <c r="F795" s="293"/>
      <c r="G795" s="293"/>
      <c r="H795" s="293"/>
    </row>
    <row r="796" spans="1:8" s="3" customFormat="1" ht="15" customHeight="1">
      <c r="A796" s="289"/>
      <c r="B796" s="294" t="s">
        <v>382</v>
      </c>
      <c r="C796" s="291"/>
      <c r="D796" s="293"/>
      <c r="E796" s="293"/>
      <c r="F796" s="293"/>
      <c r="G796" s="293"/>
      <c r="H796" s="293"/>
    </row>
    <row r="797" spans="1:8" s="3" customFormat="1" ht="15" customHeight="1">
      <c r="A797" s="289" t="s">
        <v>1386</v>
      </c>
      <c r="B797" s="294"/>
      <c r="C797" s="291"/>
      <c r="D797" s="293"/>
      <c r="E797" s="293"/>
      <c r="F797" s="293"/>
      <c r="G797" s="293"/>
      <c r="H797" s="293"/>
    </row>
    <row r="798" spans="1:8" s="3" customFormat="1" ht="15" customHeight="1">
      <c r="A798" s="289" t="s">
        <v>1387</v>
      </c>
      <c r="B798" s="294"/>
      <c r="C798" s="291"/>
      <c r="D798" s="293"/>
      <c r="E798" s="293"/>
      <c r="F798" s="293"/>
      <c r="G798" s="293"/>
      <c r="H798" s="293"/>
    </row>
    <row r="799" spans="1:8" s="3" customFormat="1" ht="15" customHeight="1">
      <c r="A799" s="289"/>
      <c r="B799" s="294"/>
      <c r="C799" s="291"/>
      <c r="D799" s="293"/>
      <c r="E799" s="293"/>
      <c r="F799" s="293"/>
      <c r="G799" s="293"/>
      <c r="H799" s="293"/>
    </row>
    <row r="800" spans="1:8" s="3" customFormat="1" ht="15" customHeight="1">
      <c r="A800" s="289"/>
      <c r="B800" s="310" t="s">
        <v>116</v>
      </c>
      <c r="C800" s="291"/>
      <c r="D800" s="293"/>
      <c r="E800" s="293"/>
      <c r="F800" s="293"/>
      <c r="G800" s="293"/>
      <c r="H800" s="293"/>
    </row>
    <row r="801" spans="1:8" s="3" customFormat="1" ht="15" customHeight="1">
      <c r="A801" s="289"/>
      <c r="B801" s="294" t="s">
        <v>383</v>
      </c>
      <c r="C801" s="291"/>
      <c r="D801" s="293"/>
      <c r="E801" s="293"/>
      <c r="F801" s="293"/>
      <c r="G801" s="293"/>
      <c r="H801" s="293"/>
    </row>
    <row r="802" spans="1:8" s="3" customFormat="1" ht="15" customHeight="1">
      <c r="A802" s="289"/>
      <c r="B802" s="294"/>
      <c r="C802" s="291"/>
      <c r="D802" s="293"/>
      <c r="E802" s="293"/>
      <c r="F802" s="293"/>
      <c r="G802" s="293"/>
      <c r="H802" s="293"/>
    </row>
    <row r="803" spans="1:8" s="3" customFormat="1" ht="15" customHeight="1">
      <c r="A803" s="289"/>
      <c r="B803" s="314" t="s">
        <v>384</v>
      </c>
      <c r="C803" s="291"/>
      <c r="D803" s="293"/>
      <c r="E803" s="293"/>
      <c r="F803" s="293"/>
      <c r="G803" s="293"/>
      <c r="H803" s="293"/>
    </row>
    <row r="804" spans="1:8" s="3" customFormat="1" ht="15" customHeight="1">
      <c r="A804" s="289"/>
      <c r="B804" s="294"/>
      <c r="C804" s="291"/>
      <c r="D804" s="293"/>
      <c r="E804" s="293"/>
      <c r="F804" s="293"/>
      <c r="G804" s="293"/>
      <c r="H804" s="293"/>
    </row>
    <row r="805" spans="1:8" s="3" customFormat="1" ht="15" customHeight="1">
      <c r="A805" s="289"/>
      <c r="B805" s="310" t="s">
        <v>81</v>
      </c>
      <c r="C805" s="291"/>
      <c r="D805" s="293"/>
      <c r="E805" s="293"/>
      <c r="F805" s="293"/>
      <c r="G805" s="293"/>
      <c r="H805" s="293"/>
    </row>
    <row r="806" spans="1:8" s="3" customFormat="1" ht="15" customHeight="1">
      <c r="A806" s="289"/>
      <c r="B806" s="294" t="s">
        <v>385</v>
      </c>
      <c r="C806" s="291"/>
      <c r="D806" s="293"/>
      <c r="E806" s="293"/>
      <c r="F806" s="293"/>
      <c r="G806" s="293"/>
      <c r="H806" s="293"/>
    </row>
    <row r="807" spans="1:8" s="3" customFormat="1" ht="15" customHeight="1">
      <c r="A807" s="289" t="s">
        <v>368</v>
      </c>
      <c r="B807" s="294"/>
      <c r="C807" s="291"/>
      <c r="D807" s="293"/>
      <c r="E807" s="293"/>
      <c r="F807" s="293"/>
      <c r="G807" s="293"/>
      <c r="H807" s="293"/>
    </row>
    <row r="808" spans="1:8" s="3" customFormat="1" ht="15" customHeight="1">
      <c r="A808" s="289"/>
      <c r="B808" s="311" t="s">
        <v>68</v>
      </c>
      <c r="C808" s="312" t="s">
        <v>5063</v>
      </c>
      <c r="D808" s="293"/>
      <c r="E808" s="293"/>
      <c r="F808" s="293"/>
      <c r="G808" s="293"/>
      <c r="H808" s="293"/>
    </row>
    <row r="809" spans="1:8" s="3" customFormat="1" ht="15" customHeight="1">
      <c r="A809" s="289"/>
      <c r="B809" s="311" t="s">
        <v>68</v>
      </c>
      <c r="C809" s="312" t="s">
        <v>5067</v>
      </c>
      <c r="D809" s="293"/>
      <c r="E809" s="293"/>
      <c r="F809" s="293"/>
      <c r="G809" s="293"/>
      <c r="H809" s="293"/>
    </row>
    <row r="810" spans="1:8" s="3" customFormat="1" ht="15" customHeight="1">
      <c r="A810" s="289"/>
      <c r="B810" s="311" t="s">
        <v>68</v>
      </c>
      <c r="C810" s="312" t="s">
        <v>5068</v>
      </c>
      <c r="D810" s="293"/>
      <c r="E810" s="293"/>
      <c r="F810" s="293"/>
      <c r="G810" s="293"/>
      <c r="H810" s="293"/>
    </row>
    <row r="811" spans="1:8" s="3" customFormat="1" ht="15" customHeight="1">
      <c r="A811" s="289"/>
      <c r="B811" s="311" t="s">
        <v>68</v>
      </c>
      <c r="C811" s="312" t="s">
        <v>5064</v>
      </c>
      <c r="D811" s="293"/>
      <c r="E811" s="293"/>
      <c r="F811" s="293"/>
      <c r="G811" s="293"/>
      <c r="H811" s="293"/>
    </row>
    <row r="812" spans="1:8" s="3" customFormat="1" ht="15" customHeight="1">
      <c r="A812" s="289"/>
      <c r="B812" s="294"/>
      <c r="C812" s="291"/>
      <c r="D812" s="293"/>
      <c r="E812" s="293"/>
      <c r="F812" s="293"/>
      <c r="G812" s="293"/>
      <c r="H812" s="293"/>
    </row>
    <row r="813" spans="1:8" s="3" customFormat="1" ht="15" customHeight="1">
      <c r="A813" s="289"/>
      <c r="B813" s="310" t="s">
        <v>323</v>
      </c>
      <c r="C813" s="291"/>
      <c r="D813" s="293"/>
      <c r="E813" s="293"/>
      <c r="F813" s="293"/>
      <c r="G813" s="293"/>
      <c r="H813" s="293"/>
    </row>
    <row r="814" spans="1:8" s="3" customFormat="1" ht="15" customHeight="1">
      <c r="A814" s="289"/>
      <c r="B814" s="294" t="s">
        <v>1276</v>
      </c>
      <c r="C814" s="291"/>
      <c r="D814" s="293"/>
      <c r="E814" s="293"/>
      <c r="F814" s="293"/>
      <c r="G814" s="293"/>
      <c r="H814" s="293"/>
    </row>
    <row r="815" spans="1:8" s="3" customFormat="1" ht="15" customHeight="1">
      <c r="A815" s="294" t="s">
        <v>1277</v>
      </c>
      <c r="B815" s="294"/>
      <c r="C815" s="291"/>
      <c r="D815" s="293"/>
      <c r="E815" s="293"/>
      <c r="F815" s="293"/>
      <c r="G815" s="293"/>
      <c r="H815" s="293"/>
    </row>
    <row r="816" spans="1:8" s="3" customFormat="1" ht="15" customHeight="1">
      <c r="A816" s="294" t="s">
        <v>370</v>
      </c>
      <c r="B816" s="305"/>
      <c r="C816" s="291"/>
      <c r="D816" s="293"/>
      <c r="E816" s="293"/>
      <c r="F816" s="293"/>
      <c r="G816" s="293"/>
      <c r="H816" s="293"/>
    </row>
    <row r="817" spans="1:8" s="3" customFormat="1" ht="15" customHeight="1">
      <c r="A817" s="289"/>
      <c r="B817" s="294" t="s">
        <v>1388</v>
      </c>
      <c r="C817" s="291"/>
      <c r="D817" s="293"/>
      <c r="E817" s="316"/>
      <c r="F817" s="294"/>
      <c r="G817" s="293"/>
      <c r="H817" s="293"/>
    </row>
    <row r="818" spans="1:8" s="3" customFormat="1" ht="15" customHeight="1">
      <c r="A818" s="289" t="s">
        <v>1389</v>
      </c>
      <c r="B818" s="294"/>
      <c r="C818" s="291"/>
      <c r="D818" s="293"/>
      <c r="E818" s="316"/>
      <c r="F818" s="294"/>
      <c r="G818" s="293"/>
      <c r="H818" s="293"/>
    </row>
    <row r="819" spans="1:8" s="3" customFormat="1" ht="15" customHeight="1">
      <c r="A819" s="289"/>
      <c r="B819" s="294"/>
      <c r="C819" s="291"/>
      <c r="D819" s="293"/>
      <c r="E819" s="293"/>
      <c r="F819" s="293"/>
      <c r="G819" s="293"/>
      <c r="H819" s="293"/>
    </row>
    <row r="820" spans="1:8" s="3" customFormat="1" ht="15" customHeight="1">
      <c r="A820" s="289"/>
      <c r="B820" s="310" t="s">
        <v>116</v>
      </c>
      <c r="C820" s="291"/>
      <c r="D820" s="293"/>
      <c r="E820" s="293"/>
      <c r="F820" s="293"/>
      <c r="G820" s="293"/>
      <c r="H820" s="293"/>
    </row>
    <row r="821" spans="1:8" s="3" customFormat="1" ht="15" customHeight="1">
      <c r="A821" s="289"/>
      <c r="B821" s="294" t="s">
        <v>1390</v>
      </c>
      <c r="C821" s="291"/>
      <c r="D821" s="293"/>
      <c r="E821" s="293"/>
      <c r="F821" s="293"/>
      <c r="G821" s="293"/>
      <c r="H821" s="293"/>
    </row>
    <row r="822" spans="1:8" s="3" customFormat="1" ht="15" customHeight="1">
      <c r="A822" s="303"/>
      <c r="B822" s="303"/>
      <c r="C822" s="303"/>
      <c r="D822" s="303"/>
      <c r="E822" s="303"/>
      <c r="F822" s="303"/>
      <c r="G822" s="303"/>
      <c r="H822" s="303"/>
    </row>
    <row r="823" spans="1:8" s="3" customFormat="1" ht="15" customHeight="1">
      <c r="A823" s="309" t="s">
        <v>386</v>
      </c>
      <c r="B823" s="294"/>
      <c r="C823" s="291"/>
      <c r="D823" s="293"/>
      <c r="E823" s="293"/>
      <c r="F823" s="293"/>
      <c r="G823" s="293"/>
      <c r="H823" s="293"/>
    </row>
    <row r="824" spans="1:8" s="3" customFormat="1" ht="15" customHeight="1">
      <c r="A824" s="289"/>
      <c r="B824" s="294"/>
      <c r="C824" s="291"/>
      <c r="D824" s="293"/>
      <c r="E824" s="293"/>
      <c r="F824" s="293"/>
      <c r="G824" s="293"/>
      <c r="H824" s="293"/>
    </row>
    <row r="825" spans="1:8" s="3" customFormat="1" ht="15" customHeight="1">
      <c r="A825" s="289"/>
      <c r="B825" s="310" t="s">
        <v>81</v>
      </c>
      <c r="C825" s="291"/>
      <c r="D825" s="293"/>
      <c r="E825" s="293"/>
      <c r="F825" s="293"/>
      <c r="G825" s="293"/>
      <c r="H825" s="293"/>
    </row>
    <row r="826" spans="1:8" s="3" customFormat="1" ht="15" customHeight="1">
      <c r="A826" s="289"/>
      <c r="B826" s="294" t="s">
        <v>387</v>
      </c>
      <c r="C826" s="291"/>
      <c r="D826" s="293"/>
      <c r="E826" s="293"/>
      <c r="F826" s="293"/>
      <c r="G826" s="293"/>
      <c r="H826" s="293"/>
    </row>
    <row r="827" spans="1:8" s="3" customFormat="1" ht="15" customHeight="1">
      <c r="A827" s="289" t="s">
        <v>368</v>
      </c>
      <c r="B827" s="294"/>
      <c r="C827" s="291"/>
      <c r="D827" s="293"/>
      <c r="E827" s="293"/>
      <c r="F827" s="293"/>
      <c r="G827" s="293"/>
      <c r="H827" s="293"/>
    </row>
    <row r="828" spans="1:8" s="3" customFormat="1" ht="15" customHeight="1">
      <c r="A828" s="289"/>
      <c r="B828" s="311" t="s">
        <v>68</v>
      </c>
      <c r="C828" s="312" t="s">
        <v>5063</v>
      </c>
      <c r="D828" s="293"/>
      <c r="E828" s="293"/>
      <c r="F828" s="293"/>
      <c r="G828" s="293"/>
      <c r="H828" s="293"/>
    </row>
    <row r="829" spans="1:8" s="3" customFormat="1" ht="15" customHeight="1">
      <c r="A829" s="289"/>
      <c r="B829" s="311" t="s">
        <v>68</v>
      </c>
      <c r="C829" s="312" t="s">
        <v>5067</v>
      </c>
      <c r="D829" s="293"/>
      <c r="E829" s="293"/>
      <c r="F829" s="293"/>
      <c r="G829" s="293"/>
      <c r="H829" s="293"/>
    </row>
    <row r="830" spans="1:8" s="3" customFormat="1" ht="15" customHeight="1">
      <c r="A830" s="289"/>
      <c r="B830" s="311" t="s">
        <v>68</v>
      </c>
      <c r="C830" s="312" t="s">
        <v>5068</v>
      </c>
      <c r="D830" s="293"/>
      <c r="E830" s="293"/>
      <c r="F830" s="293"/>
      <c r="G830" s="293"/>
      <c r="H830" s="293"/>
    </row>
    <row r="831" spans="1:8" s="3" customFormat="1" ht="15" customHeight="1">
      <c r="A831" s="289"/>
      <c r="B831" s="311" t="s">
        <v>68</v>
      </c>
      <c r="C831" s="312" t="s">
        <v>5064</v>
      </c>
      <c r="D831" s="293"/>
      <c r="E831" s="293"/>
      <c r="F831" s="293"/>
      <c r="G831" s="293"/>
      <c r="H831" s="293"/>
    </row>
    <row r="832" spans="1:8" s="3" customFormat="1" ht="15" customHeight="1">
      <c r="A832" s="289"/>
      <c r="B832" s="294"/>
      <c r="C832" s="291"/>
      <c r="D832" s="293"/>
      <c r="E832" s="293"/>
      <c r="F832" s="293"/>
      <c r="G832" s="293"/>
      <c r="H832" s="293"/>
    </row>
    <row r="833" spans="1:8" s="3" customFormat="1" ht="15" customHeight="1">
      <c r="A833" s="289"/>
      <c r="B833" s="294" t="s">
        <v>388</v>
      </c>
      <c r="C833" s="291"/>
      <c r="D833" s="293"/>
      <c r="E833" s="293"/>
      <c r="F833" s="293"/>
      <c r="G833" s="293"/>
      <c r="H833" s="293"/>
    </row>
    <row r="834" spans="1:8" s="3" customFormat="1" ht="15" customHeight="1">
      <c r="A834" s="289" t="s">
        <v>389</v>
      </c>
      <c r="B834" s="294"/>
      <c r="C834" s="291"/>
      <c r="D834" s="293"/>
      <c r="E834" s="293"/>
      <c r="F834" s="293"/>
      <c r="G834" s="293"/>
      <c r="H834" s="293"/>
    </row>
    <row r="835" spans="1:8" s="3" customFormat="1" ht="15" customHeight="1">
      <c r="A835" s="289" t="s">
        <v>390</v>
      </c>
      <c r="B835" s="294"/>
      <c r="C835" s="291"/>
      <c r="D835" s="293"/>
      <c r="E835" s="293"/>
      <c r="F835" s="293"/>
      <c r="G835" s="293"/>
      <c r="H835" s="293"/>
    </row>
    <row r="836" spans="1:8" s="3" customFormat="1" ht="15" customHeight="1">
      <c r="A836" s="289"/>
      <c r="B836" s="294" t="s">
        <v>391</v>
      </c>
      <c r="C836" s="291"/>
      <c r="D836" s="293"/>
      <c r="E836" s="293"/>
      <c r="F836" s="293"/>
      <c r="G836" s="293"/>
      <c r="H836" s="293"/>
    </row>
    <row r="837" spans="1:8" s="3" customFormat="1" ht="15" customHeight="1">
      <c r="A837" s="289" t="s">
        <v>1391</v>
      </c>
      <c r="B837" s="294"/>
      <c r="C837" s="291"/>
      <c r="D837" s="293"/>
      <c r="E837" s="293"/>
      <c r="F837" s="293"/>
      <c r="G837" s="293"/>
      <c r="H837" s="293"/>
    </row>
    <row r="838" spans="1:8" s="3" customFormat="1" ht="15" customHeight="1">
      <c r="A838" s="289"/>
      <c r="B838" s="294"/>
      <c r="C838" s="291"/>
      <c r="D838" s="293"/>
      <c r="E838" s="293"/>
      <c r="F838" s="293"/>
      <c r="G838" s="293"/>
      <c r="H838" s="293"/>
    </row>
    <row r="839" spans="1:8" s="3" customFormat="1" ht="15" customHeight="1">
      <c r="A839" s="289"/>
      <c r="B839" s="294" t="s">
        <v>392</v>
      </c>
      <c r="C839" s="291"/>
      <c r="D839" s="293"/>
      <c r="E839" s="293"/>
      <c r="F839" s="293"/>
      <c r="G839" s="293"/>
      <c r="H839" s="293"/>
    </row>
    <row r="840" spans="1:8" s="3" customFormat="1" ht="15" customHeight="1">
      <c r="A840" s="289" t="s">
        <v>393</v>
      </c>
      <c r="B840" s="294"/>
      <c r="C840" s="291"/>
      <c r="D840" s="293"/>
      <c r="E840" s="293"/>
      <c r="F840" s="293"/>
      <c r="G840" s="293"/>
      <c r="H840" s="293"/>
    </row>
    <row r="841" spans="1:8" s="3" customFormat="1" ht="15" customHeight="1">
      <c r="A841" s="289"/>
      <c r="B841" s="294"/>
      <c r="C841" s="291"/>
      <c r="D841" s="293"/>
      <c r="E841" s="293"/>
      <c r="F841" s="293"/>
      <c r="G841" s="293"/>
      <c r="H841" s="293"/>
    </row>
    <row r="842" spans="1:8" s="3" customFormat="1" ht="15" customHeight="1">
      <c r="A842" s="289"/>
      <c r="B842" s="310" t="s">
        <v>323</v>
      </c>
      <c r="C842" s="291"/>
      <c r="D842" s="293"/>
      <c r="E842" s="293"/>
      <c r="F842" s="293"/>
      <c r="G842" s="293"/>
      <c r="H842" s="293"/>
    </row>
    <row r="843" spans="1:8" s="3" customFormat="1" ht="15" customHeight="1">
      <c r="A843" s="289"/>
      <c r="B843" s="294" t="s">
        <v>1276</v>
      </c>
      <c r="C843" s="291"/>
      <c r="D843" s="293"/>
      <c r="E843" s="293"/>
      <c r="F843" s="293"/>
      <c r="G843" s="293"/>
      <c r="H843" s="293"/>
    </row>
    <row r="844" spans="1:8" s="3" customFormat="1" ht="15" customHeight="1">
      <c r="A844" s="294" t="s">
        <v>1277</v>
      </c>
      <c r="B844" s="294"/>
      <c r="C844" s="291"/>
      <c r="D844" s="293"/>
      <c r="E844" s="293"/>
      <c r="F844" s="293"/>
      <c r="G844" s="293"/>
      <c r="H844" s="293"/>
    </row>
    <row r="845" spans="1:8" s="3" customFormat="1" ht="15" customHeight="1">
      <c r="A845" s="294" t="s">
        <v>370</v>
      </c>
      <c r="B845" s="305"/>
      <c r="C845" s="291"/>
      <c r="D845" s="293"/>
      <c r="E845" s="293"/>
      <c r="F845" s="293"/>
      <c r="G845" s="293"/>
      <c r="H845" s="293"/>
    </row>
    <row r="846" spans="1:8" s="3" customFormat="1" ht="15" customHeight="1">
      <c r="A846" s="294"/>
      <c r="B846" s="294" t="s">
        <v>1392</v>
      </c>
      <c r="C846" s="291"/>
      <c r="D846" s="293"/>
      <c r="E846" s="316"/>
      <c r="F846" s="294"/>
      <c r="G846" s="293"/>
      <c r="H846" s="293"/>
    </row>
    <row r="847" spans="1:8" s="3" customFormat="1" ht="15" customHeight="1">
      <c r="A847" s="294" t="s">
        <v>394</v>
      </c>
      <c r="B847" s="294"/>
      <c r="C847" s="291"/>
      <c r="D847" s="293"/>
      <c r="E847" s="316"/>
      <c r="F847" s="294"/>
      <c r="G847" s="293"/>
      <c r="H847" s="293"/>
    </row>
    <row r="848" spans="1:8" s="3" customFormat="1" ht="15" customHeight="1">
      <c r="A848" s="294" t="s">
        <v>395</v>
      </c>
      <c r="B848" s="294"/>
      <c r="C848" s="291"/>
      <c r="D848" s="293"/>
      <c r="E848" s="316"/>
      <c r="F848" s="294"/>
      <c r="G848" s="293"/>
      <c r="H848" s="293"/>
    </row>
    <row r="849" spans="1:8" s="3" customFormat="1" ht="15" customHeight="1">
      <c r="A849" s="294"/>
      <c r="B849" s="294" t="s">
        <v>396</v>
      </c>
      <c r="C849" s="291"/>
      <c r="D849" s="293"/>
      <c r="E849" s="316"/>
      <c r="F849" s="294"/>
      <c r="G849" s="293"/>
      <c r="H849" s="293"/>
    </row>
    <row r="850" spans="1:8" s="3" customFormat="1" ht="15" customHeight="1">
      <c r="A850" s="289"/>
      <c r="B850" s="294" t="s">
        <v>397</v>
      </c>
      <c r="C850" s="291"/>
      <c r="D850" s="293"/>
      <c r="E850" s="293"/>
      <c r="F850" s="293"/>
      <c r="G850" s="293"/>
      <c r="H850" s="293"/>
    </row>
    <row r="851" spans="1:8" s="3" customFormat="1" ht="15" customHeight="1">
      <c r="A851" s="289" t="s">
        <v>398</v>
      </c>
      <c r="B851" s="294"/>
      <c r="C851" s="291"/>
      <c r="D851" s="293"/>
      <c r="E851" s="293"/>
      <c r="F851" s="293"/>
      <c r="G851" s="293"/>
      <c r="H851" s="293"/>
    </row>
    <row r="852" spans="1:8" s="3" customFormat="1" ht="15" customHeight="1">
      <c r="A852" s="289" t="s">
        <v>399</v>
      </c>
      <c r="B852" s="294"/>
      <c r="C852" s="291"/>
      <c r="D852" s="293"/>
      <c r="E852" s="293"/>
      <c r="F852" s="293"/>
      <c r="G852" s="293"/>
      <c r="H852" s="293"/>
    </row>
    <row r="853" spans="1:8" s="3" customFormat="1" ht="15" customHeight="1">
      <c r="A853" s="289"/>
      <c r="B853" s="294" t="s">
        <v>400</v>
      </c>
      <c r="C853" s="291"/>
      <c r="D853" s="293"/>
      <c r="E853" s="293"/>
      <c r="F853" s="293"/>
      <c r="G853" s="293"/>
      <c r="H853" s="293"/>
    </row>
    <row r="854" spans="1:8" s="3" customFormat="1" ht="15" customHeight="1">
      <c r="A854" s="289" t="s">
        <v>401</v>
      </c>
      <c r="B854" s="294"/>
      <c r="C854" s="291"/>
      <c r="D854" s="293"/>
      <c r="E854" s="293"/>
      <c r="F854" s="293"/>
      <c r="G854" s="293"/>
      <c r="H854" s="293"/>
    </row>
    <row r="855" spans="1:8" s="3" customFormat="1" ht="15" customHeight="1">
      <c r="A855" s="289"/>
      <c r="B855" s="294"/>
      <c r="C855" s="291"/>
      <c r="D855" s="293"/>
      <c r="E855" s="293"/>
      <c r="F855" s="293"/>
      <c r="G855" s="293"/>
      <c r="H855" s="293"/>
    </row>
    <row r="856" spans="1:8" s="3" customFormat="1" ht="15" customHeight="1">
      <c r="A856" s="289"/>
      <c r="B856" s="310" t="s">
        <v>116</v>
      </c>
      <c r="C856" s="291"/>
      <c r="D856" s="293"/>
      <c r="E856" s="293"/>
      <c r="F856" s="293"/>
      <c r="G856" s="293"/>
      <c r="H856" s="293"/>
    </row>
    <row r="857" spans="1:8" s="3" customFormat="1" ht="15" customHeight="1">
      <c r="A857" s="289"/>
      <c r="B857" s="294" t="s">
        <v>402</v>
      </c>
      <c r="C857" s="291"/>
      <c r="D857" s="293"/>
      <c r="E857" s="293"/>
      <c r="F857" s="293"/>
      <c r="G857" s="293"/>
      <c r="H857" s="293"/>
    </row>
    <row r="858" spans="1:8" s="3" customFormat="1" ht="15" customHeight="1">
      <c r="A858" s="303"/>
      <c r="B858" s="303"/>
      <c r="C858" s="303"/>
      <c r="D858" s="303"/>
      <c r="E858" s="303"/>
      <c r="F858" s="303"/>
      <c r="G858" s="303"/>
      <c r="H858" s="303"/>
    </row>
    <row r="859" spans="1:8" s="3" customFormat="1" ht="15" customHeight="1">
      <c r="A859" s="309" t="s">
        <v>403</v>
      </c>
      <c r="B859" s="294"/>
      <c r="C859" s="291"/>
      <c r="D859" s="293"/>
      <c r="E859" s="293"/>
      <c r="F859" s="293"/>
      <c r="G859" s="293"/>
      <c r="H859" s="293"/>
    </row>
    <row r="860" spans="1:8" s="3" customFormat="1" ht="15" customHeight="1">
      <c r="A860" s="289"/>
      <c r="B860" s="294"/>
      <c r="C860" s="291"/>
      <c r="D860" s="293"/>
      <c r="E860" s="293"/>
      <c r="F860" s="293"/>
      <c r="G860" s="293"/>
      <c r="H860" s="293"/>
    </row>
    <row r="861" spans="1:8" s="3" customFormat="1" ht="15" customHeight="1">
      <c r="A861" s="289"/>
      <c r="B861" s="310" t="s">
        <v>81</v>
      </c>
      <c r="C861" s="291"/>
      <c r="D861" s="293"/>
      <c r="E861" s="293"/>
      <c r="F861" s="293"/>
      <c r="G861" s="293"/>
      <c r="H861" s="293"/>
    </row>
    <row r="862" spans="1:8" s="3" customFormat="1" ht="15" customHeight="1">
      <c r="A862" s="289"/>
      <c r="B862" s="294" t="s">
        <v>404</v>
      </c>
      <c r="C862" s="291"/>
      <c r="D862" s="293"/>
      <c r="E862" s="293"/>
      <c r="F862" s="293"/>
      <c r="G862" s="293"/>
      <c r="H862" s="293"/>
    </row>
    <row r="863" spans="1:8" s="3" customFormat="1" ht="15" customHeight="1">
      <c r="A863" s="289" t="s">
        <v>368</v>
      </c>
      <c r="B863" s="294"/>
      <c r="C863" s="291"/>
      <c r="D863" s="293"/>
      <c r="E863" s="293"/>
      <c r="F863" s="293"/>
      <c r="G863" s="293"/>
      <c r="H863" s="293"/>
    </row>
    <row r="864" spans="1:8" s="3" customFormat="1" ht="15" customHeight="1">
      <c r="A864" s="289"/>
      <c r="B864" s="311" t="s">
        <v>68</v>
      </c>
      <c r="C864" s="312" t="s">
        <v>5063</v>
      </c>
      <c r="D864" s="293"/>
      <c r="E864" s="293"/>
      <c r="F864" s="293"/>
      <c r="G864" s="293"/>
      <c r="H864" s="293"/>
    </row>
    <row r="865" spans="1:8" s="3" customFormat="1" ht="15" customHeight="1">
      <c r="A865" s="289"/>
      <c r="B865" s="311" t="s">
        <v>68</v>
      </c>
      <c r="C865" s="312" t="s">
        <v>5067</v>
      </c>
      <c r="D865" s="293"/>
      <c r="E865" s="293"/>
      <c r="F865" s="293"/>
      <c r="G865" s="293"/>
      <c r="H865" s="293"/>
    </row>
    <row r="866" spans="1:8" s="3" customFormat="1" ht="15" customHeight="1">
      <c r="A866" s="289"/>
      <c r="B866" s="311" t="s">
        <v>68</v>
      </c>
      <c r="C866" s="312" t="s">
        <v>5068</v>
      </c>
      <c r="D866" s="293"/>
      <c r="E866" s="293"/>
      <c r="F866" s="293"/>
      <c r="G866" s="293"/>
      <c r="H866" s="293"/>
    </row>
    <row r="867" spans="1:8" s="3" customFormat="1" ht="15" customHeight="1">
      <c r="A867" s="289"/>
      <c r="B867" s="311" t="s">
        <v>68</v>
      </c>
      <c r="C867" s="312" t="s">
        <v>5064</v>
      </c>
      <c r="D867" s="293"/>
      <c r="E867" s="293"/>
      <c r="F867" s="293"/>
      <c r="G867" s="293"/>
      <c r="H867" s="293"/>
    </row>
    <row r="868" spans="1:8" s="3" customFormat="1" ht="15" customHeight="1">
      <c r="A868" s="289"/>
      <c r="B868" s="294"/>
      <c r="C868" s="291"/>
      <c r="D868" s="293"/>
      <c r="E868" s="293"/>
      <c r="F868" s="293"/>
      <c r="G868" s="293"/>
      <c r="H868" s="293"/>
    </row>
    <row r="869" spans="1:8" s="3" customFormat="1" ht="15" customHeight="1">
      <c r="A869" s="289"/>
      <c r="B869" s="294" t="s">
        <v>1393</v>
      </c>
      <c r="C869" s="291"/>
      <c r="D869" s="293"/>
      <c r="E869" s="293"/>
      <c r="F869" s="293"/>
      <c r="G869" s="293"/>
      <c r="H869" s="293"/>
    </row>
    <row r="870" spans="1:8" s="3" customFormat="1" ht="15" customHeight="1">
      <c r="A870" s="289" t="s">
        <v>1394</v>
      </c>
      <c r="B870" s="294"/>
      <c r="C870" s="291"/>
      <c r="D870" s="293"/>
      <c r="E870" s="293"/>
      <c r="F870" s="293"/>
      <c r="G870" s="293"/>
      <c r="H870" s="293"/>
    </row>
    <row r="871" spans="1:8" s="3" customFormat="1" ht="15" customHeight="1">
      <c r="A871" s="289" t="s">
        <v>1395</v>
      </c>
      <c r="B871" s="294"/>
      <c r="C871" s="291"/>
      <c r="D871" s="293"/>
      <c r="E871" s="293"/>
      <c r="F871" s="293"/>
      <c r="G871" s="293"/>
      <c r="H871" s="293"/>
    </row>
    <row r="872" spans="1:8" s="3" customFormat="1" ht="15" customHeight="1">
      <c r="A872" s="289"/>
      <c r="B872" s="294" t="s">
        <v>405</v>
      </c>
      <c r="C872" s="291"/>
      <c r="D872" s="293"/>
      <c r="E872" s="293"/>
      <c r="F872" s="293"/>
      <c r="G872" s="293"/>
      <c r="H872" s="293"/>
    </row>
    <row r="873" spans="1:8" s="3" customFormat="1" ht="15" customHeight="1">
      <c r="A873" s="289" t="s">
        <v>1396</v>
      </c>
      <c r="B873" s="294"/>
      <c r="C873" s="291"/>
      <c r="D873" s="293"/>
      <c r="E873" s="293"/>
      <c r="F873" s="293"/>
      <c r="G873" s="293"/>
      <c r="H873" s="293"/>
    </row>
    <row r="874" spans="1:8" s="3" customFormat="1" ht="15" customHeight="1">
      <c r="A874" s="289"/>
      <c r="B874" s="294" t="s">
        <v>406</v>
      </c>
      <c r="C874" s="291"/>
      <c r="D874" s="293"/>
      <c r="E874" s="293"/>
      <c r="F874" s="293"/>
      <c r="G874" s="293"/>
      <c r="H874" s="293"/>
    </row>
    <row r="875" spans="1:8" s="3" customFormat="1" ht="15" customHeight="1">
      <c r="A875" s="289"/>
      <c r="B875" s="294" t="s">
        <v>407</v>
      </c>
      <c r="C875" s="291"/>
      <c r="D875" s="293"/>
      <c r="E875" s="293"/>
      <c r="F875" s="293"/>
      <c r="G875" s="293"/>
      <c r="H875" s="293"/>
    </row>
    <row r="876" spans="1:8" s="3" customFormat="1" ht="15" customHeight="1">
      <c r="A876" s="289"/>
      <c r="B876" s="294"/>
      <c r="C876" s="291"/>
      <c r="D876" s="293"/>
      <c r="E876" s="293"/>
      <c r="F876" s="293"/>
      <c r="G876" s="293"/>
      <c r="H876" s="293"/>
    </row>
    <row r="877" spans="1:8" s="3" customFormat="1" ht="15" customHeight="1">
      <c r="A877" s="289"/>
      <c r="B877" s="310" t="s">
        <v>323</v>
      </c>
      <c r="C877" s="291"/>
      <c r="D877" s="293"/>
      <c r="E877" s="293"/>
      <c r="F877" s="293"/>
      <c r="G877" s="293"/>
      <c r="H877" s="293"/>
    </row>
    <row r="878" spans="1:8" s="3" customFormat="1" ht="15" customHeight="1">
      <c r="A878" s="289"/>
      <c r="B878" s="294" t="s">
        <v>1276</v>
      </c>
      <c r="C878" s="291"/>
      <c r="D878" s="293"/>
      <c r="E878" s="293"/>
      <c r="F878" s="293"/>
      <c r="G878" s="293"/>
      <c r="H878" s="293"/>
    </row>
    <row r="879" spans="1:8" s="3" customFormat="1" ht="15" customHeight="1">
      <c r="A879" s="294" t="s">
        <v>1277</v>
      </c>
      <c r="B879" s="294"/>
      <c r="C879" s="291"/>
      <c r="D879" s="293"/>
      <c r="E879" s="293"/>
      <c r="F879" s="293"/>
      <c r="G879" s="293"/>
      <c r="H879" s="293"/>
    </row>
    <row r="880" spans="1:8" s="3" customFormat="1" ht="15" customHeight="1">
      <c r="A880" s="294" t="s">
        <v>370</v>
      </c>
      <c r="B880" s="305"/>
      <c r="C880" s="291"/>
      <c r="D880" s="293"/>
      <c r="E880" s="293"/>
      <c r="F880" s="293"/>
      <c r="G880" s="293"/>
      <c r="H880" s="293"/>
    </row>
    <row r="881" spans="1:8" s="3" customFormat="1" ht="15" customHeight="1">
      <c r="A881" s="289"/>
      <c r="B881" s="294" t="s">
        <v>408</v>
      </c>
      <c r="C881" s="291"/>
      <c r="D881" s="293"/>
      <c r="E881" s="293"/>
      <c r="F881" s="293"/>
      <c r="G881" s="293"/>
      <c r="H881" s="293"/>
    </row>
    <row r="882" spans="1:8" s="3" customFormat="1" ht="15" customHeight="1">
      <c r="A882" s="289" t="s">
        <v>1397</v>
      </c>
      <c r="B882" s="294"/>
      <c r="C882" s="291"/>
      <c r="D882" s="293"/>
      <c r="E882" s="293"/>
      <c r="F882" s="293"/>
      <c r="G882" s="293"/>
      <c r="H882" s="293"/>
    </row>
    <row r="883" spans="1:8" s="3" customFormat="1" ht="15" customHeight="1">
      <c r="A883" s="289" t="s">
        <v>409</v>
      </c>
      <c r="B883" s="294"/>
      <c r="C883" s="291"/>
      <c r="D883" s="293"/>
      <c r="E883" s="293"/>
      <c r="F883" s="293"/>
      <c r="G883" s="293"/>
      <c r="H883" s="293"/>
    </row>
    <row r="884" spans="1:8" s="3" customFormat="1" ht="15" customHeight="1">
      <c r="A884" s="289"/>
      <c r="B884" s="294" t="s">
        <v>410</v>
      </c>
      <c r="C884" s="291"/>
      <c r="D884" s="293"/>
      <c r="E884" s="293"/>
      <c r="F884" s="293"/>
      <c r="G884" s="293"/>
      <c r="H884" s="293"/>
    </row>
    <row r="885" spans="1:8" s="3" customFormat="1" ht="15" customHeight="1">
      <c r="A885" s="289" t="s">
        <v>1398</v>
      </c>
      <c r="B885" s="294"/>
      <c r="C885" s="291"/>
      <c r="D885" s="293"/>
      <c r="E885" s="293"/>
      <c r="F885" s="293"/>
      <c r="G885" s="293"/>
      <c r="H885" s="293"/>
    </row>
    <row r="886" spans="1:8" s="3" customFormat="1" ht="15" customHeight="1">
      <c r="A886" s="289" t="s">
        <v>1399</v>
      </c>
      <c r="B886" s="294"/>
      <c r="C886" s="291"/>
      <c r="D886" s="293"/>
      <c r="E886" s="293"/>
      <c r="F886" s="293"/>
      <c r="G886" s="293"/>
      <c r="H886" s="293"/>
    </row>
    <row r="887" spans="1:8" s="3" customFormat="1" ht="15" customHeight="1">
      <c r="A887" s="289" t="s">
        <v>411</v>
      </c>
      <c r="B887" s="294"/>
      <c r="C887" s="291"/>
      <c r="D887" s="293"/>
      <c r="E887" s="293"/>
      <c r="F887" s="293"/>
      <c r="G887" s="293"/>
      <c r="H887" s="293"/>
    </row>
    <row r="888" spans="1:8" s="3" customFormat="1" ht="15" customHeight="1">
      <c r="A888" s="289" t="s">
        <v>412</v>
      </c>
      <c r="B888" s="294"/>
      <c r="C888" s="291"/>
      <c r="D888" s="293"/>
      <c r="E888" s="293"/>
      <c r="F888" s="293"/>
      <c r="G888" s="293"/>
      <c r="H888" s="293"/>
    </row>
    <row r="889" spans="1:8" s="3" customFormat="1" ht="15" customHeight="1">
      <c r="A889" s="289"/>
      <c r="B889" s="294" t="s">
        <v>413</v>
      </c>
      <c r="C889" s="291"/>
      <c r="D889" s="293"/>
      <c r="E889" s="293"/>
      <c r="F889" s="293"/>
      <c r="G889" s="293"/>
      <c r="H889" s="293"/>
    </row>
    <row r="890" spans="1:8" s="3" customFormat="1" ht="15" customHeight="1">
      <c r="A890" s="289" t="s">
        <v>1400</v>
      </c>
      <c r="B890" s="294"/>
      <c r="C890" s="291"/>
      <c r="D890" s="293"/>
      <c r="E890" s="293"/>
      <c r="F890" s="293"/>
      <c r="G890" s="293"/>
      <c r="H890" s="293"/>
    </row>
    <row r="891" spans="1:8" s="3" customFormat="1" ht="15" customHeight="1">
      <c r="A891" s="289" t="s">
        <v>1401</v>
      </c>
      <c r="B891" s="294"/>
      <c r="C891" s="291"/>
      <c r="D891" s="293"/>
      <c r="E891" s="293"/>
      <c r="F891" s="293"/>
      <c r="G891" s="293"/>
      <c r="H891" s="293"/>
    </row>
    <row r="892" spans="1:8" s="3" customFormat="1" ht="15" customHeight="1">
      <c r="A892" s="289"/>
      <c r="B892" s="294" t="s">
        <v>414</v>
      </c>
      <c r="C892" s="291"/>
      <c r="D892" s="293"/>
      <c r="E892" s="293"/>
      <c r="F892" s="293"/>
      <c r="G892" s="293"/>
      <c r="H892" s="293"/>
    </row>
    <row r="893" spans="1:8" s="3" customFormat="1" ht="15" customHeight="1">
      <c r="A893" s="289" t="s">
        <v>415</v>
      </c>
      <c r="B893" s="294"/>
      <c r="C893" s="291"/>
      <c r="D893" s="293"/>
      <c r="E893" s="293"/>
      <c r="F893" s="293"/>
      <c r="G893" s="293"/>
      <c r="H893" s="293"/>
    </row>
    <row r="894" spans="1:8" s="3" customFormat="1" ht="15" customHeight="1">
      <c r="A894" s="289" t="s">
        <v>416</v>
      </c>
      <c r="B894" s="294"/>
      <c r="C894" s="291"/>
      <c r="D894" s="293"/>
      <c r="E894" s="293"/>
      <c r="F894" s="293"/>
      <c r="G894" s="293"/>
      <c r="H894" s="293"/>
    </row>
    <row r="895" spans="1:8" s="3" customFormat="1" ht="15" customHeight="1">
      <c r="A895" s="289" t="s">
        <v>417</v>
      </c>
      <c r="B895" s="294"/>
      <c r="C895" s="291"/>
      <c r="D895" s="293"/>
      <c r="E895" s="293"/>
      <c r="F895" s="293"/>
      <c r="G895" s="293"/>
      <c r="H895" s="293"/>
    </row>
    <row r="896" spans="1:8" s="3" customFormat="1" ht="15" customHeight="1">
      <c r="A896" s="289"/>
      <c r="B896" s="294" t="s">
        <v>1402</v>
      </c>
      <c r="C896" s="291"/>
      <c r="D896" s="293"/>
      <c r="E896" s="293"/>
      <c r="F896" s="293"/>
      <c r="G896" s="293"/>
      <c r="H896" s="293"/>
    </row>
    <row r="897" spans="1:8" s="3" customFormat="1" ht="15" customHeight="1">
      <c r="A897" s="289"/>
      <c r="B897" s="294"/>
      <c r="C897" s="291"/>
      <c r="D897" s="293"/>
      <c r="E897" s="293"/>
      <c r="F897" s="293"/>
      <c r="G897" s="293"/>
      <c r="H897" s="293"/>
    </row>
    <row r="898" spans="1:8" s="3" customFormat="1" ht="15" customHeight="1">
      <c r="A898" s="289"/>
      <c r="B898" s="310" t="s">
        <v>116</v>
      </c>
      <c r="C898" s="291"/>
      <c r="D898" s="293"/>
      <c r="E898" s="293"/>
      <c r="F898" s="293"/>
      <c r="G898" s="293"/>
      <c r="H898" s="293"/>
    </row>
    <row r="899" spans="1:8" s="3" customFormat="1" ht="15" customHeight="1">
      <c r="A899" s="289"/>
      <c r="B899" s="294" t="s">
        <v>418</v>
      </c>
      <c r="C899" s="291"/>
      <c r="D899" s="293"/>
      <c r="E899" s="293"/>
      <c r="F899" s="293"/>
      <c r="G899" s="293"/>
      <c r="H899" s="293"/>
    </row>
    <row r="900" spans="1:8" s="3" customFormat="1" ht="15" customHeight="1">
      <c r="A900" s="289" t="s">
        <v>419</v>
      </c>
      <c r="B900" s="294"/>
      <c r="C900" s="291"/>
      <c r="D900" s="293"/>
      <c r="E900" s="293"/>
      <c r="F900" s="293"/>
      <c r="G900" s="293"/>
      <c r="H900" s="293"/>
    </row>
    <row r="901" spans="1:8" s="3" customFormat="1" ht="15" customHeight="1">
      <c r="A901" s="303"/>
      <c r="B901" s="303"/>
      <c r="C901" s="303"/>
      <c r="D901" s="303"/>
      <c r="E901" s="303"/>
      <c r="F901" s="303"/>
      <c r="G901" s="303"/>
      <c r="H901" s="303"/>
    </row>
    <row r="902" spans="1:8" s="3" customFormat="1" ht="15" customHeight="1">
      <c r="A902" s="309" t="s">
        <v>437</v>
      </c>
      <c r="B902" s="294"/>
      <c r="C902" s="291"/>
      <c r="D902" s="293"/>
      <c r="E902" s="293"/>
      <c r="F902" s="293"/>
      <c r="G902" s="293"/>
      <c r="H902" s="293"/>
    </row>
    <row r="903" spans="1:8" s="3" customFormat="1" ht="15" customHeight="1">
      <c r="A903" s="289"/>
      <c r="B903" s="294"/>
      <c r="C903" s="291"/>
      <c r="D903" s="293"/>
      <c r="E903" s="293"/>
      <c r="F903" s="293"/>
      <c r="G903" s="293"/>
      <c r="H903" s="293"/>
    </row>
    <row r="904" spans="1:8" s="3" customFormat="1" ht="15" customHeight="1">
      <c r="A904" s="289"/>
      <c r="B904" s="310" t="s">
        <v>81</v>
      </c>
      <c r="C904" s="291"/>
      <c r="D904" s="293"/>
      <c r="E904" s="293"/>
      <c r="F904" s="293"/>
      <c r="G904" s="293"/>
      <c r="H904" s="293"/>
    </row>
    <row r="905" spans="1:8" s="3" customFormat="1" ht="15" customHeight="1">
      <c r="A905" s="289"/>
      <c r="B905" s="294" t="s">
        <v>438</v>
      </c>
      <c r="C905" s="291"/>
      <c r="D905" s="293"/>
      <c r="E905" s="293"/>
      <c r="F905" s="293"/>
      <c r="G905" s="293"/>
      <c r="H905" s="293"/>
    </row>
    <row r="906" spans="1:8" s="3" customFormat="1" ht="15" customHeight="1">
      <c r="A906" s="289" t="s">
        <v>368</v>
      </c>
      <c r="B906" s="294"/>
      <c r="C906" s="291"/>
      <c r="D906" s="293"/>
      <c r="E906" s="293"/>
      <c r="F906" s="293"/>
      <c r="G906" s="293"/>
      <c r="H906" s="293"/>
    </row>
    <row r="907" spans="1:8" s="3" customFormat="1" ht="15" customHeight="1">
      <c r="A907" s="289"/>
      <c r="B907" s="311" t="s">
        <v>68</v>
      </c>
      <c r="C907" s="312" t="s">
        <v>5063</v>
      </c>
      <c r="D907" s="293"/>
      <c r="E907" s="293"/>
      <c r="F907" s="293"/>
      <c r="G907" s="293"/>
      <c r="H907" s="293"/>
    </row>
    <row r="908" spans="1:8" s="3" customFormat="1" ht="15" customHeight="1">
      <c r="A908" s="289"/>
      <c r="B908" s="311" t="s">
        <v>68</v>
      </c>
      <c r="C908" s="312" t="s">
        <v>5067</v>
      </c>
      <c r="D908" s="293"/>
      <c r="E908" s="293"/>
      <c r="F908" s="293"/>
      <c r="G908" s="293"/>
      <c r="H908" s="293"/>
    </row>
    <row r="909" spans="1:8" s="3" customFormat="1" ht="15" customHeight="1">
      <c r="A909" s="289"/>
      <c r="B909" s="311" t="s">
        <v>68</v>
      </c>
      <c r="C909" s="312" t="s">
        <v>5068</v>
      </c>
      <c r="D909" s="293"/>
      <c r="E909" s="293"/>
      <c r="F909" s="293"/>
      <c r="G909" s="293"/>
      <c r="H909" s="293"/>
    </row>
    <row r="910" spans="1:8" s="3" customFormat="1" ht="15" customHeight="1">
      <c r="A910" s="289"/>
      <c r="B910" s="311" t="s">
        <v>68</v>
      </c>
      <c r="C910" s="312" t="s">
        <v>5064</v>
      </c>
      <c r="D910" s="293"/>
      <c r="E910" s="293"/>
      <c r="F910" s="293"/>
      <c r="G910" s="293"/>
      <c r="H910" s="293"/>
    </row>
    <row r="911" spans="1:8" s="3" customFormat="1" ht="15" customHeight="1">
      <c r="A911" s="289"/>
      <c r="B911" s="311" t="s">
        <v>68</v>
      </c>
      <c r="C911" s="312" t="s">
        <v>1403</v>
      </c>
      <c r="D911" s="293"/>
      <c r="E911" s="293"/>
      <c r="F911" s="293"/>
      <c r="G911" s="293"/>
      <c r="H911" s="293"/>
    </row>
    <row r="912" spans="1:8" s="3" customFormat="1" ht="15" customHeight="1">
      <c r="A912" s="289"/>
      <c r="B912" s="311"/>
      <c r="C912" s="312"/>
      <c r="D912" s="293"/>
      <c r="E912" s="293"/>
      <c r="F912" s="293"/>
      <c r="G912" s="293"/>
      <c r="H912" s="293"/>
    </row>
    <row r="913" spans="1:8" s="3" customFormat="1" ht="15" customHeight="1">
      <c r="A913" s="289"/>
      <c r="B913" s="310" t="s">
        <v>439</v>
      </c>
      <c r="C913" s="312"/>
      <c r="D913" s="293"/>
      <c r="E913" s="293"/>
      <c r="F913" s="293"/>
      <c r="G913" s="293"/>
      <c r="H913" s="293"/>
    </row>
    <row r="914" spans="1:8" s="3" customFormat="1" ht="15" customHeight="1">
      <c r="A914" s="289"/>
      <c r="B914" s="326" t="s">
        <v>440</v>
      </c>
      <c r="C914" s="312"/>
      <c r="D914" s="293"/>
      <c r="E914" s="293"/>
      <c r="F914" s="293"/>
      <c r="G914" s="293"/>
      <c r="H914" s="293"/>
    </row>
    <row r="915" spans="1:8" s="3" customFormat="1" ht="15" customHeight="1">
      <c r="A915" s="294" t="s">
        <v>441</v>
      </c>
      <c r="B915" s="311"/>
      <c r="C915" s="312"/>
      <c r="D915" s="293"/>
      <c r="E915" s="293"/>
      <c r="F915" s="293"/>
      <c r="G915" s="293"/>
      <c r="H915" s="293"/>
    </row>
    <row r="916" spans="1:8" s="3" customFormat="1" ht="15" customHeight="1">
      <c r="A916" s="289" t="s">
        <v>442</v>
      </c>
      <c r="B916" s="311"/>
      <c r="C916" s="312"/>
      <c r="D916" s="293"/>
      <c r="E916" s="293"/>
      <c r="F916" s="293"/>
      <c r="G916" s="293"/>
      <c r="H916" s="293"/>
    </row>
    <row r="917" spans="1:8" s="3" customFormat="1" ht="15" customHeight="1">
      <c r="A917" s="289"/>
      <c r="B917" s="326" t="s">
        <v>1404</v>
      </c>
      <c r="C917" s="312"/>
      <c r="D917" s="293"/>
      <c r="E917" s="293"/>
      <c r="F917" s="293"/>
      <c r="G917" s="293"/>
      <c r="H917" s="293"/>
    </row>
    <row r="918" spans="1:8" s="3" customFormat="1" ht="15" customHeight="1">
      <c r="A918" s="289"/>
      <c r="B918" s="311" t="s">
        <v>267</v>
      </c>
      <c r="C918" s="334" t="s">
        <v>443</v>
      </c>
      <c r="D918" s="293"/>
      <c r="E918" s="293"/>
      <c r="F918" s="293"/>
      <c r="G918" s="293"/>
      <c r="H918" s="293"/>
    </row>
    <row r="919" spans="1:8" s="3" customFormat="1" ht="15" customHeight="1">
      <c r="A919" s="289"/>
      <c r="B919" s="311" t="s">
        <v>267</v>
      </c>
      <c r="C919" s="334" t="s">
        <v>444</v>
      </c>
      <c r="D919" s="293"/>
      <c r="E919" s="293"/>
      <c r="F919" s="293"/>
      <c r="G919" s="293"/>
      <c r="H919" s="293"/>
    </row>
    <row r="920" spans="1:8" s="3" customFormat="1" ht="15" customHeight="1">
      <c r="A920" s="289"/>
      <c r="B920" s="311" t="s">
        <v>267</v>
      </c>
      <c r="C920" s="334" t="s">
        <v>445</v>
      </c>
      <c r="D920" s="293"/>
      <c r="E920" s="293"/>
      <c r="F920" s="293"/>
      <c r="G920" s="293"/>
      <c r="H920" s="293"/>
    </row>
    <row r="921" spans="1:8" s="3" customFormat="1" ht="15" customHeight="1">
      <c r="A921" s="289"/>
      <c r="B921" s="311" t="s">
        <v>267</v>
      </c>
      <c r="C921" s="334" t="s">
        <v>446</v>
      </c>
      <c r="D921" s="293"/>
      <c r="E921" s="293"/>
      <c r="F921" s="293"/>
      <c r="G921" s="293"/>
      <c r="H921" s="293"/>
    </row>
    <row r="922" spans="1:8" s="3" customFormat="1" ht="15" customHeight="1">
      <c r="A922" s="289"/>
      <c r="B922" s="311" t="s">
        <v>267</v>
      </c>
      <c r="C922" s="334" t="s">
        <v>447</v>
      </c>
      <c r="D922" s="293"/>
      <c r="E922" s="293"/>
      <c r="F922" s="293"/>
      <c r="G922" s="293"/>
      <c r="H922" s="293"/>
    </row>
    <row r="923" spans="1:8" s="3" customFormat="1" ht="15" customHeight="1">
      <c r="A923" s="289"/>
      <c r="B923" s="311" t="s">
        <v>267</v>
      </c>
      <c r="C923" s="334" t="s">
        <v>448</v>
      </c>
      <c r="D923" s="293"/>
      <c r="E923" s="293"/>
      <c r="F923" s="293"/>
      <c r="G923" s="293"/>
      <c r="H923" s="293"/>
    </row>
    <row r="924" spans="1:8" s="3" customFormat="1" ht="15" customHeight="1">
      <c r="A924" s="289"/>
      <c r="B924" s="294"/>
      <c r="C924" s="291"/>
      <c r="D924" s="293"/>
      <c r="E924" s="293"/>
      <c r="F924" s="293"/>
      <c r="G924" s="293"/>
      <c r="H924" s="293"/>
    </row>
    <row r="925" spans="1:8" s="3" customFormat="1" ht="15" customHeight="1">
      <c r="A925" s="289"/>
      <c r="B925" s="310" t="s">
        <v>323</v>
      </c>
      <c r="C925" s="291"/>
      <c r="D925" s="293"/>
      <c r="E925" s="293"/>
      <c r="F925" s="293"/>
      <c r="G925" s="293"/>
      <c r="H925" s="293"/>
    </row>
    <row r="926" spans="1:8" s="3" customFormat="1" ht="15" customHeight="1">
      <c r="A926" s="289"/>
      <c r="B926" s="294" t="s">
        <v>1276</v>
      </c>
      <c r="C926" s="291"/>
      <c r="D926" s="293"/>
      <c r="E926" s="293"/>
      <c r="F926" s="293"/>
      <c r="G926" s="293"/>
      <c r="H926" s="293"/>
    </row>
    <row r="927" spans="1:8" s="3" customFormat="1" ht="15" customHeight="1">
      <c r="A927" s="294" t="s">
        <v>1277</v>
      </c>
      <c r="B927" s="294"/>
      <c r="C927" s="291"/>
      <c r="D927" s="293"/>
      <c r="E927" s="293"/>
      <c r="F927" s="293"/>
      <c r="G927" s="293"/>
      <c r="H927" s="293"/>
    </row>
    <row r="928" spans="1:8" s="3" customFormat="1" ht="15" customHeight="1">
      <c r="A928" s="294" t="s">
        <v>370</v>
      </c>
      <c r="B928" s="305"/>
      <c r="C928" s="291"/>
      <c r="D928" s="293"/>
      <c r="E928" s="293"/>
      <c r="F928" s="293"/>
      <c r="G928" s="293"/>
      <c r="H928" s="293"/>
    </row>
    <row r="929" spans="1:8" s="3" customFormat="1" ht="15" customHeight="1">
      <c r="A929" s="289"/>
      <c r="B929" s="294"/>
      <c r="C929" s="291"/>
      <c r="D929" s="293"/>
      <c r="E929" s="293"/>
      <c r="F929" s="293"/>
      <c r="G929" s="293"/>
      <c r="H929" s="293"/>
    </row>
    <row r="930" spans="1:8" s="3" customFormat="1" ht="15" customHeight="1">
      <c r="A930" s="289"/>
      <c r="B930" s="310" t="s">
        <v>116</v>
      </c>
      <c r="C930" s="291"/>
      <c r="D930" s="293"/>
      <c r="E930" s="293"/>
      <c r="F930" s="293"/>
      <c r="G930" s="293"/>
      <c r="H930" s="293"/>
    </row>
    <row r="931" spans="1:8" s="3" customFormat="1" ht="15" customHeight="1">
      <c r="A931" s="289"/>
      <c r="B931" s="294" t="s">
        <v>449</v>
      </c>
      <c r="C931" s="291"/>
      <c r="D931" s="293"/>
      <c r="E931" s="293"/>
      <c r="F931" s="293"/>
      <c r="G931" s="293"/>
      <c r="H931" s="293"/>
    </row>
    <row r="932" spans="1:8" s="3" customFormat="1" ht="15" customHeight="1">
      <c r="A932" s="289" t="s">
        <v>450</v>
      </c>
      <c r="B932" s="294"/>
      <c r="C932" s="291"/>
      <c r="D932" s="293"/>
      <c r="E932" s="293"/>
      <c r="F932" s="293"/>
      <c r="G932" s="293"/>
      <c r="H932" s="293"/>
    </row>
    <row r="933" spans="1:8" s="3" customFormat="1" ht="15" customHeight="1">
      <c r="A933" s="303"/>
      <c r="B933" s="303"/>
      <c r="C933" s="303"/>
      <c r="D933" s="303"/>
      <c r="E933" s="303"/>
      <c r="F933" s="303"/>
      <c r="G933" s="303"/>
      <c r="H933" s="303"/>
    </row>
    <row r="934" spans="1:8" s="3" customFormat="1" ht="15" customHeight="1">
      <c r="A934" s="309" t="s">
        <v>451</v>
      </c>
      <c r="B934" s="294"/>
      <c r="C934" s="291"/>
      <c r="D934" s="293"/>
      <c r="E934" s="293"/>
      <c r="F934" s="293"/>
      <c r="G934" s="293"/>
      <c r="H934" s="293"/>
    </row>
    <row r="935" spans="1:8" s="3" customFormat="1" ht="15" customHeight="1">
      <c r="A935" s="289"/>
      <c r="B935" s="294"/>
      <c r="C935" s="291"/>
      <c r="D935" s="293"/>
      <c r="E935" s="293"/>
      <c r="F935" s="293"/>
      <c r="G935" s="293"/>
      <c r="H935" s="293"/>
    </row>
    <row r="936" spans="1:8" s="3" customFormat="1" ht="15" customHeight="1">
      <c r="A936" s="289"/>
      <c r="B936" s="310" t="s">
        <v>81</v>
      </c>
      <c r="C936" s="291"/>
      <c r="D936" s="293"/>
      <c r="E936" s="293"/>
      <c r="F936" s="293"/>
      <c r="G936" s="293"/>
      <c r="H936" s="293"/>
    </row>
    <row r="937" spans="1:8" s="3" customFormat="1" ht="15" customHeight="1">
      <c r="A937" s="289"/>
      <c r="B937" s="294" t="s">
        <v>452</v>
      </c>
      <c r="C937" s="291"/>
      <c r="D937" s="293"/>
      <c r="E937" s="293"/>
      <c r="F937" s="293"/>
      <c r="G937" s="293"/>
      <c r="H937" s="293"/>
    </row>
    <row r="938" spans="1:8" s="3" customFormat="1" ht="15" customHeight="1">
      <c r="A938" s="289" t="s">
        <v>368</v>
      </c>
      <c r="B938" s="294"/>
      <c r="C938" s="291"/>
      <c r="D938" s="293"/>
      <c r="E938" s="293"/>
      <c r="F938" s="293"/>
      <c r="G938" s="293"/>
      <c r="H938" s="293"/>
    </row>
    <row r="939" spans="1:8" s="3" customFormat="1" ht="15" customHeight="1">
      <c r="A939" s="289"/>
      <c r="B939" s="311" t="s">
        <v>68</v>
      </c>
      <c r="C939" s="312" t="s">
        <v>5063</v>
      </c>
      <c r="D939" s="293"/>
      <c r="E939" s="293"/>
      <c r="F939" s="293"/>
      <c r="G939" s="293"/>
      <c r="H939" s="293"/>
    </row>
    <row r="940" spans="1:8" s="3" customFormat="1" ht="15" customHeight="1">
      <c r="A940" s="289"/>
      <c r="B940" s="311" t="s">
        <v>68</v>
      </c>
      <c r="C940" s="312" t="s">
        <v>5067</v>
      </c>
      <c r="D940" s="293"/>
      <c r="E940" s="293"/>
      <c r="F940" s="293"/>
      <c r="G940" s="293"/>
      <c r="H940" s="293"/>
    </row>
    <row r="941" spans="1:8" s="3" customFormat="1" ht="15" customHeight="1">
      <c r="A941" s="289"/>
      <c r="B941" s="311" t="s">
        <v>68</v>
      </c>
      <c r="C941" s="312" t="s">
        <v>5068</v>
      </c>
      <c r="D941" s="293"/>
      <c r="E941" s="293"/>
      <c r="F941" s="293"/>
      <c r="G941" s="293"/>
      <c r="H941" s="293"/>
    </row>
    <row r="942" spans="1:8" s="3" customFormat="1" ht="15" customHeight="1">
      <c r="A942" s="289"/>
      <c r="B942" s="311" t="s">
        <v>68</v>
      </c>
      <c r="C942" s="312" t="s">
        <v>5064</v>
      </c>
      <c r="D942" s="293"/>
      <c r="E942" s="293"/>
      <c r="F942" s="293"/>
      <c r="G942" s="293"/>
      <c r="H942" s="293"/>
    </row>
    <row r="943" spans="1:8" s="3" customFormat="1" ht="15" customHeight="1">
      <c r="A943" s="289"/>
      <c r="B943" s="294"/>
      <c r="C943" s="291"/>
      <c r="D943" s="293"/>
      <c r="E943" s="293"/>
      <c r="F943" s="293"/>
      <c r="G943" s="293"/>
      <c r="H943" s="293"/>
    </row>
    <row r="944" spans="1:8" s="3" customFormat="1" ht="15" customHeight="1">
      <c r="A944" s="289"/>
      <c r="B944" s="310" t="s">
        <v>323</v>
      </c>
      <c r="C944" s="291"/>
      <c r="D944" s="293"/>
      <c r="E944" s="293"/>
      <c r="F944" s="293"/>
      <c r="G944" s="293"/>
      <c r="H944" s="293"/>
    </row>
    <row r="945" spans="1:8" s="3" customFormat="1" ht="15" customHeight="1">
      <c r="A945" s="289"/>
      <c r="B945" s="294" t="s">
        <v>1276</v>
      </c>
      <c r="C945" s="291"/>
      <c r="D945" s="293"/>
      <c r="E945" s="293"/>
      <c r="F945" s="293"/>
      <c r="G945" s="293"/>
      <c r="H945" s="293"/>
    </row>
    <row r="946" spans="1:8" s="3" customFormat="1" ht="15" customHeight="1">
      <c r="A946" s="294" t="s">
        <v>1277</v>
      </c>
      <c r="B946" s="294"/>
      <c r="C946" s="291"/>
      <c r="D946" s="293"/>
      <c r="E946" s="293"/>
      <c r="F946" s="293"/>
      <c r="G946" s="293"/>
      <c r="H946" s="293"/>
    </row>
    <row r="947" spans="1:8" s="3" customFormat="1" ht="15" customHeight="1">
      <c r="A947" s="294" t="s">
        <v>370</v>
      </c>
      <c r="B947" s="305"/>
      <c r="C947" s="291"/>
      <c r="D947" s="293"/>
      <c r="E947" s="293"/>
      <c r="F947" s="293"/>
      <c r="G947" s="293"/>
      <c r="H947" s="293"/>
    </row>
    <row r="948" spans="1:8" s="3" customFormat="1" ht="15" customHeight="1">
      <c r="A948" s="289"/>
      <c r="B948" s="294"/>
      <c r="C948" s="291"/>
      <c r="D948" s="293"/>
      <c r="E948" s="293"/>
      <c r="F948" s="293"/>
      <c r="G948" s="293"/>
      <c r="H948" s="293"/>
    </row>
    <row r="949" spans="1:8" s="3" customFormat="1" ht="15" customHeight="1">
      <c r="A949" s="289"/>
      <c r="B949" s="310" t="s">
        <v>453</v>
      </c>
      <c r="C949" s="291"/>
      <c r="D949" s="293"/>
      <c r="E949" s="293"/>
      <c r="F949" s="293"/>
      <c r="G949" s="293"/>
      <c r="H949" s="293"/>
    </row>
    <row r="950" spans="1:8" s="3" customFormat="1" ht="15" customHeight="1">
      <c r="A950" s="289"/>
      <c r="B950" s="294" t="s">
        <v>1405</v>
      </c>
      <c r="C950" s="291"/>
      <c r="D950" s="293"/>
      <c r="E950" s="293"/>
      <c r="F950" s="293"/>
      <c r="G950" s="293"/>
      <c r="H950" s="293"/>
    </row>
    <row r="951" spans="1:8" s="3" customFormat="1" ht="15" customHeight="1">
      <c r="A951" s="289"/>
      <c r="B951" s="294" t="s">
        <v>1406</v>
      </c>
      <c r="C951" s="291"/>
      <c r="D951" s="293"/>
      <c r="E951" s="293"/>
      <c r="F951" s="293"/>
      <c r="G951" s="293"/>
      <c r="H951" s="293"/>
    </row>
    <row r="952" spans="1:8" s="3" customFormat="1" ht="15" customHeight="1">
      <c r="A952" s="289" t="s">
        <v>454</v>
      </c>
      <c r="B952" s="294"/>
      <c r="C952" s="291"/>
      <c r="D952" s="293"/>
      <c r="E952" s="293"/>
      <c r="F952" s="293"/>
      <c r="G952" s="293"/>
      <c r="H952" s="293"/>
    </row>
    <row r="953" spans="1:8" s="3" customFormat="1" ht="15" customHeight="1">
      <c r="A953" s="289"/>
      <c r="B953" s="294" t="s">
        <v>1407</v>
      </c>
      <c r="C953" s="291"/>
      <c r="D953" s="293"/>
      <c r="E953" s="293"/>
      <c r="F953" s="293"/>
      <c r="G953" s="293"/>
      <c r="H953" s="293"/>
    </row>
    <row r="954" spans="1:8" s="3" customFormat="1" ht="15" customHeight="1">
      <c r="A954" s="289" t="s">
        <v>455</v>
      </c>
      <c r="B954" s="294"/>
      <c r="C954" s="291"/>
      <c r="D954" s="293"/>
      <c r="E954" s="293"/>
      <c r="F954" s="293"/>
      <c r="G954" s="293"/>
      <c r="H954" s="293"/>
    </row>
    <row r="955" spans="1:8" s="3" customFormat="1" ht="15" customHeight="1">
      <c r="A955" s="289"/>
      <c r="B955" s="294"/>
      <c r="C955" s="291"/>
      <c r="D955" s="293"/>
      <c r="E955" s="293"/>
      <c r="F955" s="293"/>
      <c r="G955" s="293"/>
      <c r="H955" s="293"/>
    </row>
    <row r="956" spans="1:8" s="3" customFormat="1" ht="15" customHeight="1">
      <c r="A956" s="289"/>
      <c r="B956" s="310" t="s">
        <v>192</v>
      </c>
      <c r="C956" s="291"/>
      <c r="D956" s="293"/>
      <c r="E956" s="293"/>
      <c r="F956" s="293"/>
      <c r="G956" s="293"/>
      <c r="H956" s="293"/>
    </row>
    <row r="957" spans="1:8" s="3" customFormat="1" ht="15" customHeight="1">
      <c r="A957" s="289"/>
      <c r="B957" s="294" t="s">
        <v>456</v>
      </c>
      <c r="C957" s="291"/>
      <c r="D957" s="293"/>
      <c r="E957" s="293"/>
      <c r="F957" s="293"/>
      <c r="G957" s="293"/>
      <c r="H957" s="293"/>
    </row>
    <row r="958" spans="1:8" s="3" customFormat="1" ht="15" customHeight="1">
      <c r="A958" s="289" t="s">
        <v>457</v>
      </c>
      <c r="B958" s="294"/>
      <c r="C958" s="291"/>
      <c r="D958" s="293"/>
      <c r="E958" s="293"/>
      <c r="F958" s="293"/>
      <c r="G958" s="293"/>
      <c r="H958" s="293"/>
    </row>
    <row r="959" spans="1:8" s="3" customFormat="1" ht="15" customHeight="1">
      <c r="A959" s="289"/>
      <c r="B959" s="294" t="s">
        <v>458</v>
      </c>
      <c r="C959" s="291"/>
      <c r="D959" s="293"/>
      <c r="E959" s="293"/>
      <c r="F959" s="293"/>
      <c r="G959" s="293"/>
      <c r="H959" s="293"/>
    </row>
    <row r="960" spans="1:8" s="3" customFormat="1" ht="15" customHeight="1">
      <c r="A960" s="289" t="s">
        <v>459</v>
      </c>
      <c r="B960" s="294"/>
      <c r="C960" s="291"/>
      <c r="D960" s="293"/>
      <c r="E960" s="293"/>
      <c r="F960" s="293"/>
      <c r="G960" s="293"/>
      <c r="H960" s="293"/>
    </row>
    <row r="961" spans="1:8" s="3" customFormat="1" ht="15" customHeight="1">
      <c r="A961" s="289" t="s">
        <v>460</v>
      </c>
      <c r="B961" s="294"/>
      <c r="C961" s="291"/>
      <c r="D961" s="293"/>
      <c r="E961" s="293"/>
      <c r="F961" s="293"/>
      <c r="G961" s="293"/>
      <c r="H961" s="293"/>
    </row>
    <row r="962" spans="1:8" s="3" customFormat="1" ht="15" customHeight="1">
      <c r="A962" s="289"/>
      <c r="B962" s="294" t="s">
        <v>461</v>
      </c>
      <c r="C962" s="291"/>
      <c r="D962" s="293"/>
      <c r="E962" s="293"/>
      <c r="F962" s="293"/>
      <c r="G962" s="293"/>
      <c r="H962" s="293"/>
    </row>
    <row r="963" spans="1:8" s="3" customFormat="1" ht="15" customHeight="1">
      <c r="A963" s="289"/>
      <c r="B963" s="294" t="s">
        <v>462</v>
      </c>
      <c r="C963" s="291"/>
      <c r="D963" s="293"/>
      <c r="E963" s="293"/>
      <c r="F963" s="293"/>
      <c r="G963" s="293"/>
      <c r="H963" s="293"/>
    </row>
    <row r="964" spans="1:8" s="3" customFormat="1" ht="15" customHeight="1">
      <c r="A964" s="289"/>
      <c r="B964" s="294" t="s">
        <v>1408</v>
      </c>
      <c r="C964" s="291"/>
      <c r="D964" s="293"/>
      <c r="E964" s="293"/>
      <c r="F964" s="293"/>
      <c r="G964" s="293"/>
      <c r="H964" s="293"/>
    </row>
    <row r="965" spans="1:8" s="3" customFormat="1" ht="15" customHeight="1">
      <c r="A965" s="289" t="s">
        <v>463</v>
      </c>
      <c r="B965" s="294"/>
      <c r="C965" s="291"/>
      <c r="D965" s="293"/>
      <c r="E965" s="293"/>
      <c r="F965" s="293"/>
      <c r="G965" s="293"/>
      <c r="H965" s="293"/>
    </row>
    <row r="966" spans="1:8" s="3" customFormat="1" ht="15" customHeight="1">
      <c r="A966" s="289"/>
      <c r="B966" s="294"/>
      <c r="C966" s="291"/>
      <c r="D966" s="293"/>
      <c r="E966" s="293"/>
      <c r="F966" s="293"/>
      <c r="G966" s="293"/>
      <c r="H966" s="293"/>
    </row>
    <row r="967" spans="1:8" s="3" customFormat="1" ht="15" customHeight="1">
      <c r="A967" s="289"/>
      <c r="B967" s="310" t="s">
        <v>1409</v>
      </c>
      <c r="C967" s="291"/>
      <c r="D967" s="293"/>
      <c r="E967" s="293"/>
      <c r="F967" s="293"/>
      <c r="G967" s="293"/>
      <c r="H967" s="293"/>
    </row>
    <row r="968" spans="1:8" s="3" customFormat="1" ht="15" customHeight="1">
      <c r="A968" s="289"/>
      <c r="B968" s="294" t="s">
        <v>1410</v>
      </c>
      <c r="C968" s="291"/>
      <c r="D968" s="293"/>
      <c r="E968" s="293"/>
      <c r="F968" s="293"/>
      <c r="G968" s="293"/>
      <c r="H968" s="293"/>
    </row>
    <row r="969" spans="1:8" s="3" customFormat="1" ht="15" customHeight="1">
      <c r="A969" s="289" t="s">
        <v>464</v>
      </c>
      <c r="B969" s="294"/>
      <c r="C969" s="291"/>
      <c r="D969" s="293"/>
      <c r="E969" s="293"/>
      <c r="F969" s="293"/>
      <c r="G969" s="293"/>
      <c r="H969" s="293"/>
    </row>
    <row r="970" spans="1:8" s="3" customFormat="1" ht="15" customHeight="1">
      <c r="A970" s="289" t="s">
        <v>465</v>
      </c>
      <c r="B970" s="294"/>
      <c r="C970" s="291"/>
      <c r="D970" s="293"/>
      <c r="E970" s="293"/>
      <c r="F970" s="293"/>
      <c r="G970" s="293"/>
      <c r="H970" s="293"/>
    </row>
    <row r="971" spans="1:8" s="3" customFormat="1" ht="15" customHeight="1">
      <c r="A971" s="289"/>
      <c r="B971" s="294" t="s">
        <v>466</v>
      </c>
      <c r="C971" s="291"/>
      <c r="D971" s="293"/>
      <c r="E971" s="293"/>
      <c r="F971" s="293"/>
      <c r="G971" s="293"/>
      <c r="H971" s="293"/>
    </row>
    <row r="972" spans="1:8" s="3" customFormat="1" ht="15" customHeight="1">
      <c r="A972" s="289"/>
      <c r="B972" s="294"/>
      <c r="C972" s="291"/>
      <c r="D972" s="293"/>
      <c r="E972" s="293"/>
      <c r="F972" s="293"/>
      <c r="G972" s="293"/>
      <c r="H972" s="293"/>
    </row>
    <row r="973" spans="1:8" s="3" customFormat="1" ht="15" customHeight="1">
      <c r="A973" s="289"/>
      <c r="B973" s="310" t="s">
        <v>116</v>
      </c>
      <c r="C973" s="291"/>
      <c r="D973" s="293"/>
      <c r="E973" s="293"/>
      <c r="F973" s="293"/>
      <c r="G973" s="293"/>
      <c r="H973" s="293"/>
    </row>
    <row r="974" spans="1:8" s="3" customFormat="1" ht="15" customHeight="1">
      <c r="A974" s="289"/>
      <c r="B974" s="294" t="s">
        <v>467</v>
      </c>
      <c r="C974" s="291"/>
      <c r="D974" s="293"/>
      <c r="E974" s="293"/>
      <c r="F974" s="293"/>
      <c r="G974" s="293"/>
      <c r="H974" s="293"/>
    </row>
    <row r="975" spans="1:8" s="3" customFormat="1" ht="15" customHeight="1">
      <c r="A975" s="289" t="s">
        <v>468</v>
      </c>
      <c r="B975" s="294"/>
      <c r="C975" s="291"/>
      <c r="D975" s="293"/>
      <c r="E975" s="293"/>
      <c r="F975" s="293"/>
      <c r="G975" s="293"/>
      <c r="H975" s="293"/>
    </row>
    <row r="976" spans="1:8" s="3" customFormat="1" ht="15" customHeight="1">
      <c r="A976" s="303"/>
      <c r="B976" s="303"/>
      <c r="C976" s="303"/>
      <c r="D976" s="303"/>
      <c r="E976" s="303"/>
      <c r="F976" s="303"/>
      <c r="G976" s="303"/>
      <c r="H976" s="303"/>
    </row>
    <row r="977" spans="1:8" s="3" customFormat="1" ht="15" customHeight="1">
      <c r="A977" s="309" t="s">
        <v>420</v>
      </c>
      <c r="B977" s="294"/>
      <c r="C977" s="291"/>
      <c r="D977" s="293"/>
      <c r="E977" s="293"/>
      <c r="F977" s="293"/>
      <c r="G977" s="293"/>
      <c r="H977" s="293"/>
    </row>
    <row r="978" spans="1:8" s="3" customFormat="1" ht="15" customHeight="1">
      <c r="A978" s="289"/>
      <c r="B978" s="294"/>
      <c r="C978" s="291"/>
      <c r="D978" s="293"/>
      <c r="E978" s="293"/>
      <c r="F978" s="293"/>
      <c r="G978" s="293"/>
      <c r="H978" s="293"/>
    </row>
    <row r="979" spans="1:8" s="3" customFormat="1" ht="15" customHeight="1">
      <c r="A979" s="289"/>
      <c r="B979" s="310" t="s">
        <v>81</v>
      </c>
      <c r="C979" s="291"/>
      <c r="D979" s="293"/>
      <c r="E979" s="293"/>
      <c r="F979" s="293"/>
      <c r="G979" s="293"/>
      <c r="H979" s="293"/>
    </row>
    <row r="980" spans="1:8" s="3" customFormat="1" ht="15" customHeight="1">
      <c r="A980" s="289"/>
      <c r="B980" s="294" t="s">
        <v>1411</v>
      </c>
      <c r="C980" s="291"/>
      <c r="D980" s="293"/>
      <c r="E980" s="293"/>
      <c r="F980" s="293"/>
      <c r="G980" s="293"/>
      <c r="H980" s="293"/>
    </row>
    <row r="981" spans="1:8" s="3" customFormat="1" ht="15" customHeight="1">
      <c r="A981" s="289" t="s">
        <v>484</v>
      </c>
      <c r="B981" s="294"/>
      <c r="C981" s="291"/>
      <c r="D981" s="293"/>
      <c r="E981" s="293"/>
      <c r="F981" s="293"/>
      <c r="G981" s="293"/>
      <c r="H981" s="293"/>
    </row>
    <row r="982" spans="1:8" s="3" customFormat="1" ht="15" customHeight="1">
      <c r="A982" s="289"/>
      <c r="B982" s="311" t="s">
        <v>68</v>
      </c>
      <c r="C982" s="312" t="s">
        <v>5063</v>
      </c>
      <c r="D982" s="293"/>
      <c r="E982" s="293"/>
      <c r="F982" s="293"/>
      <c r="G982" s="293"/>
      <c r="H982" s="293"/>
    </row>
    <row r="983" spans="1:8" s="3" customFormat="1" ht="15" customHeight="1">
      <c r="A983" s="289"/>
      <c r="B983" s="311" t="s">
        <v>68</v>
      </c>
      <c r="C983" s="312" t="s">
        <v>5067</v>
      </c>
      <c r="D983" s="293"/>
      <c r="E983" s="293"/>
      <c r="F983" s="293"/>
      <c r="G983" s="293"/>
      <c r="H983" s="293"/>
    </row>
    <row r="984" spans="1:8" s="3" customFormat="1" ht="15" customHeight="1">
      <c r="A984" s="289"/>
      <c r="B984" s="311" t="s">
        <v>68</v>
      </c>
      <c r="C984" s="312" t="s">
        <v>5068</v>
      </c>
      <c r="D984" s="293"/>
      <c r="E984" s="293"/>
      <c r="F984" s="293"/>
      <c r="G984" s="293"/>
      <c r="H984" s="293"/>
    </row>
    <row r="985" spans="1:8" s="3" customFormat="1" ht="15" customHeight="1">
      <c r="A985" s="289"/>
      <c r="B985" s="311" t="s">
        <v>68</v>
      </c>
      <c r="C985" s="312" t="s">
        <v>5064</v>
      </c>
      <c r="D985" s="293"/>
      <c r="E985" s="293"/>
      <c r="F985" s="293"/>
      <c r="G985" s="293"/>
      <c r="H985" s="293"/>
    </row>
    <row r="986" spans="1:8" s="3" customFormat="1" ht="15" customHeight="1">
      <c r="A986" s="289"/>
      <c r="B986" s="310"/>
      <c r="C986" s="291"/>
      <c r="D986" s="293"/>
      <c r="E986" s="293"/>
      <c r="F986" s="293"/>
      <c r="G986" s="293"/>
      <c r="H986" s="293"/>
    </row>
    <row r="987" spans="1:8" s="3" customFormat="1" ht="15" customHeight="1">
      <c r="A987" s="289"/>
      <c r="B987" s="294" t="s">
        <v>421</v>
      </c>
      <c r="C987" s="291"/>
      <c r="D987" s="293"/>
      <c r="E987" s="293"/>
      <c r="F987" s="293"/>
      <c r="G987" s="293"/>
      <c r="H987" s="293"/>
    </row>
    <row r="988" spans="1:8" s="3" customFormat="1" ht="15" customHeight="1">
      <c r="A988" s="289"/>
      <c r="B988" s="294" t="s">
        <v>1412</v>
      </c>
      <c r="C988" s="291"/>
      <c r="D988" s="293"/>
      <c r="E988" s="293"/>
      <c r="F988" s="293"/>
      <c r="G988" s="293"/>
      <c r="H988" s="293"/>
    </row>
    <row r="989" spans="1:8" s="3" customFormat="1" ht="15" customHeight="1">
      <c r="A989" s="289" t="s">
        <v>1413</v>
      </c>
      <c r="B989" s="294"/>
      <c r="C989" s="291"/>
      <c r="D989" s="293"/>
      <c r="E989" s="293"/>
      <c r="F989" s="293"/>
      <c r="G989" s="293"/>
      <c r="H989" s="293"/>
    </row>
    <row r="990" spans="1:8" s="3" customFormat="1" ht="15" customHeight="1">
      <c r="A990" s="289" t="s">
        <v>422</v>
      </c>
      <c r="B990" s="294"/>
      <c r="C990" s="291"/>
      <c r="D990" s="293"/>
      <c r="E990" s="293"/>
      <c r="F990" s="293"/>
      <c r="G990" s="293"/>
      <c r="H990" s="293"/>
    </row>
    <row r="991" spans="1:8" s="3" customFormat="1" ht="15" customHeight="1">
      <c r="A991" s="289"/>
      <c r="B991" s="294"/>
      <c r="C991" s="291"/>
      <c r="D991" s="293"/>
      <c r="E991" s="293"/>
      <c r="F991" s="293"/>
      <c r="G991" s="293"/>
      <c r="H991" s="293"/>
    </row>
    <row r="992" spans="1:8" s="3" customFormat="1" ht="15" customHeight="1">
      <c r="A992" s="289"/>
      <c r="B992" s="294" t="s">
        <v>423</v>
      </c>
      <c r="C992" s="291"/>
      <c r="D992" s="293"/>
      <c r="E992" s="293"/>
      <c r="F992" s="293"/>
      <c r="G992" s="293"/>
      <c r="H992" s="293"/>
    </row>
    <row r="993" spans="1:8" s="3" customFormat="1" ht="15" customHeight="1">
      <c r="A993" s="289" t="s">
        <v>1414</v>
      </c>
      <c r="B993" s="294"/>
      <c r="C993" s="291"/>
      <c r="D993" s="293"/>
      <c r="E993" s="293"/>
      <c r="F993" s="293"/>
      <c r="G993" s="293"/>
      <c r="H993" s="293"/>
    </row>
    <row r="994" spans="1:8" s="3" customFormat="1" ht="15" customHeight="1">
      <c r="A994" s="289" t="s">
        <v>424</v>
      </c>
      <c r="B994" s="294"/>
      <c r="C994" s="291"/>
      <c r="D994" s="293"/>
      <c r="E994" s="293"/>
      <c r="F994" s="293"/>
      <c r="G994" s="293"/>
      <c r="H994" s="293"/>
    </row>
    <row r="995" spans="1:8" s="3" customFormat="1" ht="15" customHeight="1">
      <c r="A995" s="289"/>
      <c r="B995" s="294"/>
      <c r="C995" s="291"/>
      <c r="D995" s="293"/>
      <c r="E995" s="293"/>
      <c r="F995" s="293"/>
      <c r="G995" s="293"/>
      <c r="H995" s="293"/>
    </row>
    <row r="996" spans="1:8" s="3" customFormat="1" ht="15" customHeight="1">
      <c r="A996" s="289"/>
      <c r="B996" s="310" t="s">
        <v>323</v>
      </c>
      <c r="C996" s="291"/>
      <c r="D996" s="293"/>
      <c r="E996" s="293"/>
      <c r="F996" s="293"/>
      <c r="G996" s="293"/>
      <c r="H996" s="293"/>
    </row>
    <row r="997" spans="1:8" s="3" customFormat="1" ht="15" customHeight="1">
      <c r="A997" s="289"/>
      <c r="B997" s="294" t="s">
        <v>1276</v>
      </c>
      <c r="C997" s="291"/>
      <c r="D997" s="293"/>
      <c r="E997" s="293"/>
      <c r="F997" s="293"/>
      <c r="G997" s="293"/>
      <c r="H997" s="293"/>
    </row>
    <row r="998" spans="1:8" s="3" customFormat="1" ht="15" customHeight="1">
      <c r="A998" s="294" t="s">
        <v>1277</v>
      </c>
      <c r="B998" s="294"/>
      <c r="C998" s="291"/>
      <c r="D998" s="293"/>
      <c r="E998" s="293"/>
      <c r="F998" s="293"/>
      <c r="G998" s="293"/>
      <c r="H998" s="293"/>
    </row>
    <row r="999" spans="1:8" s="3" customFormat="1" ht="15" customHeight="1">
      <c r="A999" s="294" t="s">
        <v>370</v>
      </c>
      <c r="B999" s="305"/>
      <c r="C999" s="291"/>
      <c r="D999" s="293"/>
      <c r="E999" s="293"/>
      <c r="F999" s="293"/>
      <c r="G999" s="293"/>
      <c r="H999" s="293"/>
    </row>
    <row r="1000" spans="1:8" s="3" customFormat="1" ht="15" customHeight="1">
      <c r="A1000" s="289"/>
      <c r="B1000" s="294"/>
      <c r="C1000" s="291"/>
      <c r="D1000" s="293"/>
      <c r="E1000" s="293"/>
      <c r="F1000" s="293"/>
      <c r="G1000" s="293"/>
      <c r="H1000" s="293"/>
    </row>
    <row r="1001" spans="1:8" s="3" customFormat="1" ht="15" customHeight="1">
      <c r="A1001" s="289"/>
      <c r="B1001" s="310" t="s">
        <v>425</v>
      </c>
      <c r="C1001" s="291"/>
      <c r="D1001" s="293"/>
      <c r="E1001" s="293"/>
      <c r="F1001" s="293"/>
      <c r="G1001" s="293"/>
      <c r="H1001" s="293"/>
    </row>
    <row r="1002" spans="1:8" s="3" customFormat="1" ht="15" customHeight="1">
      <c r="A1002" s="289"/>
      <c r="B1002" s="294" t="s">
        <v>1415</v>
      </c>
      <c r="C1002" s="291"/>
      <c r="D1002" s="293"/>
      <c r="E1002" s="293"/>
      <c r="F1002" s="293"/>
      <c r="G1002" s="293"/>
      <c r="H1002" s="293"/>
    </row>
    <row r="1003" spans="1:8" s="3" customFormat="1" ht="15" customHeight="1">
      <c r="A1003" s="289" t="s">
        <v>426</v>
      </c>
      <c r="B1003" s="294"/>
      <c r="C1003" s="291"/>
      <c r="D1003" s="293"/>
      <c r="E1003" s="293"/>
      <c r="F1003" s="293"/>
      <c r="G1003" s="293"/>
      <c r="H1003" s="293"/>
    </row>
    <row r="1004" spans="1:8" s="3" customFormat="1" ht="15" customHeight="1">
      <c r="A1004" s="289"/>
      <c r="B1004" s="294" t="s">
        <v>1416</v>
      </c>
      <c r="C1004" s="291"/>
      <c r="D1004" s="293"/>
      <c r="E1004" s="293"/>
      <c r="F1004" s="293"/>
      <c r="G1004" s="293"/>
      <c r="H1004" s="293"/>
    </row>
    <row r="1005" spans="1:8" s="3" customFormat="1" ht="15" customHeight="1">
      <c r="A1005" s="289" t="s">
        <v>1417</v>
      </c>
      <c r="B1005" s="294"/>
      <c r="C1005" s="291"/>
      <c r="D1005" s="293"/>
      <c r="E1005" s="293"/>
      <c r="F1005" s="293"/>
      <c r="G1005" s="293"/>
      <c r="H1005" s="293"/>
    </row>
    <row r="1006" spans="1:8" s="3" customFormat="1" ht="15" customHeight="1">
      <c r="A1006" s="289"/>
      <c r="B1006" s="294" t="s">
        <v>427</v>
      </c>
      <c r="C1006" s="291"/>
      <c r="D1006" s="293"/>
      <c r="E1006" s="293"/>
      <c r="F1006" s="293"/>
      <c r="G1006" s="293"/>
      <c r="H1006" s="293"/>
    </row>
    <row r="1007" spans="1:8" s="3" customFormat="1" ht="15" customHeight="1">
      <c r="A1007" s="289" t="s">
        <v>428</v>
      </c>
      <c r="B1007" s="294"/>
      <c r="C1007" s="291"/>
      <c r="D1007" s="293"/>
      <c r="E1007" s="293"/>
      <c r="F1007" s="293"/>
      <c r="G1007" s="293"/>
      <c r="H1007" s="293"/>
    </row>
    <row r="1008" spans="1:8" s="3" customFormat="1" ht="15" customHeight="1">
      <c r="A1008" s="289" t="s">
        <v>429</v>
      </c>
      <c r="B1008" s="294" t="s">
        <v>1418</v>
      </c>
      <c r="C1008" s="291"/>
      <c r="D1008" s="293"/>
      <c r="E1008" s="293"/>
      <c r="F1008" s="293"/>
      <c r="G1008" s="293"/>
      <c r="H1008" s="293"/>
    </row>
    <row r="1009" spans="1:8" s="3" customFormat="1" ht="15" customHeight="1">
      <c r="A1009" s="289" t="s">
        <v>430</v>
      </c>
      <c r="B1009" s="294"/>
      <c r="C1009" s="291"/>
      <c r="D1009" s="293"/>
      <c r="E1009" s="293"/>
      <c r="F1009" s="293"/>
      <c r="G1009" s="293"/>
      <c r="H1009" s="293"/>
    </row>
    <row r="1010" spans="1:8" s="3" customFormat="1" ht="15" customHeight="1">
      <c r="A1010" s="289"/>
      <c r="B1010" s="294" t="s">
        <v>431</v>
      </c>
      <c r="C1010" s="291"/>
      <c r="D1010" s="293"/>
      <c r="E1010" s="293"/>
      <c r="F1010" s="293"/>
      <c r="G1010" s="293"/>
      <c r="H1010" s="293"/>
    </row>
    <row r="1011" spans="1:8" s="3" customFormat="1" ht="15" customHeight="1">
      <c r="A1011" s="289" t="s">
        <v>432</v>
      </c>
      <c r="B1011" s="294"/>
      <c r="C1011" s="291"/>
      <c r="D1011" s="293"/>
      <c r="E1011" s="293"/>
      <c r="F1011" s="293"/>
      <c r="G1011" s="293"/>
      <c r="H1011" s="293"/>
    </row>
    <row r="1012" spans="1:8" s="3" customFormat="1" ht="15" customHeight="1">
      <c r="A1012" s="289"/>
      <c r="B1012" s="294" t="s">
        <v>433</v>
      </c>
      <c r="C1012" s="291"/>
      <c r="D1012" s="293"/>
      <c r="E1012" s="293"/>
      <c r="F1012" s="293"/>
      <c r="G1012" s="293"/>
      <c r="H1012" s="293"/>
    </row>
    <row r="1013" spans="1:8" s="3" customFormat="1" ht="15" customHeight="1">
      <c r="A1013" s="289" t="s">
        <v>434</v>
      </c>
      <c r="B1013" s="294"/>
      <c r="C1013" s="291"/>
      <c r="D1013" s="293"/>
      <c r="E1013" s="293"/>
      <c r="F1013" s="293"/>
      <c r="G1013" s="293"/>
      <c r="H1013" s="293"/>
    </row>
    <row r="1014" spans="1:8" s="3" customFormat="1" ht="15" customHeight="1">
      <c r="A1014" s="289"/>
      <c r="B1014" s="294"/>
      <c r="C1014" s="291"/>
      <c r="D1014" s="293"/>
      <c r="E1014" s="293"/>
      <c r="F1014" s="293"/>
      <c r="G1014" s="293"/>
      <c r="H1014" s="293"/>
    </row>
    <row r="1015" spans="1:8" s="3" customFormat="1" ht="15" customHeight="1">
      <c r="A1015" s="289"/>
      <c r="B1015" s="310" t="s">
        <v>116</v>
      </c>
      <c r="C1015" s="291"/>
      <c r="D1015" s="293"/>
      <c r="E1015" s="293"/>
      <c r="F1015" s="293"/>
      <c r="G1015" s="293"/>
      <c r="H1015" s="293"/>
    </row>
    <row r="1016" spans="1:8" s="3" customFormat="1" ht="15" customHeight="1">
      <c r="A1016" s="289"/>
      <c r="B1016" s="294" t="s">
        <v>435</v>
      </c>
      <c r="C1016" s="291"/>
      <c r="D1016" s="293"/>
      <c r="E1016" s="293"/>
      <c r="F1016" s="293"/>
      <c r="G1016" s="293"/>
      <c r="H1016" s="293"/>
    </row>
    <row r="1017" spans="1:8" s="3" customFormat="1" ht="15" customHeight="1">
      <c r="A1017" s="289" t="s">
        <v>436</v>
      </c>
      <c r="B1017" s="294"/>
      <c r="C1017" s="291"/>
      <c r="D1017" s="293"/>
      <c r="E1017" s="293"/>
      <c r="F1017" s="293"/>
      <c r="G1017" s="293"/>
      <c r="H1017" s="293"/>
    </row>
    <row r="1018" spans="1:8" s="3" customFormat="1" ht="15" customHeight="1">
      <c r="A1018" s="303"/>
      <c r="B1018" s="303"/>
      <c r="C1018" s="303"/>
      <c r="D1018" s="303"/>
      <c r="E1018" s="303"/>
      <c r="F1018" s="303"/>
      <c r="G1018" s="303"/>
      <c r="H1018" s="303"/>
    </row>
    <row r="1019" spans="1:8" s="3" customFormat="1" ht="15" customHeight="1">
      <c r="A1019" s="303"/>
      <c r="B1019" s="303"/>
      <c r="C1019" s="303"/>
      <c r="D1019" s="303"/>
      <c r="E1019" s="303"/>
      <c r="F1019" s="303"/>
      <c r="G1019" s="303"/>
      <c r="H1019" s="303"/>
    </row>
    <row r="1020" spans="1:8" s="3" customFormat="1" ht="15" customHeight="1">
      <c r="A1020" s="309" t="s">
        <v>469</v>
      </c>
      <c r="B1020" s="294"/>
      <c r="C1020" s="291"/>
      <c r="D1020" s="293"/>
      <c r="E1020" s="293"/>
      <c r="F1020" s="293"/>
      <c r="G1020" s="293"/>
      <c r="H1020" s="293"/>
    </row>
    <row r="1021" spans="1:8" s="3" customFormat="1" ht="15" customHeight="1">
      <c r="A1021" s="289"/>
      <c r="B1021" s="294"/>
      <c r="C1021" s="291"/>
      <c r="D1021" s="293"/>
      <c r="E1021" s="293"/>
      <c r="F1021" s="293"/>
      <c r="G1021" s="293"/>
      <c r="H1021" s="293"/>
    </row>
    <row r="1022" spans="1:8" s="3" customFormat="1" ht="15" customHeight="1">
      <c r="A1022" s="289"/>
      <c r="B1022" s="310" t="s">
        <v>81</v>
      </c>
      <c r="C1022" s="291"/>
      <c r="D1022" s="293"/>
      <c r="E1022" s="293"/>
      <c r="F1022" s="293"/>
      <c r="G1022" s="293"/>
      <c r="H1022" s="293"/>
    </row>
    <row r="1023" spans="1:8" s="3" customFormat="1" ht="15" customHeight="1">
      <c r="A1023" s="289"/>
      <c r="B1023" s="294" t="s">
        <v>470</v>
      </c>
      <c r="C1023" s="291"/>
      <c r="D1023" s="293"/>
      <c r="E1023" s="293"/>
      <c r="F1023" s="293"/>
      <c r="G1023" s="293"/>
      <c r="H1023" s="293"/>
    </row>
    <row r="1024" spans="1:8" s="3" customFormat="1" ht="15" customHeight="1">
      <c r="A1024" s="289" t="s">
        <v>368</v>
      </c>
      <c r="B1024" s="294"/>
      <c r="C1024" s="291"/>
      <c r="D1024" s="293"/>
      <c r="E1024" s="293"/>
      <c r="F1024" s="293"/>
      <c r="G1024" s="293"/>
      <c r="H1024" s="293"/>
    </row>
    <row r="1025" spans="1:8" s="3" customFormat="1" ht="15" customHeight="1">
      <c r="A1025" s="289"/>
      <c r="B1025" s="311" t="s">
        <v>68</v>
      </c>
      <c r="C1025" s="312" t="s">
        <v>5063</v>
      </c>
      <c r="D1025" s="293"/>
      <c r="E1025" s="293"/>
      <c r="F1025" s="293"/>
      <c r="G1025" s="293"/>
      <c r="H1025" s="293"/>
    </row>
    <row r="1026" spans="1:8" s="3" customFormat="1" ht="15" customHeight="1">
      <c r="A1026" s="289"/>
      <c r="B1026" s="311" t="s">
        <v>68</v>
      </c>
      <c r="C1026" s="312" t="s">
        <v>5067</v>
      </c>
      <c r="D1026" s="293"/>
      <c r="E1026" s="293"/>
      <c r="F1026" s="293"/>
      <c r="G1026" s="293"/>
      <c r="H1026" s="293"/>
    </row>
    <row r="1027" spans="1:8" s="3" customFormat="1" ht="15" customHeight="1">
      <c r="A1027" s="289"/>
      <c r="B1027" s="311" t="s">
        <v>68</v>
      </c>
      <c r="C1027" s="312" t="s">
        <v>5068</v>
      </c>
      <c r="D1027" s="293"/>
      <c r="E1027" s="293"/>
      <c r="F1027" s="293"/>
      <c r="G1027" s="293"/>
      <c r="H1027" s="293"/>
    </row>
    <row r="1028" spans="1:8" s="3" customFormat="1" ht="15" customHeight="1">
      <c r="A1028" s="289"/>
      <c r="B1028" s="311" t="s">
        <v>68</v>
      </c>
      <c r="C1028" s="312" t="s">
        <v>5064</v>
      </c>
      <c r="D1028" s="292"/>
      <c r="E1028" s="293"/>
      <c r="F1028" s="293"/>
      <c r="G1028" s="293"/>
      <c r="H1028" s="293"/>
    </row>
    <row r="1029" spans="1:8" s="3" customFormat="1" ht="15" customHeight="1">
      <c r="A1029" s="289"/>
      <c r="B1029" s="294"/>
      <c r="C1029" s="291"/>
      <c r="D1029" s="293"/>
      <c r="E1029" s="293"/>
      <c r="F1029" s="293"/>
      <c r="G1029" s="293"/>
      <c r="H1029" s="293"/>
    </row>
    <row r="1030" spans="1:8" s="3" customFormat="1" ht="15" customHeight="1">
      <c r="A1030" s="289"/>
      <c r="B1030" s="310" t="s">
        <v>323</v>
      </c>
      <c r="C1030" s="291"/>
      <c r="D1030" s="293"/>
      <c r="E1030" s="293"/>
      <c r="F1030" s="293"/>
      <c r="G1030" s="293"/>
      <c r="H1030" s="293"/>
    </row>
    <row r="1031" spans="1:8" s="3" customFormat="1" ht="15" customHeight="1">
      <c r="A1031" s="289"/>
      <c r="B1031" s="294" t="s">
        <v>1276</v>
      </c>
      <c r="C1031" s="291"/>
      <c r="D1031" s="293"/>
      <c r="E1031" s="293"/>
      <c r="F1031" s="293"/>
      <c r="G1031" s="293"/>
      <c r="H1031" s="293"/>
    </row>
    <row r="1032" spans="1:8" s="3" customFormat="1" ht="15" customHeight="1">
      <c r="A1032" s="294" t="s">
        <v>1277</v>
      </c>
      <c r="B1032" s="294"/>
      <c r="C1032" s="291"/>
      <c r="D1032" s="293"/>
      <c r="E1032" s="293"/>
      <c r="F1032" s="293"/>
      <c r="G1032" s="293"/>
      <c r="H1032" s="293"/>
    </row>
    <row r="1033" spans="1:8" s="3" customFormat="1" ht="15" customHeight="1">
      <c r="A1033" s="294" t="s">
        <v>370</v>
      </c>
      <c r="B1033" s="305"/>
      <c r="C1033" s="291"/>
      <c r="D1033" s="293"/>
      <c r="E1033" s="293"/>
      <c r="F1033" s="293"/>
      <c r="G1033" s="293"/>
      <c r="H1033" s="293"/>
    </row>
    <row r="1034" spans="1:8" s="3" customFormat="1" ht="15" customHeight="1">
      <c r="A1034" s="289"/>
      <c r="B1034" s="294"/>
      <c r="C1034" s="291"/>
      <c r="D1034" s="293"/>
      <c r="E1034" s="293"/>
      <c r="F1034" s="293"/>
      <c r="G1034" s="293"/>
      <c r="H1034" s="293"/>
    </row>
    <row r="1035" spans="1:8" s="3" customFormat="1" ht="15" customHeight="1">
      <c r="A1035" s="289"/>
      <c r="B1035" s="310" t="s">
        <v>471</v>
      </c>
      <c r="C1035" s="291"/>
      <c r="D1035" s="293"/>
      <c r="E1035" s="293"/>
      <c r="F1035" s="293"/>
      <c r="G1035" s="293"/>
      <c r="H1035" s="293"/>
    </row>
    <row r="1036" spans="1:8" s="3" customFormat="1" ht="15" customHeight="1">
      <c r="A1036" s="289"/>
      <c r="B1036" s="312" t="s">
        <v>1419</v>
      </c>
      <c r="C1036" s="291"/>
      <c r="D1036" s="293"/>
      <c r="E1036" s="293"/>
      <c r="F1036" s="293"/>
      <c r="G1036" s="293"/>
      <c r="H1036" s="293"/>
    </row>
    <row r="1037" spans="1:8" s="3" customFormat="1" ht="15" customHeight="1">
      <c r="A1037" s="289" t="s">
        <v>472</v>
      </c>
      <c r="B1037" s="294"/>
      <c r="C1037" s="291"/>
      <c r="D1037" s="293"/>
      <c r="E1037" s="293"/>
      <c r="F1037" s="293"/>
      <c r="G1037" s="293"/>
      <c r="H1037" s="293"/>
    </row>
    <row r="1038" spans="1:8" s="3" customFormat="1" ht="15" customHeight="1">
      <c r="A1038" s="289"/>
      <c r="B1038" s="294" t="s">
        <v>1420</v>
      </c>
      <c r="C1038" s="291"/>
      <c r="D1038" s="293"/>
      <c r="E1038" s="293"/>
      <c r="F1038" s="293"/>
      <c r="G1038" s="293"/>
      <c r="H1038" s="293"/>
    </row>
    <row r="1039" spans="1:8" s="3" customFormat="1" ht="15" customHeight="1">
      <c r="A1039" s="294" t="s">
        <v>1421</v>
      </c>
      <c r="B1039" s="294"/>
      <c r="C1039" s="291"/>
      <c r="D1039" s="293"/>
      <c r="E1039" s="293"/>
      <c r="F1039" s="293"/>
      <c r="G1039" s="293"/>
      <c r="H1039" s="293"/>
    </row>
    <row r="1040" spans="1:8" s="3" customFormat="1" ht="15" customHeight="1">
      <c r="A1040" s="289"/>
      <c r="B1040" s="312" t="s">
        <v>1422</v>
      </c>
      <c r="C1040" s="291"/>
      <c r="D1040" s="293"/>
      <c r="E1040" s="293"/>
      <c r="F1040" s="293"/>
      <c r="G1040" s="293"/>
      <c r="H1040" s="293"/>
    </row>
    <row r="1041" spans="1:8" s="3" customFormat="1" ht="15" customHeight="1">
      <c r="A1041" s="289" t="s">
        <v>1423</v>
      </c>
      <c r="B1041" s="294"/>
      <c r="C1041" s="291"/>
      <c r="D1041" s="293"/>
      <c r="E1041" s="293"/>
      <c r="F1041" s="293"/>
      <c r="G1041" s="293"/>
      <c r="H1041" s="293"/>
    </row>
    <row r="1042" spans="1:8" s="3" customFormat="1" ht="15" customHeight="1">
      <c r="A1042" s="289" t="s">
        <v>473</v>
      </c>
      <c r="B1042" s="294"/>
      <c r="C1042" s="291"/>
      <c r="D1042" s="293"/>
      <c r="E1042" s="293"/>
      <c r="F1042" s="293"/>
      <c r="G1042" s="293"/>
      <c r="H1042" s="293"/>
    </row>
    <row r="1043" spans="1:8" s="3" customFormat="1" ht="15" customHeight="1">
      <c r="A1043" s="289"/>
      <c r="B1043" s="312" t="s">
        <v>1424</v>
      </c>
      <c r="C1043" s="291"/>
      <c r="D1043" s="293"/>
      <c r="E1043" s="293"/>
      <c r="F1043" s="293"/>
      <c r="G1043" s="293"/>
      <c r="H1043" s="293"/>
    </row>
    <row r="1044" spans="1:8" s="3" customFormat="1" ht="15" customHeight="1">
      <c r="A1044" s="289" t="s">
        <v>1425</v>
      </c>
      <c r="B1044" s="294"/>
      <c r="C1044" s="291"/>
      <c r="D1044" s="293"/>
      <c r="E1044" s="293"/>
      <c r="F1044" s="293"/>
      <c r="G1044" s="293"/>
      <c r="H1044" s="293"/>
    </row>
    <row r="1045" spans="1:8" s="3" customFormat="1" ht="15" customHeight="1">
      <c r="A1045" s="289"/>
      <c r="B1045" s="312" t="s">
        <v>1426</v>
      </c>
      <c r="C1045" s="291"/>
      <c r="D1045" s="293"/>
      <c r="E1045" s="293"/>
      <c r="F1045" s="293"/>
      <c r="G1045" s="293"/>
      <c r="H1045" s="293"/>
    </row>
    <row r="1046" spans="1:8" s="3" customFormat="1" ht="15" customHeight="1">
      <c r="A1046" s="289" t="s">
        <v>474</v>
      </c>
      <c r="B1046" s="294"/>
      <c r="C1046" s="291"/>
      <c r="D1046" s="293"/>
      <c r="E1046" s="293"/>
      <c r="F1046" s="293"/>
      <c r="G1046" s="293"/>
      <c r="H1046" s="293"/>
    </row>
    <row r="1047" spans="1:8" s="3" customFormat="1" ht="15" customHeight="1">
      <c r="A1047" s="289"/>
      <c r="B1047" s="294"/>
      <c r="C1047" s="291"/>
      <c r="D1047" s="293"/>
      <c r="E1047" s="293"/>
      <c r="F1047" s="293"/>
      <c r="G1047" s="293"/>
      <c r="H1047" s="293"/>
    </row>
    <row r="1048" spans="1:8" s="3" customFormat="1" ht="15" customHeight="1">
      <c r="A1048" s="289"/>
      <c r="B1048" s="294" t="s">
        <v>475</v>
      </c>
      <c r="C1048" s="291"/>
      <c r="D1048" s="293"/>
      <c r="E1048" s="293"/>
      <c r="F1048" s="293"/>
      <c r="G1048" s="293"/>
      <c r="H1048" s="293"/>
    </row>
    <row r="1049" spans="1:8" s="3" customFormat="1" ht="15" customHeight="1">
      <c r="A1049" s="289" t="s">
        <v>476</v>
      </c>
      <c r="B1049" s="294"/>
      <c r="C1049" s="291"/>
      <c r="D1049" s="293"/>
      <c r="E1049" s="293"/>
      <c r="F1049" s="293"/>
      <c r="G1049" s="293"/>
      <c r="H1049" s="293"/>
    </row>
    <row r="1050" spans="1:8" s="3" customFormat="1" ht="15" customHeight="1">
      <c r="A1050" s="289"/>
      <c r="B1050" s="294"/>
      <c r="C1050" s="291"/>
      <c r="D1050" s="293"/>
      <c r="E1050" s="293"/>
      <c r="F1050" s="293"/>
      <c r="G1050" s="293"/>
      <c r="H1050" s="293"/>
    </row>
    <row r="1051" spans="1:8" s="3" customFormat="1" ht="15" customHeight="1">
      <c r="A1051" s="289"/>
      <c r="B1051" s="310" t="s">
        <v>1409</v>
      </c>
      <c r="C1051" s="291"/>
      <c r="D1051" s="293"/>
      <c r="E1051" s="293"/>
      <c r="F1051" s="293"/>
      <c r="G1051" s="293"/>
      <c r="H1051" s="293"/>
    </row>
    <row r="1052" spans="1:8" s="3" customFormat="1" ht="15" customHeight="1">
      <c r="A1052" s="289"/>
      <c r="B1052" s="294" t="s">
        <v>477</v>
      </c>
      <c r="C1052" s="291"/>
      <c r="D1052" s="293"/>
      <c r="E1052" s="293"/>
      <c r="F1052" s="293"/>
      <c r="G1052" s="293"/>
      <c r="H1052" s="293"/>
    </row>
    <row r="1053" spans="1:8" s="3" customFormat="1" ht="15" customHeight="1">
      <c r="A1053" s="289"/>
      <c r="B1053" s="294" t="s">
        <v>478</v>
      </c>
      <c r="C1053" s="291"/>
      <c r="D1053" s="293"/>
      <c r="E1053" s="293"/>
      <c r="F1053" s="293"/>
      <c r="G1053" s="293"/>
      <c r="H1053" s="293"/>
    </row>
    <row r="1054" spans="1:8" s="3" customFormat="1" ht="15" customHeight="1">
      <c r="A1054" s="289" t="s">
        <v>1427</v>
      </c>
      <c r="B1054" s="294"/>
      <c r="C1054" s="291"/>
      <c r="D1054" s="293"/>
      <c r="E1054" s="293"/>
      <c r="F1054" s="293"/>
      <c r="G1054" s="293"/>
      <c r="H1054" s="293"/>
    </row>
    <row r="1055" spans="1:8" s="3" customFormat="1" ht="15" customHeight="1">
      <c r="A1055" s="289"/>
      <c r="B1055" s="294" t="s">
        <v>1428</v>
      </c>
      <c r="C1055" s="291"/>
      <c r="D1055" s="293"/>
      <c r="E1055" s="293"/>
      <c r="F1055" s="293"/>
      <c r="G1055" s="293"/>
      <c r="H1055" s="293"/>
    </row>
    <row r="1056" spans="1:8" s="3" customFormat="1" ht="15" customHeight="1">
      <c r="A1056" s="289" t="s">
        <v>479</v>
      </c>
      <c r="B1056" s="294"/>
      <c r="C1056" s="291"/>
      <c r="D1056" s="293"/>
      <c r="E1056" s="293"/>
      <c r="F1056" s="293"/>
      <c r="G1056" s="293"/>
      <c r="H1056" s="293"/>
    </row>
    <row r="1057" spans="1:8" s="3" customFormat="1" ht="15" customHeight="1">
      <c r="A1057" s="289"/>
      <c r="B1057" s="294"/>
      <c r="C1057" s="291"/>
      <c r="D1057" s="293"/>
      <c r="E1057" s="293"/>
      <c r="F1057" s="293"/>
      <c r="G1057" s="293"/>
      <c r="H1057" s="293"/>
    </row>
    <row r="1058" spans="1:8" s="3" customFormat="1" ht="15" customHeight="1">
      <c r="A1058" s="289"/>
      <c r="B1058" s="310" t="s">
        <v>116</v>
      </c>
      <c r="C1058" s="291"/>
      <c r="D1058" s="293"/>
      <c r="E1058" s="293"/>
      <c r="F1058" s="293"/>
      <c r="G1058" s="293"/>
      <c r="H1058" s="293"/>
    </row>
    <row r="1059" spans="1:8" s="3" customFormat="1" ht="15" customHeight="1">
      <c r="A1059" s="289"/>
      <c r="B1059" s="294" t="s">
        <v>480</v>
      </c>
      <c r="C1059" s="291"/>
      <c r="D1059" s="293"/>
      <c r="E1059" s="293"/>
      <c r="F1059" s="293"/>
      <c r="G1059" s="293"/>
      <c r="H1059" s="293"/>
    </row>
    <row r="1060" spans="1:8" s="3" customFormat="1" ht="15" customHeight="1">
      <c r="A1060" s="289" t="s">
        <v>481</v>
      </c>
      <c r="B1060" s="294"/>
      <c r="C1060" s="291"/>
      <c r="D1060" s="293"/>
      <c r="E1060" s="293"/>
      <c r="F1060" s="293"/>
      <c r="G1060" s="293"/>
      <c r="H1060" s="293"/>
    </row>
    <row r="1061" spans="1:8" s="3" customFormat="1" ht="15" customHeight="1">
      <c r="A1061" s="303"/>
      <c r="B1061" s="303"/>
      <c r="C1061" s="303"/>
      <c r="D1061" s="303"/>
      <c r="E1061" s="303"/>
      <c r="F1061" s="303"/>
      <c r="G1061" s="303"/>
      <c r="H1061" s="303"/>
    </row>
    <row r="1062" spans="1:8" s="3" customFormat="1" ht="15" customHeight="1">
      <c r="A1062" s="309" t="s">
        <v>482</v>
      </c>
      <c r="B1062" s="294"/>
      <c r="C1062" s="291"/>
      <c r="D1062" s="293"/>
      <c r="E1062" s="293"/>
      <c r="F1062" s="293"/>
      <c r="G1062" s="293"/>
      <c r="H1062" s="293"/>
    </row>
    <row r="1063" spans="1:8" s="3" customFormat="1" ht="15" customHeight="1">
      <c r="A1063" s="289"/>
      <c r="B1063" s="294"/>
      <c r="C1063" s="291"/>
      <c r="D1063" s="293"/>
      <c r="E1063" s="293"/>
      <c r="F1063" s="293"/>
      <c r="G1063" s="293"/>
      <c r="H1063" s="293"/>
    </row>
    <row r="1064" spans="1:8" s="3" customFormat="1" ht="15" customHeight="1">
      <c r="A1064" s="289"/>
      <c r="B1064" s="310" t="s">
        <v>81</v>
      </c>
      <c r="C1064" s="291"/>
      <c r="D1064" s="293"/>
      <c r="E1064" s="293"/>
      <c r="F1064" s="293"/>
      <c r="G1064" s="293"/>
      <c r="H1064" s="293"/>
    </row>
    <row r="1065" spans="1:8" s="3" customFormat="1" ht="15" customHeight="1">
      <c r="A1065" s="289"/>
      <c r="B1065" s="294" t="s">
        <v>483</v>
      </c>
      <c r="C1065" s="291"/>
      <c r="D1065" s="293"/>
      <c r="E1065" s="293"/>
      <c r="F1065" s="293"/>
      <c r="G1065" s="293"/>
      <c r="H1065" s="293"/>
    </row>
    <row r="1066" spans="1:8" s="3" customFormat="1" ht="15" customHeight="1">
      <c r="A1066" s="289" t="s">
        <v>484</v>
      </c>
      <c r="B1066" s="294"/>
      <c r="C1066" s="291"/>
      <c r="D1066" s="293"/>
      <c r="E1066" s="293"/>
      <c r="F1066" s="293"/>
      <c r="G1066" s="293"/>
      <c r="H1066" s="293"/>
    </row>
    <row r="1067" spans="1:8" s="3" customFormat="1" ht="15" customHeight="1">
      <c r="A1067" s="289"/>
      <c r="B1067" s="311" t="s">
        <v>68</v>
      </c>
      <c r="C1067" s="312" t="s">
        <v>5063</v>
      </c>
      <c r="D1067" s="293"/>
      <c r="E1067" s="293"/>
      <c r="F1067" s="293"/>
      <c r="G1067" s="293"/>
      <c r="H1067" s="293"/>
    </row>
    <row r="1068" spans="1:8" s="3" customFormat="1" ht="15" customHeight="1">
      <c r="A1068" s="289"/>
      <c r="B1068" s="311" t="s">
        <v>68</v>
      </c>
      <c r="C1068" s="312" t="s">
        <v>5067</v>
      </c>
      <c r="D1068" s="293"/>
      <c r="E1068" s="293"/>
      <c r="F1068" s="293"/>
      <c r="G1068" s="293"/>
      <c r="H1068" s="293"/>
    </row>
    <row r="1069" spans="1:8" s="3" customFormat="1" ht="15" customHeight="1">
      <c r="A1069" s="289"/>
      <c r="B1069" s="311" t="s">
        <v>68</v>
      </c>
      <c r="C1069" s="312" t="s">
        <v>5068</v>
      </c>
      <c r="D1069" s="293"/>
      <c r="E1069" s="293"/>
      <c r="F1069" s="293"/>
      <c r="G1069" s="293"/>
      <c r="H1069" s="293"/>
    </row>
    <row r="1070" spans="1:8" s="3" customFormat="1" ht="15" customHeight="1">
      <c r="A1070" s="289"/>
      <c r="B1070" s="311" t="s">
        <v>68</v>
      </c>
      <c r="C1070" s="312" t="s">
        <v>5064</v>
      </c>
      <c r="D1070" s="293"/>
      <c r="E1070" s="293"/>
      <c r="F1070" s="293"/>
      <c r="G1070" s="293"/>
      <c r="H1070" s="293"/>
    </row>
    <row r="1071" spans="1:8" s="3" customFormat="1" ht="15" customHeight="1">
      <c r="A1071" s="289"/>
      <c r="B1071" s="311" t="s">
        <v>68</v>
      </c>
      <c r="C1071" s="312" t="s">
        <v>485</v>
      </c>
      <c r="D1071" s="292"/>
      <c r="E1071" s="293"/>
      <c r="F1071" s="293"/>
      <c r="G1071" s="293"/>
      <c r="H1071" s="293"/>
    </row>
    <row r="1072" spans="1:8" s="3" customFormat="1" ht="15" customHeight="1">
      <c r="A1072" s="289"/>
      <c r="B1072" s="311"/>
      <c r="C1072" s="312"/>
      <c r="D1072" s="292"/>
      <c r="E1072" s="293"/>
      <c r="F1072" s="293"/>
      <c r="G1072" s="293"/>
      <c r="H1072" s="293"/>
    </row>
    <row r="1073" spans="1:8" s="3" customFormat="1" ht="15" customHeight="1">
      <c r="A1073" s="289"/>
      <c r="B1073" s="310" t="s">
        <v>323</v>
      </c>
      <c r="C1073" s="291"/>
      <c r="D1073" s="293"/>
      <c r="E1073" s="293"/>
      <c r="F1073" s="293"/>
      <c r="G1073" s="293"/>
      <c r="H1073" s="293"/>
    </row>
    <row r="1074" spans="1:8" s="3" customFormat="1" ht="15" customHeight="1">
      <c r="A1074" s="289"/>
      <c r="B1074" s="294" t="s">
        <v>1276</v>
      </c>
      <c r="C1074" s="291"/>
      <c r="D1074" s="293"/>
      <c r="E1074" s="293"/>
      <c r="F1074" s="293"/>
      <c r="G1074" s="293"/>
      <c r="H1074" s="293"/>
    </row>
    <row r="1075" spans="1:8" s="3" customFormat="1" ht="15" customHeight="1">
      <c r="A1075" s="294" t="s">
        <v>1277</v>
      </c>
      <c r="B1075" s="294"/>
      <c r="C1075" s="291"/>
      <c r="D1075" s="293"/>
      <c r="E1075" s="293"/>
      <c r="F1075" s="293"/>
      <c r="G1075" s="293"/>
      <c r="H1075" s="293"/>
    </row>
    <row r="1076" spans="1:8" s="3" customFormat="1" ht="15" customHeight="1">
      <c r="A1076" s="294" t="s">
        <v>370</v>
      </c>
      <c r="B1076" s="305"/>
      <c r="C1076" s="291"/>
      <c r="D1076" s="293"/>
      <c r="E1076" s="293"/>
      <c r="F1076" s="293"/>
      <c r="G1076" s="293"/>
      <c r="H1076" s="293"/>
    </row>
    <row r="1077" spans="1:8" s="3" customFormat="1" ht="15" customHeight="1">
      <c r="A1077" s="289"/>
      <c r="B1077" s="294"/>
      <c r="C1077" s="291"/>
      <c r="D1077" s="293"/>
      <c r="E1077" s="293"/>
      <c r="F1077" s="293"/>
      <c r="G1077" s="293"/>
      <c r="H1077" s="293"/>
    </row>
    <row r="1078" spans="1:8" s="3" customFormat="1" ht="15" customHeight="1">
      <c r="A1078" s="289"/>
      <c r="B1078" s="310" t="s">
        <v>1409</v>
      </c>
      <c r="C1078" s="291"/>
      <c r="D1078" s="293"/>
      <c r="E1078" s="293"/>
      <c r="F1078" s="293"/>
      <c r="G1078" s="293"/>
      <c r="H1078" s="293"/>
    </row>
    <row r="1079" spans="1:8" s="3" customFormat="1" ht="15" customHeight="1">
      <c r="A1079" s="289"/>
      <c r="B1079" s="294" t="s">
        <v>486</v>
      </c>
      <c r="C1079" s="291"/>
      <c r="D1079" s="293"/>
      <c r="E1079" s="293"/>
      <c r="F1079" s="293"/>
      <c r="G1079" s="293"/>
      <c r="H1079" s="293"/>
    </row>
    <row r="1080" spans="1:8" s="3" customFormat="1" ht="15" customHeight="1">
      <c r="A1080" s="289"/>
      <c r="B1080" s="294" t="s">
        <v>487</v>
      </c>
      <c r="C1080" s="291"/>
      <c r="D1080" s="293"/>
      <c r="E1080" s="293"/>
      <c r="F1080" s="293"/>
      <c r="G1080" s="293"/>
      <c r="H1080" s="293"/>
    </row>
    <row r="1081" spans="1:8" s="3" customFormat="1" ht="15" customHeight="1">
      <c r="A1081" s="289" t="s">
        <v>488</v>
      </c>
      <c r="B1081" s="294"/>
      <c r="C1081" s="291"/>
      <c r="D1081" s="293"/>
      <c r="E1081" s="293"/>
      <c r="F1081" s="293"/>
      <c r="G1081" s="293"/>
      <c r="H1081" s="293"/>
    </row>
    <row r="1082" spans="1:8" s="3" customFormat="1" ht="15" customHeight="1">
      <c r="A1082" s="289"/>
      <c r="B1082" s="294" t="s">
        <v>489</v>
      </c>
      <c r="C1082" s="291"/>
      <c r="D1082" s="293"/>
      <c r="E1082" s="293"/>
      <c r="F1082" s="293"/>
      <c r="G1082" s="293"/>
      <c r="H1082" s="293"/>
    </row>
    <row r="1083" spans="1:8" s="3" customFormat="1" ht="15" customHeight="1">
      <c r="A1083" s="289" t="s">
        <v>1429</v>
      </c>
      <c r="B1083" s="294"/>
      <c r="C1083" s="291"/>
      <c r="D1083" s="293"/>
      <c r="E1083" s="293"/>
      <c r="F1083" s="293"/>
      <c r="G1083" s="293"/>
      <c r="H1083" s="293"/>
    </row>
    <row r="1084" spans="1:8" s="3" customFormat="1" ht="15" customHeight="1">
      <c r="A1084" s="289"/>
      <c r="B1084" s="294" t="s">
        <v>1430</v>
      </c>
      <c r="C1084" s="291"/>
      <c r="D1084" s="293"/>
      <c r="E1084" s="293"/>
      <c r="F1084" s="293"/>
      <c r="G1084" s="293"/>
      <c r="H1084" s="293"/>
    </row>
    <row r="1085" spans="1:8" s="3" customFormat="1" ht="15" customHeight="1">
      <c r="A1085" s="289" t="s">
        <v>490</v>
      </c>
      <c r="B1085" s="294"/>
      <c r="C1085" s="291"/>
      <c r="D1085" s="293"/>
      <c r="E1085" s="293"/>
      <c r="F1085" s="293"/>
      <c r="G1085" s="293"/>
      <c r="H1085" s="293"/>
    </row>
    <row r="1086" spans="1:8" s="3" customFormat="1" ht="15" customHeight="1">
      <c r="A1086" s="289" t="s">
        <v>491</v>
      </c>
      <c r="B1086" s="294"/>
      <c r="C1086" s="291"/>
      <c r="D1086" s="293"/>
      <c r="E1086" s="293"/>
      <c r="F1086" s="293"/>
      <c r="G1086" s="293"/>
      <c r="H1086" s="293"/>
    </row>
    <row r="1087" spans="1:8" s="3" customFormat="1" ht="15" customHeight="1">
      <c r="A1087" s="289"/>
      <c r="B1087" s="294" t="s">
        <v>1431</v>
      </c>
      <c r="C1087" s="291"/>
      <c r="D1087" s="293"/>
      <c r="E1087" s="293"/>
      <c r="F1087" s="293"/>
      <c r="G1087" s="293"/>
      <c r="H1087" s="293"/>
    </row>
    <row r="1088" spans="1:8" s="3" customFormat="1" ht="15" customHeight="1">
      <c r="A1088" s="289"/>
      <c r="B1088" s="294" t="s">
        <v>492</v>
      </c>
      <c r="C1088" s="291"/>
      <c r="D1088" s="293"/>
      <c r="E1088" s="293"/>
      <c r="F1088" s="293"/>
      <c r="G1088" s="293"/>
      <c r="H1088" s="293"/>
    </row>
    <row r="1089" spans="1:8" s="3" customFormat="1" ht="15" customHeight="1">
      <c r="A1089" s="289" t="s">
        <v>493</v>
      </c>
      <c r="B1089" s="294"/>
      <c r="C1089" s="291"/>
      <c r="D1089" s="293"/>
      <c r="E1089" s="293"/>
      <c r="F1089" s="293"/>
      <c r="G1089" s="293"/>
      <c r="H1089" s="293"/>
    </row>
    <row r="1090" spans="1:8" s="3" customFormat="1" ht="15" customHeight="1">
      <c r="A1090" s="289"/>
      <c r="B1090" s="294"/>
      <c r="C1090" s="291"/>
      <c r="D1090" s="293"/>
      <c r="E1090" s="293"/>
      <c r="F1090" s="293"/>
      <c r="G1090" s="293"/>
      <c r="H1090" s="293"/>
    </row>
    <row r="1091" spans="1:8" s="3" customFormat="1" ht="15" customHeight="1">
      <c r="A1091" s="289"/>
      <c r="B1091" s="310" t="s">
        <v>1432</v>
      </c>
      <c r="C1091" s="310"/>
      <c r="D1091" s="293"/>
      <c r="E1091" s="293"/>
      <c r="F1091" s="293"/>
      <c r="G1091" s="293"/>
      <c r="H1091" s="293"/>
    </row>
    <row r="1092" spans="1:8" s="3" customFormat="1" ht="15" customHeight="1">
      <c r="A1092" s="289"/>
      <c r="B1092" s="294" t="s">
        <v>1433</v>
      </c>
      <c r="C1092" s="291"/>
      <c r="D1092" s="293"/>
      <c r="E1092" s="293"/>
      <c r="F1092" s="293"/>
      <c r="G1092" s="293"/>
      <c r="H1092" s="293"/>
    </row>
    <row r="1093" spans="1:8" s="3" customFormat="1" ht="15" customHeight="1">
      <c r="A1093" s="289"/>
      <c r="B1093" s="294" t="s">
        <v>1434</v>
      </c>
      <c r="C1093" s="291"/>
      <c r="D1093" s="293"/>
      <c r="E1093" s="293"/>
      <c r="F1093" s="293"/>
      <c r="G1093" s="293"/>
      <c r="H1093" s="293"/>
    </row>
    <row r="1094" spans="1:8" s="3" customFormat="1" ht="15" customHeight="1">
      <c r="A1094" s="289" t="s">
        <v>1435</v>
      </c>
      <c r="B1094" s="294"/>
      <c r="C1094" s="291"/>
      <c r="D1094" s="293"/>
      <c r="E1094" s="293"/>
      <c r="F1094" s="293"/>
      <c r="G1094" s="293"/>
      <c r="H1094" s="293"/>
    </row>
    <row r="1095" spans="1:8" s="3" customFormat="1" ht="15" customHeight="1">
      <c r="A1095" s="289" t="s">
        <v>1436</v>
      </c>
      <c r="B1095" s="294"/>
      <c r="C1095" s="291"/>
      <c r="D1095" s="293"/>
      <c r="E1095" s="293"/>
      <c r="F1095" s="293"/>
      <c r="G1095" s="293"/>
      <c r="H1095" s="293"/>
    </row>
    <row r="1096" spans="1:8" s="3" customFormat="1" ht="15" customHeight="1">
      <c r="A1096" s="289"/>
      <c r="B1096" s="294" t="s">
        <v>1437</v>
      </c>
      <c r="C1096" s="291"/>
      <c r="D1096" s="293"/>
      <c r="E1096" s="293"/>
      <c r="F1096" s="293"/>
      <c r="G1096" s="293"/>
      <c r="H1096" s="293"/>
    </row>
    <row r="1097" spans="1:8" s="3" customFormat="1" ht="15" customHeight="1">
      <c r="A1097" s="289"/>
      <c r="B1097" s="294"/>
      <c r="C1097" s="291"/>
      <c r="D1097" s="293"/>
      <c r="E1097" s="293"/>
      <c r="F1097" s="293"/>
      <c r="G1097" s="293"/>
      <c r="H1097" s="293"/>
    </row>
    <row r="1098" spans="1:8" s="3" customFormat="1" ht="15" customHeight="1">
      <c r="A1098" s="289"/>
      <c r="B1098" s="310" t="s">
        <v>116</v>
      </c>
      <c r="C1098" s="291"/>
      <c r="D1098" s="293"/>
      <c r="E1098" s="293"/>
      <c r="F1098" s="293"/>
      <c r="G1098" s="293"/>
      <c r="H1098" s="293"/>
    </row>
    <row r="1099" spans="1:8" s="3" customFormat="1" ht="15" customHeight="1">
      <c r="A1099" s="289"/>
      <c r="B1099" s="294" t="s">
        <v>494</v>
      </c>
      <c r="C1099" s="291"/>
      <c r="D1099" s="293"/>
      <c r="E1099" s="293"/>
      <c r="F1099" s="293"/>
      <c r="G1099" s="293"/>
      <c r="H1099" s="293"/>
    </row>
    <row r="1100" spans="1:8" s="3" customFormat="1" ht="15" customHeight="1">
      <c r="A1100" s="289" t="s">
        <v>495</v>
      </c>
      <c r="B1100" s="294"/>
      <c r="C1100" s="291"/>
      <c r="D1100" s="293"/>
      <c r="E1100" s="293"/>
      <c r="F1100" s="293"/>
      <c r="G1100" s="293"/>
      <c r="H1100" s="293"/>
    </row>
    <row r="1101" spans="1:8" s="3" customFormat="1" ht="15" customHeight="1">
      <c r="A1101" s="289"/>
      <c r="B1101" s="294"/>
      <c r="C1101" s="291"/>
      <c r="D1101" s="293"/>
      <c r="E1101" s="293"/>
      <c r="F1101" s="293"/>
      <c r="G1101" s="293"/>
      <c r="H1101" s="293"/>
    </row>
    <row r="1102" spans="1:8" s="3" customFormat="1" ht="15" customHeight="1">
      <c r="A1102" s="309" t="s">
        <v>496</v>
      </c>
      <c r="B1102" s="294"/>
      <c r="C1102" s="291"/>
      <c r="D1102" s="293"/>
      <c r="E1102" s="293"/>
      <c r="F1102" s="293"/>
      <c r="G1102" s="293"/>
      <c r="H1102" s="293"/>
    </row>
    <row r="1103" spans="1:8" s="3" customFormat="1" ht="15" customHeight="1">
      <c r="A1103" s="289"/>
      <c r="B1103" s="294"/>
      <c r="C1103" s="291"/>
      <c r="D1103" s="293"/>
      <c r="E1103" s="293"/>
      <c r="F1103" s="293"/>
      <c r="G1103" s="293"/>
      <c r="H1103" s="293"/>
    </row>
    <row r="1104" spans="1:8" s="3" customFormat="1" ht="15" customHeight="1">
      <c r="A1104" s="289"/>
      <c r="B1104" s="310" t="s">
        <v>81</v>
      </c>
      <c r="C1104" s="291"/>
      <c r="D1104" s="293"/>
      <c r="E1104" s="293"/>
      <c r="F1104" s="293"/>
      <c r="G1104" s="293"/>
      <c r="H1104" s="293"/>
    </row>
    <row r="1105" spans="1:8" s="3" customFormat="1" ht="15" customHeight="1">
      <c r="A1105" s="289"/>
      <c r="B1105" s="294" t="s">
        <v>497</v>
      </c>
      <c r="C1105" s="291"/>
      <c r="D1105" s="293"/>
      <c r="E1105" s="293"/>
      <c r="F1105" s="293"/>
      <c r="G1105" s="293"/>
      <c r="H1105" s="293"/>
    </row>
    <row r="1106" spans="1:8" s="3" customFormat="1" ht="15" customHeight="1">
      <c r="A1106" s="289" t="s">
        <v>368</v>
      </c>
      <c r="B1106" s="294"/>
      <c r="C1106" s="291"/>
      <c r="D1106" s="293"/>
      <c r="E1106" s="293"/>
      <c r="F1106" s="293"/>
      <c r="G1106" s="293"/>
      <c r="H1106" s="293"/>
    </row>
    <row r="1107" spans="1:8" s="3" customFormat="1" ht="15" customHeight="1">
      <c r="A1107" s="289"/>
      <c r="B1107" s="311" t="s">
        <v>68</v>
      </c>
      <c r="C1107" s="312" t="s">
        <v>5063</v>
      </c>
      <c r="D1107" s="293"/>
      <c r="E1107" s="293"/>
      <c r="F1107" s="293"/>
      <c r="G1107" s="293"/>
      <c r="H1107" s="293"/>
    </row>
    <row r="1108" spans="1:8" s="3" customFormat="1" ht="15" customHeight="1">
      <c r="A1108" s="289"/>
      <c r="B1108" s="311" t="s">
        <v>68</v>
      </c>
      <c r="C1108" s="312" t="s">
        <v>5067</v>
      </c>
      <c r="D1108" s="293"/>
      <c r="E1108" s="293"/>
      <c r="F1108" s="293"/>
      <c r="G1108" s="293"/>
      <c r="H1108" s="293"/>
    </row>
    <row r="1109" spans="1:8" s="3" customFormat="1" ht="15" customHeight="1">
      <c r="A1109" s="289"/>
      <c r="B1109" s="311" t="s">
        <v>68</v>
      </c>
      <c r="C1109" s="312" t="s">
        <v>5068</v>
      </c>
      <c r="D1109" s="293"/>
      <c r="E1109" s="293"/>
      <c r="F1109" s="293"/>
      <c r="G1109" s="293"/>
      <c r="H1109" s="293"/>
    </row>
    <row r="1110" spans="1:8" s="3" customFormat="1" ht="15" customHeight="1">
      <c r="A1110" s="289"/>
      <c r="B1110" s="311" t="s">
        <v>68</v>
      </c>
      <c r="C1110" s="312" t="s">
        <v>5064</v>
      </c>
      <c r="D1110" s="293"/>
      <c r="E1110" s="293"/>
      <c r="F1110" s="293"/>
      <c r="G1110" s="293"/>
      <c r="H1110" s="293"/>
    </row>
    <row r="1111" spans="1:8" s="3" customFormat="1" ht="15" customHeight="1">
      <c r="A1111" s="289"/>
      <c r="B1111" s="311" t="s">
        <v>68</v>
      </c>
      <c r="C1111" s="312" t="s">
        <v>485</v>
      </c>
      <c r="D1111" s="293"/>
      <c r="E1111" s="293"/>
      <c r="F1111" s="293"/>
      <c r="G1111" s="293"/>
      <c r="H1111" s="293"/>
    </row>
    <row r="1112" spans="1:8" s="3" customFormat="1" ht="15" customHeight="1">
      <c r="A1112" s="289"/>
      <c r="B1112" s="294"/>
      <c r="C1112" s="291"/>
      <c r="D1112" s="293"/>
      <c r="E1112" s="293"/>
      <c r="F1112" s="293"/>
      <c r="G1112" s="293"/>
      <c r="H1112" s="293"/>
    </row>
    <row r="1113" spans="1:8" s="3" customFormat="1" ht="15" customHeight="1">
      <c r="A1113" s="289"/>
      <c r="B1113" s="310" t="s">
        <v>323</v>
      </c>
      <c r="C1113" s="291"/>
      <c r="D1113" s="293"/>
      <c r="E1113" s="293"/>
      <c r="F1113" s="293"/>
      <c r="G1113" s="293"/>
      <c r="H1113" s="293"/>
    </row>
    <row r="1114" spans="1:8" s="3" customFormat="1" ht="15" customHeight="1">
      <c r="A1114" s="289"/>
      <c r="B1114" s="294" t="s">
        <v>1276</v>
      </c>
      <c r="C1114" s="291"/>
      <c r="D1114" s="293"/>
      <c r="E1114" s="293"/>
      <c r="F1114" s="293"/>
      <c r="G1114" s="293"/>
      <c r="H1114" s="293"/>
    </row>
    <row r="1115" spans="1:8" s="3" customFormat="1" ht="15" customHeight="1">
      <c r="A1115" s="294" t="s">
        <v>1277</v>
      </c>
      <c r="B1115" s="294"/>
      <c r="C1115" s="291"/>
      <c r="D1115" s="293"/>
      <c r="E1115" s="293"/>
      <c r="F1115" s="293"/>
      <c r="G1115" s="293"/>
      <c r="H1115" s="293"/>
    </row>
    <row r="1116" spans="1:8" s="3" customFormat="1" ht="15" customHeight="1">
      <c r="A1116" s="294" t="s">
        <v>370</v>
      </c>
      <c r="B1116" s="305"/>
      <c r="C1116" s="291"/>
      <c r="D1116" s="293"/>
      <c r="E1116" s="293"/>
      <c r="F1116" s="293"/>
      <c r="G1116" s="293"/>
      <c r="H1116" s="293"/>
    </row>
    <row r="1117" spans="1:8" s="3" customFormat="1" ht="15" customHeight="1">
      <c r="A1117" s="289"/>
      <c r="B1117" s="294" t="s">
        <v>498</v>
      </c>
      <c r="C1117" s="291"/>
      <c r="D1117" s="293"/>
      <c r="E1117" s="293"/>
      <c r="F1117" s="293"/>
      <c r="G1117" s="293"/>
      <c r="H1117" s="293"/>
    </row>
    <row r="1118" spans="1:8" s="3" customFormat="1" ht="15" customHeight="1">
      <c r="A1118" s="289" t="s">
        <v>499</v>
      </c>
      <c r="B1118" s="294"/>
      <c r="C1118" s="291"/>
      <c r="D1118" s="293"/>
      <c r="E1118" s="293"/>
      <c r="F1118" s="293"/>
      <c r="G1118" s="293"/>
      <c r="H1118" s="293"/>
    </row>
    <row r="1119" spans="1:8" s="3" customFormat="1" ht="15" customHeight="1">
      <c r="A1119" s="289"/>
      <c r="B1119" s="294" t="s">
        <v>500</v>
      </c>
      <c r="C1119" s="291"/>
      <c r="D1119" s="293"/>
      <c r="E1119" s="293"/>
      <c r="F1119" s="293"/>
      <c r="G1119" s="293"/>
      <c r="H1119" s="293"/>
    </row>
    <row r="1120" spans="1:8" s="3" customFormat="1" ht="15" customHeight="1">
      <c r="A1120" s="289"/>
      <c r="B1120" s="294" t="s">
        <v>1438</v>
      </c>
      <c r="C1120" s="291"/>
      <c r="D1120" s="293"/>
      <c r="E1120" s="293"/>
      <c r="F1120" s="293"/>
      <c r="G1120" s="293"/>
      <c r="H1120" s="293"/>
    </row>
    <row r="1121" spans="1:8" s="3" customFormat="1" ht="15" customHeight="1">
      <c r="A1121" s="289" t="s">
        <v>501</v>
      </c>
      <c r="B1121" s="294"/>
      <c r="C1121" s="291"/>
      <c r="D1121" s="293"/>
      <c r="E1121" s="293"/>
      <c r="F1121" s="293"/>
      <c r="G1121" s="293"/>
      <c r="H1121" s="293"/>
    </row>
    <row r="1122" spans="1:8" s="3" customFormat="1" ht="15" customHeight="1">
      <c r="A1122" s="289"/>
      <c r="B1122" s="294"/>
      <c r="C1122" s="291"/>
      <c r="D1122" s="293"/>
      <c r="E1122" s="293"/>
      <c r="F1122" s="293"/>
      <c r="G1122" s="293"/>
      <c r="H1122" s="293"/>
    </row>
    <row r="1123" spans="1:8" s="3" customFormat="1" ht="15" customHeight="1">
      <c r="A1123" s="289"/>
      <c r="B1123" s="294" t="s">
        <v>502</v>
      </c>
      <c r="C1123" s="291"/>
      <c r="D1123" s="293"/>
      <c r="E1123" s="293"/>
      <c r="F1123" s="293"/>
      <c r="G1123" s="293"/>
      <c r="H1123" s="293"/>
    </row>
    <row r="1124" spans="1:8" s="3" customFormat="1" ht="15" customHeight="1">
      <c r="A1124" s="289"/>
      <c r="B1124" s="294"/>
      <c r="C1124" s="294" t="s">
        <v>503</v>
      </c>
      <c r="D1124" s="293"/>
      <c r="E1124" s="293"/>
      <c r="F1124" s="293"/>
      <c r="G1124" s="293"/>
      <c r="H1124" s="293"/>
    </row>
    <row r="1125" spans="1:8" s="3" customFormat="1" ht="15" customHeight="1">
      <c r="A1125" s="289"/>
      <c r="B1125" s="294"/>
      <c r="C1125" s="294" t="s">
        <v>504</v>
      </c>
      <c r="D1125" s="293"/>
      <c r="E1125" s="293"/>
      <c r="F1125" s="293"/>
      <c r="G1125" s="293"/>
      <c r="H1125" s="293"/>
    </row>
    <row r="1126" spans="1:8" s="3" customFormat="1" ht="15" customHeight="1">
      <c r="A1126" s="289"/>
      <c r="B1126" s="294"/>
      <c r="C1126" s="294" t="s">
        <v>505</v>
      </c>
      <c r="D1126" s="293"/>
      <c r="E1126" s="293"/>
      <c r="F1126" s="293"/>
      <c r="G1126" s="293"/>
      <c r="H1126" s="293"/>
    </row>
    <row r="1127" spans="1:8" s="3" customFormat="1" ht="15" customHeight="1">
      <c r="A1127" s="289"/>
      <c r="B1127" s="294"/>
      <c r="C1127" s="294" t="s">
        <v>506</v>
      </c>
      <c r="D1127" s="293"/>
      <c r="E1127" s="293"/>
      <c r="F1127" s="293"/>
      <c r="G1127" s="293"/>
      <c r="H1127" s="293"/>
    </row>
    <row r="1128" spans="1:8" s="3" customFormat="1" ht="15" customHeight="1">
      <c r="A1128" s="289"/>
      <c r="B1128" s="294"/>
      <c r="C1128" s="294"/>
      <c r="D1128" s="293"/>
      <c r="E1128" s="293"/>
      <c r="F1128" s="293"/>
      <c r="G1128" s="293"/>
      <c r="H1128" s="293"/>
    </row>
    <row r="1129" spans="1:8" s="3" customFormat="1" ht="15" customHeight="1">
      <c r="A1129" s="289"/>
      <c r="B1129" s="294" t="s">
        <v>507</v>
      </c>
      <c r="C1129" s="294"/>
      <c r="D1129" s="293"/>
      <c r="E1129" s="293"/>
      <c r="F1129" s="293"/>
      <c r="G1129" s="293"/>
      <c r="H1129" s="293"/>
    </row>
    <row r="1130" spans="1:8" s="3" customFormat="1" ht="15" customHeight="1">
      <c r="A1130" s="289"/>
      <c r="B1130" s="294"/>
      <c r="C1130" s="311" t="s">
        <v>68</v>
      </c>
      <c r="D1130" s="294" t="s">
        <v>508</v>
      </c>
      <c r="E1130" s="293"/>
      <c r="F1130" s="293"/>
      <c r="G1130" s="293"/>
      <c r="H1130" s="293"/>
    </row>
    <row r="1131" spans="1:8" s="3" customFormat="1" ht="15" customHeight="1">
      <c r="A1131" s="289"/>
      <c r="B1131" s="294"/>
      <c r="C1131" s="311" t="s">
        <v>68</v>
      </c>
      <c r="D1131" s="294" t="s">
        <v>509</v>
      </c>
      <c r="E1131" s="293"/>
      <c r="F1131" s="293"/>
      <c r="G1131" s="293"/>
      <c r="H1131" s="293"/>
    </row>
    <row r="1132" spans="1:8" s="3" customFormat="1" ht="15" customHeight="1">
      <c r="A1132" s="289"/>
      <c r="B1132" s="294"/>
      <c r="C1132" s="311" t="s">
        <v>68</v>
      </c>
      <c r="D1132" s="294" t="s">
        <v>1439</v>
      </c>
      <c r="E1132" s="293"/>
      <c r="F1132" s="293"/>
      <c r="G1132" s="293"/>
      <c r="H1132" s="293"/>
    </row>
    <row r="1133" spans="1:8" s="3" customFormat="1" ht="15" customHeight="1">
      <c r="A1133" s="289"/>
      <c r="B1133" s="294"/>
      <c r="C1133" s="291"/>
      <c r="D1133" s="293"/>
      <c r="E1133" s="293"/>
      <c r="F1133" s="293"/>
      <c r="G1133" s="293"/>
      <c r="H1133" s="293"/>
    </row>
    <row r="1134" spans="1:8" s="3" customFormat="1" ht="15" customHeight="1">
      <c r="A1134" s="289"/>
      <c r="B1134" s="294" t="s">
        <v>510</v>
      </c>
      <c r="C1134" s="291"/>
      <c r="D1134" s="293"/>
      <c r="E1134" s="293"/>
      <c r="F1134" s="293"/>
      <c r="G1134" s="293"/>
      <c r="H1134" s="293"/>
    </row>
    <row r="1135" spans="1:8" s="3" customFormat="1" ht="15" customHeight="1">
      <c r="A1135" s="289"/>
      <c r="B1135" s="294"/>
      <c r="C1135" s="311" t="s">
        <v>68</v>
      </c>
      <c r="D1135" s="294" t="s">
        <v>511</v>
      </c>
      <c r="E1135" s="293"/>
      <c r="F1135" s="293"/>
      <c r="G1135" s="293"/>
      <c r="H1135" s="293"/>
    </row>
    <row r="1136" spans="1:8" s="3" customFormat="1" ht="15" customHeight="1">
      <c r="A1136" s="289"/>
      <c r="B1136" s="294"/>
      <c r="C1136" s="311" t="s">
        <v>68</v>
      </c>
      <c r="D1136" s="294" t="s">
        <v>512</v>
      </c>
      <c r="E1136" s="293"/>
      <c r="F1136" s="293"/>
      <c r="G1136" s="293"/>
      <c r="H1136" s="293"/>
    </row>
    <row r="1137" spans="1:8" s="3" customFormat="1" ht="15" customHeight="1">
      <c r="A1137" s="289"/>
      <c r="B1137" s="294"/>
      <c r="C1137" s="311" t="s">
        <v>68</v>
      </c>
      <c r="D1137" s="294" t="s">
        <v>1440</v>
      </c>
      <c r="E1137" s="293"/>
      <c r="F1137" s="293"/>
      <c r="G1137" s="293"/>
      <c r="H1137" s="293"/>
    </row>
    <row r="1138" spans="1:8" s="3" customFormat="1" ht="15" customHeight="1">
      <c r="A1138" s="289"/>
      <c r="B1138" s="294"/>
      <c r="C1138" s="311" t="s">
        <v>68</v>
      </c>
      <c r="D1138" s="294" t="s">
        <v>513</v>
      </c>
      <c r="E1138" s="293"/>
      <c r="F1138" s="293"/>
      <c r="G1138" s="293"/>
      <c r="H1138" s="293"/>
    </row>
    <row r="1139" spans="1:8" s="3" customFormat="1" ht="15" customHeight="1">
      <c r="A1139" s="289"/>
      <c r="B1139" s="294"/>
      <c r="C1139" s="311"/>
      <c r="D1139" s="294"/>
      <c r="E1139" s="293"/>
      <c r="F1139" s="293"/>
      <c r="G1139" s="293"/>
      <c r="H1139" s="293"/>
    </row>
    <row r="1140" spans="1:8" s="3" customFormat="1" ht="15" customHeight="1">
      <c r="A1140" s="289"/>
      <c r="B1140" s="294" t="s">
        <v>514</v>
      </c>
      <c r="C1140" s="291"/>
      <c r="D1140" s="293"/>
      <c r="E1140" s="293"/>
      <c r="F1140" s="293"/>
      <c r="G1140" s="293"/>
      <c r="H1140" s="293"/>
    </row>
    <row r="1141" spans="1:8" s="3" customFormat="1" ht="15" customHeight="1">
      <c r="A1141" s="289"/>
      <c r="B1141" s="294"/>
      <c r="C1141" s="311" t="s">
        <v>68</v>
      </c>
      <c r="D1141" s="294" t="s">
        <v>515</v>
      </c>
      <c r="E1141" s="293"/>
      <c r="F1141" s="293"/>
      <c r="G1141" s="293"/>
      <c r="H1141" s="293"/>
    </row>
    <row r="1142" spans="1:8" s="3" customFormat="1" ht="15" customHeight="1">
      <c r="A1142" s="289"/>
      <c r="B1142" s="294"/>
      <c r="C1142" s="311" t="s">
        <v>68</v>
      </c>
      <c r="D1142" s="294" t="s">
        <v>516</v>
      </c>
      <c r="E1142" s="293"/>
      <c r="F1142" s="293"/>
      <c r="G1142" s="293"/>
      <c r="H1142" s="293"/>
    </row>
    <row r="1143" spans="1:8" s="3" customFormat="1" ht="15" customHeight="1">
      <c r="A1143" s="289"/>
      <c r="B1143" s="294"/>
      <c r="C1143" s="311" t="s">
        <v>68</v>
      </c>
      <c r="D1143" s="294" t="s">
        <v>517</v>
      </c>
      <c r="E1143" s="293"/>
      <c r="F1143" s="293"/>
      <c r="G1143" s="293"/>
      <c r="H1143" s="293"/>
    </row>
    <row r="1144" spans="1:8" s="3" customFormat="1" ht="15" customHeight="1">
      <c r="A1144" s="289"/>
      <c r="B1144" s="294"/>
      <c r="C1144" s="311" t="s">
        <v>68</v>
      </c>
      <c r="D1144" s="294" t="s">
        <v>518</v>
      </c>
      <c r="E1144" s="293"/>
      <c r="F1144" s="293"/>
      <c r="G1144" s="293"/>
      <c r="H1144" s="293"/>
    </row>
    <row r="1145" spans="1:8" s="3" customFormat="1" ht="15" customHeight="1">
      <c r="A1145" s="289"/>
      <c r="B1145" s="294"/>
      <c r="C1145" s="291"/>
      <c r="D1145" s="293"/>
      <c r="E1145" s="293"/>
      <c r="F1145" s="293"/>
      <c r="G1145" s="293"/>
      <c r="H1145" s="293"/>
    </row>
    <row r="1146" spans="1:8" s="3" customFormat="1" ht="15" customHeight="1">
      <c r="A1146" s="289"/>
      <c r="B1146" s="294" t="s">
        <v>519</v>
      </c>
      <c r="C1146" s="291"/>
      <c r="D1146" s="293"/>
      <c r="E1146" s="293"/>
      <c r="F1146" s="293"/>
      <c r="G1146" s="293"/>
      <c r="H1146" s="293"/>
    </row>
    <row r="1147" spans="1:8" s="3" customFormat="1" ht="15" customHeight="1">
      <c r="A1147" s="289"/>
      <c r="B1147" s="294" t="s">
        <v>1441</v>
      </c>
      <c r="C1147" s="291"/>
      <c r="D1147" s="293"/>
      <c r="E1147" s="293"/>
      <c r="F1147" s="293"/>
      <c r="G1147" s="293"/>
      <c r="H1147" s="293"/>
    </row>
    <row r="1148" spans="1:8" s="3" customFormat="1" ht="15" customHeight="1">
      <c r="A1148" s="289"/>
      <c r="B1148" s="294" t="s">
        <v>1442</v>
      </c>
      <c r="C1148" s="291"/>
      <c r="D1148" s="293"/>
      <c r="E1148" s="293"/>
      <c r="F1148" s="293"/>
      <c r="G1148" s="293"/>
      <c r="H1148" s="293"/>
    </row>
    <row r="1149" spans="1:8" s="3" customFormat="1" ht="15" customHeight="1">
      <c r="A1149" s="289"/>
      <c r="B1149" s="294" t="s">
        <v>520</v>
      </c>
      <c r="C1149" s="291"/>
      <c r="D1149" s="293"/>
      <c r="E1149" s="293"/>
      <c r="F1149" s="293"/>
      <c r="G1149" s="293"/>
      <c r="H1149" s="293"/>
    </row>
    <row r="1150" spans="1:8" s="3" customFormat="1" ht="15" customHeight="1">
      <c r="A1150" s="289"/>
      <c r="B1150" s="294"/>
      <c r="C1150" s="291"/>
      <c r="D1150" s="293"/>
      <c r="E1150" s="293"/>
      <c r="F1150" s="293"/>
      <c r="G1150" s="293"/>
      <c r="H1150" s="293"/>
    </row>
    <row r="1151" spans="1:8" s="3" customFormat="1" ht="15" customHeight="1">
      <c r="A1151" s="289"/>
      <c r="B1151" s="296" t="s">
        <v>1443</v>
      </c>
      <c r="C1151" s="291"/>
      <c r="D1151" s="293"/>
      <c r="E1151" s="293"/>
      <c r="F1151" s="293"/>
      <c r="G1151" s="293"/>
      <c r="H1151" s="293"/>
    </row>
    <row r="1152" spans="1:8" s="3" customFormat="1" ht="15" customHeight="1">
      <c r="A1152" s="289"/>
      <c r="B1152" s="294" t="s">
        <v>1444</v>
      </c>
      <c r="C1152" s="291"/>
      <c r="D1152" s="293"/>
      <c r="E1152" s="293"/>
      <c r="F1152" s="293"/>
      <c r="G1152" s="293"/>
      <c r="H1152" s="293"/>
    </row>
    <row r="1153" spans="1:8" s="3" customFormat="1" ht="15" customHeight="1">
      <c r="A1153" s="289"/>
      <c r="B1153" s="294" t="s">
        <v>1445</v>
      </c>
      <c r="C1153" s="291"/>
      <c r="D1153" s="293"/>
      <c r="E1153" s="293"/>
      <c r="F1153" s="293"/>
      <c r="G1153" s="293"/>
      <c r="H1153" s="293"/>
    </row>
    <row r="1154" spans="1:8" s="3" customFormat="1" ht="15" customHeight="1">
      <c r="A1154" s="289"/>
      <c r="B1154" s="294" t="s">
        <v>521</v>
      </c>
      <c r="C1154" s="291"/>
      <c r="D1154" s="293"/>
      <c r="E1154" s="293"/>
      <c r="F1154" s="293"/>
      <c r="G1154" s="293"/>
      <c r="H1154" s="293"/>
    </row>
    <row r="1155" spans="1:8" s="3" customFormat="1" ht="15" customHeight="1">
      <c r="A1155" s="289"/>
      <c r="B1155" s="294" t="s">
        <v>522</v>
      </c>
      <c r="C1155" s="291"/>
      <c r="D1155" s="293"/>
      <c r="E1155" s="293"/>
      <c r="F1155" s="293"/>
      <c r="G1155" s="293"/>
      <c r="H1155" s="293"/>
    </row>
    <row r="1156" spans="1:8" s="3" customFormat="1" ht="15" customHeight="1">
      <c r="A1156" s="289"/>
      <c r="B1156" s="294" t="s">
        <v>523</v>
      </c>
      <c r="C1156" s="291"/>
      <c r="D1156" s="293"/>
      <c r="E1156" s="293"/>
      <c r="F1156" s="293"/>
      <c r="G1156" s="293"/>
      <c r="H1156" s="293"/>
    </row>
    <row r="1157" spans="1:8" s="3" customFormat="1" ht="15" customHeight="1">
      <c r="A1157" s="289"/>
      <c r="B1157" s="294" t="s">
        <v>524</v>
      </c>
      <c r="C1157" s="291"/>
      <c r="D1157" s="293"/>
      <c r="E1157" s="293"/>
      <c r="F1157" s="293"/>
      <c r="G1157" s="293"/>
      <c r="H1157" s="293"/>
    </row>
    <row r="1158" spans="1:8" s="3" customFormat="1" ht="15" customHeight="1">
      <c r="A1158" s="289"/>
      <c r="B1158" s="294" t="s">
        <v>525</v>
      </c>
      <c r="C1158" s="291"/>
      <c r="D1158" s="293"/>
      <c r="E1158" s="293"/>
      <c r="F1158" s="293"/>
      <c r="G1158" s="293"/>
      <c r="H1158" s="293"/>
    </row>
    <row r="1159" spans="1:8" s="3" customFormat="1" ht="15" customHeight="1">
      <c r="A1159" s="289"/>
      <c r="B1159" s="294" t="s">
        <v>1446</v>
      </c>
      <c r="C1159" s="291"/>
      <c r="D1159" s="293"/>
      <c r="E1159" s="293"/>
      <c r="F1159" s="293"/>
      <c r="G1159" s="293"/>
      <c r="H1159" s="293"/>
    </row>
    <row r="1160" spans="1:8" s="3" customFormat="1" ht="15" customHeight="1">
      <c r="A1160" s="289"/>
      <c r="B1160" s="294" t="s">
        <v>526</v>
      </c>
      <c r="C1160" s="291"/>
      <c r="D1160" s="293"/>
      <c r="E1160" s="293"/>
      <c r="F1160" s="293"/>
      <c r="G1160" s="293"/>
      <c r="H1160" s="293"/>
    </row>
    <row r="1161" spans="1:8" s="3" customFormat="1" ht="15" customHeight="1">
      <c r="A1161" s="289"/>
      <c r="B1161" s="294" t="s">
        <v>527</v>
      </c>
      <c r="C1161" s="291"/>
      <c r="D1161" s="293"/>
      <c r="E1161" s="293"/>
      <c r="F1161" s="293"/>
      <c r="G1161" s="293"/>
      <c r="H1161" s="293"/>
    </row>
    <row r="1162" spans="1:8" s="3" customFormat="1" ht="15" customHeight="1">
      <c r="A1162" s="289"/>
      <c r="B1162" s="294" t="s">
        <v>528</v>
      </c>
      <c r="C1162" s="291"/>
      <c r="D1162" s="293"/>
      <c r="E1162" s="293"/>
      <c r="F1162" s="293"/>
      <c r="G1162" s="293"/>
      <c r="H1162" s="293"/>
    </row>
    <row r="1163" spans="1:8" s="3" customFormat="1" ht="15" customHeight="1">
      <c r="A1163" s="289"/>
      <c r="B1163" s="294"/>
      <c r="C1163" s="291"/>
      <c r="D1163" s="293"/>
      <c r="E1163" s="293"/>
      <c r="F1163" s="293"/>
      <c r="G1163" s="293"/>
      <c r="H1163" s="293"/>
    </row>
    <row r="1164" spans="1:8" s="3" customFormat="1" ht="15" customHeight="1">
      <c r="A1164" s="289"/>
      <c r="B1164" s="310" t="s">
        <v>116</v>
      </c>
      <c r="C1164" s="291"/>
      <c r="D1164" s="293"/>
      <c r="E1164" s="293"/>
      <c r="F1164" s="293"/>
      <c r="G1164" s="293"/>
      <c r="H1164" s="293"/>
    </row>
    <row r="1165" spans="1:8" s="3" customFormat="1" ht="15" customHeight="1">
      <c r="A1165" s="289"/>
      <c r="B1165" s="294" t="s">
        <v>529</v>
      </c>
      <c r="C1165" s="291"/>
      <c r="D1165" s="293"/>
      <c r="E1165" s="293"/>
      <c r="F1165" s="293"/>
      <c r="G1165" s="293"/>
      <c r="H1165" s="293"/>
    </row>
    <row r="1166" spans="1:8" s="3" customFormat="1" ht="15" customHeight="1">
      <c r="A1166" s="289" t="s">
        <v>530</v>
      </c>
      <c r="B1166" s="294"/>
      <c r="C1166" s="291"/>
      <c r="D1166" s="293"/>
      <c r="E1166" s="293"/>
      <c r="F1166" s="293"/>
      <c r="G1166" s="293"/>
      <c r="H1166" s="293"/>
    </row>
    <row r="1167" spans="1:8" s="3" customFormat="1" ht="15" customHeight="1">
      <c r="A1167" s="289" t="s">
        <v>530</v>
      </c>
      <c r="B1167" s="294"/>
      <c r="C1167" s="291"/>
      <c r="D1167" s="293"/>
      <c r="E1167" s="293"/>
      <c r="F1167" s="293"/>
      <c r="G1167" s="293"/>
      <c r="H1167" s="293"/>
    </row>
    <row r="1168" spans="1:8" s="3" customFormat="1" ht="15" customHeight="1">
      <c r="A1168" s="303"/>
      <c r="B1168" s="303"/>
      <c r="C1168" s="303"/>
      <c r="D1168" s="303"/>
      <c r="E1168" s="303"/>
      <c r="F1168" s="303"/>
      <c r="G1168" s="303"/>
      <c r="H1168" s="303"/>
    </row>
    <row r="1169" spans="1:8" s="3" customFormat="1" ht="15" customHeight="1">
      <c r="A1169" s="309" t="s">
        <v>531</v>
      </c>
      <c r="B1169" s="294"/>
      <c r="C1169" s="291"/>
      <c r="D1169" s="293"/>
      <c r="E1169" s="293"/>
      <c r="F1169" s="293"/>
      <c r="G1169" s="293"/>
      <c r="H1169" s="293"/>
    </row>
    <row r="1170" spans="1:8" s="3" customFormat="1" ht="15" customHeight="1">
      <c r="A1170" s="289"/>
      <c r="B1170" s="294"/>
      <c r="C1170" s="291"/>
      <c r="D1170" s="293"/>
      <c r="E1170" s="293"/>
      <c r="F1170" s="293"/>
      <c r="G1170" s="293"/>
      <c r="H1170" s="293"/>
    </row>
    <row r="1171" spans="1:8" s="3" customFormat="1" ht="15" customHeight="1">
      <c r="A1171" s="289"/>
      <c r="B1171" s="310" t="s">
        <v>81</v>
      </c>
      <c r="C1171" s="291"/>
      <c r="D1171" s="293"/>
      <c r="E1171" s="293"/>
      <c r="F1171" s="293"/>
      <c r="G1171" s="293"/>
      <c r="H1171" s="293"/>
    </row>
    <row r="1172" spans="1:8" s="3" customFormat="1" ht="15" customHeight="1">
      <c r="A1172" s="289"/>
      <c r="B1172" s="294" t="s">
        <v>532</v>
      </c>
      <c r="C1172" s="291"/>
      <c r="D1172" s="293"/>
      <c r="E1172" s="293"/>
      <c r="F1172" s="293"/>
      <c r="G1172" s="293"/>
      <c r="H1172" s="293"/>
    </row>
    <row r="1173" spans="1:8" s="3" customFormat="1" ht="15" customHeight="1">
      <c r="A1173" s="289" t="s">
        <v>368</v>
      </c>
      <c r="B1173" s="294"/>
      <c r="C1173" s="291"/>
      <c r="D1173" s="293"/>
      <c r="E1173" s="293"/>
      <c r="F1173" s="293"/>
      <c r="G1173" s="293"/>
      <c r="H1173" s="293"/>
    </row>
    <row r="1174" spans="1:8" s="3" customFormat="1" ht="15" customHeight="1">
      <c r="A1174" s="289"/>
      <c r="B1174" s="311" t="s">
        <v>68</v>
      </c>
      <c r="C1174" s="312" t="s">
        <v>5063</v>
      </c>
      <c r="D1174" s="293"/>
      <c r="E1174" s="293"/>
      <c r="F1174" s="293"/>
      <c r="G1174" s="293"/>
      <c r="H1174" s="293"/>
    </row>
    <row r="1175" spans="1:8" s="3" customFormat="1" ht="15" customHeight="1">
      <c r="A1175" s="289"/>
      <c r="B1175" s="311" t="s">
        <v>68</v>
      </c>
      <c r="C1175" s="312" t="s">
        <v>5067</v>
      </c>
      <c r="D1175" s="293"/>
      <c r="E1175" s="293"/>
      <c r="F1175" s="293"/>
      <c r="G1175" s="293"/>
      <c r="H1175" s="293"/>
    </row>
    <row r="1176" spans="1:8" s="3" customFormat="1" ht="15" customHeight="1">
      <c r="A1176" s="289"/>
      <c r="B1176" s="311" t="s">
        <v>68</v>
      </c>
      <c r="C1176" s="312" t="s">
        <v>5068</v>
      </c>
      <c r="D1176" s="293"/>
      <c r="E1176" s="293"/>
      <c r="F1176" s="293"/>
      <c r="G1176" s="293"/>
      <c r="H1176" s="293"/>
    </row>
    <row r="1177" spans="1:8" s="3" customFormat="1" ht="15" customHeight="1">
      <c r="A1177" s="289"/>
      <c r="B1177" s="311" t="s">
        <v>68</v>
      </c>
      <c r="C1177" s="312" t="s">
        <v>5064</v>
      </c>
      <c r="D1177" s="293"/>
      <c r="E1177" s="293"/>
      <c r="F1177" s="293"/>
      <c r="G1177" s="293"/>
      <c r="H1177" s="293"/>
    </row>
    <row r="1178" spans="1:8" s="3" customFormat="1" ht="15" customHeight="1">
      <c r="A1178" s="289"/>
      <c r="B1178" s="311" t="s">
        <v>68</v>
      </c>
      <c r="C1178" s="312" t="s">
        <v>485</v>
      </c>
      <c r="D1178" s="292"/>
      <c r="E1178" s="293"/>
      <c r="F1178" s="293"/>
      <c r="G1178" s="293"/>
      <c r="H1178" s="293"/>
    </row>
    <row r="1179" spans="1:8" s="3" customFormat="1" ht="15" customHeight="1">
      <c r="A1179" s="289"/>
      <c r="B1179" s="311"/>
      <c r="C1179" s="312"/>
      <c r="D1179" s="293"/>
      <c r="E1179" s="293"/>
      <c r="F1179" s="293"/>
      <c r="G1179" s="293"/>
      <c r="H1179" s="293"/>
    </row>
    <row r="1180" spans="1:8" s="3" customFormat="1" ht="15" customHeight="1">
      <c r="A1180" s="289"/>
      <c r="B1180" s="310" t="s">
        <v>323</v>
      </c>
      <c r="C1180" s="291"/>
      <c r="D1180" s="293"/>
      <c r="E1180" s="293"/>
      <c r="F1180" s="293"/>
      <c r="G1180" s="293"/>
      <c r="H1180" s="293"/>
    </row>
    <row r="1181" spans="1:8" s="3" customFormat="1" ht="15" customHeight="1">
      <c r="A1181" s="289"/>
      <c r="B1181" s="294" t="s">
        <v>1276</v>
      </c>
      <c r="C1181" s="291"/>
      <c r="D1181" s="293"/>
      <c r="E1181" s="293"/>
      <c r="F1181" s="293"/>
      <c r="G1181" s="293"/>
      <c r="H1181" s="293"/>
    </row>
    <row r="1182" spans="1:8" s="3" customFormat="1" ht="15" customHeight="1">
      <c r="A1182" s="294" t="s">
        <v>1277</v>
      </c>
      <c r="B1182" s="294"/>
      <c r="C1182" s="291"/>
      <c r="D1182" s="293"/>
      <c r="E1182" s="293"/>
      <c r="F1182" s="293"/>
      <c r="G1182" s="293"/>
      <c r="H1182" s="293"/>
    </row>
    <row r="1183" spans="1:8" s="3" customFormat="1" ht="15" customHeight="1">
      <c r="A1183" s="294" t="s">
        <v>370</v>
      </c>
      <c r="B1183" s="305"/>
      <c r="C1183" s="291"/>
      <c r="D1183" s="293"/>
      <c r="E1183" s="293"/>
      <c r="F1183" s="293"/>
      <c r="G1183" s="293"/>
      <c r="H1183" s="293"/>
    </row>
    <row r="1184" spans="1:8" s="3" customFormat="1" ht="15" customHeight="1">
      <c r="A1184" s="289"/>
      <c r="B1184" s="294"/>
      <c r="C1184" s="291"/>
      <c r="D1184" s="293"/>
      <c r="E1184" s="293"/>
      <c r="F1184" s="326"/>
      <c r="G1184" s="293"/>
      <c r="H1184" s="293"/>
    </row>
    <row r="1185" spans="1:8" s="3" customFormat="1" ht="15" customHeight="1">
      <c r="A1185" s="289"/>
      <c r="B1185" s="310" t="s">
        <v>116</v>
      </c>
      <c r="C1185" s="291"/>
      <c r="D1185" s="293"/>
      <c r="E1185" s="293"/>
      <c r="F1185" s="293"/>
      <c r="G1185" s="293"/>
      <c r="H1185" s="293"/>
    </row>
    <row r="1186" spans="1:8" s="3" customFormat="1" ht="15" customHeight="1">
      <c r="A1186" s="289"/>
      <c r="B1186" s="294" t="s">
        <v>533</v>
      </c>
      <c r="C1186" s="291"/>
      <c r="D1186" s="293"/>
      <c r="E1186" s="293"/>
      <c r="F1186" s="293"/>
      <c r="G1186" s="293"/>
      <c r="H1186" s="293"/>
    </row>
    <row r="1187" spans="1:8" s="3" customFormat="1" ht="15" customHeight="1">
      <c r="A1187" s="289" t="s">
        <v>530</v>
      </c>
      <c r="B1187" s="294"/>
      <c r="C1187" s="291"/>
      <c r="D1187" s="293"/>
      <c r="E1187" s="293"/>
      <c r="F1187" s="293"/>
      <c r="G1187" s="293"/>
      <c r="H1187" s="293"/>
    </row>
    <row r="1188" spans="1:8" s="3" customFormat="1" ht="15" customHeight="1">
      <c r="A1188" s="303"/>
      <c r="B1188" s="303"/>
      <c r="C1188" s="303"/>
      <c r="D1188" s="303"/>
      <c r="E1188" s="303"/>
      <c r="F1188" s="303"/>
      <c r="G1188" s="303"/>
      <c r="H1188" s="303"/>
    </row>
    <row r="1189" spans="1:8" s="3" customFormat="1" ht="15" customHeight="1">
      <c r="A1189" s="309" t="s">
        <v>534</v>
      </c>
      <c r="B1189" s="294"/>
      <c r="C1189" s="291"/>
      <c r="D1189" s="293"/>
      <c r="E1189" s="293"/>
      <c r="F1189" s="293"/>
      <c r="G1189" s="293"/>
      <c r="H1189" s="293"/>
    </row>
    <row r="1190" spans="1:8" s="3" customFormat="1" ht="15" customHeight="1">
      <c r="A1190" s="289"/>
      <c r="B1190" s="294"/>
      <c r="C1190" s="291"/>
      <c r="D1190" s="293"/>
      <c r="E1190" s="293"/>
      <c r="F1190" s="293"/>
      <c r="G1190" s="293"/>
      <c r="H1190" s="293"/>
    </row>
    <row r="1191" spans="1:8" s="3" customFormat="1" ht="15" customHeight="1">
      <c r="A1191" s="289"/>
      <c r="B1191" s="310" t="s">
        <v>81</v>
      </c>
      <c r="C1191" s="291"/>
      <c r="D1191" s="293"/>
      <c r="E1191" s="293"/>
      <c r="F1191" s="293"/>
      <c r="G1191" s="293"/>
      <c r="H1191" s="293"/>
    </row>
    <row r="1192" spans="1:8" s="3" customFormat="1" ht="15" customHeight="1">
      <c r="A1192" s="289"/>
      <c r="B1192" s="294" t="s">
        <v>535</v>
      </c>
      <c r="C1192" s="291"/>
      <c r="D1192" s="293"/>
      <c r="E1192" s="293"/>
      <c r="F1192" s="293"/>
      <c r="G1192" s="293"/>
      <c r="H1192" s="293"/>
    </row>
    <row r="1193" spans="1:8" s="3" customFormat="1" ht="15" customHeight="1">
      <c r="A1193" s="289" t="s">
        <v>368</v>
      </c>
      <c r="B1193" s="294"/>
      <c r="C1193" s="291"/>
      <c r="D1193" s="293"/>
      <c r="E1193" s="293"/>
      <c r="F1193" s="293"/>
      <c r="G1193" s="293"/>
      <c r="H1193" s="293"/>
    </row>
    <row r="1194" spans="1:8" s="3" customFormat="1" ht="15" customHeight="1">
      <c r="A1194" s="289"/>
      <c r="B1194" s="311" t="s">
        <v>68</v>
      </c>
      <c r="C1194" s="312" t="s">
        <v>5063</v>
      </c>
      <c r="D1194" s="293"/>
      <c r="E1194" s="293"/>
      <c r="F1194" s="293"/>
      <c r="G1194" s="293"/>
      <c r="H1194" s="293"/>
    </row>
    <row r="1195" spans="1:8" s="3" customFormat="1" ht="15" customHeight="1">
      <c r="A1195" s="289"/>
      <c r="B1195" s="311" t="s">
        <v>68</v>
      </c>
      <c r="C1195" s="312" t="s">
        <v>5067</v>
      </c>
      <c r="D1195" s="293"/>
      <c r="E1195" s="293"/>
      <c r="F1195" s="293"/>
      <c r="G1195" s="293"/>
      <c r="H1195" s="293"/>
    </row>
    <row r="1196" spans="1:8" s="3" customFormat="1" ht="15" customHeight="1">
      <c r="A1196" s="289"/>
      <c r="B1196" s="311" t="s">
        <v>68</v>
      </c>
      <c r="C1196" s="312" t="s">
        <v>5068</v>
      </c>
      <c r="D1196" s="293"/>
      <c r="E1196" s="293"/>
      <c r="F1196" s="293"/>
      <c r="G1196" s="293"/>
      <c r="H1196" s="293"/>
    </row>
    <row r="1197" spans="1:8" s="3" customFormat="1" ht="15" customHeight="1">
      <c r="A1197" s="289"/>
      <c r="B1197" s="311" t="s">
        <v>68</v>
      </c>
      <c r="C1197" s="312" t="s">
        <v>5064</v>
      </c>
      <c r="D1197" s="293"/>
      <c r="E1197" s="293"/>
      <c r="F1197" s="293"/>
      <c r="G1197" s="293"/>
      <c r="H1197" s="293"/>
    </row>
    <row r="1198" spans="1:8" s="3" customFormat="1" ht="15" customHeight="1">
      <c r="A1198" s="289"/>
      <c r="B1198" s="311" t="s">
        <v>68</v>
      </c>
      <c r="C1198" s="312" t="s">
        <v>485</v>
      </c>
      <c r="D1198" s="292"/>
      <c r="E1198" s="293"/>
      <c r="F1198" s="293"/>
      <c r="G1198" s="293"/>
      <c r="H1198" s="293"/>
    </row>
    <row r="1199" spans="1:8" s="3" customFormat="1" ht="15" customHeight="1">
      <c r="A1199" s="289"/>
      <c r="B1199" s="294"/>
      <c r="C1199" s="291"/>
      <c r="D1199" s="293"/>
      <c r="E1199" s="293"/>
      <c r="F1199" s="293"/>
      <c r="G1199" s="293"/>
      <c r="H1199" s="293"/>
    </row>
    <row r="1200" spans="1:8" s="3" customFormat="1" ht="15" customHeight="1">
      <c r="A1200" s="289"/>
      <c r="B1200" s="310" t="s">
        <v>323</v>
      </c>
      <c r="C1200" s="291"/>
      <c r="D1200" s="293"/>
      <c r="E1200" s="293"/>
      <c r="F1200" s="293"/>
      <c r="G1200" s="293"/>
      <c r="H1200" s="293"/>
    </row>
    <row r="1201" spans="1:8" s="3" customFormat="1" ht="15" customHeight="1">
      <c r="A1201" s="289"/>
      <c r="B1201" s="294" t="s">
        <v>1276</v>
      </c>
      <c r="C1201" s="291"/>
      <c r="D1201" s="293"/>
      <c r="E1201" s="293"/>
      <c r="F1201" s="293"/>
      <c r="G1201" s="293"/>
      <c r="H1201" s="293"/>
    </row>
    <row r="1202" spans="1:8" s="3" customFormat="1" ht="15" customHeight="1">
      <c r="A1202" s="294" t="s">
        <v>1277</v>
      </c>
      <c r="B1202" s="294"/>
      <c r="C1202" s="291"/>
      <c r="D1202" s="293"/>
      <c r="E1202" s="293"/>
      <c r="F1202" s="293"/>
      <c r="G1202" s="293"/>
      <c r="H1202" s="293"/>
    </row>
    <row r="1203" spans="1:8" s="3" customFormat="1" ht="15" customHeight="1">
      <c r="A1203" s="294" t="s">
        <v>370</v>
      </c>
      <c r="B1203" s="305"/>
      <c r="C1203" s="291"/>
      <c r="D1203" s="293"/>
      <c r="E1203" s="293"/>
      <c r="F1203" s="293"/>
      <c r="G1203" s="293"/>
      <c r="H1203" s="293"/>
    </row>
    <row r="1204" spans="1:8" s="3" customFormat="1" ht="15" customHeight="1">
      <c r="A1204" s="289"/>
      <c r="B1204" s="294"/>
      <c r="C1204" s="291"/>
      <c r="D1204" s="293"/>
      <c r="E1204" s="293"/>
      <c r="F1204" s="293"/>
      <c r="G1204" s="293"/>
      <c r="H1204" s="293"/>
    </row>
    <row r="1205" spans="1:8" s="3" customFormat="1" ht="15" customHeight="1">
      <c r="A1205" s="289"/>
      <c r="B1205" s="296" t="s">
        <v>1447</v>
      </c>
      <c r="C1205" s="291"/>
      <c r="D1205" s="293"/>
      <c r="E1205" s="293"/>
      <c r="F1205" s="293"/>
      <c r="G1205" s="293"/>
      <c r="H1205" s="293"/>
    </row>
    <row r="1206" spans="1:8" s="3" customFormat="1" ht="15" customHeight="1">
      <c r="A1206" s="289"/>
      <c r="B1206" s="296" t="s">
        <v>1448</v>
      </c>
      <c r="C1206" s="291"/>
      <c r="D1206" s="293"/>
      <c r="E1206" s="293"/>
      <c r="F1206" s="293"/>
      <c r="G1206" s="293"/>
      <c r="H1206" s="293"/>
    </row>
    <row r="1207" spans="1:8" s="3" customFormat="1" ht="15" customHeight="1">
      <c r="A1207" s="289" t="s">
        <v>1449</v>
      </c>
      <c r="B1207" s="294"/>
      <c r="C1207" s="291"/>
      <c r="D1207" s="293"/>
      <c r="E1207" s="293"/>
      <c r="F1207" s="293"/>
      <c r="G1207" s="293"/>
      <c r="H1207" s="293"/>
    </row>
    <row r="1208" spans="1:8" s="3" customFormat="1" ht="15" customHeight="1">
      <c r="A1208" s="289"/>
      <c r="B1208" s="296" t="s">
        <v>1450</v>
      </c>
      <c r="C1208" s="291"/>
      <c r="D1208" s="293"/>
      <c r="E1208" s="293"/>
      <c r="F1208" s="293"/>
      <c r="G1208" s="293"/>
      <c r="H1208" s="293"/>
    </row>
    <row r="1209" spans="1:8" s="3" customFormat="1" ht="15" customHeight="1">
      <c r="A1209" s="289" t="s">
        <v>1451</v>
      </c>
      <c r="B1209" s="294"/>
      <c r="C1209" s="291"/>
      <c r="D1209" s="293"/>
      <c r="E1209" s="293"/>
      <c r="F1209" s="293"/>
      <c r="G1209" s="293"/>
      <c r="H1209" s="293"/>
    </row>
    <row r="1210" spans="1:8" s="3" customFormat="1" ht="15" customHeight="1">
      <c r="A1210" s="289"/>
      <c r="B1210" s="296" t="s">
        <v>1452</v>
      </c>
      <c r="C1210" s="291"/>
      <c r="D1210" s="293"/>
      <c r="E1210" s="293"/>
      <c r="F1210" s="293"/>
      <c r="G1210" s="293"/>
      <c r="H1210" s="293"/>
    </row>
    <row r="1211" spans="1:8" s="3" customFormat="1" ht="15" customHeight="1">
      <c r="A1211" s="289" t="s">
        <v>1453</v>
      </c>
      <c r="B1211" s="294"/>
      <c r="C1211" s="291"/>
      <c r="D1211" s="293"/>
      <c r="E1211" s="293"/>
      <c r="F1211" s="293"/>
      <c r="G1211" s="293"/>
      <c r="H1211" s="293"/>
    </row>
    <row r="1212" spans="1:8" s="3" customFormat="1" ht="15" customHeight="1">
      <c r="A1212" s="289"/>
      <c r="B1212" s="296" t="s">
        <v>1454</v>
      </c>
      <c r="C1212" s="291"/>
      <c r="D1212" s="293"/>
      <c r="E1212" s="293"/>
      <c r="F1212" s="293"/>
      <c r="G1212" s="293"/>
      <c r="H1212" s="293"/>
    </row>
    <row r="1213" spans="1:8" s="3" customFormat="1" ht="15" customHeight="1">
      <c r="A1213" s="289"/>
      <c r="B1213" s="296" t="s">
        <v>1455</v>
      </c>
      <c r="C1213" s="291"/>
      <c r="D1213" s="293"/>
      <c r="E1213" s="293"/>
      <c r="F1213" s="293"/>
      <c r="G1213" s="293"/>
      <c r="H1213" s="293"/>
    </row>
    <row r="1214" spans="1:8" s="3" customFormat="1" ht="15" customHeight="1">
      <c r="A1214" s="289" t="s">
        <v>1456</v>
      </c>
      <c r="B1214" s="294"/>
      <c r="C1214" s="291"/>
      <c r="D1214" s="293"/>
      <c r="E1214" s="293"/>
      <c r="F1214" s="293"/>
      <c r="G1214" s="293"/>
      <c r="H1214" s="293"/>
    </row>
    <row r="1215" spans="1:8" s="3" customFormat="1" ht="15" customHeight="1">
      <c r="A1215" s="289"/>
      <c r="B1215" s="296" t="s">
        <v>1457</v>
      </c>
      <c r="C1215" s="291"/>
      <c r="D1215" s="293"/>
      <c r="E1215" s="293"/>
      <c r="F1215" s="293"/>
      <c r="G1215" s="293"/>
      <c r="H1215" s="293"/>
    </row>
    <row r="1216" spans="1:8" s="3" customFormat="1" ht="15" customHeight="1">
      <c r="A1216" s="289" t="s">
        <v>1458</v>
      </c>
      <c r="B1216" s="294"/>
      <c r="C1216" s="291"/>
      <c r="D1216" s="293"/>
      <c r="E1216" s="293"/>
      <c r="F1216" s="293"/>
      <c r="G1216" s="293"/>
      <c r="H1216" s="293"/>
    </row>
    <row r="1217" spans="1:8" s="3" customFormat="1" ht="15" customHeight="1">
      <c r="A1217" s="289"/>
      <c r="B1217" s="294"/>
      <c r="C1217" s="291"/>
      <c r="D1217" s="293"/>
      <c r="E1217" s="293"/>
      <c r="F1217" s="293"/>
      <c r="G1217" s="293"/>
      <c r="H1217" s="293"/>
    </row>
    <row r="1218" spans="1:8" s="3" customFormat="1" ht="15" customHeight="1">
      <c r="A1218" s="289"/>
      <c r="B1218" s="296" t="s">
        <v>1459</v>
      </c>
      <c r="C1218" s="291"/>
      <c r="D1218" s="293"/>
      <c r="E1218" s="293"/>
      <c r="F1218" s="293"/>
      <c r="G1218" s="293"/>
      <c r="H1218" s="293"/>
    </row>
    <row r="1219" spans="1:8" s="3" customFormat="1" ht="15" customHeight="1">
      <c r="A1219" s="289"/>
      <c r="B1219" s="335" t="s">
        <v>48</v>
      </c>
      <c r="C1219" s="296" t="s">
        <v>1460</v>
      </c>
      <c r="D1219" s="293"/>
      <c r="E1219" s="293"/>
      <c r="F1219" s="293"/>
      <c r="G1219" s="293"/>
      <c r="H1219" s="293"/>
    </row>
    <row r="1220" spans="1:8" s="3" customFormat="1" ht="15" customHeight="1">
      <c r="A1220" s="289"/>
      <c r="B1220" s="294"/>
      <c r="C1220" s="315">
        <v>21</v>
      </c>
      <c r="D1220" s="293" t="s">
        <v>1461</v>
      </c>
      <c r="E1220" s="316" t="s">
        <v>217</v>
      </c>
      <c r="F1220" s="294" t="s">
        <v>1462</v>
      </c>
      <c r="G1220" s="293"/>
      <c r="H1220" s="293"/>
    </row>
    <row r="1221" spans="1:8" s="3" customFormat="1" ht="15" customHeight="1">
      <c r="A1221" s="289"/>
      <c r="B1221" s="294"/>
      <c r="C1221" s="315">
        <v>22</v>
      </c>
      <c r="D1221" s="293" t="s">
        <v>1461</v>
      </c>
      <c r="E1221" s="316" t="s">
        <v>217</v>
      </c>
      <c r="F1221" s="294" t="s">
        <v>1463</v>
      </c>
      <c r="G1221" s="293"/>
      <c r="H1221" s="293"/>
    </row>
    <row r="1222" spans="1:8" s="3" customFormat="1" ht="15" customHeight="1">
      <c r="A1222" s="289"/>
      <c r="B1222" s="294"/>
      <c r="C1222" s="315">
        <v>23</v>
      </c>
      <c r="D1222" s="293" t="s">
        <v>1461</v>
      </c>
      <c r="E1222" s="316" t="s">
        <v>217</v>
      </c>
      <c r="F1222" s="294" t="s">
        <v>1464</v>
      </c>
      <c r="G1222" s="293"/>
      <c r="H1222" s="293"/>
    </row>
    <row r="1223" spans="1:8" s="3" customFormat="1" ht="15" customHeight="1">
      <c r="A1223" s="289"/>
      <c r="B1223" s="335" t="s">
        <v>49</v>
      </c>
      <c r="C1223" s="296" t="s">
        <v>1465</v>
      </c>
      <c r="D1223" s="293"/>
      <c r="E1223" s="293"/>
      <c r="F1223" s="293"/>
      <c r="G1223" s="293"/>
      <c r="H1223" s="293"/>
    </row>
    <row r="1224" spans="1:8" s="3" customFormat="1" ht="15" customHeight="1">
      <c r="A1224" s="289"/>
      <c r="B1224" s="294"/>
      <c r="C1224" s="315">
        <v>31</v>
      </c>
      <c r="D1224" s="293" t="s">
        <v>1461</v>
      </c>
      <c r="E1224" s="316" t="s">
        <v>217</v>
      </c>
      <c r="F1224" s="294" t="s">
        <v>1466</v>
      </c>
      <c r="G1224" s="293"/>
      <c r="H1224" s="293"/>
    </row>
    <row r="1225" spans="1:8" s="3" customFormat="1" ht="15" customHeight="1">
      <c r="A1225" s="289"/>
      <c r="B1225" s="294"/>
      <c r="C1225" s="315">
        <v>32</v>
      </c>
      <c r="D1225" s="293" t="s">
        <v>1461</v>
      </c>
      <c r="E1225" s="316" t="s">
        <v>217</v>
      </c>
      <c r="F1225" s="294" t="s">
        <v>1467</v>
      </c>
      <c r="G1225" s="293"/>
      <c r="H1225" s="293"/>
    </row>
    <row r="1226" spans="1:8" s="3" customFormat="1" ht="15" customHeight="1">
      <c r="A1226" s="289"/>
      <c r="B1226" s="294"/>
      <c r="C1226" s="315">
        <v>33</v>
      </c>
      <c r="D1226" s="293" t="s">
        <v>1461</v>
      </c>
      <c r="E1226" s="316" t="s">
        <v>217</v>
      </c>
      <c r="F1226" s="294" t="s">
        <v>1468</v>
      </c>
      <c r="G1226" s="293"/>
      <c r="H1226" s="293"/>
    </row>
    <row r="1227" spans="1:8" s="3" customFormat="1" ht="15" customHeight="1">
      <c r="A1227" s="289"/>
      <c r="B1227" s="294"/>
      <c r="C1227" s="315"/>
      <c r="D1227" s="293"/>
      <c r="E1227" s="316"/>
      <c r="F1227" s="294"/>
      <c r="G1227" s="293"/>
      <c r="H1227" s="293"/>
    </row>
    <row r="1228" spans="1:8" s="3" customFormat="1" ht="15" customHeight="1">
      <c r="A1228" s="289"/>
      <c r="B1228" s="294" t="s">
        <v>1469</v>
      </c>
      <c r="C1228" s="315"/>
      <c r="D1228" s="293"/>
      <c r="E1228" s="316"/>
      <c r="F1228" s="294"/>
      <c r="G1228" s="293"/>
      <c r="H1228" s="293"/>
    </row>
    <row r="1229" spans="1:8" s="3" customFormat="1" ht="15" customHeight="1">
      <c r="A1229" s="336" t="s">
        <v>1470</v>
      </c>
      <c r="B1229" s="294"/>
      <c r="C1229" s="315"/>
      <c r="D1229" s="293"/>
      <c r="E1229" s="316"/>
      <c r="F1229" s="294"/>
      <c r="G1229" s="293"/>
      <c r="H1229" s="293"/>
    </row>
    <row r="1230" spans="1:8" s="3" customFormat="1" ht="15" customHeight="1">
      <c r="A1230" s="289"/>
      <c r="B1230" s="294" t="s">
        <v>1471</v>
      </c>
      <c r="C1230" s="315"/>
      <c r="D1230" s="293"/>
      <c r="E1230" s="316"/>
      <c r="F1230" s="294"/>
      <c r="G1230" s="293"/>
      <c r="H1230" s="293"/>
    </row>
    <row r="1231" spans="1:8" s="3" customFormat="1" ht="15" customHeight="1">
      <c r="A1231" s="289" t="s">
        <v>1472</v>
      </c>
      <c r="B1231" s="294"/>
      <c r="C1231" s="315"/>
      <c r="D1231" s="293"/>
      <c r="E1231" s="316"/>
      <c r="F1231" s="294"/>
      <c r="G1231" s="293"/>
      <c r="H1231" s="293"/>
    </row>
    <row r="1232" spans="1:8" s="3" customFormat="1" ht="15" customHeight="1">
      <c r="A1232" s="289"/>
      <c r="B1232" s="294"/>
      <c r="C1232" s="291"/>
      <c r="D1232" s="293"/>
      <c r="E1232" s="293"/>
      <c r="F1232" s="293"/>
      <c r="G1232" s="293"/>
      <c r="H1232" s="293"/>
    </row>
    <row r="1233" spans="1:8" s="3" customFormat="1" ht="15" customHeight="1">
      <c r="A1233" s="289"/>
      <c r="B1233" s="294" t="s">
        <v>1473</v>
      </c>
      <c r="C1233" s="291"/>
      <c r="D1233" s="293"/>
      <c r="E1233" s="293"/>
      <c r="F1233" s="293"/>
      <c r="G1233" s="293"/>
      <c r="H1233" s="293"/>
    </row>
    <row r="1234" spans="1:8" s="3" customFormat="1" ht="15" customHeight="1">
      <c r="A1234" s="289" t="s">
        <v>1474</v>
      </c>
      <c r="B1234" s="294"/>
      <c r="C1234" s="291"/>
      <c r="D1234" s="293"/>
      <c r="E1234" s="293"/>
      <c r="F1234" s="293"/>
      <c r="G1234" s="293"/>
      <c r="H1234" s="293"/>
    </row>
    <row r="1235" spans="1:8" s="3" customFormat="1" ht="15" customHeight="1">
      <c r="A1235" s="289"/>
      <c r="B1235" s="294" t="s">
        <v>1475</v>
      </c>
      <c r="C1235" s="291"/>
      <c r="D1235" s="293"/>
      <c r="E1235" s="293"/>
      <c r="F1235" s="293"/>
      <c r="G1235" s="293"/>
      <c r="H1235" s="293"/>
    </row>
    <row r="1236" spans="1:8" s="3" customFormat="1" ht="15" customHeight="1">
      <c r="A1236" s="337" t="s">
        <v>667</v>
      </c>
      <c r="B1236" s="303" t="s">
        <v>1476</v>
      </c>
      <c r="C1236" s="291"/>
      <c r="D1236" s="293"/>
      <c r="E1236" s="293"/>
      <c r="F1236" s="293"/>
      <c r="G1236" s="293"/>
      <c r="H1236" s="293"/>
    </row>
    <row r="1237" spans="1:8" s="3" customFormat="1" ht="15" customHeight="1">
      <c r="A1237" s="337" t="s">
        <v>667</v>
      </c>
      <c r="B1237" s="303" t="s">
        <v>1477</v>
      </c>
      <c r="C1237" s="291"/>
      <c r="D1237" s="293"/>
      <c r="E1237" s="293"/>
      <c r="F1237" s="293"/>
      <c r="G1237" s="293"/>
      <c r="H1237" s="293"/>
    </row>
    <row r="1238" spans="1:8" s="3" customFormat="1" ht="15" customHeight="1">
      <c r="A1238" s="337" t="s">
        <v>667</v>
      </c>
      <c r="B1238" s="303" t="s">
        <v>1478</v>
      </c>
      <c r="C1238" s="291"/>
      <c r="D1238" s="293"/>
      <c r="E1238" s="293"/>
      <c r="F1238" s="293"/>
      <c r="G1238" s="293"/>
      <c r="H1238" s="293"/>
    </row>
    <row r="1239" spans="1:8" s="3" customFormat="1" ht="15" customHeight="1">
      <c r="A1239" s="337" t="s">
        <v>667</v>
      </c>
      <c r="B1239" s="303" t="s">
        <v>1479</v>
      </c>
      <c r="C1239" s="291"/>
      <c r="D1239" s="293"/>
      <c r="E1239" s="293"/>
      <c r="F1239" s="293"/>
      <c r="G1239" s="293"/>
      <c r="H1239" s="293"/>
    </row>
    <row r="1240" spans="1:8" s="3" customFormat="1" ht="15" customHeight="1">
      <c r="A1240" s="337" t="s">
        <v>667</v>
      </c>
      <c r="B1240" s="338" t="s">
        <v>1480</v>
      </c>
      <c r="C1240" s="291"/>
      <c r="D1240" s="293"/>
      <c r="E1240" s="293"/>
      <c r="F1240" s="293"/>
      <c r="G1240" s="293"/>
      <c r="H1240" s="293"/>
    </row>
    <row r="1241" spans="1:8" s="3" customFormat="1" ht="15" customHeight="1">
      <c r="A1241" s="289"/>
      <c r="B1241" s="289" t="s">
        <v>1481</v>
      </c>
      <c r="C1241" s="289"/>
      <c r="D1241" s="289"/>
      <c r="E1241" s="289"/>
      <c r="F1241" s="289"/>
      <c r="G1241" s="289"/>
      <c r="H1241" s="289"/>
    </row>
    <row r="1242" spans="1:8" s="3" customFormat="1" ht="15" customHeight="1">
      <c r="A1242" s="289" t="s">
        <v>1482</v>
      </c>
      <c r="B1242" s="303"/>
      <c r="C1242" s="291"/>
      <c r="D1242" s="293"/>
      <c r="E1242" s="293"/>
      <c r="F1242" s="293"/>
      <c r="G1242" s="293"/>
      <c r="H1242" s="293"/>
    </row>
    <row r="1243" spans="1:8" s="3" customFormat="1" ht="15" customHeight="1">
      <c r="A1243" s="289" t="s">
        <v>1483</v>
      </c>
      <c r="B1243" s="294"/>
      <c r="C1243" s="291"/>
      <c r="D1243" s="293"/>
      <c r="E1243" s="293"/>
      <c r="F1243" s="293"/>
      <c r="G1243" s="293"/>
      <c r="H1243" s="293"/>
    </row>
    <row r="1244" spans="1:8" s="3" customFormat="1" ht="15" customHeight="1">
      <c r="A1244" s="289"/>
      <c r="B1244" s="294"/>
      <c r="C1244" s="291"/>
      <c r="D1244" s="293"/>
      <c r="E1244" s="293"/>
      <c r="F1244" s="293"/>
      <c r="G1244" s="293"/>
      <c r="H1244" s="293"/>
    </row>
    <row r="1245" spans="1:8" s="3" customFormat="1" ht="15" customHeight="1">
      <c r="A1245" s="303"/>
      <c r="B1245" s="296" t="s">
        <v>1484</v>
      </c>
      <c r="C1245" s="291"/>
      <c r="D1245" s="293"/>
      <c r="E1245" s="293"/>
      <c r="F1245" s="293"/>
      <c r="G1245" s="293"/>
      <c r="H1245" s="293"/>
    </row>
    <row r="1246" spans="1:8" s="3" customFormat="1" ht="15" customHeight="1">
      <c r="A1246" s="303"/>
      <c r="B1246" s="338" t="s">
        <v>1485</v>
      </c>
      <c r="C1246" s="291"/>
      <c r="D1246" s="293"/>
      <c r="E1246" s="293"/>
      <c r="F1246" s="293"/>
      <c r="G1246" s="293"/>
      <c r="H1246" s="293"/>
    </row>
    <row r="1247" spans="1:8" s="3" customFormat="1" ht="15" customHeight="1">
      <c r="A1247" s="303" t="s">
        <v>1486</v>
      </c>
      <c r="B1247" s="303"/>
      <c r="C1247" s="291"/>
      <c r="D1247" s="293"/>
      <c r="E1247" s="293"/>
      <c r="F1247" s="293"/>
      <c r="G1247" s="293"/>
      <c r="H1247" s="293"/>
    </row>
    <row r="1248" spans="1:8" s="3" customFormat="1" ht="15" customHeight="1">
      <c r="A1248" s="303"/>
      <c r="B1248" s="338" t="s">
        <v>1487</v>
      </c>
      <c r="C1248" s="291"/>
      <c r="D1248" s="293"/>
      <c r="E1248" s="293"/>
      <c r="F1248" s="293"/>
      <c r="G1248" s="293"/>
      <c r="H1248" s="293"/>
    </row>
    <row r="1249" spans="1:8" s="3" customFormat="1" ht="15" customHeight="1">
      <c r="A1249" s="303"/>
      <c r="B1249" s="338"/>
      <c r="C1249" s="291"/>
      <c r="D1249" s="293"/>
      <c r="E1249" s="293"/>
      <c r="F1249" s="293"/>
      <c r="G1249" s="293"/>
      <c r="H1249" s="293"/>
    </row>
    <row r="1250" spans="1:8" s="3" customFormat="1" ht="15" customHeight="1">
      <c r="A1250" s="337"/>
      <c r="B1250" s="339" t="s">
        <v>1488</v>
      </c>
      <c r="C1250" s="291"/>
      <c r="D1250" s="293"/>
      <c r="E1250" s="293"/>
      <c r="F1250" s="293"/>
      <c r="G1250" s="293"/>
      <c r="H1250" s="293"/>
    </row>
    <row r="1251" spans="1:8" s="3" customFormat="1" ht="15" customHeight="1">
      <c r="A1251" s="337" t="s">
        <v>667</v>
      </c>
      <c r="B1251" s="338" t="s">
        <v>1489</v>
      </c>
      <c r="C1251" s="291"/>
      <c r="D1251" s="293"/>
      <c r="E1251" s="293"/>
      <c r="F1251" s="293"/>
      <c r="G1251" s="293"/>
      <c r="H1251" s="293"/>
    </row>
    <row r="1252" spans="1:8" s="3" customFormat="1" ht="15" customHeight="1">
      <c r="A1252" s="337" t="s">
        <v>667</v>
      </c>
      <c r="B1252" s="338" t="s">
        <v>1490</v>
      </c>
      <c r="C1252" s="291"/>
      <c r="D1252" s="293"/>
      <c r="E1252" s="293"/>
      <c r="F1252" s="293"/>
      <c r="G1252" s="293"/>
      <c r="H1252" s="293"/>
    </row>
    <row r="1253" spans="1:8" s="3" customFormat="1" ht="15" customHeight="1">
      <c r="A1253" s="337" t="s">
        <v>667</v>
      </c>
      <c r="B1253" s="338" t="s">
        <v>1491</v>
      </c>
      <c r="C1253" s="291"/>
      <c r="D1253" s="293"/>
      <c r="E1253" s="293"/>
      <c r="F1253" s="293"/>
      <c r="G1253" s="293"/>
      <c r="H1253" s="293"/>
    </row>
    <row r="1254" spans="1:8" s="3" customFormat="1" ht="15" customHeight="1">
      <c r="A1254" s="337" t="s">
        <v>667</v>
      </c>
      <c r="B1254" s="338" t="s">
        <v>513</v>
      </c>
      <c r="C1254" s="291"/>
      <c r="D1254" s="293"/>
      <c r="E1254" s="293"/>
      <c r="F1254" s="293"/>
      <c r="G1254" s="293"/>
      <c r="H1254" s="293"/>
    </row>
    <row r="1255" spans="1:8" s="3" customFormat="1" ht="15" customHeight="1">
      <c r="A1255" s="337" t="s">
        <v>667</v>
      </c>
      <c r="B1255" s="338" t="s">
        <v>1492</v>
      </c>
      <c r="C1255" s="291"/>
      <c r="D1255" s="293"/>
      <c r="E1255" s="293"/>
      <c r="F1255" s="293"/>
      <c r="G1255" s="293"/>
      <c r="H1255" s="293"/>
    </row>
    <row r="1256" spans="1:8" s="3" customFormat="1" ht="15" customHeight="1">
      <c r="A1256" s="337" t="s">
        <v>667</v>
      </c>
      <c r="B1256" s="338" t="s">
        <v>1493</v>
      </c>
      <c r="C1256" s="291"/>
      <c r="D1256" s="293"/>
      <c r="E1256" s="293"/>
      <c r="F1256" s="293"/>
      <c r="G1256" s="293"/>
      <c r="H1256" s="293"/>
    </row>
    <row r="1257" spans="1:8" s="3" customFormat="1" ht="15" customHeight="1">
      <c r="A1257" s="337" t="s">
        <v>667</v>
      </c>
      <c r="B1257" s="338" t="s">
        <v>1494</v>
      </c>
      <c r="C1257" s="291"/>
      <c r="D1257" s="293"/>
      <c r="E1257" s="293"/>
      <c r="F1257" s="293"/>
      <c r="G1257" s="293"/>
      <c r="H1257" s="293"/>
    </row>
    <row r="1258" spans="1:8" s="3" customFormat="1" ht="15" customHeight="1">
      <c r="A1258" s="289"/>
      <c r="B1258" s="294"/>
      <c r="C1258" s="291"/>
      <c r="D1258" s="293"/>
      <c r="E1258" s="293"/>
      <c r="F1258" s="293"/>
      <c r="G1258" s="293"/>
      <c r="H1258" s="293"/>
    </row>
    <row r="1259" spans="1:8" s="3" customFormat="1" ht="15" customHeight="1">
      <c r="A1259" s="289"/>
      <c r="B1259" s="338" t="s">
        <v>1495</v>
      </c>
      <c r="C1259" s="291"/>
      <c r="D1259" s="293"/>
      <c r="E1259" s="293"/>
      <c r="F1259" s="293"/>
      <c r="G1259" s="293"/>
      <c r="H1259" s="293"/>
    </row>
    <row r="1260" spans="1:8" s="3" customFormat="1" ht="15" customHeight="1">
      <c r="A1260" s="289" t="s">
        <v>1496</v>
      </c>
      <c r="B1260" s="294"/>
      <c r="C1260" s="291"/>
      <c r="D1260" s="293"/>
      <c r="E1260" s="293"/>
      <c r="F1260" s="293"/>
      <c r="G1260" s="293"/>
      <c r="H1260" s="293"/>
    </row>
    <row r="1261" spans="1:8" s="3" customFormat="1" ht="15" customHeight="1">
      <c r="A1261" s="289"/>
      <c r="B1261" s="294"/>
      <c r="C1261" s="291"/>
      <c r="D1261" s="293"/>
      <c r="E1261" s="293"/>
      <c r="F1261" s="293"/>
      <c r="G1261" s="293"/>
      <c r="H1261" s="293"/>
    </row>
    <row r="1262" spans="1:8" s="3" customFormat="1" ht="15" customHeight="1">
      <c r="A1262" s="289"/>
      <c r="B1262" s="310" t="s">
        <v>116</v>
      </c>
      <c r="C1262" s="291"/>
      <c r="D1262" s="293"/>
      <c r="E1262" s="293"/>
      <c r="F1262" s="293"/>
      <c r="G1262" s="293"/>
      <c r="H1262" s="293"/>
    </row>
    <row r="1263" spans="1:8" s="3" customFormat="1" ht="15" customHeight="1">
      <c r="A1263" s="289"/>
      <c r="B1263" s="294" t="s">
        <v>536</v>
      </c>
      <c r="C1263" s="291"/>
      <c r="D1263" s="293"/>
      <c r="E1263" s="293"/>
      <c r="F1263" s="293"/>
      <c r="G1263" s="293"/>
      <c r="H1263" s="293"/>
    </row>
    <row r="1264" spans="1:8" s="3" customFormat="1" ht="15" customHeight="1">
      <c r="A1264" s="289" t="s">
        <v>537</v>
      </c>
      <c r="B1264" s="294"/>
      <c r="C1264" s="291"/>
      <c r="D1264" s="293"/>
      <c r="E1264" s="293"/>
      <c r="F1264" s="293"/>
      <c r="G1264" s="293"/>
      <c r="H1264" s="293"/>
    </row>
    <row r="1265" spans="1:8" s="3" customFormat="1" ht="15" customHeight="1">
      <c r="A1265" s="303"/>
      <c r="B1265" s="303"/>
      <c r="C1265" s="303"/>
      <c r="D1265" s="303"/>
      <c r="E1265" s="303"/>
      <c r="F1265" s="303"/>
      <c r="G1265" s="303"/>
      <c r="H1265" s="303"/>
    </row>
    <row r="1266" spans="1:8" s="3" customFormat="1" ht="15" customHeight="1">
      <c r="A1266" s="303"/>
      <c r="B1266" s="303"/>
      <c r="C1266" s="303"/>
      <c r="D1266" s="303"/>
      <c r="E1266" s="303"/>
      <c r="F1266" s="303"/>
      <c r="G1266" s="303"/>
      <c r="H1266" s="303"/>
    </row>
    <row r="1267" spans="1:8" s="3" customFormat="1" ht="15" customHeight="1">
      <c r="A1267" s="309" t="s">
        <v>538</v>
      </c>
      <c r="B1267" s="294"/>
      <c r="C1267" s="291"/>
      <c r="D1267" s="293"/>
      <c r="E1267" s="293"/>
      <c r="F1267" s="293"/>
      <c r="G1267" s="293"/>
      <c r="H1267" s="293"/>
    </row>
    <row r="1268" spans="1:8" s="3" customFormat="1" ht="15" customHeight="1">
      <c r="A1268" s="289"/>
      <c r="B1268" s="294"/>
      <c r="C1268" s="291"/>
      <c r="D1268" s="293"/>
      <c r="E1268" s="293"/>
      <c r="F1268" s="293"/>
      <c r="G1268" s="293"/>
      <c r="H1268" s="293"/>
    </row>
    <row r="1269" spans="1:8" s="3" customFormat="1" ht="15" customHeight="1">
      <c r="A1269" s="289"/>
      <c r="B1269" s="310" t="s">
        <v>81</v>
      </c>
      <c r="C1269" s="291"/>
      <c r="D1269" s="293"/>
      <c r="E1269" s="293"/>
      <c r="F1269" s="293"/>
      <c r="G1269" s="293"/>
      <c r="H1269" s="293"/>
    </row>
    <row r="1270" spans="1:8" s="3" customFormat="1" ht="15" customHeight="1">
      <c r="A1270" s="289"/>
      <c r="B1270" s="294" t="s">
        <v>539</v>
      </c>
      <c r="C1270" s="291"/>
      <c r="D1270" s="293"/>
      <c r="E1270" s="293"/>
      <c r="F1270" s="293"/>
      <c r="G1270" s="293"/>
      <c r="H1270" s="293"/>
    </row>
    <row r="1271" spans="1:8" s="3" customFormat="1" ht="15" customHeight="1">
      <c r="A1271" s="289" t="s">
        <v>318</v>
      </c>
      <c r="B1271" s="294"/>
      <c r="C1271" s="291"/>
      <c r="D1271" s="293"/>
      <c r="E1271" s="293"/>
      <c r="F1271" s="293"/>
      <c r="G1271" s="293"/>
      <c r="H1271" s="293"/>
    </row>
    <row r="1272" spans="1:8" s="3" customFormat="1" ht="15" customHeight="1">
      <c r="A1272" s="289"/>
      <c r="B1272" s="311" t="s">
        <v>68</v>
      </c>
      <c r="C1272" s="312" t="s">
        <v>5063</v>
      </c>
      <c r="D1272" s="293"/>
      <c r="E1272" s="293"/>
      <c r="F1272" s="293"/>
      <c r="G1272" s="293"/>
      <c r="H1272" s="293"/>
    </row>
    <row r="1273" spans="1:8" s="3" customFormat="1" ht="15" customHeight="1">
      <c r="A1273" s="289"/>
      <c r="B1273" s="311" t="s">
        <v>68</v>
      </c>
      <c r="C1273" s="312" t="s">
        <v>5067</v>
      </c>
      <c r="D1273" s="293"/>
      <c r="E1273" s="293"/>
      <c r="F1273" s="293"/>
      <c r="G1273" s="293"/>
      <c r="H1273" s="293"/>
    </row>
    <row r="1274" spans="1:8" s="3" customFormat="1" ht="15" customHeight="1">
      <c r="A1274" s="289"/>
      <c r="B1274" s="311" t="s">
        <v>68</v>
      </c>
      <c r="C1274" s="312" t="s">
        <v>5068</v>
      </c>
      <c r="D1274" s="293"/>
      <c r="E1274" s="293"/>
      <c r="F1274" s="293"/>
      <c r="G1274" s="293"/>
      <c r="H1274" s="293"/>
    </row>
    <row r="1275" spans="1:8" s="3" customFormat="1" ht="15" customHeight="1">
      <c r="A1275" s="289"/>
      <c r="B1275" s="311" t="s">
        <v>68</v>
      </c>
      <c r="C1275" s="312" t="s">
        <v>5064</v>
      </c>
      <c r="D1275" s="293"/>
      <c r="E1275" s="293"/>
      <c r="F1275" s="293"/>
      <c r="G1275" s="293"/>
      <c r="H1275" s="293"/>
    </row>
    <row r="1276" spans="1:8" s="3" customFormat="1" ht="15" customHeight="1">
      <c r="A1276" s="289"/>
      <c r="B1276" s="311" t="s">
        <v>68</v>
      </c>
      <c r="C1276" s="312" t="s">
        <v>485</v>
      </c>
      <c r="D1276" s="292"/>
      <c r="E1276" s="293"/>
      <c r="F1276" s="293"/>
      <c r="G1276" s="293"/>
      <c r="H1276" s="293"/>
    </row>
    <row r="1277" spans="1:8" s="3" customFormat="1" ht="15" customHeight="1">
      <c r="A1277" s="289"/>
      <c r="B1277" s="311"/>
      <c r="C1277" s="312"/>
      <c r="D1277" s="292"/>
      <c r="E1277" s="293"/>
      <c r="F1277" s="293"/>
      <c r="G1277" s="293"/>
      <c r="H1277" s="293"/>
    </row>
    <row r="1278" spans="1:8" s="3" customFormat="1" ht="15" customHeight="1">
      <c r="A1278" s="289"/>
      <c r="B1278" s="310" t="s">
        <v>323</v>
      </c>
      <c r="C1278" s="291"/>
      <c r="D1278" s="293"/>
      <c r="E1278" s="293"/>
      <c r="F1278" s="293"/>
      <c r="G1278" s="293"/>
      <c r="H1278" s="293"/>
    </row>
    <row r="1279" spans="1:8" s="3" customFormat="1" ht="15" customHeight="1">
      <c r="A1279" s="289"/>
      <c r="B1279" s="294" t="s">
        <v>1276</v>
      </c>
      <c r="C1279" s="291"/>
      <c r="D1279" s="293"/>
      <c r="E1279" s="293"/>
      <c r="F1279" s="293"/>
      <c r="G1279" s="293"/>
      <c r="H1279" s="293"/>
    </row>
    <row r="1280" spans="1:8" s="3" customFormat="1" ht="15" customHeight="1">
      <c r="A1280" s="294" t="s">
        <v>1277</v>
      </c>
      <c r="B1280" s="294"/>
      <c r="C1280" s="291"/>
      <c r="D1280" s="293"/>
      <c r="E1280" s="293"/>
      <c r="F1280" s="293"/>
      <c r="G1280" s="293"/>
      <c r="H1280" s="293"/>
    </row>
    <row r="1281" spans="1:8" s="3" customFormat="1" ht="15" customHeight="1">
      <c r="A1281" s="294" t="s">
        <v>370</v>
      </c>
      <c r="B1281" s="305"/>
      <c r="C1281" s="291"/>
      <c r="D1281" s="293"/>
      <c r="E1281" s="293"/>
      <c r="F1281" s="293"/>
      <c r="G1281" s="293"/>
      <c r="H1281" s="293"/>
    </row>
    <row r="1282" spans="1:8" s="3" customFormat="1" ht="15" customHeight="1">
      <c r="A1282" s="289"/>
      <c r="B1282" s="294" t="s">
        <v>1497</v>
      </c>
      <c r="C1282" s="291"/>
      <c r="D1282" s="293"/>
      <c r="E1282" s="293"/>
      <c r="F1282" s="293"/>
      <c r="G1282" s="293"/>
      <c r="H1282" s="293"/>
    </row>
    <row r="1283" spans="1:8" s="3" customFormat="1" ht="15" customHeight="1">
      <c r="A1283" s="289"/>
      <c r="B1283" s="294" t="s">
        <v>1498</v>
      </c>
      <c r="C1283" s="291"/>
      <c r="D1283" s="293"/>
      <c r="E1283" s="293"/>
      <c r="F1283" s="293"/>
      <c r="G1283" s="293"/>
      <c r="H1283" s="293"/>
    </row>
    <row r="1284" spans="1:8" s="3" customFormat="1" ht="15" customHeight="1">
      <c r="A1284" s="289"/>
      <c r="B1284" s="294" t="s">
        <v>1499</v>
      </c>
      <c r="C1284" s="291"/>
      <c r="D1284" s="293"/>
      <c r="E1284" s="293"/>
      <c r="F1284" s="293"/>
      <c r="G1284" s="293"/>
      <c r="H1284" s="293"/>
    </row>
    <row r="1285" spans="1:8" s="3" customFormat="1" ht="15" customHeight="1">
      <c r="A1285" s="289"/>
      <c r="B1285" s="294" t="s">
        <v>1500</v>
      </c>
      <c r="C1285" s="291"/>
      <c r="D1285" s="293"/>
      <c r="E1285" s="293"/>
      <c r="F1285" s="293"/>
      <c r="G1285" s="293"/>
      <c r="H1285" s="293"/>
    </row>
    <row r="1286" spans="1:8" s="3" customFormat="1" ht="15" customHeight="1">
      <c r="A1286" s="289"/>
      <c r="B1286" s="294" t="s">
        <v>540</v>
      </c>
      <c r="C1286" s="291"/>
      <c r="D1286" s="293"/>
      <c r="E1286" s="293"/>
      <c r="F1286" s="293"/>
      <c r="G1286" s="293"/>
      <c r="H1286" s="293"/>
    </row>
    <row r="1287" spans="1:8" s="3" customFormat="1" ht="15" customHeight="1">
      <c r="A1287" s="289" t="s">
        <v>541</v>
      </c>
      <c r="B1287" s="294"/>
      <c r="C1287" s="291"/>
      <c r="D1287" s="293"/>
      <c r="E1287" s="293"/>
      <c r="F1287" s="293"/>
      <c r="G1287" s="293"/>
      <c r="H1287" s="293"/>
    </row>
    <row r="1288" spans="1:8" s="3" customFormat="1" ht="15" customHeight="1">
      <c r="A1288" s="289" t="s">
        <v>542</v>
      </c>
      <c r="B1288" s="294"/>
      <c r="C1288" s="291"/>
      <c r="D1288" s="293"/>
      <c r="E1288" s="293"/>
      <c r="F1288" s="293"/>
      <c r="G1288" s="293"/>
      <c r="H1288" s="293"/>
    </row>
    <row r="1289" spans="1:8" s="3" customFormat="1" ht="15" customHeight="1">
      <c r="A1289" s="289" t="s">
        <v>1501</v>
      </c>
      <c r="B1289" s="294"/>
      <c r="C1289" s="291"/>
      <c r="D1289" s="293"/>
      <c r="E1289" s="293"/>
      <c r="F1289" s="293"/>
      <c r="G1289" s="293"/>
      <c r="H1289" s="293"/>
    </row>
    <row r="1290" spans="1:8" s="3" customFormat="1" ht="15" customHeight="1">
      <c r="A1290" s="289"/>
      <c r="B1290" s="294" t="s">
        <v>543</v>
      </c>
      <c r="C1290" s="291"/>
      <c r="D1290" s="293"/>
      <c r="E1290" s="293"/>
      <c r="F1290" s="293"/>
      <c r="G1290" s="293"/>
      <c r="H1290" s="293"/>
    </row>
    <row r="1291" spans="1:8" s="3" customFormat="1" ht="15" customHeight="1">
      <c r="A1291" s="289"/>
      <c r="B1291" s="294" t="s">
        <v>1502</v>
      </c>
      <c r="C1291" s="291"/>
      <c r="D1291" s="293"/>
      <c r="E1291" s="293"/>
      <c r="F1291" s="293"/>
      <c r="G1291" s="293"/>
      <c r="H1291" s="293"/>
    </row>
    <row r="1292" spans="1:8" s="3" customFormat="1" ht="15" customHeight="1">
      <c r="A1292" s="289" t="s">
        <v>1503</v>
      </c>
      <c r="B1292" s="294"/>
      <c r="C1292" s="291"/>
      <c r="D1292" s="293"/>
      <c r="E1292" s="293"/>
      <c r="F1292" s="293"/>
      <c r="G1292" s="293"/>
      <c r="H1292" s="293"/>
    </row>
    <row r="1293" spans="1:8" s="3" customFormat="1" ht="15" customHeight="1">
      <c r="A1293" s="289"/>
      <c r="B1293" s="294" t="s">
        <v>1504</v>
      </c>
      <c r="C1293" s="291"/>
      <c r="D1293" s="293"/>
      <c r="E1293" s="293"/>
      <c r="F1293" s="293"/>
      <c r="G1293" s="293"/>
      <c r="H1293" s="293"/>
    </row>
    <row r="1294" spans="1:8" s="3" customFormat="1" ht="15" customHeight="1">
      <c r="A1294" s="289" t="s">
        <v>544</v>
      </c>
      <c r="B1294" s="294"/>
      <c r="C1294" s="291"/>
      <c r="D1294" s="293"/>
      <c r="E1294" s="293"/>
      <c r="F1294" s="293"/>
      <c r="G1294" s="293"/>
      <c r="H1294" s="293"/>
    </row>
    <row r="1295" spans="1:8" s="3" customFormat="1" ht="15" customHeight="1">
      <c r="A1295" s="289"/>
      <c r="B1295" s="310"/>
      <c r="C1295" s="291"/>
      <c r="D1295" s="293"/>
      <c r="E1295" s="293"/>
      <c r="F1295" s="293"/>
      <c r="G1295" s="293"/>
      <c r="H1295" s="293"/>
    </row>
    <row r="1296" spans="1:8" s="3" customFormat="1" ht="15" customHeight="1">
      <c r="A1296" s="289"/>
      <c r="B1296" s="310" t="s">
        <v>545</v>
      </c>
      <c r="C1296" s="291"/>
      <c r="D1296" s="293"/>
      <c r="E1296" s="293"/>
      <c r="F1296" s="293"/>
      <c r="G1296" s="293"/>
      <c r="H1296" s="293"/>
    </row>
    <row r="1297" spans="1:8" s="3" customFormat="1" ht="15" customHeight="1">
      <c r="A1297" s="289"/>
      <c r="B1297" s="294" t="s">
        <v>546</v>
      </c>
      <c r="C1297" s="291"/>
      <c r="D1297" s="293"/>
      <c r="E1297" s="293"/>
      <c r="F1297" s="293"/>
      <c r="G1297" s="293"/>
      <c r="H1297" s="293"/>
    </row>
    <row r="1298" spans="1:8" s="3" customFormat="1" ht="15" customHeight="1">
      <c r="A1298" s="289" t="s">
        <v>547</v>
      </c>
      <c r="B1298" s="310"/>
      <c r="C1298" s="291"/>
      <c r="D1298" s="293"/>
      <c r="E1298" s="293"/>
      <c r="F1298" s="293"/>
      <c r="G1298" s="293"/>
      <c r="H1298" s="293"/>
    </row>
    <row r="1299" spans="1:8" s="3" customFormat="1" ht="15" customHeight="1">
      <c r="A1299" s="289" t="s">
        <v>548</v>
      </c>
      <c r="B1299" s="310"/>
      <c r="C1299" s="291"/>
      <c r="D1299" s="293"/>
      <c r="E1299" s="293"/>
      <c r="F1299" s="293"/>
      <c r="G1299" s="293"/>
      <c r="H1299" s="293"/>
    </row>
    <row r="1300" spans="1:8" s="3" customFormat="1" ht="15" customHeight="1">
      <c r="A1300" s="289"/>
      <c r="B1300" s="310" t="s">
        <v>549</v>
      </c>
      <c r="C1300" s="291"/>
      <c r="D1300" s="293"/>
      <c r="E1300" s="293"/>
      <c r="F1300" s="293"/>
      <c r="G1300" s="293"/>
      <c r="H1300" s="293"/>
    </row>
    <row r="1301" spans="1:8" s="3" customFormat="1" ht="15" customHeight="1">
      <c r="A1301" s="289"/>
      <c r="B1301" s="294" t="s">
        <v>550</v>
      </c>
      <c r="C1301" s="291"/>
      <c r="D1301" s="293"/>
      <c r="E1301" s="293"/>
      <c r="F1301" s="293"/>
      <c r="G1301" s="293"/>
      <c r="H1301" s="293"/>
    </row>
    <row r="1302" spans="1:8" s="3" customFormat="1" ht="15" customHeight="1">
      <c r="A1302" s="289" t="s">
        <v>551</v>
      </c>
      <c r="B1302" s="310"/>
      <c r="C1302" s="291"/>
      <c r="D1302" s="293"/>
      <c r="E1302" s="293"/>
      <c r="F1302" s="293"/>
      <c r="G1302" s="293"/>
      <c r="H1302" s="293"/>
    </row>
    <row r="1303" spans="1:8" s="3" customFormat="1" ht="15" customHeight="1">
      <c r="A1303" s="289" t="s">
        <v>552</v>
      </c>
      <c r="B1303" s="310"/>
      <c r="C1303" s="291"/>
      <c r="D1303" s="293"/>
      <c r="E1303" s="293"/>
      <c r="F1303" s="293"/>
      <c r="G1303" s="293"/>
      <c r="H1303" s="293"/>
    </row>
    <row r="1304" spans="1:8" s="3" customFormat="1" ht="15" customHeight="1">
      <c r="A1304" s="289"/>
      <c r="B1304" s="310" t="s">
        <v>553</v>
      </c>
      <c r="C1304" s="291"/>
      <c r="D1304" s="293"/>
      <c r="E1304" s="293"/>
      <c r="F1304" s="293"/>
      <c r="G1304" s="293"/>
      <c r="H1304" s="293"/>
    </row>
    <row r="1305" spans="1:8" s="3" customFormat="1" ht="15" customHeight="1">
      <c r="A1305" s="289"/>
      <c r="B1305" s="294" t="s">
        <v>554</v>
      </c>
      <c r="C1305" s="291"/>
      <c r="D1305" s="293"/>
      <c r="E1305" s="293"/>
      <c r="F1305" s="293"/>
      <c r="G1305" s="293"/>
      <c r="H1305" s="293"/>
    </row>
    <row r="1306" spans="1:8" s="3" customFormat="1" ht="15" customHeight="1">
      <c r="A1306" s="289"/>
      <c r="B1306" s="310" t="s">
        <v>555</v>
      </c>
      <c r="C1306" s="291"/>
      <c r="D1306" s="293"/>
      <c r="E1306" s="293"/>
      <c r="F1306" s="293"/>
      <c r="G1306" s="293"/>
      <c r="H1306" s="293"/>
    </row>
    <row r="1307" spans="1:8" s="3" customFormat="1" ht="15" customHeight="1">
      <c r="A1307" s="289"/>
      <c r="B1307" s="294" t="s">
        <v>556</v>
      </c>
      <c r="C1307" s="291"/>
      <c r="D1307" s="293"/>
      <c r="E1307" s="293"/>
      <c r="F1307" s="293"/>
      <c r="G1307" s="293"/>
      <c r="H1307" s="293"/>
    </row>
    <row r="1308" spans="1:8" s="3" customFormat="1" ht="15" customHeight="1">
      <c r="A1308" s="289" t="s">
        <v>1505</v>
      </c>
      <c r="B1308" s="310"/>
      <c r="C1308" s="291"/>
      <c r="D1308" s="293"/>
      <c r="E1308" s="293"/>
      <c r="F1308" s="293"/>
      <c r="G1308" s="293"/>
      <c r="H1308" s="293"/>
    </row>
    <row r="1309" spans="1:8" s="3" customFormat="1" ht="15" customHeight="1">
      <c r="A1309" s="289"/>
      <c r="B1309" s="310" t="s">
        <v>557</v>
      </c>
      <c r="C1309" s="291"/>
      <c r="D1309" s="293"/>
      <c r="E1309" s="293"/>
      <c r="F1309" s="293"/>
      <c r="G1309" s="293"/>
      <c r="H1309" s="293"/>
    </row>
    <row r="1310" spans="1:8" s="3" customFormat="1" ht="15" customHeight="1">
      <c r="A1310" s="289"/>
      <c r="B1310" s="294" t="s">
        <v>1506</v>
      </c>
      <c r="C1310" s="291"/>
      <c r="D1310" s="293"/>
      <c r="E1310" s="293"/>
      <c r="F1310" s="293"/>
      <c r="G1310" s="293"/>
      <c r="H1310" s="293"/>
    </row>
    <row r="1311" spans="1:8" s="3" customFormat="1" ht="15" customHeight="1">
      <c r="A1311" s="289" t="s">
        <v>558</v>
      </c>
      <c r="B1311" s="310"/>
      <c r="C1311" s="291"/>
      <c r="D1311" s="293"/>
      <c r="E1311" s="293"/>
      <c r="F1311" s="293"/>
      <c r="G1311" s="293"/>
      <c r="H1311" s="293"/>
    </row>
    <row r="1312" spans="1:8" s="3" customFormat="1" ht="15" customHeight="1">
      <c r="A1312" s="289"/>
      <c r="B1312" s="310" t="s">
        <v>559</v>
      </c>
      <c r="C1312" s="291"/>
      <c r="D1312" s="293"/>
      <c r="E1312" s="293"/>
      <c r="F1312" s="293"/>
      <c r="G1312" s="293"/>
      <c r="H1312" s="293"/>
    </row>
    <row r="1313" spans="1:8" s="3" customFormat="1" ht="15" customHeight="1">
      <c r="A1313" s="289"/>
      <c r="B1313" s="310" t="s">
        <v>560</v>
      </c>
      <c r="C1313" s="291"/>
      <c r="D1313" s="293"/>
      <c r="E1313" s="293"/>
      <c r="F1313" s="293"/>
      <c r="G1313" s="293"/>
      <c r="H1313" s="293"/>
    </row>
    <row r="1314" spans="1:8" s="3" customFormat="1" ht="15" customHeight="1">
      <c r="A1314" s="289"/>
      <c r="B1314" s="294" t="s">
        <v>561</v>
      </c>
      <c r="C1314" s="291"/>
      <c r="D1314" s="293"/>
      <c r="E1314" s="293"/>
      <c r="F1314" s="293"/>
      <c r="G1314" s="293"/>
      <c r="H1314" s="293"/>
    </row>
    <row r="1315" spans="1:8" s="3" customFormat="1" ht="15" customHeight="1">
      <c r="A1315" s="289" t="s">
        <v>562</v>
      </c>
      <c r="B1315" s="340"/>
      <c r="C1315" s="291"/>
      <c r="D1315" s="293"/>
      <c r="E1315" s="293"/>
      <c r="F1315" s="293"/>
      <c r="G1315" s="293"/>
      <c r="H1315" s="293"/>
    </row>
    <row r="1316" spans="1:8" s="3" customFormat="1" ht="15" customHeight="1">
      <c r="A1316" s="289" t="s">
        <v>563</v>
      </c>
      <c r="B1316" s="310"/>
      <c r="C1316" s="291"/>
      <c r="D1316" s="293"/>
      <c r="E1316" s="293"/>
      <c r="F1316" s="293"/>
      <c r="G1316" s="293"/>
      <c r="H1316" s="293"/>
    </row>
    <row r="1317" spans="1:8" s="3" customFormat="1" ht="15" customHeight="1">
      <c r="A1317" s="289" t="s">
        <v>1507</v>
      </c>
      <c r="B1317" s="310"/>
      <c r="C1317" s="291"/>
      <c r="D1317" s="293"/>
      <c r="E1317" s="293"/>
      <c r="F1317" s="293"/>
      <c r="G1317" s="293"/>
      <c r="H1317" s="293"/>
    </row>
    <row r="1318" spans="1:8" s="3" customFormat="1" ht="15" customHeight="1">
      <c r="A1318" s="289" t="s">
        <v>564</v>
      </c>
      <c r="B1318" s="294"/>
      <c r="C1318" s="291"/>
      <c r="D1318" s="293"/>
      <c r="E1318" s="293"/>
      <c r="F1318" s="293"/>
      <c r="G1318" s="293"/>
      <c r="H1318" s="293"/>
    </row>
    <row r="1319" spans="1:8" s="3" customFormat="1" ht="15" customHeight="1">
      <c r="A1319" s="289"/>
      <c r="B1319" s="310" t="s">
        <v>565</v>
      </c>
      <c r="C1319" s="291"/>
      <c r="D1319" s="293"/>
      <c r="E1319" s="293"/>
      <c r="F1319" s="293"/>
      <c r="G1319" s="293"/>
      <c r="H1319" s="293"/>
    </row>
    <row r="1320" spans="1:8" s="3" customFormat="1" ht="15" customHeight="1">
      <c r="A1320" s="289"/>
      <c r="B1320" s="294" t="s">
        <v>566</v>
      </c>
      <c r="C1320" s="291"/>
      <c r="D1320" s="293"/>
      <c r="E1320" s="293"/>
      <c r="F1320" s="293"/>
      <c r="G1320" s="293"/>
      <c r="H1320" s="293"/>
    </row>
    <row r="1321" spans="1:8" s="3" customFormat="1" ht="15" customHeight="1">
      <c r="A1321" s="289" t="s">
        <v>567</v>
      </c>
      <c r="B1321" s="294"/>
      <c r="C1321" s="291"/>
      <c r="D1321" s="293"/>
      <c r="E1321" s="293"/>
      <c r="F1321" s="293"/>
      <c r="G1321" s="293"/>
      <c r="H1321" s="293"/>
    </row>
    <row r="1322" spans="1:8" s="3" customFormat="1" ht="15" customHeight="1">
      <c r="A1322" s="289" t="s">
        <v>568</v>
      </c>
      <c r="B1322" s="294"/>
      <c r="C1322" s="291"/>
      <c r="D1322" s="293"/>
      <c r="E1322" s="293"/>
      <c r="F1322" s="293"/>
      <c r="G1322" s="293"/>
      <c r="H1322" s="293"/>
    </row>
    <row r="1323" spans="1:8" s="3" customFormat="1" ht="15" customHeight="1">
      <c r="A1323" s="289" t="s">
        <v>569</v>
      </c>
      <c r="B1323" s="294"/>
      <c r="C1323" s="291"/>
      <c r="D1323" s="293"/>
      <c r="E1323" s="293"/>
      <c r="F1323" s="293"/>
      <c r="G1323" s="293"/>
      <c r="H1323" s="293"/>
    </row>
    <row r="1324" spans="1:8" s="3" customFormat="1" ht="15" customHeight="1">
      <c r="A1324" s="289"/>
      <c r="B1324" s="310" t="s">
        <v>570</v>
      </c>
      <c r="C1324" s="291"/>
      <c r="D1324" s="293"/>
      <c r="E1324" s="293"/>
      <c r="F1324" s="293"/>
      <c r="G1324" s="293"/>
      <c r="H1324" s="293"/>
    </row>
    <row r="1325" spans="1:8" s="3" customFormat="1" ht="15" customHeight="1">
      <c r="A1325" s="289"/>
      <c r="B1325" s="294" t="s">
        <v>571</v>
      </c>
      <c r="C1325" s="291"/>
      <c r="D1325" s="293"/>
      <c r="E1325" s="293"/>
      <c r="F1325" s="293"/>
      <c r="G1325" s="293"/>
      <c r="H1325" s="293"/>
    </row>
    <row r="1326" spans="1:8" s="3" customFormat="1" ht="15" customHeight="1">
      <c r="A1326" s="289" t="s">
        <v>572</v>
      </c>
      <c r="B1326" s="294"/>
      <c r="C1326" s="291"/>
      <c r="D1326" s="293"/>
      <c r="E1326" s="293"/>
      <c r="F1326" s="293"/>
      <c r="G1326" s="293"/>
      <c r="H1326" s="293"/>
    </row>
    <row r="1327" spans="1:8" s="3" customFormat="1" ht="15" customHeight="1">
      <c r="A1327" s="289" t="s">
        <v>573</v>
      </c>
      <c r="B1327" s="294"/>
      <c r="C1327" s="291"/>
      <c r="D1327" s="293"/>
      <c r="E1327" s="293"/>
      <c r="F1327" s="293"/>
      <c r="G1327" s="293"/>
      <c r="H1327" s="293"/>
    </row>
    <row r="1328" spans="1:8" s="3" customFormat="1" ht="15" customHeight="1">
      <c r="A1328" s="289" t="s">
        <v>574</v>
      </c>
      <c r="B1328" s="294"/>
      <c r="C1328" s="291"/>
      <c r="D1328" s="293"/>
      <c r="E1328" s="293"/>
      <c r="F1328" s="293"/>
      <c r="G1328" s="293"/>
      <c r="H1328" s="293"/>
    </row>
    <row r="1329" spans="1:8" s="3" customFormat="1" ht="15" customHeight="1">
      <c r="A1329" s="289" t="s">
        <v>575</v>
      </c>
      <c r="B1329" s="294"/>
      <c r="C1329" s="291"/>
      <c r="D1329" s="293"/>
      <c r="E1329" s="293"/>
      <c r="F1329" s="293"/>
      <c r="G1329" s="293"/>
      <c r="H1329" s="293"/>
    </row>
    <row r="1330" spans="1:8" s="3" customFormat="1" ht="15" customHeight="1">
      <c r="A1330" s="289"/>
      <c r="B1330" s="310" t="s">
        <v>576</v>
      </c>
      <c r="C1330" s="291"/>
      <c r="D1330" s="293"/>
      <c r="E1330" s="293"/>
      <c r="F1330" s="293"/>
      <c r="G1330" s="293"/>
      <c r="H1330" s="293"/>
    </row>
    <row r="1331" spans="1:8" s="3" customFormat="1" ht="15" customHeight="1">
      <c r="A1331" s="289"/>
      <c r="B1331" s="294" t="s">
        <v>577</v>
      </c>
      <c r="C1331" s="291"/>
      <c r="D1331" s="293"/>
      <c r="E1331" s="293"/>
      <c r="F1331" s="293"/>
      <c r="G1331" s="293"/>
      <c r="H1331" s="293"/>
    </row>
    <row r="1332" spans="1:8" s="3" customFormat="1" ht="15" customHeight="1">
      <c r="A1332" s="289" t="s">
        <v>578</v>
      </c>
      <c r="B1332" s="294"/>
      <c r="C1332" s="291"/>
      <c r="D1332" s="293"/>
      <c r="E1332" s="293"/>
      <c r="F1332" s="293"/>
      <c r="G1332" s="293"/>
      <c r="H1332" s="293"/>
    </row>
    <row r="1333" spans="1:8" s="3" customFormat="1" ht="15" customHeight="1">
      <c r="A1333" s="289" t="s">
        <v>579</v>
      </c>
      <c r="B1333" s="294"/>
      <c r="C1333" s="291"/>
      <c r="D1333" s="293"/>
      <c r="E1333" s="293"/>
      <c r="F1333" s="293"/>
      <c r="G1333" s="293"/>
      <c r="H1333" s="293"/>
    </row>
    <row r="1334" spans="1:8" s="3" customFormat="1" ht="15" customHeight="1">
      <c r="A1334" s="289" t="s">
        <v>580</v>
      </c>
      <c r="B1334" s="294"/>
      <c r="C1334" s="291"/>
      <c r="D1334" s="293"/>
      <c r="E1334" s="293"/>
      <c r="F1334" s="293"/>
      <c r="G1334" s="293"/>
      <c r="H1334" s="293"/>
    </row>
    <row r="1335" spans="1:8" s="3" customFormat="1" ht="15" customHeight="1">
      <c r="A1335" s="289" t="s">
        <v>581</v>
      </c>
      <c r="B1335" s="294"/>
      <c r="C1335" s="291"/>
      <c r="D1335" s="293"/>
      <c r="E1335" s="293"/>
      <c r="F1335" s="293"/>
      <c r="G1335" s="293"/>
      <c r="H1335" s="293"/>
    </row>
    <row r="1336" spans="1:8" s="3" customFormat="1" ht="15" customHeight="1">
      <c r="A1336" s="289" t="s">
        <v>582</v>
      </c>
      <c r="B1336" s="294"/>
      <c r="C1336" s="291"/>
      <c r="D1336" s="293"/>
      <c r="E1336" s="293"/>
      <c r="F1336" s="293"/>
      <c r="G1336" s="293"/>
      <c r="H1336" s="293"/>
    </row>
    <row r="1337" spans="1:8" s="3" customFormat="1" ht="15" customHeight="1">
      <c r="A1337" s="289"/>
      <c r="B1337" s="294"/>
      <c r="C1337" s="291"/>
      <c r="D1337" s="293"/>
      <c r="E1337" s="293"/>
      <c r="F1337" s="293"/>
      <c r="G1337" s="293"/>
      <c r="H1337" s="293"/>
    </row>
    <row r="1338" spans="1:8" s="3" customFormat="1" ht="15" customHeight="1">
      <c r="A1338" s="289"/>
      <c r="B1338" s="310" t="s">
        <v>583</v>
      </c>
      <c r="C1338" s="291"/>
      <c r="D1338" s="293"/>
      <c r="E1338" s="293"/>
      <c r="F1338" s="293"/>
      <c r="G1338" s="293"/>
      <c r="H1338" s="293"/>
    </row>
    <row r="1339" spans="1:8" s="3" customFormat="1" ht="15" customHeight="1">
      <c r="A1339" s="289"/>
      <c r="B1339" s="294" t="s">
        <v>584</v>
      </c>
      <c r="C1339" s="291"/>
      <c r="D1339" s="293"/>
      <c r="E1339" s="293"/>
      <c r="F1339" s="293"/>
      <c r="G1339" s="293"/>
      <c r="H1339" s="293"/>
    </row>
    <row r="1340" spans="1:8" s="3" customFormat="1" ht="15" customHeight="1">
      <c r="A1340" s="289" t="s">
        <v>585</v>
      </c>
      <c r="B1340" s="310"/>
      <c r="C1340" s="291"/>
      <c r="D1340" s="293"/>
      <c r="E1340" s="293"/>
      <c r="F1340" s="293"/>
      <c r="G1340" s="293"/>
      <c r="H1340" s="293"/>
    </row>
    <row r="1341" spans="1:8" s="3" customFormat="1" ht="15" customHeight="1">
      <c r="A1341" s="289"/>
      <c r="B1341" s="310"/>
      <c r="C1341" s="291"/>
      <c r="D1341" s="293"/>
      <c r="E1341" s="293"/>
      <c r="F1341" s="293"/>
      <c r="G1341" s="293"/>
      <c r="H1341" s="293"/>
    </row>
    <row r="1342" spans="1:8" s="3" customFormat="1" ht="15" customHeight="1">
      <c r="A1342" s="289"/>
      <c r="B1342" s="310" t="s">
        <v>586</v>
      </c>
      <c r="C1342" s="291"/>
      <c r="D1342" s="293"/>
      <c r="E1342" s="293"/>
      <c r="F1342" s="293"/>
      <c r="G1342" s="293"/>
      <c r="H1342" s="293"/>
    </row>
    <row r="1343" spans="1:8" s="3" customFormat="1" ht="15" customHeight="1">
      <c r="A1343" s="289"/>
      <c r="B1343" s="294" t="s">
        <v>587</v>
      </c>
      <c r="C1343" s="291"/>
      <c r="D1343" s="293"/>
      <c r="E1343" s="293"/>
      <c r="F1343" s="293"/>
      <c r="G1343" s="293"/>
      <c r="H1343" s="293"/>
    </row>
    <row r="1344" spans="1:8" s="3" customFormat="1" ht="15" customHeight="1">
      <c r="A1344" s="289"/>
      <c r="B1344" s="310"/>
      <c r="C1344" s="291"/>
      <c r="D1344" s="293"/>
      <c r="E1344" s="293"/>
      <c r="F1344" s="305"/>
      <c r="G1344" s="293"/>
      <c r="H1344" s="293"/>
    </row>
    <row r="1345" spans="1:8" s="3" customFormat="1" ht="15" customHeight="1">
      <c r="A1345" s="289"/>
      <c r="B1345" s="310" t="s">
        <v>116</v>
      </c>
      <c r="C1345" s="291"/>
      <c r="D1345" s="293"/>
      <c r="E1345" s="293"/>
      <c r="F1345" s="293"/>
      <c r="G1345" s="293"/>
      <c r="H1345" s="293"/>
    </row>
    <row r="1346" spans="1:8" s="3" customFormat="1" ht="15" customHeight="1">
      <c r="A1346" s="289"/>
      <c r="B1346" s="294" t="s">
        <v>1508</v>
      </c>
      <c r="C1346" s="291"/>
      <c r="D1346" s="293"/>
      <c r="E1346" s="293"/>
      <c r="F1346" s="293"/>
      <c r="G1346" s="293"/>
      <c r="H1346" s="293"/>
    </row>
    <row r="1347" spans="1:8" s="3" customFormat="1" ht="15" customHeight="1">
      <c r="A1347" s="289" t="s">
        <v>588</v>
      </c>
      <c r="B1347" s="294"/>
      <c r="C1347" s="291"/>
      <c r="D1347" s="293"/>
      <c r="E1347" s="293"/>
      <c r="F1347" s="293"/>
      <c r="G1347" s="293"/>
      <c r="H1347" s="293"/>
    </row>
    <row r="1348" spans="1:8" s="3" customFormat="1" ht="15" customHeight="1">
      <c r="A1348" s="289"/>
      <c r="B1348" s="294" t="s">
        <v>589</v>
      </c>
      <c r="C1348" s="341" t="s">
        <v>267</v>
      </c>
      <c r="D1348" s="294" t="s">
        <v>590</v>
      </c>
      <c r="E1348" s="293"/>
      <c r="F1348" s="293"/>
      <c r="G1348" s="293"/>
      <c r="H1348" s="293"/>
    </row>
    <row r="1349" spans="1:8" s="3" customFormat="1" ht="15" customHeight="1">
      <c r="A1349" s="289"/>
      <c r="B1349" s="294" t="s">
        <v>591</v>
      </c>
      <c r="C1349" s="341" t="s">
        <v>267</v>
      </c>
      <c r="D1349" s="294" t="s">
        <v>592</v>
      </c>
      <c r="E1349" s="293"/>
      <c r="F1349" s="293"/>
      <c r="G1349" s="293"/>
      <c r="H1349" s="293"/>
    </row>
    <row r="1350" spans="1:8" s="3" customFormat="1" ht="15" customHeight="1">
      <c r="A1350" s="294"/>
      <c r="B1350" s="310" t="s">
        <v>593</v>
      </c>
      <c r="C1350" s="291"/>
      <c r="D1350" s="293"/>
      <c r="E1350" s="293"/>
      <c r="F1350" s="293"/>
      <c r="G1350" s="293"/>
      <c r="H1350" s="293"/>
    </row>
    <row r="1351" spans="1:8" s="3" customFormat="1" ht="15" customHeight="1">
      <c r="A1351" s="289"/>
      <c r="B1351" s="294" t="s">
        <v>1847</v>
      </c>
      <c r="C1351" s="291"/>
      <c r="D1351" s="293"/>
      <c r="E1351" s="293"/>
      <c r="F1351" s="293"/>
      <c r="G1351" s="293"/>
      <c r="H1351" s="293"/>
    </row>
    <row r="1352" spans="1:8" s="3" customFormat="1" ht="15" customHeight="1">
      <c r="A1352" s="289" t="s">
        <v>1509</v>
      </c>
      <c r="B1352" s="310"/>
      <c r="C1352" s="291"/>
      <c r="D1352" s="293"/>
      <c r="E1352" s="293"/>
      <c r="F1352" s="293"/>
      <c r="G1352" s="293"/>
      <c r="H1352" s="293"/>
    </row>
    <row r="1353" spans="1:8" s="3" customFormat="1" ht="15" customHeight="1">
      <c r="A1353" s="289" t="s">
        <v>1510</v>
      </c>
      <c r="B1353" s="310"/>
      <c r="C1353" s="291"/>
      <c r="D1353" s="293"/>
      <c r="E1353" s="293"/>
      <c r="F1353" s="293"/>
      <c r="G1353" s="293"/>
      <c r="H1353" s="293"/>
    </row>
    <row r="1354" spans="1:8" s="3" customFormat="1" ht="15" customHeight="1">
      <c r="A1354" s="289" t="s">
        <v>594</v>
      </c>
      <c r="B1354" s="310"/>
      <c r="C1354" s="291"/>
      <c r="D1354" s="293"/>
      <c r="E1354" s="293"/>
      <c r="F1354" s="293"/>
      <c r="G1354" s="293"/>
      <c r="H1354" s="293"/>
    </row>
    <row r="1355" spans="1:8" s="3" customFormat="1" ht="15" customHeight="1">
      <c r="A1355" s="289"/>
      <c r="B1355" s="310"/>
      <c r="C1355" s="291"/>
      <c r="D1355" s="293"/>
      <c r="E1355" s="293"/>
      <c r="F1355" s="293"/>
      <c r="G1355" s="293"/>
      <c r="H1355" s="293"/>
    </row>
    <row r="1356" spans="1:8" s="3" customFormat="1" ht="15" customHeight="1">
      <c r="A1356" s="309" t="s">
        <v>595</v>
      </c>
      <c r="B1356" s="294"/>
      <c r="C1356" s="291"/>
      <c r="D1356" s="293"/>
      <c r="E1356" s="293"/>
      <c r="F1356" s="293"/>
      <c r="G1356" s="293"/>
      <c r="H1356" s="293"/>
    </row>
    <row r="1357" spans="1:8" s="3" customFormat="1" ht="15" customHeight="1">
      <c r="A1357" s="289"/>
      <c r="B1357" s="294"/>
      <c r="C1357" s="291"/>
      <c r="D1357" s="293"/>
      <c r="E1357" s="293"/>
      <c r="F1357" s="293"/>
      <c r="G1357" s="293"/>
      <c r="H1357" s="293"/>
    </row>
    <row r="1358" spans="1:8" s="3" customFormat="1" ht="15" customHeight="1">
      <c r="A1358" s="289"/>
      <c r="B1358" s="310" t="s">
        <v>81</v>
      </c>
      <c r="C1358" s="291"/>
      <c r="D1358" s="293"/>
      <c r="E1358" s="293"/>
      <c r="F1358" s="293"/>
      <c r="G1358" s="293"/>
      <c r="H1358" s="293"/>
    </row>
    <row r="1359" spans="1:8" s="3" customFormat="1" ht="15" customHeight="1">
      <c r="A1359" s="289"/>
      <c r="B1359" s="294" t="s">
        <v>596</v>
      </c>
      <c r="C1359" s="291"/>
      <c r="D1359" s="293"/>
      <c r="E1359" s="293"/>
      <c r="F1359" s="293"/>
      <c r="G1359" s="293"/>
      <c r="H1359" s="293"/>
    </row>
    <row r="1360" spans="1:8" s="3" customFormat="1" ht="15" customHeight="1">
      <c r="A1360" s="289" t="s">
        <v>484</v>
      </c>
      <c r="B1360" s="294"/>
      <c r="C1360" s="291"/>
      <c r="D1360" s="293"/>
      <c r="E1360" s="293"/>
      <c r="F1360" s="293"/>
      <c r="G1360" s="293"/>
      <c r="H1360" s="293"/>
    </row>
    <row r="1361" spans="1:8" s="3" customFormat="1" ht="15" customHeight="1">
      <c r="A1361" s="289"/>
      <c r="B1361" s="311" t="s">
        <v>68</v>
      </c>
      <c r="C1361" s="312" t="s">
        <v>5063</v>
      </c>
      <c r="D1361" s="293"/>
      <c r="E1361" s="293"/>
      <c r="F1361" s="293"/>
      <c r="G1361" s="293"/>
      <c r="H1361" s="293"/>
    </row>
    <row r="1362" spans="1:8" s="3" customFormat="1" ht="15" customHeight="1">
      <c r="A1362" s="289"/>
      <c r="B1362" s="311" t="s">
        <v>68</v>
      </c>
      <c r="C1362" s="312" t="s">
        <v>5067</v>
      </c>
      <c r="D1362" s="293"/>
      <c r="E1362" s="293"/>
      <c r="F1362" s="293"/>
      <c r="G1362" s="293"/>
      <c r="H1362" s="293"/>
    </row>
    <row r="1363" spans="1:8" s="3" customFormat="1" ht="15" customHeight="1">
      <c r="A1363" s="289"/>
      <c r="B1363" s="311" t="s">
        <v>68</v>
      </c>
      <c r="C1363" s="312" t="s">
        <v>5068</v>
      </c>
      <c r="D1363" s="293"/>
      <c r="E1363" s="293"/>
      <c r="F1363" s="293"/>
      <c r="G1363" s="293"/>
      <c r="H1363" s="293"/>
    </row>
    <row r="1364" spans="1:8" s="3" customFormat="1" ht="15" customHeight="1">
      <c r="A1364" s="289"/>
      <c r="B1364" s="311" t="s">
        <v>68</v>
      </c>
      <c r="C1364" s="312" t="s">
        <v>5064</v>
      </c>
      <c r="D1364" s="293"/>
      <c r="E1364" s="293"/>
      <c r="F1364" s="293"/>
      <c r="G1364" s="293"/>
      <c r="H1364" s="293"/>
    </row>
    <row r="1365" spans="1:8" s="3" customFormat="1" ht="15" customHeight="1">
      <c r="A1365" s="289"/>
      <c r="B1365" s="311" t="s">
        <v>68</v>
      </c>
      <c r="C1365" s="312" t="s">
        <v>485</v>
      </c>
      <c r="D1365" s="292"/>
      <c r="E1365" s="293"/>
      <c r="F1365" s="293"/>
      <c r="G1365" s="293"/>
      <c r="H1365" s="293"/>
    </row>
    <row r="1366" spans="1:8" s="3" customFormat="1" ht="15" customHeight="1">
      <c r="A1366" s="289"/>
      <c r="B1366" s="311"/>
      <c r="C1366" s="324"/>
      <c r="D1366" s="292"/>
      <c r="E1366" s="293"/>
      <c r="F1366" s="293"/>
      <c r="G1366" s="293"/>
      <c r="H1366" s="293"/>
    </row>
    <row r="1367" spans="1:8" s="3" customFormat="1" ht="15" customHeight="1">
      <c r="A1367" s="289"/>
      <c r="B1367" s="310" t="s">
        <v>323</v>
      </c>
      <c r="C1367" s="291"/>
      <c r="D1367" s="293"/>
      <c r="E1367" s="293"/>
      <c r="F1367" s="293"/>
      <c r="G1367" s="293"/>
      <c r="H1367" s="293"/>
    </row>
    <row r="1368" spans="1:8" s="3" customFormat="1" ht="15" customHeight="1">
      <c r="A1368" s="289"/>
      <c r="B1368" s="294" t="s">
        <v>1276</v>
      </c>
      <c r="C1368" s="291"/>
      <c r="D1368" s="293"/>
      <c r="E1368" s="293"/>
      <c r="F1368" s="293"/>
      <c r="G1368" s="293"/>
      <c r="H1368" s="293"/>
    </row>
    <row r="1369" spans="1:8" s="3" customFormat="1" ht="15" customHeight="1">
      <c r="A1369" s="294" t="s">
        <v>1277</v>
      </c>
      <c r="B1369" s="294"/>
      <c r="C1369" s="291"/>
      <c r="D1369" s="293"/>
      <c r="E1369" s="293"/>
      <c r="F1369" s="293"/>
      <c r="G1369" s="293"/>
      <c r="H1369" s="293"/>
    </row>
    <row r="1370" spans="1:8" s="3" customFormat="1" ht="15" customHeight="1">
      <c r="A1370" s="294" t="s">
        <v>370</v>
      </c>
      <c r="B1370" s="305"/>
      <c r="C1370" s="291"/>
      <c r="D1370" s="293"/>
      <c r="E1370" s="293"/>
      <c r="F1370" s="293"/>
      <c r="G1370" s="293"/>
      <c r="H1370" s="293"/>
    </row>
    <row r="1371" spans="1:8" s="3" customFormat="1" ht="15" customHeight="1">
      <c r="A1371" s="289"/>
      <c r="B1371" s="294" t="s">
        <v>540</v>
      </c>
      <c r="C1371" s="291"/>
      <c r="D1371" s="293"/>
      <c r="E1371" s="293"/>
      <c r="F1371" s="293"/>
      <c r="G1371" s="293"/>
      <c r="H1371" s="293"/>
    </row>
    <row r="1372" spans="1:8" s="3" customFormat="1" ht="15" customHeight="1">
      <c r="A1372" s="289" t="s">
        <v>541</v>
      </c>
      <c r="B1372" s="294"/>
      <c r="C1372" s="291"/>
      <c r="D1372" s="293"/>
      <c r="E1372" s="293"/>
      <c r="F1372" s="293"/>
      <c r="G1372" s="293"/>
      <c r="H1372" s="293"/>
    </row>
    <row r="1373" spans="1:8" s="3" customFormat="1" ht="15" customHeight="1">
      <c r="A1373" s="289" t="s">
        <v>542</v>
      </c>
      <c r="B1373" s="294"/>
      <c r="C1373" s="291"/>
      <c r="D1373" s="293"/>
      <c r="E1373" s="293"/>
      <c r="F1373" s="293"/>
      <c r="G1373" s="293"/>
      <c r="H1373" s="293"/>
    </row>
    <row r="1374" spans="1:8" s="3" customFormat="1" ht="15" customHeight="1">
      <c r="A1374" s="289" t="s">
        <v>1511</v>
      </c>
      <c r="B1374" s="294"/>
      <c r="C1374" s="291"/>
      <c r="D1374" s="293"/>
      <c r="E1374" s="293"/>
      <c r="F1374" s="293"/>
      <c r="G1374" s="293"/>
      <c r="H1374" s="293"/>
    </row>
    <row r="1375" spans="1:8" s="3" customFormat="1" ht="15" customHeight="1">
      <c r="A1375" s="289"/>
      <c r="B1375" s="294" t="s">
        <v>543</v>
      </c>
      <c r="C1375" s="291"/>
      <c r="D1375" s="293"/>
      <c r="E1375" s="293"/>
      <c r="F1375" s="293"/>
      <c r="G1375" s="293"/>
      <c r="H1375" s="293"/>
    </row>
    <row r="1376" spans="1:8" s="3" customFormat="1" ht="15" customHeight="1">
      <c r="A1376" s="289"/>
      <c r="B1376" s="294" t="s">
        <v>1502</v>
      </c>
      <c r="C1376" s="291"/>
      <c r="D1376" s="293"/>
      <c r="E1376" s="293"/>
      <c r="F1376" s="293"/>
      <c r="G1376" s="293"/>
      <c r="H1376" s="293"/>
    </row>
    <row r="1377" spans="1:8" s="3" customFormat="1" ht="15" customHeight="1">
      <c r="A1377" s="289" t="s">
        <v>1512</v>
      </c>
      <c r="B1377" s="294"/>
      <c r="C1377" s="291"/>
      <c r="D1377" s="293"/>
      <c r="E1377" s="293"/>
      <c r="F1377" s="293"/>
      <c r="G1377" s="293"/>
      <c r="H1377" s="293"/>
    </row>
    <row r="1378" spans="1:8" s="3" customFormat="1" ht="15" customHeight="1">
      <c r="A1378" s="289"/>
      <c r="B1378" s="294" t="s">
        <v>1513</v>
      </c>
      <c r="C1378" s="291"/>
      <c r="D1378" s="293"/>
      <c r="E1378" s="293"/>
      <c r="F1378" s="293"/>
      <c r="G1378" s="293"/>
      <c r="H1378" s="293"/>
    </row>
    <row r="1379" spans="1:8" s="3" customFormat="1" ht="15" customHeight="1">
      <c r="A1379" s="289" t="s">
        <v>544</v>
      </c>
      <c r="B1379" s="294"/>
      <c r="C1379" s="291"/>
      <c r="D1379" s="293"/>
      <c r="E1379" s="293"/>
      <c r="F1379" s="293"/>
      <c r="G1379" s="293"/>
      <c r="H1379" s="293"/>
    </row>
    <row r="1380" spans="1:8" s="3" customFormat="1" ht="15" customHeight="1">
      <c r="A1380" s="289"/>
      <c r="B1380" s="294"/>
      <c r="C1380" s="291"/>
      <c r="D1380" s="293"/>
      <c r="E1380" s="293"/>
      <c r="F1380" s="293"/>
      <c r="G1380" s="293"/>
      <c r="H1380" s="293"/>
    </row>
    <row r="1381" spans="1:8" s="3" customFormat="1" ht="15" customHeight="1">
      <c r="A1381" s="289"/>
      <c r="B1381" s="310" t="s">
        <v>116</v>
      </c>
      <c r="C1381" s="291"/>
      <c r="D1381" s="293"/>
      <c r="E1381" s="293"/>
      <c r="F1381" s="293"/>
      <c r="G1381" s="293"/>
      <c r="H1381" s="293"/>
    </row>
    <row r="1382" spans="1:8" s="3" customFormat="1" ht="15" customHeight="1">
      <c r="A1382" s="289"/>
      <c r="B1382" s="294" t="s">
        <v>597</v>
      </c>
      <c r="C1382" s="291"/>
      <c r="D1382" s="293"/>
      <c r="E1382" s="293"/>
      <c r="F1382" s="293"/>
      <c r="G1382" s="293"/>
      <c r="H1382" s="293"/>
    </row>
    <row r="1383" spans="1:8" s="3" customFormat="1" ht="15" customHeight="1">
      <c r="A1383" s="289" t="s">
        <v>598</v>
      </c>
      <c r="B1383" s="294"/>
      <c r="C1383" s="291"/>
      <c r="D1383" s="293"/>
      <c r="E1383" s="293"/>
      <c r="F1383" s="293"/>
      <c r="G1383" s="293"/>
      <c r="H1383" s="293"/>
    </row>
    <row r="1384" spans="1:8" s="3" customFormat="1" ht="15" customHeight="1">
      <c r="A1384" s="303"/>
      <c r="B1384" s="303"/>
      <c r="C1384" s="303"/>
      <c r="D1384" s="303"/>
      <c r="E1384" s="303"/>
      <c r="F1384" s="303"/>
      <c r="G1384" s="303"/>
      <c r="H1384" s="303"/>
    </row>
    <row r="1385" spans="1:8" s="3" customFormat="1" ht="15" customHeight="1">
      <c r="A1385" s="303"/>
      <c r="B1385" s="303"/>
      <c r="C1385" s="303"/>
      <c r="D1385" s="303"/>
      <c r="E1385" s="303"/>
      <c r="F1385" s="303"/>
      <c r="G1385" s="303"/>
      <c r="H1385" s="303"/>
    </row>
    <row r="1386" spans="1:8" s="3" customFormat="1" ht="15" customHeight="1">
      <c r="A1386" s="309" t="s">
        <v>599</v>
      </c>
      <c r="B1386" s="294"/>
      <c r="C1386" s="291"/>
      <c r="D1386" s="293"/>
      <c r="E1386" s="293"/>
      <c r="F1386" s="293"/>
      <c r="G1386" s="293"/>
      <c r="H1386" s="293"/>
    </row>
    <row r="1387" spans="1:8" s="3" customFormat="1" ht="15" customHeight="1">
      <c r="A1387" s="289"/>
      <c r="B1387" s="294"/>
      <c r="C1387" s="291"/>
      <c r="D1387" s="293"/>
      <c r="E1387" s="293"/>
      <c r="F1387" s="293"/>
      <c r="G1387" s="293"/>
      <c r="H1387" s="293"/>
    </row>
    <row r="1388" spans="1:8" s="3" customFormat="1" ht="15" customHeight="1">
      <c r="A1388" s="289"/>
      <c r="B1388" s="342" t="s">
        <v>81</v>
      </c>
      <c r="C1388" s="291"/>
      <c r="D1388" s="293"/>
      <c r="E1388" s="293"/>
      <c r="F1388" s="293"/>
      <c r="G1388" s="293"/>
      <c r="H1388" s="293"/>
    </row>
    <row r="1389" spans="1:8" s="3" customFormat="1" ht="15" customHeight="1">
      <c r="A1389" s="289"/>
      <c r="B1389" s="294" t="s">
        <v>600</v>
      </c>
      <c r="C1389" s="291"/>
      <c r="D1389" s="293"/>
      <c r="E1389" s="293"/>
      <c r="F1389" s="293"/>
      <c r="G1389" s="293"/>
      <c r="H1389" s="293"/>
    </row>
    <row r="1390" spans="1:8" s="3" customFormat="1" ht="15" customHeight="1">
      <c r="A1390" s="289" t="s">
        <v>484</v>
      </c>
      <c r="B1390" s="294"/>
      <c r="C1390" s="291"/>
      <c r="D1390" s="293"/>
      <c r="E1390" s="293"/>
      <c r="F1390" s="293"/>
      <c r="G1390" s="293"/>
      <c r="H1390" s="293"/>
    </row>
    <row r="1391" spans="1:8" s="3" customFormat="1" ht="15" customHeight="1">
      <c r="A1391" s="289"/>
      <c r="B1391" s="311" t="s">
        <v>68</v>
      </c>
      <c r="C1391" s="312" t="s">
        <v>5063</v>
      </c>
      <c r="D1391" s="293"/>
      <c r="E1391" s="293"/>
      <c r="F1391" s="293"/>
      <c r="G1391" s="293"/>
      <c r="H1391" s="293"/>
    </row>
    <row r="1392" spans="1:8" s="3" customFormat="1" ht="15" customHeight="1">
      <c r="A1392" s="289"/>
      <c r="B1392" s="311" t="s">
        <v>68</v>
      </c>
      <c r="C1392" s="312" t="s">
        <v>5067</v>
      </c>
      <c r="D1392" s="293"/>
      <c r="E1392" s="293"/>
      <c r="F1392" s="293"/>
      <c r="G1392" s="293"/>
      <c r="H1392" s="293"/>
    </row>
    <row r="1393" spans="1:8" s="3" customFormat="1" ht="15" customHeight="1">
      <c r="A1393" s="289"/>
      <c r="B1393" s="311" t="s">
        <v>68</v>
      </c>
      <c r="C1393" s="312" t="s">
        <v>5068</v>
      </c>
      <c r="D1393" s="293"/>
      <c r="E1393" s="293"/>
      <c r="F1393" s="293"/>
      <c r="G1393" s="293"/>
      <c r="H1393" s="293"/>
    </row>
    <row r="1394" spans="1:8" s="3" customFormat="1" ht="15" customHeight="1">
      <c r="A1394" s="289"/>
      <c r="B1394" s="311" t="s">
        <v>68</v>
      </c>
      <c r="C1394" s="312" t="s">
        <v>5064</v>
      </c>
      <c r="D1394" s="293"/>
      <c r="E1394" s="293"/>
      <c r="F1394" s="293"/>
      <c r="G1394" s="293"/>
      <c r="H1394" s="293"/>
    </row>
    <row r="1395" spans="1:8" s="3" customFormat="1" ht="15" customHeight="1">
      <c r="A1395" s="289"/>
      <c r="B1395" s="311" t="s">
        <v>68</v>
      </c>
      <c r="C1395" s="312" t="s">
        <v>485</v>
      </c>
      <c r="D1395" s="299"/>
      <c r="E1395" s="293"/>
      <c r="F1395" s="293"/>
      <c r="G1395" s="293"/>
      <c r="H1395" s="293"/>
    </row>
    <row r="1396" spans="1:8" s="3" customFormat="1" ht="15" customHeight="1">
      <c r="A1396" s="289"/>
      <c r="B1396" s="311"/>
      <c r="C1396" s="312"/>
      <c r="D1396" s="293"/>
      <c r="E1396" s="293"/>
      <c r="F1396" s="293"/>
      <c r="G1396" s="293"/>
      <c r="H1396" s="293"/>
    </row>
    <row r="1397" spans="1:8" s="3" customFormat="1" ht="15" customHeight="1">
      <c r="A1397" s="289"/>
      <c r="B1397" s="342" t="s">
        <v>323</v>
      </c>
      <c r="C1397" s="291"/>
      <c r="D1397" s="293"/>
      <c r="E1397" s="293"/>
      <c r="F1397" s="293"/>
      <c r="G1397" s="293"/>
      <c r="H1397" s="293"/>
    </row>
    <row r="1398" spans="1:8" s="3" customFormat="1" ht="15" customHeight="1">
      <c r="A1398" s="289"/>
      <c r="B1398" s="294" t="s">
        <v>1276</v>
      </c>
      <c r="C1398" s="291"/>
      <c r="D1398" s="293"/>
      <c r="E1398" s="293"/>
      <c r="F1398" s="293"/>
      <c r="G1398" s="293"/>
      <c r="H1398" s="293"/>
    </row>
    <row r="1399" spans="1:8" s="3" customFormat="1" ht="15" customHeight="1">
      <c r="A1399" s="294" t="s">
        <v>1277</v>
      </c>
      <c r="B1399" s="294"/>
      <c r="C1399" s="291"/>
      <c r="D1399" s="293"/>
      <c r="E1399" s="293"/>
      <c r="F1399" s="293"/>
      <c r="G1399" s="293"/>
      <c r="H1399" s="293"/>
    </row>
    <row r="1400" spans="1:8" s="3" customFormat="1" ht="15" customHeight="1">
      <c r="A1400" s="294" t="s">
        <v>370</v>
      </c>
      <c r="B1400" s="343"/>
      <c r="C1400" s="291"/>
      <c r="D1400" s="293"/>
      <c r="E1400" s="293"/>
      <c r="F1400" s="293"/>
      <c r="G1400" s="293"/>
      <c r="H1400" s="293"/>
    </row>
    <row r="1401" spans="1:8" s="3" customFormat="1" ht="15" customHeight="1">
      <c r="A1401" s="294"/>
      <c r="B1401" s="294"/>
      <c r="C1401" s="291"/>
      <c r="D1401" s="293"/>
      <c r="E1401" s="293"/>
      <c r="F1401" s="293"/>
      <c r="G1401" s="293"/>
      <c r="H1401" s="293"/>
    </row>
    <row r="1402" spans="1:8" s="3" customFormat="1" ht="15" customHeight="1">
      <c r="A1402" s="289"/>
      <c r="B1402" s="342" t="s">
        <v>1514</v>
      </c>
      <c r="C1402" s="291"/>
      <c r="D1402" s="293"/>
      <c r="E1402" s="293"/>
      <c r="F1402" s="293"/>
      <c r="G1402" s="293"/>
      <c r="H1402" s="293"/>
    </row>
    <row r="1403" spans="1:8" s="3" customFormat="1" ht="15" customHeight="1">
      <c r="A1403" s="289"/>
      <c r="B1403" s="294" t="s">
        <v>1515</v>
      </c>
      <c r="C1403" s="291"/>
      <c r="D1403" s="293"/>
      <c r="E1403" s="293"/>
      <c r="F1403" s="293"/>
      <c r="G1403" s="293"/>
      <c r="H1403" s="293"/>
    </row>
    <row r="1404" spans="1:8" s="3" customFormat="1" ht="15" customHeight="1">
      <c r="A1404" s="289" t="s">
        <v>1516</v>
      </c>
      <c r="B1404" s="294"/>
      <c r="C1404" s="291"/>
      <c r="D1404" s="293"/>
      <c r="E1404" s="293"/>
      <c r="F1404" s="293"/>
      <c r="G1404" s="293"/>
      <c r="H1404" s="293"/>
    </row>
    <row r="1405" spans="1:8" s="3" customFormat="1" ht="15" customHeight="1">
      <c r="A1405" s="289" t="s">
        <v>1517</v>
      </c>
      <c r="B1405" s="294"/>
      <c r="C1405" s="291"/>
      <c r="D1405" s="293"/>
      <c r="E1405" s="293"/>
      <c r="F1405" s="293"/>
      <c r="G1405" s="293"/>
      <c r="H1405" s="293"/>
    </row>
    <row r="1406" spans="1:8" s="3" customFormat="1" ht="15" customHeight="1">
      <c r="A1406" s="289" t="s">
        <v>1518</v>
      </c>
      <c r="B1406" s="294"/>
      <c r="C1406" s="291"/>
      <c r="D1406" s="293"/>
      <c r="E1406" s="293"/>
      <c r="F1406" s="293"/>
      <c r="G1406" s="293"/>
      <c r="H1406" s="293"/>
    </row>
    <row r="1407" spans="1:8" s="3" customFormat="1" ht="15" customHeight="1">
      <c r="A1407" s="289"/>
      <c r="B1407" s="294" t="s">
        <v>1519</v>
      </c>
      <c r="C1407" s="291"/>
      <c r="D1407" s="293"/>
      <c r="E1407" s="293"/>
      <c r="F1407" s="293"/>
      <c r="G1407" s="293"/>
      <c r="H1407" s="293"/>
    </row>
    <row r="1408" spans="1:8" s="3" customFormat="1" ht="15" customHeight="1">
      <c r="A1408" s="289" t="s">
        <v>1520</v>
      </c>
      <c r="B1408" s="294"/>
      <c r="C1408" s="291"/>
      <c r="D1408" s="293"/>
      <c r="E1408" s="293"/>
      <c r="F1408" s="293"/>
      <c r="G1408" s="293"/>
      <c r="H1408" s="293"/>
    </row>
    <row r="1409" spans="1:8" s="3" customFormat="1" ht="15" customHeight="1">
      <c r="A1409" s="289"/>
      <c r="B1409" s="294" t="s">
        <v>1521</v>
      </c>
      <c r="C1409" s="291"/>
      <c r="D1409" s="293"/>
      <c r="E1409" s="293"/>
      <c r="F1409" s="293"/>
      <c r="G1409" s="293"/>
      <c r="H1409" s="293"/>
    </row>
    <row r="1410" spans="1:8" s="3" customFormat="1" ht="15" customHeight="1">
      <c r="A1410" s="289"/>
      <c r="B1410" s="294" t="s">
        <v>1522</v>
      </c>
      <c r="C1410" s="291"/>
      <c r="D1410" s="293"/>
      <c r="E1410" s="293"/>
      <c r="F1410" s="293"/>
      <c r="G1410" s="293"/>
      <c r="H1410" s="293"/>
    </row>
    <row r="1411" spans="1:8" s="3" customFormat="1" ht="15" customHeight="1">
      <c r="A1411" s="289" t="s">
        <v>1523</v>
      </c>
      <c r="B1411" s="294"/>
      <c r="C1411" s="291"/>
      <c r="D1411" s="293"/>
      <c r="E1411" s="293"/>
      <c r="F1411" s="293"/>
      <c r="G1411" s="293"/>
      <c r="H1411" s="293"/>
    </row>
    <row r="1412" spans="1:8" s="3" customFormat="1" ht="15" customHeight="1">
      <c r="A1412" s="289"/>
      <c r="B1412" s="294" t="s">
        <v>1524</v>
      </c>
      <c r="C1412" s="291"/>
      <c r="D1412" s="293"/>
      <c r="E1412" s="293"/>
      <c r="F1412" s="293"/>
      <c r="G1412" s="293"/>
      <c r="H1412" s="293"/>
    </row>
    <row r="1413" spans="1:8" s="3" customFormat="1" ht="15" customHeight="1">
      <c r="A1413" s="289" t="s">
        <v>1525</v>
      </c>
      <c r="B1413" s="294"/>
      <c r="C1413" s="291"/>
      <c r="D1413" s="293"/>
      <c r="E1413" s="293"/>
      <c r="F1413" s="293"/>
      <c r="G1413" s="293"/>
      <c r="H1413" s="293"/>
    </row>
    <row r="1414" spans="1:8" s="3" customFormat="1" ht="15" customHeight="1">
      <c r="A1414" s="289"/>
      <c r="B1414" s="294" t="s">
        <v>1526</v>
      </c>
      <c r="C1414" s="291"/>
      <c r="D1414" s="293"/>
      <c r="E1414" s="293"/>
      <c r="F1414" s="293"/>
      <c r="G1414" s="293"/>
      <c r="H1414" s="293"/>
    </row>
    <row r="1415" spans="1:8" s="3" customFormat="1" ht="15" customHeight="1">
      <c r="A1415" s="289" t="s">
        <v>1527</v>
      </c>
      <c r="B1415" s="294"/>
      <c r="C1415" s="291"/>
      <c r="D1415" s="293"/>
      <c r="E1415" s="293"/>
      <c r="F1415" s="293"/>
      <c r="G1415" s="293"/>
      <c r="H1415" s="293"/>
    </row>
    <row r="1416" spans="1:8" s="3" customFormat="1" ht="15" customHeight="1">
      <c r="A1416" s="289"/>
      <c r="B1416" s="294"/>
      <c r="C1416" s="291"/>
      <c r="D1416" s="293"/>
      <c r="E1416" s="293"/>
      <c r="F1416" s="293"/>
      <c r="G1416" s="293"/>
      <c r="H1416" s="293"/>
    </row>
    <row r="1417" spans="1:8" s="3" customFormat="1" ht="15" customHeight="1">
      <c r="A1417" s="289"/>
      <c r="B1417" s="342" t="s">
        <v>1528</v>
      </c>
      <c r="C1417" s="291"/>
      <c r="D1417" s="293"/>
      <c r="E1417" s="293"/>
      <c r="F1417" s="293"/>
      <c r="G1417" s="293"/>
      <c r="H1417" s="293"/>
    </row>
    <row r="1418" spans="1:8" s="3" customFormat="1" ht="15" customHeight="1">
      <c r="A1418" s="344"/>
      <c r="B1418" s="345" t="s">
        <v>1529</v>
      </c>
      <c r="C1418" s="346"/>
      <c r="D1418" s="347"/>
      <c r="E1418" s="347"/>
      <c r="F1418" s="347"/>
      <c r="G1418" s="347"/>
      <c r="H1418" s="347"/>
    </row>
    <row r="1419" spans="1:8" s="3" customFormat="1" ht="15" customHeight="1">
      <c r="A1419" s="344"/>
      <c r="B1419" s="345" t="s">
        <v>1530</v>
      </c>
      <c r="C1419" s="346"/>
      <c r="D1419" s="347"/>
      <c r="E1419" s="347"/>
      <c r="F1419" s="347"/>
      <c r="G1419" s="347"/>
      <c r="H1419" s="347"/>
    </row>
    <row r="1420" spans="1:8" s="3" customFormat="1" ht="15" customHeight="1">
      <c r="A1420" s="344" t="s">
        <v>1531</v>
      </c>
      <c r="B1420" s="325"/>
      <c r="C1420" s="346"/>
      <c r="D1420" s="347"/>
      <c r="E1420" s="347"/>
      <c r="F1420" s="347"/>
      <c r="G1420" s="347"/>
      <c r="H1420" s="347"/>
    </row>
    <row r="1421" spans="1:8" s="3" customFormat="1" ht="15" customHeight="1">
      <c r="A1421" s="344" t="s">
        <v>1532</v>
      </c>
      <c r="B1421" s="325"/>
      <c r="C1421" s="346"/>
      <c r="D1421" s="347"/>
      <c r="E1421" s="347"/>
      <c r="F1421" s="347"/>
      <c r="G1421" s="347"/>
      <c r="H1421" s="347"/>
    </row>
    <row r="1422" spans="1:8" s="3" customFormat="1" ht="15" customHeight="1">
      <c r="A1422" s="344"/>
      <c r="B1422" s="325" t="s">
        <v>1533</v>
      </c>
      <c r="C1422" s="346"/>
      <c r="D1422" s="347"/>
      <c r="E1422" s="347"/>
      <c r="F1422" s="347"/>
      <c r="G1422" s="347"/>
      <c r="H1422" s="347"/>
    </row>
    <row r="1423" spans="1:8" s="3" customFormat="1" ht="15" customHeight="1">
      <c r="A1423" s="344" t="s">
        <v>1534</v>
      </c>
      <c r="B1423" s="325"/>
      <c r="C1423" s="346"/>
      <c r="D1423" s="347"/>
      <c r="E1423" s="347"/>
      <c r="F1423" s="347"/>
      <c r="G1423" s="347"/>
      <c r="H1423" s="347"/>
    </row>
    <row r="1424" spans="1:8" s="3" customFormat="1" ht="15" customHeight="1">
      <c r="A1424" s="344" t="s">
        <v>1535</v>
      </c>
      <c r="B1424" s="325"/>
      <c r="C1424" s="346"/>
      <c r="D1424" s="347"/>
      <c r="E1424" s="347"/>
      <c r="F1424" s="347"/>
      <c r="G1424" s="347"/>
      <c r="H1424" s="347"/>
    </row>
    <row r="1425" spans="1:8" s="3" customFormat="1" ht="15" customHeight="1">
      <c r="A1425" s="344"/>
      <c r="B1425" s="325"/>
      <c r="C1425" s="346"/>
      <c r="D1425" s="347"/>
      <c r="E1425" s="347"/>
      <c r="F1425" s="347"/>
      <c r="G1425" s="347"/>
      <c r="H1425" s="347"/>
    </row>
    <row r="1426" spans="1:8" s="3" customFormat="1" ht="15" customHeight="1">
      <c r="A1426" s="344"/>
      <c r="B1426" s="342" t="s">
        <v>1536</v>
      </c>
      <c r="C1426" s="346"/>
      <c r="D1426" s="347"/>
      <c r="E1426" s="347"/>
      <c r="F1426" s="347"/>
      <c r="G1426" s="347"/>
      <c r="H1426" s="347"/>
    </row>
    <row r="1427" spans="1:8" s="3" customFormat="1" ht="15" customHeight="1">
      <c r="A1427" s="344"/>
      <c r="B1427" s="345" t="s">
        <v>1537</v>
      </c>
      <c r="C1427" s="346"/>
      <c r="D1427" s="347"/>
      <c r="E1427" s="347"/>
      <c r="F1427" s="347"/>
      <c r="G1427" s="347"/>
      <c r="H1427" s="347"/>
    </row>
    <row r="1428" spans="1:8" s="3" customFormat="1" ht="15" customHeight="1">
      <c r="A1428" s="344"/>
      <c r="B1428" s="345" t="s">
        <v>1538</v>
      </c>
      <c r="C1428" s="346"/>
      <c r="D1428" s="347"/>
      <c r="E1428" s="347"/>
      <c r="F1428" s="347"/>
      <c r="G1428" s="347"/>
      <c r="H1428" s="347"/>
    </row>
    <row r="1429" spans="1:8" s="3" customFormat="1" ht="15" customHeight="1">
      <c r="A1429" s="345" t="s">
        <v>1539</v>
      </c>
      <c r="B1429" s="325"/>
      <c r="C1429" s="346"/>
      <c r="D1429" s="347"/>
      <c r="E1429" s="347"/>
      <c r="F1429" s="347"/>
      <c r="G1429" s="347"/>
      <c r="H1429" s="347"/>
    </row>
    <row r="1430" spans="1:8" s="3" customFormat="1" ht="15" customHeight="1">
      <c r="A1430" s="345" t="s">
        <v>1540</v>
      </c>
      <c r="B1430" s="325"/>
      <c r="C1430" s="346"/>
      <c r="D1430" s="347"/>
      <c r="E1430" s="347"/>
      <c r="F1430" s="347"/>
      <c r="G1430" s="347"/>
      <c r="H1430" s="347"/>
    </row>
    <row r="1431" spans="1:8" s="3" customFormat="1" ht="15" customHeight="1">
      <c r="A1431" s="344"/>
      <c r="B1431" s="345" t="s">
        <v>1541</v>
      </c>
      <c r="C1431" s="346"/>
      <c r="D1431" s="347"/>
      <c r="E1431" s="347"/>
      <c r="F1431" s="347"/>
      <c r="G1431" s="347"/>
      <c r="H1431" s="347"/>
    </row>
    <row r="1432" spans="1:8" s="3" customFormat="1" ht="15" customHeight="1">
      <c r="A1432" s="345" t="s">
        <v>1542</v>
      </c>
      <c r="B1432" s="325"/>
      <c r="C1432" s="346"/>
      <c r="D1432" s="347"/>
      <c r="E1432" s="347"/>
      <c r="F1432" s="347"/>
      <c r="G1432" s="347"/>
      <c r="H1432" s="347"/>
    </row>
    <row r="1433" spans="1:8" s="3" customFormat="1" ht="15" customHeight="1">
      <c r="A1433" s="345" t="s">
        <v>1543</v>
      </c>
      <c r="B1433" s="325"/>
      <c r="C1433" s="346"/>
      <c r="D1433" s="347"/>
      <c r="E1433" s="347"/>
      <c r="F1433" s="347"/>
      <c r="G1433" s="347"/>
      <c r="H1433" s="347"/>
    </row>
    <row r="1434" spans="1:8" s="3" customFormat="1" ht="15" customHeight="1">
      <c r="A1434" s="345" t="s">
        <v>1544</v>
      </c>
      <c r="B1434" s="325"/>
      <c r="C1434" s="346"/>
      <c r="D1434" s="347"/>
      <c r="E1434" s="347"/>
      <c r="F1434" s="347"/>
      <c r="G1434" s="347"/>
      <c r="H1434" s="347"/>
    </row>
    <row r="1435" spans="1:8" s="3" customFormat="1" ht="15" customHeight="1">
      <c r="A1435" s="344"/>
      <c r="B1435" s="325"/>
      <c r="C1435" s="346"/>
      <c r="D1435" s="347"/>
      <c r="E1435" s="347"/>
      <c r="F1435" s="347"/>
      <c r="G1435" s="347"/>
      <c r="H1435" s="347"/>
    </row>
    <row r="1436" spans="1:8" s="3" customFormat="1" ht="15" customHeight="1">
      <c r="A1436" s="344"/>
      <c r="B1436" s="342" t="s">
        <v>1545</v>
      </c>
      <c r="C1436" s="346"/>
      <c r="D1436" s="347"/>
      <c r="E1436" s="347"/>
      <c r="F1436" s="347"/>
      <c r="G1436" s="347"/>
      <c r="H1436" s="347"/>
    </row>
    <row r="1437" spans="1:8" s="3" customFormat="1" ht="15" customHeight="1">
      <c r="A1437" s="344"/>
      <c r="B1437" s="325" t="s">
        <v>1546</v>
      </c>
      <c r="C1437" s="346"/>
      <c r="D1437" s="347"/>
      <c r="E1437" s="347"/>
      <c r="F1437" s="347"/>
      <c r="G1437" s="347"/>
      <c r="H1437" s="347"/>
    </row>
    <row r="1438" spans="1:8" s="3" customFormat="1" ht="15" customHeight="1">
      <c r="A1438" s="344" t="s">
        <v>1547</v>
      </c>
      <c r="B1438" s="325"/>
      <c r="C1438" s="346"/>
      <c r="D1438" s="347"/>
      <c r="E1438" s="347"/>
      <c r="F1438" s="347"/>
      <c r="G1438" s="347"/>
      <c r="H1438" s="347"/>
    </row>
    <row r="1439" spans="1:8" s="3" customFormat="1" ht="15" customHeight="1">
      <c r="A1439" s="344"/>
      <c r="B1439" s="325" t="s">
        <v>1548</v>
      </c>
      <c r="C1439" s="346"/>
      <c r="D1439" s="347"/>
      <c r="E1439" s="347"/>
      <c r="F1439" s="347"/>
      <c r="G1439" s="347"/>
      <c r="H1439" s="347"/>
    </row>
    <row r="1440" spans="1:8" s="3" customFormat="1" ht="15" customHeight="1">
      <c r="A1440" s="344"/>
      <c r="B1440" s="325" t="s">
        <v>1549</v>
      </c>
      <c r="C1440" s="346"/>
      <c r="D1440" s="347"/>
      <c r="E1440" s="347"/>
      <c r="F1440" s="347"/>
      <c r="G1440" s="347"/>
      <c r="H1440" s="347"/>
    </row>
    <row r="1441" spans="1:8" s="3" customFormat="1" ht="15" customHeight="1">
      <c r="A1441" s="344"/>
      <c r="B1441" s="325" t="s">
        <v>1550</v>
      </c>
      <c r="C1441" s="346"/>
      <c r="D1441" s="347"/>
      <c r="E1441" s="347"/>
      <c r="F1441" s="347"/>
      <c r="G1441" s="347"/>
      <c r="H1441" s="347"/>
    </row>
    <row r="1442" spans="1:8" s="3" customFormat="1" ht="15" customHeight="1">
      <c r="A1442" s="344" t="s">
        <v>1551</v>
      </c>
      <c r="B1442" s="325"/>
      <c r="C1442" s="346"/>
      <c r="D1442" s="347"/>
      <c r="E1442" s="347"/>
      <c r="F1442" s="347"/>
      <c r="G1442" s="347"/>
      <c r="H1442" s="347"/>
    </row>
    <row r="1443" spans="1:8" s="3" customFormat="1" ht="15" customHeight="1">
      <c r="A1443" s="344"/>
      <c r="B1443" s="325"/>
      <c r="C1443" s="346"/>
      <c r="D1443" s="347"/>
      <c r="E1443" s="347"/>
      <c r="F1443" s="347"/>
      <c r="G1443" s="347"/>
      <c r="H1443" s="347"/>
    </row>
    <row r="1444" spans="1:8" s="3" customFormat="1" ht="15" customHeight="1">
      <c r="A1444" s="344"/>
      <c r="B1444" s="342" t="s">
        <v>1552</v>
      </c>
      <c r="C1444" s="346"/>
      <c r="D1444" s="347"/>
      <c r="E1444" s="347"/>
      <c r="F1444" s="347"/>
      <c r="G1444" s="347"/>
      <c r="H1444" s="347"/>
    </row>
    <row r="1445" spans="1:8" s="3" customFormat="1" ht="15" customHeight="1">
      <c r="A1445" s="344"/>
      <c r="B1445" s="325" t="s">
        <v>1553</v>
      </c>
      <c r="C1445" s="346"/>
      <c r="D1445" s="347"/>
      <c r="E1445" s="347"/>
      <c r="F1445" s="347"/>
      <c r="G1445" s="347"/>
      <c r="H1445" s="347"/>
    </row>
    <row r="1446" spans="1:8" s="3" customFormat="1" ht="15" customHeight="1">
      <c r="A1446" s="344" t="s">
        <v>1554</v>
      </c>
      <c r="B1446" s="325"/>
      <c r="C1446" s="346"/>
      <c r="D1446" s="347"/>
      <c r="E1446" s="347"/>
      <c r="F1446" s="347"/>
      <c r="G1446" s="347"/>
      <c r="H1446" s="347"/>
    </row>
    <row r="1447" spans="1:8" s="3" customFormat="1" ht="15" customHeight="1">
      <c r="A1447" s="344"/>
      <c r="B1447" s="325" t="s">
        <v>1555</v>
      </c>
      <c r="C1447" s="346"/>
      <c r="D1447" s="347"/>
      <c r="E1447" s="347"/>
      <c r="F1447" s="347"/>
      <c r="G1447" s="347"/>
      <c r="H1447" s="347"/>
    </row>
    <row r="1448" spans="1:8" s="3" customFormat="1" ht="15" customHeight="1">
      <c r="A1448" s="344" t="s">
        <v>1556</v>
      </c>
      <c r="B1448" s="325"/>
      <c r="C1448" s="346"/>
      <c r="D1448" s="347"/>
      <c r="E1448" s="347"/>
      <c r="F1448" s="347"/>
      <c r="G1448" s="347"/>
      <c r="H1448" s="347"/>
    </row>
    <row r="1449" spans="1:8" s="3" customFormat="1" ht="15" customHeight="1">
      <c r="A1449" s="344" t="s">
        <v>1557</v>
      </c>
      <c r="B1449" s="325"/>
      <c r="C1449" s="346"/>
      <c r="D1449" s="347"/>
      <c r="E1449" s="347"/>
      <c r="F1449" s="347"/>
      <c r="G1449" s="347"/>
      <c r="H1449" s="347"/>
    </row>
    <row r="1450" spans="1:8" s="3" customFormat="1" ht="15" customHeight="1">
      <c r="A1450" s="344"/>
      <c r="B1450" s="325"/>
      <c r="C1450" s="346"/>
      <c r="D1450" s="347"/>
      <c r="E1450" s="347"/>
      <c r="F1450" s="347"/>
      <c r="G1450" s="347"/>
      <c r="H1450" s="347"/>
    </row>
    <row r="1451" spans="1:8" s="3" customFormat="1" ht="15" customHeight="1">
      <c r="A1451" s="344"/>
      <c r="B1451" s="342" t="s">
        <v>1558</v>
      </c>
      <c r="C1451" s="346"/>
      <c r="D1451" s="347"/>
      <c r="E1451" s="347"/>
      <c r="F1451" s="347"/>
      <c r="G1451" s="347"/>
      <c r="H1451" s="347"/>
    </row>
    <row r="1452" spans="1:8" s="3" customFormat="1" ht="15" customHeight="1">
      <c r="A1452" s="344"/>
      <c r="B1452" s="325" t="s">
        <v>1559</v>
      </c>
      <c r="C1452" s="346"/>
      <c r="D1452" s="347"/>
      <c r="E1452" s="347"/>
      <c r="F1452" s="347"/>
      <c r="G1452" s="347"/>
      <c r="H1452" s="347"/>
    </row>
    <row r="1453" spans="1:8" s="3" customFormat="1" ht="15" customHeight="1">
      <c r="A1453" s="344" t="s">
        <v>1560</v>
      </c>
      <c r="B1453" s="325"/>
      <c r="C1453" s="346"/>
      <c r="D1453" s="347"/>
      <c r="E1453" s="347"/>
      <c r="F1453" s="347"/>
      <c r="G1453" s="347"/>
      <c r="H1453" s="347"/>
    </row>
    <row r="1454" spans="1:8" s="3" customFormat="1" ht="15" customHeight="1">
      <c r="A1454" s="344"/>
      <c r="B1454" s="325" t="s">
        <v>1561</v>
      </c>
      <c r="C1454" s="346"/>
      <c r="D1454" s="347"/>
      <c r="E1454" s="347"/>
      <c r="F1454" s="347"/>
      <c r="G1454" s="347"/>
      <c r="H1454" s="347"/>
    </row>
    <row r="1455" spans="1:8" s="3" customFormat="1" ht="15" customHeight="1">
      <c r="A1455" s="344" t="s">
        <v>1562</v>
      </c>
      <c r="B1455" s="325"/>
      <c r="C1455" s="346"/>
      <c r="D1455" s="347"/>
      <c r="E1455" s="347"/>
      <c r="F1455" s="347"/>
      <c r="G1455" s="347"/>
      <c r="H1455" s="347"/>
    </row>
    <row r="1456" spans="1:8" s="3" customFormat="1" ht="15" customHeight="1">
      <c r="A1456" s="344" t="s">
        <v>1563</v>
      </c>
      <c r="B1456" s="325"/>
      <c r="C1456" s="346"/>
      <c r="D1456" s="347"/>
      <c r="E1456" s="347"/>
      <c r="F1456" s="347"/>
      <c r="G1456" s="347"/>
      <c r="H1456" s="347"/>
    </row>
    <row r="1457" spans="1:8" s="3" customFormat="1" ht="15" customHeight="1">
      <c r="A1457" s="344" t="s">
        <v>1564</v>
      </c>
      <c r="B1457" s="325"/>
      <c r="C1457" s="346"/>
      <c r="D1457" s="347"/>
      <c r="E1457" s="347"/>
      <c r="F1457" s="347"/>
      <c r="G1457" s="347"/>
      <c r="H1457" s="347"/>
    </row>
    <row r="1458" spans="1:8" s="3" customFormat="1" ht="15" customHeight="1">
      <c r="A1458" s="344" t="s">
        <v>1565</v>
      </c>
      <c r="B1458" s="325"/>
      <c r="C1458" s="346"/>
      <c r="D1458" s="347"/>
      <c r="E1458" s="347"/>
      <c r="F1458" s="347"/>
      <c r="G1458" s="347"/>
      <c r="H1458" s="347"/>
    </row>
    <row r="1459" spans="1:8" s="3" customFormat="1" ht="15" customHeight="1">
      <c r="A1459" s="344" t="s">
        <v>1566</v>
      </c>
      <c r="B1459" s="325"/>
      <c r="C1459" s="346"/>
      <c r="D1459" s="347"/>
      <c r="E1459" s="347"/>
      <c r="F1459" s="347"/>
      <c r="G1459" s="347"/>
      <c r="H1459" s="347"/>
    </row>
    <row r="1460" spans="1:8" s="3" customFormat="1" ht="15" customHeight="1">
      <c r="A1460" s="344" t="s">
        <v>1567</v>
      </c>
      <c r="B1460" s="325"/>
      <c r="C1460" s="346"/>
      <c r="D1460" s="347"/>
      <c r="E1460" s="347"/>
      <c r="F1460" s="347"/>
      <c r="G1460" s="347"/>
      <c r="H1460" s="347"/>
    </row>
    <row r="1461" spans="1:8" s="3" customFormat="1" ht="15" customHeight="1">
      <c r="A1461" s="325"/>
      <c r="B1461" s="325" t="s">
        <v>1568</v>
      </c>
      <c r="C1461" s="346"/>
      <c r="D1461" s="347"/>
      <c r="E1461" s="347"/>
      <c r="F1461" s="347"/>
      <c r="G1461" s="347"/>
      <c r="H1461" s="347"/>
    </row>
    <row r="1462" spans="1:8" s="3" customFormat="1" ht="15" customHeight="1">
      <c r="A1462" s="348" t="s">
        <v>667</v>
      </c>
      <c r="B1462" s="325" t="s">
        <v>1569</v>
      </c>
      <c r="C1462" s="346"/>
      <c r="D1462" s="347"/>
      <c r="E1462" s="347"/>
      <c r="F1462" s="347"/>
      <c r="G1462" s="347"/>
      <c r="H1462" s="347"/>
    </row>
    <row r="1463" spans="1:8" s="3" customFormat="1" ht="15" customHeight="1">
      <c r="A1463" s="348" t="s">
        <v>667</v>
      </c>
      <c r="B1463" s="325" t="s">
        <v>1570</v>
      </c>
      <c r="C1463" s="346"/>
      <c r="D1463" s="347"/>
      <c r="E1463" s="347"/>
      <c r="F1463" s="347"/>
      <c r="G1463" s="347"/>
      <c r="H1463" s="347"/>
    </row>
    <row r="1464" spans="1:8" s="3" customFormat="1" ht="15" customHeight="1">
      <c r="A1464" s="325"/>
      <c r="B1464" s="325" t="s">
        <v>1571</v>
      </c>
      <c r="C1464" s="346"/>
      <c r="D1464" s="347"/>
      <c r="E1464" s="347"/>
      <c r="F1464" s="347"/>
      <c r="G1464" s="347"/>
      <c r="H1464" s="347"/>
    </row>
    <row r="1465" spans="1:8" s="3" customFormat="1" ht="15" customHeight="1">
      <c r="A1465" s="348" t="s">
        <v>667</v>
      </c>
      <c r="B1465" s="325" t="s">
        <v>1572</v>
      </c>
      <c r="C1465" s="346"/>
      <c r="D1465" s="347"/>
      <c r="E1465" s="347"/>
      <c r="F1465" s="347"/>
      <c r="G1465" s="347"/>
      <c r="H1465" s="347"/>
    </row>
    <row r="1466" spans="1:8" s="3" customFormat="1" ht="15" customHeight="1">
      <c r="A1466" s="348" t="s">
        <v>667</v>
      </c>
      <c r="B1466" s="325" t="s">
        <v>1573</v>
      </c>
      <c r="C1466" s="346"/>
      <c r="D1466" s="347"/>
      <c r="E1466" s="347"/>
      <c r="F1466" s="347"/>
      <c r="G1466" s="347"/>
      <c r="H1466" s="347"/>
    </row>
    <row r="1467" spans="1:8" s="3" customFormat="1" ht="15" customHeight="1">
      <c r="A1467" s="348" t="s">
        <v>667</v>
      </c>
      <c r="B1467" s="325" t="s">
        <v>1574</v>
      </c>
      <c r="C1467" s="346"/>
      <c r="D1467" s="347"/>
      <c r="E1467" s="347"/>
      <c r="F1467" s="347"/>
      <c r="G1467" s="347"/>
      <c r="H1467" s="347"/>
    </row>
    <row r="1468" spans="1:8" s="3" customFormat="1" ht="15" customHeight="1">
      <c r="A1468" s="348"/>
      <c r="B1468" s="325"/>
      <c r="C1468" s="346"/>
      <c r="D1468" s="347"/>
      <c r="E1468" s="347"/>
      <c r="F1468" s="347"/>
      <c r="G1468" s="347"/>
      <c r="H1468" s="347"/>
    </row>
    <row r="1469" spans="1:8" s="3" customFormat="1" ht="15" customHeight="1">
      <c r="A1469" s="294"/>
      <c r="B1469" s="294" t="s">
        <v>1575</v>
      </c>
      <c r="C1469" s="291"/>
      <c r="D1469" s="293"/>
      <c r="E1469" s="293"/>
      <c r="F1469" s="293"/>
      <c r="G1469" s="293"/>
      <c r="H1469" s="293"/>
    </row>
    <row r="1470" spans="1:8" s="3" customFormat="1" ht="15" customHeight="1">
      <c r="A1470" s="325"/>
      <c r="B1470" s="325" t="s">
        <v>1576</v>
      </c>
      <c r="C1470" s="346"/>
      <c r="D1470" s="347"/>
      <c r="E1470" s="347"/>
      <c r="F1470" s="347"/>
      <c r="G1470" s="347"/>
      <c r="H1470" s="347"/>
    </row>
    <row r="1471" spans="1:8" s="3" customFormat="1" ht="15" customHeight="1">
      <c r="A1471" s="325" t="s">
        <v>1577</v>
      </c>
      <c r="B1471" s="325"/>
      <c r="C1471" s="346"/>
      <c r="D1471" s="347"/>
      <c r="E1471" s="347"/>
      <c r="F1471" s="347"/>
      <c r="G1471" s="347"/>
      <c r="H1471" s="347"/>
    </row>
    <row r="1472" spans="1:8" s="3" customFormat="1" ht="15" customHeight="1">
      <c r="A1472" s="325"/>
      <c r="B1472" s="325"/>
      <c r="C1472" s="346"/>
      <c r="D1472" s="347"/>
      <c r="E1472" s="347"/>
      <c r="F1472" s="347"/>
      <c r="G1472" s="347"/>
      <c r="H1472" s="347"/>
    </row>
    <row r="1473" spans="1:8" s="3" customFormat="1" ht="15" customHeight="1">
      <c r="A1473" s="344"/>
      <c r="B1473" s="325" t="s">
        <v>1578</v>
      </c>
      <c r="C1473" s="346"/>
      <c r="D1473" s="347"/>
      <c r="E1473" s="347"/>
      <c r="F1473" s="347"/>
      <c r="G1473" s="347"/>
      <c r="H1473" s="347"/>
    </row>
    <row r="1474" spans="1:8" s="3" customFormat="1" ht="15" customHeight="1">
      <c r="A1474" s="344" t="s">
        <v>1579</v>
      </c>
      <c r="B1474" s="325"/>
      <c r="C1474" s="346"/>
      <c r="D1474" s="347"/>
      <c r="E1474" s="347"/>
      <c r="F1474" s="347"/>
      <c r="G1474" s="347"/>
      <c r="H1474" s="347"/>
    </row>
    <row r="1475" spans="1:8" s="3" customFormat="1" ht="15" customHeight="1">
      <c r="A1475" s="344"/>
      <c r="B1475" s="325"/>
      <c r="C1475" s="346"/>
      <c r="D1475" s="347"/>
      <c r="E1475" s="347"/>
      <c r="F1475" s="347"/>
      <c r="G1475" s="347"/>
      <c r="H1475" s="347"/>
    </row>
    <row r="1476" spans="1:8" s="3" customFormat="1" ht="15" customHeight="1">
      <c r="A1476" s="344"/>
      <c r="B1476" s="342" t="s">
        <v>1580</v>
      </c>
      <c r="C1476" s="346"/>
      <c r="D1476" s="347"/>
      <c r="E1476" s="347"/>
      <c r="F1476" s="347"/>
      <c r="G1476" s="347"/>
      <c r="H1476" s="347"/>
    </row>
    <row r="1477" spans="1:8" s="3" customFormat="1" ht="15" customHeight="1">
      <c r="A1477" s="344"/>
      <c r="B1477" s="325" t="s">
        <v>1581</v>
      </c>
      <c r="C1477" s="346"/>
      <c r="D1477" s="347"/>
      <c r="E1477" s="347"/>
      <c r="F1477" s="347"/>
      <c r="G1477" s="347"/>
      <c r="H1477" s="347"/>
    </row>
    <row r="1478" spans="1:8" s="3" customFormat="1" ht="15" customHeight="1">
      <c r="A1478" s="344" t="s">
        <v>1582</v>
      </c>
      <c r="B1478" s="325"/>
      <c r="C1478" s="346"/>
      <c r="D1478" s="347"/>
      <c r="E1478" s="347"/>
      <c r="F1478" s="347"/>
      <c r="G1478" s="347"/>
      <c r="H1478" s="347"/>
    </row>
    <row r="1479" spans="1:8" s="3" customFormat="1" ht="15" customHeight="1">
      <c r="A1479" s="344" t="s">
        <v>1583</v>
      </c>
      <c r="B1479" s="325"/>
      <c r="C1479" s="346"/>
      <c r="D1479" s="347"/>
      <c r="E1479" s="347"/>
      <c r="F1479" s="347"/>
      <c r="G1479" s="347"/>
      <c r="H1479" s="347"/>
    </row>
    <row r="1480" spans="1:8" s="3" customFormat="1" ht="15" customHeight="1">
      <c r="A1480" s="344"/>
      <c r="B1480" s="325"/>
      <c r="C1480" s="346"/>
      <c r="D1480" s="347"/>
      <c r="E1480" s="347"/>
      <c r="F1480" s="347"/>
      <c r="G1480" s="347"/>
      <c r="H1480" s="347"/>
    </row>
    <row r="1481" spans="1:8" s="3" customFormat="1" ht="15" customHeight="1">
      <c r="A1481" s="344"/>
      <c r="B1481" s="342" t="s">
        <v>1584</v>
      </c>
      <c r="C1481" s="346"/>
      <c r="D1481" s="347"/>
      <c r="E1481" s="347"/>
      <c r="F1481" s="347"/>
      <c r="G1481" s="347"/>
      <c r="H1481" s="347"/>
    </row>
    <row r="1482" spans="1:8" s="3" customFormat="1" ht="15" customHeight="1">
      <c r="A1482" s="345" t="s">
        <v>601</v>
      </c>
      <c r="B1482" s="325"/>
      <c r="C1482" s="346"/>
      <c r="D1482" s="347"/>
      <c r="E1482" s="347"/>
      <c r="F1482" s="347"/>
      <c r="G1482" s="347"/>
      <c r="H1482" s="347"/>
    </row>
    <row r="1483" spans="1:8" s="3" customFormat="1" ht="15" customHeight="1">
      <c r="A1483" s="289"/>
      <c r="B1483" s="294"/>
      <c r="C1483" s="291"/>
      <c r="D1483" s="293"/>
      <c r="E1483" s="293"/>
      <c r="F1483" s="293"/>
      <c r="G1483" s="293"/>
      <c r="H1483" s="293"/>
    </row>
    <row r="1484" spans="1:8" s="3" customFormat="1" ht="15" customHeight="1">
      <c r="A1484" s="289"/>
      <c r="B1484" s="342" t="s">
        <v>116</v>
      </c>
      <c r="C1484" s="291"/>
      <c r="D1484" s="293"/>
      <c r="E1484" s="293"/>
      <c r="F1484" s="293"/>
      <c r="G1484" s="293"/>
      <c r="H1484" s="293"/>
    </row>
    <row r="1485" spans="1:8" s="3" customFormat="1" ht="15" customHeight="1">
      <c r="A1485" s="289"/>
      <c r="B1485" s="294" t="s">
        <v>602</v>
      </c>
      <c r="C1485" s="291"/>
      <c r="D1485" s="293"/>
      <c r="E1485" s="293"/>
      <c r="F1485" s="293"/>
      <c r="G1485" s="293"/>
      <c r="H1485" s="293"/>
    </row>
    <row r="1486" spans="1:8" s="3" customFormat="1" ht="15" customHeight="1">
      <c r="A1486" s="289" t="s">
        <v>603</v>
      </c>
      <c r="B1486" s="294"/>
      <c r="C1486" s="291"/>
      <c r="D1486" s="293"/>
      <c r="E1486" s="293"/>
      <c r="F1486" s="293"/>
      <c r="G1486" s="293"/>
      <c r="H1486" s="293"/>
    </row>
    <row r="1487" spans="1:8">
      <c r="A1487" s="47"/>
      <c r="B1487" s="276"/>
      <c r="C1487" s="276"/>
      <c r="D1487" s="276"/>
      <c r="E1487" s="276"/>
      <c r="F1487" s="276"/>
      <c r="G1487" s="276"/>
      <c r="H1487" s="276"/>
    </row>
    <row r="1488" spans="1:8" ht="16.2">
      <c r="A1488" s="47"/>
      <c r="B1488" s="48"/>
      <c r="D1488" s="51" t="s">
        <v>605</v>
      </c>
      <c r="H1488" s="49"/>
    </row>
    <row r="1489" spans="1:8">
      <c r="A1489" s="47"/>
      <c r="B1489" s="48"/>
      <c r="C1489" s="52" t="s">
        <v>606</v>
      </c>
      <c r="D1489" s="53" t="s">
        <v>607</v>
      </c>
      <c r="H1489" s="49"/>
    </row>
    <row r="1490" spans="1:8">
      <c r="A1490" s="47"/>
      <c r="B1490" s="48"/>
      <c r="C1490" s="52" t="s">
        <v>608</v>
      </c>
      <c r="D1490" s="53" t="s">
        <v>609</v>
      </c>
      <c r="H1490" s="49"/>
    </row>
    <row r="1491" spans="1:8">
      <c r="A1491" s="47"/>
      <c r="B1491" s="48"/>
      <c r="C1491" s="52" t="s">
        <v>610</v>
      </c>
      <c r="D1491" s="53" t="s">
        <v>611</v>
      </c>
      <c r="H1491" s="49"/>
    </row>
    <row r="1492" spans="1:8">
      <c r="A1492" s="47"/>
      <c r="B1492" s="48"/>
      <c r="C1492" s="52" t="s">
        <v>612</v>
      </c>
      <c r="D1492" s="53" t="s">
        <v>613</v>
      </c>
      <c r="H1492" s="49"/>
    </row>
    <row r="1493" spans="1:8">
      <c r="A1493" s="47"/>
      <c r="B1493" s="48"/>
      <c r="C1493" s="52" t="s">
        <v>614</v>
      </c>
      <c r="D1493" s="53" t="s">
        <v>615</v>
      </c>
      <c r="H1493" s="49"/>
    </row>
    <row r="1494" spans="1:8">
      <c r="A1494" s="47"/>
      <c r="B1494" s="48"/>
      <c r="C1494" s="52" t="s">
        <v>616</v>
      </c>
      <c r="D1494" s="53" t="s">
        <v>617</v>
      </c>
      <c r="H1494" s="49"/>
    </row>
    <row r="1495" spans="1:8">
      <c r="A1495" s="47"/>
      <c r="B1495" s="48"/>
      <c r="C1495" s="52" t="s">
        <v>618</v>
      </c>
      <c r="D1495" s="53" t="s">
        <v>619</v>
      </c>
      <c r="H1495" s="49"/>
    </row>
    <row r="1496" spans="1:8">
      <c r="A1496" s="47"/>
      <c r="B1496" s="48"/>
      <c r="C1496" s="52" t="s">
        <v>620</v>
      </c>
      <c r="D1496" s="54" t="s">
        <v>621</v>
      </c>
      <c r="H1496" s="49"/>
    </row>
    <row r="1497" spans="1:8">
      <c r="A1497" s="47"/>
      <c r="B1497" s="48"/>
      <c r="C1497" s="52" t="s">
        <v>622</v>
      </c>
      <c r="D1497" s="54" t="s">
        <v>623</v>
      </c>
      <c r="H1497" s="49"/>
    </row>
    <row r="1498" spans="1:8">
      <c r="A1498" s="47"/>
      <c r="B1498" s="48"/>
      <c r="C1498" s="52" t="s">
        <v>624</v>
      </c>
      <c r="D1498" s="53" t="s">
        <v>625</v>
      </c>
      <c r="H1498" s="49"/>
    </row>
    <row r="1499" spans="1:8">
      <c r="A1499" s="47"/>
      <c r="B1499" s="48"/>
      <c r="C1499" s="52" t="s">
        <v>626</v>
      </c>
      <c r="D1499" s="53" t="s">
        <v>627</v>
      </c>
      <c r="H1499" s="49"/>
    </row>
    <row r="1500" spans="1:8">
      <c r="A1500" s="47"/>
      <c r="B1500" s="48"/>
      <c r="C1500" s="52" t="s">
        <v>628</v>
      </c>
      <c r="D1500" s="53" t="s">
        <v>629</v>
      </c>
      <c r="H1500" s="49"/>
    </row>
    <row r="1501" spans="1:8">
      <c r="A1501" s="47"/>
      <c r="B1501" s="48"/>
      <c r="C1501" s="52" t="s">
        <v>630</v>
      </c>
      <c r="D1501" s="53" t="s">
        <v>631</v>
      </c>
      <c r="H1501" s="49"/>
    </row>
    <row r="1502" spans="1:8">
      <c r="A1502" s="47"/>
      <c r="B1502" s="48"/>
      <c r="C1502" s="52" t="s">
        <v>632</v>
      </c>
      <c r="D1502" s="53" t="s">
        <v>633</v>
      </c>
      <c r="H1502" s="49"/>
    </row>
    <row r="1503" spans="1:8">
      <c r="A1503" s="47"/>
      <c r="B1503" s="48"/>
      <c r="C1503" s="52" t="s">
        <v>634</v>
      </c>
      <c r="D1503" s="53" t="s">
        <v>635</v>
      </c>
      <c r="H1503" s="49"/>
    </row>
    <row r="1504" spans="1:8">
      <c r="A1504" s="47"/>
      <c r="B1504" s="48"/>
      <c r="C1504" s="55" t="s">
        <v>636</v>
      </c>
      <c r="D1504" s="54" t="s">
        <v>637</v>
      </c>
      <c r="H1504" s="49"/>
    </row>
    <row r="1505" spans="1:8">
      <c r="A1505" s="47"/>
      <c r="B1505" s="48"/>
      <c r="D1505" s="4" t="s">
        <v>638</v>
      </c>
      <c r="H1505" s="49"/>
    </row>
    <row r="1506" spans="1:8">
      <c r="A1506" s="47"/>
      <c r="B1506" s="48"/>
      <c r="D1506" s="4"/>
      <c r="H1506" s="49"/>
    </row>
    <row r="1507" spans="1:8" ht="15.6">
      <c r="A1507" s="47"/>
      <c r="B1507" s="48"/>
      <c r="C1507" s="52" t="s">
        <v>639</v>
      </c>
      <c r="D1507" s="53" t="s">
        <v>640</v>
      </c>
      <c r="H1507" s="49"/>
    </row>
    <row r="1508" spans="1:8" ht="15.6">
      <c r="A1508" s="47"/>
      <c r="B1508" s="48"/>
      <c r="C1508" s="52" t="s">
        <v>641</v>
      </c>
      <c r="D1508" s="53" t="s">
        <v>642</v>
      </c>
      <c r="H1508" s="49"/>
    </row>
    <row r="1509" spans="1:8" ht="15.6">
      <c r="A1509" s="47"/>
      <c r="B1509" s="48"/>
      <c r="C1509" s="52" t="s">
        <v>643</v>
      </c>
      <c r="D1509" s="53" t="s">
        <v>644</v>
      </c>
      <c r="H1509" s="49"/>
    </row>
    <row r="1510" spans="1:8">
      <c r="A1510" s="47"/>
      <c r="B1510" s="48"/>
      <c r="C1510" s="52" t="s">
        <v>645</v>
      </c>
      <c r="D1510" s="53" t="s">
        <v>646</v>
      </c>
      <c r="H1510" s="49"/>
    </row>
    <row r="1511" spans="1:8">
      <c r="A1511" s="47"/>
      <c r="B1511" s="48"/>
      <c r="C1511" s="52" t="s">
        <v>647</v>
      </c>
      <c r="D1511" s="53" t="s">
        <v>648</v>
      </c>
      <c r="H1511" s="49"/>
    </row>
    <row r="1512" spans="1:8">
      <c r="A1512" s="47"/>
      <c r="B1512" s="48"/>
      <c r="C1512" s="52" t="s">
        <v>649</v>
      </c>
      <c r="D1512" s="53" t="s">
        <v>650</v>
      </c>
      <c r="H1512" s="49"/>
    </row>
    <row r="1513" spans="1:8">
      <c r="A1513" s="47"/>
      <c r="B1513" s="48"/>
      <c r="C1513" s="52" t="s">
        <v>651</v>
      </c>
      <c r="D1513" s="53" t="s">
        <v>652</v>
      </c>
      <c r="H1513" s="49"/>
    </row>
    <row r="1514" spans="1:8">
      <c r="A1514" s="47"/>
      <c r="B1514" s="48"/>
      <c r="C1514" s="52" t="s">
        <v>1164</v>
      </c>
      <c r="D1514" s="53" t="s">
        <v>653</v>
      </c>
      <c r="H1514" s="49"/>
    </row>
    <row r="1515" spans="1:8">
      <c r="A1515" s="47"/>
      <c r="B1515" s="48"/>
      <c r="C1515" s="52" t="s">
        <v>654</v>
      </c>
      <c r="D1515" s="53" t="s">
        <v>655</v>
      </c>
      <c r="H1515" s="49"/>
    </row>
    <row r="1516" spans="1:8">
      <c r="A1516" s="47"/>
      <c r="B1516" s="48"/>
      <c r="C1516" s="52" t="s">
        <v>656</v>
      </c>
      <c r="D1516" s="53" t="s">
        <v>657</v>
      </c>
      <c r="H1516" s="49"/>
    </row>
    <row r="1517" spans="1:8">
      <c r="A1517" s="47"/>
      <c r="B1517" s="48"/>
      <c r="C1517" s="52" t="s">
        <v>670</v>
      </c>
      <c r="D1517" s="246" t="s">
        <v>1038</v>
      </c>
      <c r="E1517" s="49"/>
      <c r="F1517" s="49"/>
      <c r="G1517" s="49"/>
      <c r="H1517" s="49"/>
    </row>
    <row r="1518" spans="1:8">
      <c r="A1518" s="47"/>
      <c r="B1518" s="48"/>
      <c r="C1518" s="50"/>
      <c r="D1518" s="49"/>
      <c r="E1518" s="49"/>
      <c r="F1518" s="49"/>
      <c r="G1518" s="249" t="s">
        <v>1041</v>
      </c>
      <c r="H1518" s="49"/>
    </row>
    <row r="1519" spans="1:8" ht="15" customHeight="1">
      <c r="A1519" s="47"/>
      <c r="B1519" s="48"/>
      <c r="C1519" s="50"/>
      <c r="D1519" s="49"/>
      <c r="E1519" s="49"/>
      <c r="F1519" s="49"/>
      <c r="G1519" s="249" t="s">
        <v>15</v>
      </c>
      <c r="H1519" s="49"/>
    </row>
    <row r="1520" spans="1:8">
      <c r="A1520" s="47"/>
      <c r="B1520" s="48"/>
      <c r="C1520" s="50"/>
      <c r="D1520" s="49"/>
      <c r="E1520" s="49"/>
      <c r="F1520" s="49"/>
      <c r="G1520" s="49"/>
      <c r="H1520" s="49"/>
    </row>
    <row r="1521" spans="1:8">
      <c r="A1521" s="47"/>
      <c r="B1521" s="48"/>
      <c r="C1521" s="50"/>
      <c r="D1521" s="49"/>
      <c r="E1521" s="49"/>
      <c r="F1521" s="49"/>
      <c r="G1521" s="56"/>
      <c r="H1521" s="49"/>
    </row>
    <row r="1522" spans="1:8">
      <c r="A1522" s="47"/>
      <c r="B1522" s="48"/>
      <c r="C1522" s="50"/>
      <c r="D1522" s="49"/>
      <c r="E1522" s="49"/>
      <c r="F1522" s="49"/>
      <c r="G1522" s="49"/>
      <c r="H1522" s="49"/>
    </row>
    <row r="1523" spans="1:8">
      <c r="A1523" s="47"/>
      <c r="B1523" s="48"/>
      <c r="C1523" s="50"/>
      <c r="D1523" s="49"/>
      <c r="E1523" s="49"/>
      <c r="F1523" s="49"/>
      <c r="G1523" s="49"/>
      <c r="H1523" s="49"/>
    </row>
    <row r="1524" spans="1:8">
      <c r="A1524" s="47"/>
      <c r="B1524" s="48"/>
      <c r="C1524" s="50"/>
      <c r="D1524" s="49"/>
      <c r="E1524" s="49"/>
      <c r="F1524" s="49"/>
      <c r="G1524" s="49"/>
      <c r="H1524" s="49"/>
    </row>
    <row r="1525" spans="1:8">
      <c r="A1525" s="47"/>
      <c r="B1525" s="48"/>
      <c r="C1525" s="50"/>
      <c r="D1525" s="49"/>
      <c r="E1525" s="49"/>
      <c r="F1525" s="49"/>
      <c r="G1525" s="49"/>
      <c r="H1525" s="49"/>
    </row>
    <row r="1526" spans="1:8">
      <c r="A1526" s="47"/>
      <c r="B1526" s="48"/>
      <c r="C1526" s="50"/>
      <c r="D1526" s="49"/>
      <c r="E1526" s="49"/>
      <c r="F1526" s="49"/>
      <c r="G1526" s="49"/>
      <c r="H1526" s="49"/>
    </row>
    <row r="1527" spans="1:8">
      <c r="A1527" s="47"/>
      <c r="B1527" s="48"/>
      <c r="C1527" s="50"/>
      <c r="D1527" s="49"/>
      <c r="E1527" s="49"/>
      <c r="F1527" s="49"/>
      <c r="G1527" s="49"/>
      <c r="H1527" s="49"/>
    </row>
    <row r="1528" spans="1:8">
      <c r="A1528" s="47"/>
      <c r="B1528" s="48"/>
      <c r="C1528" s="50"/>
      <c r="D1528" s="49"/>
      <c r="E1528" s="49"/>
      <c r="F1528" s="49"/>
      <c r="G1528" s="49"/>
      <c r="H1528" s="49"/>
    </row>
    <row r="1529" spans="1:8">
      <c r="A1529" s="47"/>
      <c r="B1529" s="48"/>
      <c r="C1529" s="50"/>
      <c r="D1529" s="49"/>
      <c r="E1529" s="49"/>
      <c r="F1529" s="49"/>
      <c r="G1529" s="49"/>
      <c r="H1529" s="49"/>
    </row>
    <row r="1530" spans="1:8">
      <c r="A1530" s="47"/>
      <c r="B1530" s="48"/>
      <c r="C1530" s="50"/>
      <c r="D1530" s="49"/>
      <c r="E1530" s="49"/>
      <c r="F1530" s="49"/>
      <c r="G1530" s="49"/>
      <c r="H1530" s="49"/>
    </row>
    <row r="1531" spans="1:8">
      <c r="A1531" s="47"/>
      <c r="B1531" s="48"/>
      <c r="C1531" s="50"/>
      <c r="D1531" s="49"/>
      <c r="E1531" s="49"/>
      <c r="F1531" s="49"/>
      <c r="G1531" s="49"/>
      <c r="H1531" s="49"/>
    </row>
    <row r="1532" spans="1:8">
      <c r="A1532" s="47"/>
      <c r="B1532" s="48"/>
      <c r="C1532" s="50"/>
      <c r="D1532" s="49"/>
      <c r="E1532" s="49"/>
      <c r="F1532" s="49"/>
      <c r="G1532" s="49"/>
      <c r="H1532" s="49"/>
    </row>
    <row r="1533" spans="1:8">
      <c r="A1533" s="47"/>
      <c r="B1533" s="48"/>
      <c r="C1533" s="50"/>
      <c r="D1533" s="49"/>
      <c r="E1533" s="49"/>
      <c r="F1533" s="49"/>
      <c r="G1533" s="49"/>
      <c r="H1533" s="49"/>
    </row>
    <row r="1534" spans="1:8">
      <c r="A1534" s="47"/>
      <c r="B1534" s="48"/>
      <c r="C1534" s="50"/>
      <c r="D1534" s="49"/>
      <c r="E1534" s="49"/>
      <c r="F1534" s="49"/>
      <c r="G1534" s="49"/>
      <c r="H1534" s="49"/>
    </row>
    <row r="1535" spans="1:8">
      <c r="A1535" s="47"/>
      <c r="B1535" s="48"/>
      <c r="C1535" s="50"/>
      <c r="D1535" s="49"/>
      <c r="E1535" s="49"/>
      <c r="F1535" s="49"/>
      <c r="G1535" s="49"/>
      <c r="H1535" s="49"/>
    </row>
    <row r="1536" spans="1:8">
      <c r="A1536" s="47"/>
      <c r="B1536" s="48"/>
      <c r="C1536" s="50"/>
      <c r="D1536" s="49"/>
      <c r="E1536" s="49"/>
      <c r="F1536" s="49"/>
      <c r="G1536" s="49"/>
      <c r="H1536" s="49"/>
    </row>
    <row r="1537" spans="1:8">
      <c r="A1537" s="47"/>
      <c r="B1537" s="48"/>
      <c r="C1537" s="50"/>
      <c r="D1537" s="49"/>
      <c r="E1537" s="49"/>
      <c r="F1537" s="49"/>
      <c r="G1537" s="49"/>
      <c r="H1537" s="49"/>
    </row>
    <row r="1538" spans="1:8">
      <c r="A1538" s="47"/>
      <c r="B1538" s="48"/>
      <c r="C1538" s="50"/>
      <c r="D1538" s="49"/>
      <c r="E1538" s="49"/>
      <c r="F1538" s="49"/>
      <c r="G1538" s="49"/>
      <c r="H1538" s="49"/>
    </row>
    <row r="1539" spans="1:8">
      <c r="A1539" s="47"/>
      <c r="B1539" s="48"/>
      <c r="C1539" s="50"/>
      <c r="D1539" s="49"/>
      <c r="E1539" s="49"/>
      <c r="F1539" s="49"/>
      <c r="G1539" s="49"/>
      <c r="H1539" s="49"/>
    </row>
    <row r="1540" spans="1:8">
      <c r="A1540" s="47"/>
      <c r="B1540" s="48"/>
      <c r="C1540" s="50"/>
      <c r="D1540" s="49"/>
      <c r="E1540" s="49"/>
      <c r="F1540" s="49"/>
      <c r="G1540" s="49"/>
      <c r="H1540" s="49"/>
    </row>
    <row r="1541" spans="1:8">
      <c r="A1541" s="47"/>
      <c r="B1541" s="48"/>
      <c r="C1541" s="50"/>
      <c r="D1541" s="49"/>
      <c r="E1541" s="49"/>
      <c r="F1541" s="49"/>
      <c r="G1541" s="49"/>
      <c r="H1541" s="49"/>
    </row>
    <row r="1542" spans="1:8">
      <c r="A1542" s="47"/>
      <c r="B1542" s="48"/>
      <c r="C1542" s="50"/>
      <c r="D1542" s="49"/>
      <c r="E1542" s="49"/>
      <c r="F1542" s="49"/>
      <c r="G1542" s="49"/>
      <c r="H1542" s="49"/>
    </row>
    <row r="1543" spans="1:8">
      <c r="A1543" s="47"/>
      <c r="B1543" s="48"/>
      <c r="C1543" s="50"/>
      <c r="D1543" s="49"/>
      <c r="E1543" s="49"/>
      <c r="F1543" s="49"/>
      <c r="G1543" s="49"/>
      <c r="H1543" s="49"/>
    </row>
    <row r="1544" spans="1:8">
      <c r="A1544" s="47"/>
      <c r="B1544" s="48"/>
      <c r="C1544" s="50"/>
      <c r="D1544" s="49"/>
      <c r="E1544" s="49"/>
      <c r="F1544" s="49"/>
      <c r="G1544" s="49"/>
      <c r="H1544" s="49"/>
    </row>
    <row r="1545" spans="1:8">
      <c r="A1545" s="47"/>
      <c r="B1545" s="48"/>
      <c r="C1545" s="50"/>
      <c r="D1545" s="49"/>
      <c r="E1545" s="49"/>
      <c r="F1545" s="49"/>
      <c r="G1545" s="49"/>
      <c r="H1545" s="49"/>
    </row>
    <row r="1546" spans="1:8">
      <c r="A1546" s="47"/>
      <c r="B1546" s="48"/>
      <c r="C1546" s="50"/>
      <c r="D1546" s="49"/>
      <c r="E1546" s="49"/>
      <c r="F1546" s="49"/>
      <c r="G1546" s="49"/>
      <c r="H1546" s="49"/>
    </row>
    <row r="1547" spans="1:8">
      <c r="A1547" s="47"/>
      <c r="B1547" s="48"/>
      <c r="C1547" s="50"/>
      <c r="D1547" s="49"/>
      <c r="E1547" s="49"/>
      <c r="F1547" s="49"/>
      <c r="G1547" s="49"/>
      <c r="H1547" s="49"/>
    </row>
    <row r="1548" spans="1:8">
      <c r="A1548" s="47"/>
      <c r="B1548" s="48"/>
      <c r="C1548" s="50"/>
      <c r="D1548" s="49"/>
      <c r="E1548" s="49"/>
      <c r="F1548" s="49"/>
      <c r="G1548" s="49"/>
      <c r="H1548" s="49"/>
    </row>
    <row r="1549" spans="1:8">
      <c r="A1549" s="47"/>
      <c r="B1549" s="48"/>
      <c r="C1549" s="50"/>
      <c r="D1549" s="49"/>
      <c r="E1549" s="49"/>
      <c r="F1549" s="49"/>
      <c r="G1549" s="49"/>
      <c r="H1549" s="49"/>
    </row>
    <row r="1550" spans="1:8">
      <c r="A1550" s="47"/>
      <c r="B1550" s="48"/>
      <c r="C1550" s="50"/>
      <c r="D1550" s="49"/>
      <c r="E1550" s="49"/>
      <c r="F1550" s="49"/>
      <c r="G1550" s="49"/>
      <c r="H1550" s="49"/>
    </row>
    <row r="1551" spans="1:8">
      <c r="A1551" s="47"/>
      <c r="B1551" s="48"/>
      <c r="C1551" s="50"/>
      <c r="D1551" s="49"/>
      <c r="E1551" s="49"/>
      <c r="F1551" s="49"/>
      <c r="G1551" s="49"/>
      <c r="H1551" s="49"/>
    </row>
    <row r="1552" spans="1:8">
      <c r="A1552" s="47"/>
      <c r="B1552" s="48"/>
      <c r="C1552" s="50"/>
      <c r="D1552" s="49"/>
      <c r="E1552" s="49"/>
      <c r="F1552" s="49"/>
      <c r="G1552" s="49"/>
      <c r="H1552" s="49"/>
    </row>
    <row r="1553" spans="1:8">
      <c r="A1553" s="47"/>
      <c r="B1553" s="48"/>
      <c r="C1553" s="50"/>
      <c r="D1553" s="49"/>
      <c r="E1553" s="49"/>
      <c r="F1553" s="49"/>
      <c r="G1553" s="49"/>
      <c r="H1553" s="49"/>
    </row>
    <row r="1554" spans="1:8">
      <c r="A1554" s="47"/>
      <c r="B1554" s="48"/>
      <c r="C1554" s="50"/>
      <c r="D1554" s="49"/>
      <c r="E1554" s="49"/>
      <c r="F1554" s="49"/>
      <c r="G1554" s="49"/>
      <c r="H1554" s="49"/>
    </row>
    <row r="1555" spans="1:8">
      <c r="A1555" s="47"/>
      <c r="B1555" s="48"/>
      <c r="C1555" s="50"/>
      <c r="D1555" s="49"/>
      <c r="E1555" s="49"/>
      <c r="F1555" s="49"/>
      <c r="G1555" s="49"/>
      <c r="H1555" s="49"/>
    </row>
    <row r="1556" spans="1:8">
      <c r="A1556" s="47"/>
      <c r="B1556" s="48"/>
      <c r="C1556" s="50"/>
      <c r="D1556" s="49"/>
      <c r="E1556" s="49"/>
      <c r="F1556" s="49"/>
      <c r="G1556" s="49"/>
      <c r="H1556" s="49"/>
    </row>
    <row r="1557" spans="1:8">
      <c r="A1557" s="47"/>
      <c r="B1557" s="48"/>
      <c r="C1557" s="50"/>
      <c r="D1557" s="49"/>
      <c r="E1557" s="49"/>
      <c r="F1557" s="49"/>
      <c r="G1557" s="49"/>
      <c r="H1557" s="49"/>
    </row>
    <row r="1558" spans="1:8">
      <c r="A1558" s="47"/>
      <c r="B1558" s="48"/>
      <c r="C1558" s="50"/>
      <c r="D1558" s="49"/>
      <c r="E1558" s="49"/>
      <c r="F1558" s="49"/>
      <c r="G1558" s="49"/>
      <c r="H1558" s="49"/>
    </row>
    <row r="1559" spans="1:8">
      <c r="A1559" s="47"/>
      <c r="B1559" s="48"/>
      <c r="C1559" s="50"/>
      <c r="D1559" s="49"/>
      <c r="E1559" s="49"/>
      <c r="F1559" s="49"/>
      <c r="G1559" s="49"/>
      <c r="H1559" s="49"/>
    </row>
    <row r="1560" spans="1:8">
      <c r="A1560" s="47"/>
      <c r="B1560" s="48"/>
      <c r="C1560" s="50"/>
      <c r="D1560" s="49"/>
      <c r="E1560" s="49"/>
      <c r="F1560" s="49"/>
      <c r="G1560" s="49"/>
      <c r="H1560" s="49"/>
    </row>
    <row r="1561" spans="1:8">
      <c r="A1561" s="47"/>
      <c r="B1561" s="48"/>
      <c r="C1561" s="50"/>
      <c r="D1561" s="49"/>
      <c r="E1561" s="49"/>
      <c r="F1561" s="49"/>
      <c r="G1561" s="49"/>
      <c r="H1561" s="49"/>
    </row>
    <row r="1562" spans="1:8">
      <c r="A1562" s="47"/>
      <c r="B1562" s="48"/>
      <c r="C1562" s="50"/>
      <c r="D1562" s="49"/>
      <c r="E1562" s="49"/>
      <c r="F1562" s="49"/>
      <c r="G1562" s="49"/>
      <c r="H1562" s="49"/>
    </row>
    <row r="1563" spans="1:8">
      <c r="A1563" s="47"/>
      <c r="B1563" s="48"/>
      <c r="C1563" s="50"/>
      <c r="D1563" s="49"/>
      <c r="E1563" s="49"/>
      <c r="F1563" s="49"/>
      <c r="G1563" s="49"/>
      <c r="H1563" s="49"/>
    </row>
    <row r="1564" spans="1:8">
      <c r="A1564" s="47"/>
      <c r="B1564" s="48"/>
      <c r="C1564" s="50"/>
      <c r="D1564" s="49"/>
      <c r="E1564" s="49"/>
      <c r="F1564" s="49"/>
      <c r="G1564" s="49"/>
      <c r="H1564" s="49"/>
    </row>
    <row r="1565" spans="1:8">
      <c r="A1565" s="47"/>
      <c r="B1565" s="48"/>
      <c r="C1565" s="50"/>
      <c r="D1565" s="49"/>
      <c r="E1565" s="49"/>
      <c r="F1565" s="49"/>
      <c r="G1565" s="49"/>
      <c r="H1565" s="49"/>
    </row>
    <row r="1566" spans="1:8">
      <c r="A1566" s="47"/>
      <c r="B1566" s="48"/>
      <c r="C1566" s="50"/>
      <c r="D1566" s="49"/>
      <c r="E1566" s="49"/>
      <c r="F1566" s="49"/>
      <c r="G1566" s="49"/>
      <c r="H1566" s="49"/>
    </row>
    <row r="1567" spans="1:8">
      <c r="A1567" s="47"/>
      <c r="B1567" s="48"/>
      <c r="C1567" s="50"/>
      <c r="D1567" s="49"/>
      <c r="E1567" s="49"/>
      <c r="F1567" s="49"/>
      <c r="G1567" s="49"/>
      <c r="H1567" s="49"/>
    </row>
    <row r="1568" spans="1:8">
      <c r="A1568" s="47"/>
      <c r="B1568" s="48"/>
      <c r="C1568" s="50"/>
      <c r="D1568" s="49"/>
      <c r="E1568" s="49"/>
      <c r="F1568" s="49"/>
      <c r="G1568" s="49"/>
      <c r="H1568" s="49"/>
    </row>
    <row r="1569" spans="1:8">
      <c r="A1569" s="47"/>
      <c r="B1569" s="48"/>
      <c r="C1569" s="50"/>
      <c r="D1569" s="49"/>
      <c r="E1569" s="49"/>
      <c r="F1569" s="49"/>
      <c r="G1569" s="49"/>
      <c r="H1569" s="49"/>
    </row>
    <row r="1570" spans="1:8">
      <c r="A1570" s="47"/>
      <c r="B1570" s="48"/>
      <c r="C1570" s="50"/>
      <c r="D1570" s="49"/>
      <c r="E1570" s="49"/>
      <c r="F1570" s="49"/>
      <c r="G1570" s="49"/>
      <c r="H1570" s="49"/>
    </row>
    <row r="1571" spans="1:8">
      <c r="A1571" s="47"/>
      <c r="B1571" s="48"/>
      <c r="C1571" s="50"/>
      <c r="D1571" s="49"/>
      <c r="E1571" s="49"/>
      <c r="F1571" s="49"/>
      <c r="G1571" s="49"/>
      <c r="H1571" s="49"/>
    </row>
    <row r="1572" spans="1:8">
      <c r="A1572" s="47"/>
      <c r="B1572" s="48"/>
      <c r="C1572" s="50"/>
      <c r="D1572" s="49"/>
      <c r="E1572" s="49"/>
      <c r="F1572" s="49"/>
      <c r="G1572" s="49"/>
      <c r="H1572" s="49"/>
    </row>
    <row r="1573" spans="1:8">
      <c r="A1573" s="47"/>
      <c r="B1573" s="48"/>
      <c r="C1573" s="50"/>
      <c r="D1573" s="49"/>
      <c r="E1573" s="49"/>
      <c r="F1573" s="49"/>
      <c r="G1573" s="49"/>
      <c r="H1573" s="49"/>
    </row>
    <row r="1574" spans="1:8">
      <c r="A1574" s="47"/>
      <c r="B1574" s="48"/>
      <c r="C1574" s="50"/>
      <c r="D1574" s="49"/>
      <c r="E1574" s="49"/>
      <c r="F1574" s="49"/>
      <c r="G1574" s="49"/>
      <c r="H1574" s="49"/>
    </row>
    <row r="1575" spans="1:8">
      <c r="A1575" s="47"/>
      <c r="B1575" s="48"/>
      <c r="C1575" s="50"/>
      <c r="D1575" s="49"/>
      <c r="E1575" s="49"/>
      <c r="F1575" s="49"/>
      <c r="G1575" s="49"/>
      <c r="H1575" s="49"/>
    </row>
    <row r="1576" spans="1:8">
      <c r="A1576" s="47"/>
      <c r="B1576" s="48"/>
      <c r="C1576" s="50"/>
      <c r="D1576" s="49"/>
      <c r="E1576" s="49"/>
      <c r="F1576" s="49"/>
      <c r="G1576" s="49"/>
      <c r="H1576" s="49"/>
    </row>
    <row r="1577" spans="1:8">
      <c r="A1577" s="47"/>
      <c r="B1577" s="48"/>
      <c r="C1577" s="50"/>
      <c r="D1577" s="49"/>
      <c r="E1577" s="49"/>
      <c r="F1577" s="49"/>
      <c r="G1577" s="49"/>
      <c r="H1577" s="49"/>
    </row>
    <row r="1578" spans="1:8">
      <c r="A1578" s="47"/>
      <c r="B1578" s="48"/>
      <c r="C1578" s="50"/>
      <c r="D1578" s="49"/>
      <c r="E1578" s="49"/>
      <c r="F1578" s="49"/>
      <c r="G1578" s="49"/>
      <c r="H1578" s="49"/>
    </row>
    <row r="1579" spans="1:8">
      <c r="A1579" s="47"/>
      <c r="B1579" s="48"/>
      <c r="C1579" s="50"/>
      <c r="D1579" s="49"/>
      <c r="E1579" s="49"/>
      <c r="F1579" s="49"/>
      <c r="G1579" s="49"/>
      <c r="H1579" s="49"/>
    </row>
    <row r="1580" spans="1:8">
      <c r="A1580" s="47"/>
      <c r="B1580" s="48"/>
      <c r="C1580" s="50"/>
      <c r="D1580" s="49"/>
      <c r="E1580" s="49"/>
      <c r="F1580" s="49"/>
      <c r="G1580" s="49"/>
      <c r="H1580" s="49"/>
    </row>
    <row r="1581" spans="1:8">
      <c r="A1581" s="47"/>
      <c r="B1581" s="48"/>
      <c r="C1581" s="50"/>
      <c r="D1581" s="49"/>
      <c r="E1581" s="49"/>
      <c r="F1581" s="49"/>
      <c r="G1581" s="49"/>
      <c r="H1581" s="49"/>
    </row>
    <row r="1582" spans="1:8">
      <c r="A1582" s="47"/>
      <c r="B1582" s="48"/>
      <c r="C1582" s="50"/>
      <c r="D1582" s="49"/>
      <c r="E1582" s="49"/>
      <c r="F1582" s="49"/>
      <c r="G1582" s="49"/>
      <c r="H1582" s="49"/>
    </row>
    <row r="1583" spans="1:8">
      <c r="A1583" s="47"/>
      <c r="B1583" s="48"/>
      <c r="C1583" s="50"/>
      <c r="D1583" s="49"/>
      <c r="E1583" s="49"/>
      <c r="F1583" s="49"/>
      <c r="G1583" s="49"/>
      <c r="H1583" s="49"/>
    </row>
    <row r="1584" spans="1:8">
      <c r="A1584" s="47"/>
      <c r="B1584" s="48"/>
      <c r="C1584" s="50"/>
      <c r="D1584" s="49"/>
      <c r="E1584" s="49"/>
      <c r="F1584" s="49"/>
      <c r="G1584" s="49"/>
      <c r="H1584" s="49"/>
    </row>
    <row r="1585" spans="1:8">
      <c r="A1585" s="47"/>
      <c r="B1585" s="48"/>
      <c r="C1585" s="50"/>
      <c r="D1585" s="49"/>
      <c r="E1585" s="49"/>
      <c r="F1585" s="49"/>
      <c r="G1585" s="49"/>
      <c r="H1585" s="49"/>
    </row>
    <row r="1586" spans="1:8">
      <c r="A1586" s="47"/>
      <c r="B1586" s="48"/>
      <c r="C1586" s="50"/>
      <c r="D1586" s="49"/>
      <c r="E1586" s="49"/>
      <c r="F1586" s="49"/>
      <c r="G1586" s="49"/>
      <c r="H1586" s="49"/>
    </row>
    <row r="1587" spans="1:8">
      <c r="A1587" s="47"/>
      <c r="B1587" s="48"/>
      <c r="C1587" s="50"/>
      <c r="D1587" s="49"/>
      <c r="E1587" s="49"/>
      <c r="F1587" s="49"/>
      <c r="G1587" s="49"/>
      <c r="H1587" s="49"/>
    </row>
    <row r="1588" spans="1:8">
      <c r="A1588" s="47"/>
      <c r="B1588" s="48"/>
      <c r="C1588" s="50"/>
      <c r="D1588" s="49"/>
      <c r="E1588" s="49"/>
      <c r="F1588" s="49"/>
      <c r="G1588" s="49"/>
      <c r="H1588" s="49"/>
    </row>
    <row r="1589" spans="1:8">
      <c r="A1589" s="47"/>
      <c r="B1589" s="48"/>
      <c r="C1589" s="50"/>
      <c r="D1589" s="49"/>
      <c r="E1589" s="49"/>
      <c r="F1589" s="49"/>
      <c r="G1589" s="49"/>
      <c r="H1589" s="49"/>
    </row>
    <row r="1590" spans="1:8">
      <c r="A1590" s="47"/>
      <c r="B1590" s="48"/>
      <c r="C1590" s="50"/>
      <c r="D1590" s="49"/>
      <c r="E1590" s="49"/>
      <c r="F1590" s="49"/>
      <c r="G1590" s="49"/>
      <c r="H1590" s="49"/>
    </row>
    <row r="1591" spans="1:8">
      <c r="A1591" s="47"/>
      <c r="B1591" s="48"/>
      <c r="C1591" s="50"/>
      <c r="D1591" s="49"/>
      <c r="E1591" s="49"/>
      <c r="F1591" s="49"/>
      <c r="G1591" s="49"/>
      <c r="H1591" s="49"/>
    </row>
    <row r="1592" spans="1:8">
      <c r="A1592" s="47"/>
      <c r="B1592" s="48"/>
      <c r="C1592" s="50"/>
      <c r="D1592" s="49"/>
      <c r="E1592" s="49"/>
      <c r="F1592" s="49"/>
      <c r="G1592" s="49"/>
      <c r="H1592" s="49"/>
    </row>
    <row r="1593" spans="1:8">
      <c r="A1593" s="47"/>
      <c r="B1593" s="48"/>
      <c r="C1593" s="50"/>
      <c r="D1593" s="49"/>
      <c r="E1593" s="49"/>
      <c r="F1593" s="49"/>
      <c r="G1593" s="49"/>
      <c r="H1593" s="49"/>
    </row>
    <row r="1594" spans="1:8">
      <c r="A1594" s="47"/>
      <c r="B1594" s="48"/>
      <c r="C1594" s="50"/>
      <c r="D1594" s="49"/>
      <c r="E1594" s="49"/>
      <c r="F1594" s="49"/>
      <c r="G1594" s="49"/>
      <c r="H1594" s="49"/>
    </row>
    <row r="1595" spans="1:8">
      <c r="A1595" s="47"/>
      <c r="B1595" s="48"/>
      <c r="C1595" s="50"/>
      <c r="D1595" s="49"/>
      <c r="E1595" s="49"/>
      <c r="F1595" s="49"/>
      <c r="G1595" s="49"/>
      <c r="H1595" s="49"/>
    </row>
    <row r="1596" spans="1:8">
      <c r="A1596" s="47"/>
      <c r="B1596" s="48"/>
      <c r="C1596" s="50"/>
      <c r="D1596" s="49"/>
      <c r="E1596" s="49"/>
      <c r="F1596" s="49"/>
      <c r="G1596" s="49"/>
      <c r="H1596" s="49"/>
    </row>
    <row r="1597" spans="1:8">
      <c r="A1597" s="47"/>
      <c r="B1597" s="48"/>
      <c r="C1597" s="50"/>
      <c r="D1597" s="49"/>
      <c r="E1597" s="49"/>
      <c r="F1597" s="49"/>
      <c r="G1597" s="49"/>
      <c r="H1597" s="49"/>
    </row>
    <row r="1598" spans="1:8">
      <c r="A1598" s="47"/>
      <c r="B1598" s="48"/>
      <c r="C1598" s="50"/>
      <c r="D1598" s="49"/>
      <c r="E1598" s="49"/>
      <c r="F1598" s="49"/>
      <c r="G1598" s="49"/>
      <c r="H1598" s="49"/>
    </row>
    <row r="1599" spans="1:8">
      <c r="A1599" s="47"/>
      <c r="B1599" s="48"/>
      <c r="C1599" s="50"/>
      <c r="D1599" s="49"/>
      <c r="E1599" s="49"/>
      <c r="F1599" s="49"/>
      <c r="G1599" s="49"/>
      <c r="H1599" s="49"/>
    </row>
    <row r="1600" spans="1:8">
      <c r="A1600" s="47"/>
      <c r="B1600" s="48"/>
      <c r="C1600" s="50"/>
      <c r="D1600" s="49"/>
      <c r="E1600" s="49"/>
      <c r="F1600" s="49"/>
      <c r="G1600" s="49"/>
      <c r="H1600" s="49"/>
    </row>
    <row r="1601" spans="1:8">
      <c r="A1601" s="47"/>
      <c r="B1601" s="48"/>
      <c r="C1601" s="50"/>
      <c r="D1601" s="49"/>
      <c r="E1601" s="49"/>
      <c r="F1601" s="49"/>
      <c r="G1601" s="49"/>
      <c r="H1601" s="49"/>
    </row>
    <row r="1602" spans="1:8">
      <c r="A1602" s="47"/>
      <c r="B1602" s="48"/>
      <c r="C1602" s="50"/>
      <c r="D1602" s="49"/>
      <c r="E1602" s="49"/>
      <c r="F1602" s="49"/>
      <c r="G1602" s="49"/>
      <c r="H1602" s="49"/>
    </row>
    <row r="1603" spans="1:8">
      <c r="A1603" s="47"/>
      <c r="B1603" s="48"/>
      <c r="C1603" s="50"/>
      <c r="D1603" s="49"/>
      <c r="E1603" s="49"/>
      <c r="F1603" s="49"/>
      <c r="G1603" s="49"/>
      <c r="H1603" s="49"/>
    </row>
    <row r="1604" spans="1:8">
      <c r="A1604" s="47"/>
      <c r="B1604" s="48"/>
      <c r="C1604" s="50"/>
      <c r="D1604" s="49"/>
      <c r="E1604" s="49"/>
      <c r="F1604" s="49"/>
      <c r="G1604" s="49"/>
      <c r="H1604" s="49"/>
    </row>
    <row r="1605" spans="1:8">
      <c r="A1605" s="47"/>
      <c r="B1605" s="48"/>
      <c r="C1605" s="50"/>
      <c r="D1605" s="49"/>
      <c r="E1605" s="49"/>
      <c r="F1605" s="49"/>
      <c r="G1605" s="49"/>
      <c r="H1605" s="49"/>
    </row>
    <row r="1606" spans="1:8">
      <c r="A1606" s="47"/>
      <c r="B1606" s="48"/>
      <c r="C1606" s="50"/>
      <c r="D1606" s="49"/>
      <c r="E1606" s="49"/>
      <c r="F1606" s="49"/>
      <c r="G1606" s="49"/>
      <c r="H1606" s="49"/>
    </row>
    <row r="1607" spans="1:8">
      <c r="A1607" s="47"/>
      <c r="B1607" s="48"/>
      <c r="C1607" s="50"/>
      <c r="D1607" s="49"/>
      <c r="E1607" s="49"/>
      <c r="F1607" s="49"/>
      <c r="G1607" s="49"/>
      <c r="H1607" s="49"/>
    </row>
    <row r="1608" spans="1:8">
      <c r="A1608" s="47"/>
      <c r="B1608" s="48"/>
      <c r="C1608" s="50"/>
      <c r="D1608" s="49"/>
      <c r="E1608" s="49"/>
      <c r="F1608" s="49"/>
      <c r="G1608" s="49"/>
      <c r="H1608" s="49"/>
    </row>
    <row r="1609" spans="1:8">
      <c r="A1609" s="47"/>
      <c r="B1609" s="48"/>
      <c r="C1609" s="50"/>
      <c r="D1609" s="49"/>
      <c r="E1609" s="49"/>
      <c r="F1609" s="49"/>
      <c r="G1609" s="49"/>
      <c r="H1609" s="49"/>
    </row>
    <row r="1610" spans="1:8">
      <c r="A1610" s="47"/>
      <c r="B1610" s="48"/>
      <c r="C1610" s="50"/>
      <c r="D1610" s="49"/>
      <c r="E1610" s="49"/>
      <c r="F1610" s="49"/>
      <c r="G1610" s="49"/>
      <c r="H1610" s="49"/>
    </row>
    <row r="1611" spans="1:8">
      <c r="A1611" s="47"/>
      <c r="B1611" s="48"/>
      <c r="C1611" s="50"/>
      <c r="D1611" s="49"/>
      <c r="E1611" s="49"/>
      <c r="F1611" s="49"/>
      <c r="G1611" s="49"/>
      <c r="H1611" s="49"/>
    </row>
    <row r="1612" spans="1:8">
      <c r="A1612" s="47"/>
      <c r="B1612" s="48"/>
      <c r="C1612" s="50"/>
      <c r="D1612" s="49"/>
      <c r="E1612" s="49"/>
      <c r="F1612" s="49"/>
      <c r="G1612" s="49"/>
      <c r="H1612" s="49"/>
    </row>
    <row r="1613" spans="1:8">
      <c r="A1613" s="47"/>
      <c r="B1613" s="48"/>
      <c r="C1613" s="50"/>
      <c r="D1613" s="49"/>
      <c r="E1613" s="49"/>
      <c r="F1613" s="49"/>
      <c r="G1613" s="49"/>
      <c r="H1613" s="49"/>
    </row>
    <row r="1614" spans="1:8">
      <c r="A1614" s="47"/>
      <c r="B1614" s="48"/>
      <c r="C1614" s="50"/>
      <c r="D1614" s="49"/>
      <c r="E1614" s="49"/>
      <c r="F1614" s="49"/>
      <c r="G1614" s="49"/>
      <c r="H1614" s="49"/>
    </row>
    <row r="1615" spans="1:8">
      <c r="A1615" s="47"/>
      <c r="B1615" s="48"/>
      <c r="C1615" s="50"/>
      <c r="D1615" s="49"/>
      <c r="E1615" s="49"/>
      <c r="F1615" s="49"/>
      <c r="G1615" s="49"/>
      <c r="H1615" s="49"/>
    </row>
    <row r="1616" spans="1:8">
      <c r="A1616" s="47"/>
      <c r="B1616" s="48"/>
      <c r="C1616" s="50"/>
      <c r="D1616" s="49"/>
      <c r="E1616" s="49"/>
      <c r="F1616" s="49"/>
      <c r="G1616" s="49"/>
      <c r="H1616" s="49"/>
    </row>
    <row r="1617" spans="1:8">
      <c r="A1617" s="47"/>
      <c r="B1617" s="48"/>
      <c r="C1617" s="50"/>
      <c r="D1617" s="49"/>
      <c r="E1617" s="49"/>
      <c r="F1617" s="49"/>
      <c r="G1617" s="49"/>
      <c r="H1617" s="49"/>
    </row>
    <row r="1618" spans="1:8">
      <c r="A1618" s="47"/>
      <c r="B1618" s="48"/>
      <c r="C1618" s="50"/>
      <c r="D1618" s="49"/>
      <c r="E1618" s="49"/>
      <c r="F1618" s="49"/>
      <c r="G1618" s="49"/>
      <c r="H1618" s="49"/>
    </row>
    <row r="1619" spans="1:8">
      <c r="A1619" s="47"/>
      <c r="B1619" s="48"/>
      <c r="C1619" s="50"/>
      <c r="D1619" s="49"/>
      <c r="E1619" s="49"/>
      <c r="F1619" s="49"/>
      <c r="G1619" s="49"/>
      <c r="H1619" s="49"/>
    </row>
    <row r="1620" spans="1:8">
      <c r="A1620" s="47"/>
      <c r="B1620" s="48"/>
      <c r="C1620" s="50"/>
      <c r="D1620" s="49"/>
      <c r="E1620" s="49"/>
      <c r="F1620" s="49"/>
      <c r="G1620" s="49"/>
      <c r="H1620" s="49"/>
    </row>
    <row r="1621" spans="1:8">
      <c r="A1621" s="47"/>
      <c r="B1621" s="48"/>
      <c r="C1621" s="50"/>
      <c r="D1621" s="49"/>
      <c r="E1621" s="49"/>
      <c r="F1621" s="49"/>
      <c r="G1621" s="49"/>
      <c r="H1621" s="49"/>
    </row>
    <row r="1622" spans="1:8">
      <c r="A1622" s="47"/>
      <c r="B1622" s="48"/>
      <c r="C1622" s="50"/>
      <c r="D1622" s="49"/>
      <c r="E1622" s="49"/>
      <c r="F1622" s="49"/>
      <c r="G1622" s="49"/>
      <c r="H1622" s="49"/>
    </row>
    <row r="1623" spans="1:8">
      <c r="A1623" s="47"/>
      <c r="B1623" s="48"/>
      <c r="C1623" s="50"/>
      <c r="D1623" s="49"/>
      <c r="E1623" s="49"/>
      <c r="F1623" s="49"/>
      <c r="G1623" s="49"/>
      <c r="H1623" s="49"/>
    </row>
    <row r="1624" spans="1:8">
      <c r="A1624" s="47"/>
      <c r="B1624" s="48"/>
      <c r="C1624" s="50"/>
      <c r="D1624" s="49"/>
      <c r="E1624" s="49"/>
      <c r="F1624" s="49"/>
      <c r="G1624" s="49"/>
      <c r="H1624" s="49"/>
    </row>
    <row r="1625" spans="1:8">
      <c r="A1625" s="47"/>
      <c r="B1625" s="48"/>
      <c r="C1625" s="50"/>
      <c r="D1625" s="49"/>
      <c r="E1625" s="49"/>
      <c r="F1625" s="49"/>
      <c r="G1625" s="49"/>
      <c r="H1625" s="49"/>
    </row>
    <row r="1626" spans="1:8">
      <c r="A1626" s="47"/>
      <c r="B1626" s="48"/>
      <c r="C1626" s="50"/>
      <c r="D1626" s="49"/>
      <c r="E1626" s="49"/>
      <c r="F1626" s="49"/>
      <c r="G1626" s="49"/>
      <c r="H1626" s="49"/>
    </row>
    <row r="1627" spans="1:8">
      <c r="A1627" s="47"/>
      <c r="B1627" s="48"/>
      <c r="C1627" s="50"/>
      <c r="D1627" s="49"/>
      <c r="E1627" s="49"/>
      <c r="F1627" s="49"/>
      <c r="G1627" s="49"/>
      <c r="H1627" s="49"/>
    </row>
    <row r="1628" spans="1:8">
      <c r="A1628" s="47"/>
      <c r="B1628" s="48"/>
      <c r="C1628" s="50"/>
      <c r="D1628" s="49"/>
      <c r="E1628" s="49"/>
      <c r="F1628" s="49"/>
      <c r="G1628" s="49"/>
      <c r="H1628" s="49"/>
    </row>
    <row r="1629" spans="1:8">
      <c r="A1629" s="47"/>
      <c r="B1629" s="48"/>
      <c r="C1629" s="50"/>
      <c r="D1629" s="49"/>
      <c r="E1629" s="49"/>
      <c r="F1629" s="49"/>
      <c r="G1629" s="49"/>
      <c r="H1629" s="49"/>
    </row>
    <row r="1630" spans="1:8">
      <c r="A1630" s="47"/>
      <c r="B1630" s="48"/>
      <c r="C1630" s="50"/>
      <c r="D1630" s="49"/>
      <c r="E1630" s="49"/>
      <c r="F1630" s="49"/>
      <c r="G1630" s="49"/>
      <c r="H1630" s="49"/>
    </row>
    <row r="1631" spans="1:8">
      <c r="A1631" s="47"/>
      <c r="B1631" s="48"/>
      <c r="C1631" s="50"/>
      <c r="D1631" s="49"/>
      <c r="E1631" s="49"/>
      <c r="F1631" s="49"/>
      <c r="G1631" s="49"/>
      <c r="H1631" s="49"/>
    </row>
    <row r="1632" spans="1:8">
      <c r="A1632" s="47"/>
      <c r="B1632" s="48"/>
      <c r="C1632" s="50"/>
      <c r="D1632" s="49"/>
      <c r="E1632" s="49"/>
      <c r="F1632" s="49"/>
      <c r="G1632" s="49"/>
      <c r="H1632" s="49"/>
    </row>
    <row r="1633" spans="1:8">
      <c r="A1633" s="47"/>
      <c r="B1633" s="48"/>
      <c r="C1633" s="50"/>
      <c r="D1633" s="49"/>
      <c r="E1633" s="49"/>
      <c r="F1633" s="49"/>
      <c r="G1633" s="49"/>
      <c r="H1633" s="49"/>
    </row>
    <row r="1634" spans="1:8">
      <c r="A1634" s="47"/>
      <c r="B1634" s="48"/>
      <c r="C1634" s="50"/>
      <c r="D1634" s="49"/>
      <c r="E1634" s="49"/>
      <c r="F1634" s="49"/>
      <c r="G1634" s="49"/>
      <c r="H1634" s="49"/>
    </row>
    <row r="1635" spans="1:8">
      <c r="A1635" s="47"/>
      <c r="B1635" s="48"/>
      <c r="C1635" s="50"/>
      <c r="D1635" s="49"/>
      <c r="E1635" s="49"/>
      <c r="F1635" s="49"/>
      <c r="G1635" s="49"/>
      <c r="H1635" s="49"/>
    </row>
    <row r="1636" spans="1:8">
      <c r="A1636" s="47"/>
      <c r="B1636" s="48"/>
      <c r="C1636" s="50"/>
      <c r="D1636" s="49"/>
      <c r="E1636" s="49"/>
      <c r="F1636" s="49"/>
      <c r="G1636" s="49"/>
      <c r="H1636" s="49"/>
    </row>
    <row r="1637" spans="1:8">
      <c r="A1637" s="47"/>
      <c r="B1637" s="48"/>
      <c r="C1637" s="50"/>
      <c r="D1637" s="49"/>
      <c r="E1637" s="49"/>
      <c r="F1637" s="49"/>
      <c r="G1637" s="49"/>
      <c r="H1637" s="49"/>
    </row>
    <row r="1638" spans="1:8">
      <c r="A1638" s="47"/>
      <c r="B1638" s="48"/>
      <c r="C1638" s="50"/>
      <c r="D1638" s="49"/>
      <c r="E1638" s="49"/>
      <c r="F1638" s="49"/>
      <c r="G1638" s="49"/>
      <c r="H1638" s="49"/>
    </row>
    <row r="1639" spans="1:8">
      <c r="A1639" s="47"/>
      <c r="B1639" s="48"/>
      <c r="C1639" s="50"/>
      <c r="D1639" s="49"/>
      <c r="E1639" s="49"/>
      <c r="F1639" s="49"/>
      <c r="G1639" s="49"/>
      <c r="H1639" s="49"/>
    </row>
    <row r="1640" spans="1:8">
      <c r="A1640" s="47"/>
      <c r="B1640" s="48"/>
      <c r="C1640" s="50"/>
      <c r="D1640" s="49"/>
      <c r="E1640" s="49"/>
      <c r="F1640" s="49"/>
      <c r="G1640" s="49"/>
      <c r="H1640" s="49"/>
    </row>
    <row r="1641" spans="1:8">
      <c r="A1641" s="47"/>
      <c r="B1641" s="48"/>
      <c r="C1641" s="50"/>
      <c r="D1641" s="49"/>
      <c r="E1641" s="49"/>
      <c r="F1641" s="49"/>
      <c r="G1641" s="49"/>
      <c r="H1641" s="49"/>
    </row>
    <row r="1642" spans="1:8">
      <c r="A1642" s="47"/>
      <c r="B1642" s="48"/>
      <c r="C1642" s="50"/>
      <c r="D1642" s="49"/>
      <c r="E1642" s="49"/>
      <c r="F1642" s="49"/>
      <c r="G1642" s="49"/>
      <c r="H1642" s="49"/>
    </row>
    <row r="1643" spans="1:8">
      <c r="A1643" s="47"/>
      <c r="B1643" s="48"/>
      <c r="C1643" s="50"/>
      <c r="D1643" s="49"/>
      <c r="E1643" s="49"/>
      <c r="F1643" s="49"/>
      <c r="G1643" s="49"/>
      <c r="H1643" s="49"/>
    </row>
    <row r="1644" spans="1:8">
      <c r="A1644" s="47"/>
      <c r="B1644" s="48"/>
      <c r="C1644" s="50"/>
      <c r="D1644" s="49"/>
      <c r="E1644" s="49"/>
      <c r="F1644" s="49"/>
      <c r="G1644" s="49"/>
      <c r="H1644" s="49"/>
    </row>
    <row r="1645" spans="1:8">
      <c r="A1645" s="47"/>
      <c r="B1645" s="48"/>
      <c r="C1645" s="50"/>
      <c r="D1645" s="49"/>
      <c r="E1645" s="49"/>
      <c r="F1645" s="49"/>
      <c r="G1645" s="49"/>
      <c r="H1645" s="49"/>
    </row>
    <row r="1646" spans="1:8">
      <c r="A1646" s="47"/>
      <c r="B1646" s="48"/>
      <c r="C1646" s="50"/>
      <c r="D1646" s="49"/>
      <c r="E1646" s="49"/>
      <c r="F1646" s="49"/>
      <c r="G1646" s="49"/>
      <c r="H1646" s="49"/>
    </row>
    <row r="1647" spans="1:8">
      <c r="A1647" s="47"/>
      <c r="B1647" s="48"/>
      <c r="C1647" s="50"/>
      <c r="D1647" s="49"/>
      <c r="E1647" s="49"/>
      <c r="F1647" s="49"/>
      <c r="G1647" s="49"/>
      <c r="H1647" s="49"/>
    </row>
    <row r="1648" spans="1:8">
      <c r="A1648" s="47"/>
      <c r="B1648" s="48"/>
      <c r="C1648" s="50"/>
      <c r="D1648" s="49"/>
      <c r="E1648" s="49"/>
      <c r="F1648" s="49"/>
      <c r="G1648" s="49"/>
      <c r="H1648" s="49"/>
    </row>
    <row r="1649" spans="1:8">
      <c r="A1649" s="47"/>
      <c r="B1649" s="48"/>
      <c r="C1649" s="50"/>
      <c r="D1649" s="49"/>
      <c r="E1649" s="49"/>
      <c r="F1649" s="49"/>
      <c r="G1649" s="49"/>
      <c r="H1649" s="49"/>
    </row>
    <row r="1650" spans="1:8">
      <c r="A1650" s="47"/>
      <c r="B1650" s="48"/>
      <c r="C1650" s="50"/>
      <c r="D1650" s="49"/>
      <c r="E1650" s="49"/>
      <c r="F1650" s="49"/>
      <c r="G1650" s="49"/>
      <c r="H1650" s="49"/>
    </row>
    <row r="1651" spans="1:8">
      <c r="A1651" s="47"/>
      <c r="B1651" s="48"/>
      <c r="C1651" s="50"/>
      <c r="D1651" s="49"/>
      <c r="E1651" s="49"/>
      <c r="F1651" s="49"/>
      <c r="G1651" s="49"/>
      <c r="H1651" s="49"/>
    </row>
    <row r="1652" spans="1:8">
      <c r="A1652" s="47"/>
      <c r="B1652" s="48"/>
      <c r="C1652" s="50"/>
      <c r="D1652" s="49"/>
      <c r="E1652" s="49"/>
      <c r="F1652" s="49"/>
      <c r="G1652" s="49"/>
      <c r="H1652" s="49"/>
    </row>
    <row r="1653" spans="1:8">
      <c r="A1653" s="47"/>
      <c r="B1653" s="48"/>
      <c r="C1653" s="50"/>
      <c r="D1653" s="49"/>
      <c r="E1653" s="49"/>
      <c r="F1653" s="49"/>
      <c r="G1653" s="49"/>
      <c r="H1653" s="49"/>
    </row>
    <row r="1654" spans="1:8">
      <c r="A1654" s="47"/>
      <c r="B1654" s="48"/>
      <c r="C1654" s="50"/>
      <c r="D1654" s="49"/>
      <c r="E1654" s="49"/>
      <c r="F1654" s="49"/>
      <c r="G1654" s="49"/>
      <c r="H1654" s="49"/>
    </row>
    <row r="1655" spans="1:8">
      <c r="A1655" s="47"/>
      <c r="B1655" s="48"/>
      <c r="C1655" s="50"/>
      <c r="D1655" s="49"/>
      <c r="E1655" s="49"/>
      <c r="F1655" s="49"/>
      <c r="G1655" s="49"/>
      <c r="H1655" s="49"/>
    </row>
    <row r="1656" spans="1:8">
      <c r="A1656" s="47"/>
      <c r="B1656" s="48"/>
      <c r="C1656" s="50"/>
      <c r="D1656" s="49"/>
      <c r="E1656" s="49"/>
      <c r="F1656" s="49"/>
      <c r="G1656" s="49"/>
      <c r="H1656" s="49"/>
    </row>
    <row r="1657" spans="1:8">
      <c r="A1657" s="47"/>
      <c r="B1657" s="48"/>
      <c r="C1657" s="50"/>
      <c r="D1657" s="49"/>
      <c r="E1657" s="49"/>
      <c r="F1657" s="49"/>
      <c r="G1657" s="49"/>
      <c r="H1657" s="49"/>
    </row>
    <row r="1658" spans="1:8">
      <c r="A1658" s="47"/>
      <c r="B1658" s="48"/>
      <c r="C1658" s="50"/>
      <c r="D1658" s="49"/>
      <c r="E1658" s="49"/>
      <c r="F1658" s="49"/>
      <c r="G1658" s="49"/>
      <c r="H1658" s="49"/>
    </row>
    <row r="1659" spans="1:8">
      <c r="A1659" s="47"/>
      <c r="B1659" s="48"/>
      <c r="C1659" s="50"/>
      <c r="D1659" s="49"/>
      <c r="E1659" s="49"/>
      <c r="F1659" s="49"/>
      <c r="G1659" s="49"/>
      <c r="H1659" s="49"/>
    </row>
    <row r="1660" spans="1:8">
      <c r="A1660" s="47"/>
      <c r="B1660" s="48"/>
      <c r="C1660" s="50"/>
      <c r="D1660" s="49"/>
      <c r="E1660" s="49"/>
      <c r="F1660" s="49"/>
      <c r="G1660" s="49"/>
      <c r="H1660" s="49"/>
    </row>
    <row r="1661" spans="1:8">
      <c r="A1661" s="47"/>
      <c r="B1661" s="48"/>
      <c r="C1661" s="50"/>
      <c r="D1661" s="49"/>
      <c r="E1661" s="49"/>
      <c r="F1661" s="49"/>
      <c r="G1661" s="49"/>
      <c r="H1661" s="49"/>
    </row>
    <row r="1662" spans="1:8">
      <c r="A1662" s="47"/>
      <c r="B1662" s="48"/>
      <c r="C1662" s="50"/>
      <c r="D1662" s="49"/>
      <c r="E1662" s="49"/>
      <c r="F1662" s="49"/>
      <c r="G1662" s="49"/>
      <c r="H1662" s="49"/>
    </row>
    <row r="1663" spans="1:8">
      <c r="A1663" s="47"/>
      <c r="B1663" s="48"/>
      <c r="C1663" s="50"/>
      <c r="D1663" s="49"/>
      <c r="E1663" s="49"/>
      <c r="F1663" s="49"/>
      <c r="G1663" s="49"/>
      <c r="H1663" s="49"/>
    </row>
    <row r="1664" spans="1:8">
      <c r="A1664" s="47"/>
      <c r="B1664" s="48"/>
      <c r="C1664" s="50"/>
      <c r="D1664" s="49"/>
      <c r="E1664" s="49"/>
      <c r="F1664" s="49"/>
      <c r="G1664" s="49"/>
      <c r="H1664" s="49"/>
    </row>
    <row r="1665" spans="1:8">
      <c r="A1665" s="47"/>
      <c r="B1665" s="48"/>
      <c r="C1665" s="50"/>
      <c r="D1665" s="49"/>
      <c r="E1665" s="49"/>
      <c r="F1665" s="49"/>
      <c r="G1665" s="49"/>
      <c r="H1665" s="49"/>
    </row>
    <row r="1666" spans="1:8">
      <c r="A1666" s="47"/>
      <c r="B1666" s="48"/>
      <c r="C1666" s="50"/>
      <c r="D1666" s="49"/>
      <c r="E1666" s="49"/>
      <c r="F1666" s="49"/>
      <c r="G1666" s="49"/>
      <c r="H1666" s="49"/>
    </row>
    <row r="1667" spans="1:8">
      <c r="A1667" s="47"/>
      <c r="B1667" s="48"/>
      <c r="C1667" s="50"/>
      <c r="D1667" s="49"/>
      <c r="E1667" s="49"/>
      <c r="F1667" s="49"/>
      <c r="G1667" s="49"/>
      <c r="H1667" s="49"/>
    </row>
    <row r="1668" spans="1:8">
      <c r="A1668" s="47"/>
      <c r="B1668" s="48"/>
      <c r="C1668" s="50"/>
      <c r="D1668" s="49"/>
      <c r="E1668" s="49"/>
      <c r="F1668" s="49"/>
      <c r="G1668" s="49"/>
      <c r="H1668" s="49"/>
    </row>
    <row r="1669" spans="1:8">
      <c r="A1669" s="47"/>
      <c r="B1669" s="48"/>
      <c r="C1669" s="50"/>
      <c r="D1669" s="49"/>
      <c r="E1669" s="49"/>
      <c r="F1669" s="49"/>
      <c r="G1669" s="49"/>
      <c r="H1669" s="49"/>
    </row>
    <row r="1670" spans="1:8">
      <c r="A1670" s="47"/>
      <c r="B1670" s="48"/>
      <c r="C1670" s="50"/>
      <c r="D1670" s="49"/>
      <c r="E1670" s="49"/>
      <c r="F1670" s="49"/>
      <c r="G1670" s="49"/>
      <c r="H1670" s="49"/>
    </row>
    <row r="1671" spans="1:8">
      <c r="A1671" s="47"/>
      <c r="B1671" s="48"/>
      <c r="C1671" s="50"/>
      <c r="D1671" s="49"/>
      <c r="E1671" s="49"/>
      <c r="F1671" s="49"/>
      <c r="G1671" s="49"/>
      <c r="H1671" s="49"/>
    </row>
    <row r="1672" spans="1:8">
      <c r="A1672" s="47"/>
      <c r="B1672" s="48"/>
      <c r="C1672" s="50"/>
      <c r="D1672" s="49"/>
      <c r="E1672" s="49"/>
      <c r="F1672" s="49"/>
      <c r="G1672" s="49"/>
      <c r="H1672" s="49"/>
    </row>
    <row r="1673" spans="1:8">
      <c r="A1673" s="47"/>
      <c r="B1673" s="48"/>
      <c r="C1673" s="50"/>
      <c r="D1673" s="49"/>
      <c r="E1673" s="49"/>
      <c r="F1673" s="49"/>
      <c r="G1673" s="49"/>
      <c r="H1673" s="49"/>
    </row>
    <row r="1674" spans="1:8">
      <c r="A1674" s="47"/>
      <c r="B1674" s="48"/>
      <c r="C1674" s="50"/>
      <c r="D1674" s="49"/>
      <c r="E1674" s="49"/>
      <c r="F1674" s="49"/>
      <c r="G1674" s="49"/>
      <c r="H1674" s="49"/>
    </row>
    <row r="1675" spans="1:8">
      <c r="A1675" s="47"/>
      <c r="B1675" s="48"/>
      <c r="C1675" s="50"/>
      <c r="D1675" s="49"/>
      <c r="E1675" s="49"/>
      <c r="F1675" s="49"/>
      <c r="G1675" s="49"/>
      <c r="H1675" s="49"/>
    </row>
    <row r="1676" spans="1:8">
      <c r="A1676" s="47"/>
      <c r="B1676" s="48"/>
      <c r="C1676" s="50"/>
      <c r="D1676" s="49"/>
      <c r="E1676" s="49"/>
      <c r="F1676" s="49"/>
      <c r="G1676" s="49"/>
      <c r="H1676" s="49"/>
    </row>
    <row r="1677" spans="1:8">
      <c r="A1677" s="47"/>
      <c r="B1677" s="48"/>
      <c r="C1677" s="50"/>
      <c r="D1677" s="49"/>
      <c r="E1677" s="49"/>
      <c r="F1677" s="49"/>
      <c r="G1677" s="49"/>
      <c r="H1677" s="49"/>
    </row>
    <row r="1678" spans="1:8">
      <c r="A1678" s="47"/>
      <c r="B1678" s="48"/>
      <c r="C1678" s="50"/>
      <c r="D1678" s="49"/>
      <c r="E1678" s="49"/>
      <c r="F1678" s="49"/>
      <c r="G1678" s="49"/>
      <c r="H1678" s="49"/>
    </row>
    <row r="1679" spans="1:8">
      <c r="A1679" s="47"/>
      <c r="B1679" s="48"/>
      <c r="C1679" s="50"/>
      <c r="D1679" s="49"/>
      <c r="E1679" s="49"/>
      <c r="F1679" s="49"/>
      <c r="G1679" s="49"/>
      <c r="H1679" s="49"/>
    </row>
    <row r="1680" spans="1:8">
      <c r="A1680" s="47"/>
      <c r="B1680" s="48"/>
      <c r="C1680" s="50"/>
      <c r="D1680" s="49"/>
      <c r="E1680" s="49"/>
      <c r="F1680" s="49"/>
      <c r="G1680" s="49"/>
      <c r="H1680" s="49"/>
    </row>
    <row r="1681" spans="1:8">
      <c r="A1681" s="47"/>
      <c r="B1681" s="48"/>
      <c r="C1681" s="50"/>
      <c r="D1681" s="49"/>
      <c r="E1681" s="49"/>
      <c r="F1681" s="49"/>
      <c r="G1681" s="49"/>
      <c r="H1681" s="49"/>
    </row>
    <row r="1682" spans="1:8">
      <c r="A1682" s="47"/>
      <c r="B1682" s="48"/>
      <c r="C1682" s="50"/>
      <c r="D1682" s="49"/>
      <c r="E1682" s="49"/>
      <c r="F1682" s="49"/>
      <c r="G1682" s="49"/>
      <c r="H1682" s="49"/>
    </row>
    <row r="1683" spans="1:8">
      <c r="A1683" s="47"/>
      <c r="B1683" s="48"/>
      <c r="C1683" s="50"/>
      <c r="D1683" s="49"/>
      <c r="E1683" s="49"/>
      <c r="F1683" s="49"/>
      <c r="G1683" s="49"/>
      <c r="H1683" s="49"/>
    </row>
    <row r="1684" spans="1:8">
      <c r="A1684" s="47"/>
      <c r="B1684" s="48"/>
      <c r="C1684" s="50"/>
      <c r="D1684" s="49"/>
      <c r="E1684" s="49"/>
      <c r="F1684" s="49"/>
      <c r="G1684" s="49"/>
      <c r="H1684" s="49"/>
    </row>
    <row r="1685" spans="1:8">
      <c r="A1685" s="47"/>
      <c r="B1685" s="48"/>
      <c r="C1685" s="50"/>
      <c r="D1685" s="49"/>
      <c r="E1685" s="49"/>
      <c r="F1685" s="49"/>
      <c r="G1685" s="49"/>
      <c r="H1685" s="49"/>
    </row>
    <row r="1686" spans="1:8">
      <c r="A1686" s="47"/>
      <c r="B1686" s="48"/>
      <c r="C1686" s="50"/>
      <c r="D1686" s="49"/>
      <c r="E1686" s="49"/>
      <c r="F1686" s="49"/>
      <c r="G1686" s="49"/>
      <c r="H1686" s="49"/>
    </row>
    <row r="1687" spans="1:8">
      <c r="A1687" s="47"/>
      <c r="B1687" s="48"/>
      <c r="C1687" s="50"/>
      <c r="D1687" s="49"/>
      <c r="E1687" s="49"/>
      <c r="F1687" s="49"/>
      <c r="G1687" s="49"/>
      <c r="H1687" s="49"/>
    </row>
    <row r="1688" spans="1:8">
      <c r="A1688" s="47"/>
      <c r="B1688" s="48"/>
      <c r="C1688" s="50"/>
      <c r="D1688" s="49"/>
      <c r="E1688" s="49"/>
      <c r="F1688" s="49"/>
      <c r="G1688" s="49"/>
      <c r="H1688" s="49"/>
    </row>
    <row r="1689" spans="1:8">
      <c r="A1689" s="47"/>
      <c r="B1689" s="48"/>
      <c r="C1689" s="50"/>
      <c r="D1689" s="49"/>
      <c r="E1689" s="49"/>
      <c r="F1689" s="49"/>
      <c r="G1689" s="49"/>
      <c r="H1689" s="49"/>
    </row>
    <row r="1690" spans="1:8">
      <c r="A1690" s="47"/>
      <c r="B1690" s="48"/>
      <c r="C1690" s="50"/>
      <c r="D1690" s="49"/>
      <c r="E1690" s="49"/>
      <c r="F1690" s="49"/>
      <c r="G1690" s="49"/>
      <c r="H1690" s="49"/>
    </row>
    <row r="1691" spans="1:8">
      <c r="A1691" s="47"/>
      <c r="B1691" s="48"/>
      <c r="C1691" s="50"/>
      <c r="D1691" s="49"/>
      <c r="E1691" s="49"/>
      <c r="F1691" s="49"/>
      <c r="G1691" s="49"/>
      <c r="H1691" s="49"/>
    </row>
    <row r="1692" spans="1:8">
      <c r="A1692" s="47"/>
      <c r="B1692" s="48"/>
      <c r="C1692" s="50"/>
      <c r="D1692" s="49"/>
      <c r="E1692" s="49"/>
      <c r="F1692" s="49"/>
      <c r="G1692" s="49"/>
      <c r="H1692" s="49"/>
    </row>
    <row r="1693" spans="1:8">
      <c r="A1693" s="47"/>
      <c r="B1693" s="48"/>
      <c r="C1693" s="50"/>
      <c r="D1693" s="49"/>
      <c r="E1693" s="49"/>
      <c r="F1693" s="49"/>
      <c r="G1693" s="49"/>
      <c r="H1693" s="49"/>
    </row>
    <row r="1694" spans="1:8">
      <c r="A1694" s="47"/>
      <c r="B1694" s="48"/>
      <c r="C1694" s="50"/>
      <c r="D1694" s="49"/>
      <c r="E1694" s="49"/>
      <c r="F1694" s="49"/>
      <c r="G1694" s="49"/>
      <c r="H1694" s="49"/>
    </row>
    <row r="1695" spans="1:8">
      <c r="A1695" s="47"/>
      <c r="B1695" s="48"/>
      <c r="C1695" s="50"/>
      <c r="D1695" s="49"/>
      <c r="E1695" s="49"/>
      <c r="F1695" s="49"/>
      <c r="G1695" s="49"/>
      <c r="H1695" s="49"/>
    </row>
    <row r="1696" spans="1:8">
      <c r="A1696" s="47"/>
      <c r="B1696" s="48"/>
      <c r="C1696" s="50"/>
      <c r="D1696" s="49"/>
      <c r="E1696" s="49"/>
      <c r="F1696" s="49"/>
      <c r="G1696" s="49"/>
      <c r="H1696" s="49"/>
    </row>
    <row r="1697" spans="1:8">
      <c r="A1697" s="47"/>
      <c r="B1697" s="48"/>
      <c r="C1697" s="50"/>
      <c r="D1697" s="49"/>
      <c r="E1697" s="49"/>
      <c r="F1697" s="49"/>
      <c r="G1697" s="49"/>
      <c r="H1697" s="49"/>
    </row>
    <row r="1698" spans="1:8">
      <c r="A1698" s="47"/>
      <c r="B1698" s="48"/>
      <c r="C1698" s="50"/>
      <c r="D1698" s="49"/>
      <c r="E1698" s="49"/>
      <c r="F1698" s="49"/>
      <c r="G1698" s="49"/>
      <c r="H1698" s="49"/>
    </row>
    <row r="1699" spans="1:8">
      <c r="A1699" s="47"/>
      <c r="B1699" s="48"/>
      <c r="C1699" s="50"/>
      <c r="D1699" s="49"/>
      <c r="E1699" s="49"/>
      <c r="F1699" s="49"/>
      <c r="G1699" s="49"/>
      <c r="H1699" s="49"/>
    </row>
    <row r="1700" spans="1:8">
      <c r="A1700" s="47"/>
      <c r="B1700" s="48"/>
      <c r="C1700" s="50"/>
      <c r="D1700" s="49"/>
      <c r="E1700" s="49"/>
      <c r="F1700" s="49"/>
      <c r="G1700" s="49"/>
      <c r="H1700" s="49"/>
    </row>
    <row r="1701" spans="1:8">
      <c r="A1701" s="47"/>
      <c r="B1701" s="48"/>
      <c r="C1701" s="50"/>
      <c r="D1701" s="49"/>
      <c r="E1701" s="49"/>
      <c r="F1701" s="49"/>
      <c r="G1701" s="49"/>
      <c r="H1701" s="49"/>
    </row>
    <row r="1702" spans="1:8">
      <c r="A1702" s="47"/>
      <c r="B1702" s="48"/>
      <c r="C1702" s="50"/>
      <c r="D1702" s="49"/>
      <c r="E1702" s="49"/>
      <c r="F1702" s="49"/>
      <c r="G1702" s="49"/>
      <c r="H1702" s="49"/>
    </row>
    <row r="1703" spans="1:8">
      <c r="A1703" s="47"/>
      <c r="B1703" s="48"/>
      <c r="C1703" s="50"/>
      <c r="D1703" s="49"/>
      <c r="E1703" s="49"/>
      <c r="F1703" s="49"/>
      <c r="G1703" s="49"/>
      <c r="H1703" s="49"/>
    </row>
    <row r="1704" spans="1:8">
      <c r="A1704" s="47"/>
      <c r="B1704" s="48"/>
      <c r="C1704" s="50"/>
      <c r="D1704" s="49"/>
      <c r="E1704" s="49"/>
      <c r="F1704" s="49"/>
      <c r="G1704" s="49"/>
      <c r="H1704" s="49"/>
    </row>
    <row r="1705" spans="1:8">
      <c r="A1705" s="47"/>
      <c r="B1705" s="48"/>
      <c r="C1705" s="50"/>
      <c r="D1705" s="49"/>
      <c r="E1705" s="49"/>
      <c r="F1705" s="49"/>
      <c r="G1705" s="49"/>
      <c r="H1705" s="49"/>
    </row>
    <row r="1706" spans="1:8">
      <c r="A1706" s="47"/>
      <c r="B1706" s="48"/>
      <c r="C1706" s="50"/>
      <c r="D1706" s="49"/>
      <c r="E1706" s="49"/>
      <c r="F1706" s="49"/>
      <c r="G1706" s="49"/>
      <c r="H1706" s="49"/>
    </row>
    <row r="1707" spans="1:8">
      <c r="A1707" s="47"/>
      <c r="B1707" s="48"/>
      <c r="C1707" s="50"/>
      <c r="D1707" s="49"/>
      <c r="E1707" s="49"/>
      <c r="F1707" s="49"/>
      <c r="G1707" s="49"/>
      <c r="H1707" s="49"/>
    </row>
    <row r="1708" spans="1:8">
      <c r="A1708" s="47"/>
      <c r="B1708" s="48"/>
      <c r="C1708" s="50"/>
      <c r="D1708" s="49"/>
      <c r="E1708" s="49"/>
      <c r="F1708" s="49"/>
      <c r="G1708" s="49"/>
      <c r="H1708" s="49"/>
    </row>
    <row r="1709" spans="1:8">
      <c r="A1709" s="47"/>
      <c r="B1709" s="48"/>
      <c r="C1709" s="50"/>
      <c r="D1709" s="49"/>
      <c r="E1709" s="49"/>
      <c r="F1709" s="49"/>
      <c r="G1709" s="49"/>
      <c r="H1709" s="49"/>
    </row>
    <row r="1710" spans="1:8">
      <c r="A1710" s="47"/>
      <c r="B1710" s="48"/>
      <c r="C1710" s="50"/>
      <c r="D1710" s="49"/>
      <c r="E1710" s="49"/>
      <c r="F1710" s="49"/>
      <c r="G1710" s="49"/>
      <c r="H1710" s="49"/>
    </row>
    <row r="1711" spans="1:8">
      <c r="A1711" s="47"/>
      <c r="B1711" s="48"/>
      <c r="C1711" s="50"/>
      <c r="D1711" s="49"/>
      <c r="E1711" s="49"/>
      <c r="F1711" s="49"/>
      <c r="G1711" s="49"/>
      <c r="H1711" s="49"/>
    </row>
    <row r="1712" spans="1:8">
      <c r="A1712" s="47"/>
      <c r="B1712" s="48"/>
      <c r="C1712" s="50"/>
      <c r="D1712" s="49"/>
      <c r="E1712" s="49"/>
      <c r="F1712" s="49"/>
      <c r="G1712" s="49"/>
      <c r="H1712" s="49"/>
    </row>
    <row r="1713" spans="1:8">
      <c r="A1713" s="47"/>
      <c r="B1713" s="48"/>
      <c r="C1713" s="50"/>
      <c r="D1713" s="49"/>
      <c r="E1713" s="49"/>
      <c r="F1713" s="49"/>
      <c r="G1713" s="49"/>
      <c r="H1713" s="49"/>
    </row>
    <row r="1714" spans="1:8">
      <c r="A1714" s="47"/>
      <c r="B1714" s="48"/>
      <c r="C1714" s="50"/>
      <c r="D1714" s="49"/>
      <c r="E1714" s="49"/>
      <c r="F1714" s="49"/>
      <c r="G1714" s="49"/>
      <c r="H1714" s="49"/>
    </row>
    <row r="1715" spans="1:8">
      <c r="A1715" s="47"/>
      <c r="B1715" s="48"/>
      <c r="C1715" s="50"/>
      <c r="D1715" s="49"/>
      <c r="E1715" s="49"/>
      <c r="F1715" s="49"/>
      <c r="G1715" s="49"/>
      <c r="H1715" s="49"/>
    </row>
    <row r="1716" spans="1:8">
      <c r="A1716" s="47"/>
      <c r="B1716" s="48"/>
      <c r="C1716" s="50"/>
      <c r="D1716" s="49"/>
      <c r="E1716" s="49"/>
      <c r="F1716" s="49"/>
      <c r="G1716" s="49"/>
      <c r="H1716" s="49"/>
    </row>
    <row r="1717" spans="1:8">
      <c r="A1717" s="47"/>
      <c r="B1717" s="48"/>
      <c r="C1717" s="50"/>
      <c r="D1717" s="49"/>
      <c r="E1717" s="49"/>
      <c r="F1717" s="49"/>
      <c r="G1717" s="49"/>
      <c r="H1717" s="49"/>
    </row>
    <row r="1718" spans="1:8">
      <c r="A1718" s="47"/>
      <c r="B1718" s="48"/>
      <c r="C1718" s="50"/>
      <c r="D1718" s="49"/>
      <c r="E1718" s="49"/>
      <c r="F1718" s="49"/>
      <c r="G1718" s="49"/>
      <c r="H1718" s="49"/>
    </row>
    <row r="1719" spans="1:8">
      <c r="A1719" s="47"/>
      <c r="B1719" s="48"/>
      <c r="C1719" s="50"/>
      <c r="D1719" s="49"/>
      <c r="E1719" s="49"/>
      <c r="F1719" s="49"/>
      <c r="G1719" s="49"/>
      <c r="H1719" s="49"/>
    </row>
    <row r="1720" spans="1:8">
      <c r="A1720" s="47"/>
      <c r="B1720" s="48"/>
      <c r="C1720" s="50"/>
      <c r="D1720" s="49"/>
      <c r="E1720" s="49"/>
      <c r="F1720" s="49"/>
      <c r="G1720" s="49"/>
      <c r="H1720" s="49"/>
    </row>
    <row r="1721" spans="1:8">
      <c r="A1721" s="47"/>
      <c r="B1721" s="48"/>
      <c r="C1721" s="50"/>
      <c r="D1721" s="49"/>
      <c r="E1721" s="49"/>
      <c r="F1721" s="49"/>
      <c r="G1721" s="49"/>
      <c r="H1721" s="49"/>
    </row>
    <row r="1722" spans="1:8">
      <c r="A1722" s="47"/>
      <c r="B1722" s="48"/>
      <c r="C1722" s="50"/>
      <c r="D1722" s="49"/>
      <c r="E1722" s="49"/>
      <c r="F1722" s="49"/>
      <c r="G1722" s="49"/>
      <c r="H1722" s="49"/>
    </row>
    <row r="1723" spans="1:8">
      <c r="A1723" s="47"/>
      <c r="B1723" s="48"/>
      <c r="C1723" s="50"/>
      <c r="D1723" s="49"/>
      <c r="E1723" s="49"/>
      <c r="F1723" s="49"/>
      <c r="G1723" s="49"/>
      <c r="H1723" s="49"/>
    </row>
    <row r="1724" spans="1:8">
      <c r="A1724" s="47"/>
      <c r="B1724" s="48"/>
      <c r="C1724" s="50"/>
      <c r="D1724" s="49"/>
      <c r="E1724" s="49"/>
      <c r="F1724" s="49"/>
      <c r="G1724" s="49"/>
      <c r="H1724" s="49"/>
    </row>
    <row r="1725" spans="1:8">
      <c r="A1725" s="47"/>
      <c r="B1725" s="48"/>
      <c r="C1725" s="50"/>
      <c r="D1725" s="49"/>
      <c r="E1725" s="49"/>
      <c r="F1725" s="49"/>
      <c r="G1725" s="49"/>
      <c r="H1725" s="49"/>
    </row>
    <row r="1726" spans="1:8">
      <c r="A1726" s="47"/>
      <c r="B1726" s="48"/>
      <c r="C1726" s="50"/>
      <c r="D1726" s="49"/>
      <c r="E1726" s="49"/>
      <c r="F1726" s="49"/>
      <c r="G1726" s="49"/>
      <c r="H1726" s="49"/>
    </row>
    <row r="1727" spans="1:8">
      <c r="A1727" s="47"/>
      <c r="B1727" s="48"/>
      <c r="C1727" s="50"/>
      <c r="D1727" s="49"/>
      <c r="E1727" s="49"/>
      <c r="F1727" s="49"/>
      <c r="G1727" s="49"/>
      <c r="H1727" s="49"/>
    </row>
    <row r="1728" spans="1:8">
      <c r="A1728" s="47"/>
      <c r="B1728" s="48"/>
      <c r="C1728" s="50"/>
      <c r="D1728" s="49"/>
      <c r="E1728" s="49"/>
      <c r="F1728" s="49"/>
      <c r="G1728" s="49"/>
      <c r="H1728" s="49"/>
    </row>
    <row r="1729" spans="1:8">
      <c r="A1729" s="47"/>
      <c r="B1729" s="48"/>
      <c r="C1729" s="50"/>
      <c r="D1729" s="49"/>
      <c r="E1729" s="49"/>
      <c r="F1729" s="49"/>
      <c r="G1729" s="49"/>
      <c r="H1729" s="49"/>
    </row>
    <row r="1730" spans="1:8">
      <c r="A1730" s="47"/>
      <c r="B1730" s="48"/>
      <c r="C1730" s="50"/>
      <c r="D1730" s="49"/>
      <c r="E1730" s="49"/>
      <c r="F1730" s="49"/>
      <c r="G1730" s="49"/>
      <c r="H1730" s="49"/>
    </row>
    <row r="1731" spans="1:8">
      <c r="A1731" s="47"/>
      <c r="B1731" s="48"/>
      <c r="C1731" s="50"/>
      <c r="D1731" s="49"/>
      <c r="E1731" s="49"/>
      <c r="F1731" s="49"/>
      <c r="G1731" s="49"/>
      <c r="H1731" s="49"/>
    </row>
    <row r="1732" spans="1:8">
      <c r="A1732" s="47"/>
      <c r="B1732" s="48"/>
      <c r="C1732" s="50"/>
      <c r="D1732" s="49"/>
      <c r="E1732" s="49"/>
      <c r="F1732" s="49"/>
      <c r="G1732" s="49"/>
      <c r="H1732" s="49"/>
    </row>
    <row r="1733" spans="1:8">
      <c r="A1733" s="47"/>
      <c r="B1733" s="48"/>
      <c r="C1733" s="50"/>
      <c r="D1733" s="49"/>
      <c r="E1733" s="49"/>
      <c r="F1733" s="49"/>
      <c r="G1733" s="49"/>
      <c r="H1733" s="49"/>
    </row>
    <row r="1734" spans="1:8">
      <c r="A1734" s="47"/>
      <c r="B1734" s="48"/>
      <c r="C1734" s="50"/>
      <c r="D1734" s="49"/>
      <c r="E1734" s="49"/>
      <c r="F1734" s="49"/>
      <c r="G1734" s="49"/>
      <c r="H1734" s="49"/>
    </row>
    <row r="1735" spans="1:8">
      <c r="A1735" s="47"/>
      <c r="B1735" s="48"/>
      <c r="C1735" s="50"/>
      <c r="D1735" s="49"/>
      <c r="E1735" s="49"/>
      <c r="F1735" s="49"/>
      <c r="G1735" s="49"/>
      <c r="H1735" s="49"/>
    </row>
    <row r="1736" spans="1:8">
      <c r="A1736" s="47"/>
      <c r="B1736" s="48"/>
      <c r="C1736" s="50"/>
      <c r="D1736" s="49"/>
      <c r="E1736" s="49"/>
      <c r="F1736" s="49"/>
      <c r="G1736" s="49"/>
      <c r="H1736" s="49"/>
    </row>
    <row r="1737" spans="1:8">
      <c r="A1737" s="47"/>
      <c r="B1737" s="48"/>
      <c r="C1737" s="50"/>
      <c r="D1737" s="49"/>
      <c r="E1737" s="49"/>
      <c r="F1737" s="49"/>
      <c r="G1737" s="49"/>
      <c r="H1737" s="49"/>
    </row>
    <row r="1738" spans="1:8">
      <c r="A1738" s="47"/>
      <c r="B1738" s="48"/>
      <c r="C1738" s="50"/>
      <c r="D1738" s="49"/>
      <c r="E1738" s="49"/>
      <c r="F1738" s="49"/>
      <c r="G1738" s="49"/>
      <c r="H1738" s="49"/>
    </row>
    <row r="1739" spans="1:8">
      <c r="A1739" s="47"/>
      <c r="B1739" s="48"/>
      <c r="C1739" s="50"/>
      <c r="D1739" s="49"/>
      <c r="E1739" s="49"/>
      <c r="F1739" s="49"/>
      <c r="G1739" s="49"/>
      <c r="H1739" s="49"/>
    </row>
    <row r="1740" spans="1:8">
      <c r="A1740" s="47"/>
      <c r="B1740" s="48"/>
      <c r="C1740" s="50"/>
      <c r="D1740" s="49"/>
      <c r="E1740" s="49"/>
      <c r="F1740" s="49"/>
      <c r="G1740" s="49"/>
      <c r="H1740" s="49"/>
    </row>
    <row r="1741" spans="1:8">
      <c r="A1741" s="47"/>
      <c r="B1741" s="48"/>
      <c r="C1741" s="50"/>
      <c r="D1741" s="49"/>
      <c r="E1741" s="49"/>
      <c r="F1741" s="49"/>
      <c r="G1741" s="49"/>
      <c r="H1741" s="49"/>
    </row>
    <row r="1742" spans="1:8">
      <c r="A1742" s="47"/>
      <c r="B1742" s="48"/>
      <c r="C1742" s="50"/>
      <c r="D1742" s="49"/>
      <c r="E1742" s="49"/>
      <c r="F1742" s="49"/>
      <c r="G1742" s="49"/>
      <c r="H1742" s="49"/>
    </row>
    <row r="1743" spans="1:8">
      <c r="A1743" s="47"/>
      <c r="B1743" s="48"/>
      <c r="C1743" s="50"/>
      <c r="D1743" s="49"/>
      <c r="E1743" s="49"/>
      <c r="F1743" s="49"/>
      <c r="G1743" s="49"/>
      <c r="H1743" s="49"/>
    </row>
    <row r="1744" spans="1:8">
      <c r="A1744" s="47"/>
      <c r="B1744" s="48"/>
      <c r="C1744" s="50"/>
      <c r="D1744" s="49"/>
      <c r="E1744" s="49"/>
      <c r="F1744" s="49"/>
      <c r="G1744" s="49"/>
      <c r="H1744" s="49"/>
    </row>
    <row r="1745" spans="1:8">
      <c r="A1745" s="47"/>
      <c r="B1745" s="48"/>
      <c r="C1745" s="50"/>
      <c r="D1745" s="49"/>
      <c r="E1745" s="49"/>
      <c r="F1745" s="49"/>
      <c r="G1745" s="49"/>
      <c r="H1745" s="49"/>
    </row>
    <row r="1746" spans="1:8">
      <c r="A1746" s="47"/>
      <c r="B1746" s="48"/>
      <c r="C1746" s="50"/>
      <c r="D1746" s="49"/>
      <c r="E1746" s="49"/>
      <c r="F1746" s="49"/>
      <c r="G1746" s="49"/>
      <c r="H1746" s="49"/>
    </row>
    <row r="1747" spans="1:8">
      <c r="A1747" s="47"/>
      <c r="B1747" s="48"/>
      <c r="C1747" s="50"/>
      <c r="D1747" s="49"/>
      <c r="E1747" s="49"/>
      <c r="F1747" s="49"/>
      <c r="G1747" s="49"/>
      <c r="H1747" s="49"/>
    </row>
    <row r="1748" spans="1:8">
      <c r="A1748" s="47"/>
      <c r="B1748" s="48"/>
      <c r="C1748" s="50"/>
      <c r="D1748" s="49"/>
      <c r="E1748" s="49"/>
      <c r="F1748" s="49"/>
      <c r="G1748" s="49"/>
      <c r="H1748" s="49"/>
    </row>
    <row r="1749" spans="1:8">
      <c r="A1749" s="47"/>
      <c r="B1749" s="48"/>
      <c r="C1749" s="50"/>
      <c r="D1749" s="49"/>
      <c r="E1749" s="49"/>
      <c r="F1749" s="49"/>
      <c r="G1749" s="49"/>
      <c r="H1749" s="49"/>
    </row>
    <row r="1750" spans="1:8">
      <c r="A1750" s="47"/>
      <c r="B1750" s="48"/>
      <c r="C1750" s="50"/>
      <c r="D1750" s="49"/>
      <c r="E1750" s="49"/>
      <c r="F1750" s="49"/>
      <c r="G1750" s="49"/>
      <c r="H1750" s="49"/>
    </row>
    <row r="1751" spans="1:8">
      <c r="A1751" s="47"/>
      <c r="B1751" s="48"/>
      <c r="C1751" s="50"/>
      <c r="D1751" s="49"/>
      <c r="E1751" s="49"/>
      <c r="F1751" s="49"/>
      <c r="G1751" s="49"/>
      <c r="H1751" s="49"/>
    </row>
    <row r="1752" spans="1:8">
      <c r="A1752" s="47"/>
      <c r="B1752" s="48"/>
      <c r="C1752" s="50"/>
      <c r="D1752" s="49"/>
      <c r="E1752" s="49"/>
      <c r="F1752" s="49"/>
      <c r="G1752" s="49"/>
      <c r="H1752" s="49"/>
    </row>
    <row r="1753" spans="1:8">
      <c r="A1753" s="47"/>
      <c r="B1753" s="48"/>
      <c r="C1753" s="50"/>
      <c r="D1753" s="49"/>
      <c r="E1753" s="49"/>
      <c r="F1753" s="49"/>
      <c r="G1753" s="49"/>
      <c r="H1753" s="49"/>
    </row>
    <row r="1754" spans="1:8">
      <c r="A1754" s="47"/>
      <c r="B1754" s="48"/>
      <c r="C1754" s="50"/>
      <c r="D1754" s="49"/>
      <c r="E1754" s="49"/>
      <c r="F1754" s="49"/>
      <c r="G1754" s="49"/>
      <c r="H1754" s="49"/>
    </row>
    <row r="1755" spans="1:8">
      <c r="A1755" s="47"/>
      <c r="B1755" s="48"/>
      <c r="C1755" s="50"/>
      <c r="D1755" s="49"/>
      <c r="E1755" s="49"/>
      <c r="F1755" s="49"/>
      <c r="G1755" s="49"/>
      <c r="H1755" s="49"/>
    </row>
    <row r="1756" spans="1:8">
      <c r="A1756" s="47"/>
      <c r="B1756" s="48"/>
      <c r="C1756" s="50"/>
      <c r="D1756" s="49"/>
      <c r="E1756" s="49"/>
      <c r="F1756" s="49"/>
      <c r="G1756" s="49"/>
      <c r="H1756" s="49"/>
    </row>
  </sheetData>
  <mergeCells count="14">
    <mergeCell ref="A1:H1"/>
    <mergeCell ref="A2:H2"/>
    <mergeCell ref="B7:H7"/>
    <mergeCell ref="B17:H17"/>
    <mergeCell ref="B18:H18"/>
    <mergeCell ref="B8:H8"/>
    <mergeCell ref="B9:H9"/>
    <mergeCell ref="B10:H10"/>
    <mergeCell ref="B12:H12"/>
    <mergeCell ref="B16:H16"/>
    <mergeCell ref="B15:H15"/>
    <mergeCell ref="B11:H11"/>
    <mergeCell ref="B13:H13"/>
    <mergeCell ref="B14:H14"/>
  </mergeCells>
  <printOptions horizontalCentered="1"/>
  <pageMargins left="0.78740157480314965" right="0.39370078740157483" top="0.39370078740157483" bottom="1.1811023622047245" header="0.39370078740157483" footer="0.59055118110236227"/>
  <pageSetup paperSize="9" orientation="portrait" r:id="rId1"/>
  <headerFooter alignWithMargins="0">
    <oddFooter>&amp;L&amp;"-,Uobičajeno"&amp;9&amp;A&amp;C&amp;"-,Uobičajeno"&amp;9DJEČJI VRTIĆ LEKENIK&amp;R&amp;"-,Uobičajeno"str.: &amp;"-,Podebljano"&amp;P/&amp;N</oddFooter>
  </headerFooter>
  <rowBreaks count="27" manualBreakCount="27">
    <brk id="49" max="7" man="1"/>
    <brk id="92" max="7" man="1"/>
    <brk id="138" max="7" man="1"/>
    <brk id="170" max="7" man="1"/>
    <brk id="216" max="7" man="1"/>
    <brk id="260" max="7" man="1"/>
    <brk id="305" max="7" man="1"/>
    <brk id="392" max="7" man="1"/>
    <brk id="437" max="7" man="1"/>
    <brk id="475" max="7" man="1"/>
    <brk id="521" max="7" man="1"/>
    <brk id="612" max="7" man="1"/>
    <brk id="658" max="7" man="1"/>
    <brk id="704" max="7" man="1"/>
    <brk id="891" max="7" man="1"/>
    <brk id="933" max="7" man="1"/>
    <brk id="976" max="7" man="1"/>
    <brk id="1019" max="7" man="1"/>
    <brk id="1061" max="7" man="1"/>
    <brk id="1101" max="7" man="1"/>
    <brk id="1147" max="7" man="1"/>
    <brk id="1188" max="7" man="1"/>
    <brk id="1234" max="7" man="1"/>
    <brk id="1277" max="7" man="1"/>
    <brk id="1323" max="7" man="1"/>
    <brk id="1416" max="7" man="1"/>
    <brk id="1487" max="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2034"/>
  <sheetViews>
    <sheetView tabSelected="1" view="pageBreakPreview" topLeftCell="A371" zoomScale="85" zoomScaleNormal="85" zoomScaleSheetLayoutView="85" workbookViewId="0">
      <selection activeCell="E959" sqref="E959"/>
    </sheetView>
  </sheetViews>
  <sheetFormatPr defaultColWidth="9.109375" defaultRowHeight="13.8"/>
  <cols>
    <col min="1" max="1" width="6.6640625" style="10" customWidth="1"/>
    <col min="2" max="2" width="40.6640625" style="60" customWidth="1"/>
    <col min="3" max="3" width="5.6640625" style="61" customWidth="1"/>
    <col min="4" max="4" width="10.6640625" style="62" customWidth="1"/>
    <col min="5" max="5" width="12.6640625" style="60" customWidth="1"/>
    <col min="6" max="6" width="17.109375" style="60" customWidth="1"/>
    <col min="7" max="7" width="17.6640625" style="62" bestFit="1" customWidth="1"/>
    <col min="8" max="8" width="9.109375" style="62"/>
    <col min="9" max="9" width="9.109375" style="62" customWidth="1"/>
    <col min="10" max="11" width="11.6640625" style="62" bestFit="1" customWidth="1"/>
    <col min="12" max="12" width="9.109375" style="62"/>
    <col min="13" max="13" width="9.109375" style="7"/>
    <col min="14" max="14" width="11.6640625" style="7" bestFit="1" customWidth="1"/>
    <col min="15" max="16384" width="9.109375" style="7"/>
  </cols>
  <sheetData>
    <row r="1" spans="1:12" s="59" customFormat="1" ht="30" customHeight="1">
      <c r="A1" s="935" t="s">
        <v>2134</v>
      </c>
      <c r="B1" s="936"/>
      <c r="C1" s="936"/>
      <c r="D1" s="936"/>
      <c r="E1" s="936"/>
      <c r="F1" s="936"/>
      <c r="G1" s="57"/>
      <c r="H1" s="58"/>
      <c r="I1" s="58"/>
      <c r="J1" s="58"/>
      <c r="K1" s="58"/>
      <c r="L1" s="58"/>
    </row>
    <row r="2" spans="1:12" s="59" customFormat="1" ht="15" customHeight="1">
      <c r="A2" s="127" t="s">
        <v>658</v>
      </c>
      <c r="B2" s="128" t="s">
        <v>890</v>
      </c>
      <c r="C2" s="127" t="s">
        <v>659</v>
      </c>
      <c r="D2" s="129" t="s">
        <v>660</v>
      </c>
      <c r="E2" s="130" t="s">
        <v>891</v>
      </c>
      <c r="F2" s="130" t="s">
        <v>661</v>
      </c>
      <c r="G2" s="58"/>
      <c r="H2" s="58"/>
      <c r="I2" s="58"/>
      <c r="J2" s="58"/>
      <c r="K2" s="58"/>
      <c r="L2" s="58"/>
    </row>
    <row r="3" spans="1:12" ht="15" customHeight="1">
      <c r="A3" s="127">
        <v>1</v>
      </c>
      <c r="B3" s="128" t="s">
        <v>892</v>
      </c>
      <c r="C3" s="127">
        <v>3</v>
      </c>
      <c r="D3" s="127">
        <v>4</v>
      </c>
      <c r="E3" s="127">
        <v>5</v>
      </c>
      <c r="F3" s="130" t="s">
        <v>662</v>
      </c>
    </row>
    <row r="4" spans="1:12" s="63" customFormat="1" ht="15" customHeight="1">
      <c r="A4" s="131"/>
      <c r="B4" s="132"/>
      <c r="C4" s="133"/>
      <c r="D4" s="134"/>
      <c r="E4" s="135"/>
      <c r="F4" s="135"/>
      <c r="G4" s="62"/>
      <c r="H4" s="62"/>
      <c r="I4" s="62"/>
      <c r="J4" s="62"/>
      <c r="K4" s="62"/>
      <c r="L4" s="62"/>
    </row>
    <row r="5" spans="1:12" ht="18">
      <c r="A5" s="213" t="s">
        <v>8</v>
      </c>
      <c r="B5" s="214" t="s">
        <v>1239</v>
      </c>
      <c r="C5" s="214"/>
      <c r="D5" s="136"/>
      <c r="E5" s="137"/>
      <c r="F5" s="138"/>
    </row>
    <row r="6" spans="1:12" ht="18">
      <c r="A6" s="215"/>
      <c r="B6" s="216"/>
      <c r="C6" s="216"/>
      <c r="D6" s="217"/>
      <c r="E6" s="218"/>
      <c r="F6" s="219"/>
    </row>
    <row r="7" spans="1:12">
      <c r="A7" s="64" t="s">
        <v>663</v>
      </c>
      <c r="B7" s="65" t="s">
        <v>664</v>
      </c>
      <c r="C7" s="66"/>
      <c r="D7" s="67"/>
      <c r="E7" s="68"/>
      <c r="F7" s="69"/>
    </row>
    <row r="8" spans="1:12">
      <c r="A8" s="70"/>
      <c r="B8" s="71"/>
      <c r="C8" s="72"/>
      <c r="D8" s="73"/>
      <c r="E8" s="74"/>
      <c r="F8" s="75"/>
    </row>
    <row r="9" spans="1:12">
      <c r="A9" s="76" t="s">
        <v>665</v>
      </c>
      <c r="B9" s="77" t="s">
        <v>666</v>
      </c>
      <c r="C9" s="78"/>
      <c r="D9" s="73"/>
      <c r="E9" s="74"/>
      <c r="F9" s="79"/>
    </row>
    <row r="10" spans="1:12" ht="82.8">
      <c r="A10" s="76" t="s">
        <v>665</v>
      </c>
      <c r="B10" s="80" t="s">
        <v>1593</v>
      </c>
      <c r="C10" s="78"/>
      <c r="D10" s="73"/>
      <c r="E10" s="74"/>
      <c r="F10" s="79"/>
    </row>
    <row r="11" spans="1:12" ht="82.8">
      <c r="A11" s="76" t="s">
        <v>665</v>
      </c>
      <c r="B11" s="80" t="s">
        <v>1594</v>
      </c>
      <c r="C11" s="78"/>
      <c r="D11" s="73"/>
      <c r="E11" s="74"/>
      <c r="F11" s="79"/>
    </row>
    <row r="12" spans="1:12" ht="124.2">
      <c r="A12" s="76"/>
      <c r="B12" s="80" t="s">
        <v>1595</v>
      </c>
      <c r="C12" s="78"/>
      <c r="D12" s="73"/>
      <c r="E12" s="74"/>
      <c r="F12" s="79"/>
    </row>
    <row r="13" spans="1:12">
      <c r="A13" s="76"/>
      <c r="B13" s="80"/>
      <c r="C13" s="78"/>
      <c r="D13" s="73"/>
      <c r="E13" s="74"/>
      <c r="F13" s="79"/>
    </row>
    <row r="14" spans="1:12">
      <c r="A14" s="70"/>
      <c r="B14" s="71"/>
      <c r="C14" s="72"/>
      <c r="D14" s="73"/>
      <c r="E14" s="74"/>
      <c r="F14" s="75"/>
    </row>
    <row r="15" spans="1:12">
      <c r="A15" s="260" t="s">
        <v>986</v>
      </c>
      <c r="B15" s="82" t="s">
        <v>104</v>
      </c>
      <c r="C15" s="83"/>
      <c r="D15" s="84"/>
      <c r="E15" s="85"/>
      <c r="F15" s="86"/>
    </row>
    <row r="16" spans="1:12">
      <c r="A16" s="70"/>
      <c r="B16" s="71"/>
      <c r="C16" s="72"/>
      <c r="D16" s="73"/>
      <c r="E16" s="74"/>
      <c r="F16" s="75"/>
    </row>
    <row r="17" spans="1:6">
      <c r="A17" s="87" t="s">
        <v>667</v>
      </c>
      <c r="B17" s="88" t="s">
        <v>668</v>
      </c>
      <c r="C17" s="72"/>
      <c r="D17" s="73"/>
      <c r="E17" s="74"/>
      <c r="F17" s="75"/>
    </row>
    <row r="18" spans="1:6">
      <c r="A18" s="87"/>
      <c r="B18" s="88"/>
      <c r="C18" s="72"/>
      <c r="D18" s="73"/>
      <c r="E18" s="74"/>
      <c r="F18" s="75"/>
    </row>
    <row r="19" spans="1:6" ht="82.8">
      <c r="A19" s="89" t="s">
        <v>987</v>
      </c>
      <c r="B19" s="361" t="s">
        <v>1608</v>
      </c>
      <c r="C19" s="72"/>
      <c r="D19" s="73"/>
      <c r="E19" s="74"/>
      <c r="F19" s="75"/>
    </row>
    <row r="20" spans="1:6" ht="179.4">
      <c r="A20" s="89"/>
      <c r="B20" s="90" t="s">
        <v>1598</v>
      </c>
      <c r="C20" s="72"/>
      <c r="D20" s="73"/>
      <c r="E20" s="74"/>
      <c r="F20" s="75"/>
    </row>
    <row r="21" spans="1:6" ht="193.2">
      <c r="A21" s="89"/>
      <c r="B21" s="90" t="s">
        <v>1596</v>
      </c>
      <c r="C21" s="72"/>
      <c r="D21" s="73"/>
      <c r="E21" s="74"/>
      <c r="F21" s="75"/>
    </row>
    <row r="22" spans="1:6">
      <c r="A22" s="89"/>
      <c r="B22" s="90" t="s">
        <v>1597</v>
      </c>
      <c r="C22" s="72"/>
      <c r="D22" s="73"/>
      <c r="E22" s="74"/>
      <c r="F22" s="75"/>
    </row>
    <row r="23" spans="1:6" ht="27.6">
      <c r="A23" s="89" t="s">
        <v>48</v>
      </c>
      <c r="B23" s="90" t="s">
        <v>669</v>
      </c>
      <c r="C23" s="91" t="s">
        <v>670</v>
      </c>
      <c r="D23" s="92">
        <v>1</v>
      </c>
      <c r="E23" s="74">
        <v>1000</v>
      </c>
      <c r="F23" s="93">
        <f>IF(OR(OR(E23=0,E23=" "),OR(D23=0,D23=" "))," ",D23*E23)</f>
        <v>1000</v>
      </c>
    </row>
    <row r="24" spans="1:6" ht="69">
      <c r="A24" s="89" t="s">
        <v>49</v>
      </c>
      <c r="B24" s="90" t="s">
        <v>1586</v>
      </c>
      <c r="C24" s="91" t="s">
        <v>670</v>
      </c>
      <c r="D24" s="92">
        <v>1</v>
      </c>
      <c r="E24" s="74">
        <v>1000</v>
      </c>
      <c r="F24" s="93">
        <f>IF(OR(OR(E24=0,E24=" "),OR(D24=0,D24=" "))," ",D24*E24)</f>
        <v>1000</v>
      </c>
    </row>
    <row r="25" spans="1:6">
      <c r="A25" s="87"/>
      <c r="B25" s="88"/>
      <c r="C25" s="72"/>
      <c r="D25" s="73"/>
      <c r="E25" s="74"/>
      <c r="F25" s="75"/>
    </row>
    <row r="26" spans="1:6">
      <c r="A26" s="87" t="s">
        <v>667</v>
      </c>
      <c r="B26" s="88" t="s">
        <v>671</v>
      </c>
      <c r="C26" s="72"/>
      <c r="D26" s="92"/>
      <c r="E26" s="74"/>
      <c r="F26" s="75"/>
    </row>
    <row r="27" spans="1:6" ht="82.8">
      <c r="A27" s="89" t="s">
        <v>988</v>
      </c>
      <c r="B27" s="71" t="s">
        <v>5656</v>
      </c>
      <c r="C27" s="91"/>
      <c r="D27" s="92"/>
      <c r="E27" s="74"/>
      <c r="F27" s="94"/>
    </row>
    <row r="28" spans="1:6" ht="41.4">
      <c r="A28" s="89" t="s">
        <v>48</v>
      </c>
      <c r="B28" s="90" t="s">
        <v>672</v>
      </c>
      <c r="C28" s="91" t="s">
        <v>670</v>
      </c>
      <c r="D28" s="92">
        <v>1</v>
      </c>
      <c r="E28" s="74">
        <v>1000</v>
      </c>
      <c r="F28" s="93">
        <f>IF(OR(OR(E28=0,E28=" "),OR(D28=0,D28=" "))," ",D28*E28)</f>
        <v>1000</v>
      </c>
    </row>
    <row r="29" spans="1:6" ht="41.4">
      <c r="A29" s="89" t="s">
        <v>49</v>
      </c>
      <c r="B29" s="90" t="s">
        <v>673</v>
      </c>
      <c r="C29" s="91" t="s">
        <v>670</v>
      </c>
      <c r="D29" s="92">
        <v>1</v>
      </c>
      <c r="E29" s="74">
        <v>1000</v>
      </c>
      <c r="F29" s="93">
        <f>IF(OR(OR(E29=0,E29=" "),OR(D29=0,D29=" "))," ",D29*E29)</f>
        <v>1000</v>
      </c>
    </row>
    <row r="30" spans="1:6">
      <c r="A30" s="70"/>
      <c r="B30" s="71"/>
      <c r="C30" s="72"/>
      <c r="D30" s="92"/>
      <c r="E30" s="74"/>
      <c r="F30" s="75"/>
    </row>
    <row r="31" spans="1:6">
      <c r="A31" s="87" t="s">
        <v>667</v>
      </c>
      <c r="B31" s="88" t="s">
        <v>674</v>
      </c>
      <c r="C31" s="72"/>
      <c r="D31" s="92"/>
      <c r="E31" s="74"/>
      <c r="F31" s="75"/>
    </row>
    <row r="32" spans="1:6">
      <c r="A32" s="87"/>
      <c r="B32" s="88"/>
      <c r="C32" s="72"/>
      <c r="D32" s="92"/>
      <c r="E32" s="74"/>
      <c r="F32" s="75"/>
    </row>
    <row r="33" spans="1:6" ht="82.8">
      <c r="A33" s="89" t="s">
        <v>989</v>
      </c>
      <c r="B33" s="361" t="s">
        <v>1607</v>
      </c>
      <c r="C33" s="72"/>
      <c r="D33" s="92"/>
      <c r="E33" s="74"/>
      <c r="F33" s="75"/>
    </row>
    <row r="34" spans="1:6" ht="96.6">
      <c r="A34" s="89"/>
      <c r="B34" s="90" t="s">
        <v>5378</v>
      </c>
      <c r="C34" s="72"/>
      <c r="D34" s="92"/>
      <c r="E34" s="74"/>
      <c r="F34" s="75"/>
    </row>
    <row r="35" spans="1:6" ht="55.2">
      <c r="A35" s="89" t="s">
        <v>48</v>
      </c>
      <c r="B35" s="90" t="s">
        <v>1588</v>
      </c>
      <c r="C35" s="72" t="s">
        <v>649</v>
      </c>
      <c r="D35" s="360">
        <v>8</v>
      </c>
      <c r="E35" s="74">
        <v>300</v>
      </c>
      <c r="F35" s="93">
        <f>IF(OR(OR(E35=0,E35=" "),OR(D35=0,D35=" "))," ",D35*E35)</f>
        <v>2400</v>
      </c>
    </row>
    <row r="36" spans="1:6" ht="41.4">
      <c r="A36" s="89" t="s">
        <v>49</v>
      </c>
      <c r="B36" s="90" t="s">
        <v>1587</v>
      </c>
      <c r="C36" s="72" t="s">
        <v>649</v>
      </c>
      <c r="D36" s="360">
        <v>11</v>
      </c>
      <c r="E36" s="74">
        <v>200</v>
      </c>
      <c r="F36" s="93">
        <f>IF(OR(OR(E36=0,E36=" "),OR(D36=0,D36=" "))," ",D36*E36)</f>
        <v>2200</v>
      </c>
    </row>
    <row r="37" spans="1:6">
      <c r="A37" s="87"/>
      <c r="B37" s="80"/>
      <c r="C37" s="72"/>
      <c r="D37" s="92"/>
      <c r="E37" s="74"/>
      <c r="F37" s="75"/>
    </row>
    <row r="38" spans="1:6" ht="138">
      <c r="A38" s="89" t="s">
        <v>1044</v>
      </c>
      <c r="B38" s="362" t="s">
        <v>5330</v>
      </c>
      <c r="C38" s="91"/>
      <c r="D38" s="73"/>
      <c r="E38" s="74"/>
      <c r="F38" s="94"/>
    </row>
    <row r="39" spans="1:6" ht="41.4">
      <c r="A39" s="89" t="s">
        <v>48</v>
      </c>
      <c r="B39" s="90" t="s">
        <v>1590</v>
      </c>
      <c r="C39" s="91" t="s">
        <v>675</v>
      </c>
      <c r="D39" s="73">
        <v>1000</v>
      </c>
      <c r="E39" s="74">
        <v>1</v>
      </c>
      <c r="F39" s="93">
        <f>IF(OR(OR(E39=0,E39=" "),OR(D39=0,D39=" "))," ",D39*E39)</f>
        <v>1000</v>
      </c>
    </row>
    <row r="40" spans="1:6" ht="55.2">
      <c r="A40" s="89" t="s">
        <v>49</v>
      </c>
      <c r="B40" s="90" t="s">
        <v>1589</v>
      </c>
      <c r="C40" s="91" t="s">
        <v>697</v>
      </c>
      <c r="D40" s="73">
        <v>155</v>
      </c>
      <c r="E40" s="74">
        <v>10</v>
      </c>
      <c r="F40" s="93">
        <f>IF(OR(OR(E40=0,E40=" "),OR(D40=0,D40=" "))," ",D40*E40)</f>
        <v>1550</v>
      </c>
    </row>
    <row r="41" spans="1:6">
      <c r="A41" s="89"/>
      <c r="B41" s="90"/>
      <c r="C41" s="91"/>
      <c r="D41" s="73"/>
      <c r="E41" s="74"/>
      <c r="F41" s="93"/>
    </row>
    <row r="42" spans="1:6">
      <c r="A42" s="87" t="s">
        <v>667</v>
      </c>
      <c r="B42" s="88" t="s">
        <v>676</v>
      </c>
      <c r="C42" s="91"/>
      <c r="D42" s="73"/>
      <c r="E42" s="74"/>
      <c r="F42" s="93"/>
    </row>
    <row r="43" spans="1:6" ht="96.6">
      <c r="A43" s="89" t="s">
        <v>1045</v>
      </c>
      <c r="B43" s="361" t="s">
        <v>1606</v>
      </c>
      <c r="C43" s="91"/>
      <c r="D43" s="73"/>
      <c r="E43" s="74"/>
      <c r="F43" s="94"/>
    </row>
    <row r="44" spans="1:6">
      <c r="A44" s="89" t="s">
        <v>48</v>
      </c>
      <c r="B44" s="90" t="s">
        <v>677</v>
      </c>
      <c r="C44" s="91" t="s">
        <v>670</v>
      </c>
      <c r="D44" s="92">
        <v>1</v>
      </c>
      <c r="E44" s="74">
        <v>500</v>
      </c>
      <c r="F44" s="93">
        <f>IF(OR(OR(E44=0,E44=" "),OR(D44=0,D44=" "))," ",D44*E44)</f>
        <v>500</v>
      </c>
    </row>
    <row r="45" spans="1:6">
      <c r="A45" s="89"/>
      <c r="B45" s="90"/>
      <c r="C45" s="91"/>
      <c r="D45" s="73"/>
      <c r="E45" s="74"/>
      <c r="F45" s="93"/>
    </row>
    <row r="46" spans="1:6" ht="82.8">
      <c r="A46" s="89" t="s">
        <v>1046</v>
      </c>
      <c r="B46" s="364" t="s">
        <v>5668</v>
      </c>
      <c r="C46" s="91"/>
      <c r="D46" s="73"/>
      <c r="E46" s="74"/>
      <c r="F46" s="94"/>
    </row>
    <row r="47" spans="1:6" ht="27.6">
      <c r="A47" s="89"/>
      <c r="B47" s="877" t="s">
        <v>5666</v>
      </c>
      <c r="C47" s="91"/>
      <c r="D47" s="73"/>
      <c r="E47" s="74"/>
      <c r="F47" s="94"/>
    </row>
    <row r="48" spans="1:6" ht="138">
      <c r="A48" s="89"/>
      <c r="B48" s="358" t="s">
        <v>5665</v>
      </c>
      <c r="C48" s="91"/>
      <c r="D48" s="73"/>
      <c r="E48" s="74"/>
      <c r="F48" s="94"/>
    </row>
    <row r="49" spans="1:12">
      <c r="A49" s="89" t="s">
        <v>48</v>
      </c>
      <c r="B49" s="358" t="s">
        <v>678</v>
      </c>
      <c r="C49" s="91" t="s">
        <v>670</v>
      </c>
      <c r="D49" s="92">
        <v>1</v>
      </c>
      <c r="E49" s="74">
        <v>500</v>
      </c>
      <c r="F49" s="93">
        <f>IF(OR(OR(E49=0,E49=" "),OR(D49=0,D49=" "))," ",D49*E49)</f>
        <v>500</v>
      </c>
    </row>
    <row r="50" spans="1:12">
      <c r="A50" s="89"/>
      <c r="B50" s="358"/>
      <c r="C50" s="91"/>
      <c r="D50" s="73"/>
      <c r="E50" s="74"/>
      <c r="F50" s="93"/>
    </row>
    <row r="51" spans="1:12" ht="82.8">
      <c r="A51" s="89" t="s">
        <v>1047</v>
      </c>
      <c r="B51" s="361" t="s">
        <v>1605</v>
      </c>
      <c r="C51" s="91"/>
      <c r="D51" s="73"/>
      <c r="E51" s="74"/>
      <c r="F51" s="94"/>
    </row>
    <row r="52" spans="1:12" ht="138">
      <c r="A52" s="89"/>
      <c r="B52" s="95" t="s">
        <v>3275</v>
      </c>
      <c r="C52" s="91"/>
      <c r="D52" s="73"/>
      <c r="E52" s="74"/>
      <c r="F52" s="94"/>
    </row>
    <row r="53" spans="1:12" ht="193.2">
      <c r="A53" s="89"/>
      <c r="B53" s="90" t="s">
        <v>5355</v>
      </c>
      <c r="C53" s="91"/>
      <c r="D53" s="73"/>
      <c r="E53" s="74"/>
      <c r="F53" s="94"/>
    </row>
    <row r="54" spans="1:12" ht="27.6">
      <c r="A54" s="89" t="s">
        <v>48</v>
      </c>
      <c r="B54" s="90" t="s">
        <v>1591</v>
      </c>
      <c r="C54" s="91" t="s">
        <v>670</v>
      </c>
      <c r="D54" s="92">
        <v>5</v>
      </c>
      <c r="E54" s="74">
        <v>500</v>
      </c>
      <c r="F54" s="93">
        <f>IF(OR(OR(E54=0,E54=" "),OR(D54=0,D54=" "))," ",D54*E54)</f>
        <v>2500</v>
      </c>
    </row>
    <row r="55" spans="1:12" ht="27.6">
      <c r="A55" s="89" t="s">
        <v>49</v>
      </c>
      <c r="B55" s="90" t="s">
        <v>1592</v>
      </c>
      <c r="C55" s="91" t="s">
        <v>670</v>
      </c>
      <c r="D55" s="92">
        <v>1</v>
      </c>
      <c r="E55" s="74">
        <v>500</v>
      </c>
      <c r="F55" s="93">
        <f>IF(OR(OR(E55=0,E55=" "),OR(D55=0,D55=" "))," ",D55*E55)</f>
        <v>500</v>
      </c>
    </row>
    <row r="56" spans="1:12">
      <c r="A56" s="89"/>
      <c r="B56" s="90"/>
      <c r="C56" s="91"/>
      <c r="D56" s="73"/>
      <c r="E56" s="74"/>
      <c r="F56" s="93"/>
    </row>
    <row r="57" spans="1:12">
      <c r="A57" s="87" t="s">
        <v>667</v>
      </c>
      <c r="B57" s="88" t="s">
        <v>679</v>
      </c>
      <c r="C57" s="91"/>
      <c r="D57" s="73"/>
      <c r="E57" s="74"/>
      <c r="F57" s="93"/>
    </row>
    <row r="58" spans="1:12" ht="110.4">
      <c r="A58" s="89" t="s">
        <v>1048</v>
      </c>
      <c r="B58" s="90" t="s">
        <v>5331</v>
      </c>
      <c r="C58" s="91"/>
      <c r="D58" s="73"/>
      <c r="E58" s="74"/>
      <c r="F58" s="94"/>
      <c r="H58" s="70"/>
    </row>
    <row r="59" spans="1:12" ht="27.6">
      <c r="A59" s="89" t="s">
        <v>48</v>
      </c>
      <c r="B59" s="90" t="s">
        <v>680</v>
      </c>
      <c r="C59" s="91" t="s">
        <v>681</v>
      </c>
      <c r="D59" s="73">
        <v>19</v>
      </c>
      <c r="E59" s="74">
        <v>150</v>
      </c>
      <c r="F59" s="93">
        <f>IF(OR(OR(E59=0,E59=" "),OR(D59=0,D59=" "))," ",D59*E59)</f>
        <v>2850</v>
      </c>
    </row>
    <row r="60" spans="1:12">
      <c r="A60" s="87"/>
      <c r="B60" s="96"/>
      <c r="C60" s="91"/>
      <c r="D60" s="92"/>
      <c r="E60" s="74"/>
      <c r="F60" s="93"/>
    </row>
    <row r="61" spans="1:12" ht="124.2">
      <c r="A61" s="89" t="s">
        <v>1049</v>
      </c>
      <c r="B61" s="362" t="s">
        <v>5332</v>
      </c>
      <c r="C61" s="91"/>
      <c r="D61" s="73"/>
      <c r="E61" s="74"/>
      <c r="F61" s="94"/>
      <c r="L61" s="97"/>
    </row>
    <row r="62" spans="1:12" ht="96.6">
      <c r="A62" s="89"/>
      <c r="B62" s="90" t="s">
        <v>5336</v>
      </c>
      <c r="C62" s="91"/>
      <c r="D62" s="73"/>
      <c r="E62" s="74"/>
      <c r="F62" s="94"/>
    </row>
    <row r="63" spans="1:12">
      <c r="A63" s="89" t="s">
        <v>48</v>
      </c>
      <c r="B63" s="90" t="s">
        <v>683</v>
      </c>
      <c r="C63" s="91" t="s">
        <v>675</v>
      </c>
      <c r="D63" s="73">
        <v>140</v>
      </c>
      <c r="E63" s="74">
        <v>15</v>
      </c>
      <c r="F63" s="93">
        <f>IF(OR(OR(E63=0,E63=" "),OR(D63=0,D63=" "))," ",D63*E63)</f>
        <v>2100</v>
      </c>
    </row>
    <row r="64" spans="1:12">
      <c r="A64" s="89" t="s">
        <v>49</v>
      </c>
      <c r="B64" s="90" t="s">
        <v>684</v>
      </c>
      <c r="C64" s="91" t="s">
        <v>681</v>
      </c>
      <c r="D64" s="73">
        <v>70</v>
      </c>
      <c r="E64" s="74">
        <v>30</v>
      </c>
      <c r="F64" s="93">
        <f>IF(OR(OR(E64=0,E64=" "),OR(D64=0,D64=" "))," ",D64*E64)</f>
        <v>2100</v>
      </c>
    </row>
    <row r="65" spans="1:6">
      <c r="A65" s="89"/>
      <c r="B65" s="90"/>
      <c r="C65" s="91"/>
      <c r="D65" s="73"/>
      <c r="E65" s="74"/>
      <c r="F65" s="93"/>
    </row>
    <row r="66" spans="1:6">
      <c r="A66" s="87" t="s">
        <v>667</v>
      </c>
      <c r="B66" s="88" t="s">
        <v>685</v>
      </c>
      <c r="C66" s="91"/>
      <c r="D66" s="73"/>
      <c r="E66" s="74"/>
      <c r="F66" s="93"/>
    </row>
    <row r="67" spans="1:6" ht="110.4">
      <c r="A67" s="89" t="s">
        <v>1050</v>
      </c>
      <c r="B67" s="362" t="s">
        <v>5333</v>
      </c>
      <c r="C67" s="91"/>
      <c r="D67" s="73"/>
      <c r="E67" s="74"/>
      <c r="F67" s="94"/>
    </row>
    <row r="68" spans="1:6">
      <c r="A68" s="89"/>
      <c r="B68" s="90" t="s">
        <v>687</v>
      </c>
      <c r="C68" s="91"/>
      <c r="D68" s="73"/>
      <c r="E68" s="74"/>
      <c r="F68" s="94"/>
    </row>
    <row r="69" spans="1:6">
      <c r="A69" s="89" t="s">
        <v>48</v>
      </c>
      <c r="B69" s="90" t="s">
        <v>688</v>
      </c>
      <c r="C69" s="91" t="s">
        <v>675</v>
      </c>
      <c r="D69" s="73">
        <v>4767</v>
      </c>
      <c r="E69" s="74">
        <v>1</v>
      </c>
      <c r="F69" s="93">
        <f>IF(OR(OR(E69=0,E69=" "),OR(D69=0,D69=" "))," ",D69*E69)</f>
        <v>4767</v>
      </c>
    </row>
    <row r="70" spans="1:6">
      <c r="A70" s="89"/>
      <c r="B70" s="90"/>
      <c r="C70" s="91"/>
      <c r="D70" s="73"/>
      <c r="E70" s="74"/>
      <c r="F70" s="93"/>
    </row>
    <row r="71" spans="1:6">
      <c r="A71" s="87" t="s">
        <v>667</v>
      </c>
      <c r="B71" s="88" t="s">
        <v>1599</v>
      </c>
      <c r="C71" s="91"/>
      <c r="D71" s="73"/>
      <c r="E71" s="74"/>
      <c r="F71" s="93"/>
    </row>
    <row r="72" spans="1:6" ht="124.2">
      <c r="A72" s="89" t="s">
        <v>1051</v>
      </c>
      <c r="B72" s="358" t="s">
        <v>1604</v>
      </c>
      <c r="C72" s="91"/>
      <c r="D72" s="73"/>
      <c r="E72" s="74"/>
      <c r="F72" s="93"/>
    </row>
    <row r="73" spans="1:6" ht="82.8">
      <c r="A73" s="87"/>
      <c r="B73" s="358" t="s">
        <v>1601</v>
      </c>
      <c r="C73" s="91"/>
      <c r="D73" s="73"/>
      <c r="E73" s="74"/>
      <c r="F73" s="93"/>
    </row>
    <row r="74" spans="1:6" ht="110.4">
      <c r="A74" s="87"/>
      <c r="B74" s="358" t="s">
        <v>746</v>
      </c>
      <c r="C74" s="91"/>
      <c r="D74" s="73"/>
      <c r="E74" s="74"/>
      <c r="F74" s="93"/>
    </row>
    <row r="75" spans="1:6" ht="27.6">
      <c r="A75" s="87"/>
      <c r="B75" s="358" t="s">
        <v>1600</v>
      </c>
      <c r="C75" s="91"/>
      <c r="D75" s="73"/>
      <c r="E75" s="74"/>
      <c r="F75" s="93"/>
    </row>
    <row r="76" spans="1:6" ht="55.2">
      <c r="A76" s="87"/>
      <c r="B76" s="358" t="s">
        <v>5217</v>
      </c>
      <c r="C76" s="91"/>
      <c r="D76" s="73"/>
      <c r="E76" s="74"/>
      <c r="F76" s="93"/>
    </row>
    <row r="77" spans="1:6" ht="69">
      <c r="A77" s="87"/>
      <c r="B77" s="358" t="s">
        <v>5218</v>
      </c>
      <c r="C77" s="91"/>
      <c r="D77" s="73"/>
      <c r="E77" s="74"/>
      <c r="F77" s="93"/>
    </row>
    <row r="78" spans="1:6" ht="41.4">
      <c r="A78" s="89" t="s">
        <v>48</v>
      </c>
      <c r="B78" s="358" t="s">
        <v>3243</v>
      </c>
      <c r="C78" s="91" t="s">
        <v>675</v>
      </c>
      <c r="D78" s="73">
        <v>1624</v>
      </c>
      <c r="E78" s="74">
        <v>10</v>
      </c>
      <c r="F78" s="93">
        <f>IF(OR(OR(E78=0,E78=" "),OR(D78=0,D78=" "))," ",D78*E78)</f>
        <v>16240</v>
      </c>
    </row>
    <row r="79" spans="1:6">
      <c r="A79" s="98"/>
      <c r="B79" s="99"/>
      <c r="C79" s="100"/>
      <c r="D79" s="101"/>
      <c r="E79" s="100"/>
      <c r="F79" s="102"/>
    </row>
    <row r="80" spans="1:6">
      <c r="A80" s="103" t="str">
        <f>A15</f>
        <v>A.1.</v>
      </c>
      <c r="B80" s="104" t="str">
        <f>CONCATENATE(B15," ", "UKUPNO:")</f>
        <v>PRIPREMNI RADOVI UKUPNO:</v>
      </c>
      <c r="D80" s="73"/>
      <c r="E80" s="74"/>
      <c r="F80" s="663">
        <f>SUM(F19:F79)</f>
        <v>43207</v>
      </c>
    </row>
    <row r="81" spans="1:7">
      <c r="A81" s="106"/>
      <c r="B81" s="107"/>
      <c r="C81" s="72"/>
      <c r="D81" s="73"/>
      <c r="E81" s="74"/>
      <c r="F81" s="108"/>
    </row>
    <row r="82" spans="1:7">
      <c r="A82" s="70"/>
      <c r="B82" s="71"/>
      <c r="C82" s="72"/>
      <c r="D82" s="73"/>
      <c r="E82" s="74"/>
      <c r="F82" s="75"/>
    </row>
    <row r="83" spans="1:7">
      <c r="A83" s="81" t="s">
        <v>990</v>
      </c>
      <c r="B83" s="82" t="s">
        <v>99</v>
      </c>
      <c r="C83" s="83"/>
      <c r="D83" s="84"/>
      <c r="E83" s="85"/>
      <c r="F83" s="86"/>
    </row>
    <row r="84" spans="1:7">
      <c r="A84" s="70"/>
      <c r="B84" s="71"/>
      <c r="C84" s="72"/>
      <c r="D84" s="73"/>
      <c r="E84" s="74"/>
      <c r="F84" s="75"/>
    </row>
    <row r="85" spans="1:7">
      <c r="A85" s="87" t="s">
        <v>667</v>
      </c>
      <c r="B85" s="88" t="s">
        <v>689</v>
      </c>
      <c r="C85" s="72"/>
      <c r="D85" s="92"/>
      <c r="E85" s="74"/>
      <c r="F85" s="75"/>
    </row>
    <row r="86" spans="1:7" ht="151.80000000000001">
      <c r="A86" s="89" t="s">
        <v>991</v>
      </c>
      <c r="B86" s="362" t="s">
        <v>5335</v>
      </c>
      <c r="C86" s="91"/>
      <c r="D86" s="73"/>
      <c r="E86" s="74"/>
      <c r="F86" s="94"/>
    </row>
    <row r="87" spans="1:7" ht="27.6">
      <c r="A87" s="89" t="s">
        <v>48</v>
      </c>
      <c r="B87" s="90" t="s">
        <v>1609</v>
      </c>
      <c r="C87" s="91" t="s">
        <v>681</v>
      </c>
      <c r="D87" s="73">
        <v>1166</v>
      </c>
      <c r="E87" s="74">
        <v>10</v>
      </c>
      <c r="F87" s="93">
        <f>IF(OR(OR(E87=0,E87=" "),OR(D87=0,D87=" "))," ",D87*E87)</f>
        <v>11660</v>
      </c>
      <c r="G87" s="73"/>
    </row>
    <row r="88" spans="1:7" ht="55.2">
      <c r="A88" s="89" t="s">
        <v>49</v>
      </c>
      <c r="B88" s="90" t="s">
        <v>5334</v>
      </c>
      <c r="C88" s="91" t="s">
        <v>681</v>
      </c>
      <c r="D88" s="73">
        <v>1075</v>
      </c>
      <c r="E88" s="74">
        <v>10</v>
      </c>
      <c r="F88" s="93">
        <f>IF(OR(OR(E88=0,E88=" "),OR(D88=0,D88=" "))," ",D88*E88)</f>
        <v>10750</v>
      </c>
      <c r="G88" s="73"/>
    </row>
    <row r="89" spans="1:7">
      <c r="A89" s="98"/>
      <c r="B89" s="99"/>
      <c r="C89" s="100"/>
      <c r="D89" s="101"/>
      <c r="E89" s="100"/>
      <c r="F89" s="102"/>
      <c r="G89" s="109"/>
    </row>
    <row r="90" spans="1:7">
      <c r="A90" s="103" t="str">
        <f>A83</f>
        <v>A.2.</v>
      </c>
      <c r="B90" s="104" t="str">
        <f>CONCATENATE(B83," ", "UKUPNO:")</f>
        <v>PRIJENOSI I TRANSPORTI UKUPNO:</v>
      </c>
      <c r="D90" s="73"/>
      <c r="E90" s="74"/>
      <c r="F90" s="663">
        <f>SUM(F86:F89)</f>
        <v>22410</v>
      </c>
    </row>
    <row r="91" spans="1:7">
      <c r="A91" s="106"/>
      <c r="B91" s="107"/>
      <c r="C91" s="72"/>
      <c r="D91" s="73"/>
      <c r="E91" s="74"/>
      <c r="F91" s="108"/>
    </row>
    <row r="92" spans="1:7">
      <c r="A92" s="70"/>
      <c r="B92" s="71"/>
      <c r="C92" s="72"/>
      <c r="D92" s="73"/>
      <c r="E92" s="74"/>
      <c r="F92" s="75"/>
    </row>
    <row r="93" spans="1:7">
      <c r="A93" s="81" t="s">
        <v>992</v>
      </c>
      <c r="B93" s="82" t="s">
        <v>120</v>
      </c>
      <c r="C93" s="83"/>
      <c r="D93" s="84"/>
      <c r="E93" s="85"/>
      <c r="F93" s="86"/>
    </row>
    <row r="94" spans="1:7">
      <c r="A94" s="70"/>
      <c r="B94" s="71"/>
      <c r="C94" s="72"/>
      <c r="D94" s="73"/>
      <c r="E94" s="74"/>
      <c r="F94" s="75"/>
    </row>
    <row r="95" spans="1:7">
      <c r="A95" s="87" t="s">
        <v>667</v>
      </c>
      <c r="B95" s="88" t="s">
        <v>690</v>
      </c>
      <c r="C95" s="72"/>
      <c r="D95" s="92"/>
      <c r="E95" s="74"/>
      <c r="F95" s="75"/>
    </row>
    <row r="96" spans="1:7" ht="193.2">
      <c r="A96" s="76" t="s">
        <v>665</v>
      </c>
      <c r="B96" s="96" t="s">
        <v>3245</v>
      </c>
      <c r="C96" s="78"/>
      <c r="D96" s="73"/>
      <c r="E96" s="74"/>
      <c r="F96" s="79"/>
    </row>
    <row r="97" spans="1:6" ht="124.2">
      <c r="A97" s="89" t="s">
        <v>993</v>
      </c>
      <c r="B97" s="364" t="s">
        <v>3276</v>
      </c>
      <c r="C97" s="78"/>
      <c r="D97" s="73"/>
      <c r="E97" s="74"/>
      <c r="F97" s="79"/>
    </row>
    <row r="98" spans="1:6">
      <c r="A98" s="76"/>
      <c r="B98" s="358" t="s">
        <v>1597</v>
      </c>
      <c r="C98" s="78"/>
      <c r="D98" s="73"/>
      <c r="E98" s="74"/>
      <c r="F98" s="79"/>
    </row>
    <row r="99" spans="1:6" ht="41.4">
      <c r="A99" s="76"/>
      <c r="B99" s="358" t="s">
        <v>3244</v>
      </c>
      <c r="C99" s="78"/>
      <c r="D99" s="73"/>
      <c r="E99" s="74"/>
      <c r="F99" s="79"/>
    </row>
    <row r="100" spans="1:6">
      <c r="A100" s="89" t="s">
        <v>48</v>
      </c>
      <c r="B100" s="358" t="s">
        <v>1602</v>
      </c>
      <c r="C100" s="91" t="s">
        <v>681</v>
      </c>
      <c r="D100" s="73">
        <v>1110</v>
      </c>
      <c r="E100" s="74">
        <v>15</v>
      </c>
      <c r="F100" s="93">
        <f>IF(OR(OR(E100=0,E100=" "),OR(D100=0,D100=" "))," ",D100*E100)</f>
        <v>16650</v>
      </c>
    </row>
    <row r="101" spans="1:6">
      <c r="A101" s="76"/>
      <c r="B101" s="96"/>
      <c r="C101" s="78"/>
      <c r="D101" s="73"/>
      <c r="E101" s="74"/>
      <c r="F101" s="79"/>
    </row>
    <row r="102" spans="1:6" ht="110.4">
      <c r="A102" s="89" t="s">
        <v>994</v>
      </c>
      <c r="B102" s="361" t="s">
        <v>1603</v>
      </c>
      <c r="C102" s="91"/>
      <c r="D102" s="73"/>
      <c r="E102" s="74"/>
      <c r="F102" s="94"/>
    </row>
    <row r="103" spans="1:6" ht="82.8">
      <c r="A103" s="89"/>
      <c r="B103" s="358" t="s">
        <v>5323</v>
      </c>
      <c r="C103" s="91"/>
      <c r="D103" s="73"/>
      <c r="E103" s="74"/>
      <c r="F103" s="94"/>
    </row>
    <row r="104" spans="1:6" ht="124.2">
      <c r="A104" s="89"/>
      <c r="B104" s="358" t="s">
        <v>3179</v>
      </c>
      <c r="C104" s="91"/>
      <c r="D104" s="73"/>
      <c r="E104" s="74"/>
      <c r="F104" s="94"/>
    </row>
    <row r="105" spans="1:6" ht="110.4">
      <c r="A105" s="89"/>
      <c r="B105" s="358" t="s">
        <v>5365</v>
      </c>
      <c r="C105" s="91"/>
      <c r="D105" s="73"/>
      <c r="E105" s="74"/>
      <c r="F105" s="94"/>
    </row>
    <row r="106" spans="1:6" ht="96.6">
      <c r="A106" s="76" t="s">
        <v>665</v>
      </c>
      <c r="B106" s="71" t="s">
        <v>691</v>
      </c>
      <c r="C106" s="78"/>
      <c r="D106" s="73"/>
      <c r="E106" s="74"/>
      <c r="F106" s="79"/>
    </row>
    <row r="107" spans="1:6" ht="27.6">
      <c r="A107" s="89" t="s">
        <v>48</v>
      </c>
      <c r="B107" s="90" t="s">
        <v>3277</v>
      </c>
      <c r="C107" s="91" t="s">
        <v>681</v>
      </c>
      <c r="D107" s="73">
        <v>735</v>
      </c>
      <c r="E107" s="74">
        <v>20</v>
      </c>
      <c r="F107" s="93">
        <f>IF(OR(OR(E107=0,E107=" "),OR(D107=0,D107=" "))," ",D107*E107)</f>
        <v>14700</v>
      </c>
    </row>
    <row r="108" spans="1:6" ht="41.4">
      <c r="A108" s="89" t="s">
        <v>49</v>
      </c>
      <c r="B108" s="90" t="s">
        <v>3246</v>
      </c>
      <c r="C108" s="91" t="s">
        <v>681</v>
      </c>
      <c r="D108" s="73">
        <v>325</v>
      </c>
      <c r="E108" s="74">
        <v>20</v>
      </c>
      <c r="F108" s="93">
        <f>IF(OR(OR(E108=0,E108=" "),OR(D108=0,D108=" "))," ",D108*E108)</f>
        <v>6500</v>
      </c>
    </row>
    <row r="109" spans="1:6">
      <c r="A109" s="70"/>
      <c r="B109" s="71"/>
      <c r="C109" s="72"/>
      <c r="D109" s="73"/>
      <c r="E109" s="74"/>
      <c r="F109" s="75"/>
    </row>
    <row r="110" spans="1:6" ht="96.6">
      <c r="A110" s="70" t="s">
        <v>995</v>
      </c>
      <c r="B110" s="364" t="s">
        <v>3278</v>
      </c>
    </row>
    <row r="111" spans="1:6" ht="96.6">
      <c r="A111" s="70"/>
      <c r="B111" s="71" t="s">
        <v>1610</v>
      </c>
    </row>
    <row r="112" spans="1:6" ht="27.6">
      <c r="A112" s="70"/>
      <c r="B112" s="71" t="s">
        <v>1926</v>
      </c>
    </row>
    <row r="113" spans="1:6" ht="55.2">
      <c r="A113" s="76" t="s">
        <v>665</v>
      </c>
      <c r="B113" s="110" t="s">
        <v>692</v>
      </c>
      <c r="C113" s="78"/>
      <c r="D113" s="73"/>
      <c r="E113" s="74"/>
      <c r="F113" s="79"/>
    </row>
    <row r="114" spans="1:6" ht="41.4">
      <c r="A114" s="89" t="s">
        <v>48</v>
      </c>
      <c r="B114" s="90" t="s">
        <v>3180</v>
      </c>
      <c r="C114" s="91" t="s">
        <v>681</v>
      </c>
      <c r="D114" s="73">
        <v>93.5</v>
      </c>
      <c r="E114" s="74">
        <v>30</v>
      </c>
      <c r="F114" s="93">
        <f>IF(OR(OR(E114=0,E114=" "),OR(D114=0,D114=" "))," ",D114*E114)</f>
        <v>2805</v>
      </c>
    </row>
    <row r="115" spans="1:6" ht="27.6">
      <c r="A115" s="89" t="s">
        <v>49</v>
      </c>
      <c r="B115" s="90" t="s">
        <v>1927</v>
      </c>
      <c r="C115" s="91" t="s">
        <v>681</v>
      </c>
      <c r="D115" s="73">
        <v>12.5</v>
      </c>
      <c r="E115" s="74">
        <v>40</v>
      </c>
      <c r="F115" s="93">
        <f>IF(OR(OR(E115=0,E115=" "),OR(D115=0,D115=" "))," ",D115*E115)</f>
        <v>500</v>
      </c>
    </row>
    <row r="116" spans="1:6">
      <c r="A116" s="89"/>
      <c r="B116" s="90"/>
      <c r="C116" s="91"/>
      <c r="D116" s="73"/>
      <c r="E116" s="74"/>
      <c r="F116" s="93" t="str">
        <f>IF(OR(OR(E116=0,E116=" "),OR(D116=0,D116=" "))," ",D116*E116)</f>
        <v xml:space="preserve"> </v>
      </c>
    </row>
    <row r="117" spans="1:6">
      <c r="A117" s="87" t="s">
        <v>667</v>
      </c>
      <c r="B117" s="88" t="s">
        <v>693</v>
      </c>
      <c r="C117" s="72"/>
      <c r="D117" s="92"/>
      <c r="E117" s="74"/>
      <c r="F117" s="75"/>
    </row>
    <row r="118" spans="1:6" ht="124.2">
      <c r="A118" s="89" t="s">
        <v>996</v>
      </c>
      <c r="B118" s="361" t="s">
        <v>1613</v>
      </c>
      <c r="C118" s="91"/>
      <c r="D118" s="73"/>
      <c r="E118" s="74"/>
      <c r="F118" s="94"/>
    </row>
    <row r="119" spans="1:6" ht="41.4">
      <c r="A119" s="89" t="s">
        <v>48</v>
      </c>
      <c r="B119" s="90" t="s">
        <v>3279</v>
      </c>
      <c r="C119" s="91" t="s">
        <v>675</v>
      </c>
      <c r="D119" s="73">
        <v>1921.5</v>
      </c>
      <c r="E119" s="74">
        <v>1</v>
      </c>
      <c r="F119" s="93">
        <f>IF(OR(OR(E119=0,E119=" "),OR(D119=0,D119=" "))," ",D119*E119)</f>
        <v>1921.5</v>
      </c>
    </row>
    <row r="120" spans="1:6">
      <c r="A120" s="89"/>
      <c r="B120" s="90"/>
      <c r="C120" s="91"/>
      <c r="D120" s="73"/>
      <c r="E120" s="74"/>
      <c r="F120" s="93" t="str">
        <f>IF(OR(OR(E120=0,E120=" "),OR(D120=0,D120=" "))," ",D120*E120)</f>
        <v xml:space="preserve"> </v>
      </c>
    </row>
    <row r="121" spans="1:6">
      <c r="A121" s="87" t="s">
        <v>667</v>
      </c>
      <c r="B121" s="88" t="s">
        <v>694</v>
      </c>
      <c r="C121" s="72"/>
      <c r="D121" s="92"/>
      <c r="E121" s="74"/>
      <c r="F121" s="75"/>
    </row>
    <row r="122" spans="1:6" ht="124.2">
      <c r="A122" s="89" t="s">
        <v>997</v>
      </c>
      <c r="B122" s="361" t="s">
        <v>1612</v>
      </c>
      <c r="C122" s="91"/>
      <c r="D122" s="73"/>
      <c r="E122" s="74"/>
      <c r="F122" s="94"/>
    </row>
    <row r="123" spans="1:6" ht="96.6">
      <c r="A123" s="89"/>
      <c r="B123" s="90" t="s">
        <v>1611</v>
      </c>
      <c r="C123" s="91"/>
      <c r="D123" s="73"/>
      <c r="E123" s="74"/>
      <c r="F123" s="94"/>
    </row>
    <row r="124" spans="1:6" ht="69">
      <c r="A124" s="89" t="s">
        <v>48</v>
      </c>
      <c r="B124" s="90" t="s">
        <v>5123</v>
      </c>
      <c r="C124" s="91" t="s">
        <v>675</v>
      </c>
      <c r="D124" s="73">
        <v>687</v>
      </c>
      <c r="E124" s="74">
        <v>1</v>
      </c>
      <c r="F124" s="93">
        <f>IF(OR(OR(E124=0,E124=" "),OR(D124=0,D124=" "))," ",D124*E124)</f>
        <v>687</v>
      </c>
    </row>
    <row r="125" spans="1:6" ht="82.8">
      <c r="A125" s="89" t="s">
        <v>49</v>
      </c>
      <c r="B125" s="90" t="s">
        <v>5337</v>
      </c>
      <c r="C125" s="91" t="s">
        <v>675</v>
      </c>
      <c r="D125" s="73">
        <v>772</v>
      </c>
      <c r="E125" s="74">
        <v>1</v>
      </c>
      <c r="F125" s="93">
        <f>IF(OR(OR(E125=0,E125=" "),OR(D125=0,D125=" "))," ",D125*E125)</f>
        <v>772</v>
      </c>
    </row>
    <row r="126" spans="1:6" ht="96.6">
      <c r="A126" s="89" t="s">
        <v>49</v>
      </c>
      <c r="B126" s="90" t="s">
        <v>5338</v>
      </c>
      <c r="C126" s="91" t="s">
        <v>675</v>
      </c>
      <c r="D126" s="73">
        <v>137</v>
      </c>
      <c r="E126" s="74">
        <v>1</v>
      </c>
      <c r="F126" s="93">
        <f>IF(OR(OR(E126=0,E126=" "),OR(D126=0,D126=" "))," ",D126*E126)</f>
        <v>137</v>
      </c>
    </row>
    <row r="127" spans="1:6">
      <c r="A127" s="89"/>
      <c r="B127" s="90"/>
      <c r="C127" s="91"/>
      <c r="D127" s="73"/>
      <c r="E127" s="74"/>
      <c r="F127" s="93"/>
    </row>
    <row r="128" spans="1:6">
      <c r="A128" s="87" t="s">
        <v>667</v>
      </c>
      <c r="B128" s="88" t="s">
        <v>1616</v>
      </c>
      <c r="C128" s="72"/>
      <c r="D128" s="92"/>
      <c r="E128" s="74"/>
      <c r="F128" s="75"/>
    </row>
    <row r="129" spans="1:7" ht="96.6">
      <c r="A129" s="89" t="s">
        <v>998</v>
      </c>
      <c r="B129" s="361" t="s">
        <v>1615</v>
      </c>
      <c r="C129" s="91"/>
      <c r="D129" s="73"/>
      <c r="E129" s="74"/>
      <c r="F129" s="94"/>
    </row>
    <row r="130" spans="1:7" ht="82.8">
      <c r="A130" s="89"/>
      <c r="B130" s="90" t="s">
        <v>3181</v>
      </c>
      <c r="C130" s="91"/>
      <c r="D130" s="73"/>
      <c r="E130" s="74"/>
      <c r="F130" s="94"/>
    </row>
    <row r="131" spans="1:7" ht="41.4">
      <c r="A131" s="89"/>
      <c r="B131" s="90" t="s">
        <v>1614</v>
      </c>
      <c r="C131" s="91"/>
      <c r="D131" s="73"/>
      <c r="E131" s="74"/>
      <c r="F131" s="94"/>
    </row>
    <row r="132" spans="1:7" ht="124.2">
      <c r="A132" s="76" t="s">
        <v>665</v>
      </c>
      <c r="B132" s="90" t="s">
        <v>3280</v>
      </c>
      <c r="C132" s="78"/>
      <c r="D132" s="73"/>
      <c r="E132" s="74"/>
      <c r="F132" s="79"/>
    </row>
    <row r="133" spans="1:7" ht="27.6">
      <c r="A133" s="76"/>
      <c r="B133" s="90" t="s">
        <v>4068</v>
      </c>
      <c r="C133" s="78"/>
      <c r="D133" s="73"/>
      <c r="E133" s="74"/>
      <c r="F133" s="79"/>
    </row>
    <row r="134" spans="1:7" ht="69">
      <c r="A134" s="89" t="s">
        <v>48</v>
      </c>
      <c r="B134" s="90" t="s">
        <v>3281</v>
      </c>
      <c r="C134" s="91" t="s">
        <v>681</v>
      </c>
      <c r="D134" s="73">
        <v>470</v>
      </c>
      <c r="E134" s="74">
        <v>10</v>
      </c>
      <c r="F134" s="93">
        <f>IF(OR(OR(E134=0,E134=" "),OR(D134=0,D134=" "))," ",D134*E134)</f>
        <v>4700</v>
      </c>
      <c r="G134" s="73"/>
    </row>
    <row r="135" spans="1:7" ht="69">
      <c r="A135" s="89" t="s">
        <v>49</v>
      </c>
      <c r="B135" s="90" t="s">
        <v>3282</v>
      </c>
      <c r="C135" s="91" t="s">
        <v>681</v>
      </c>
      <c r="D135" s="73">
        <v>128</v>
      </c>
      <c r="E135" s="74">
        <v>10</v>
      </c>
      <c r="F135" s="93">
        <f>IF(OR(OR(E135=0,E135=" "),OR(D135=0,D135=" "))," ",D135*E135)</f>
        <v>1280</v>
      </c>
      <c r="G135" s="73"/>
    </row>
    <row r="136" spans="1:7" ht="69">
      <c r="A136" s="89" t="s">
        <v>51</v>
      </c>
      <c r="B136" s="90" t="s">
        <v>3283</v>
      </c>
      <c r="C136" s="91" t="s">
        <v>681</v>
      </c>
      <c r="D136" s="73">
        <v>50</v>
      </c>
      <c r="E136" s="74">
        <v>10</v>
      </c>
      <c r="F136" s="93">
        <f>IF(OR(OR(E136=0,E136=" "),OR(D136=0,D136=" "))," ",D136*E136)</f>
        <v>500</v>
      </c>
      <c r="G136" s="73"/>
    </row>
    <row r="137" spans="1:7">
      <c r="A137" s="89"/>
      <c r="B137" s="90"/>
      <c r="C137" s="91"/>
      <c r="D137" s="73"/>
      <c r="E137" s="74"/>
      <c r="F137" s="93"/>
    </row>
    <row r="138" spans="1:7">
      <c r="A138" s="87" t="s">
        <v>667</v>
      </c>
      <c r="B138" s="88" t="s">
        <v>696</v>
      </c>
      <c r="C138" s="72"/>
      <c r="D138" s="92"/>
      <c r="E138" s="74"/>
      <c r="F138" s="75"/>
    </row>
    <row r="139" spans="1:7" ht="179.4">
      <c r="A139" s="89" t="s">
        <v>999</v>
      </c>
      <c r="B139" s="362" t="s">
        <v>3182</v>
      </c>
      <c r="C139" s="91"/>
      <c r="D139" s="73"/>
      <c r="E139" s="74"/>
      <c r="F139" s="94"/>
    </row>
    <row r="140" spans="1:7" ht="27.6">
      <c r="A140" s="89" t="s">
        <v>48</v>
      </c>
      <c r="B140" s="90" t="s">
        <v>3285</v>
      </c>
      <c r="C140" s="91" t="s">
        <v>681</v>
      </c>
      <c r="D140" s="73">
        <v>323</v>
      </c>
      <c r="E140" s="74">
        <v>50</v>
      </c>
      <c r="F140" s="93">
        <f>IF(OR(OR(E140=0,E140=" "),OR(D140=0,D140=" "))," ",D140*E140)</f>
        <v>16150</v>
      </c>
      <c r="G140" s="73"/>
    </row>
    <row r="141" spans="1:7" ht="41.4">
      <c r="A141" s="89" t="s">
        <v>49</v>
      </c>
      <c r="B141" s="90" t="s">
        <v>3284</v>
      </c>
      <c r="C141" s="91" t="s">
        <v>681</v>
      </c>
      <c r="D141" s="73">
        <v>109.5</v>
      </c>
      <c r="E141" s="74">
        <v>50</v>
      </c>
      <c r="F141" s="93">
        <f>IF(OR(OR(E141=0,E141=" "),OR(D141=0,D141=" "))," ",D141*E141)</f>
        <v>5475</v>
      </c>
      <c r="G141" s="73"/>
    </row>
    <row r="142" spans="1:7">
      <c r="A142" s="70"/>
      <c r="B142" s="71"/>
      <c r="C142" s="72"/>
      <c r="D142" s="73"/>
      <c r="E142" s="74"/>
      <c r="F142" s="75"/>
    </row>
    <row r="143" spans="1:7" ht="138">
      <c r="A143" s="89" t="s">
        <v>1000</v>
      </c>
      <c r="B143" s="361" t="s">
        <v>1622</v>
      </c>
      <c r="C143" s="91"/>
      <c r="D143" s="73"/>
      <c r="E143" s="74"/>
      <c r="F143" s="94"/>
    </row>
    <row r="144" spans="1:7" ht="110.4">
      <c r="A144" s="89"/>
      <c r="B144" s="90" t="s">
        <v>3183</v>
      </c>
      <c r="C144" s="91"/>
      <c r="D144" s="73"/>
      <c r="E144" s="74"/>
      <c r="F144" s="94"/>
    </row>
    <row r="145" spans="1:7" ht="27.6">
      <c r="A145" s="89" t="s">
        <v>48</v>
      </c>
      <c r="B145" s="90" t="s">
        <v>3286</v>
      </c>
      <c r="C145" s="91" t="s">
        <v>681</v>
      </c>
      <c r="D145" s="73">
        <v>216</v>
      </c>
      <c r="E145" s="74">
        <v>50</v>
      </c>
      <c r="F145" s="93">
        <f>IF(OR(OR(E145=0,E145=" "),OR(D145=0,D145=" "))," ",D145*E145)</f>
        <v>10800</v>
      </c>
    </row>
    <row r="146" spans="1:7" ht="27.6">
      <c r="A146" s="89" t="s">
        <v>49</v>
      </c>
      <c r="B146" s="90" t="s">
        <v>2083</v>
      </c>
      <c r="C146" s="91" t="s">
        <v>681</v>
      </c>
      <c r="D146" s="73">
        <v>89.5</v>
      </c>
      <c r="E146" s="74">
        <v>50</v>
      </c>
      <c r="F146" s="93">
        <f>IF(OR(OR(E146=0,E146=" "),OR(D146=0,D146=" "))," ",D146*E146)</f>
        <v>4475</v>
      </c>
    </row>
    <row r="147" spans="1:7" ht="27.6">
      <c r="A147" s="89" t="s">
        <v>51</v>
      </c>
      <c r="B147" s="90" t="s">
        <v>1617</v>
      </c>
      <c r="C147" s="91" t="s">
        <v>681</v>
      </c>
      <c r="D147" s="73">
        <v>387.5</v>
      </c>
      <c r="E147" s="74">
        <v>50</v>
      </c>
      <c r="F147" s="93">
        <f>IF(OR(OR(E147=0,E147=" "),OR(D147=0,D147=" "))," ",D147*E147)</f>
        <v>19375</v>
      </c>
    </row>
    <row r="148" spans="1:7" ht="82.8">
      <c r="A148" s="89" t="s">
        <v>53</v>
      </c>
      <c r="B148" s="90" t="s">
        <v>5339</v>
      </c>
      <c r="C148" s="91" t="s">
        <v>681</v>
      </c>
      <c r="D148" s="73">
        <v>68.5</v>
      </c>
      <c r="E148" s="74">
        <v>50</v>
      </c>
      <c r="F148" s="93">
        <f>IF(OR(OR(E148=0,E148=" "),OR(D148=0,D148=" "))," ",D148*E148)</f>
        <v>3425</v>
      </c>
      <c r="G148" s="73"/>
    </row>
    <row r="149" spans="1:7">
      <c r="A149" s="70"/>
      <c r="B149" s="71"/>
      <c r="C149" s="72"/>
      <c r="D149" s="73"/>
      <c r="E149" s="74"/>
      <c r="F149" s="75"/>
    </row>
    <row r="150" spans="1:7" ht="82.8">
      <c r="A150" s="89" t="s">
        <v>1052</v>
      </c>
      <c r="B150" s="362" t="s">
        <v>3288</v>
      </c>
      <c r="C150" s="91"/>
      <c r="D150" s="73"/>
      <c r="E150" s="74"/>
      <c r="F150" s="94"/>
    </row>
    <row r="151" spans="1:7" ht="27.6">
      <c r="A151" s="89" t="s">
        <v>48</v>
      </c>
      <c r="B151" s="90" t="s">
        <v>3287</v>
      </c>
      <c r="C151" s="91" t="s">
        <v>681</v>
      </c>
      <c r="D151" s="73">
        <v>4.2</v>
      </c>
      <c r="E151" s="74">
        <v>300</v>
      </c>
      <c r="F151" s="93">
        <f>IF(OR(OR(E151=0,E151=" "),OR(D151=0,D151=" "))," ",D151*E151)</f>
        <v>1260</v>
      </c>
    </row>
    <row r="152" spans="1:7">
      <c r="A152" s="70"/>
      <c r="B152" s="71"/>
      <c r="C152" s="72"/>
      <c r="D152" s="73"/>
      <c r="E152" s="74"/>
      <c r="F152" s="75"/>
    </row>
    <row r="153" spans="1:7" ht="96.6">
      <c r="A153" s="89" t="s">
        <v>1124</v>
      </c>
      <c r="B153" s="361" t="s">
        <v>1621</v>
      </c>
      <c r="C153" s="91"/>
      <c r="D153" s="73"/>
      <c r="E153" s="74"/>
      <c r="F153" s="94"/>
    </row>
    <row r="154" spans="1:7" ht="41.4">
      <c r="A154" s="89" t="s">
        <v>48</v>
      </c>
      <c r="B154" s="90" t="s">
        <v>1618</v>
      </c>
      <c r="C154" s="91" t="s">
        <v>681</v>
      </c>
      <c r="D154" s="73">
        <v>10.5</v>
      </c>
      <c r="E154" s="74">
        <v>100</v>
      </c>
      <c r="F154" s="93">
        <f>IF(OR(OR(E154=0,E154=" "),OR(D154=0,D154=" "))," ",D154*E154)</f>
        <v>1050</v>
      </c>
    </row>
    <row r="155" spans="1:7">
      <c r="A155" s="89"/>
      <c r="B155" s="90"/>
      <c r="C155" s="91"/>
      <c r="D155" s="73"/>
      <c r="E155" s="74"/>
      <c r="F155" s="93"/>
    </row>
    <row r="156" spans="1:7" ht="82.8">
      <c r="A156" s="89" t="s">
        <v>1125</v>
      </c>
      <c r="B156" s="362" t="s">
        <v>3289</v>
      </c>
      <c r="C156" s="91"/>
      <c r="D156" s="73"/>
      <c r="E156" s="74"/>
      <c r="F156" s="94"/>
    </row>
    <row r="157" spans="1:7" ht="41.4">
      <c r="A157" s="89" t="s">
        <v>48</v>
      </c>
      <c r="B157" s="90" t="s">
        <v>3290</v>
      </c>
      <c r="C157" s="91" t="s">
        <v>681</v>
      </c>
      <c r="D157" s="73">
        <v>14.5</v>
      </c>
      <c r="E157" s="74">
        <v>100</v>
      </c>
      <c r="F157" s="93">
        <f>IF(OR(OR(E157=0,E157=" "),OR(D157=0,D157=" "))," ",D157*E157)</f>
        <v>1450</v>
      </c>
      <c r="G157" s="73"/>
    </row>
    <row r="158" spans="1:7" ht="41.4">
      <c r="A158" s="89" t="s">
        <v>49</v>
      </c>
      <c r="B158" s="90" t="s">
        <v>3291</v>
      </c>
      <c r="C158" s="91" t="s">
        <v>681</v>
      </c>
      <c r="D158" s="73">
        <v>6.7</v>
      </c>
      <c r="E158" s="74">
        <v>100</v>
      </c>
      <c r="F158" s="93">
        <f>IF(OR(OR(E158=0,E158=" "),OR(D158=0,D158=" "))," ",D158*E158)</f>
        <v>670</v>
      </c>
    </row>
    <row r="159" spans="1:7">
      <c r="A159" s="89"/>
      <c r="B159" s="90"/>
      <c r="C159" s="91"/>
      <c r="D159" s="73"/>
      <c r="E159" s="74"/>
      <c r="F159" s="94"/>
    </row>
    <row r="160" spans="1:7">
      <c r="A160" s="87" t="s">
        <v>667</v>
      </c>
      <c r="B160" s="88" t="s">
        <v>700</v>
      </c>
      <c r="C160" s="91"/>
      <c r="D160" s="73"/>
      <c r="E160" s="74"/>
      <c r="F160" s="93"/>
    </row>
    <row r="161" spans="1:7" ht="193.2">
      <c r="A161" s="89" t="s">
        <v>1126</v>
      </c>
      <c r="B161" s="364" t="s">
        <v>3292</v>
      </c>
      <c r="C161" s="91"/>
      <c r="D161" s="73"/>
      <c r="E161" s="74"/>
      <c r="F161" s="93"/>
    </row>
    <row r="162" spans="1:7">
      <c r="A162" s="89" t="s">
        <v>48</v>
      </c>
      <c r="B162" s="90" t="s">
        <v>1619</v>
      </c>
      <c r="C162" s="91" t="s">
        <v>675</v>
      </c>
      <c r="D162" s="73">
        <v>811</v>
      </c>
      <c r="E162" s="74">
        <v>2</v>
      </c>
      <c r="F162" s="93">
        <f>IF(OR(OR(E162=0,E162=" "),OR(D162=0,D162=" "))," ",D162*E162)</f>
        <v>1622</v>
      </c>
    </row>
    <row r="163" spans="1:7">
      <c r="A163" s="89" t="s">
        <v>49</v>
      </c>
      <c r="B163" s="90" t="s">
        <v>1620</v>
      </c>
      <c r="C163" s="91" t="s">
        <v>675</v>
      </c>
      <c r="D163" s="73">
        <v>811</v>
      </c>
      <c r="E163" s="74">
        <v>3</v>
      </c>
      <c r="F163" s="93">
        <f>IF(OR(OR(E163=0,E163=" "),OR(D163=0,D163=" "))," ",D163*E163)</f>
        <v>2433</v>
      </c>
      <c r="G163" s="73"/>
    </row>
    <row r="164" spans="1:7">
      <c r="A164" s="89" t="s">
        <v>51</v>
      </c>
      <c r="B164" s="90" t="s">
        <v>1636</v>
      </c>
      <c r="C164" s="91" t="s">
        <v>681</v>
      </c>
      <c r="D164" s="73">
        <v>40.6</v>
      </c>
      <c r="E164" s="74">
        <v>60</v>
      </c>
      <c r="F164" s="93">
        <f>IF(OR(OR(E164=0,E164=" "),OR(D164=0,D164=" "))," ",D164*E164)</f>
        <v>2436</v>
      </c>
      <c r="G164" s="73"/>
    </row>
    <row r="165" spans="1:7">
      <c r="A165" s="89" t="s">
        <v>53</v>
      </c>
      <c r="B165" s="90" t="s">
        <v>701</v>
      </c>
      <c r="C165" s="91" t="s">
        <v>675</v>
      </c>
      <c r="D165" s="73">
        <v>811</v>
      </c>
      <c r="E165" s="74">
        <v>25</v>
      </c>
      <c r="F165" s="93">
        <f>IF(OR(OR(E165=0,E165=" "),OR(D165=0,D165=" "))," ",D165*E165)</f>
        <v>20275</v>
      </c>
      <c r="G165" s="73"/>
    </row>
    <row r="166" spans="1:7" ht="27.6">
      <c r="A166" s="89" t="s">
        <v>698</v>
      </c>
      <c r="B166" s="90" t="s">
        <v>3293</v>
      </c>
      <c r="C166" s="91" t="s">
        <v>681</v>
      </c>
      <c r="D166" s="73">
        <v>59</v>
      </c>
      <c r="E166" s="74">
        <v>40</v>
      </c>
      <c r="F166" s="93">
        <f>IF(OR(OR(E166=0,E166=" "),OR(D166=0,D166=" "))," ",D166*E166)</f>
        <v>2360</v>
      </c>
      <c r="G166" s="73"/>
    </row>
    <row r="167" spans="1:7">
      <c r="A167" s="89"/>
      <c r="B167" s="90"/>
      <c r="C167" s="91"/>
      <c r="D167" s="73"/>
      <c r="E167" s="74"/>
      <c r="F167" s="93"/>
      <c r="G167" s="73"/>
    </row>
    <row r="168" spans="1:7" ht="207">
      <c r="A168" s="89" t="s">
        <v>1126</v>
      </c>
      <c r="B168" s="364" t="s">
        <v>5343</v>
      </c>
      <c r="C168" s="91"/>
      <c r="D168" s="73"/>
      <c r="E168" s="74"/>
      <c r="F168" s="93"/>
      <c r="G168" s="73"/>
    </row>
    <row r="169" spans="1:7">
      <c r="A169" s="89" t="s">
        <v>48</v>
      </c>
      <c r="B169" s="90" t="s">
        <v>1619</v>
      </c>
      <c r="C169" s="91" t="s">
        <v>675</v>
      </c>
      <c r="D169" s="73">
        <v>333</v>
      </c>
      <c r="E169" s="74">
        <v>5</v>
      </c>
      <c r="F169" s="93">
        <f t="shared" ref="F169:F173" si="0">IF(OR(OR(E169=0,E169=" "),OR(D169=0,D169=" "))," ",D169*E169)</f>
        <v>1665</v>
      </c>
      <c r="G169" s="73"/>
    </row>
    <row r="170" spans="1:7">
      <c r="A170" s="89" t="s">
        <v>49</v>
      </c>
      <c r="B170" s="90" t="s">
        <v>5344</v>
      </c>
      <c r="C170" s="91" t="s">
        <v>675</v>
      </c>
      <c r="D170" s="73">
        <v>105</v>
      </c>
      <c r="E170" s="74">
        <v>110</v>
      </c>
      <c r="F170" s="93">
        <f t="shared" si="0"/>
        <v>11550</v>
      </c>
      <c r="G170" s="73"/>
    </row>
    <row r="171" spans="1:7">
      <c r="A171" s="89" t="s">
        <v>51</v>
      </c>
      <c r="B171" s="90" t="s">
        <v>5345</v>
      </c>
      <c r="C171" s="91" t="s">
        <v>675</v>
      </c>
      <c r="D171" s="73">
        <v>74.5</v>
      </c>
      <c r="E171" s="74">
        <v>110</v>
      </c>
      <c r="F171" s="93">
        <f t="shared" si="0"/>
        <v>8195</v>
      </c>
      <c r="G171" s="73"/>
    </row>
    <row r="172" spans="1:7" ht="27.6">
      <c r="A172" s="89" t="s">
        <v>53</v>
      </c>
      <c r="B172" s="90" t="s">
        <v>5346</v>
      </c>
      <c r="C172" s="91" t="s">
        <v>675</v>
      </c>
      <c r="D172" s="73">
        <v>118.75</v>
      </c>
      <c r="E172" s="74">
        <v>110</v>
      </c>
      <c r="F172" s="93">
        <f t="shared" si="0"/>
        <v>13062.5</v>
      </c>
      <c r="G172" s="73"/>
    </row>
    <row r="173" spans="1:7" ht="27.6">
      <c r="A173" s="89" t="s">
        <v>698</v>
      </c>
      <c r="B173" s="90" t="s">
        <v>5347</v>
      </c>
      <c r="C173" s="91" t="s">
        <v>675</v>
      </c>
      <c r="D173" s="73">
        <v>34.75</v>
      </c>
      <c r="E173" s="74">
        <v>110</v>
      </c>
      <c r="F173" s="93">
        <f t="shared" si="0"/>
        <v>3822.5</v>
      </c>
      <c r="G173" s="73"/>
    </row>
    <row r="174" spans="1:7">
      <c r="A174" s="98"/>
      <c r="B174" s="99"/>
      <c r="C174" s="100"/>
      <c r="D174" s="101"/>
      <c r="E174" s="100"/>
      <c r="F174" s="102"/>
      <c r="G174" s="73"/>
    </row>
    <row r="175" spans="1:7">
      <c r="A175" s="103" t="str">
        <f>A93</f>
        <v>A.3.</v>
      </c>
      <c r="B175" s="104" t="str">
        <f>CONCATENATE(B93," ", "UKUPNO:")</f>
        <v>ZEMLJANI RADOVI UKUPNO:</v>
      </c>
      <c r="D175" s="73"/>
      <c r="E175" s="74"/>
      <c r="F175" s="663">
        <f>SUM(F97:F174)</f>
        <v>182703.5</v>
      </c>
      <c r="G175" s="73"/>
    </row>
    <row r="176" spans="1:7">
      <c r="A176" s="89"/>
      <c r="B176" s="90"/>
      <c r="C176" s="91"/>
      <c r="D176" s="73"/>
      <c r="E176" s="74"/>
      <c r="F176" s="93"/>
      <c r="G176" s="73"/>
    </row>
    <row r="177" spans="1:7">
      <c r="A177" s="89"/>
      <c r="B177" s="90"/>
      <c r="C177" s="91"/>
      <c r="D177" s="73"/>
      <c r="E177" s="74"/>
      <c r="F177" s="93"/>
      <c r="G177" s="73"/>
    </row>
    <row r="178" spans="1:7">
      <c r="A178" s="81" t="s">
        <v>1001</v>
      </c>
      <c r="B178" s="82" t="s">
        <v>706</v>
      </c>
      <c r="C178" s="83"/>
      <c r="D178" s="84"/>
      <c r="E178" s="85"/>
      <c r="F178" s="86"/>
    </row>
    <row r="179" spans="1:7">
      <c r="A179" s="70"/>
      <c r="B179" s="71"/>
      <c r="C179" s="72"/>
      <c r="D179" s="73"/>
      <c r="E179" s="74"/>
      <c r="F179" s="75"/>
    </row>
    <row r="180" spans="1:7">
      <c r="A180" s="87" t="s">
        <v>667</v>
      </c>
      <c r="B180" s="88" t="s">
        <v>707</v>
      </c>
      <c r="C180" s="72"/>
      <c r="D180" s="92"/>
      <c r="E180" s="74"/>
      <c r="F180" s="75"/>
    </row>
    <row r="181" spans="1:7" ht="110.4">
      <c r="A181" s="89" t="s">
        <v>1002</v>
      </c>
      <c r="B181" s="362" t="s">
        <v>5348</v>
      </c>
      <c r="C181" s="91"/>
      <c r="D181" s="73"/>
      <c r="E181" s="74"/>
      <c r="F181" s="94"/>
    </row>
    <row r="182" spans="1:7" ht="55.2">
      <c r="A182" s="76" t="s">
        <v>665</v>
      </c>
      <c r="B182" s="90" t="s">
        <v>708</v>
      </c>
      <c r="C182" s="78"/>
      <c r="D182" s="73"/>
      <c r="E182" s="74"/>
      <c r="F182" s="79"/>
    </row>
    <row r="183" spans="1:7" ht="41.4">
      <c r="A183" s="76"/>
      <c r="B183" s="71" t="s">
        <v>5221</v>
      </c>
      <c r="C183" s="78"/>
      <c r="D183" s="73"/>
      <c r="E183" s="74"/>
      <c r="F183" s="79"/>
    </row>
    <row r="184" spans="1:7" ht="27.6">
      <c r="A184" s="76"/>
      <c r="B184" s="71" t="s">
        <v>1623</v>
      </c>
      <c r="C184" s="78"/>
      <c r="D184" s="73"/>
      <c r="E184" s="74"/>
      <c r="F184" s="79"/>
    </row>
    <row r="185" spans="1:7" ht="96.6">
      <c r="A185" s="76" t="s">
        <v>665</v>
      </c>
      <c r="B185" s="90" t="s">
        <v>3184</v>
      </c>
      <c r="C185" s="78"/>
      <c r="D185" s="73"/>
      <c r="E185" s="74"/>
      <c r="F185" s="79"/>
    </row>
    <row r="186" spans="1:7">
      <c r="A186" s="76"/>
      <c r="B186" s="90" t="s">
        <v>1597</v>
      </c>
      <c r="C186" s="78"/>
      <c r="D186" s="73"/>
      <c r="E186" s="74"/>
      <c r="F186" s="79"/>
    </row>
    <row r="187" spans="1:7" ht="27.6">
      <c r="A187" s="76"/>
      <c r="B187" s="90" t="s">
        <v>1624</v>
      </c>
      <c r="C187" s="78"/>
      <c r="D187" s="73"/>
      <c r="E187" s="74"/>
      <c r="F187" s="79"/>
    </row>
    <row r="188" spans="1:7">
      <c r="A188" s="76"/>
      <c r="B188" s="90" t="s">
        <v>1625</v>
      </c>
      <c r="C188" s="78"/>
      <c r="D188" s="73"/>
      <c r="E188" s="74"/>
      <c r="F188" s="79"/>
    </row>
    <row r="189" spans="1:7" ht="41.4">
      <c r="A189" s="89" t="s">
        <v>48</v>
      </c>
      <c r="B189" s="90" t="s">
        <v>1626</v>
      </c>
      <c r="C189" s="91" t="s">
        <v>697</v>
      </c>
      <c r="D189" s="73">
        <v>195.4</v>
      </c>
      <c r="E189" s="74">
        <v>25</v>
      </c>
      <c r="F189" s="93">
        <f>IF(OR(OR(E189=0,E189=" "),OR(D189=0,D189=" "))," ",D189*E189)</f>
        <v>4885</v>
      </c>
    </row>
    <row r="190" spans="1:7" ht="41.4">
      <c r="A190" s="89" t="s">
        <v>49</v>
      </c>
      <c r="B190" s="90" t="s">
        <v>1627</v>
      </c>
      <c r="C190" s="91" t="s">
        <v>697</v>
      </c>
      <c r="D190" s="73">
        <v>89</v>
      </c>
      <c r="E190" s="74">
        <v>25</v>
      </c>
      <c r="F190" s="93">
        <f>IF(OR(OR(E190=0,E190=" "),OR(D190=0,D190=" "))," ",D190*E190)</f>
        <v>2225</v>
      </c>
    </row>
    <row r="191" spans="1:7" ht="55.2">
      <c r="A191" s="89" t="s">
        <v>51</v>
      </c>
      <c r="B191" s="90" t="s">
        <v>1628</v>
      </c>
      <c r="C191" s="91" t="s">
        <v>697</v>
      </c>
      <c r="D191" s="73">
        <v>107</v>
      </c>
      <c r="E191" s="74">
        <v>25</v>
      </c>
      <c r="F191" s="93">
        <f>IF(OR(OR(E191=0,E191=" "),OR(D191=0,D191=" "))," ",D191*E191)</f>
        <v>2675</v>
      </c>
    </row>
    <row r="192" spans="1:7">
      <c r="A192" s="87"/>
      <c r="B192" s="96"/>
      <c r="C192" s="72"/>
      <c r="D192" s="92"/>
      <c r="E192" s="74"/>
      <c r="F192" s="75"/>
    </row>
    <row r="193" spans="1:6" ht="69">
      <c r="A193" s="89" t="s">
        <v>1128</v>
      </c>
      <c r="B193" s="362" t="s">
        <v>5349</v>
      </c>
      <c r="C193" s="91"/>
      <c r="D193" s="73"/>
      <c r="E193" s="74"/>
      <c r="F193" s="94"/>
    </row>
    <row r="194" spans="1:6" ht="55.2">
      <c r="A194" s="76" t="s">
        <v>665</v>
      </c>
      <c r="B194" s="90" t="s">
        <v>708</v>
      </c>
      <c r="C194" s="78"/>
      <c r="D194" s="73"/>
      <c r="E194" s="74"/>
      <c r="F194" s="79"/>
    </row>
    <row r="195" spans="1:6" ht="41.4">
      <c r="A195" s="76"/>
      <c r="B195" s="71" t="s">
        <v>5221</v>
      </c>
      <c r="C195" s="78"/>
      <c r="D195" s="73"/>
      <c r="E195" s="74"/>
      <c r="F195" s="79"/>
    </row>
    <row r="196" spans="1:6" ht="27.6">
      <c r="A196" s="76"/>
      <c r="B196" s="71" t="s">
        <v>1623</v>
      </c>
      <c r="C196" s="78"/>
      <c r="D196" s="73"/>
      <c r="E196" s="74"/>
      <c r="F196" s="79"/>
    </row>
    <row r="197" spans="1:6" ht="96.6">
      <c r="A197" s="76" t="s">
        <v>665</v>
      </c>
      <c r="B197" s="90" t="s">
        <v>3184</v>
      </c>
      <c r="C197" s="78"/>
      <c r="D197" s="73"/>
      <c r="E197" s="74"/>
      <c r="F197" s="79"/>
    </row>
    <row r="198" spans="1:6">
      <c r="A198" s="76"/>
      <c r="B198" s="90" t="s">
        <v>1597</v>
      </c>
      <c r="C198" s="78"/>
      <c r="D198" s="73"/>
      <c r="E198" s="74"/>
      <c r="F198" s="79"/>
    </row>
    <row r="199" spans="1:6" ht="27.6">
      <c r="A199" s="76"/>
      <c r="B199" s="90" t="s">
        <v>1624</v>
      </c>
      <c r="C199" s="78"/>
      <c r="D199" s="73"/>
      <c r="E199" s="74"/>
      <c r="F199" s="79"/>
    </row>
    <row r="200" spans="1:6">
      <c r="A200" s="76"/>
      <c r="B200" s="90" t="s">
        <v>1625</v>
      </c>
      <c r="C200" s="78"/>
      <c r="D200" s="73"/>
      <c r="E200" s="74"/>
      <c r="F200" s="79"/>
    </row>
    <row r="201" spans="1:6">
      <c r="A201" s="76"/>
      <c r="B201" s="90" t="s">
        <v>709</v>
      </c>
      <c r="C201" s="78"/>
      <c r="D201" s="73"/>
      <c r="E201" s="74"/>
      <c r="F201" s="79"/>
    </row>
    <row r="202" spans="1:6" ht="55.2">
      <c r="A202" s="89" t="s">
        <v>48</v>
      </c>
      <c r="B202" s="90" t="s">
        <v>3185</v>
      </c>
      <c r="C202" s="91" t="s">
        <v>697</v>
      </c>
      <c r="D202" s="73">
        <v>134.1</v>
      </c>
      <c r="E202" s="74">
        <v>20</v>
      </c>
      <c r="F202" s="93">
        <f>IF(OR(OR(E202=0,E202=" "),OR(D202=0,D202=" "))," ",D202*E202)</f>
        <v>2682</v>
      </c>
    </row>
    <row r="203" spans="1:6" ht="55.2">
      <c r="A203" s="89" t="s">
        <v>49</v>
      </c>
      <c r="B203" s="90" t="s">
        <v>3186</v>
      </c>
      <c r="C203" s="91" t="s">
        <v>697</v>
      </c>
      <c r="D203" s="73">
        <v>27.6</v>
      </c>
      <c r="E203" s="74">
        <v>30</v>
      </c>
      <c r="F203" s="93">
        <f>IF(OR(OR(E203=0,E203=" "),OR(D203=0,D203=" "))," ",D203*E203)</f>
        <v>828</v>
      </c>
    </row>
    <row r="204" spans="1:6">
      <c r="A204" s="89"/>
      <c r="B204" s="90"/>
      <c r="C204" s="91"/>
      <c r="D204" s="73"/>
      <c r="E204" s="74"/>
      <c r="F204" s="93"/>
    </row>
    <row r="205" spans="1:6">
      <c r="A205" s="87" t="s">
        <v>667</v>
      </c>
      <c r="B205" s="88" t="s">
        <v>710</v>
      </c>
      <c r="C205" s="72"/>
      <c r="D205" s="92"/>
      <c r="E205" s="74"/>
      <c r="F205" s="75"/>
    </row>
    <row r="206" spans="1:6" ht="55.2">
      <c r="A206" s="89" t="s">
        <v>1129</v>
      </c>
      <c r="B206" s="361" t="s">
        <v>1631</v>
      </c>
      <c r="C206" s="91"/>
      <c r="D206" s="73"/>
      <c r="E206" s="74"/>
      <c r="F206" s="94"/>
    </row>
    <row r="207" spans="1:6" ht="69">
      <c r="A207" s="89"/>
      <c r="B207" s="358" t="s">
        <v>3294</v>
      </c>
      <c r="C207" s="91"/>
      <c r="D207" s="73"/>
      <c r="E207" s="74"/>
      <c r="F207" s="94"/>
    </row>
    <row r="208" spans="1:6" ht="27.6">
      <c r="A208" s="89"/>
      <c r="B208" s="363" t="s">
        <v>1630</v>
      </c>
      <c r="C208" s="91"/>
      <c r="D208" s="73"/>
      <c r="E208" s="74"/>
      <c r="F208" s="94"/>
    </row>
    <row r="209" spans="1:6" ht="27.6">
      <c r="A209" s="89"/>
      <c r="B209" s="363" t="s">
        <v>1632</v>
      </c>
      <c r="C209" s="91"/>
      <c r="D209" s="73"/>
      <c r="E209" s="74"/>
      <c r="F209" s="94"/>
    </row>
    <row r="210" spans="1:6" ht="27.6">
      <c r="A210" s="89"/>
      <c r="B210" s="358" t="s">
        <v>1624</v>
      </c>
      <c r="C210" s="91"/>
      <c r="D210" s="73"/>
      <c r="E210" s="74"/>
      <c r="F210" s="94"/>
    </row>
    <row r="211" spans="1:6">
      <c r="A211" s="76"/>
      <c r="B211" s="90" t="s">
        <v>1629</v>
      </c>
      <c r="C211" s="78"/>
      <c r="D211" s="73"/>
      <c r="E211" s="74"/>
      <c r="F211" s="79"/>
    </row>
    <row r="212" spans="1:6">
      <c r="A212" s="89" t="s">
        <v>48</v>
      </c>
      <c r="B212" s="90" t="s">
        <v>1619</v>
      </c>
      <c r="C212" s="91" t="s">
        <v>675</v>
      </c>
      <c r="D212" s="73">
        <v>190</v>
      </c>
      <c r="E212" s="74">
        <v>2</v>
      </c>
      <c r="F212" s="93">
        <f>IF(OR(OR(E212=0,E212=" "),OR(D212=0,D212=" "))," ",D212*E212)</f>
        <v>380</v>
      </c>
    </row>
    <row r="213" spans="1:6">
      <c r="A213" s="89" t="s">
        <v>49</v>
      </c>
      <c r="B213" s="90" t="s">
        <v>1620</v>
      </c>
      <c r="C213" s="91" t="s">
        <v>675</v>
      </c>
      <c r="D213" s="73">
        <v>190</v>
      </c>
      <c r="E213" s="74">
        <v>3</v>
      </c>
      <c r="F213" s="93">
        <f>IF(OR(OR(E213=0,E213=" "),OR(D213=0,D213=" "))," ",D213*E213)</f>
        <v>570</v>
      </c>
    </row>
    <row r="214" spans="1:6">
      <c r="A214" s="89" t="s">
        <v>51</v>
      </c>
      <c r="B214" s="90" t="s">
        <v>2082</v>
      </c>
      <c r="C214" s="91" t="s">
        <v>681</v>
      </c>
      <c r="D214" s="73">
        <v>11.4</v>
      </c>
      <c r="E214" s="74">
        <v>60</v>
      </c>
      <c r="F214" s="93">
        <f>IF(OR(OR(E214=0,E214=" "),OR(D214=0,D214=" "))," ",D214*E214)</f>
        <v>684</v>
      </c>
    </row>
    <row r="215" spans="1:6">
      <c r="A215" s="89" t="s">
        <v>53</v>
      </c>
      <c r="B215" s="90" t="s">
        <v>1633</v>
      </c>
      <c r="C215" s="91" t="s">
        <v>675</v>
      </c>
      <c r="D215" s="73">
        <v>190</v>
      </c>
      <c r="E215" s="74">
        <v>30</v>
      </c>
      <c r="F215" s="93">
        <f>IF(OR(OR(E215=0,E215=" "),OR(D215=0,D215=" "))," ",D215*E215)</f>
        <v>5700</v>
      </c>
    </row>
    <row r="216" spans="1:6" ht="27.6">
      <c r="A216" s="89" t="s">
        <v>698</v>
      </c>
      <c r="B216" s="90" t="s">
        <v>2081</v>
      </c>
      <c r="C216" s="91" t="s">
        <v>681</v>
      </c>
      <c r="D216" s="73">
        <v>7.6</v>
      </c>
      <c r="E216" s="74">
        <v>40</v>
      </c>
      <c r="F216" s="93">
        <f>IF(OR(OR(E216=0,E216=" "),OR(D216=0,D216=" "))," ",D216*E216)</f>
        <v>304</v>
      </c>
    </row>
    <row r="217" spans="1:6">
      <c r="A217" s="98"/>
      <c r="B217" s="99"/>
      <c r="C217" s="100"/>
      <c r="D217" s="101"/>
      <c r="E217" s="100"/>
      <c r="F217" s="102"/>
    </row>
    <row r="218" spans="1:6">
      <c r="A218" s="103" t="str">
        <f>A178</f>
        <v>A.4.</v>
      </c>
      <c r="B218" s="104" t="str">
        <f>CONCATENATE(B178," ", "UKUPNO:")</f>
        <v>BETONSKI RADOVI UKUPNO:</v>
      </c>
      <c r="D218" s="73"/>
      <c r="E218" s="74"/>
      <c r="F218" s="663">
        <f>SUM(F180:F217)</f>
        <v>20933</v>
      </c>
    </row>
    <row r="219" spans="1:6">
      <c r="A219" s="106"/>
      <c r="B219" s="107"/>
      <c r="C219" s="72"/>
      <c r="D219" s="73"/>
      <c r="E219" s="74"/>
      <c r="F219" s="108"/>
    </row>
    <row r="220" spans="1:6">
      <c r="A220" s="70"/>
      <c r="B220" s="71"/>
      <c r="C220" s="72"/>
      <c r="D220" s="73"/>
      <c r="E220" s="74"/>
      <c r="F220" s="75"/>
    </row>
    <row r="221" spans="1:6">
      <c r="A221" s="81" t="s">
        <v>1003</v>
      </c>
      <c r="B221" s="82" t="s">
        <v>711</v>
      </c>
      <c r="C221" s="83"/>
      <c r="D221" s="84"/>
      <c r="E221" s="85"/>
      <c r="F221" s="86"/>
    </row>
    <row r="222" spans="1:6">
      <c r="A222" s="70"/>
      <c r="B222" s="71"/>
      <c r="C222" s="72"/>
      <c r="D222" s="73"/>
      <c r="E222" s="74"/>
      <c r="F222" s="75"/>
    </row>
    <row r="223" spans="1:6">
      <c r="A223" s="70"/>
      <c r="B223" s="96" t="s">
        <v>666</v>
      </c>
      <c r="C223" s="72"/>
      <c r="D223" s="73"/>
      <c r="E223" s="74"/>
      <c r="F223" s="75"/>
    </row>
    <row r="224" spans="1:6" ht="69">
      <c r="A224" s="70"/>
      <c r="B224" s="96" t="s">
        <v>712</v>
      </c>
      <c r="C224" s="72"/>
      <c r="D224" s="73"/>
      <c r="E224" s="74"/>
      <c r="F224" s="75"/>
    </row>
    <row r="225" spans="1:12" ht="41.4">
      <c r="A225" s="70"/>
      <c r="B225" s="96" t="s">
        <v>713</v>
      </c>
      <c r="C225" s="72"/>
      <c r="D225" s="73"/>
      <c r="E225" s="74"/>
      <c r="F225" s="75"/>
    </row>
    <row r="226" spans="1:12" ht="55.2">
      <c r="A226" s="70"/>
      <c r="B226" s="96" t="s">
        <v>1634</v>
      </c>
      <c r="C226" s="72"/>
      <c r="D226" s="73"/>
      <c r="E226" s="74"/>
      <c r="F226" s="75"/>
    </row>
    <row r="227" spans="1:12">
      <c r="A227" s="70"/>
      <c r="B227" s="96"/>
      <c r="C227" s="72"/>
      <c r="D227" s="73"/>
      <c r="E227" s="74"/>
      <c r="F227" s="75"/>
    </row>
    <row r="228" spans="1:12">
      <c r="A228" s="111"/>
      <c r="B228" s="77" t="s">
        <v>714</v>
      </c>
      <c r="C228" s="72"/>
      <c r="D228" s="73"/>
      <c r="E228" s="74"/>
      <c r="F228" s="75"/>
    </row>
    <row r="229" spans="1:12" ht="303.60000000000002">
      <c r="A229" s="111" t="s">
        <v>667</v>
      </c>
      <c r="B229" s="870" t="s">
        <v>5350</v>
      </c>
      <c r="C229" s="72"/>
      <c r="D229" s="73"/>
      <c r="E229" s="74"/>
      <c r="F229" s="75"/>
    </row>
    <row r="230" spans="1:12">
      <c r="A230" s="111"/>
      <c r="B230" s="80"/>
      <c r="C230" s="72"/>
      <c r="D230" s="73"/>
      <c r="E230" s="74"/>
      <c r="F230" s="75"/>
    </row>
    <row r="231" spans="1:12">
      <c r="A231" s="87" t="s">
        <v>667</v>
      </c>
      <c r="B231" s="88" t="s">
        <v>715</v>
      </c>
      <c r="C231" s="72"/>
      <c r="D231" s="92"/>
      <c r="E231" s="74"/>
      <c r="F231" s="75"/>
    </row>
    <row r="232" spans="1:12" ht="55.2">
      <c r="A232" s="89" t="s">
        <v>1004</v>
      </c>
      <c r="B232" s="361" t="s">
        <v>1640</v>
      </c>
      <c r="C232" s="91"/>
      <c r="D232" s="73"/>
      <c r="E232" s="74"/>
      <c r="F232" s="94"/>
    </row>
    <row r="233" spans="1:12" ht="82.8">
      <c r="A233" s="89"/>
      <c r="B233" s="90" t="s">
        <v>3187</v>
      </c>
      <c r="C233" s="91"/>
      <c r="D233" s="73"/>
      <c r="E233" s="74"/>
      <c r="F233" s="94"/>
    </row>
    <row r="234" spans="1:12">
      <c r="A234" s="89"/>
      <c r="B234" s="90" t="s">
        <v>1635</v>
      </c>
      <c r="C234" s="91"/>
      <c r="D234" s="73"/>
      <c r="E234" s="74"/>
      <c r="F234" s="94"/>
    </row>
    <row r="235" spans="1:12">
      <c r="A235" s="89" t="s">
        <v>48</v>
      </c>
      <c r="B235" s="90" t="s">
        <v>716</v>
      </c>
      <c r="C235" s="91" t="s">
        <v>670</v>
      </c>
      <c r="D235" s="92">
        <v>1</v>
      </c>
      <c r="E235" s="74">
        <v>500</v>
      </c>
      <c r="F235" s="93">
        <f>IF(OR(OR(E235=0,E235=" "),OR(D235=0,D235=" "))," ",D235*E235)</f>
        <v>500</v>
      </c>
    </row>
    <row r="236" spans="1:12">
      <c r="A236" s="70"/>
      <c r="B236" s="71"/>
      <c r="C236" s="72"/>
      <c r="D236" s="73"/>
      <c r="E236" s="74"/>
      <c r="F236" s="75"/>
    </row>
    <row r="237" spans="1:12">
      <c r="A237" s="87" t="s">
        <v>667</v>
      </c>
      <c r="B237" s="88" t="s">
        <v>717</v>
      </c>
      <c r="C237" s="72"/>
      <c r="D237" s="92"/>
      <c r="E237" s="74"/>
      <c r="F237" s="75"/>
    </row>
    <row r="238" spans="1:12" ht="193.2">
      <c r="A238" s="89" t="s">
        <v>1005</v>
      </c>
      <c r="B238" s="362" t="s">
        <v>3298</v>
      </c>
      <c r="C238" s="91"/>
      <c r="D238" s="73"/>
      <c r="E238" s="74"/>
      <c r="F238" s="94"/>
    </row>
    <row r="239" spans="1:12" ht="69">
      <c r="A239" s="89"/>
      <c r="B239" s="90" t="s">
        <v>1646</v>
      </c>
      <c r="C239" s="91"/>
      <c r="D239" s="73"/>
      <c r="E239" s="74"/>
      <c r="F239" s="94"/>
    </row>
    <row r="240" spans="1:12" ht="16.5" customHeight="1">
      <c r="A240" s="89" t="s">
        <v>48</v>
      </c>
      <c r="B240" s="90" t="s">
        <v>718</v>
      </c>
      <c r="C240" s="91" t="s">
        <v>681</v>
      </c>
      <c r="D240" s="73">
        <v>120.3</v>
      </c>
      <c r="E240" s="74">
        <v>150</v>
      </c>
      <c r="F240" s="93">
        <f>IF(OR(OR(E240=0,E240=" "),OR(D240=0,D240=" "))," ",D240*E240)</f>
        <v>18045</v>
      </c>
      <c r="G240" s="73"/>
      <c r="J240" s="366"/>
      <c r="K240" s="366"/>
      <c r="L240" s="366"/>
    </row>
    <row r="241" spans="1:12" ht="16.5" customHeight="1">
      <c r="A241" s="89" t="s">
        <v>49</v>
      </c>
      <c r="B241" s="90" t="s">
        <v>3296</v>
      </c>
      <c r="C241" s="91" t="s">
        <v>681</v>
      </c>
      <c r="D241" s="73">
        <v>27.6</v>
      </c>
      <c r="E241" s="74">
        <v>150</v>
      </c>
      <c r="F241" s="93">
        <f>IF(OR(OR(E241=0,E241=" "),OR(D241=0,D241=" "))," ",D241*E241)</f>
        <v>4140</v>
      </c>
      <c r="G241" s="73"/>
      <c r="J241" s="366"/>
      <c r="K241" s="366"/>
      <c r="L241" s="366"/>
    </row>
    <row r="242" spans="1:12" ht="16.5" customHeight="1">
      <c r="A242" s="89" t="s">
        <v>51</v>
      </c>
      <c r="B242" s="90" t="s">
        <v>3297</v>
      </c>
      <c r="C242" s="91" t="s">
        <v>675</v>
      </c>
      <c r="D242" s="73">
        <v>68.5</v>
      </c>
      <c r="E242" s="74">
        <v>30</v>
      </c>
      <c r="F242" s="93">
        <f>IF(OR(OR(E242=0,E242=" "),OR(D242=0,D242=" "))," ",D242*E242)</f>
        <v>2055</v>
      </c>
      <c r="G242" s="73"/>
      <c r="J242" s="366"/>
      <c r="K242" s="366"/>
      <c r="L242" s="366"/>
    </row>
    <row r="243" spans="1:12" ht="16.5" customHeight="1">
      <c r="A243" s="89" t="s">
        <v>53</v>
      </c>
      <c r="B243" s="90" t="s">
        <v>1637</v>
      </c>
      <c r="C243" s="91" t="s">
        <v>675</v>
      </c>
      <c r="D243" s="73">
        <v>1.4</v>
      </c>
      <c r="E243" s="74">
        <v>100</v>
      </c>
      <c r="F243" s="93">
        <f>IF(OR(OR(E243=0,E243=" "),OR(D243=0,D243=" "))," ",D243*E243)</f>
        <v>140</v>
      </c>
      <c r="G243" s="73"/>
      <c r="J243" s="366"/>
      <c r="K243" s="366"/>
      <c r="L243" s="366"/>
    </row>
    <row r="244" spans="1:12">
      <c r="A244" s="70"/>
      <c r="B244" s="71"/>
      <c r="C244" s="72"/>
      <c r="D244" s="73"/>
      <c r="E244" s="74"/>
      <c r="F244" s="75"/>
    </row>
    <row r="245" spans="1:12" ht="151.80000000000001">
      <c r="A245" s="89" t="s">
        <v>1006</v>
      </c>
      <c r="B245" s="362" t="s">
        <v>3299</v>
      </c>
      <c r="C245" s="91"/>
      <c r="D245" s="73"/>
      <c r="E245" s="74"/>
      <c r="F245" s="94"/>
    </row>
    <row r="246" spans="1:12">
      <c r="A246" s="89" t="s">
        <v>48</v>
      </c>
      <c r="B246" s="90" t="s">
        <v>3295</v>
      </c>
      <c r="C246" s="91" t="s">
        <v>681</v>
      </c>
      <c r="D246" s="73">
        <v>60</v>
      </c>
      <c r="E246" s="74">
        <v>150</v>
      </c>
      <c r="F246" s="93">
        <f>IF(OR(OR(E246=0,E246=" "),OR(D246=0,D246=" "))," ",D246*E246)</f>
        <v>9000</v>
      </c>
      <c r="G246" s="73"/>
      <c r="H246" s="365"/>
    </row>
    <row r="247" spans="1:12">
      <c r="A247" s="89" t="s">
        <v>49</v>
      </c>
      <c r="B247" s="90" t="s">
        <v>3300</v>
      </c>
      <c r="C247" s="91" t="s">
        <v>675</v>
      </c>
      <c r="D247" s="73">
        <v>13</v>
      </c>
      <c r="E247" s="74">
        <v>50</v>
      </c>
      <c r="F247" s="93">
        <f>IF(OR(OR(E247=0,E247=" "),OR(D247=0,D247=" "))," ",D247*E247)</f>
        <v>650</v>
      </c>
      <c r="G247" s="73"/>
      <c r="H247" s="365"/>
    </row>
    <row r="248" spans="1:12">
      <c r="A248" s="70"/>
      <c r="B248" s="71"/>
      <c r="C248" s="72"/>
      <c r="D248" s="73"/>
      <c r="E248" s="74"/>
      <c r="F248" s="75"/>
    </row>
    <row r="249" spans="1:12" ht="124.2">
      <c r="A249" s="89" t="s">
        <v>1007</v>
      </c>
      <c r="B249" s="362" t="s">
        <v>3302</v>
      </c>
      <c r="C249" s="91"/>
      <c r="D249" s="73"/>
      <c r="E249" s="74"/>
      <c r="F249" s="94"/>
    </row>
    <row r="250" spans="1:12">
      <c r="A250" s="89" t="s">
        <v>48</v>
      </c>
      <c r="B250" s="90" t="s">
        <v>718</v>
      </c>
      <c r="C250" s="91" t="s">
        <v>681</v>
      </c>
      <c r="D250" s="73">
        <v>0.1</v>
      </c>
      <c r="E250" s="74">
        <v>1000</v>
      </c>
      <c r="F250" s="93">
        <f>IF(OR(OR(E250=0,E250=" "),OR(D250=0,D250=" "))," ",D250*E250)</f>
        <v>100</v>
      </c>
    </row>
    <row r="251" spans="1:12">
      <c r="A251" s="89" t="s">
        <v>49</v>
      </c>
      <c r="B251" s="90" t="s">
        <v>1637</v>
      </c>
      <c r="C251" s="91" t="s">
        <v>675</v>
      </c>
      <c r="D251" s="73">
        <v>0.5</v>
      </c>
      <c r="E251" s="74">
        <v>100</v>
      </c>
      <c r="F251" s="93">
        <f>IF(OR(OR(E251=0,E251=" "),OR(D251=0,D251=" "))," ",D251*E251)</f>
        <v>50</v>
      </c>
    </row>
    <row r="252" spans="1:12">
      <c r="A252" s="70"/>
      <c r="B252" s="71"/>
      <c r="C252" s="72"/>
      <c r="D252" s="73"/>
      <c r="E252" s="74"/>
      <c r="F252" s="75"/>
    </row>
    <row r="253" spans="1:12">
      <c r="A253" s="87" t="s">
        <v>667</v>
      </c>
      <c r="B253" s="88" t="s">
        <v>720</v>
      </c>
      <c r="C253" s="72"/>
      <c r="D253" s="92"/>
      <c r="E253" s="74"/>
      <c r="F253" s="75"/>
    </row>
    <row r="254" spans="1:12" ht="193.2">
      <c r="A254" s="89" t="s">
        <v>1638</v>
      </c>
      <c r="B254" s="362" t="s">
        <v>3301</v>
      </c>
      <c r="C254" s="91"/>
      <c r="D254" s="73"/>
      <c r="E254" s="74"/>
      <c r="F254" s="94"/>
    </row>
    <row r="255" spans="1:12" ht="82.8">
      <c r="A255" s="89"/>
      <c r="B255" s="361" t="s">
        <v>1643</v>
      </c>
      <c r="C255" s="91"/>
      <c r="D255" s="73"/>
      <c r="E255" s="74"/>
      <c r="F255" s="94"/>
    </row>
    <row r="256" spans="1:12" ht="41.4">
      <c r="A256" s="89"/>
      <c r="B256" s="361" t="s">
        <v>1642</v>
      </c>
      <c r="C256" s="91"/>
      <c r="D256" s="73"/>
      <c r="E256" s="74"/>
      <c r="F256" s="94"/>
    </row>
    <row r="257" spans="1:7" ht="110.4">
      <c r="A257" s="76" t="s">
        <v>665</v>
      </c>
      <c r="B257" s="90" t="s">
        <v>5324</v>
      </c>
      <c r="C257" s="78"/>
      <c r="D257" s="73"/>
      <c r="E257" s="74"/>
      <c r="F257" s="79"/>
    </row>
    <row r="258" spans="1:7">
      <c r="A258" s="76"/>
      <c r="B258" s="90" t="s">
        <v>1641</v>
      </c>
      <c r="C258" s="78"/>
      <c r="D258" s="73"/>
      <c r="E258" s="74"/>
      <c r="F258" s="79"/>
    </row>
    <row r="259" spans="1:7" ht="69">
      <c r="A259" s="89" t="s">
        <v>48</v>
      </c>
      <c r="B259" s="90" t="s">
        <v>3303</v>
      </c>
      <c r="C259" s="91" t="s">
        <v>681</v>
      </c>
      <c r="D259" s="73">
        <v>165.6</v>
      </c>
      <c r="E259" s="74">
        <v>160</v>
      </c>
      <c r="F259" s="93">
        <f t="shared" ref="F259:F265" si="1">IF(OR(OR(E259=0,E259=" "),OR(D259=0,D259=" "))," ",D259*E259)</f>
        <v>26496</v>
      </c>
      <c r="G259" s="73"/>
    </row>
    <row r="260" spans="1:7" ht="55.2">
      <c r="A260" s="89" t="s">
        <v>49</v>
      </c>
      <c r="B260" s="90" t="s">
        <v>3307</v>
      </c>
      <c r="C260" s="91" t="s">
        <v>681</v>
      </c>
      <c r="D260" s="73">
        <v>205.3</v>
      </c>
      <c r="E260" s="74">
        <v>160</v>
      </c>
      <c r="F260" s="93">
        <f t="shared" si="1"/>
        <v>32848</v>
      </c>
      <c r="G260" s="73"/>
    </row>
    <row r="261" spans="1:7" ht="41.4">
      <c r="A261" s="89" t="s">
        <v>51</v>
      </c>
      <c r="B261" s="90" t="s">
        <v>3306</v>
      </c>
      <c r="C261" s="91" t="s">
        <v>681</v>
      </c>
      <c r="D261" s="73">
        <v>7.6</v>
      </c>
      <c r="E261" s="74">
        <v>170</v>
      </c>
      <c r="F261" s="93">
        <f t="shared" si="1"/>
        <v>1292</v>
      </c>
      <c r="G261" s="73"/>
    </row>
    <row r="262" spans="1:7">
      <c r="A262" s="89" t="s">
        <v>53</v>
      </c>
      <c r="B262" s="90" t="s">
        <v>3304</v>
      </c>
      <c r="C262" s="91" t="s">
        <v>675</v>
      </c>
      <c r="D262" s="73">
        <v>17.7</v>
      </c>
      <c r="E262" s="74">
        <v>35</v>
      </c>
      <c r="F262" s="93">
        <f t="shared" si="1"/>
        <v>619.5</v>
      </c>
      <c r="G262" s="73"/>
    </row>
    <row r="263" spans="1:7">
      <c r="A263" s="89" t="s">
        <v>698</v>
      </c>
      <c r="B263" s="90" t="s">
        <v>3297</v>
      </c>
      <c r="C263" s="91" t="s">
        <v>675</v>
      </c>
      <c r="D263" s="73">
        <v>41.3</v>
      </c>
      <c r="E263" s="74">
        <v>35</v>
      </c>
      <c r="F263" s="93">
        <f t="shared" si="1"/>
        <v>1445.5</v>
      </c>
      <c r="G263" s="73"/>
    </row>
    <row r="264" spans="1:7">
      <c r="A264" s="89" t="s">
        <v>699</v>
      </c>
      <c r="B264" s="90" t="s">
        <v>3305</v>
      </c>
      <c r="C264" s="91" t="s">
        <v>675</v>
      </c>
      <c r="D264" s="73">
        <v>32.6</v>
      </c>
      <c r="E264" s="74">
        <v>35</v>
      </c>
      <c r="F264" s="93">
        <f t="shared" si="1"/>
        <v>1141</v>
      </c>
      <c r="G264" s="73"/>
    </row>
    <row r="265" spans="1:7">
      <c r="A265" s="89" t="s">
        <v>745</v>
      </c>
      <c r="B265" s="90" t="s">
        <v>3308</v>
      </c>
      <c r="C265" s="876" t="s">
        <v>675</v>
      </c>
      <c r="D265" s="73">
        <v>10.9</v>
      </c>
      <c r="E265" s="74">
        <v>35</v>
      </c>
      <c r="F265" s="93">
        <f t="shared" si="1"/>
        <v>381.5</v>
      </c>
      <c r="G265" s="73"/>
    </row>
    <row r="266" spans="1:7">
      <c r="A266" s="89"/>
      <c r="B266" s="90"/>
      <c r="C266" s="91"/>
      <c r="D266" s="73"/>
      <c r="E266" s="74"/>
      <c r="F266" s="93"/>
    </row>
    <row r="267" spans="1:7" ht="110.4">
      <c r="A267" s="89" t="s">
        <v>1639</v>
      </c>
      <c r="B267" s="361" t="s">
        <v>1648</v>
      </c>
      <c r="C267" s="91"/>
      <c r="D267" s="73"/>
      <c r="E267" s="74"/>
      <c r="F267" s="94"/>
    </row>
    <row r="268" spans="1:7" ht="82.8">
      <c r="A268" s="89"/>
      <c r="B268" s="361" t="s">
        <v>1643</v>
      </c>
      <c r="C268" s="91"/>
      <c r="D268" s="73"/>
      <c r="E268" s="74"/>
      <c r="F268" s="94"/>
    </row>
    <row r="269" spans="1:7" ht="41.4">
      <c r="A269" s="89"/>
      <c r="B269" s="361" t="s">
        <v>1642</v>
      </c>
      <c r="C269" s="91"/>
      <c r="D269" s="73"/>
      <c r="E269" s="74"/>
      <c r="F269" s="94"/>
    </row>
    <row r="270" spans="1:7" ht="110.4">
      <c r="A270" s="89"/>
      <c r="B270" s="90" t="s">
        <v>5324</v>
      </c>
      <c r="C270" s="91"/>
      <c r="D270" s="73"/>
      <c r="E270" s="74"/>
      <c r="F270" s="94"/>
    </row>
    <row r="271" spans="1:7">
      <c r="A271" s="76" t="s">
        <v>665</v>
      </c>
      <c r="B271" s="90" t="s">
        <v>1641</v>
      </c>
      <c r="C271" s="78"/>
      <c r="D271" s="73"/>
      <c r="E271" s="74"/>
      <c r="F271" s="79"/>
    </row>
    <row r="272" spans="1:7" ht="55.2">
      <c r="A272" s="89" t="s">
        <v>48</v>
      </c>
      <c r="B272" s="90" t="s">
        <v>3309</v>
      </c>
      <c r="C272" s="91" t="s">
        <v>681</v>
      </c>
      <c r="D272" s="73">
        <v>53.6</v>
      </c>
      <c r="E272" s="74">
        <v>160</v>
      </c>
      <c r="F272" s="93">
        <f>IF(OR(OR(E272=0,E272=" "),OR(D272=0,D272=" "))," ",D272*E272)</f>
        <v>8576</v>
      </c>
      <c r="G272" s="73"/>
    </row>
    <row r="273" spans="1:7">
      <c r="A273" s="89" t="s">
        <v>49</v>
      </c>
      <c r="B273" s="90" t="s">
        <v>1647</v>
      </c>
      <c r="C273" s="91" t="s">
        <v>675</v>
      </c>
      <c r="D273" s="73">
        <v>23.6</v>
      </c>
      <c r="E273" s="74">
        <v>40</v>
      </c>
      <c r="F273" s="93">
        <f>IF(OR(OR(E273=0,E273=" "),OR(D273=0,D273=" "))," ",D273*E273)</f>
        <v>944</v>
      </c>
      <c r="G273" s="73"/>
    </row>
    <row r="274" spans="1:7">
      <c r="A274" s="89"/>
      <c r="B274" s="90"/>
      <c r="C274" s="91"/>
      <c r="D274" s="73"/>
      <c r="E274" s="74"/>
      <c r="F274" s="93"/>
    </row>
    <row r="275" spans="1:7">
      <c r="A275" s="87" t="s">
        <v>667</v>
      </c>
      <c r="B275" s="88" t="s">
        <v>1657</v>
      </c>
      <c r="C275" s="91"/>
      <c r="D275" s="73"/>
      <c r="E275" s="74"/>
      <c r="F275" s="93"/>
    </row>
    <row r="276" spans="1:7" ht="96.6">
      <c r="A276" s="89" t="s">
        <v>1644</v>
      </c>
      <c r="B276" s="362" t="s">
        <v>3188</v>
      </c>
      <c r="C276" s="91"/>
      <c r="D276" s="73"/>
      <c r="E276" s="74"/>
      <c r="F276" s="94"/>
    </row>
    <row r="277" spans="1:7" ht="82.8">
      <c r="A277" s="89"/>
      <c r="B277" s="361" t="s">
        <v>1643</v>
      </c>
      <c r="C277" s="91"/>
      <c r="D277" s="73"/>
      <c r="E277" s="74"/>
      <c r="F277" s="94"/>
    </row>
    <row r="278" spans="1:7" ht="41.4">
      <c r="A278" s="89"/>
      <c r="B278" s="361" t="s">
        <v>1642</v>
      </c>
      <c r="C278" s="91"/>
      <c r="D278" s="73"/>
      <c r="E278" s="74"/>
      <c r="F278" s="94"/>
    </row>
    <row r="279" spans="1:7" ht="110.4">
      <c r="A279" s="89"/>
      <c r="B279" s="90" t="s">
        <v>5324</v>
      </c>
      <c r="C279" s="91"/>
      <c r="D279" s="73"/>
      <c r="E279" s="74"/>
      <c r="F279" s="94"/>
    </row>
    <row r="280" spans="1:7">
      <c r="A280" s="76" t="s">
        <v>665</v>
      </c>
      <c r="B280" s="90" t="s">
        <v>1641</v>
      </c>
      <c r="C280" s="78"/>
      <c r="D280" s="73"/>
      <c r="E280" s="74"/>
      <c r="F280" s="79"/>
    </row>
    <row r="281" spans="1:7" ht="41.4">
      <c r="A281" s="89" t="s">
        <v>48</v>
      </c>
      <c r="B281" s="90" t="s">
        <v>2092</v>
      </c>
      <c r="C281" s="91" t="s">
        <v>681</v>
      </c>
      <c r="D281" s="73">
        <v>31.1</v>
      </c>
      <c r="E281" s="74">
        <v>160</v>
      </c>
      <c r="F281" s="93">
        <f>IF(OR(OR(E281=0,E281=" "),OR(D281=0,D281=" "))," ",D281*E281)</f>
        <v>4976</v>
      </c>
    </row>
    <row r="282" spans="1:7">
      <c r="A282" s="89" t="s">
        <v>49</v>
      </c>
      <c r="B282" s="90" t="s">
        <v>1658</v>
      </c>
      <c r="C282" s="91" t="s">
        <v>675</v>
      </c>
      <c r="D282" s="73">
        <v>104</v>
      </c>
      <c r="E282" s="74">
        <v>30</v>
      </c>
      <c r="F282" s="93">
        <f>IF(OR(OR(E282=0,E282=" "),OR(D282=0,D282=" "))," ",D282*E282)</f>
        <v>3120</v>
      </c>
    </row>
    <row r="283" spans="1:7">
      <c r="A283" s="89"/>
      <c r="B283" s="90"/>
      <c r="C283" s="91"/>
      <c r="D283" s="73"/>
      <c r="E283" s="74"/>
      <c r="F283" s="93"/>
    </row>
    <row r="284" spans="1:7">
      <c r="A284" s="87" t="s">
        <v>667</v>
      </c>
      <c r="B284" s="88" t="s">
        <v>721</v>
      </c>
      <c r="C284" s="72"/>
      <c r="D284" s="92"/>
      <c r="E284" s="74"/>
      <c r="F284" s="75"/>
    </row>
    <row r="285" spans="1:7" ht="124.2">
      <c r="A285" s="89" t="s">
        <v>1645</v>
      </c>
      <c r="B285" s="362" t="s">
        <v>3189</v>
      </c>
      <c r="C285" s="91"/>
      <c r="D285" s="73"/>
      <c r="E285" s="74"/>
      <c r="F285" s="94"/>
    </row>
    <row r="286" spans="1:7" ht="82.8">
      <c r="A286" s="89"/>
      <c r="B286" s="361" t="s">
        <v>1643</v>
      </c>
      <c r="C286" s="91"/>
      <c r="D286" s="73"/>
      <c r="E286" s="74"/>
      <c r="F286" s="94"/>
    </row>
    <row r="287" spans="1:7" ht="41.4">
      <c r="A287" s="89"/>
      <c r="B287" s="361" t="s">
        <v>1642</v>
      </c>
      <c r="C287" s="91"/>
      <c r="D287" s="73"/>
      <c r="E287" s="74"/>
      <c r="F287" s="94"/>
    </row>
    <row r="288" spans="1:7" ht="110.4">
      <c r="A288" s="89"/>
      <c r="B288" s="90" t="s">
        <v>5324</v>
      </c>
      <c r="C288" s="91"/>
      <c r="D288" s="73"/>
      <c r="E288" s="74"/>
      <c r="F288" s="94"/>
    </row>
    <row r="289" spans="1:8" ht="27.6">
      <c r="A289" s="76" t="s">
        <v>665</v>
      </c>
      <c r="B289" s="90" t="s">
        <v>1649</v>
      </c>
      <c r="C289" s="78"/>
      <c r="D289" s="73"/>
      <c r="E289" s="74"/>
      <c r="F289" s="79"/>
    </row>
    <row r="290" spans="1:8">
      <c r="A290" s="89" t="s">
        <v>48</v>
      </c>
      <c r="B290" s="90" t="s">
        <v>1650</v>
      </c>
      <c r="C290" s="91" t="s">
        <v>681</v>
      </c>
      <c r="D290" s="73">
        <v>383.6</v>
      </c>
      <c r="E290" s="74">
        <v>165</v>
      </c>
      <c r="F290" s="93">
        <f>IF(OR(OR(E290=0,E290=" "),OR(D290=0,D290=" "))," ",D290*E290)</f>
        <v>63294.000000000007</v>
      </c>
      <c r="G290" s="73"/>
    </row>
    <row r="291" spans="1:8">
      <c r="A291" s="89" t="s">
        <v>49</v>
      </c>
      <c r="B291" s="90" t="s">
        <v>722</v>
      </c>
      <c r="C291" s="91" t="s">
        <v>675</v>
      </c>
      <c r="D291" s="73">
        <v>3987.4</v>
      </c>
      <c r="E291" s="74">
        <v>30</v>
      </c>
      <c r="F291" s="93">
        <f>IF(OR(OR(E291=0,E291=" "),OR(D291=0,D291=" "))," ",D291*E291)</f>
        <v>119622</v>
      </c>
      <c r="G291" s="73"/>
      <c r="H291" s="73"/>
    </row>
    <row r="292" spans="1:8">
      <c r="A292" s="89"/>
      <c r="B292" s="90"/>
      <c r="C292" s="91"/>
      <c r="D292" s="73"/>
      <c r="E292" s="74"/>
      <c r="F292" s="93" t="str">
        <f>IF(OR(OR(E292=0,E292=" "),OR(D292=0,D292=" "))," ",D292*E292)</f>
        <v xml:space="preserve"> </v>
      </c>
    </row>
    <row r="293" spans="1:8" ht="138">
      <c r="A293" s="89" t="s">
        <v>1653</v>
      </c>
      <c r="B293" s="362" t="s">
        <v>3310</v>
      </c>
      <c r="C293" s="91"/>
      <c r="D293" s="73"/>
      <c r="E293" s="74"/>
      <c r="F293" s="94"/>
    </row>
    <row r="294" spans="1:8" ht="82.8">
      <c r="A294" s="89"/>
      <c r="B294" s="361" t="s">
        <v>1643</v>
      </c>
      <c r="C294" s="91"/>
      <c r="D294" s="73"/>
      <c r="E294" s="74"/>
      <c r="F294" s="94"/>
    </row>
    <row r="295" spans="1:8" ht="41.4">
      <c r="A295" s="89"/>
      <c r="B295" s="361" t="s">
        <v>1642</v>
      </c>
      <c r="C295" s="91"/>
      <c r="D295" s="73"/>
      <c r="E295" s="74"/>
      <c r="F295" s="94"/>
    </row>
    <row r="296" spans="1:8" ht="110.4">
      <c r="A296" s="89"/>
      <c r="B296" s="90" t="s">
        <v>5324</v>
      </c>
      <c r="C296" s="91"/>
      <c r="D296" s="73"/>
      <c r="E296" s="74"/>
      <c r="F296" s="94"/>
    </row>
    <row r="297" spans="1:8" ht="27.6">
      <c r="A297" s="76" t="s">
        <v>665</v>
      </c>
      <c r="B297" s="90" t="s">
        <v>1649</v>
      </c>
      <c r="C297" s="78"/>
      <c r="D297" s="73"/>
      <c r="E297" s="74"/>
      <c r="F297" s="79"/>
    </row>
    <row r="298" spans="1:8" ht="27.6">
      <c r="A298" s="89" t="s">
        <v>48</v>
      </c>
      <c r="B298" s="90" t="s">
        <v>1651</v>
      </c>
      <c r="C298" s="91" t="s">
        <v>681</v>
      </c>
      <c r="D298" s="73">
        <v>25.5</v>
      </c>
      <c r="E298" s="74">
        <v>200</v>
      </c>
      <c r="F298" s="93">
        <f>IF(OR(OR(E298=0,E298=" "),OR(D298=0,D298=" "))," ",D298*E298)</f>
        <v>5100</v>
      </c>
    </row>
    <row r="299" spans="1:8">
      <c r="A299" s="89" t="s">
        <v>49</v>
      </c>
      <c r="B299" s="90" t="s">
        <v>1652</v>
      </c>
      <c r="C299" s="91" t="s">
        <v>675</v>
      </c>
      <c r="D299" s="73">
        <v>298.2</v>
      </c>
      <c r="E299" s="74">
        <v>40</v>
      </c>
      <c r="F299" s="93">
        <f>IF(OR(OR(E299=0,E299=" "),OR(D299=0,D299=" "))," ",D299*E299)</f>
        <v>11928</v>
      </c>
    </row>
    <row r="300" spans="1:8">
      <c r="A300" s="89"/>
      <c r="B300" s="90"/>
      <c r="C300" s="91"/>
      <c r="D300" s="73"/>
      <c r="E300" s="74"/>
      <c r="F300" s="93"/>
    </row>
    <row r="301" spans="1:8">
      <c r="A301" s="87" t="s">
        <v>667</v>
      </c>
      <c r="B301" s="88" t="s">
        <v>1655</v>
      </c>
      <c r="C301" s="72"/>
      <c r="D301" s="92"/>
      <c r="E301" s="74"/>
      <c r="F301" s="75"/>
    </row>
    <row r="302" spans="1:8" ht="110.4">
      <c r="A302" s="89" t="s">
        <v>1654</v>
      </c>
      <c r="B302" s="362" t="s">
        <v>3311</v>
      </c>
      <c r="C302" s="91"/>
      <c r="D302" s="73"/>
      <c r="E302" s="74"/>
      <c r="F302" s="94"/>
    </row>
    <row r="303" spans="1:8" ht="82.8">
      <c r="A303" s="89"/>
      <c r="B303" s="361" t="s">
        <v>1643</v>
      </c>
      <c r="C303" s="91"/>
      <c r="D303" s="73"/>
      <c r="E303" s="74"/>
      <c r="F303" s="94"/>
    </row>
    <row r="304" spans="1:8" ht="41.4">
      <c r="A304" s="89"/>
      <c r="B304" s="361" t="s">
        <v>1642</v>
      </c>
      <c r="C304" s="91"/>
      <c r="D304" s="73"/>
      <c r="E304" s="74"/>
      <c r="F304" s="94"/>
    </row>
    <row r="305" spans="1:7" ht="110.4">
      <c r="A305" s="89"/>
      <c r="B305" s="90" t="s">
        <v>5324</v>
      </c>
      <c r="C305" s="91"/>
      <c r="D305" s="73"/>
      <c r="E305" s="74"/>
      <c r="F305" s="94"/>
    </row>
    <row r="306" spans="1:7" ht="27.6">
      <c r="A306" s="89"/>
      <c r="B306" s="90" t="s">
        <v>1649</v>
      </c>
      <c r="C306" s="91"/>
      <c r="D306" s="73"/>
      <c r="E306" s="74"/>
      <c r="F306" s="94"/>
    </row>
    <row r="307" spans="1:7" ht="27.6">
      <c r="A307" s="89" t="s">
        <v>48</v>
      </c>
      <c r="B307" s="90" t="s">
        <v>3312</v>
      </c>
      <c r="C307" s="91" t="s">
        <v>681</v>
      </c>
      <c r="D307" s="73">
        <v>3.8</v>
      </c>
      <c r="E307" s="74">
        <v>250</v>
      </c>
      <c r="F307" s="93">
        <f>IF(OR(OR(E307=0,E307=" "),OR(D307=0,D307=" "))," ",D307*E307)</f>
        <v>950</v>
      </c>
      <c r="G307" s="73"/>
    </row>
    <row r="308" spans="1:7">
      <c r="A308" s="89" t="s">
        <v>49</v>
      </c>
      <c r="B308" s="90" t="s">
        <v>3313</v>
      </c>
      <c r="C308" s="91" t="s">
        <v>675</v>
      </c>
      <c r="D308" s="73">
        <v>38.4</v>
      </c>
      <c r="E308" s="74">
        <v>50</v>
      </c>
      <c r="F308" s="93">
        <f>IF(OR(OR(E308=0,E308=" "),OR(D308=0,D308=" "))," ",D308*E308)</f>
        <v>1920</v>
      </c>
      <c r="G308" s="73"/>
    </row>
    <row r="309" spans="1:7">
      <c r="A309" s="89"/>
      <c r="B309" s="90"/>
      <c r="C309" s="91"/>
      <c r="D309" s="73"/>
      <c r="E309" s="74"/>
      <c r="F309" s="93"/>
    </row>
    <row r="310" spans="1:7">
      <c r="A310" s="87" t="s">
        <v>667</v>
      </c>
      <c r="B310" s="88" t="s">
        <v>723</v>
      </c>
      <c r="C310" s="91"/>
      <c r="D310" s="73"/>
      <c r="E310" s="74"/>
      <c r="F310" s="93"/>
    </row>
    <row r="311" spans="1:7" ht="110.4">
      <c r="A311" s="89" t="s">
        <v>1656</v>
      </c>
      <c r="B311" s="362" t="s">
        <v>3314</v>
      </c>
      <c r="C311" s="91"/>
      <c r="D311" s="73"/>
      <c r="E311" s="74"/>
      <c r="F311" s="93"/>
    </row>
    <row r="312" spans="1:7" ht="82.8">
      <c r="A312" s="89"/>
      <c r="B312" s="361" t="s">
        <v>1643</v>
      </c>
      <c r="C312" s="91"/>
      <c r="D312" s="73"/>
      <c r="E312" s="74"/>
      <c r="F312" s="93"/>
    </row>
    <row r="313" spans="1:7" ht="41.4">
      <c r="A313" s="89"/>
      <c r="B313" s="361" t="s">
        <v>1642</v>
      </c>
      <c r="C313" s="91"/>
      <c r="D313" s="73"/>
      <c r="E313" s="74"/>
      <c r="F313" s="93"/>
    </row>
    <row r="314" spans="1:7" ht="110.4">
      <c r="A314" s="89"/>
      <c r="B314" s="90" t="s">
        <v>5324</v>
      </c>
      <c r="C314" s="91"/>
      <c r="D314" s="73"/>
      <c r="E314" s="74"/>
      <c r="F314" s="93"/>
    </row>
    <row r="315" spans="1:7" ht="27.6">
      <c r="A315" s="76" t="s">
        <v>665</v>
      </c>
      <c r="B315" s="90" t="s">
        <v>1649</v>
      </c>
      <c r="C315" s="91"/>
      <c r="D315" s="73"/>
      <c r="E315" s="74"/>
      <c r="F315" s="93"/>
    </row>
    <row r="316" spans="1:7" ht="41.4">
      <c r="A316" s="89" t="s">
        <v>48</v>
      </c>
      <c r="B316" s="90" t="s">
        <v>1662</v>
      </c>
      <c r="C316" s="91" t="s">
        <v>681</v>
      </c>
      <c r="D316" s="73">
        <v>150.30000000000001</v>
      </c>
      <c r="E316" s="74">
        <v>1.7</v>
      </c>
      <c r="F316" s="93">
        <f>IF(OR(OR(E316=0,E316=" "),OR(D316=0,D316=" "))," ",D316*E316)</f>
        <v>255.51000000000002</v>
      </c>
    </row>
    <row r="317" spans="1:7" ht="41.4">
      <c r="A317" s="89" t="s">
        <v>49</v>
      </c>
      <c r="B317" s="90" t="s">
        <v>3315</v>
      </c>
      <c r="C317" s="91" t="s">
        <v>681</v>
      </c>
      <c r="D317" s="73">
        <v>320.2</v>
      </c>
      <c r="E317" s="74">
        <v>1.7</v>
      </c>
      <c r="F317" s="93">
        <f>IF(OR(OR(E317=0,E317=" "),OR(D317=0,D317=" "))," ",D317*E317)</f>
        <v>544.33999999999992</v>
      </c>
    </row>
    <row r="318" spans="1:7">
      <c r="A318" s="89" t="s">
        <v>51</v>
      </c>
      <c r="B318" s="90" t="s">
        <v>724</v>
      </c>
      <c r="C318" s="91" t="s">
        <v>675</v>
      </c>
      <c r="D318" s="73">
        <v>2164.6</v>
      </c>
      <c r="E318" s="74">
        <v>74</v>
      </c>
      <c r="F318" s="93">
        <f>IF(OR(OR(E318=0,E318=" "),OR(D318=0,D318=" "))," ",D318*E318)</f>
        <v>160180.4</v>
      </c>
    </row>
    <row r="319" spans="1:7">
      <c r="A319" s="89"/>
      <c r="B319" s="90"/>
      <c r="C319" s="91"/>
      <c r="D319" s="73"/>
      <c r="E319" s="74"/>
      <c r="F319" s="93"/>
    </row>
    <row r="320" spans="1:7">
      <c r="A320" s="87" t="s">
        <v>667</v>
      </c>
      <c r="B320" s="88" t="s">
        <v>3316</v>
      </c>
      <c r="C320" s="91"/>
      <c r="D320" s="73"/>
      <c r="E320" s="74"/>
      <c r="F320" s="93"/>
    </row>
    <row r="321" spans="1:6" ht="96.6">
      <c r="A321" s="89" t="s">
        <v>1659</v>
      </c>
      <c r="B321" s="362" t="s">
        <v>3319</v>
      </c>
      <c r="C321" s="91"/>
      <c r="D321" s="73"/>
      <c r="E321" s="74"/>
      <c r="F321" s="93"/>
    </row>
    <row r="322" spans="1:6" ht="69">
      <c r="A322" s="87"/>
      <c r="B322" s="362" t="s">
        <v>3320</v>
      </c>
      <c r="C322" s="91"/>
      <c r="D322" s="73"/>
      <c r="E322" s="74"/>
      <c r="F322" s="93"/>
    </row>
    <row r="323" spans="1:6" ht="82.8">
      <c r="A323" s="87"/>
      <c r="B323" s="361" t="s">
        <v>1643</v>
      </c>
      <c r="C323" s="91"/>
      <c r="D323" s="73"/>
      <c r="E323" s="74"/>
      <c r="F323" s="93"/>
    </row>
    <row r="324" spans="1:6" ht="41.4">
      <c r="A324" s="87"/>
      <c r="B324" s="361" t="s">
        <v>1642</v>
      </c>
      <c r="C324" s="91"/>
      <c r="D324" s="73"/>
      <c r="E324" s="74"/>
      <c r="F324" s="93"/>
    </row>
    <row r="325" spans="1:6" ht="110.4">
      <c r="A325" s="87"/>
      <c r="B325" s="90" t="s">
        <v>5324</v>
      </c>
      <c r="C325" s="91"/>
      <c r="D325" s="73"/>
      <c r="E325" s="74"/>
      <c r="F325" s="93"/>
    </row>
    <row r="326" spans="1:6" ht="27.6">
      <c r="A326" s="87"/>
      <c r="B326" s="90" t="s">
        <v>1649</v>
      </c>
      <c r="C326" s="91"/>
      <c r="D326" s="73"/>
      <c r="E326" s="74"/>
      <c r="F326" s="93"/>
    </row>
    <row r="327" spans="1:6">
      <c r="A327" s="89" t="s">
        <v>48</v>
      </c>
      <c r="B327" s="90" t="s">
        <v>3318</v>
      </c>
      <c r="C327" s="91" t="s">
        <v>681</v>
      </c>
      <c r="D327" s="73">
        <v>8.5</v>
      </c>
      <c r="E327" s="74">
        <v>250</v>
      </c>
      <c r="F327" s="93">
        <f>IF(OR(OR(E327=0,E327=" "),OR(D327=0,D327=" "))," ",D327*E327)</f>
        <v>2125</v>
      </c>
    </row>
    <row r="328" spans="1:6">
      <c r="A328" s="89" t="s">
        <v>49</v>
      </c>
      <c r="B328" s="90" t="s">
        <v>3317</v>
      </c>
      <c r="C328" s="91" t="s">
        <v>675</v>
      </c>
      <c r="D328" s="73">
        <v>49.8</v>
      </c>
      <c r="E328" s="74">
        <v>60</v>
      </c>
      <c r="F328" s="93">
        <f>IF(OR(OR(E328=0,E328=" "),OR(D328=0,D328=" "))," ",D328*E328)</f>
        <v>2988</v>
      </c>
    </row>
    <row r="329" spans="1:6">
      <c r="A329" s="89"/>
      <c r="B329" s="90"/>
      <c r="C329" s="91"/>
      <c r="D329" s="73"/>
      <c r="E329" s="74"/>
      <c r="F329" s="93"/>
    </row>
    <row r="330" spans="1:6">
      <c r="A330" s="87" t="s">
        <v>667</v>
      </c>
      <c r="B330" s="88" t="s">
        <v>1663</v>
      </c>
      <c r="C330" s="91"/>
      <c r="D330" s="73"/>
      <c r="E330" s="74"/>
      <c r="F330" s="93"/>
    </row>
    <row r="331" spans="1:6" ht="124.2">
      <c r="A331" s="89" t="s">
        <v>1660</v>
      </c>
      <c r="B331" s="362" t="s">
        <v>3321</v>
      </c>
      <c r="C331" s="91"/>
      <c r="D331" s="73"/>
      <c r="E331" s="74"/>
      <c r="F331" s="93"/>
    </row>
    <row r="332" spans="1:6" ht="82.8">
      <c r="A332" s="89"/>
      <c r="B332" s="361" t="s">
        <v>3322</v>
      </c>
      <c r="C332" s="91"/>
      <c r="D332" s="73"/>
      <c r="E332" s="74"/>
      <c r="F332" s="93"/>
    </row>
    <row r="333" spans="1:6" ht="69">
      <c r="A333" s="89"/>
      <c r="B333" s="361" t="s">
        <v>1666</v>
      </c>
      <c r="C333" s="91"/>
      <c r="D333" s="73"/>
      <c r="E333" s="74"/>
      <c r="F333" s="93"/>
    </row>
    <row r="334" spans="1:6" ht="110.4">
      <c r="A334" s="89"/>
      <c r="B334" s="90" t="s">
        <v>5324</v>
      </c>
      <c r="C334" s="91"/>
      <c r="D334" s="73"/>
      <c r="E334" s="74"/>
      <c r="F334" s="93"/>
    </row>
    <row r="335" spans="1:6" ht="55.2">
      <c r="A335" s="89"/>
      <c r="B335" s="90" t="s">
        <v>5219</v>
      </c>
      <c r="C335" s="91"/>
      <c r="D335" s="73"/>
      <c r="E335" s="74"/>
      <c r="F335" s="93"/>
    </row>
    <row r="336" spans="1:6" ht="41.4">
      <c r="A336" s="76" t="s">
        <v>665</v>
      </c>
      <c r="B336" s="90" t="s">
        <v>1667</v>
      </c>
      <c r="C336" s="91"/>
      <c r="D336" s="73"/>
      <c r="E336" s="74"/>
      <c r="F336" s="93"/>
    </row>
    <row r="337" spans="1:11" ht="41.4">
      <c r="A337" s="89" t="s">
        <v>48</v>
      </c>
      <c r="B337" s="90" t="s">
        <v>1665</v>
      </c>
      <c r="C337" s="91" t="s">
        <v>681</v>
      </c>
      <c r="D337" s="73">
        <v>116</v>
      </c>
      <c r="E337" s="74">
        <v>150</v>
      </c>
      <c r="F337" s="93">
        <f>IF(OR(OR(E337=0,E337=" "),OR(D337=0,D337=" "))," ",D337*E337)</f>
        <v>17400</v>
      </c>
    </row>
    <row r="338" spans="1:11">
      <c r="A338" s="89" t="s">
        <v>49</v>
      </c>
      <c r="B338" s="90" t="s">
        <v>1664</v>
      </c>
      <c r="C338" s="91" t="s">
        <v>675</v>
      </c>
      <c r="D338" s="73">
        <v>225</v>
      </c>
      <c r="E338" s="74">
        <v>30</v>
      </c>
      <c r="F338" s="93">
        <f>IF(OR(OR(E338=0,E338=" "),OR(D338=0,D338=" "))," ",D338*E338)</f>
        <v>6750</v>
      </c>
    </row>
    <row r="339" spans="1:11">
      <c r="A339" s="106" t="s">
        <v>51</v>
      </c>
      <c r="B339" s="71" t="s">
        <v>726</v>
      </c>
      <c r="C339" s="72" t="s">
        <v>645</v>
      </c>
      <c r="D339" s="73">
        <v>5800</v>
      </c>
      <c r="E339" s="74">
        <v>1</v>
      </c>
      <c r="F339" s="93">
        <f>IF(OR(OR(E339=0,E339=" "),OR(D339=0,D339=" "))," ",D339*E339)</f>
        <v>5800</v>
      </c>
      <c r="K339" s="645"/>
    </row>
    <row r="340" spans="1:11">
      <c r="A340" s="89"/>
      <c r="B340" s="90"/>
      <c r="C340" s="91"/>
      <c r="D340" s="73"/>
      <c r="E340" s="74"/>
      <c r="F340" s="93"/>
    </row>
    <row r="341" spans="1:11" ht="82.8">
      <c r="A341" s="89" t="s">
        <v>1661</v>
      </c>
      <c r="B341" s="362" t="s">
        <v>1668</v>
      </c>
      <c r="C341" s="91"/>
      <c r="D341" s="73"/>
      <c r="E341" s="74"/>
      <c r="F341" s="93"/>
      <c r="K341" s="366"/>
    </row>
    <row r="342" spans="1:11" ht="55.2">
      <c r="A342" s="89"/>
      <c r="B342" s="361" t="s">
        <v>3323</v>
      </c>
      <c r="C342" s="91"/>
      <c r="D342" s="73"/>
      <c r="E342" s="74"/>
      <c r="F342" s="93"/>
    </row>
    <row r="343" spans="1:11" ht="110.4">
      <c r="A343" s="89"/>
      <c r="B343" s="361" t="s">
        <v>3190</v>
      </c>
      <c r="C343" s="91"/>
      <c r="D343" s="73"/>
      <c r="E343" s="74"/>
      <c r="F343" s="93"/>
    </row>
    <row r="344" spans="1:11" ht="110.4">
      <c r="A344" s="89"/>
      <c r="B344" s="90" t="s">
        <v>5324</v>
      </c>
      <c r="C344" s="91"/>
      <c r="D344" s="73"/>
      <c r="E344" s="74"/>
      <c r="F344" s="93"/>
    </row>
    <row r="345" spans="1:11" ht="55.2">
      <c r="A345" s="89"/>
      <c r="B345" s="90" t="s">
        <v>725</v>
      </c>
      <c r="C345" s="91"/>
      <c r="D345" s="73"/>
      <c r="E345" s="74"/>
      <c r="F345" s="93"/>
    </row>
    <row r="346" spans="1:11" ht="41.4">
      <c r="A346" s="76" t="s">
        <v>665</v>
      </c>
      <c r="B346" s="90" t="s">
        <v>1667</v>
      </c>
      <c r="C346" s="91"/>
      <c r="D346" s="73"/>
      <c r="E346" s="74"/>
      <c r="F346" s="93"/>
    </row>
    <row r="347" spans="1:11">
      <c r="A347" s="89" t="s">
        <v>48</v>
      </c>
      <c r="B347" s="90" t="s">
        <v>727</v>
      </c>
      <c r="C347" s="91" t="s">
        <v>681</v>
      </c>
      <c r="D347" s="73">
        <v>12.3</v>
      </c>
      <c r="E347" s="74">
        <v>170</v>
      </c>
      <c r="F347" s="93">
        <f>IF(OR(OR(E347=0,E347=" "),OR(D347=0,D347=" "))," ",D347*E347)</f>
        <v>2091</v>
      </c>
    </row>
    <row r="348" spans="1:11">
      <c r="A348" s="89" t="s">
        <v>49</v>
      </c>
      <c r="B348" s="90" t="s">
        <v>1669</v>
      </c>
      <c r="C348" s="91" t="s">
        <v>675</v>
      </c>
      <c r="D348" s="73">
        <v>86</v>
      </c>
      <c r="E348" s="74">
        <v>40</v>
      </c>
      <c r="F348" s="93">
        <f>IF(OR(OR(E348=0,E348=" "),OR(D348=0,D348=" "))," ",D348*E348)</f>
        <v>3440</v>
      </c>
    </row>
    <row r="349" spans="1:11">
      <c r="A349" s="106" t="s">
        <v>51</v>
      </c>
      <c r="B349" s="90" t="s">
        <v>726</v>
      </c>
      <c r="C349" s="72" t="s">
        <v>645</v>
      </c>
      <c r="D349" s="73">
        <v>615</v>
      </c>
      <c r="E349" s="74">
        <v>2</v>
      </c>
      <c r="F349" s="93">
        <f>IF(OR(OR(E349=0,E349=" "),OR(D349=0,D349=" "))," ",D349*E349)</f>
        <v>1230</v>
      </c>
    </row>
    <row r="350" spans="1:11">
      <c r="A350" s="89"/>
      <c r="B350" s="90"/>
      <c r="C350" s="91"/>
      <c r="D350" s="73"/>
      <c r="E350" s="74"/>
      <c r="F350" s="93"/>
    </row>
    <row r="351" spans="1:11">
      <c r="A351" s="87" t="s">
        <v>667</v>
      </c>
      <c r="B351" s="88" t="s">
        <v>3324</v>
      </c>
      <c r="C351" s="91"/>
      <c r="D351" s="73"/>
      <c r="E351" s="74"/>
      <c r="F351" s="93"/>
    </row>
    <row r="352" spans="1:11" ht="124.2">
      <c r="A352" s="89" t="s">
        <v>1670</v>
      </c>
      <c r="B352" s="362" t="s">
        <v>4103</v>
      </c>
      <c r="C352" s="91"/>
      <c r="D352" s="73"/>
      <c r="E352" s="74"/>
      <c r="F352" s="93"/>
    </row>
    <row r="353" spans="1:6" ht="55.2">
      <c r="A353" s="89"/>
      <c r="B353" s="361" t="s">
        <v>1671</v>
      </c>
      <c r="C353" s="91"/>
      <c r="D353" s="73"/>
      <c r="E353" s="74"/>
      <c r="F353" s="93"/>
    </row>
    <row r="354" spans="1:6" ht="96.6">
      <c r="A354" s="89"/>
      <c r="B354" s="361" t="s">
        <v>3191</v>
      </c>
      <c r="C354" s="91"/>
      <c r="D354" s="73"/>
      <c r="E354" s="74"/>
      <c r="F354" s="93"/>
    </row>
    <row r="355" spans="1:6" ht="110.4">
      <c r="A355" s="89"/>
      <c r="B355" s="90" t="s">
        <v>5324</v>
      </c>
      <c r="C355" s="91"/>
      <c r="D355" s="73"/>
      <c r="E355" s="74"/>
      <c r="F355" s="93"/>
    </row>
    <row r="356" spans="1:6" ht="55.2">
      <c r="A356" s="89"/>
      <c r="B356" s="90" t="s">
        <v>5219</v>
      </c>
      <c r="C356" s="91"/>
      <c r="D356" s="73"/>
      <c r="E356" s="74"/>
      <c r="F356" s="93"/>
    </row>
    <row r="357" spans="1:6" ht="41.4">
      <c r="A357" s="76" t="s">
        <v>665</v>
      </c>
      <c r="B357" s="90" t="s">
        <v>1667</v>
      </c>
      <c r="C357" s="91"/>
      <c r="D357" s="73"/>
      <c r="E357" s="74"/>
      <c r="F357" s="93"/>
    </row>
    <row r="358" spans="1:6" ht="27.6">
      <c r="A358" s="76"/>
      <c r="B358" s="90" t="s">
        <v>3325</v>
      </c>
      <c r="C358" s="91"/>
      <c r="D358" s="73"/>
      <c r="E358" s="74"/>
      <c r="F358" s="93"/>
    </row>
    <row r="359" spans="1:6" ht="69">
      <c r="A359" s="89" t="s">
        <v>48</v>
      </c>
      <c r="B359" s="90" t="s">
        <v>4868</v>
      </c>
      <c r="C359" s="91" t="s">
        <v>681</v>
      </c>
      <c r="D359" s="73">
        <v>28.4</v>
      </c>
      <c r="E359" s="74">
        <v>250</v>
      </c>
      <c r="F359" s="93">
        <f>IF(OR(OR(E359=0,E359=" "),OR(D359=0,D359=" "))," ",D359*E359)</f>
        <v>7100</v>
      </c>
    </row>
    <row r="360" spans="1:6" ht="55.2">
      <c r="A360" s="89" t="s">
        <v>49</v>
      </c>
      <c r="B360" s="90" t="s">
        <v>4867</v>
      </c>
      <c r="C360" s="91" t="s">
        <v>681</v>
      </c>
      <c r="D360" s="73">
        <v>13.7</v>
      </c>
      <c r="E360" s="74">
        <v>250</v>
      </c>
      <c r="F360" s="93">
        <f>IF(OR(OR(E360=0,E360=" "),OR(D360=0,D360=" "))," ",D360*E360)</f>
        <v>3425</v>
      </c>
    </row>
    <row r="361" spans="1:6" ht="41.4">
      <c r="A361" s="89" t="s">
        <v>51</v>
      </c>
      <c r="B361" s="90" t="s">
        <v>3370</v>
      </c>
      <c r="C361" s="91" t="s">
        <v>681</v>
      </c>
      <c r="D361" s="73">
        <v>9.5</v>
      </c>
      <c r="E361" s="74">
        <v>250</v>
      </c>
      <c r="F361" s="93">
        <f>IF(OR(OR(E361=0,E361=" "),OR(D361=0,D361=" "))," ",D361*E361)</f>
        <v>2375</v>
      </c>
    </row>
    <row r="362" spans="1:6">
      <c r="A362" s="89" t="s">
        <v>51</v>
      </c>
      <c r="B362" s="90" t="s">
        <v>728</v>
      </c>
      <c r="C362" s="91" t="s">
        <v>675</v>
      </c>
      <c r="D362" s="73">
        <v>8</v>
      </c>
      <c r="E362" s="74">
        <v>50</v>
      </c>
      <c r="F362" s="93">
        <f>IF(OR(OR(E362=0,E362=" "),OR(D362=0,D362=" "))," ",D362*E362)</f>
        <v>400</v>
      </c>
    </row>
    <row r="363" spans="1:6">
      <c r="A363" s="106" t="s">
        <v>698</v>
      </c>
      <c r="B363" s="90" t="s">
        <v>719</v>
      </c>
      <c r="C363" s="72" t="s">
        <v>645</v>
      </c>
      <c r="D363" s="73">
        <v>1676</v>
      </c>
      <c r="E363" s="74">
        <v>1.5</v>
      </c>
      <c r="F363" s="93">
        <f>IF(OR(OR(E363=0,E363=" "),OR(D363=0,D363=" "))," ",D363*E363)</f>
        <v>2514</v>
      </c>
    </row>
    <row r="364" spans="1:6">
      <c r="A364" s="76"/>
      <c r="B364" s="90"/>
      <c r="C364" s="78"/>
      <c r="D364" s="73"/>
      <c r="E364" s="74"/>
      <c r="F364" s="79"/>
    </row>
    <row r="365" spans="1:6">
      <c r="A365" s="76"/>
      <c r="B365" s="90"/>
      <c r="C365" s="78"/>
      <c r="D365" s="73"/>
      <c r="E365" s="74"/>
      <c r="F365" s="79"/>
    </row>
    <row r="366" spans="1:6">
      <c r="A366" s="87" t="s">
        <v>667</v>
      </c>
      <c r="B366" s="88" t="s">
        <v>729</v>
      </c>
      <c r="C366" s="78"/>
      <c r="D366" s="73"/>
      <c r="E366" s="74"/>
      <c r="F366" s="79"/>
    </row>
    <row r="367" spans="1:6" ht="69">
      <c r="A367" s="76" t="s">
        <v>1672</v>
      </c>
      <c r="B367" s="362" t="s">
        <v>3326</v>
      </c>
      <c r="C367" s="78"/>
      <c r="D367" s="73"/>
      <c r="E367" s="74"/>
      <c r="F367" s="79"/>
    </row>
    <row r="368" spans="1:6" ht="27.6">
      <c r="A368" s="89" t="s">
        <v>48</v>
      </c>
      <c r="B368" s="90" t="s">
        <v>3327</v>
      </c>
      <c r="C368" s="91" t="s">
        <v>675</v>
      </c>
      <c r="D368" s="73">
        <v>77.099999999999994</v>
      </c>
      <c r="E368" s="74">
        <v>30</v>
      </c>
      <c r="F368" s="93">
        <f>IF(OR(OR(E368=0,E368=" "),OR(D368=0,D368=" "))," ",D368*E368)</f>
        <v>2313</v>
      </c>
    </row>
    <row r="369" spans="1:10">
      <c r="A369" s="98"/>
      <c r="B369" s="99"/>
      <c r="C369" s="100"/>
      <c r="D369" s="101"/>
      <c r="E369" s="100"/>
      <c r="F369" s="102"/>
    </row>
    <row r="370" spans="1:10">
      <c r="A370" s="103" t="str">
        <f>A221</f>
        <v>A.5.</v>
      </c>
      <c r="B370" s="104" t="str">
        <f>CONCATENATE(B221," ", "UKUPNO:")</f>
        <v>BETONSKI I ARMIRANOBETONSKI RADOVI UKUPNO:</v>
      </c>
      <c r="D370" s="73"/>
      <c r="E370" s="74"/>
      <c r="F370" s="663">
        <f>SUM(F232:F369)</f>
        <v>540264.75</v>
      </c>
    </row>
    <row r="371" spans="1:10">
      <c r="A371" s="106"/>
      <c r="B371" s="107"/>
      <c r="C371" s="72"/>
      <c r="D371" s="73"/>
      <c r="E371" s="74"/>
      <c r="F371" s="108"/>
    </row>
    <row r="372" spans="1:10">
      <c r="A372" s="70"/>
      <c r="B372" s="71"/>
      <c r="C372" s="72"/>
      <c r="D372" s="73"/>
      <c r="E372" s="74"/>
      <c r="F372" s="75"/>
    </row>
    <row r="373" spans="1:10">
      <c r="A373" s="81" t="s">
        <v>1008</v>
      </c>
      <c r="B373" s="82" t="s">
        <v>730</v>
      </c>
      <c r="C373" s="83"/>
      <c r="D373" s="84"/>
      <c r="E373" s="85"/>
      <c r="F373" s="86"/>
    </row>
    <row r="374" spans="1:10">
      <c r="A374" s="70"/>
      <c r="B374" s="71"/>
      <c r="C374" s="72"/>
      <c r="D374" s="73"/>
      <c r="E374" s="74"/>
      <c r="F374" s="75"/>
    </row>
    <row r="375" spans="1:10" ht="27.6">
      <c r="A375" s="111" t="s">
        <v>665</v>
      </c>
      <c r="B375" s="96" t="s">
        <v>731</v>
      </c>
      <c r="C375" s="78"/>
      <c r="D375" s="73"/>
      <c r="E375" s="74"/>
      <c r="F375" s="79"/>
    </row>
    <row r="376" spans="1:10">
      <c r="A376" s="111" t="s">
        <v>732</v>
      </c>
      <c r="B376" s="96" t="s">
        <v>733</v>
      </c>
      <c r="C376" s="91"/>
      <c r="D376" s="73"/>
      <c r="E376" s="74"/>
      <c r="F376" s="94"/>
    </row>
    <row r="377" spans="1:10">
      <c r="A377" s="111" t="s">
        <v>732</v>
      </c>
      <c r="B377" s="96" t="s">
        <v>734</v>
      </c>
      <c r="C377" s="91"/>
      <c r="D377" s="73"/>
      <c r="E377" s="74"/>
      <c r="F377" s="94"/>
    </row>
    <row r="378" spans="1:10" ht="27.6">
      <c r="A378" s="111"/>
      <c r="B378" s="96" t="s">
        <v>735</v>
      </c>
      <c r="C378" s="91"/>
      <c r="D378" s="73"/>
      <c r="E378" s="74"/>
      <c r="F378" s="94"/>
    </row>
    <row r="379" spans="1:10">
      <c r="A379" s="111"/>
      <c r="B379" s="96"/>
      <c r="C379" s="91"/>
      <c r="D379" s="73"/>
      <c r="E379" s="74"/>
      <c r="F379" s="94"/>
    </row>
    <row r="380" spans="1:10">
      <c r="A380" s="87" t="s">
        <v>667</v>
      </c>
      <c r="B380" s="88" t="s">
        <v>736</v>
      </c>
      <c r="C380" s="91"/>
      <c r="D380" s="73"/>
      <c r="E380" s="74"/>
      <c r="F380" s="94"/>
    </row>
    <row r="381" spans="1:10" ht="82.8">
      <c r="A381" s="89" t="s">
        <v>1009</v>
      </c>
      <c r="B381" s="362" t="s">
        <v>5180</v>
      </c>
      <c r="C381" s="91"/>
      <c r="D381" s="73"/>
      <c r="E381" s="74"/>
      <c r="F381" s="94"/>
    </row>
    <row r="382" spans="1:10">
      <c r="A382" s="89" t="s">
        <v>48</v>
      </c>
      <c r="B382" s="90" t="s">
        <v>705</v>
      </c>
      <c r="C382" s="91" t="s">
        <v>645</v>
      </c>
      <c r="D382" s="73">
        <v>57457</v>
      </c>
      <c r="E382" s="74">
        <v>1.4</v>
      </c>
      <c r="F382" s="93">
        <f>IF(OR(OR(E382=0,E382=" "),OR(D382=0,D382=" "))," ",D382*E382)</f>
        <v>80439.799999999988</v>
      </c>
      <c r="G382" s="646"/>
      <c r="I382" s="73"/>
      <c r="J382" s="73"/>
    </row>
    <row r="383" spans="1:10">
      <c r="A383" s="89" t="s">
        <v>49</v>
      </c>
      <c r="B383" s="90" t="s">
        <v>737</v>
      </c>
      <c r="C383" s="91" t="s">
        <v>645</v>
      </c>
      <c r="D383" s="73">
        <v>62081</v>
      </c>
      <c r="E383" s="74">
        <v>1.4</v>
      </c>
      <c r="F383" s="93">
        <f>IF(OR(OR(E383=0,E383=" "),OR(D383=0,D383=" "))," ",D383*E383)</f>
        <v>86913.4</v>
      </c>
      <c r="G383" s="646"/>
      <c r="I383" s="73"/>
    </row>
    <row r="384" spans="1:10">
      <c r="A384" s="89"/>
      <c r="B384" s="90"/>
      <c r="C384" s="91"/>
      <c r="D384" s="73"/>
      <c r="E384" s="74"/>
      <c r="F384" s="93"/>
      <c r="G384" s="646"/>
      <c r="I384" s="73"/>
    </row>
    <row r="385" spans="1:9" ht="179.4">
      <c r="A385" s="89" t="s">
        <v>5179</v>
      </c>
      <c r="B385" s="362" t="s">
        <v>5178</v>
      </c>
      <c r="C385" s="91"/>
      <c r="D385" s="73"/>
      <c r="E385" s="74"/>
      <c r="F385" s="94"/>
      <c r="G385" s="646"/>
      <c r="I385" s="73"/>
    </row>
    <row r="386" spans="1:9" ht="165.6">
      <c r="A386" s="89"/>
      <c r="B386" s="362" t="s">
        <v>5351</v>
      </c>
      <c r="C386" s="91"/>
      <c r="D386" s="73"/>
      <c r="E386" s="74"/>
      <c r="F386" s="94"/>
      <c r="G386" s="646"/>
      <c r="I386" s="73"/>
    </row>
    <row r="387" spans="1:9" ht="41.4">
      <c r="A387" s="89" t="s">
        <v>48</v>
      </c>
      <c r="B387" s="90" t="s">
        <v>5352</v>
      </c>
      <c r="C387" s="91" t="s">
        <v>649</v>
      </c>
      <c r="D387" s="73">
        <v>12</v>
      </c>
      <c r="E387" s="74">
        <v>300</v>
      </c>
      <c r="F387" s="93">
        <f>IF(OR(OR(E387=0,E387=" "),OR(D387=0,D387=" "))," ",D387*E387)</f>
        <v>3600</v>
      </c>
      <c r="G387" s="646"/>
      <c r="I387" s="73"/>
    </row>
    <row r="388" spans="1:9" ht="27.6">
      <c r="A388" s="89" t="s">
        <v>49</v>
      </c>
      <c r="B388" s="90" t="s">
        <v>5353</v>
      </c>
      <c r="C388" s="91" t="s">
        <v>649</v>
      </c>
      <c r="D388" s="73">
        <v>5</v>
      </c>
      <c r="E388" s="74">
        <v>500</v>
      </c>
      <c r="F388" s="93">
        <f>IF(OR(OR(E388=0,E388=" "),OR(D388=0,D388=" "))," ",D388*E388)</f>
        <v>2500</v>
      </c>
      <c r="G388" s="646"/>
      <c r="I388" s="73"/>
    </row>
    <row r="389" spans="1:9">
      <c r="A389" s="98"/>
      <c r="B389" s="99"/>
      <c r="C389" s="100"/>
      <c r="D389" s="101"/>
      <c r="E389" s="100"/>
      <c r="F389" s="102"/>
    </row>
    <row r="390" spans="1:9">
      <c r="A390" s="103" t="str">
        <f>A373</f>
        <v>A.6.</v>
      </c>
      <c r="B390" s="104" t="str">
        <f>CONCATENATE(B373," ", "UKUPNO:")</f>
        <v>ARMIRAČKI RADOVI UKUPNO:</v>
      </c>
      <c r="D390" s="73"/>
      <c r="E390" s="74"/>
      <c r="F390" s="663">
        <f>SUM(F381:F389)</f>
        <v>173453.19999999998</v>
      </c>
    </row>
    <row r="391" spans="1:9">
      <c r="A391" s="106"/>
      <c r="B391" s="107"/>
      <c r="C391" s="72"/>
      <c r="D391" s="73"/>
      <c r="E391" s="74"/>
      <c r="F391" s="108"/>
    </row>
    <row r="392" spans="1:9">
      <c r="A392" s="70"/>
      <c r="B392" s="71"/>
      <c r="C392" s="72"/>
      <c r="D392" s="73"/>
      <c r="E392" s="74"/>
      <c r="F392" s="75"/>
    </row>
    <row r="393" spans="1:9">
      <c r="A393" s="81" t="s">
        <v>1019</v>
      </c>
      <c r="B393" s="82" t="s">
        <v>315</v>
      </c>
      <c r="C393" s="83"/>
      <c r="D393" s="84"/>
      <c r="E393" s="85"/>
      <c r="F393" s="86"/>
    </row>
    <row r="394" spans="1:9">
      <c r="A394" s="70"/>
      <c r="B394" s="71"/>
      <c r="C394" s="72"/>
      <c r="D394" s="73"/>
      <c r="E394" s="74"/>
      <c r="F394" s="75"/>
    </row>
    <row r="395" spans="1:9">
      <c r="A395" s="87" t="s">
        <v>667</v>
      </c>
      <c r="B395" s="88" t="s">
        <v>1673</v>
      </c>
      <c r="C395" s="72"/>
      <c r="D395" s="73"/>
      <c r="E395" s="74"/>
      <c r="F395" s="75"/>
    </row>
    <row r="396" spans="1:9" ht="124.2">
      <c r="A396" s="89" t="s">
        <v>1674</v>
      </c>
      <c r="B396" s="362" t="s">
        <v>2084</v>
      </c>
      <c r="C396" s="72"/>
      <c r="D396" s="73"/>
      <c r="E396" s="74"/>
      <c r="F396" s="75"/>
    </row>
    <row r="397" spans="1:9" ht="55.2">
      <c r="A397" s="70"/>
      <c r="B397" s="361" t="s">
        <v>5220</v>
      </c>
      <c r="C397" s="72"/>
      <c r="D397" s="73"/>
      <c r="E397" s="74"/>
      <c r="F397" s="75"/>
    </row>
    <row r="398" spans="1:9" ht="41.4">
      <c r="A398" s="70"/>
      <c r="B398" s="361" t="s">
        <v>5222</v>
      </c>
      <c r="C398" s="72"/>
      <c r="D398" s="73"/>
      <c r="E398" s="74"/>
      <c r="F398" s="75"/>
    </row>
    <row r="399" spans="1:9" ht="27.6">
      <c r="A399" s="70"/>
      <c r="B399" s="361" t="s">
        <v>1675</v>
      </c>
      <c r="C399" s="72"/>
      <c r="D399" s="73"/>
      <c r="E399" s="74"/>
      <c r="F399" s="75"/>
    </row>
    <row r="400" spans="1:9" ht="27.6">
      <c r="A400" s="70"/>
      <c r="B400" s="361" t="s">
        <v>3329</v>
      </c>
      <c r="C400" s="72"/>
      <c r="D400" s="73"/>
      <c r="E400" s="74"/>
      <c r="F400" s="75"/>
    </row>
    <row r="401" spans="1:6">
      <c r="A401" s="70"/>
      <c r="B401" s="361" t="s">
        <v>1676</v>
      </c>
      <c r="C401" s="72"/>
      <c r="D401" s="73"/>
      <c r="E401" s="74"/>
      <c r="F401" s="75"/>
    </row>
    <row r="402" spans="1:6">
      <c r="A402" s="89" t="s">
        <v>48</v>
      </c>
      <c r="B402" s="361" t="s">
        <v>1677</v>
      </c>
      <c r="C402" s="91" t="s">
        <v>681</v>
      </c>
      <c r="D402" s="73">
        <v>61.2</v>
      </c>
      <c r="E402" s="74">
        <v>300</v>
      </c>
      <c r="F402" s="93">
        <f>IF(OR(OR(E402=0,E402=" "),OR(D402=0,D402=" "))," ",D402*E402)</f>
        <v>18360</v>
      </c>
    </row>
    <row r="403" spans="1:6">
      <c r="A403" s="70"/>
      <c r="B403" s="71"/>
      <c r="C403" s="72"/>
      <c r="D403" s="73"/>
      <c r="E403" s="74"/>
      <c r="F403" s="75"/>
    </row>
    <row r="404" spans="1:6" ht="124.2">
      <c r="A404" s="89" t="s">
        <v>1678</v>
      </c>
      <c r="B404" s="362" t="s">
        <v>3328</v>
      </c>
      <c r="C404" s="72"/>
      <c r="D404" s="73"/>
      <c r="E404" s="74"/>
      <c r="F404" s="75"/>
    </row>
    <row r="405" spans="1:6" ht="55.2">
      <c r="A405" s="70"/>
      <c r="B405" s="361" t="s">
        <v>5220</v>
      </c>
      <c r="C405" s="72"/>
      <c r="D405" s="73"/>
      <c r="E405" s="74"/>
      <c r="F405" s="75"/>
    </row>
    <row r="406" spans="1:6" ht="41.4">
      <c r="A406" s="70"/>
      <c r="B406" s="361" t="s">
        <v>5222</v>
      </c>
      <c r="C406" s="72"/>
      <c r="D406" s="73"/>
      <c r="E406" s="74"/>
      <c r="F406" s="75"/>
    </row>
    <row r="407" spans="1:6" ht="41.4">
      <c r="A407" s="70"/>
      <c r="B407" s="361" t="s">
        <v>3247</v>
      </c>
      <c r="C407" s="72"/>
      <c r="D407" s="73"/>
      <c r="E407" s="74"/>
      <c r="F407" s="75"/>
    </row>
    <row r="408" spans="1:6" ht="27.6">
      <c r="A408" s="70"/>
      <c r="B408" s="361" t="s">
        <v>3331</v>
      </c>
      <c r="C408" s="72"/>
      <c r="D408" s="73"/>
      <c r="E408" s="74"/>
      <c r="F408" s="75"/>
    </row>
    <row r="409" spans="1:6">
      <c r="A409" s="70"/>
      <c r="B409" s="361" t="s">
        <v>1680</v>
      </c>
      <c r="C409" s="72"/>
      <c r="D409" s="73"/>
      <c r="E409" s="74"/>
      <c r="F409" s="75"/>
    </row>
    <row r="410" spans="1:6">
      <c r="A410" s="89" t="s">
        <v>48</v>
      </c>
      <c r="B410" s="361" t="s">
        <v>3332</v>
      </c>
      <c r="C410" s="91" t="s">
        <v>675</v>
      </c>
      <c r="D410" s="73">
        <v>101.5</v>
      </c>
      <c r="E410" s="74">
        <v>55</v>
      </c>
      <c r="F410" s="93">
        <f>IF(OR(OR(E410=0,E410=" "),OR(D410=0,D410=" "))," ",D410*E410)</f>
        <v>5582.5</v>
      </c>
    </row>
    <row r="411" spans="1:6">
      <c r="A411" s="70"/>
      <c r="B411" s="71"/>
      <c r="C411" s="72"/>
      <c r="D411" s="73"/>
      <c r="E411" s="74"/>
      <c r="F411" s="75"/>
    </row>
    <row r="412" spans="1:6" ht="124.2">
      <c r="A412" s="89" t="s">
        <v>1681</v>
      </c>
      <c r="B412" s="362" t="s">
        <v>1853</v>
      </c>
      <c r="C412" s="72"/>
      <c r="D412" s="73"/>
      <c r="E412" s="74"/>
      <c r="F412" s="75"/>
    </row>
    <row r="413" spans="1:6" ht="55.2">
      <c r="A413" s="70"/>
      <c r="B413" s="361" t="s">
        <v>5220</v>
      </c>
      <c r="C413" s="72"/>
      <c r="D413" s="73"/>
      <c r="E413" s="74"/>
      <c r="F413" s="75"/>
    </row>
    <row r="414" spans="1:6" ht="41.4">
      <c r="A414" s="70"/>
      <c r="B414" s="361" t="s">
        <v>5222</v>
      </c>
      <c r="C414" s="72"/>
      <c r="D414" s="73"/>
      <c r="E414" s="74"/>
      <c r="F414" s="75"/>
    </row>
    <row r="415" spans="1:6" ht="41.4">
      <c r="A415" s="70"/>
      <c r="B415" s="361" t="s">
        <v>3247</v>
      </c>
      <c r="C415" s="72"/>
      <c r="D415" s="73"/>
      <c r="E415" s="74"/>
      <c r="F415" s="75"/>
    </row>
    <row r="416" spans="1:6" ht="27.6">
      <c r="A416" s="70"/>
      <c r="B416" s="361" t="s">
        <v>3330</v>
      </c>
      <c r="C416" s="72"/>
      <c r="D416" s="73"/>
      <c r="E416" s="74"/>
      <c r="F416" s="75"/>
    </row>
    <row r="417" spans="1:6">
      <c r="A417" s="70"/>
      <c r="B417" s="361" t="s">
        <v>1680</v>
      </c>
      <c r="C417" s="72"/>
      <c r="D417" s="73"/>
      <c r="E417" s="74"/>
      <c r="F417" s="75"/>
    </row>
    <row r="418" spans="1:6">
      <c r="A418" s="89" t="s">
        <v>48</v>
      </c>
      <c r="B418" s="361" t="s">
        <v>1679</v>
      </c>
      <c r="C418" s="91" t="s">
        <v>675</v>
      </c>
      <c r="D418" s="73">
        <v>155.5</v>
      </c>
      <c r="E418" s="74">
        <v>50</v>
      </c>
      <c r="F418" s="93">
        <f>IF(OR(OR(E418=0,E418=" "),OR(D418=0,D418=" "))," ",D418*E418)</f>
        <v>7775</v>
      </c>
    </row>
    <row r="419" spans="1:6">
      <c r="A419" s="70"/>
      <c r="B419" s="71"/>
      <c r="C419" s="72"/>
      <c r="D419" s="73"/>
      <c r="E419" s="74"/>
      <c r="F419" s="75"/>
    </row>
    <row r="420" spans="1:6" ht="110.4">
      <c r="A420" s="89" t="s">
        <v>1683</v>
      </c>
      <c r="B420" s="362" t="s">
        <v>1852</v>
      </c>
      <c r="C420" s="72"/>
      <c r="D420" s="73"/>
      <c r="E420" s="74"/>
      <c r="F420" s="75"/>
    </row>
    <row r="421" spans="1:6" ht="55.2">
      <c r="A421" s="70"/>
      <c r="B421" s="361" t="s">
        <v>5220</v>
      </c>
      <c r="C421" s="72"/>
      <c r="D421" s="73"/>
      <c r="E421" s="74"/>
      <c r="F421" s="75"/>
    </row>
    <row r="422" spans="1:6" ht="41.4">
      <c r="A422" s="70"/>
      <c r="B422" s="361" t="s">
        <v>5222</v>
      </c>
      <c r="C422" s="72"/>
      <c r="D422" s="73"/>
      <c r="E422" s="74"/>
      <c r="F422" s="75"/>
    </row>
    <row r="423" spans="1:6" ht="27.6">
      <c r="A423" s="70"/>
      <c r="B423" s="361" t="s">
        <v>1675</v>
      </c>
      <c r="C423" s="72"/>
      <c r="D423" s="73"/>
      <c r="E423" s="74"/>
      <c r="F423" s="75"/>
    </row>
    <row r="424" spans="1:6" ht="27.6">
      <c r="A424" s="70"/>
      <c r="B424" s="361" t="s">
        <v>1682</v>
      </c>
      <c r="C424" s="72"/>
      <c r="D424" s="73"/>
      <c r="E424" s="74"/>
      <c r="F424" s="75"/>
    </row>
    <row r="425" spans="1:6">
      <c r="A425" s="70"/>
      <c r="B425" s="361" t="s">
        <v>1680</v>
      </c>
      <c r="C425" s="72"/>
      <c r="D425" s="73"/>
      <c r="E425" s="74"/>
      <c r="F425" s="75"/>
    </row>
    <row r="426" spans="1:6" ht="27.6">
      <c r="A426" s="89" t="s">
        <v>48</v>
      </c>
      <c r="B426" s="361" t="s">
        <v>2085</v>
      </c>
      <c r="C426" s="91" t="s">
        <v>675</v>
      </c>
      <c r="D426" s="73">
        <v>21</v>
      </c>
      <c r="E426" s="74">
        <v>50</v>
      </c>
      <c r="F426" s="93">
        <f>IF(OR(OR(E426=0,E426=" "),OR(D426=0,D426=" "))," ",D426*E426)</f>
        <v>1050</v>
      </c>
    </row>
    <row r="427" spans="1:6">
      <c r="A427" s="70"/>
      <c r="B427" s="71"/>
      <c r="C427" s="72"/>
      <c r="D427" s="73"/>
      <c r="E427" s="74"/>
      <c r="F427" s="75"/>
    </row>
    <row r="428" spans="1:6" ht="55.2">
      <c r="A428" s="89" t="s">
        <v>1685</v>
      </c>
      <c r="B428" s="362" t="s">
        <v>3335</v>
      </c>
      <c r="C428" s="72"/>
      <c r="D428" s="73"/>
      <c r="E428" s="74"/>
      <c r="F428" s="75"/>
    </row>
    <row r="429" spans="1:6" ht="41.4">
      <c r="A429" s="70"/>
      <c r="B429" s="362" t="s">
        <v>2090</v>
      </c>
      <c r="C429" s="72"/>
      <c r="D429" s="73"/>
      <c r="E429" s="74"/>
      <c r="F429" s="75"/>
    </row>
    <row r="430" spans="1:6" ht="69">
      <c r="A430" s="70"/>
      <c r="B430" s="362" t="s">
        <v>3248</v>
      </c>
      <c r="C430" s="72"/>
      <c r="D430" s="73"/>
      <c r="E430" s="74"/>
      <c r="F430" s="75"/>
    </row>
    <row r="431" spans="1:6" ht="27.6">
      <c r="A431" s="70"/>
      <c r="B431" s="361" t="s">
        <v>1675</v>
      </c>
      <c r="C431" s="72"/>
      <c r="D431" s="73"/>
      <c r="E431" s="74"/>
      <c r="F431" s="75"/>
    </row>
    <row r="432" spans="1:6">
      <c r="A432" s="70"/>
      <c r="B432" s="362" t="s">
        <v>1684</v>
      </c>
      <c r="C432" s="72"/>
      <c r="D432" s="73"/>
      <c r="E432" s="74"/>
      <c r="F432" s="75"/>
    </row>
    <row r="433" spans="1:6" ht="27.6">
      <c r="A433" s="89" t="s">
        <v>48</v>
      </c>
      <c r="B433" s="362" t="s">
        <v>3333</v>
      </c>
      <c r="C433" s="72" t="s">
        <v>649</v>
      </c>
      <c r="D433" s="73">
        <v>6</v>
      </c>
      <c r="E433" s="74">
        <v>50</v>
      </c>
      <c r="F433" s="93">
        <f>IF(OR(OR(E433=0,E433=" "),OR(D433=0,D433=" "))," ",D433*E433)</f>
        <v>300</v>
      </c>
    </row>
    <row r="434" spans="1:6" ht="27.6">
      <c r="A434" s="89" t="s">
        <v>49</v>
      </c>
      <c r="B434" s="362" t="s">
        <v>2089</v>
      </c>
      <c r="C434" s="72" t="s">
        <v>649</v>
      </c>
      <c r="D434" s="73">
        <v>1</v>
      </c>
      <c r="E434" s="74">
        <v>50</v>
      </c>
      <c r="F434" s="93">
        <f>IF(OR(OR(E434=0,E434=" "),OR(D434=0,D434=" "))," ",D434*E434)</f>
        <v>50</v>
      </c>
    </row>
    <row r="435" spans="1:6" ht="27.6">
      <c r="A435" s="89" t="s">
        <v>51</v>
      </c>
      <c r="B435" s="362" t="s">
        <v>3334</v>
      </c>
      <c r="C435" s="72" t="s">
        <v>649</v>
      </c>
      <c r="D435" s="73">
        <v>9</v>
      </c>
      <c r="E435" s="74">
        <v>40</v>
      </c>
      <c r="F435" s="93">
        <f>IF(OR(OR(E435=0,E435=" "),OR(D435=0,D435=" "))," ",D435*E435)</f>
        <v>360</v>
      </c>
    </row>
    <row r="436" spans="1:6">
      <c r="A436" s="70"/>
      <c r="B436" s="71"/>
      <c r="C436" s="72"/>
      <c r="D436" s="73"/>
      <c r="E436" s="74"/>
      <c r="F436" s="75"/>
    </row>
    <row r="437" spans="1:6">
      <c r="A437" s="87" t="s">
        <v>667</v>
      </c>
      <c r="B437" s="88" t="s">
        <v>738</v>
      </c>
      <c r="C437" s="72"/>
      <c r="D437" s="73"/>
      <c r="E437" s="74"/>
      <c r="F437" s="75"/>
    </row>
    <row r="438" spans="1:6">
      <c r="A438" s="89" t="s">
        <v>1689</v>
      </c>
      <c r="B438" s="368" t="s">
        <v>1694</v>
      </c>
      <c r="C438" s="72"/>
      <c r="D438" s="73"/>
      <c r="E438" s="74"/>
      <c r="F438" s="75"/>
    </row>
    <row r="439" spans="1:6" ht="69">
      <c r="A439" s="70"/>
      <c r="B439" s="369" t="s">
        <v>3336</v>
      </c>
      <c r="C439" s="72"/>
      <c r="D439" s="73"/>
      <c r="E439" s="74"/>
      <c r="F439" s="75"/>
    </row>
    <row r="440" spans="1:6" ht="69">
      <c r="A440" s="70"/>
      <c r="B440" s="369" t="s">
        <v>3192</v>
      </c>
      <c r="C440" s="72"/>
      <c r="D440" s="73"/>
      <c r="E440" s="74"/>
      <c r="F440" s="75"/>
    </row>
    <row r="441" spans="1:6" ht="138">
      <c r="A441" s="70"/>
      <c r="B441" s="369" t="s">
        <v>1686</v>
      </c>
      <c r="C441" s="72"/>
      <c r="D441" s="73"/>
      <c r="E441" s="74"/>
      <c r="F441" s="75"/>
    </row>
    <row r="442" spans="1:6" ht="82.8">
      <c r="A442" s="70"/>
      <c r="B442" s="369" t="s">
        <v>5223</v>
      </c>
      <c r="C442" s="72"/>
      <c r="D442" s="73"/>
      <c r="E442" s="74"/>
      <c r="F442" s="75"/>
    </row>
    <row r="443" spans="1:6">
      <c r="A443" s="70"/>
      <c r="B443" s="369" t="s">
        <v>1687</v>
      </c>
      <c r="C443" s="72"/>
      <c r="D443" s="73"/>
      <c r="E443" s="74"/>
      <c r="F443" s="75"/>
    </row>
    <row r="444" spans="1:6" ht="55.2">
      <c r="A444" s="70"/>
      <c r="B444" s="369" t="s">
        <v>5224</v>
      </c>
      <c r="C444" s="72"/>
      <c r="D444" s="73"/>
      <c r="E444" s="74"/>
      <c r="F444" s="75"/>
    </row>
    <row r="445" spans="1:6">
      <c r="A445" s="70"/>
      <c r="B445" s="369" t="s">
        <v>1597</v>
      </c>
      <c r="C445" s="72"/>
      <c r="D445" s="73"/>
      <c r="E445" s="74"/>
      <c r="F445" s="75"/>
    </row>
    <row r="446" spans="1:6" ht="27.6">
      <c r="A446" s="70"/>
      <c r="B446" s="369" t="s">
        <v>1675</v>
      </c>
      <c r="C446" s="72"/>
      <c r="D446" s="73"/>
      <c r="E446" s="74"/>
      <c r="F446" s="75"/>
    </row>
    <row r="447" spans="1:6">
      <c r="A447" s="70"/>
      <c r="B447" s="369" t="s">
        <v>1680</v>
      </c>
      <c r="C447" s="72"/>
      <c r="D447" s="73"/>
      <c r="E447" s="74"/>
      <c r="F447" s="75"/>
    </row>
    <row r="448" spans="1:6" ht="69">
      <c r="A448" s="70"/>
      <c r="B448" s="361" t="s">
        <v>3338</v>
      </c>
      <c r="C448" s="72"/>
      <c r="D448" s="73"/>
      <c r="E448" s="74"/>
      <c r="F448" s="75"/>
    </row>
    <row r="449" spans="1:6" ht="27.6">
      <c r="A449" s="89" t="s">
        <v>48</v>
      </c>
      <c r="B449" s="369" t="s">
        <v>1690</v>
      </c>
      <c r="C449" s="72" t="s">
        <v>675</v>
      </c>
      <c r="D449" s="73">
        <v>2865</v>
      </c>
      <c r="E449" s="74">
        <v>22</v>
      </c>
      <c r="F449" s="93">
        <f>IF(OR(OR(E449=0,E449=" "),OR(D449=0,D449=" "))," ",D449*E449)</f>
        <v>63030</v>
      </c>
    </row>
    <row r="450" spans="1:6" ht="27.6">
      <c r="A450" s="89" t="s">
        <v>49</v>
      </c>
      <c r="B450" s="369" t="s">
        <v>3337</v>
      </c>
      <c r="C450" s="72" t="s">
        <v>675</v>
      </c>
      <c r="D450" s="73">
        <v>143</v>
      </c>
      <c r="E450" s="74">
        <v>22</v>
      </c>
      <c r="F450" s="93">
        <f>IF(OR(OR(E450=0,E450=" "),OR(D450=0,D450=" "))," ",D450*E450)</f>
        <v>3146</v>
      </c>
    </row>
    <row r="451" spans="1:6" ht="27.6">
      <c r="A451" s="89" t="s">
        <v>51</v>
      </c>
      <c r="B451" s="369" t="s">
        <v>1688</v>
      </c>
      <c r="C451" s="72" t="s">
        <v>675</v>
      </c>
      <c r="D451" s="73">
        <v>1189</v>
      </c>
      <c r="E451" s="74">
        <v>22</v>
      </c>
      <c r="F451" s="93">
        <f>IF(OR(OR(E451=0,E451=" "),OR(D451=0,D451=" "))," ",D451*E451)</f>
        <v>26158</v>
      </c>
    </row>
    <row r="452" spans="1:6" ht="41.4">
      <c r="A452" s="89" t="s">
        <v>53</v>
      </c>
      <c r="B452" s="369" t="s">
        <v>1691</v>
      </c>
      <c r="C452" s="72" t="s">
        <v>675</v>
      </c>
      <c r="D452" s="73">
        <v>20</v>
      </c>
      <c r="E452" s="74">
        <v>50</v>
      </c>
      <c r="F452" s="93">
        <f>IF(OR(OR(E452=0,E452=" "),OR(D452=0,D452=" "))," ",D452*E452)</f>
        <v>1000</v>
      </c>
    </row>
    <row r="453" spans="1:6">
      <c r="A453" s="89"/>
      <c r="B453" s="369"/>
      <c r="C453" s="72"/>
      <c r="D453" s="73"/>
      <c r="E453" s="74"/>
      <c r="F453" s="93"/>
    </row>
    <row r="454" spans="1:6">
      <c r="A454" s="89" t="s">
        <v>1698</v>
      </c>
      <c r="B454" s="368" t="s">
        <v>1695</v>
      </c>
      <c r="C454" s="72"/>
      <c r="D454" s="73"/>
      <c r="E454" s="74"/>
      <c r="F454" s="75"/>
    </row>
    <row r="455" spans="1:6" ht="55.2">
      <c r="A455" s="70"/>
      <c r="B455" s="369" t="s">
        <v>3340</v>
      </c>
      <c r="C455" s="72"/>
      <c r="D455" s="73"/>
      <c r="E455" s="74"/>
      <c r="F455" s="75"/>
    </row>
    <row r="456" spans="1:6" ht="69">
      <c r="A456" s="70"/>
      <c r="B456" s="369" t="s">
        <v>3192</v>
      </c>
      <c r="C456" s="72"/>
      <c r="D456" s="73"/>
      <c r="E456" s="74"/>
      <c r="F456" s="75"/>
    </row>
    <row r="457" spans="1:6" ht="124.2">
      <c r="A457" s="70"/>
      <c r="B457" s="369" t="s">
        <v>1851</v>
      </c>
      <c r="C457" s="72"/>
      <c r="D457" s="73"/>
      <c r="E457" s="74"/>
      <c r="F457" s="75"/>
    </row>
    <row r="458" spans="1:6" ht="82.8">
      <c r="A458" s="70"/>
      <c r="B458" s="369" t="s">
        <v>5223</v>
      </c>
      <c r="C458" s="72"/>
      <c r="D458" s="73"/>
      <c r="E458" s="74"/>
      <c r="F458" s="75"/>
    </row>
    <row r="459" spans="1:6">
      <c r="A459" s="70"/>
      <c r="B459" s="369" t="s">
        <v>1687</v>
      </c>
      <c r="C459" s="72"/>
      <c r="D459" s="73"/>
      <c r="E459" s="74"/>
      <c r="F459" s="75"/>
    </row>
    <row r="460" spans="1:6" ht="55.2">
      <c r="A460" s="70"/>
      <c r="B460" s="369" t="s">
        <v>5225</v>
      </c>
      <c r="C460" s="72"/>
      <c r="D460" s="73"/>
      <c r="E460" s="74"/>
      <c r="F460" s="75"/>
    </row>
    <row r="461" spans="1:6">
      <c r="A461" s="70"/>
      <c r="B461" s="369" t="s">
        <v>1597</v>
      </c>
      <c r="C461" s="72"/>
      <c r="D461" s="73"/>
      <c r="E461" s="74"/>
      <c r="F461" s="75"/>
    </row>
    <row r="462" spans="1:6" ht="27.6">
      <c r="A462" s="70"/>
      <c r="B462" s="369" t="s">
        <v>1675</v>
      </c>
      <c r="C462" s="72"/>
      <c r="D462" s="73"/>
      <c r="E462" s="74"/>
      <c r="F462" s="75"/>
    </row>
    <row r="463" spans="1:6">
      <c r="A463" s="70"/>
      <c r="B463" s="369" t="s">
        <v>1696</v>
      </c>
      <c r="C463" s="72"/>
      <c r="D463" s="73"/>
      <c r="E463" s="74"/>
      <c r="F463" s="75"/>
    </row>
    <row r="464" spans="1:6" ht="41.4">
      <c r="A464" s="70"/>
      <c r="B464" s="361" t="s">
        <v>3341</v>
      </c>
      <c r="C464" s="72"/>
      <c r="D464" s="73"/>
      <c r="E464" s="74"/>
      <c r="F464" s="75"/>
    </row>
    <row r="465" spans="1:6" ht="27.6">
      <c r="A465" s="89" t="s">
        <v>48</v>
      </c>
      <c r="B465" s="369" t="s">
        <v>1697</v>
      </c>
      <c r="C465" s="72" t="s">
        <v>675</v>
      </c>
      <c r="D465" s="73">
        <v>93</v>
      </c>
      <c r="E465" s="74">
        <v>25</v>
      </c>
      <c r="F465" s="93">
        <f>IF(OR(OR(E465=0,E465=" "),OR(D465=0,D465=" "))," ",D465*E465)</f>
        <v>2325</v>
      </c>
    </row>
    <row r="466" spans="1:6" ht="27.6">
      <c r="A466" s="89" t="s">
        <v>49</v>
      </c>
      <c r="B466" s="369" t="s">
        <v>3339</v>
      </c>
      <c r="C466" s="72" t="s">
        <v>675</v>
      </c>
      <c r="D466" s="73">
        <v>32</v>
      </c>
      <c r="E466" s="74">
        <v>25</v>
      </c>
      <c r="F466" s="93">
        <f>IF(OR(OR(E466=0,E466=" "),OR(D466=0,D466=" "))," ",D466*E466)</f>
        <v>800</v>
      </c>
    </row>
    <row r="467" spans="1:6">
      <c r="A467" s="89"/>
      <c r="B467" s="71"/>
      <c r="C467" s="91"/>
      <c r="D467" s="73"/>
      <c r="E467" s="74"/>
      <c r="F467" s="93"/>
    </row>
    <row r="468" spans="1:6">
      <c r="A468" s="87" t="s">
        <v>667</v>
      </c>
      <c r="B468" s="88" t="s">
        <v>739</v>
      </c>
      <c r="C468" s="72"/>
      <c r="D468" s="73"/>
      <c r="E468" s="74"/>
      <c r="F468" s="75"/>
    </row>
    <row r="469" spans="1:6" ht="138">
      <c r="A469" s="89" t="s">
        <v>3343</v>
      </c>
      <c r="B469" s="369" t="s">
        <v>2086</v>
      </c>
      <c r="C469" s="72"/>
      <c r="D469" s="73"/>
      <c r="E469" s="74"/>
      <c r="F469" s="75"/>
    </row>
    <row r="470" spans="1:6">
      <c r="A470" s="70"/>
      <c r="B470" s="369" t="s">
        <v>1699</v>
      </c>
      <c r="C470" s="72"/>
      <c r="D470" s="73"/>
      <c r="E470" s="74"/>
      <c r="F470" s="75"/>
    </row>
    <row r="471" spans="1:6" ht="55.2">
      <c r="A471" s="87"/>
      <c r="B471" s="369" t="s">
        <v>1700</v>
      </c>
      <c r="C471" s="72"/>
      <c r="D471" s="92"/>
      <c r="E471" s="74"/>
      <c r="F471" s="75"/>
    </row>
    <row r="472" spans="1:6" ht="110.4">
      <c r="A472" s="87"/>
      <c r="B472" s="369" t="s">
        <v>4857</v>
      </c>
      <c r="C472" s="72"/>
      <c r="D472" s="92"/>
      <c r="E472" s="74"/>
      <c r="F472" s="75"/>
    </row>
    <row r="473" spans="1:6" ht="41.4">
      <c r="A473" s="89"/>
      <c r="B473" s="369" t="s">
        <v>1703</v>
      </c>
      <c r="C473" s="91"/>
      <c r="D473" s="73"/>
      <c r="E473" s="74"/>
      <c r="F473" s="94"/>
    </row>
    <row r="474" spans="1:6" ht="41.4">
      <c r="A474" s="89"/>
      <c r="B474" s="369" t="s">
        <v>5366</v>
      </c>
      <c r="C474" s="91"/>
      <c r="D474" s="73"/>
      <c r="E474" s="74"/>
      <c r="F474" s="93"/>
    </row>
    <row r="475" spans="1:6" ht="27.6">
      <c r="A475" s="70"/>
      <c r="B475" s="369" t="s">
        <v>5226</v>
      </c>
      <c r="C475" s="72"/>
      <c r="D475" s="73"/>
      <c r="E475" s="74"/>
      <c r="F475" s="75"/>
    </row>
    <row r="476" spans="1:6" ht="27.6">
      <c r="A476" s="87"/>
      <c r="B476" s="369" t="s">
        <v>755</v>
      </c>
      <c r="C476" s="72"/>
      <c r="D476" s="92"/>
      <c r="E476" s="74"/>
      <c r="F476" s="75"/>
    </row>
    <row r="477" spans="1:6" ht="69">
      <c r="A477" s="87"/>
      <c r="B477" s="90" t="s">
        <v>4858</v>
      </c>
      <c r="C477" s="72"/>
      <c r="D477" s="92"/>
      <c r="E477" s="74"/>
      <c r="F477" s="75"/>
    </row>
    <row r="478" spans="1:6">
      <c r="A478" s="89"/>
      <c r="B478" s="369" t="s">
        <v>1701</v>
      </c>
      <c r="C478" s="91"/>
      <c r="D478" s="73"/>
      <c r="E478" s="74"/>
      <c r="F478" s="94"/>
    </row>
    <row r="479" spans="1:6" ht="27.6">
      <c r="A479" s="76"/>
      <c r="B479" s="361" t="s">
        <v>3342</v>
      </c>
      <c r="C479" s="78"/>
      <c r="D479" s="73"/>
      <c r="E479" s="74"/>
      <c r="F479" s="79"/>
    </row>
    <row r="480" spans="1:6">
      <c r="A480" s="89" t="s">
        <v>48</v>
      </c>
      <c r="B480" s="90" t="s">
        <v>3375</v>
      </c>
      <c r="C480" s="91" t="s">
        <v>675</v>
      </c>
      <c r="D480" s="73">
        <v>1348</v>
      </c>
      <c r="E480" s="74">
        <v>23</v>
      </c>
      <c r="F480" s="93">
        <f>IF(OR(OR(E480=0,E480=" "),OR(D480=0,D480=" "))," ",D480*E480)</f>
        <v>31004</v>
      </c>
    </row>
    <row r="481" spans="1:6">
      <c r="A481" s="89" t="s">
        <v>49</v>
      </c>
      <c r="B481" s="90" t="s">
        <v>3379</v>
      </c>
      <c r="C481" s="876" t="s">
        <v>675</v>
      </c>
      <c r="D481" s="73">
        <v>119</v>
      </c>
      <c r="E481" s="74">
        <v>23</v>
      </c>
      <c r="F481" s="93">
        <f>IF(OR(OR(E481=0,E481=" "),OR(D481=0,D481=" "))," ",D481*E481)</f>
        <v>2737</v>
      </c>
    </row>
    <row r="482" spans="1:6">
      <c r="A482" s="70"/>
      <c r="B482" s="71"/>
      <c r="C482" s="72"/>
      <c r="D482" s="73"/>
      <c r="E482" s="74"/>
      <c r="F482" s="75"/>
    </row>
    <row r="483" spans="1:6" ht="138">
      <c r="A483" s="89" t="s">
        <v>1702</v>
      </c>
      <c r="B483" s="369" t="s">
        <v>4104</v>
      </c>
      <c r="C483" s="72"/>
      <c r="D483" s="73"/>
      <c r="E483" s="74"/>
      <c r="F483" s="75"/>
    </row>
    <row r="484" spans="1:6">
      <c r="A484" s="70"/>
      <c r="B484" s="369" t="s">
        <v>1699</v>
      </c>
      <c r="C484" s="72"/>
      <c r="D484" s="73"/>
      <c r="E484" s="74"/>
      <c r="F484" s="75"/>
    </row>
    <row r="485" spans="1:6" ht="55.2">
      <c r="A485" s="89"/>
      <c r="B485" s="369" t="s">
        <v>5367</v>
      </c>
      <c r="C485" s="91"/>
      <c r="D485" s="73"/>
      <c r="E485" s="74"/>
      <c r="F485" s="93"/>
    </row>
    <row r="486" spans="1:6" ht="27.6">
      <c r="A486" s="70"/>
      <c r="B486" s="369" t="s">
        <v>5226</v>
      </c>
      <c r="C486" s="72"/>
      <c r="D486" s="73"/>
      <c r="E486" s="74"/>
      <c r="F486" s="75"/>
    </row>
    <row r="487" spans="1:6" ht="27.6">
      <c r="A487" s="87"/>
      <c r="B487" s="369" t="s">
        <v>755</v>
      </c>
      <c r="C487" s="72"/>
      <c r="D487" s="92"/>
      <c r="E487" s="74"/>
      <c r="F487" s="75"/>
    </row>
    <row r="488" spans="1:6" ht="55.2">
      <c r="A488" s="87"/>
      <c r="B488" s="90" t="s">
        <v>3376</v>
      </c>
      <c r="C488" s="72"/>
      <c r="D488" s="92"/>
      <c r="E488" s="74"/>
      <c r="F488" s="75"/>
    </row>
    <row r="489" spans="1:6">
      <c r="A489" s="89"/>
      <c r="B489" s="369" t="s">
        <v>1701</v>
      </c>
      <c r="C489" s="91"/>
      <c r="D489" s="73"/>
      <c r="E489" s="74"/>
      <c r="F489" s="94"/>
    </row>
    <row r="490" spans="1:6" ht="27.6">
      <c r="A490" s="76"/>
      <c r="B490" s="361" t="s">
        <v>3377</v>
      </c>
      <c r="C490" s="78"/>
      <c r="D490" s="73"/>
      <c r="E490" s="74"/>
      <c r="F490" s="79"/>
    </row>
    <row r="491" spans="1:6">
      <c r="A491" s="89" t="s">
        <v>48</v>
      </c>
      <c r="B491" s="90" t="s">
        <v>3378</v>
      </c>
      <c r="C491" s="91" t="s">
        <v>675</v>
      </c>
      <c r="D491" s="73">
        <v>44</v>
      </c>
      <c r="E491" s="74">
        <v>50</v>
      </c>
      <c r="F491" s="93">
        <f>IF(OR(OR(E491=0,E491=" "),OR(D491=0,D491=" "))," ",D491*E491)</f>
        <v>2200</v>
      </c>
    </row>
    <row r="492" spans="1:6">
      <c r="A492" s="70"/>
      <c r="B492" s="71"/>
      <c r="C492" s="72"/>
      <c r="D492" s="73"/>
      <c r="E492" s="74"/>
      <c r="F492" s="75"/>
    </row>
    <row r="493" spans="1:6" ht="193.2">
      <c r="A493" s="89" t="s">
        <v>1705</v>
      </c>
      <c r="B493" s="362" t="s">
        <v>3428</v>
      </c>
      <c r="C493" s="72"/>
      <c r="D493" s="73"/>
      <c r="E493" s="74"/>
      <c r="F493" s="75"/>
    </row>
    <row r="494" spans="1:6" ht="27.6">
      <c r="A494" s="70"/>
      <c r="B494" s="361" t="s">
        <v>3429</v>
      </c>
      <c r="C494" s="72"/>
      <c r="D494" s="73"/>
      <c r="E494" s="74"/>
      <c r="F494" s="75"/>
    </row>
    <row r="495" spans="1:6" ht="41.4">
      <c r="A495" s="70"/>
      <c r="B495" s="361" t="s">
        <v>3427</v>
      </c>
      <c r="C495" s="72"/>
      <c r="D495" s="73"/>
      <c r="E495" s="74"/>
      <c r="F495" s="75"/>
    </row>
    <row r="496" spans="1:6">
      <c r="A496" s="70"/>
      <c r="B496" s="361" t="s">
        <v>1680</v>
      </c>
      <c r="C496" s="72"/>
      <c r="D496" s="73"/>
      <c r="E496" s="74"/>
      <c r="F496" s="75"/>
    </row>
    <row r="497" spans="1:6">
      <c r="A497" s="89" t="s">
        <v>48</v>
      </c>
      <c r="B497" s="361" t="s">
        <v>3430</v>
      </c>
      <c r="C497" s="91" t="s">
        <v>675</v>
      </c>
      <c r="D497" s="73">
        <v>17.5</v>
      </c>
      <c r="E497" s="74">
        <v>60</v>
      </c>
      <c r="F497" s="93">
        <f>IF(OR(OR(E497=0,E497=" "),OR(D497=0,D497=" "))," ",D497*E497)</f>
        <v>1050</v>
      </c>
    </row>
    <row r="498" spans="1:6">
      <c r="A498" s="70"/>
      <c r="B498" s="361"/>
      <c r="C498" s="72"/>
      <c r="D498" s="73"/>
      <c r="E498" s="74"/>
      <c r="F498" s="75"/>
    </row>
    <row r="499" spans="1:6">
      <c r="A499" s="87" t="s">
        <v>667</v>
      </c>
      <c r="B499" s="88" t="s">
        <v>740</v>
      </c>
      <c r="C499" s="72"/>
      <c r="D499" s="92"/>
      <c r="E499" s="74"/>
      <c r="F499" s="75"/>
    </row>
    <row r="500" spans="1:6" ht="82.8">
      <c r="A500" s="89" t="s">
        <v>3431</v>
      </c>
      <c r="B500" s="90" t="s">
        <v>1704</v>
      </c>
      <c r="C500" s="91"/>
      <c r="D500" s="73"/>
      <c r="E500" s="74"/>
      <c r="F500" s="94"/>
    </row>
    <row r="501" spans="1:6" ht="69">
      <c r="A501" s="89" t="s">
        <v>48</v>
      </c>
      <c r="B501" s="90" t="s">
        <v>741</v>
      </c>
      <c r="C501" s="91" t="s">
        <v>675</v>
      </c>
      <c r="D501" s="73">
        <v>2400</v>
      </c>
      <c r="E501" s="74">
        <v>1</v>
      </c>
      <c r="F501" s="93">
        <f>IF(OR(OR(E501=0,E501=" "),OR(D501=0,D501=" "))," ",D501*E501)</f>
        <v>2400</v>
      </c>
    </row>
    <row r="502" spans="1:6" ht="41.4">
      <c r="A502" s="89" t="s">
        <v>49</v>
      </c>
      <c r="B502" s="90" t="s">
        <v>742</v>
      </c>
      <c r="C502" s="91" t="s">
        <v>675</v>
      </c>
      <c r="D502" s="73">
        <v>2400</v>
      </c>
      <c r="E502" s="74">
        <v>1</v>
      </c>
      <c r="F502" s="93">
        <f>IF(OR(OR(E502=0,E502=" "),OR(D502=0,D502=" "))," ",D502*E502)</f>
        <v>2400</v>
      </c>
    </row>
    <row r="503" spans="1:6">
      <c r="A503" s="98"/>
      <c r="B503" s="99"/>
      <c r="C503" s="100"/>
      <c r="D503" s="101"/>
      <c r="E503" s="100"/>
      <c r="F503" s="102"/>
    </row>
    <row r="504" spans="1:6">
      <c r="A504" s="103" t="str">
        <f>A393</f>
        <v>A.7.</v>
      </c>
      <c r="B504" s="104" t="str">
        <f>CONCATENATE(B393," ", "UKUPNO:")</f>
        <v>ZIDARSKI RADOVI UKUPNO:</v>
      </c>
      <c r="D504" s="73"/>
      <c r="E504" s="74"/>
      <c r="F504" s="663">
        <f>SUM(F396:F503)</f>
        <v>171727.5</v>
      </c>
    </row>
    <row r="505" spans="1:6">
      <c r="A505" s="103"/>
      <c r="B505" s="104"/>
      <c r="D505" s="73"/>
      <c r="E505" s="74"/>
      <c r="F505" s="105"/>
    </row>
    <row r="506" spans="1:6">
      <c r="A506" s="70"/>
      <c r="B506" s="71"/>
      <c r="C506" s="72"/>
      <c r="D506" s="73"/>
      <c r="E506" s="74"/>
      <c r="F506" s="75"/>
    </row>
    <row r="507" spans="1:6">
      <c r="A507" s="81" t="s">
        <v>1020</v>
      </c>
      <c r="B507" s="82" t="s">
        <v>496</v>
      </c>
      <c r="C507" s="83"/>
      <c r="D507" s="84"/>
      <c r="E507" s="85"/>
      <c r="F507" s="86"/>
    </row>
    <row r="508" spans="1:6">
      <c r="A508" s="70"/>
      <c r="B508" s="71"/>
      <c r="C508" s="72"/>
      <c r="D508" s="73"/>
      <c r="E508" s="74"/>
      <c r="F508" s="75"/>
    </row>
    <row r="509" spans="1:6" ht="69">
      <c r="A509" s="76" t="s">
        <v>665</v>
      </c>
      <c r="B509" s="96" t="s">
        <v>743</v>
      </c>
      <c r="C509" s="78"/>
      <c r="D509" s="73"/>
      <c r="E509" s="74"/>
      <c r="F509" s="79"/>
    </row>
    <row r="510" spans="1:6" ht="69">
      <c r="A510" s="76" t="s">
        <v>665</v>
      </c>
      <c r="B510" s="96" t="s">
        <v>744</v>
      </c>
      <c r="C510" s="78"/>
      <c r="D510" s="73"/>
      <c r="E510" s="74"/>
      <c r="F510" s="79"/>
    </row>
    <row r="511" spans="1:6">
      <c r="A511" s="76"/>
      <c r="B511" s="96"/>
      <c r="C511" s="78"/>
      <c r="D511" s="73"/>
      <c r="E511" s="74"/>
      <c r="F511" s="79"/>
    </row>
    <row r="512" spans="1:6" ht="110.4">
      <c r="A512" s="89" t="s">
        <v>1706</v>
      </c>
      <c r="B512" s="362" t="s">
        <v>5011</v>
      </c>
      <c r="C512" s="72"/>
      <c r="D512" s="73"/>
      <c r="E512" s="74"/>
      <c r="F512" s="75"/>
    </row>
    <row r="513" spans="1:6" ht="138">
      <c r="A513" s="89"/>
      <c r="B513" s="359" t="s">
        <v>5227</v>
      </c>
      <c r="C513" s="72"/>
      <c r="D513" s="73"/>
      <c r="E513" s="74"/>
      <c r="F513" s="75"/>
    </row>
    <row r="514" spans="1:6" ht="55.2">
      <c r="A514" s="89"/>
      <c r="B514" s="359" t="s">
        <v>3194</v>
      </c>
      <c r="C514" s="72"/>
      <c r="D514" s="73"/>
      <c r="E514" s="74"/>
      <c r="F514" s="75"/>
    </row>
    <row r="515" spans="1:6" ht="69">
      <c r="A515" s="89"/>
      <c r="B515" s="359" t="s">
        <v>3193</v>
      </c>
      <c r="C515" s="72"/>
      <c r="D515" s="73"/>
      <c r="E515" s="74"/>
      <c r="F515" s="75"/>
    </row>
    <row r="516" spans="1:6">
      <c r="A516" s="89"/>
      <c r="B516" s="359" t="s">
        <v>1692</v>
      </c>
      <c r="C516" s="72"/>
      <c r="D516" s="73"/>
      <c r="E516" s="74"/>
      <c r="F516" s="75"/>
    </row>
    <row r="517" spans="1:6" ht="96.6">
      <c r="A517" s="89"/>
      <c r="B517" s="359" t="s">
        <v>5002</v>
      </c>
      <c r="C517" s="72"/>
      <c r="D517" s="73"/>
      <c r="E517" s="74"/>
      <c r="F517" s="75"/>
    </row>
    <row r="518" spans="1:6" ht="138">
      <c r="A518" s="89"/>
      <c r="B518" s="359" t="s">
        <v>5003</v>
      </c>
      <c r="C518" s="72"/>
      <c r="D518" s="73"/>
      <c r="E518" s="74"/>
      <c r="F518" s="75"/>
    </row>
    <row r="519" spans="1:6" ht="138">
      <c r="A519" s="89"/>
      <c r="B519" s="359" t="s">
        <v>5004</v>
      </c>
      <c r="C519" s="72"/>
      <c r="D519" s="73"/>
      <c r="E519" s="74"/>
      <c r="F519" s="75"/>
    </row>
    <row r="520" spans="1:6" ht="55.2">
      <c r="A520" s="89"/>
      <c r="B520" s="359" t="s">
        <v>3346</v>
      </c>
      <c r="C520" s="72"/>
      <c r="D520" s="73"/>
      <c r="E520" s="74"/>
      <c r="F520" s="75"/>
    </row>
    <row r="521" spans="1:6" ht="69">
      <c r="A521" s="89"/>
      <c r="B521" s="359" t="s">
        <v>5005</v>
      </c>
      <c r="C521" s="72"/>
      <c r="D521" s="73"/>
      <c r="E521" s="74"/>
      <c r="F521" s="75"/>
    </row>
    <row r="522" spans="1:6" ht="82.8">
      <c r="A522" s="89"/>
      <c r="B522" s="359" t="s">
        <v>5006</v>
      </c>
      <c r="C522" s="72"/>
      <c r="D522" s="73"/>
      <c r="E522" s="74"/>
      <c r="F522" s="75"/>
    </row>
    <row r="523" spans="1:6" ht="82.8">
      <c r="A523" s="89"/>
      <c r="B523" s="95" t="s">
        <v>5007</v>
      </c>
      <c r="C523" s="72"/>
      <c r="D523" s="73"/>
      <c r="E523" s="74"/>
      <c r="F523" s="75"/>
    </row>
    <row r="524" spans="1:6" ht="110.4">
      <c r="A524" s="89"/>
      <c r="B524" s="95" t="s">
        <v>5008</v>
      </c>
      <c r="C524" s="72"/>
      <c r="D524" s="73"/>
      <c r="E524" s="74"/>
      <c r="F524" s="75"/>
    </row>
    <row r="525" spans="1:6" ht="193.2">
      <c r="A525" s="89"/>
      <c r="B525" s="95" t="s">
        <v>5009</v>
      </c>
      <c r="C525" s="72"/>
      <c r="D525" s="73"/>
      <c r="E525" s="74"/>
      <c r="F525" s="75"/>
    </row>
    <row r="526" spans="1:6" ht="41.4">
      <c r="A526" s="89"/>
      <c r="B526" s="359" t="s">
        <v>3345</v>
      </c>
      <c r="C526" s="72"/>
      <c r="D526" s="73"/>
      <c r="E526" s="74"/>
      <c r="F526" s="75"/>
    </row>
    <row r="527" spans="1:6" ht="138">
      <c r="A527" s="89"/>
      <c r="B527" s="95" t="s">
        <v>3344</v>
      </c>
      <c r="C527" s="72"/>
      <c r="D527" s="73"/>
      <c r="E527" s="74"/>
      <c r="F527" s="75"/>
    </row>
    <row r="528" spans="1:6">
      <c r="A528" s="89"/>
      <c r="B528" s="369" t="s">
        <v>1687</v>
      </c>
      <c r="C528" s="72"/>
      <c r="D528" s="73"/>
      <c r="E528" s="74"/>
      <c r="F528" s="75"/>
    </row>
    <row r="529" spans="1:8">
      <c r="A529" s="89"/>
      <c r="B529" s="71" t="s">
        <v>769</v>
      </c>
      <c r="C529" s="72"/>
      <c r="D529" s="73"/>
      <c r="E529" s="74"/>
      <c r="F529" s="75"/>
    </row>
    <row r="530" spans="1:8" ht="27.6">
      <c r="A530" s="89"/>
      <c r="B530" s="71" t="s">
        <v>1693</v>
      </c>
      <c r="C530" s="72"/>
      <c r="D530" s="73"/>
      <c r="E530" s="74"/>
      <c r="F530" s="75"/>
    </row>
    <row r="531" spans="1:8" ht="27.6">
      <c r="A531" s="89" t="s">
        <v>48</v>
      </c>
      <c r="B531" s="71" t="s">
        <v>4949</v>
      </c>
      <c r="C531" s="91" t="s">
        <v>675</v>
      </c>
      <c r="D531" s="73">
        <v>355</v>
      </c>
      <c r="E531" s="74">
        <v>73</v>
      </c>
      <c r="F531" s="93">
        <f t="shared" ref="F531:F537" si="2">IF(OR(OR(E531=0,E531=" "),OR(D531=0,D531=" "))," ",D531*E531)</f>
        <v>25915</v>
      </c>
    </row>
    <row r="532" spans="1:8" ht="27.6">
      <c r="A532" s="89" t="s">
        <v>49</v>
      </c>
      <c r="B532" s="71" t="s">
        <v>4950</v>
      </c>
      <c r="C532" s="91" t="s">
        <v>675</v>
      </c>
      <c r="D532" s="73">
        <v>768</v>
      </c>
      <c r="E532" s="74">
        <v>68</v>
      </c>
      <c r="F532" s="93">
        <f t="shared" si="2"/>
        <v>52224</v>
      </c>
    </row>
    <row r="533" spans="1:8" ht="27.6">
      <c r="A533" s="89" t="s">
        <v>51</v>
      </c>
      <c r="B533" s="71" t="s">
        <v>4957</v>
      </c>
      <c r="C533" s="91" t="s">
        <v>675</v>
      </c>
      <c r="D533" s="73">
        <v>45</v>
      </c>
      <c r="E533" s="74">
        <v>65</v>
      </c>
      <c r="F533" s="93">
        <f t="shared" si="2"/>
        <v>2925</v>
      </c>
      <c r="H533" s="70"/>
    </row>
    <row r="534" spans="1:8" ht="27.6">
      <c r="A534" s="89" t="s">
        <v>53</v>
      </c>
      <c r="B534" s="71" t="s">
        <v>4958</v>
      </c>
      <c r="C534" s="91" t="s">
        <v>675</v>
      </c>
      <c r="D534" s="73">
        <v>20</v>
      </c>
      <c r="E534" s="74">
        <v>65</v>
      </c>
      <c r="F534" s="93">
        <f t="shared" ref="F534" si="3">IF(OR(OR(E534=0,E534=" "),OR(D534=0,D534=" "))," ",D534*E534)</f>
        <v>1300</v>
      </c>
      <c r="H534" s="70"/>
    </row>
    <row r="535" spans="1:8" ht="27.6">
      <c r="A535" s="89" t="s">
        <v>698</v>
      </c>
      <c r="B535" s="71" t="s">
        <v>4954</v>
      </c>
      <c r="C535" s="91" t="s">
        <v>675</v>
      </c>
      <c r="D535" s="73">
        <v>3</v>
      </c>
      <c r="E535" s="74">
        <v>100</v>
      </c>
      <c r="F535" s="93">
        <f t="shared" si="2"/>
        <v>300</v>
      </c>
    </row>
    <row r="536" spans="1:8" ht="41.4">
      <c r="A536" s="89" t="s">
        <v>699</v>
      </c>
      <c r="B536" s="71" t="s">
        <v>4951</v>
      </c>
      <c r="C536" s="91" t="s">
        <v>675</v>
      </c>
      <c r="D536" s="73">
        <v>324</v>
      </c>
      <c r="E536" s="74">
        <v>60</v>
      </c>
      <c r="F536" s="93">
        <f t="shared" si="2"/>
        <v>19440</v>
      </c>
    </row>
    <row r="537" spans="1:8" ht="41.4">
      <c r="A537" s="89" t="s">
        <v>699</v>
      </c>
      <c r="B537" s="71" t="s">
        <v>4952</v>
      </c>
      <c r="C537" s="91" t="s">
        <v>675</v>
      </c>
      <c r="D537" s="73">
        <v>95</v>
      </c>
      <c r="E537" s="74">
        <v>60</v>
      </c>
      <c r="F537" s="93">
        <f t="shared" si="2"/>
        <v>5700</v>
      </c>
    </row>
    <row r="538" spans="1:8" ht="41.4">
      <c r="A538" s="89" t="s">
        <v>745</v>
      </c>
      <c r="B538" s="71" t="s">
        <v>4953</v>
      </c>
      <c r="C538" s="91" t="s">
        <v>675</v>
      </c>
      <c r="D538" s="73">
        <v>82</v>
      </c>
      <c r="E538" s="74">
        <v>60</v>
      </c>
      <c r="F538" s="93">
        <f t="shared" ref="F538" si="4">IF(OR(OR(E538=0,E538=" "),OR(D538=0,D538=" "))," ",D538*E538)</f>
        <v>4920</v>
      </c>
    </row>
    <row r="539" spans="1:8">
      <c r="A539" s="89"/>
      <c r="B539" s="71"/>
      <c r="C539" s="91"/>
      <c r="D539" s="73"/>
      <c r="E539" s="74"/>
      <c r="F539" s="93"/>
    </row>
    <row r="540" spans="1:8" ht="138">
      <c r="A540" s="89" t="s">
        <v>4105</v>
      </c>
      <c r="B540" s="362" t="s">
        <v>5010</v>
      </c>
      <c r="C540" s="72"/>
      <c r="D540" s="73"/>
      <c r="E540" s="74"/>
      <c r="F540" s="75"/>
    </row>
    <row r="541" spans="1:8" ht="138">
      <c r="A541" s="89"/>
      <c r="B541" s="359" t="s">
        <v>5228</v>
      </c>
      <c r="C541" s="72"/>
      <c r="D541" s="73"/>
      <c r="E541" s="74"/>
      <c r="F541" s="75"/>
    </row>
    <row r="542" spans="1:8" ht="82.8">
      <c r="A542" s="89"/>
      <c r="B542" s="359" t="s">
        <v>5229</v>
      </c>
      <c r="C542" s="72"/>
      <c r="D542" s="73"/>
      <c r="E542" s="74"/>
      <c r="F542" s="75"/>
    </row>
    <row r="543" spans="1:8" ht="69">
      <c r="A543" s="89"/>
      <c r="B543" s="359" t="s">
        <v>4106</v>
      </c>
      <c r="C543" s="72"/>
      <c r="D543" s="73"/>
      <c r="E543" s="74"/>
      <c r="F543" s="75"/>
    </row>
    <row r="544" spans="1:8" ht="69">
      <c r="A544" s="89"/>
      <c r="B544" s="359" t="s">
        <v>3193</v>
      </c>
      <c r="C544" s="72"/>
      <c r="D544" s="73"/>
      <c r="E544" s="74"/>
      <c r="F544" s="75"/>
    </row>
    <row r="545" spans="1:6">
      <c r="A545" s="89"/>
      <c r="B545" s="359" t="s">
        <v>1692</v>
      </c>
      <c r="C545" s="72"/>
      <c r="D545" s="73"/>
      <c r="E545" s="74"/>
      <c r="F545" s="75"/>
    </row>
    <row r="546" spans="1:6" ht="69">
      <c r="A546" s="89"/>
      <c r="B546" s="373" t="s">
        <v>4107</v>
      </c>
      <c r="C546" s="72"/>
      <c r="D546" s="73"/>
      <c r="E546" s="74"/>
      <c r="F546" s="75"/>
    </row>
    <row r="547" spans="1:6" ht="138">
      <c r="A547" s="89"/>
      <c r="B547" s="359" t="s">
        <v>5004</v>
      </c>
      <c r="C547" s="72"/>
      <c r="D547" s="73"/>
      <c r="E547" s="74"/>
      <c r="F547" s="75"/>
    </row>
    <row r="548" spans="1:6" ht="55.2">
      <c r="A548" s="89"/>
      <c r="B548" s="359" t="s">
        <v>3346</v>
      </c>
      <c r="C548" s="72"/>
      <c r="D548" s="73"/>
      <c r="E548" s="74"/>
      <c r="F548" s="75"/>
    </row>
    <row r="549" spans="1:6" ht="69">
      <c r="A549" s="89"/>
      <c r="B549" s="359" t="s">
        <v>5005</v>
      </c>
      <c r="C549" s="72"/>
      <c r="D549" s="73"/>
      <c r="E549" s="74"/>
      <c r="F549" s="75"/>
    </row>
    <row r="550" spans="1:6" ht="82.8">
      <c r="A550" s="89"/>
      <c r="B550" s="359" t="s">
        <v>5006</v>
      </c>
      <c r="C550" s="72"/>
      <c r="D550" s="73"/>
      <c r="E550" s="74"/>
      <c r="F550" s="75"/>
    </row>
    <row r="551" spans="1:6" ht="82.8">
      <c r="A551" s="89"/>
      <c r="B551" s="95" t="s">
        <v>5007</v>
      </c>
      <c r="C551" s="72"/>
      <c r="D551" s="73"/>
      <c r="E551" s="74"/>
      <c r="F551" s="75"/>
    </row>
    <row r="552" spans="1:6" ht="110.4">
      <c r="A552" s="89"/>
      <c r="B552" s="95" t="s">
        <v>5008</v>
      </c>
      <c r="C552" s="72"/>
      <c r="D552" s="73"/>
      <c r="E552" s="74"/>
      <c r="F552" s="75"/>
    </row>
    <row r="553" spans="1:6" ht="193.2">
      <c r="A553" s="89"/>
      <c r="B553" s="95" t="s">
        <v>5009</v>
      </c>
      <c r="C553" s="72"/>
      <c r="D553" s="73"/>
      <c r="E553" s="74"/>
      <c r="F553" s="75"/>
    </row>
    <row r="554" spans="1:6" ht="55.2">
      <c r="A554" s="89"/>
      <c r="B554" s="90" t="s">
        <v>4108</v>
      </c>
      <c r="C554" s="72"/>
      <c r="D554" s="73"/>
      <c r="E554" s="74"/>
      <c r="F554" s="75"/>
    </row>
    <row r="555" spans="1:6" ht="41.4">
      <c r="A555" s="89"/>
      <c r="B555" s="359" t="s">
        <v>3345</v>
      </c>
      <c r="C555" s="72"/>
      <c r="D555" s="73"/>
      <c r="E555" s="74"/>
      <c r="F555" s="75"/>
    </row>
    <row r="556" spans="1:6" ht="138">
      <c r="A556" s="89"/>
      <c r="B556" s="95" t="s">
        <v>3344</v>
      </c>
      <c r="C556" s="72"/>
      <c r="D556" s="73"/>
      <c r="E556" s="74"/>
      <c r="F556" s="75"/>
    </row>
    <row r="557" spans="1:6">
      <c r="A557" s="89"/>
      <c r="B557" s="71" t="s">
        <v>769</v>
      </c>
      <c r="C557" s="72"/>
      <c r="D557" s="73"/>
      <c r="E557" s="74"/>
      <c r="F557" s="75"/>
    </row>
    <row r="558" spans="1:6" ht="27.6">
      <c r="A558" s="89"/>
      <c r="B558" s="71" t="s">
        <v>1693</v>
      </c>
      <c r="C558" s="72"/>
      <c r="D558" s="73"/>
      <c r="E558" s="74"/>
      <c r="F558" s="75"/>
    </row>
    <row r="559" spans="1:6" ht="41.4">
      <c r="A559" s="89" t="s">
        <v>48</v>
      </c>
      <c r="B559" s="71" t="s">
        <v>4955</v>
      </c>
      <c r="C559" s="91" t="s">
        <v>675</v>
      </c>
      <c r="D559" s="73">
        <v>16.2</v>
      </c>
      <c r="E559" s="74">
        <v>70</v>
      </c>
      <c r="F559" s="93">
        <f>IF(OR(OR(E559=0,E559=" "),OR(D559=0,D559=" "))," ",D559*E559)</f>
        <v>1134</v>
      </c>
    </row>
    <row r="560" spans="1:6" ht="41.4">
      <c r="A560" s="89" t="s">
        <v>49</v>
      </c>
      <c r="B560" s="71" t="s">
        <v>4956</v>
      </c>
      <c r="C560" s="91" t="s">
        <v>675</v>
      </c>
      <c r="D560" s="73">
        <v>54.1</v>
      </c>
      <c r="E560" s="74">
        <v>65</v>
      </c>
      <c r="F560" s="93">
        <f t="shared" ref="F560:F561" si="5">IF(OR(OR(E560=0,E560=" "),OR(D560=0,D560=" "))," ",D560*E560)</f>
        <v>3516.5</v>
      </c>
    </row>
    <row r="561" spans="1:6" ht="41.4">
      <c r="A561" s="89" t="s">
        <v>51</v>
      </c>
      <c r="B561" s="71" t="s">
        <v>4960</v>
      </c>
      <c r="C561" s="91" t="s">
        <v>675</v>
      </c>
      <c r="D561" s="73">
        <v>4</v>
      </c>
      <c r="E561" s="74">
        <v>60</v>
      </c>
      <c r="F561" s="93">
        <f t="shared" si="5"/>
        <v>240</v>
      </c>
    </row>
    <row r="562" spans="1:6" ht="41.4">
      <c r="A562" s="89" t="s">
        <v>53</v>
      </c>
      <c r="B562" s="71" t="s">
        <v>4961</v>
      </c>
      <c r="C562" s="91" t="s">
        <v>675</v>
      </c>
      <c r="D562" s="73">
        <v>1.6</v>
      </c>
      <c r="E562" s="74">
        <v>100</v>
      </c>
      <c r="F562" s="93">
        <f t="shared" ref="F562" si="6">IF(OR(OR(E562=0,E562=" "),OR(D562=0,D562=" "))," ",D562*E562)</f>
        <v>160</v>
      </c>
    </row>
    <row r="563" spans="1:6" ht="27.6">
      <c r="A563" s="89" t="s">
        <v>698</v>
      </c>
      <c r="B563" s="71" t="s">
        <v>4959</v>
      </c>
      <c r="C563" s="91" t="s">
        <v>675</v>
      </c>
      <c r="D563" s="73">
        <v>0.3</v>
      </c>
      <c r="E563" s="74">
        <v>200</v>
      </c>
      <c r="F563" s="93">
        <f t="shared" ref="F563" si="7">IF(OR(OR(E563=0,E563=" "),OR(D563=0,D563=" "))," ",D563*E563)</f>
        <v>60</v>
      </c>
    </row>
    <row r="564" spans="1:6">
      <c r="A564" s="89"/>
      <c r="B564" s="71"/>
      <c r="C564" s="91"/>
      <c r="D564" s="73"/>
      <c r="E564" s="74"/>
      <c r="F564" s="93"/>
    </row>
    <row r="565" spans="1:6" ht="151.80000000000001">
      <c r="A565" s="89" t="s">
        <v>1681</v>
      </c>
      <c r="B565" s="90" t="s">
        <v>5012</v>
      </c>
      <c r="C565" s="91"/>
      <c r="D565" s="73"/>
      <c r="E565" s="74"/>
      <c r="F565" s="93"/>
    </row>
    <row r="566" spans="1:6" ht="55.2">
      <c r="A566" s="89"/>
      <c r="B566" s="359" t="s">
        <v>3194</v>
      </c>
      <c r="C566" s="91"/>
      <c r="D566" s="73"/>
      <c r="E566" s="74"/>
      <c r="F566" s="93"/>
    </row>
    <row r="567" spans="1:6" ht="69">
      <c r="A567" s="89"/>
      <c r="B567" s="359" t="s">
        <v>3193</v>
      </c>
      <c r="C567" s="91"/>
      <c r="D567" s="73"/>
      <c r="E567" s="74"/>
      <c r="F567" s="93"/>
    </row>
    <row r="568" spans="1:6" ht="41.4">
      <c r="A568" s="89"/>
      <c r="B568" s="359" t="s">
        <v>5013</v>
      </c>
      <c r="C568" s="91"/>
      <c r="D568" s="73"/>
      <c r="E568" s="74"/>
      <c r="F568" s="93"/>
    </row>
    <row r="569" spans="1:6" ht="110.4">
      <c r="A569" s="89"/>
      <c r="B569" s="359" t="s">
        <v>5014</v>
      </c>
      <c r="C569" s="91"/>
      <c r="D569" s="73"/>
      <c r="E569" s="74"/>
      <c r="F569" s="93"/>
    </row>
    <row r="570" spans="1:6" ht="55.2">
      <c r="A570" s="89"/>
      <c r="B570" s="359" t="s">
        <v>3346</v>
      </c>
      <c r="C570" s="91"/>
      <c r="D570" s="73"/>
      <c r="E570" s="74"/>
      <c r="F570" s="93"/>
    </row>
    <row r="571" spans="1:6" ht="82.8">
      <c r="A571" s="89"/>
      <c r="B571" s="359" t="s">
        <v>5006</v>
      </c>
      <c r="C571" s="91"/>
      <c r="D571" s="73"/>
      <c r="E571" s="74"/>
      <c r="F571" s="93"/>
    </row>
    <row r="572" spans="1:6" ht="82.8">
      <c r="A572" s="89"/>
      <c r="B572" s="95" t="s">
        <v>5007</v>
      </c>
      <c r="C572" s="91"/>
      <c r="D572" s="73"/>
      <c r="E572" s="74"/>
      <c r="F572" s="93"/>
    </row>
    <row r="573" spans="1:6" ht="110.4">
      <c r="A573" s="89"/>
      <c r="B573" s="95" t="s">
        <v>5008</v>
      </c>
      <c r="C573" s="91"/>
      <c r="D573" s="73"/>
      <c r="E573" s="74"/>
      <c r="F573" s="93"/>
    </row>
    <row r="574" spans="1:6" ht="193.2">
      <c r="A574" s="89"/>
      <c r="B574" s="95" t="s">
        <v>5009</v>
      </c>
      <c r="C574" s="91"/>
      <c r="D574" s="73"/>
      <c r="E574" s="74"/>
      <c r="F574" s="93"/>
    </row>
    <row r="575" spans="1:6" ht="41.4">
      <c r="A575" s="89"/>
      <c r="B575" s="359" t="s">
        <v>3345</v>
      </c>
      <c r="C575" s="91"/>
      <c r="D575" s="73"/>
      <c r="E575" s="74"/>
      <c r="F575" s="93"/>
    </row>
    <row r="576" spans="1:6" ht="138">
      <c r="A576" s="89"/>
      <c r="B576" s="95" t="s">
        <v>3344</v>
      </c>
      <c r="C576" s="91"/>
      <c r="D576" s="73"/>
      <c r="E576" s="74"/>
      <c r="F576" s="93"/>
    </row>
    <row r="577" spans="1:7">
      <c r="A577" s="89"/>
      <c r="B577" s="369" t="s">
        <v>1687</v>
      </c>
      <c r="C577" s="91"/>
      <c r="D577" s="73"/>
      <c r="E577" s="74"/>
      <c r="F577" s="93"/>
    </row>
    <row r="578" spans="1:7">
      <c r="A578" s="76" t="s">
        <v>665</v>
      </c>
      <c r="B578" s="71" t="s">
        <v>769</v>
      </c>
      <c r="C578" s="78"/>
      <c r="D578" s="73"/>
      <c r="E578" s="74"/>
      <c r="F578" s="93"/>
    </row>
    <row r="579" spans="1:7" ht="27.6">
      <c r="A579" s="76"/>
      <c r="B579" s="71" t="s">
        <v>1693</v>
      </c>
      <c r="C579" s="78"/>
      <c r="D579" s="73"/>
      <c r="E579" s="74"/>
      <c r="F579" s="93"/>
    </row>
    <row r="580" spans="1:7" ht="41.4">
      <c r="A580" s="89" t="s">
        <v>48</v>
      </c>
      <c r="B580" s="90" t="s">
        <v>5015</v>
      </c>
      <c r="C580" s="91" t="s">
        <v>675</v>
      </c>
      <c r="D580" s="73">
        <v>129</v>
      </c>
      <c r="E580" s="74">
        <v>20</v>
      </c>
      <c r="F580" s="93">
        <f>IF(OR(OR(E580=0,E580=" "),OR(D580=0,D580=" "))," ",D580*E580)</f>
        <v>2580</v>
      </c>
    </row>
    <row r="581" spans="1:7" ht="41.4">
      <c r="A581" s="89" t="s">
        <v>49</v>
      </c>
      <c r="B581" s="90" t="s">
        <v>5016</v>
      </c>
      <c r="C581" s="91" t="s">
        <v>675</v>
      </c>
      <c r="D581" s="73">
        <v>1.5</v>
      </c>
      <c r="E581" s="74">
        <v>50</v>
      </c>
      <c r="F581" s="93">
        <f t="shared" ref="F581" si="8">IF(OR(OR(E581=0,E581=" "),OR(D581=0,D581=" "))," ",D581*E581)</f>
        <v>75</v>
      </c>
    </row>
    <row r="582" spans="1:7" ht="55.2">
      <c r="A582" s="89" t="s">
        <v>51</v>
      </c>
      <c r="B582" s="90" t="s">
        <v>4962</v>
      </c>
      <c r="C582" s="91" t="s">
        <v>675</v>
      </c>
      <c r="D582" s="73">
        <v>357</v>
      </c>
      <c r="E582" s="74">
        <v>20</v>
      </c>
      <c r="F582" s="93">
        <f t="shared" ref="F582:F583" si="9">IF(OR(OR(E582=0,E582=" "),OR(D582=0,D582=" "))," ",D582*E582)</f>
        <v>7140</v>
      </c>
    </row>
    <row r="583" spans="1:7" ht="41.4">
      <c r="A583" s="89" t="s">
        <v>53</v>
      </c>
      <c r="B583" s="90" t="s">
        <v>5017</v>
      </c>
      <c r="C583" s="91" t="s">
        <v>675</v>
      </c>
      <c r="D583" s="73">
        <v>32</v>
      </c>
      <c r="E583" s="74">
        <v>20</v>
      </c>
      <c r="F583" s="93">
        <f t="shared" si="9"/>
        <v>640</v>
      </c>
      <c r="G583" s="73"/>
    </row>
    <row r="584" spans="1:7">
      <c r="A584" s="89"/>
      <c r="B584" s="90"/>
      <c r="C584" s="91"/>
      <c r="D584" s="73"/>
      <c r="E584" s="74"/>
      <c r="F584" s="93"/>
    </row>
    <row r="585" spans="1:7" ht="151.80000000000001">
      <c r="A585" s="89" t="s">
        <v>1683</v>
      </c>
      <c r="B585" s="90" t="s">
        <v>5018</v>
      </c>
      <c r="C585" s="91"/>
      <c r="D585" s="73"/>
      <c r="E585" s="74"/>
      <c r="F585" s="93"/>
    </row>
    <row r="586" spans="1:7" ht="55.2">
      <c r="A586" s="89"/>
      <c r="B586" s="359" t="s">
        <v>3194</v>
      </c>
      <c r="C586" s="91"/>
      <c r="D586" s="73"/>
      <c r="E586" s="74"/>
      <c r="F586" s="93"/>
    </row>
    <row r="587" spans="1:7" ht="69">
      <c r="A587" s="89"/>
      <c r="B587" s="359" t="s">
        <v>3193</v>
      </c>
      <c r="C587" s="91"/>
      <c r="D587" s="73"/>
      <c r="E587" s="74"/>
      <c r="F587" s="93"/>
    </row>
    <row r="588" spans="1:7" ht="41.4">
      <c r="A588" s="89"/>
      <c r="B588" s="359" t="s">
        <v>5013</v>
      </c>
      <c r="C588" s="91"/>
      <c r="D588" s="73"/>
      <c r="E588" s="74"/>
      <c r="F588" s="93"/>
    </row>
    <row r="589" spans="1:7" ht="110.4">
      <c r="A589" s="89"/>
      <c r="B589" s="359" t="s">
        <v>5014</v>
      </c>
      <c r="C589" s="91"/>
      <c r="D589" s="73"/>
      <c r="E589" s="74"/>
      <c r="F589" s="93"/>
    </row>
    <row r="590" spans="1:7" ht="55.2">
      <c r="A590" s="89"/>
      <c r="B590" s="359" t="s">
        <v>3346</v>
      </c>
      <c r="C590" s="91"/>
      <c r="D590" s="73"/>
      <c r="E590" s="74"/>
      <c r="F590" s="93"/>
    </row>
    <row r="591" spans="1:7" ht="82.8">
      <c r="A591" s="89"/>
      <c r="B591" s="359" t="s">
        <v>5006</v>
      </c>
      <c r="C591" s="91"/>
      <c r="D591" s="73"/>
      <c r="E591" s="74"/>
      <c r="F591" s="93"/>
    </row>
    <row r="592" spans="1:7" ht="82.8">
      <c r="A592" s="89"/>
      <c r="B592" s="95" t="s">
        <v>5007</v>
      </c>
      <c r="C592" s="91"/>
      <c r="D592" s="73"/>
      <c r="E592" s="74"/>
      <c r="F592" s="93"/>
    </row>
    <row r="593" spans="1:6" ht="110.4">
      <c r="A593" s="89"/>
      <c r="B593" s="95" t="s">
        <v>5008</v>
      </c>
      <c r="C593" s="91"/>
      <c r="D593" s="73"/>
      <c r="E593" s="74"/>
      <c r="F593" s="93"/>
    </row>
    <row r="594" spans="1:6" ht="193.2">
      <c r="A594" s="89"/>
      <c r="B594" s="95" t="s">
        <v>5009</v>
      </c>
      <c r="C594" s="91"/>
      <c r="D594" s="73"/>
      <c r="E594" s="74"/>
      <c r="F594" s="93"/>
    </row>
    <row r="595" spans="1:6" ht="55.2">
      <c r="A595" s="89"/>
      <c r="B595" s="90" t="s">
        <v>4108</v>
      </c>
      <c r="C595" s="91"/>
      <c r="D595" s="73"/>
      <c r="E595" s="74"/>
      <c r="F595" s="93"/>
    </row>
    <row r="596" spans="1:6" ht="41.4">
      <c r="A596" s="89"/>
      <c r="B596" s="359" t="s">
        <v>3345</v>
      </c>
      <c r="C596" s="91"/>
      <c r="D596" s="73"/>
      <c r="E596" s="74"/>
      <c r="F596" s="93"/>
    </row>
    <row r="597" spans="1:6" ht="138">
      <c r="A597" s="89"/>
      <c r="B597" s="95" t="s">
        <v>3344</v>
      </c>
      <c r="C597" s="91"/>
      <c r="D597" s="73"/>
      <c r="E597" s="74"/>
      <c r="F597" s="93"/>
    </row>
    <row r="598" spans="1:6">
      <c r="A598" s="89"/>
      <c r="B598" s="71" t="s">
        <v>769</v>
      </c>
      <c r="C598" s="91"/>
      <c r="D598" s="73"/>
      <c r="E598" s="74"/>
      <c r="F598" s="93"/>
    </row>
    <row r="599" spans="1:6" ht="27.6">
      <c r="A599" s="89"/>
      <c r="B599" s="71" t="s">
        <v>1693</v>
      </c>
      <c r="C599" s="91"/>
      <c r="D599" s="73"/>
      <c r="E599" s="74"/>
      <c r="F599" s="93"/>
    </row>
    <row r="600" spans="1:6" ht="55.2">
      <c r="A600" s="89" t="s">
        <v>48</v>
      </c>
      <c r="B600" s="90" t="s">
        <v>4964</v>
      </c>
      <c r="C600" s="91" t="s">
        <v>675</v>
      </c>
      <c r="D600" s="73">
        <v>13.6</v>
      </c>
      <c r="E600" s="74">
        <v>50</v>
      </c>
      <c r="F600" s="93">
        <f t="shared" ref="F600:F601" si="10">IF(OR(OR(E600=0,E600=" "),OR(D600=0,D600=" "))," ",D600*E600)</f>
        <v>680</v>
      </c>
    </row>
    <row r="601" spans="1:6" ht="55.2">
      <c r="A601" s="89" t="s">
        <v>49</v>
      </c>
      <c r="B601" s="90" t="s">
        <v>4963</v>
      </c>
      <c r="C601" s="91" t="s">
        <v>675</v>
      </c>
      <c r="D601" s="73">
        <v>0.2</v>
      </c>
      <c r="E601" s="74">
        <v>500</v>
      </c>
      <c r="F601" s="93">
        <f t="shared" si="10"/>
        <v>100</v>
      </c>
    </row>
    <row r="602" spans="1:6">
      <c r="A602" s="98"/>
      <c r="B602" s="99"/>
      <c r="C602" s="100"/>
      <c r="D602" s="101"/>
      <c r="E602" s="100"/>
      <c r="F602" s="102"/>
    </row>
    <row r="603" spans="1:6">
      <c r="A603" s="103" t="str">
        <f>A507</f>
        <v>A.8.</v>
      </c>
      <c r="B603" s="104" t="str">
        <f>CONCATENATE(B507," ", "UKUPNO:")</f>
        <v>FASADERSKI RADOVI UKUPNO:</v>
      </c>
      <c r="D603" s="73"/>
      <c r="E603" s="74"/>
      <c r="F603" s="663">
        <f>SUM(F512:F602)</f>
        <v>129049.5</v>
      </c>
    </row>
    <row r="604" spans="1:6">
      <c r="A604" s="106"/>
      <c r="B604" s="107"/>
      <c r="C604" s="72"/>
      <c r="D604" s="73"/>
      <c r="E604" s="74"/>
      <c r="F604" s="108"/>
    </row>
    <row r="605" spans="1:6">
      <c r="A605" s="70"/>
      <c r="B605" s="71"/>
      <c r="C605" s="72"/>
      <c r="D605" s="73"/>
      <c r="E605" s="74"/>
      <c r="F605" s="75"/>
    </row>
    <row r="606" spans="1:6">
      <c r="A606" s="81" t="s">
        <v>1021</v>
      </c>
      <c r="B606" s="82" t="s">
        <v>367</v>
      </c>
      <c r="C606" s="83"/>
      <c r="D606" s="84"/>
      <c r="E606" s="85"/>
      <c r="F606" s="86"/>
    </row>
    <row r="607" spans="1:6">
      <c r="A607" s="70"/>
      <c r="B607" s="71"/>
      <c r="C607" s="72"/>
      <c r="D607" s="73"/>
      <c r="E607" s="74"/>
      <c r="F607" s="75"/>
    </row>
    <row r="608" spans="1:6">
      <c r="A608" s="87" t="s">
        <v>667</v>
      </c>
      <c r="B608" s="88" t="s">
        <v>747</v>
      </c>
      <c r="C608" s="72"/>
      <c r="D608" s="92"/>
      <c r="E608" s="74"/>
      <c r="F608" s="75"/>
    </row>
    <row r="609" spans="1:7" ht="41.4">
      <c r="A609" s="89" t="s">
        <v>1713</v>
      </c>
      <c r="B609" s="361" t="s">
        <v>1707</v>
      </c>
      <c r="C609" s="91"/>
      <c r="D609" s="73"/>
      <c r="E609" s="74"/>
      <c r="F609" s="94"/>
    </row>
    <row r="610" spans="1:7" ht="27.6">
      <c r="A610" s="89"/>
      <c r="B610" s="361" t="s">
        <v>1708</v>
      </c>
      <c r="C610" s="91"/>
      <c r="D610" s="73"/>
      <c r="E610" s="74"/>
      <c r="F610" s="94"/>
    </row>
    <row r="611" spans="1:7" ht="55.2">
      <c r="A611" s="89"/>
      <c r="B611" s="361" t="s">
        <v>5230</v>
      </c>
      <c r="C611" s="91"/>
      <c r="D611" s="73"/>
      <c r="E611" s="74"/>
      <c r="F611" s="94"/>
    </row>
    <row r="612" spans="1:7" ht="69">
      <c r="A612" s="89"/>
      <c r="B612" s="361" t="s">
        <v>5232</v>
      </c>
      <c r="C612" s="91"/>
      <c r="D612" s="73"/>
      <c r="E612" s="74"/>
      <c r="F612" s="94"/>
    </row>
    <row r="613" spans="1:7" ht="55.2">
      <c r="A613" s="89"/>
      <c r="B613" s="361" t="s">
        <v>5231</v>
      </c>
      <c r="C613" s="91"/>
      <c r="D613" s="73"/>
      <c r="E613" s="74"/>
      <c r="F613" s="94"/>
    </row>
    <row r="614" spans="1:7">
      <c r="A614" s="89"/>
      <c r="B614" s="361" t="s">
        <v>1597</v>
      </c>
      <c r="C614" s="91"/>
      <c r="D614" s="73"/>
      <c r="E614" s="74"/>
      <c r="F614" s="94"/>
    </row>
    <row r="615" spans="1:7">
      <c r="A615" s="89"/>
      <c r="B615" s="361" t="s">
        <v>1709</v>
      </c>
      <c r="C615" s="91"/>
      <c r="D615" s="73"/>
      <c r="E615" s="74"/>
      <c r="F615" s="94"/>
    </row>
    <row r="616" spans="1:7" ht="55.2">
      <c r="A616" s="89"/>
      <c r="B616" s="361" t="s">
        <v>1710</v>
      </c>
      <c r="C616" s="91"/>
      <c r="D616" s="73"/>
      <c r="E616" s="74"/>
      <c r="F616" s="94"/>
    </row>
    <row r="617" spans="1:7" ht="41.4">
      <c r="A617" s="89"/>
      <c r="B617" s="90" t="s">
        <v>748</v>
      </c>
      <c r="C617" s="91"/>
      <c r="D617" s="73"/>
      <c r="E617" s="74"/>
      <c r="F617" s="94"/>
    </row>
    <row r="618" spans="1:7" ht="69">
      <c r="A618" s="89"/>
      <c r="B618" s="90" t="s">
        <v>1711</v>
      </c>
      <c r="C618" s="91"/>
      <c r="D618" s="73"/>
      <c r="E618" s="74"/>
      <c r="F618" s="94"/>
    </row>
    <row r="619" spans="1:7" ht="55.2">
      <c r="A619" s="89"/>
      <c r="B619" s="361" t="s">
        <v>5340</v>
      </c>
      <c r="C619" s="91"/>
      <c r="D619" s="73"/>
      <c r="E619" s="74"/>
      <c r="F619" s="94"/>
    </row>
    <row r="620" spans="1:7" ht="27.6">
      <c r="A620" s="89" t="s">
        <v>48</v>
      </c>
      <c r="B620" s="90" t="s">
        <v>3347</v>
      </c>
      <c r="C620" s="91" t="s">
        <v>675</v>
      </c>
      <c r="D620" s="73">
        <v>432</v>
      </c>
      <c r="E620" s="74">
        <v>21</v>
      </c>
      <c r="F620" s="93">
        <f>IF(OR(OR(E620=0,E620=" "),OR(D620=0,D620=" "))," ",D620*E620)</f>
        <v>9072</v>
      </c>
      <c r="G620" s="73"/>
    </row>
    <row r="621" spans="1:7" ht="27.6">
      <c r="A621" s="89" t="s">
        <v>49</v>
      </c>
      <c r="B621" s="90" t="s">
        <v>4866</v>
      </c>
      <c r="C621" s="91" t="s">
        <v>675</v>
      </c>
      <c r="D621" s="73">
        <v>44</v>
      </c>
      <c r="E621" s="74">
        <v>20</v>
      </c>
      <c r="F621" s="93">
        <f>IF(OR(OR(E621=0,E621=" "),OR(D621=0,D621=" "))," ",D621*E621)</f>
        <v>880</v>
      </c>
      <c r="G621" s="73"/>
    </row>
    <row r="622" spans="1:7" ht="96.6">
      <c r="A622" s="89" t="s">
        <v>51</v>
      </c>
      <c r="B622" s="90" t="s">
        <v>5341</v>
      </c>
      <c r="C622" s="91" t="s">
        <v>675</v>
      </c>
      <c r="D622" s="73">
        <v>137</v>
      </c>
      <c r="E622" s="74">
        <v>21</v>
      </c>
      <c r="F622" s="93">
        <f>IF(OR(OR(E622=0,E622=" "),OR(D622=0,D622=" "))," ",D622*E622)</f>
        <v>2877</v>
      </c>
      <c r="G622" s="73"/>
    </row>
    <row r="623" spans="1:7">
      <c r="A623" s="87"/>
      <c r="B623" s="88"/>
      <c r="C623" s="72"/>
      <c r="D623" s="92"/>
      <c r="E623" s="74"/>
      <c r="F623" s="75"/>
    </row>
    <row r="624" spans="1:7">
      <c r="A624" s="87" t="s">
        <v>667</v>
      </c>
      <c r="B624" s="88" t="s">
        <v>749</v>
      </c>
      <c r="C624" s="72"/>
      <c r="D624" s="92"/>
      <c r="E624" s="74"/>
      <c r="F624" s="75"/>
    </row>
    <row r="625" spans="1:8" ht="124.2">
      <c r="A625" s="89" t="s">
        <v>1714</v>
      </c>
      <c r="B625" s="362" t="s">
        <v>1712</v>
      </c>
      <c r="C625" s="91"/>
      <c r="D625" s="73"/>
      <c r="E625" s="74"/>
      <c r="F625" s="94"/>
    </row>
    <row r="626" spans="1:8" ht="55.2">
      <c r="A626" s="89"/>
      <c r="B626" s="361" t="s">
        <v>4109</v>
      </c>
      <c r="C626" s="91"/>
      <c r="D626" s="73"/>
      <c r="E626" s="74"/>
      <c r="F626" s="94"/>
    </row>
    <row r="627" spans="1:8" ht="110.4">
      <c r="A627" s="89"/>
      <c r="B627" s="361" t="s">
        <v>4995</v>
      </c>
      <c r="C627" s="91"/>
      <c r="D627" s="73"/>
      <c r="E627" s="74"/>
      <c r="F627" s="94"/>
    </row>
    <row r="628" spans="1:8" ht="55.2">
      <c r="A628" s="89"/>
      <c r="B628" s="361" t="s">
        <v>5230</v>
      </c>
      <c r="C628" s="91"/>
      <c r="D628" s="73"/>
      <c r="E628" s="74"/>
      <c r="F628" s="94"/>
    </row>
    <row r="629" spans="1:8" ht="69">
      <c r="A629" s="89"/>
      <c r="B629" s="361" t="s">
        <v>5232</v>
      </c>
      <c r="C629" s="91"/>
      <c r="D629" s="73"/>
      <c r="E629" s="74"/>
      <c r="F629" s="94"/>
    </row>
    <row r="630" spans="1:8" ht="55.2">
      <c r="A630" s="89"/>
      <c r="B630" s="361" t="s">
        <v>5231</v>
      </c>
      <c r="C630" s="91"/>
      <c r="D630" s="73"/>
      <c r="E630" s="74"/>
      <c r="F630" s="94"/>
    </row>
    <row r="631" spans="1:8">
      <c r="A631" s="89"/>
      <c r="B631" s="361" t="s">
        <v>1597</v>
      </c>
      <c r="C631" s="91"/>
      <c r="D631" s="73"/>
      <c r="E631" s="74"/>
      <c r="F631" s="94"/>
    </row>
    <row r="632" spans="1:8">
      <c r="A632" s="89"/>
      <c r="B632" s="361" t="s">
        <v>1709</v>
      </c>
      <c r="C632" s="91"/>
      <c r="D632" s="73"/>
      <c r="E632" s="74"/>
      <c r="F632" s="94"/>
    </row>
    <row r="633" spans="1:8" ht="55.2">
      <c r="A633" s="89"/>
      <c r="B633" s="361" t="s">
        <v>1710</v>
      </c>
      <c r="C633" s="91"/>
      <c r="D633" s="73"/>
      <c r="E633" s="74"/>
      <c r="F633" s="94"/>
    </row>
    <row r="634" spans="1:8" ht="41.4">
      <c r="A634" s="89"/>
      <c r="B634" s="90" t="s">
        <v>748</v>
      </c>
      <c r="C634" s="91"/>
      <c r="D634" s="73"/>
      <c r="E634" s="74"/>
      <c r="F634" s="94"/>
    </row>
    <row r="635" spans="1:8" ht="69">
      <c r="A635" s="89"/>
      <c r="B635" s="90" t="s">
        <v>4110</v>
      </c>
      <c r="C635" s="91"/>
      <c r="D635" s="73"/>
      <c r="E635" s="74"/>
      <c r="F635" s="94"/>
    </row>
    <row r="636" spans="1:8" ht="55.2">
      <c r="A636" s="89"/>
      <c r="B636" s="361" t="s">
        <v>5340</v>
      </c>
      <c r="C636" s="91"/>
      <c r="D636" s="73"/>
      <c r="E636" s="74"/>
      <c r="F636" s="94"/>
    </row>
    <row r="637" spans="1:8" ht="55.2">
      <c r="A637" s="89" t="s">
        <v>48</v>
      </c>
      <c r="B637" s="90" t="s">
        <v>4948</v>
      </c>
      <c r="C637" s="91" t="s">
        <v>675</v>
      </c>
      <c r="D637" s="73">
        <v>320</v>
      </c>
      <c r="E637" s="74">
        <v>21</v>
      </c>
      <c r="F637" s="93">
        <f>IF(OR(OR(E637=0,E637=" "),OR(D637=0,D637=" "))," ",D637*E637)</f>
        <v>6720</v>
      </c>
      <c r="G637" s="73"/>
      <c r="H637" s="73"/>
    </row>
    <row r="638" spans="1:8" ht="55.2">
      <c r="A638" s="89" t="s">
        <v>49</v>
      </c>
      <c r="B638" s="90" t="s">
        <v>4947</v>
      </c>
      <c r="C638" s="91" t="s">
        <v>675</v>
      </c>
      <c r="D638" s="73">
        <v>156</v>
      </c>
      <c r="E638" s="74">
        <v>23</v>
      </c>
      <c r="F638" s="93">
        <f>IF(OR(OR(E638=0,E638=" "),OR(D638=0,D638=" "))," ",D638*E638)</f>
        <v>3588</v>
      </c>
    </row>
    <row r="639" spans="1:8" ht="110.4">
      <c r="A639" s="89" t="s">
        <v>51</v>
      </c>
      <c r="B639" s="90" t="s">
        <v>5342</v>
      </c>
      <c r="C639" s="91" t="s">
        <v>675</v>
      </c>
      <c r="D639" s="73">
        <v>137</v>
      </c>
      <c r="E639" s="74">
        <v>21</v>
      </c>
      <c r="F639" s="93">
        <f>IF(OR(OR(E639=0,E639=" "),OR(D639=0,D639=" "))," ",D639*E639)</f>
        <v>2877</v>
      </c>
      <c r="G639" s="73"/>
    </row>
    <row r="640" spans="1:8">
      <c r="A640" s="98"/>
      <c r="B640" s="99"/>
      <c r="C640" s="100"/>
      <c r="D640" s="101"/>
      <c r="E640" s="100"/>
      <c r="F640" s="102"/>
    </row>
    <row r="641" spans="1:6">
      <c r="A641" s="103" t="str">
        <f>A606</f>
        <v>A.9.</v>
      </c>
      <c r="B641" s="104" t="str">
        <f>CONCATENATE(B606," ", "UKUPNO:")</f>
        <v>ASFALTERSKI RADOVI UKUPNO:</v>
      </c>
      <c r="D641" s="73"/>
      <c r="E641" s="74"/>
      <c r="F641" s="663">
        <f>SUM(F609:F640)</f>
        <v>26014</v>
      </c>
    </row>
    <row r="642" spans="1:6">
      <c r="A642" s="70"/>
      <c r="B642" s="71"/>
      <c r="C642" s="72"/>
      <c r="D642" s="73"/>
      <c r="E642" s="74"/>
      <c r="F642" s="75"/>
    </row>
    <row r="643" spans="1:6">
      <c r="A643" s="70"/>
      <c r="B643" s="71"/>
      <c r="C643" s="72"/>
      <c r="D643" s="73"/>
      <c r="E643" s="74"/>
      <c r="F643" s="75"/>
    </row>
    <row r="644" spans="1:6">
      <c r="A644" s="81" t="s">
        <v>1022</v>
      </c>
      <c r="B644" s="82" t="s">
        <v>171</v>
      </c>
      <c r="C644" s="83"/>
      <c r="D644" s="84"/>
      <c r="E644" s="85"/>
      <c r="F644" s="86"/>
    </row>
    <row r="645" spans="1:6">
      <c r="A645" s="70"/>
      <c r="B645" s="71"/>
      <c r="C645" s="72"/>
      <c r="D645" s="73"/>
      <c r="E645" s="74"/>
      <c r="F645" s="75"/>
    </row>
    <row r="646" spans="1:6">
      <c r="A646" s="87" t="s">
        <v>667</v>
      </c>
      <c r="B646" s="88" t="s">
        <v>1744</v>
      </c>
      <c r="C646" s="72"/>
      <c r="D646" s="92"/>
      <c r="E646" s="74"/>
      <c r="F646" s="75"/>
    </row>
    <row r="647" spans="1:6" ht="96.6">
      <c r="A647" s="89" t="s">
        <v>1745</v>
      </c>
      <c r="B647" s="369" t="s">
        <v>3348</v>
      </c>
      <c r="C647" s="91"/>
      <c r="D647" s="73"/>
      <c r="E647" s="74"/>
      <c r="F647" s="94"/>
    </row>
    <row r="648" spans="1:6" ht="41.4">
      <c r="A648" s="89"/>
      <c r="B648" s="373" t="s">
        <v>5233</v>
      </c>
      <c r="C648" s="91"/>
      <c r="D648" s="73"/>
      <c r="E648" s="74"/>
      <c r="F648" s="94"/>
    </row>
    <row r="649" spans="1:6" ht="69">
      <c r="A649" s="89"/>
      <c r="B649" s="373" t="s">
        <v>5234</v>
      </c>
      <c r="C649" s="91"/>
      <c r="D649" s="73"/>
      <c r="E649" s="74"/>
      <c r="F649" s="94"/>
    </row>
    <row r="650" spans="1:6" ht="27.6">
      <c r="A650" s="89"/>
      <c r="B650" s="373" t="s">
        <v>1746</v>
      </c>
      <c r="C650" s="91"/>
      <c r="D650" s="73"/>
      <c r="E650" s="74"/>
      <c r="F650" s="94"/>
    </row>
    <row r="651" spans="1:6" ht="165.6">
      <c r="A651" s="89"/>
      <c r="B651" s="373" t="s">
        <v>5175</v>
      </c>
      <c r="C651" s="91"/>
      <c r="D651" s="73"/>
      <c r="E651" s="74"/>
      <c r="F651" s="94"/>
    </row>
    <row r="652" spans="1:6" ht="41.4">
      <c r="A652" s="89"/>
      <c r="B652" s="373" t="s">
        <v>3349</v>
      </c>
      <c r="C652" s="91"/>
      <c r="D652" s="73"/>
      <c r="E652" s="74"/>
      <c r="F652" s="94"/>
    </row>
    <row r="653" spans="1:6" ht="55.2">
      <c r="A653" s="89"/>
      <c r="B653" s="373" t="s">
        <v>3350</v>
      </c>
      <c r="C653" s="91"/>
      <c r="D653" s="73"/>
      <c r="E653" s="74"/>
      <c r="F653" s="94"/>
    </row>
    <row r="654" spans="1:6" ht="41.4">
      <c r="A654" s="89"/>
      <c r="B654" s="373" t="s">
        <v>1747</v>
      </c>
      <c r="C654" s="91"/>
      <c r="D654" s="73"/>
      <c r="E654" s="74"/>
      <c r="F654" s="94"/>
    </row>
    <row r="655" spans="1:6" ht="55.2">
      <c r="A655" s="372" t="s">
        <v>665</v>
      </c>
      <c r="B655" s="361" t="s">
        <v>4111</v>
      </c>
      <c r="C655" s="72"/>
      <c r="D655" s="92"/>
      <c r="E655" s="74"/>
      <c r="F655" s="75"/>
    </row>
    <row r="656" spans="1:6">
      <c r="A656" s="372" t="s">
        <v>665</v>
      </c>
      <c r="B656" s="361" t="s">
        <v>1748</v>
      </c>
      <c r="C656" s="91"/>
      <c r="D656" s="73"/>
      <c r="E656" s="74"/>
      <c r="F656" s="94"/>
    </row>
    <row r="657" spans="1:11" ht="27.6">
      <c r="A657" s="372" t="s">
        <v>665</v>
      </c>
      <c r="B657" s="361" t="s">
        <v>4921</v>
      </c>
      <c r="C657" s="91"/>
      <c r="D657" s="73"/>
      <c r="E657" s="74"/>
      <c r="F657" s="94"/>
    </row>
    <row r="658" spans="1:11">
      <c r="A658" s="89" t="s">
        <v>48</v>
      </c>
      <c r="B658" s="361" t="s">
        <v>1749</v>
      </c>
      <c r="C658" s="91" t="s">
        <v>681</v>
      </c>
      <c r="D658" s="73">
        <v>45</v>
      </c>
      <c r="E658" s="74">
        <v>600</v>
      </c>
      <c r="F658" s="93">
        <f>IF(OR(OR(E658=0,E658=" "),OR(D658=0,D658=" "))," ",D658*E658)</f>
        <v>27000</v>
      </c>
      <c r="K658" s="366"/>
    </row>
    <row r="659" spans="1:11">
      <c r="A659" s="89" t="s">
        <v>49</v>
      </c>
      <c r="B659" s="361" t="s">
        <v>1750</v>
      </c>
      <c r="C659" s="91" t="s">
        <v>675</v>
      </c>
      <c r="D659" s="73">
        <v>1554</v>
      </c>
      <c r="E659" s="74">
        <v>25</v>
      </c>
      <c r="F659" s="93">
        <f>IF(OR(OR(E659=0,E659=" "),OR(D659=0,D659=" "))," ",D659*E659)</f>
        <v>38850</v>
      </c>
    </row>
    <row r="660" spans="1:11">
      <c r="A660" s="89" t="s">
        <v>51</v>
      </c>
      <c r="B660" s="361" t="s">
        <v>3351</v>
      </c>
      <c r="C660" s="91" t="s">
        <v>675</v>
      </c>
      <c r="D660" s="73">
        <v>1551</v>
      </c>
      <c r="E660" s="74">
        <v>25</v>
      </c>
      <c r="F660" s="93">
        <f>IF(OR(OR(E660=0,E660=" "),OR(D660=0,D660=" "))," ",D660*E660)</f>
        <v>38775</v>
      </c>
    </row>
    <row r="661" spans="1:11">
      <c r="A661" s="89" t="s">
        <v>53</v>
      </c>
      <c r="B661" s="361" t="s">
        <v>3352</v>
      </c>
      <c r="C661" s="91" t="s">
        <v>675</v>
      </c>
      <c r="D661" s="73">
        <v>1611</v>
      </c>
      <c r="E661" s="74">
        <v>25</v>
      </c>
      <c r="F661" s="93">
        <f>IF(OR(OR(E661=0,E661=" "),OR(D661=0,D661=" "))," ",D661*E661)</f>
        <v>40275</v>
      </c>
    </row>
    <row r="662" spans="1:11">
      <c r="A662" s="89" t="s">
        <v>698</v>
      </c>
      <c r="B662" s="361" t="s">
        <v>3353</v>
      </c>
      <c r="C662" s="91" t="s">
        <v>675</v>
      </c>
      <c r="D662" s="73">
        <v>160</v>
      </c>
      <c r="E662" s="74">
        <v>40</v>
      </c>
      <c r="F662" s="93">
        <f>IF(OR(OR(E662=0,E662=" "),OR(D662=0,D662=" "))," ",D662*E662)</f>
        <v>6400</v>
      </c>
    </row>
    <row r="663" spans="1:11">
      <c r="A663" s="98"/>
      <c r="B663" s="99"/>
      <c r="C663" s="100"/>
      <c r="D663" s="101"/>
      <c r="E663" s="100"/>
      <c r="F663" s="102"/>
    </row>
    <row r="664" spans="1:11">
      <c r="A664" s="103" t="str">
        <f>A644</f>
        <v>A.10.</v>
      </c>
      <c r="B664" s="104" t="str">
        <f>CONCATENATE(B644," ", "UKUPNO:")</f>
        <v>TESARSKI RADOVI UKUPNO:</v>
      </c>
      <c r="D664" s="73"/>
      <c r="E664" s="74"/>
      <c r="F664" s="663">
        <f>SUM(F647:F663)</f>
        <v>151300</v>
      </c>
    </row>
    <row r="665" spans="1:11">
      <c r="A665" s="103"/>
      <c r="B665" s="104"/>
      <c r="D665" s="73"/>
      <c r="E665" s="74"/>
      <c r="F665" s="105"/>
    </row>
    <row r="666" spans="1:11">
      <c r="A666" s="103"/>
      <c r="B666" s="104"/>
      <c r="D666" s="73"/>
      <c r="E666" s="74"/>
      <c r="F666" s="105"/>
    </row>
    <row r="667" spans="1:11">
      <c r="A667" s="81" t="s">
        <v>3406</v>
      </c>
      <c r="B667" s="82" t="s">
        <v>1793</v>
      </c>
      <c r="C667" s="83"/>
      <c r="D667" s="84"/>
      <c r="E667" s="85"/>
      <c r="F667" s="86"/>
    </row>
    <row r="668" spans="1:11">
      <c r="A668" s="70"/>
      <c r="B668" s="71"/>
      <c r="C668" s="72"/>
      <c r="D668" s="73"/>
      <c r="E668" s="74"/>
      <c r="F668" s="75"/>
    </row>
    <row r="669" spans="1:11">
      <c r="A669" s="70"/>
      <c r="B669" s="367" t="s">
        <v>666</v>
      </c>
      <c r="C669" s="72"/>
      <c r="D669" s="73"/>
      <c r="E669" s="74"/>
      <c r="F669" s="75"/>
    </row>
    <row r="670" spans="1:11" ht="69">
      <c r="A670" s="70"/>
      <c r="B670" s="367" t="s">
        <v>4112</v>
      </c>
      <c r="C670" s="72"/>
      <c r="D670" s="73"/>
      <c r="E670" s="74"/>
      <c r="F670" s="75"/>
    </row>
    <row r="671" spans="1:11" ht="41.4">
      <c r="A671" s="70"/>
      <c r="B671" s="367" t="s">
        <v>1794</v>
      </c>
      <c r="C671" s="72"/>
      <c r="D671" s="73"/>
      <c r="E671" s="74"/>
      <c r="F671" s="75"/>
    </row>
    <row r="672" spans="1:11" ht="55.2">
      <c r="A672" s="70"/>
      <c r="B672" s="367" t="s">
        <v>1795</v>
      </c>
      <c r="C672" s="72"/>
      <c r="D672" s="73"/>
      <c r="E672" s="74"/>
      <c r="F672" s="75"/>
    </row>
    <row r="673" spans="1:6" ht="27.6">
      <c r="A673" s="70"/>
      <c r="B673" s="367" t="s">
        <v>1796</v>
      </c>
      <c r="C673" s="72"/>
      <c r="D673" s="73"/>
      <c r="E673" s="74"/>
      <c r="F673" s="75"/>
    </row>
    <row r="674" spans="1:6" ht="55.2">
      <c r="A674" s="70"/>
      <c r="B674" s="367" t="s">
        <v>5235</v>
      </c>
      <c r="C674" s="72"/>
      <c r="D674" s="73"/>
      <c r="E674" s="74"/>
      <c r="F674" s="75"/>
    </row>
    <row r="675" spans="1:6" ht="41.4">
      <c r="A675" s="70"/>
      <c r="B675" s="367" t="s">
        <v>5236</v>
      </c>
      <c r="C675" s="72"/>
      <c r="D675" s="73"/>
      <c r="E675" s="74"/>
      <c r="F675" s="75"/>
    </row>
    <row r="676" spans="1:6" ht="41.4">
      <c r="A676" s="70"/>
      <c r="B676" s="367" t="s">
        <v>5237</v>
      </c>
      <c r="C676" s="72"/>
      <c r="D676" s="73"/>
      <c r="E676" s="74"/>
      <c r="F676" s="75"/>
    </row>
    <row r="677" spans="1:6" ht="41.4">
      <c r="A677" s="70"/>
      <c r="B677" s="367" t="s">
        <v>5238</v>
      </c>
      <c r="C677" s="72"/>
      <c r="D677" s="73"/>
      <c r="E677" s="74"/>
      <c r="F677" s="75"/>
    </row>
    <row r="678" spans="1:6" ht="41.4">
      <c r="A678" s="70"/>
      <c r="B678" s="367" t="s">
        <v>5239</v>
      </c>
      <c r="C678" s="72"/>
      <c r="D678" s="73"/>
      <c r="E678" s="74"/>
      <c r="F678" s="75"/>
    </row>
    <row r="679" spans="1:6" ht="41.4">
      <c r="A679" s="70"/>
      <c r="B679" s="367" t="s">
        <v>5240</v>
      </c>
      <c r="C679" s="72"/>
      <c r="D679" s="73"/>
      <c r="E679" s="74"/>
      <c r="F679" s="75"/>
    </row>
    <row r="680" spans="1:6">
      <c r="A680" s="70"/>
      <c r="B680" s="71"/>
      <c r="C680" s="72"/>
      <c r="D680" s="73"/>
      <c r="E680" s="74"/>
      <c r="F680" s="75"/>
    </row>
    <row r="681" spans="1:6" ht="82.8">
      <c r="A681" s="89" t="s">
        <v>3411</v>
      </c>
      <c r="B681" s="362" t="s">
        <v>3407</v>
      </c>
      <c r="C681" s="72"/>
      <c r="D681" s="73"/>
      <c r="E681" s="74"/>
      <c r="F681" s="75"/>
    </row>
    <row r="682" spans="1:6">
      <c r="A682" s="70"/>
      <c r="B682" s="361" t="s">
        <v>1797</v>
      </c>
      <c r="C682" s="72"/>
      <c r="D682" s="73"/>
      <c r="E682" s="74"/>
      <c r="F682" s="75"/>
    </row>
    <row r="683" spans="1:6" ht="124.2">
      <c r="A683" s="70"/>
      <c r="B683" s="361" t="s">
        <v>4920</v>
      </c>
      <c r="C683" s="72"/>
      <c r="D683" s="73"/>
      <c r="E683" s="74"/>
      <c r="F683" s="75"/>
    </row>
    <row r="684" spans="1:6" ht="55.2">
      <c r="A684" s="70"/>
      <c r="B684" s="361" t="s">
        <v>5241</v>
      </c>
      <c r="C684" s="72"/>
      <c r="D684" s="73"/>
      <c r="E684" s="74"/>
      <c r="F684" s="75"/>
    </row>
    <row r="685" spans="1:6" ht="55.2">
      <c r="A685" s="70"/>
      <c r="B685" s="361" t="s">
        <v>5242</v>
      </c>
      <c r="C685" s="72"/>
      <c r="D685" s="73"/>
      <c r="E685" s="74"/>
      <c r="F685" s="75"/>
    </row>
    <row r="686" spans="1:6" ht="27.6">
      <c r="A686" s="70"/>
      <c r="B686" s="361" t="s">
        <v>1798</v>
      </c>
      <c r="C686" s="72"/>
      <c r="D686" s="73"/>
      <c r="E686" s="74"/>
      <c r="F686" s="75"/>
    </row>
    <row r="687" spans="1:6" ht="124.2">
      <c r="A687" s="70"/>
      <c r="B687" s="112" t="s">
        <v>5025</v>
      </c>
      <c r="C687" s="72"/>
      <c r="D687" s="73"/>
      <c r="E687" s="74"/>
      <c r="F687" s="75"/>
    </row>
    <row r="688" spans="1:6" ht="124.2">
      <c r="A688" s="70"/>
      <c r="B688" s="112" t="s">
        <v>5026</v>
      </c>
      <c r="C688" s="72"/>
      <c r="D688" s="73"/>
      <c r="E688" s="74"/>
      <c r="F688" s="75"/>
    </row>
    <row r="689" spans="1:6" ht="69">
      <c r="A689" s="70"/>
      <c r="B689" s="112" t="s">
        <v>4113</v>
      </c>
      <c r="C689" s="72"/>
      <c r="D689" s="73"/>
      <c r="E689" s="74"/>
      <c r="F689" s="75"/>
    </row>
    <row r="690" spans="1:6" ht="69">
      <c r="A690" s="70"/>
      <c r="B690" s="112" t="s">
        <v>4917</v>
      </c>
      <c r="C690" s="72"/>
      <c r="D690" s="73"/>
      <c r="E690" s="74"/>
      <c r="F690" s="75"/>
    </row>
    <row r="691" spans="1:6" ht="41.4">
      <c r="A691" s="70"/>
      <c r="B691" s="112" t="s">
        <v>4918</v>
      </c>
      <c r="C691" s="72"/>
      <c r="D691" s="73"/>
      <c r="E691" s="74"/>
      <c r="F691" s="75"/>
    </row>
    <row r="692" spans="1:6" ht="41.4">
      <c r="A692" s="70"/>
      <c r="B692" s="361" t="s">
        <v>1799</v>
      </c>
      <c r="C692" s="72"/>
      <c r="D692" s="73"/>
      <c r="E692" s="74"/>
      <c r="F692" s="75"/>
    </row>
    <row r="693" spans="1:6" ht="27.6">
      <c r="A693" s="70"/>
      <c r="B693" s="361" t="s">
        <v>1800</v>
      </c>
      <c r="C693" s="72"/>
      <c r="D693" s="73"/>
      <c r="E693" s="74"/>
      <c r="F693" s="75"/>
    </row>
    <row r="694" spans="1:6">
      <c r="A694" s="89" t="s">
        <v>48</v>
      </c>
      <c r="B694" s="361" t="s">
        <v>3408</v>
      </c>
      <c r="C694" s="385" t="s">
        <v>645</v>
      </c>
      <c r="D694" s="386">
        <v>105</v>
      </c>
      <c r="E694" s="74">
        <v>8</v>
      </c>
      <c r="F694" s="93">
        <f>IF(OR(OR(E694=0,E694=" "),OR(D694=0,D694=" "))," ",D694*E694)</f>
        <v>840</v>
      </c>
    </row>
    <row r="695" spans="1:6" ht="27.6">
      <c r="A695" s="89" t="s">
        <v>49</v>
      </c>
      <c r="B695" s="361" t="s">
        <v>3409</v>
      </c>
      <c r="C695" s="385" t="s">
        <v>645</v>
      </c>
      <c r="D695" s="386">
        <v>235</v>
      </c>
      <c r="E695" s="74">
        <v>8</v>
      </c>
      <c r="F695" s="93">
        <f>IF(OR(OR(E695=0,E695=" "),OR(D695=0,D695=" "))," ",D695*E695)</f>
        <v>1880</v>
      </c>
    </row>
    <row r="696" spans="1:6" ht="27.6">
      <c r="A696" s="89" t="s">
        <v>51</v>
      </c>
      <c r="B696" s="361" t="s">
        <v>3410</v>
      </c>
      <c r="C696" s="385" t="s">
        <v>645</v>
      </c>
      <c r="D696" s="386">
        <v>374</v>
      </c>
      <c r="E696" s="74">
        <v>8</v>
      </c>
      <c r="F696" s="93">
        <f>IF(OR(OR(E696=0,E696=" "),OR(D696=0,D696=" "))," ",D696*E696)</f>
        <v>2992</v>
      </c>
    </row>
    <row r="697" spans="1:6" ht="27.6">
      <c r="A697" s="89" t="s">
        <v>53</v>
      </c>
      <c r="B697" s="361" t="s">
        <v>4919</v>
      </c>
      <c r="C697" s="385" t="s">
        <v>645</v>
      </c>
      <c r="D697" s="386">
        <v>553</v>
      </c>
      <c r="E697" s="74">
        <v>8</v>
      </c>
      <c r="F697" s="93">
        <f>IF(OR(OR(E697=0,E697=" "),OR(D697=0,D697=" "))," ",D697*E697)</f>
        <v>4424</v>
      </c>
    </row>
    <row r="698" spans="1:6">
      <c r="A698" s="98"/>
      <c r="B698" s="99"/>
      <c r="C698" s="100"/>
      <c r="D698" s="101"/>
      <c r="E698" s="100"/>
      <c r="F698" s="102"/>
    </row>
    <row r="699" spans="1:6">
      <c r="A699" s="103" t="str">
        <f>A667</f>
        <v>A.11.</v>
      </c>
      <c r="B699" s="104" t="str">
        <f>CONCATENATE(B667," ", "UKUPNO:")</f>
        <v>ČELIČNA KONSTRUKCIJA UKUPNO:</v>
      </c>
      <c r="D699" s="73"/>
      <c r="E699" s="74"/>
      <c r="F699" s="663">
        <f>SUM(F681:F698)</f>
        <v>10136</v>
      </c>
    </row>
    <row r="700" spans="1:6">
      <c r="A700" s="70"/>
      <c r="B700" s="71"/>
      <c r="C700" s="72"/>
      <c r="D700" s="73"/>
      <c r="E700" s="74"/>
      <c r="F700" s="75"/>
    </row>
    <row r="701" spans="1:6">
      <c r="A701" s="70"/>
      <c r="B701" s="71"/>
      <c r="C701" s="72"/>
      <c r="D701" s="73"/>
      <c r="E701" s="74"/>
      <c r="F701" s="75"/>
    </row>
    <row r="702" spans="1:6">
      <c r="A702" s="70"/>
      <c r="B702" s="71"/>
      <c r="C702" s="72"/>
      <c r="D702" s="73"/>
      <c r="E702" s="74"/>
      <c r="F702" s="75"/>
    </row>
    <row r="703" spans="1:6">
      <c r="A703" s="70"/>
      <c r="B703" s="71"/>
      <c r="C703" s="72"/>
      <c r="D703" s="73"/>
      <c r="E703" s="74"/>
      <c r="F703" s="75"/>
    </row>
    <row r="704" spans="1:6">
      <c r="A704" s="64" t="s">
        <v>750</v>
      </c>
      <c r="B704" s="65" t="s">
        <v>751</v>
      </c>
      <c r="C704" s="66"/>
      <c r="D704" s="67"/>
      <c r="E704" s="68"/>
      <c r="F704" s="69"/>
    </row>
    <row r="705" spans="1:6">
      <c r="A705" s="70"/>
      <c r="B705" s="71"/>
      <c r="C705" s="72"/>
      <c r="D705" s="73"/>
      <c r="E705" s="74"/>
      <c r="F705" s="75"/>
    </row>
    <row r="706" spans="1:6">
      <c r="A706" s="260" t="s">
        <v>1017</v>
      </c>
      <c r="B706" s="82" t="s">
        <v>376</v>
      </c>
      <c r="C706" s="83"/>
      <c r="D706" s="84"/>
      <c r="E706" s="85"/>
      <c r="F706" s="86"/>
    </row>
    <row r="707" spans="1:6">
      <c r="A707" s="70"/>
      <c r="B707" s="71"/>
      <c r="C707" s="72"/>
      <c r="D707" s="73"/>
      <c r="E707" s="74"/>
      <c r="F707" s="75"/>
    </row>
    <row r="708" spans="1:6">
      <c r="A708" s="87" t="s">
        <v>667</v>
      </c>
      <c r="B708" s="88" t="s">
        <v>752</v>
      </c>
      <c r="C708" s="72"/>
      <c r="D708" s="92"/>
      <c r="E708" s="74"/>
      <c r="F708" s="75"/>
    </row>
    <row r="709" spans="1:6" ht="151.80000000000001">
      <c r="A709" s="76" t="s">
        <v>1010</v>
      </c>
      <c r="B709" s="364" t="s">
        <v>4114</v>
      </c>
      <c r="C709" s="72"/>
      <c r="D709" s="73"/>
      <c r="E709" s="74"/>
      <c r="F709" s="75"/>
    </row>
    <row r="710" spans="1:6">
      <c r="A710" s="76" t="s">
        <v>665</v>
      </c>
      <c r="B710" s="71" t="s">
        <v>753</v>
      </c>
      <c r="C710" s="72"/>
      <c r="D710" s="73"/>
      <c r="E710" s="74"/>
      <c r="F710" s="75"/>
    </row>
    <row r="711" spans="1:6" ht="151.80000000000001">
      <c r="A711" s="89"/>
      <c r="B711" s="112" t="s">
        <v>1728</v>
      </c>
      <c r="C711" s="72"/>
      <c r="D711" s="73"/>
      <c r="E711" s="74"/>
      <c r="F711" s="75"/>
    </row>
    <row r="712" spans="1:6" ht="193.2">
      <c r="A712" s="89"/>
      <c r="B712" s="112" t="s">
        <v>1732</v>
      </c>
      <c r="C712" s="72"/>
      <c r="D712" s="73"/>
      <c r="E712" s="74"/>
      <c r="F712" s="75"/>
    </row>
    <row r="713" spans="1:6" ht="179.4">
      <c r="A713" s="89"/>
      <c r="B713" s="112" t="s">
        <v>3354</v>
      </c>
      <c r="C713" s="72"/>
      <c r="D713" s="73"/>
      <c r="E713" s="74"/>
      <c r="F713" s="75"/>
    </row>
    <row r="714" spans="1:6" ht="41.4">
      <c r="A714" s="76" t="s">
        <v>665</v>
      </c>
      <c r="B714" s="71" t="s">
        <v>754</v>
      </c>
      <c r="C714" s="72"/>
      <c r="D714" s="73"/>
      <c r="E714" s="74"/>
      <c r="F714" s="75"/>
    </row>
    <row r="715" spans="1:6" ht="27.6">
      <c r="A715" s="76" t="s">
        <v>665</v>
      </c>
      <c r="B715" s="71" t="s">
        <v>755</v>
      </c>
      <c r="C715" s="72"/>
      <c r="D715" s="73"/>
      <c r="E715" s="74"/>
      <c r="F715" s="75"/>
    </row>
    <row r="716" spans="1:6" ht="55.2">
      <c r="A716" s="76" t="s">
        <v>665</v>
      </c>
      <c r="B716" s="71" t="s">
        <v>756</v>
      </c>
      <c r="C716" s="72"/>
      <c r="D716" s="73"/>
      <c r="E716" s="74"/>
      <c r="F716" s="75"/>
    </row>
    <row r="717" spans="1:6" ht="55.2">
      <c r="A717" s="76" t="s">
        <v>665</v>
      </c>
      <c r="B717" s="71" t="s">
        <v>5243</v>
      </c>
      <c r="C717" s="72"/>
      <c r="D717" s="73"/>
      <c r="E717" s="74"/>
      <c r="F717" s="75"/>
    </row>
    <row r="718" spans="1:6" ht="69">
      <c r="A718" s="76" t="s">
        <v>665</v>
      </c>
      <c r="B718" s="71" t="s">
        <v>757</v>
      </c>
      <c r="C718" s="72"/>
      <c r="D718" s="73"/>
      <c r="E718" s="74"/>
      <c r="F718" s="75"/>
    </row>
    <row r="719" spans="1:6" ht="41.4">
      <c r="A719" s="76" t="s">
        <v>665</v>
      </c>
      <c r="B719" s="71" t="s">
        <v>758</v>
      </c>
      <c r="C719" s="72"/>
      <c r="D719" s="73"/>
      <c r="E719" s="74"/>
      <c r="F719" s="75"/>
    </row>
    <row r="720" spans="1:6" ht="41.4">
      <c r="A720" s="89" t="s">
        <v>48</v>
      </c>
      <c r="B720" s="71" t="s">
        <v>3355</v>
      </c>
      <c r="C720" s="91" t="s">
        <v>675</v>
      </c>
      <c r="D720" s="73">
        <v>1563</v>
      </c>
      <c r="E720" s="74">
        <v>27</v>
      </c>
      <c r="F720" s="93">
        <f>IF(OR(OR(E720=0,E720=" "),OR(D720=0,D720=" "))," ",D720*E720)</f>
        <v>42201</v>
      </c>
    </row>
    <row r="721" spans="1:8">
      <c r="A721" s="89"/>
      <c r="B721" s="71"/>
      <c r="C721" s="72"/>
      <c r="D721" s="73"/>
      <c r="E721" s="74"/>
      <c r="F721" s="75"/>
    </row>
    <row r="722" spans="1:8">
      <c r="A722" s="87" t="s">
        <v>667</v>
      </c>
      <c r="B722" s="88" t="s">
        <v>759</v>
      </c>
      <c r="C722" s="72"/>
      <c r="D722" s="92"/>
      <c r="E722" s="74"/>
      <c r="F722" s="75"/>
    </row>
    <row r="723" spans="1:8" ht="248.4">
      <c r="A723" s="89" t="s">
        <v>1011</v>
      </c>
      <c r="B723" s="362" t="s">
        <v>4941</v>
      </c>
      <c r="C723" s="91"/>
      <c r="D723" s="73"/>
      <c r="E723" s="74"/>
      <c r="F723" s="94"/>
    </row>
    <row r="724" spans="1:8" ht="69">
      <c r="A724" s="89"/>
      <c r="B724" s="90" t="s">
        <v>757</v>
      </c>
      <c r="C724" s="91"/>
      <c r="D724" s="73"/>
      <c r="E724" s="74"/>
      <c r="F724" s="94"/>
    </row>
    <row r="725" spans="1:8" ht="27.6">
      <c r="A725" s="89"/>
      <c r="B725" s="90" t="s">
        <v>4926</v>
      </c>
      <c r="C725" s="91"/>
      <c r="D725" s="73"/>
      <c r="E725" s="74"/>
      <c r="F725" s="94"/>
    </row>
    <row r="726" spans="1:8" ht="27.6">
      <c r="A726" s="89" t="s">
        <v>48</v>
      </c>
      <c r="B726" s="90" t="s">
        <v>1715</v>
      </c>
      <c r="C726" s="91" t="s">
        <v>675</v>
      </c>
      <c r="D726" s="73">
        <v>1612</v>
      </c>
      <c r="E726" s="74">
        <v>15</v>
      </c>
      <c r="F726" s="93">
        <f>IF(OR(OR(E726=0,E726=" "),OR(D726=0,D726=" "))," ",D726*E726)</f>
        <v>24180</v>
      </c>
      <c r="H726" s="70"/>
    </row>
    <row r="727" spans="1:8">
      <c r="A727" s="70"/>
      <c r="B727" s="71"/>
      <c r="C727" s="72"/>
      <c r="D727" s="73"/>
      <c r="E727" s="74"/>
      <c r="F727" s="75"/>
    </row>
    <row r="728" spans="1:8" ht="55.2">
      <c r="A728" s="89" t="s">
        <v>1012</v>
      </c>
      <c r="B728" s="362" t="s">
        <v>4942</v>
      </c>
      <c r="C728" s="91"/>
      <c r="D728" s="73"/>
      <c r="E728" s="74"/>
      <c r="F728" s="94"/>
    </row>
    <row r="729" spans="1:8" ht="96.6">
      <c r="A729" s="89"/>
      <c r="B729" s="71" t="s">
        <v>5124</v>
      </c>
      <c r="C729" s="91"/>
      <c r="D729" s="73"/>
      <c r="E729" s="74"/>
      <c r="F729" s="94"/>
    </row>
    <row r="730" spans="1:8" ht="55.2">
      <c r="A730" s="89"/>
      <c r="B730" s="90" t="s">
        <v>4924</v>
      </c>
      <c r="C730" s="91"/>
      <c r="D730" s="73"/>
      <c r="E730" s="74"/>
      <c r="F730" s="94"/>
    </row>
    <row r="731" spans="1:8" ht="27.6">
      <c r="A731" s="89"/>
      <c r="B731" s="90" t="s">
        <v>4927</v>
      </c>
      <c r="C731" s="91"/>
      <c r="D731" s="73"/>
      <c r="E731" s="74"/>
      <c r="F731" s="94"/>
    </row>
    <row r="732" spans="1:8">
      <c r="A732" s="89" t="s">
        <v>48</v>
      </c>
      <c r="B732" s="90" t="s">
        <v>4925</v>
      </c>
      <c r="C732" s="91" t="s">
        <v>675</v>
      </c>
      <c r="D732" s="73">
        <v>56</v>
      </c>
      <c r="E732" s="74">
        <v>4</v>
      </c>
      <c r="F732" s="93">
        <f>IF(OR(OR(E732=0,E732=" "),OR(D732=0,D732=" "))," ",D732*E732)</f>
        <v>224</v>
      </c>
    </row>
    <row r="733" spans="1:8">
      <c r="A733" s="70"/>
      <c r="B733" s="71"/>
      <c r="C733" s="72"/>
      <c r="D733" s="73"/>
      <c r="E733" s="74"/>
      <c r="F733" s="75"/>
    </row>
    <row r="734" spans="1:8">
      <c r="A734" s="87" t="s">
        <v>667</v>
      </c>
      <c r="B734" s="88" t="s">
        <v>760</v>
      </c>
      <c r="C734" s="72"/>
      <c r="D734" s="73"/>
      <c r="E734" s="74"/>
      <c r="F734" s="75"/>
    </row>
    <row r="735" spans="1:8" ht="82.8">
      <c r="A735" s="70" t="s">
        <v>1013</v>
      </c>
      <c r="B735" s="364" t="s">
        <v>3195</v>
      </c>
      <c r="C735" s="72"/>
      <c r="D735" s="73"/>
      <c r="E735" s="74"/>
      <c r="F735" s="75"/>
    </row>
    <row r="736" spans="1:8" ht="41.4">
      <c r="A736" s="70"/>
      <c r="B736" s="71" t="s">
        <v>761</v>
      </c>
      <c r="C736" s="72"/>
      <c r="D736" s="73"/>
      <c r="E736" s="74"/>
      <c r="F736" s="75"/>
    </row>
    <row r="737" spans="1:6" ht="179.4">
      <c r="A737" s="70"/>
      <c r="B737" s="71" t="s">
        <v>762</v>
      </c>
      <c r="C737" s="72"/>
      <c r="D737" s="73"/>
      <c r="E737" s="74"/>
      <c r="F737" s="75"/>
    </row>
    <row r="738" spans="1:6" ht="110.4">
      <c r="A738" s="70"/>
      <c r="B738" s="71" t="s">
        <v>4069</v>
      </c>
      <c r="C738" s="72"/>
      <c r="D738" s="73"/>
      <c r="E738" s="74"/>
      <c r="F738" s="75"/>
    </row>
    <row r="739" spans="1:6" ht="82.8">
      <c r="A739" s="70"/>
      <c r="B739" s="71" t="s">
        <v>3357</v>
      </c>
      <c r="C739" s="72"/>
      <c r="D739" s="73"/>
      <c r="E739" s="74"/>
      <c r="F739" s="75"/>
    </row>
    <row r="740" spans="1:6" ht="55.2">
      <c r="A740" s="70"/>
      <c r="B740" s="71" t="s">
        <v>5174</v>
      </c>
      <c r="C740" s="72"/>
      <c r="D740" s="73"/>
      <c r="E740" s="74"/>
      <c r="F740" s="75"/>
    </row>
    <row r="741" spans="1:6" ht="69">
      <c r="A741" s="70"/>
      <c r="B741" s="71" t="s">
        <v>5244</v>
      </c>
      <c r="C741" s="72"/>
      <c r="D741" s="73"/>
      <c r="E741" s="74"/>
      <c r="F741" s="75"/>
    </row>
    <row r="742" spans="1:6" ht="262.2">
      <c r="A742" s="70"/>
      <c r="B742" s="71" t="s">
        <v>4070</v>
      </c>
      <c r="C742" s="72"/>
      <c r="D742" s="73"/>
      <c r="E742" s="74"/>
      <c r="F742" s="75"/>
    </row>
    <row r="743" spans="1:6" ht="41.4">
      <c r="A743" s="70"/>
      <c r="B743" s="71" t="s">
        <v>763</v>
      </c>
      <c r="C743" s="72"/>
      <c r="D743" s="73"/>
      <c r="E743" s="74"/>
      <c r="F743" s="75"/>
    </row>
    <row r="744" spans="1:6" ht="27.6">
      <c r="A744" s="70"/>
      <c r="B744" s="71" t="s">
        <v>3358</v>
      </c>
      <c r="C744" s="72"/>
      <c r="D744" s="73"/>
      <c r="E744" s="74"/>
      <c r="F744" s="75"/>
    </row>
    <row r="745" spans="1:6" ht="41.4">
      <c r="A745" s="70" t="s">
        <v>48</v>
      </c>
      <c r="B745" s="71" t="s">
        <v>3356</v>
      </c>
      <c r="C745" s="91" t="s">
        <v>675</v>
      </c>
      <c r="D745" s="73">
        <v>386</v>
      </c>
      <c r="E745" s="74">
        <v>27</v>
      </c>
      <c r="F745" s="93">
        <f>IF(OR(OR(E745=0,E745=" "),OR(D745=0,D745=" "))," ",D745*E745)</f>
        <v>10422</v>
      </c>
    </row>
    <row r="746" spans="1:6">
      <c r="A746" s="70"/>
      <c r="B746" s="71"/>
      <c r="C746" s="91"/>
      <c r="D746" s="73"/>
      <c r="E746" s="74"/>
      <c r="F746" s="93"/>
    </row>
    <row r="747" spans="1:6">
      <c r="A747" s="111" t="s">
        <v>667</v>
      </c>
      <c r="B747" s="88" t="s">
        <v>3359</v>
      </c>
      <c r="C747" s="72"/>
      <c r="D747" s="73"/>
      <c r="E747" s="74"/>
      <c r="F747" s="75"/>
    </row>
    <row r="748" spans="1:6" ht="138">
      <c r="A748" s="70" t="s">
        <v>1014</v>
      </c>
      <c r="B748" s="370" t="s">
        <v>1716</v>
      </c>
      <c r="C748" s="72"/>
      <c r="D748" s="73"/>
      <c r="E748" s="74"/>
      <c r="F748" s="75"/>
    </row>
    <row r="749" spans="1:6">
      <c r="A749" s="70" t="s">
        <v>48</v>
      </c>
      <c r="B749" s="113" t="s">
        <v>765</v>
      </c>
      <c r="C749" s="91" t="s">
        <v>697</v>
      </c>
      <c r="D749" s="73">
        <v>110</v>
      </c>
      <c r="E749" s="74">
        <v>15</v>
      </c>
      <c r="F749" s="93">
        <f>IF(OR(OR(E749=0,E749=" "),OR(D749=0,D749=" "))," ",D749*E749)</f>
        <v>1650</v>
      </c>
    </row>
    <row r="750" spans="1:6">
      <c r="A750" s="70"/>
      <c r="B750" s="71"/>
      <c r="C750" s="72"/>
      <c r="D750" s="73"/>
      <c r="E750" s="74"/>
      <c r="F750" s="75"/>
    </row>
    <row r="751" spans="1:6" ht="96.6">
      <c r="A751" s="70" t="s">
        <v>1015</v>
      </c>
      <c r="B751" s="364" t="s">
        <v>2075</v>
      </c>
      <c r="C751" s="72"/>
      <c r="D751" s="73"/>
      <c r="E751" s="74"/>
      <c r="F751" s="75"/>
    </row>
    <row r="752" spans="1:6">
      <c r="A752" s="70" t="s">
        <v>48</v>
      </c>
      <c r="B752" s="71" t="s">
        <v>766</v>
      </c>
      <c r="C752" s="72" t="s">
        <v>649</v>
      </c>
      <c r="D752" s="73">
        <v>1</v>
      </c>
      <c r="E752" s="74">
        <v>50</v>
      </c>
      <c r="F752" s="93">
        <f>IF(OR(OR(E752=0,E752=" "),OR(D752=0,D752=" "))," ",D752*E752)</f>
        <v>50</v>
      </c>
    </row>
    <row r="753" spans="1:7">
      <c r="A753" s="70"/>
      <c r="B753" s="71"/>
      <c r="C753" s="72"/>
      <c r="D753" s="73"/>
      <c r="E753" s="74"/>
      <c r="F753" s="75"/>
    </row>
    <row r="754" spans="1:7">
      <c r="A754" s="87" t="s">
        <v>667</v>
      </c>
      <c r="B754" s="88" t="s">
        <v>767</v>
      </c>
      <c r="C754" s="72"/>
      <c r="D754" s="92"/>
      <c r="E754" s="74"/>
      <c r="F754" s="75"/>
    </row>
    <row r="755" spans="1:7" ht="69">
      <c r="A755" s="70" t="s">
        <v>1016</v>
      </c>
      <c r="B755" s="358" t="s">
        <v>1718</v>
      </c>
      <c r="C755" s="72"/>
      <c r="D755" s="92"/>
      <c r="E755" s="74"/>
      <c r="F755" s="75"/>
    </row>
    <row r="756" spans="1:7" ht="27.6">
      <c r="A756" s="87"/>
      <c r="B756" s="71" t="s">
        <v>1717</v>
      </c>
      <c r="C756" s="72"/>
      <c r="D756" s="92"/>
      <c r="E756" s="74"/>
      <c r="F756" s="75"/>
    </row>
    <row r="757" spans="1:7" ht="41.4">
      <c r="A757" s="87"/>
      <c r="B757" s="71" t="s">
        <v>768</v>
      </c>
      <c r="C757" s="72"/>
      <c r="D757" s="92"/>
      <c r="E757" s="74"/>
      <c r="F757" s="75"/>
    </row>
    <row r="758" spans="1:7" ht="55.2">
      <c r="A758" s="87"/>
      <c r="B758" s="71" t="s">
        <v>5245</v>
      </c>
      <c r="C758" s="72"/>
      <c r="D758" s="92"/>
      <c r="E758" s="74"/>
      <c r="F758" s="75"/>
    </row>
    <row r="759" spans="1:7" ht="69">
      <c r="A759" s="87"/>
      <c r="B759" s="71" t="s">
        <v>5246</v>
      </c>
      <c r="C759" s="72"/>
      <c r="D759" s="92"/>
      <c r="E759" s="74"/>
      <c r="F759" s="75"/>
    </row>
    <row r="760" spans="1:7">
      <c r="A760" s="87"/>
      <c r="B760" s="71" t="s">
        <v>769</v>
      </c>
      <c r="C760" s="72"/>
      <c r="D760" s="92"/>
      <c r="E760" s="74"/>
      <c r="F760" s="75"/>
    </row>
    <row r="761" spans="1:7">
      <c r="A761" s="87"/>
      <c r="B761" s="71" t="s">
        <v>770</v>
      </c>
      <c r="C761" s="72"/>
      <c r="D761" s="92"/>
      <c r="E761" s="74"/>
      <c r="F761" s="75"/>
    </row>
    <row r="762" spans="1:7">
      <c r="A762" s="87"/>
      <c r="B762" s="71" t="s">
        <v>764</v>
      </c>
      <c r="C762" s="72"/>
      <c r="D762" s="92"/>
      <c r="E762" s="74"/>
      <c r="F762" s="75"/>
    </row>
    <row r="763" spans="1:7" ht="41.4">
      <c r="A763" s="89" t="s">
        <v>48</v>
      </c>
      <c r="B763" s="71" t="s">
        <v>3360</v>
      </c>
      <c r="C763" s="91" t="s">
        <v>675</v>
      </c>
      <c r="D763" s="73">
        <v>1584.06</v>
      </c>
      <c r="E763" s="74">
        <v>3.5</v>
      </c>
      <c r="F763" s="93">
        <f>IF(OR(OR(E763=0,E763=" "),OR(D763=0,D763=" "))," ",D763*E763)</f>
        <v>5544.21</v>
      </c>
      <c r="G763" s="73"/>
    </row>
    <row r="764" spans="1:7" ht="27.6">
      <c r="A764" s="89" t="s">
        <v>49</v>
      </c>
      <c r="B764" s="71" t="s">
        <v>3362</v>
      </c>
      <c r="C764" s="91" t="s">
        <v>675</v>
      </c>
      <c r="D764" s="73">
        <v>567</v>
      </c>
      <c r="E764" s="74">
        <v>3</v>
      </c>
      <c r="F764" s="93">
        <f>IF(OR(OR(E764=0,E764=" "),OR(D764=0,D764=" "))," ",D764*E764)</f>
        <v>1701</v>
      </c>
    </row>
    <row r="765" spans="1:7" ht="27.6">
      <c r="A765" s="89" t="s">
        <v>51</v>
      </c>
      <c r="B765" s="71" t="s">
        <v>3361</v>
      </c>
      <c r="C765" s="91" t="s">
        <v>675</v>
      </c>
      <c r="D765" s="73">
        <v>576</v>
      </c>
      <c r="E765" s="74">
        <v>4</v>
      </c>
      <c r="F765" s="93">
        <f>IF(OR(OR(E765=0,E765=" "),OR(D765=0,D765=" "))," ",D765*E765)</f>
        <v>2304</v>
      </c>
      <c r="G765" s="73"/>
    </row>
    <row r="766" spans="1:7">
      <c r="A766" s="89"/>
      <c r="B766" s="71"/>
      <c r="C766" s="91"/>
      <c r="D766" s="73"/>
      <c r="E766" s="74"/>
      <c r="F766" s="93"/>
    </row>
    <row r="767" spans="1:7">
      <c r="A767" s="87" t="s">
        <v>667</v>
      </c>
      <c r="B767" s="88" t="s">
        <v>1719</v>
      </c>
      <c r="C767" s="72"/>
      <c r="D767" s="92"/>
      <c r="E767" s="74"/>
      <c r="F767" s="75"/>
    </row>
    <row r="768" spans="1:7" ht="69">
      <c r="A768" s="70" t="s">
        <v>1053</v>
      </c>
      <c r="B768" s="364" t="s">
        <v>5125</v>
      </c>
      <c r="C768" s="72"/>
      <c r="D768" s="92"/>
      <c r="E768" s="74"/>
      <c r="F768" s="75"/>
    </row>
    <row r="769" spans="1:7" ht="124.2">
      <c r="A769" s="87"/>
      <c r="B769" s="71" t="s">
        <v>3196</v>
      </c>
      <c r="C769" s="72"/>
      <c r="D769" s="92"/>
      <c r="E769" s="74"/>
      <c r="F769" s="75"/>
    </row>
    <row r="770" spans="1:7" ht="69">
      <c r="A770" s="87"/>
      <c r="B770" s="71" t="s">
        <v>5126</v>
      </c>
      <c r="C770" s="72"/>
      <c r="D770" s="92"/>
      <c r="E770" s="74"/>
      <c r="F770" s="75"/>
    </row>
    <row r="771" spans="1:7" ht="27.6">
      <c r="A771" s="87"/>
      <c r="B771" s="71" t="s">
        <v>1721</v>
      </c>
      <c r="C771" s="72"/>
      <c r="D771" s="92"/>
      <c r="E771" s="74"/>
      <c r="F771" s="75"/>
    </row>
    <row r="772" spans="1:7">
      <c r="A772" s="89"/>
      <c r="B772" s="90" t="s">
        <v>769</v>
      </c>
      <c r="C772" s="91"/>
      <c r="D772" s="73"/>
      <c r="E772" s="74"/>
      <c r="F772" s="93"/>
    </row>
    <row r="773" spans="1:7">
      <c r="A773" s="89"/>
      <c r="B773" s="90" t="s">
        <v>1720</v>
      </c>
      <c r="C773" s="91"/>
      <c r="D773" s="73"/>
      <c r="E773" s="74"/>
      <c r="F773" s="93"/>
    </row>
    <row r="774" spans="1:7">
      <c r="A774" s="89" t="s">
        <v>48</v>
      </c>
      <c r="B774" s="90" t="s">
        <v>3364</v>
      </c>
      <c r="C774" s="91" t="s">
        <v>675</v>
      </c>
      <c r="D774" s="73">
        <v>3186</v>
      </c>
      <c r="E774" s="74">
        <v>4</v>
      </c>
      <c r="F774" s="93">
        <f>IF(OR(OR(E774=0,E774=" "),OR(D774=0,D774=" "))," ",D774*E774)</f>
        <v>12744</v>
      </c>
      <c r="G774" s="73"/>
    </row>
    <row r="775" spans="1:7">
      <c r="A775" s="87"/>
      <c r="B775" s="88"/>
      <c r="C775" s="72"/>
      <c r="D775" s="92"/>
      <c r="E775" s="74"/>
      <c r="F775" s="75"/>
    </row>
    <row r="776" spans="1:7" ht="55.2">
      <c r="A776" s="70" t="s">
        <v>1054</v>
      </c>
      <c r="B776" s="364" t="s">
        <v>5127</v>
      </c>
      <c r="C776" s="72"/>
      <c r="D776" s="92"/>
      <c r="E776" s="74"/>
      <c r="F776" s="75"/>
    </row>
    <row r="777" spans="1:7" ht="69">
      <c r="A777" s="87"/>
      <c r="B777" s="71" t="s">
        <v>5247</v>
      </c>
      <c r="C777" s="72"/>
      <c r="D777" s="92"/>
      <c r="E777" s="74"/>
      <c r="F777" s="75"/>
    </row>
    <row r="778" spans="1:7" ht="82.8">
      <c r="A778" s="87"/>
      <c r="B778" s="71" t="s">
        <v>3197</v>
      </c>
      <c r="C778" s="72"/>
      <c r="D778" s="92"/>
      <c r="E778" s="74"/>
      <c r="F778" s="75"/>
    </row>
    <row r="779" spans="1:7">
      <c r="A779" s="76"/>
      <c r="B779" s="71" t="s">
        <v>769</v>
      </c>
      <c r="C779" s="78"/>
      <c r="D779" s="73"/>
      <c r="E779" s="74"/>
      <c r="F779" s="79"/>
    </row>
    <row r="780" spans="1:7">
      <c r="A780" s="89"/>
      <c r="B780" s="71" t="s">
        <v>1720</v>
      </c>
      <c r="C780" s="91"/>
      <c r="D780" s="73"/>
      <c r="E780" s="74"/>
      <c r="F780" s="93"/>
    </row>
    <row r="781" spans="1:7" ht="27.6">
      <c r="A781" s="89"/>
      <c r="B781" s="71" t="s">
        <v>3363</v>
      </c>
      <c r="C781" s="91"/>
      <c r="D781" s="73"/>
      <c r="E781" s="74"/>
      <c r="F781" s="93"/>
    </row>
    <row r="782" spans="1:7">
      <c r="A782" s="89" t="s">
        <v>48</v>
      </c>
      <c r="B782" s="71" t="s">
        <v>1722</v>
      </c>
      <c r="C782" s="91" t="s">
        <v>675</v>
      </c>
      <c r="D782" s="73">
        <v>284</v>
      </c>
      <c r="E782" s="74">
        <v>4</v>
      </c>
      <c r="F782" s="93">
        <f>IF(OR(OR(E782=0,E782=" "),OR(D782=0,D782=" "))," ",D782*E782)</f>
        <v>1136</v>
      </c>
    </row>
    <row r="783" spans="1:7">
      <c r="A783" s="89"/>
      <c r="B783" s="90"/>
      <c r="C783" s="91"/>
      <c r="D783" s="73"/>
      <c r="E783" s="74"/>
      <c r="F783" s="93"/>
    </row>
    <row r="784" spans="1:7">
      <c r="A784" s="87" t="s">
        <v>667</v>
      </c>
      <c r="B784" s="88" t="s">
        <v>1723</v>
      </c>
      <c r="C784" s="91"/>
      <c r="D784" s="73"/>
      <c r="E784" s="74"/>
      <c r="F784" s="93"/>
    </row>
    <row r="785" spans="1:6" ht="27.6">
      <c r="A785" s="70" t="s">
        <v>1055</v>
      </c>
      <c r="B785" s="358" t="s">
        <v>1725</v>
      </c>
      <c r="C785" s="72"/>
      <c r="D785" s="92"/>
      <c r="E785" s="74"/>
      <c r="F785" s="75"/>
    </row>
    <row r="786" spans="1:6" ht="69">
      <c r="A786" s="87"/>
      <c r="B786" s="71" t="s">
        <v>1726</v>
      </c>
      <c r="C786" s="72"/>
      <c r="D786" s="92"/>
      <c r="E786" s="74"/>
      <c r="F786" s="75"/>
    </row>
    <row r="787" spans="1:6">
      <c r="A787" s="76"/>
      <c r="B787" s="71" t="s">
        <v>769</v>
      </c>
      <c r="C787" s="78"/>
      <c r="D787" s="73"/>
      <c r="E787" s="74"/>
      <c r="F787" s="79"/>
    </row>
    <row r="788" spans="1:6">
      <c r="A788" s="89"/>
      <c r="B788" s="71" t="s">
        <v>1720</v>
      </c>
      <c r="C788" s="91"/>
      <c r="D788" s="73"/>
      <c r="E788" s="74"/>
      <c r="F788" s="93"/>
    </row>
    <row r="789" spans="1:6">
      <c r="A789" s="89"/>
      <c r="B789" s="71" t="s">
        <v>3365</v>
      </c>
      <c r="C789" s="91"/>
      <c r="D789" s="73"/>
      <c r="E789" s="74"/>
      <c r="F789" s="93"/>
    </row>
    <row r="790" spans="1:6">
      <c r="A790" s="89" t="s">
        <v>48</v>
      </c>
      <c r="B790" s="71" t="s">
        <v>1727</v>
      </c>
      <c r="C790" s="91" t="s">
        <v>675</v>
      </c>
      <c r="D790" s="73">
        <v>1468</v>
      </c>
      <c r="E790" s="74">
        <v>2</v>
      </c>
      <c r="F790" s="93">
        <f>IF(OR(OR(E790=0,E790=" "),OR(D790=0,D790=" "))," ",D790*E790)</f>
        <v>2936</v>
      </c>
    </row>
    <row r="791" spans="1:6">
      <c r="A791" s="89"/>
      <c r="B791" s="90"/>
      <c r="C791" s="91"/>
      <c r="D791" s="73"/>
      <c r="E791" s="74"/>
      <c r="F791" s="93"/>
    </row>
    <row r="792" spans="1:6">
      <c r="A792" s="87" t="s">
        <v>667</v>
      </c>
      <c r="B792" s="88" t="s">
        <v>771</v>
      </c>
      <c r="C792" s="91"/>
      <c r="D792" s="73"/>
      <c r="E792" s="74"/>
      <c r="F792" s="93"/>
    </row>
    <row r="793" spans="1:6" ht="69">
      <c r="A793" s="70" t="s">
        <v>1724</v>
      </c>
      <c r="B793" s="371" t="s">
        <v>1740</v>
      </c>
      <c r="C793" s="91"/>
      <c r="D793" s="73"/>
      <c r="E793" s="74"/>
      <c r="F793" s="93"/>
    </row>
    <row r="794" spans="1:6" ht="82.8">
      <c r="A794" s="89"/>
      <c r="B794" s="112" t="s">
        <v>1731</v>
      </c>
      <c r="C794" s="91"/>
      <c r="D794" s="73"/>
      <c r="E794" s="74"/>
      <c r="F794" s="93"/>
    </row>
    <row r="795" spans="1:6">
      <c r="A795" s="89"/>
      <c r="B795" s="112" t="s">
        <v>1729</v>
      </c>
      <c r="C795" s="91"/>
      <c r="D795" s="73"/>
      <c r="E795" s="74"/>
      <c r="F795" s="93"/>
    </row>
    <row r="796" spans="1:6" ht="55.2">
      <c r="A796" s="89"/>
      <c r="B796" s="112" t="s">
        <v>4115</v>
      </c>
      <c r="C796" s="91"/>
      <c r="D796" s="73"/>
      <c r="E796" s="74"/>
      <c r="F796" s="93"/>
    </row>
    <row r="797" spans="1:6" ht="82.8">
      <c r="A797" s="89"/>
      <c r="B797" s="112" t="s">
        <v>3198</v>
      </c>
      <c r="C797" s="91"/>
      <c r="D797" s="73"/>
      <c r="E797" s="74"/>
      <c r="F797" s="93"/>
    </row>
    <row r="798" spans="1:6" ht="41.4">
      <c r="A798" s="89"/>
      <c r="B798" s="112" t="s">
        <v>1733</v>
      </c>
      <c r="C798" s="91"/>
      <c r="D798" s="73"/>
      <c r="E798" s="74"/>
      <c r="F798" s="93"/>
    </row>
    <row r="799" spans="1:6" ht="82.8">
      <c r="A799" s="89"/>
      <c r="B799" s="112" t="s">
        <v>3199</v>
      </c>
      <c r="C799" s="91"/>
      <c r="D799" s="73"/>
      <c r="E799" s="74"/>
      <c r="F799" s="93"/>
    </row>
    <row r="800" spans="1:6">
      <c r="A800" s="89"/>
      <c r="B800" s="112" t="s">
        <v>1734</v>
      </c>
      <c r="C800" s="91"/>
      <c r="D800" s="73"/>
      <c r="E800" s="74"/>
      <c r="F800" s="93"/>
    </row>
    <row r="801" spans="1:6">
      <c r="A801" s="89"/>
      <c r="B801" s="112" t="s">
        <v>1735</v>
      </c>
      <c r="C801" s="91"/>
      <c r="D801" s="73"/>
      <c r="E801" s="74"/>
      <c r="F801" s="93"/>
    </row>
    <row r="802" spans="1:6" ht="110.4">
      <c r="A802" s="89"/>
      <c r="B802" s="112" t="s">
        <v>4116</v>
      </c>
      <c r="C802" s="91"/>
      <c r="D802" s="73"/>
      <c r="E802" s="74"/>
      <c r="F802" s="93"/>
    </row>
    <row r="803" spans="1:6" ht="27.6">
      <c r="A803" s="89"/>
      <c r="B803" s="112" t="s">
        <v>755</v>
      </c>
      <c r="C803" s="91"/>
      <c r="D803" s="73"/>
      <c r="E803" s="74"/>
      <c r="F803" s="93"/>
    </row>
    <row r="804" spans="1:6" ht="69">
      <c r="A804" s="89"/>
      <c r="B804" s="112" t="s">
        <v>5248</v>
      </c>
      <c r="C804" s="91"/>
      <c r="D804" s="73"/>
      <c r="E804" s="74"/>
      <c r="F804" s="93"/>
    </row>
    <row r="805" spans="1:6">
      <c r="A805" s="89"/>
      <c r="B805" s="112" t="s">
        <v>769</v>
      </c>
      <c r="C805" s="91"/>
      <c r="D805" s="73"/>
      <c r="E805" s="74"/>
      <c r="F805" s="93"/>
    </row>
    <row r="806" spans="1:6">
      <c r="A806" s="89"/>
      <c r="B806" s="112" t="s">
        <v>1730</v>
      </c>
      <c r="C806" s="91"/>
      <c r="D806" s="73"/>
      <c r="E806" s="74"/>
      <c r="F806" s="93"/>
    </row>
    <row r="807" spans="1:6" ht="41.4">
      <c r="A807" s="89" t="s">
        <v>48</v>
      </c>
      <c r="B807" s="90" t="s">
        <v>1736</v>
      </c>
      <c r="C807" s="91" t="s">
        <v>675</v>
      </c>
      <c r="D807" s="73">
        <v>347</v>
      </c>
      <c r="E807" s="74">
        <v>25</v>
      </c>
      <c r="F807" s="93">
        <f>IF(OR(OR(E807=0,E807=" "),OR(D807=0,D807=" "))," ",D807*E807)</f>
        <v>8675</v>
      </c>
    </row>
    <row r="808" spans="1:6" ht="41.4">
      <c r="A808" s="89" t="s">
        <v>49</v>
      </c>
      <c r="B808" s="90" t="s">
        <v>1737</v>
      </c>
      <c r="C808" s="91" t="s">
        <v>675</v>
      </c>
      <c r="D808" s="73">
        <v>158</v>
      </c>
      <c r="E808" s="74">
        <v>25</v>
      </c>
      <c r="F808" s="93">
        <f>IF(OR(OR(E808=0,E808=" "),OR(D808=0,D808=" "))," ",D808*E808)</f>
        <v>3950</v>
      </c>
    </row>
    <row r="809" spans="1:6">
      <c r="A809" s="98"/>
      <c r="B809" s="99"/>
      <c r="C809" s="100"/>
      <c r="D809" s="101"/>
      <c r="E809" s="100"/>
      <c r="F809" s="102"/>
    </row>
    <row r="810" spans="1:6">
      <c r="A810" s="103" t="str">
        <f>A706</f>
        <v>B.1.</v>
      </c>
      <c r="B810" s="104" t="str">
        <f>CONCATENATE(B706," ", "UKUPNO:")</f>
        <v>HIDROIZOLACIJE UKUPNO:</v>
      </c>
      <c r="D810" s="73"/>
      <c r="E810" s="74"/>
      <c r="F810" s="663">
        <f>SUM(F709:F809)</f>
        <v>117717.21</v>
      </c>
    </row>
    <row r="811" spans="1:6">
      <c r="A811" s="106"/>
      <c r="B811" s="107"/>
      <c r="C811" s="72"/>
      <c r="D811" s="73"/>
      <c r="E811" s="74"/>
      <c r="F811" s="108"/>
    </row>
    <row r="812" spans="1:6">
      <c r="A812" s="70"/>
      <c r="B812" s="71"/>
      <c r="C812" s="72"/>
      <c r="D812" s="73"/>
      <c r="E812" s="74"/>
      <c r="F812" s="75"/>
    </row>
    <row r="813" spans="1:6">
      <c r="A813" s="260" t="s">
        <v>1056</v>
      </c>
      <c r="B813" s="82" t="s">
        <v>772</v>
      </c>
      <c r="C813" s="83"/>
      <c r="D813" s="84"/>
      <c r="E813" s="85"/>
      <c r="F813" s="86"/>
    </row>
    <row r="814" spans="1:6">
      <c r="A814" s="70"/>
      <c r="B814" s="71"/>
      <c r="C814" s="72"/>
      <c r="D814" s="73"/>
      <c r="E814" s="74"/>
      <c r="F814" s="75"/>
    </row>
    <row r="815" spans="1:6" ht="55.2">
      <c r="A815" s="70"/>
      <c r="B815" s="96" t="s">
        <v>3200</v>
      </c>
      <c r="C815" s="72"/>
      <c r="D815" s="73"/>
      <c r="E815" s="74"/>
      <c r="F815" s="75"/>
    </row>
    <row r="816" spans="1:6">
      <c r="A816" s="70"/>
      <c r="B816" s="71"/>
      <c r="C816" s="72"/>
      <c r="D816" s="73"/>
      <c r="E816" s="74"/>
      <c r="F816" s="75"/>
    </row>
    <row r="817" spans="1:6">
      <c r="A817" s="87" t="s">
        <v>667</v>
      </c>
      <c r="B817" s="88" t="s">
        <v>773</v>
      </c>
      <c r="C817" s="72"/>
      <c r="D817" s="92"/>
      <c r="E817" s="74"/>
      <c r="F817" s="75"/>
    </row>
    <row r="818" spans="1:6" ht="193.2">
      <c r="A818" s="89" t="s">
        <v>1057</v>
      </c>
      <c r="B818" s="362" t="s">
        <v>5249</v>
      </c>
      <c r="C818" s="91"/>
      <c r="D818" s="73"/>
      <c r="E818" s="74"/>
      <c r="F818" s="94"/>
    </row>
    <row r="819" spans="1:6" ht="82.8">
      <c r="A819" s="76" t="s">
        <v>665</v>
      </c>
      <c r="B819" s="90" t="s">
        <v>5250</v>
      </c>
      <c r="C819" s="78"/>
      <c r="D819" s="73"/>
      <c r="E819" s="74"/>
      <c r="F819" s="79"/>
    </row>
    <row r="820" spans="1:6" ht="110.4">
      <c r="A820" s="76" t="s">
        <v>665</v>
      </c>
      <c r="B820" s="90" t="s">
        <v>5251</v>
      </c>
      <c r="C820" s="78"/>
      <c r="D820" s="73"/>
      <c r="E820" s="74"/>
      <c r="F820" s="79"/>
    </row>
    <row r="821" spans="1:6" ht="41.4">
      <c r="A821" s="76" t="s">
        <v>665</v>
      </c>
      <c r="B821" s="90" t="s">
        <v>774</v>
      </c>
      <c r="C821" s="78"/>
      <c r="D821" s="73"/>
      <c r="E821" s="74"/>
      <c r="F821" s="79"/>
    </row>
    <row r="822" spans="1:6" ht="27.6">
      <c r="A822" s="89" t="s">
        <v>48</v>
      </c>
      <c r="B822" s="90" t="s">
        <v>3366</v>
      </c>
      <c r="C822" s="91" t="s">
        <v>675</v>
      </c>
      <c r="D822" s="73">
        <v>7.5</v>
      </c>
      <c r="E822" s="74">
        <v>20</v>
      </c>
      <c r="F822" s="93">
        <f>IF(OR(OR(E822=0,E822=" "),OR(D822=0,D822=" "))," ",D822*E822)</f>
        <v>150</v>
      </c>
    </row>
    <row r="823" spans="1:6">
      <c r="A823" s="87"/>
      <c r="B823" s="96"/>
      <c r="C823" s="72"/>
      <c r="D823" s="92"/>
      <c r="E823" s="74"/>
      <c r="F823" s="75"/>
    </row>
    <row r="824" spans="1:6" ht="220.8">
      <c r="A824" s="89" t="s">
        <v>1058</v>
      </c>
      <c r="B824" s="362" t="s">
        <v>5252</v>
      </c>
      <c r="C824" s="91"/>
      <c r="D824" s="73"/>
      <c r="E824" s="74"/>
      <c r="F824" s="94"/>
    </row>
    <row r="825" spans="1:6" ht="82.8">
      <c r="A825" s="76" t="s">
        <v>665</v>
      </c>
      <c r="B825" s="90" t="s">
        <v>5253</v>
      </c>
      <c r="C825" s="78"/>
      <c r="D825" s="73"/>
      <c r="E825" s="74"/>
      <c r="F825" s="79"/>
    </row>
    <row r="826" spans="1:6" ht="96.6">
      <c r="A826" s="76" t="s">
        <v>665</v>
      </c>
      <c r="B826" s="90" t="s">
        <v>5254</v>
      </c>
      <c r="C826" s="78"/>
      <c r="D826" s="73"/>
      <c r="E826" s="74"/>
      <c r="F826" s="79"/>
    </row>
    <row r="827" spans="1:6" ht="41.4">
      <c r="A827" s="76" t="s">
        <v>665</v>
      </c>
      <c r="B827" s="90" t="s">
        <v>774</v>
      </c>
      <c r="C827" s="78"/>
      <c r="D827" s="73"/>
      <c r="E827" s="74"/>
      <c r="F827" s="79"/>
    </row>
    <row r="828" spans="1:6">
      <c r="A828" s="89" t="s">
        <v>48</v>
      </c>
      <c r="B828" s="90" t="s">
        <v>776</v>
      </c>
      <c r="C828" s="91" t="s">
        <v>675</v>
      </c>
      <c r="D828" s="73">
        <v>124</v>
      </c>
      <c r="E828" s="74">
        <v>30</v>
      </c>
      <c r="F828" s="93">
        <f>IF(OR(OR(E828=0,E828=" "),OR(D828=0,D828=" "))," ",D828*E828)</f>
        <v>3720</v>
      </c>
    </row>
    <row r="829" spans="1:6">
      <c r="A829" s="89" t="s">
        <v>49</v>
      </c>
      <c r="B829" s="90" t="s">
        <v>3369</v>
      </c>
      <c r="C829" s="91" t="s">
        <v>675</v>
      </c>
      <c r="D829" s="73">
        <v>53</v>
      </c>
      <c r="E829" s="74">
        <v>25</v>
      </c>
      <c r="F829" s="93">
        <f>IF(OR(OR(E829=0,E829=" "),OR(D829=0,D829=" "))," ",D829*E829)</f>
        <v>1325</v>
      </c>
    </row>
    <row r="830" spans="1:6">
      <c r="A830" s="89" t="s">
        <v>51</v>
      </c>
      <c r="B830" s="90" t="s">
        <v>3368</v>
      </c>
      <c r="C830" s="91" t="s">
        <v>675</v>
      </c>
      <c r="D830" s="73">
        <v>5.5</v>
      </c>
      <c r="E830" s="74">
        <v>20</v>
      </c>
      <c r="F830" s="93">
        <f t="shared" ref="F830:F831" si="11">IF(OR(OR(E830=0,E830=" "),OR(D830=0,D830=" "))," ",D830*E830)</f>
        <v>110</v>
      </c>
    </row>
    <row r="831" spans="1:6">
      <c r="A831" s="89" t="s">
        <v>53</v>
      </c>
      <c r="B831" s="90" t="s">
        <v>3367</v>
      </c>
      <c r="C831" s="91" t="s">
        <v>675</v>
      </c>
      <c r="D831" s="73">
        <v>2</v>
      </c>
      <c r="E831" s="74">
        <v>20</v>
      </c>
      <c r="F831" s="93">
        <f t="shared" si="11"/>
        <v>40</v>
      </c>
    </row>
    <row r="832" spans="1:6">
      <c r="A832" s="89"/>
      <c r="B832" s="90"/>
      <c r="C832" s="91"/>
      <c r="D832" s="73"/>
      <c r="E832" s="74"/>
      <c r="F832" s="93"/>
    </row>
    <row r="833" spans="1:6">
      <c r="A833" s="87"/>
      <c r="B833" s="96"/>
      <c r="C833" s="72"/>
      <c r="D833" s="92"/>
      <c r="E833" s="74"/>
      <c r="F833" s="75"/>
    </row>
    <row r="834" spans="1:6" ht="151.80000000000001">
      <c r="A834" s="89" t="s">
        <v>1059</v>
      </c>
      <c r="B834" s="362" t="s">
        <v>5255</v>
      </c>
      <c r="C834" s="91"/>
      <c r="D834" s="73"/>
      <c r="E834" s="74"/>
      <c r="F834" s="94"/>
    </row>
    <row r="835" spans="1:6" ht="82.8">
      <c r="A835" s="76" t="s">
        <v>665</v>
      </c>
      <c r="B835" s="90" t="s">
        <v>5713</v>
      </c>
      <c r="C835" s="78"/>
      <c r="D835" s="73"/>
      <c r="E835" s="74"/>
      <c r="F835" s="79"/>
    </row>
    <row r="836" spans="1:6" ht="96.6">
      <c r="A836" s="76" t="s">
        <v>665</v>
      </c>
      <c r="B836" s="90" t="s">
        <v>5256</v>
      </c>
      <c r="C836" s="78"/>
      <c r="D836" s="73"/>
      <c r="E836" s="74"/>
      <c r="F836" s="79"/>
    </row>
    <row r="837" spans="1:6" ht="41.4">
      <c r="A837" s="76"/>
      <c r="B837" s="90" t="s">
        <v>3371</v>
      </c>
      <c r="C837" s="78"/>
      <c r="D837" s="73"/>
      <c r="E837" s="74"/>
      <c r="F837" s="79"/>
    </row>
    <row r="838" spans="1:6" ht="41.4">
      <c r="A838" s="76" t="s">
        <v>665</v>
      </c>
      <c r="B838" s="90" t="s">
        <v>775</v>
      </c>
      <c r="C838" s="78"/>
      <c r="D838" s="73"/>
      <c r="E838" s="74"/>
      <c r="F838" s="79"/>
    </row>
    <row r="839" spans="1:6" ht="41.4">
      <c r="A839" s="89" t="s">
        <v>48</v>
      </c>
      <c r="B839" s="90" t="s">
        <v>3373</v>
      </c>
      <c r="C839" s="91" t="s">
        <v>675</v>
      </c>
      <c r="D839" s="73">
        <v>11.5</v>
      </c>
      <c r="E839" s="74">
        <v>20</v>
      </c>
      <c r="F839" s="93">
        <f>IF(OR(OR(E839=0,E839=" "),OR(D839=0,D839=" "))," ",D839*E839)</f>
        <v>230</v>
      </c>
    </row>
    <row r="840" spans="1:6" ht="41.4">
      <c r="A840" s="89" t="s">
        <v>49</v>
      </c>
      <c r="B840" s="90" t="s">
        <v>3372</v>
      </c>
      <c r="C840" s="91" t="s">
        <v>675</v>
      </c>
      <c r="D840" s="73">
        <v>70</v>
      </c>
      <c r="E840" s="74">
        <v>10</v>
      </c>
      <c r="F840" s="93">
        <f>IF(OR(OR(E840=0,E840=" "),OR(D840=0,D840=" "))," ",D840*E840)</f>
        <v>700</v>
      </c>
    </row>
    <row r="841" spans="1:6">
      <c r="A841" s="87"/>
      <c r="B841" s="96"/>
      <c r="C841" s="72"/>
      <c r="D841" s="92"/>
      <c r="E841" s="74"/>
      <c r="F841" s="75"/>
    </row>
    <row r="842" spans="1:6" ht="193.2">
      <c r="A842" s="89" t="s">
        <v>1060</v>
      </c>
      <c r="B842" s="362" t="s">
        <v>5257</v>
      </c>
      <c r="C842" s="91"/>
      <c r="D842" s="73"/>
      <c r="E842" s="74"/>
      <c r="F842" s="94"/>
    </row>
    <row r="843" spans="1:6" ht="96.6">
      <c r="A843" s="76" t="s">
        <v>665</v>
      </c>
      <c r="B843" s="90" t="s">
        <v>5714</v>
      </c>
      <c r="C843" s="78"/>
      <c r="D843" s="73"/>
      <c r="E843" s="74"/>
      <c r="F843" s="79"/>
    </row>
    <row r="844" spans="1:6" ht="82.8">
      <c r="A844" s="76" t="s">
        <v>665</v>
      </c>
      <c r="B844" s="90" t="s">
        <v>5258</v>
      </c>
      <c r="C844" s="78"/>
      <c r="D844" s="73"/>
      <c r="E844" s="74"/>
      <c r="F844" s="79"/>
    </row>
    <row r="845" spans="1:6" ht="41.4">
      <c r="A845" s="76" t="s">
        <v>665</v>
      </c>
      <c r="B845" s="90" t="s">
        <v>774</v>
      </c>
      <c r="C845" s="78"/>
      <c r="D845" s="73"/>
      <c r="E845" s="74"/>
      <c r="F845" s="79"/>
    </row>
    <row r="846" spans="1:6">
      <c r="A846" s="89" t="s">
        <v>48</v>
      </c>
      <c r="B846" s="90" t="s">
        <v>3374</v>
      </c>
      <c r="C846" s="91" t="s">
        <v>675</v>
      </c>
      <c r="D846" s="73">
        <v>14.5</v>
      </c>
      <c r="E846" s="74">
        <v>20</v>
      </c>
      <c r="F846" s="93">
        <f>IF(OR(OR(E846=0,E846=" "),OR(D846=0,D846=" "))," ",D846*E846)</f>
        <v>290</v>
      </c>
    </row>
    <row r="847" spans="1:6">
      <c r="A847" s="87"/>
      <c r="B847" s="96"/>
      <c r="C847" s="72"/>
      <c r="D847" s="92"/>
      <c r="E847" s="74"/>
      <c r="F847" s="75"/>
    </row>
    <row r="848" spans="1:6" ht="110.4">
      <c r="A848" s="89" t="s">
        <v>1061</v>
      </c>
      <c r="B848" s="362" t="s">
        <v>5259</v>
      </c>
      <c r="C848" s="91"/>
      <c r="D848" s="73"/>
      <c r="E848" s="74"/>
      <c r="F848" s="94"/>
    </row>
    <row r="849" spans="1:7" ht="82.8">
      <c r="A849" s="76" t="s">
        <v>665</v>
      </c>
      <c r="B849" s="90" t="s">
        <v>5260</v>
      </c>
      <c r="C849" s="78"/>
      <c r="D849" s="73"/>
      <c r="E849" s="74"/>
      <c r="F849" s="79"/>
    </row>
    <row r="850" spans="1:7" ht="82.8">
      <c r="A850" s="76" t="s">
        <v>665</v>
      </c>
      <c r="B850" s="90" t="s">
        <v>5261</v>
      </c>
      <c r="C850" s="78"/>
      <c r="D850" s="73"/>
      <c r="E850" s="74"/>
      <c r="F850" s="79"/>
    </row>
    <row r="851" spans="1:7" ht="41.4">
      <c r="A851" s="76" t="s">
        <v>665</v>
      </c>
      <c r="B851" s="90" t="s">
        <v>774</v>
      </c>
      <c r="C851" s="78"/>
      <c r="D851" s="73"/>
      <c r="E851" s="74"/>
      <c r="F851" s="79"/>
    </row>
    <row r="852" spans="1:7">
      <c r="A852" s="89" t="s">
        <v>48</v>
      </c>
      <c r="B852" s="90" t="s">
        <v>3367</v>
      </c>
      <c r="C852" s="91" t="s">
        <v>675</v>
      </c>
      <c r="D852" s="73">
        <v>22.5</v>
      </c>
      <c r="E852" s="74">
        <v>20</v>
      </c>
      <c r="F852" s="93">
        <f>IF(OR(OR(E852=0,E852=" "),OR(D852=0,D852=" "))," ",D852*E852)</f>
        <v>450</v>
      </c>
    </row>
    <row r="853" spans="1:7">
      <c r="A853" s="87"/>
      <c r="B853" s="96"/>
      <c r="C853" s="72"/>
      <c r="D853" s="92"/>
      <c r="E853" s="74"/>
      <c r="F853" s="75"/>
    </row>
    <row r="854" spans="1:7">
      <c r="A854" s="87" t="s">
        <v>667</v>
      </c>
      <c r="B854" s="88" t="s">
        <v>777</v>
      </c>
      <c r="C854" s="72"/>
      <c r="D854" s="92"/>
      <c r="E854" s="74"/>
      <c r="F854" s="75"/>
    </row>
    <row r="855" spans="1:7" ht="55.2">
      <c r="A855" s="89" t="s">
        <v>1062</v>
      </c>
      <c r="B855" s="362" t="s">
        <v>3380</v>
      </c>
      <c r="C855" s="91"/>
      <c r="D855" s="73"/>
      <c r="E855" s="74"/>
      <c r="F855" s="94"/>
    </row>
    <row r="856" spans="1:7" ht="151.80000000000001">
      <c r="A856" s="89"/>
      <c r="B856" s="90" t="s">
        <v>5262</v>
      </c>
      <c r="C856" s="91"/>
      <c r="D856" s="73"/>
      <c r="E856" s="74"/>
      <c r="F856" s="94"/>
    </row>
    <row r="857" spans="1:7" ht="27.6">
      <c r="A857" s="89"/>
      <c r="B857" s="90" t="s">
        <v>3381</v>
      </c>
      <c r="C857" s="91"/>
      <c r="D857" s="73"/>
      <c r="E857" s="74"/>
      <c r="F857" s="94"/>
    </row>
    <row r="858" spans="1:7" ht="41.4">
      <c r="A858" s="76" t="s">
        <v>665</v>
      </c>
      <c r="B858" s="90" t="s">
        <v>775</v>
      </c>
      <c r="C858" s="78"/>
      <c r="D858" s="73"/>
      <c r="E858" s="74"/>
      <c r="F858" s="79"/>
    </row>
    <row r="859" spans="1:7" ht="27.6">
      <c r="A859" s="76"/>
      <c r="B859" s="90" t="s">
        <v>3384</v>
      </c>
      <c r="C859" s="78"/>
      <c r="D859" s="73"/>
      <c r="E859" s="74"/>
      <c r="F859" s="79"/>
    </row>
    <row r="860" spans="1:7">
      <c r="A860" s="89" t="s">
        <v>48</v>
      </c>
      <c r="B860" s="90" t="s">
        <v>3382</v>
      </c>
      <c r="C860" s="91" t="s">
        <v>675</v>
      </c>
      <c r="D860" s="73">
        <v>1348</v>
      </c>
      <c r="E860" s="74">
        <v>3.5</v>
      </c>
      <c r="F860" s="93">
        <f>IF(OR(OR(E860=0,E860=" "),OR(D860=0,D860=" "))," ",D860*E860)</f>
        <v>4718</v>
      </c>
      <c r="G860" s="73"/>
    </row>
    <row r="861" spans="1:7">
      <c r="A861" s="87"/>
      <c r="B861" s="96"/>
      <c r="C861" s="72"/>
      <c r="D861" s="92"/>
      <c r="E861" s="74"/>
      <c r="F861" s="75"/>
    </row>
    <row r="862" spans="1:7" ht="55.2">
      <c r="A862" s="89" t="s">
        <v>1063</v>
      </c>
      <c r="B862" s="361" t="s">
        <v>1741</v>
      </c>
      <c r="C862" s="91"/>
      <c r="D862" s="73"/>
      <c r="E862" s="74"/>
      <c r="F862" s="94"/>
    </row>
    <row r="863" spans="1:7" ht="138">
      <c r="A863" s="89"/>
      <c r="B863" s="90" t="s">
        <v>5263</v>
      </c>
      <c r="C863" s="91"/>
      <c r="D863" s="73"/>
      <c r="E863" s="74"/>
      <c r="F863" s="94"/>
    </row>
    <row r="864" spans="1:7" ht="41.4">
      <c r="A864" s="89"/>
      <c r="B864" s="90" t="s">
        <v>3383</v>
      </c>
      <c r="C864" s="91"/>
      <c r="D864" s="73"/>
      <c r="E864" s="74"/>
      <c r="F864" s="94"/>
    </row>
    <row r="865" spans="1:7" ht="41.4">
      <c r="A865" s="89"/>
      <c r="B865" s="90" t="s">
        <v>778</v>
      </c>
      <c r="C865" s="91"/>
      <c r="D865" s="73"/>
      <c r="E865" s="74"/>
      <c r="F865" s="94"/>
    </row>
    <row r="866" spans="1:7" ht="138">
      <c r="A866" s="89"/>
      <c r="B866" s="90" t="s">
        <v>5264</v>
      </c>
      <c r="C866" s="91"/>
      <c r="D866" s="73"/>
      <c r="E866" s="74"/>
      <c r="F866" s="94"/>
    </row>
    <row r="867" spans="1:7" ht="41.4">
      <c r="A867" s="89"/>
      <c r="B867" s="90" t="s">
        <v>4859</v>
      </c>
      <c r="C867" s="91"/>
      <c r="D867" s="73"/>
      <c r="E867" s="74"/>
      <c r="F867" s="94"/>
    </row>
    <row r="868" spans="1:7" ht="41.4">
      <c r="A868" s="76" t="s">
        <v>665</v>
      </c>
      <c r="B868" s="90" t="s">
        <v>775</v>
      </c>
      <c r="C868" s="78"/>
      <c r="D868" s="73"/>
      <c r="E868" s="74"/>
      <c r="F868" s="79"/>
    </row>
    <row r="869" spans="1:7" ht="27.6">
      <c r="A869" s="76"/>
      <c r="B869" s="90" t="s">
        <v>3384</v>
      </c>
      <c r="C869" s="78"/>
      <c r="D869" s="73"/>
      <c r="E869" s="74"/>
      <c r="F869" s="79"/>
    </row>
    <row r="870" spans="1:7" ht="55.2">
      <c r="A870" s="89" t="s">
        <v>48</v>
      </c>
      <c r="B870" s="90" t="s">
        <v>3385</v>
      </c>
      <c r="C870" s="91" t="s">
        <v>675</v>
      </c>
      <c r="D870" s="73">
        <v>942</v>
      </c>
      <c r="E870" s="74">
        <v>10</v>
      </c>
      <c r="F870" s="93">
        <f>IF(OR(OR(E870=0,E870=" "),OR(D870=0,D870=" "))," ",D870*E870)</f>
        <v>9420</v>
      </c>
      <c r="G870" s="73"/>
    </row>
    <row r="871" spans="1:7" ht="55.2">
      <c r="A871" s="89" t="s">
        <v>49</v>
      </c>
      <c r="B871" s="90" t="s">
        <v>3386</v>
      </c>
      <c r="C871" s="91" t="s">
        <v>675</v>
      </c>
      <c r="D871" s="73">
        <v>119</v>
      </c>
      <c r="E871" s="74">
        <v>15</v>
      </c>
      <c r="F871" s="93">
        <f>IF(OR(OR(E871=0,E871=" "),OR(D871=0,D871=" "))," ",D871*E871)</f>
        <v>1785</v>
      </c>
    </row>
    <row r="872" spans="1:7" ht="41.4">
      <c r="A872" s="89" t="s">
        <v>51</v>
      </c>
      <c r="B872" s="90" t="s">
        <v>3387</v>
      </c>
      <c r="C872" s="91" t="s">
        <v>675</v>
      </c>
      <c r="D872" s="73">
        <v>406</v>
      </c>
      <c r="E872" s="74">
        <v>5</v>
      </c>
      <c r="F872" s="93">
        <f>IF(OR(OR(E872=0,E872=" "),OR(D872=0,D872=" "))," ",D872*E872)</f>
        <v>2030</v>
      </c>
    </row>
    <row r="873" spans="1:7">
      <c r="A873" s="87"/>
      <c r="B873" s="96"/>
      <c r="C873" s="72"/>
      <c r="D873" s="92"/>
      <c r="E873" s="74"/>
      <c r="F873" s="75"/>
    </row>
    <row r="874" spans="1:7" ht="55.2">
      <c r="A874" s="89" t="s">
        <v>2702</v>
      </c>
      <c r="B874" s="362" t="s">
        <v>3388</v>
      </c>
      <c r="C874" s="91"/>
      <c r="D874" s="73"/>
      <c r="E874" s="74"/>
      <c r="F874" s="94"/>
    </row>
    <row r="875" spans="1:7" ht="138">
      <c r="A875" s="89"/>
      <c r="B875" s="90" t="s">
        <v>5265</v>
      </c>
      <c r="C875" s="91"/>
      <c r="D875" s="73"/>
      <c r="E875" s="74"/>
      <c r="F875" s="94"/>
    </row>
    <row r="876" spans="1:7" ht="41.4">
      <c r="A876" s="89"/>
      <c r="B876" s="90" t="s">
        <v>3392</v>
      </c>
      <c r="C876" s="91"/>
      <c r="D876" s="73"/>
      <c r="E876" s="74"/>
      <c r="F876" s="94"/>
    </row>
    <row r="877" spans="1:7" ht="27.6">
      <c r="A877" s="89"/>
      <c r="B877" s="90" t="s">
        <v>3391</v>
      </c>
      <c r="C877" s="91"/>
      <c r="D877" s="73"/>
      <c r="E877" s="74"/>
      <c r="F877" s="94"/>
    </row>
    <row r="878" spans="1:7" ht="41.4">
      <c r="A878" s="76" t="s">
        <v>665</v>
      </c>
      <c r="B878" s="90" t="s">
        <v>775</v>
      </c>
      <c r="C878" s="78"/>
      <c r="D878" s="73"/>
      <c r="E878" s="74"/>
      <c r="F878" s="79"/>
    </row>
    <row r="879" spans="1:7">
      <c r="A879" s="76"/>
      <c r="B879" s="90" t="s">
        <v>3389</v>
      </c>
      <c r="C879" s="78"/>
      <c r="D879" s="73"/>
      <c r="E879" s="74"/>
      <c r="F879" s="79"/>
    </row>
    <row r="880" spans="1:7" ht="27.6">
      <c r="A880" s="89" t="s">
        <v>48</v>
      </c>
      <c r="B880" s="90" t="s">
        <v>3390</v>
      </c>
      <c r="C880" s="91" t="s">
        <v>675</v>
      </c>
      <c r="D880" s="73">
        <v>284</v>
      </c>
      <c r="E880" s="74">
        <v>15</v>
      </c>
      <c r="F880" s="93">
        <f>IF(OR(OR(E880=0,E880=" "),OR(D880=0,D880=" "))," ",D880*E880)</f>
        <v>4260</v>
      </c>
    </row>
    <row r="881" spans="1:8">
      <c r="A881" s="87"/>
      <c r="B881" s="96"/>
      <c r="C881" s="72"/>
      <c r="D881" s="92"/>
      <c r="E881" s="74"/>
      <c r="F881" s="75"/>
    </row>
    <row r="882" spans="1:8">
      <c r="A882" s="87" t="s">
        <v>667</v>
      </c>
      <c r="B882" s="88" t="s">
        <v>779</v>
      </c>
      <c r="C882" s="72"/>
      <c r="D882" s="92"/>
      <c r="E882" s="74"/>
      <c r="F882" s="75"/>
    </row>
    <row r="883" spans="1:8" ht="82.8">
      <c r="A883" s="89" t="s">
        <v>2703</v>
      </c>
      <c r="B883" s="364" t="s">
        <v>5266</v>
      </c>
      <c r="C883" s="91"/>
      <c r="D883" s="73"/>
      <c r="E883" s="74"/>
      <c r="F883" s="94"/>
      <c r="H883" s="73"/>
    </row>
    <row r="884" spans="1:8" ht="55.2">
      <c r="A884" s="89"/>
      <c r="B884" s="71" t="s">
        <v>1742</v>
      </c>
      <c r="C884" s="91"/>
      <c r="D884" s="73"/>
      <c r="E884" s="74"/>
      <c r="F884" s="94"/>
      <c r="H884" s="70"/>
    </row>
    <row r="885" spans="1:8" ht="27.6">
      <c r="A885" s="89"/>
      <c r="B885" s="358" t="s">
        <v>3393</v>
      </c>
      <c r="C885" s="91"/>
      <c r="D885" s="73"/>
      <c r="E885" s="74"/>
      <c r="F885" s="94"/>
      <c r="H885" s="70"/>
    </row>
    <row r="886" spans="1:8" ht="82.8">
      <c r="A886" s="89"/>
      <c r="B886" s="71" t="s">
        <v>5267</v>
      </c>
      <c r="C886" s="91"/>
      <c r="D886" s="73"/>
      <c r="E886" s="74"/>
      <c r="F886" s="94"/>
      <c r="H886" s="70"/>
    </row>
    <row r="887" spans="1:8" ht="82.8">
      <c r="A887" s="89"/>
      <c r="B887" s="71" t="s">
        <v>5268</v>
      </c>
      <c r="C887" s="91"/>
      <c r="D887" s="73"/>
      <c r="E887" s="74"/>
      <c r="F887" s="94"/>
    </row>
    <row r="888" spans="1:8" ht="27.6">
      <c r="A888" s="76"/>
      <c r="B888" s="71" t="s">
        <v>755</v>
      </c>
      <c r="C888" s="78"/>
      <c r="D888" s="73"/>
      <c r="E888" s="74"/>
      <c r="F888" s="79"/>
    </row>
    <row r="889" spans="1:8">
      <c r="A889" s="76"/>
      <c r="B889" s="71" t="s">
        <v>769</v>
      </c>
      <c r="C889" s="78"/>
      <c r="D889" s="73"/>
      <c r="E889" s="74"/>
      <c r="F889" s="79"/>
    </row>
    <row r="890" spans="1:8">
      <c r="A890" s="76"/>
      <c r="B890" s="71" t="s">
        <v>1743</v>
      </c>
      <c r="C890" s="78"/>
      <c r="D890" s="73"/>
      <c r="E890" s="74"/>
      <c r="F890" s="79"/>
    </row>
    <row r="891" spans="1:8" ht="41.4">
      <c r="A891" s="89" t="s">
        <v>48</v>
      </c>
      <c r="B891" s="71" t="s">
        <v>3394</v>
      </c>
      <c r="C891" s="91" t="s">
        <v>675</v>
      </c>
      <c r="D891" s="73">
        <v>1252</v>
      </c>
      <c r="E891" s="74">
        <v>10</v>
      </c>
      <c r="F891" s="93">
        <f>IF(OR(OR(E891=0,E891=" "),OR(D891=0,D891=" "))," ",D891*E891)</f>
        <v>12520</v>
      </c>
    </row>
    <row r="892" spans="1:8" ht="41.4">
      <c r="A892" s="89" t="s">
        <v>49</v>
      </c>
      <c r="B892" s="71" t="s">
        <v>4922</v>
      </c>
      <c r="C892" s="91" t="s">
        <v>675</v>
      </c>
      <c r="D892" s="73">
        <v>1252</v>
      </c>
      <c r="E892" s="74">
        <v>10</v>
      </c>
      <c r="F892" s="93">
        <f>IF(OR(OR(E892=0,E892=" "),OR(D892=0,D892=" "))," ",D892*E892)</f>
        <v>12520</v>
      </c>
    </row>
    <row r="893" spans="1:8" ht="41.4">
      <c r="A893" s="89" t="s">
        <v>51</v>
      </c>
      <c r="B893" s="71" t="s">
        <v>5176</v>
      </c>
      <c r="C893" s="91" t="s">
        <v>675</v>
      </c>
      <c r="D893" s="73">
        <v>65</v>
      </c>
      <c r="E893" s="74">
        <v>15</v>
      </c>
      <c r="F893" s="93">
        <f t="shared" ref="F893:F894" si="12">IF(OR(OR(E893=0,E893=" "),OR(D893=0,D893=" "))," ",D893*E893)</f>
        <v>975</v>
      </c>
    </row>
    <row r="894" spans="1:8" ht="41.4">
      <c r="A894" s="89" t="s">
        <v>53</v>
      </c>
      <c r="B894" s="71" t="s">
        <v>5177</v>
      </c>
      <c r="C894" s="91" t="s">
        <v>675</v>
      </c>
      <c r="D894" s="73">
        <v>26</v>
      </c>
      <c r="E894" s="74">
        <v>15</v>
      </c>
      <c r="F894" s="93">
        <f t="shared" si="12"/>
        <v>390</v>
      </c>
    </row>
    <row r="895" spans="1:8" ht="41.4">
      <c r="A895" s="89" t="s">
        <v>698</v>
      </c>
      <c r="B895" s="71" t="s">
        <v>4923</v>
      </c>
      <c r="C895" s="91" t="s">
        <v>675</v>
      </c>
      <c r="D895" s="73">
        <v>52</v>
      </c>
      <c r="E895" s="74">
        <v>15</v>
      </c>
      <c r="F895" s="93">
        <f>IF(OR(OR(E895=0,E895=" "),OR(D895=0,D895=" "))," ",D895*E895)</f>
        <v>780</v>
      </c>
    </row>
    <row r="896" spans="1:8">
      <c r="A896" s="98"/>
      <c r="B896" s="99"/>
      <c r="C896" s="100"/>
      <c r="D896" s="101"/>
      <c r="E896" s="100"/>
      <c r="F896" s="102"/>
    </row>
    <row r="897" spans="1:6">
      <c r="A897" s="103" t="str">
        <f>A813</f>
        <v>B.2.</v>
      </c>
      <c r="B897" s="104" t="str">
        <f>CONCATENATE(B813," ", "UKUPNO:")</f>
        <v>TERMOIZOLACIJE UKUPNO:</v>
      </c>
      <c r="D897" s="73"/>
      <c r="E897" s="74"/>
      <c r="F897" s="663">
        <f>SUM(F817:F896)</f>
        <v>56413</v>
      </c>
    </row>
    <row r="898" spans="1:6">
      <c r="A898" s="106"/>
      <c r="B898" s="107"/>
      <c r="C898" s="72"/>
      <c r="D898" s="73"/>
      <c r="E898" s="74"/>
      <c r="F898" s="108"/>
    </row>
    <row r="899" spans="1:6">
      <c r="A899" s="70"/>
      <c r="B899" s="71"/>
      <c r="C899" s="72"/>
      <c r="D899" s="73"/>
      <c r="E899" s="74"/>
      <c r="F899" s="75"/>
    </row>
    <row r="900" spans="1:6">
      <c r="A900" s="81" t="s">
        <v>1064</v>
      </c>
      <c r="B900" s="82" t="s">
        <v>403</v>
      </c>
      <c r="C900" s="83"/>
      <c r="D900" s="84"/>
      <c r="E900" s="85"/>
      <c r="F900" s="86"/>
    </row>
    <row r="901" spans="1:6">
      <c r="A901" s="70"/>
      <c r="B901" s="71"/>
      <c r="C901" s="72"/>
      <c r="D901" s="73"/>
      <c r="E901" s="74"/>
      <c r="F901" s="75"/>
    </row>
    <row r="902" spans="1:6">
      <c r="A902" s="87" t="s">
        <v>667</v>
      </c>
      <c r="B902" s="88" t="s">
        <v>1751</v>
      </c>
      <c r="C902" s="72"/>
      <c r="D902" s="92"/>
      <c r="E902" s="74"/>
      <c r="F902" s="75"/>
    </row>
    <row r="903" spans="1:6" ht="110.4">
      <c r="A903" s="89" t="s">
        <v>1065</v>
      </c>
      <c r="B903" s="362" t="s">
        <v>4117</v>
      </c>
      <c r="C903" s="72"/>
      <c r="D903" s="92"/>
      <c r="E903" s="74"/>
      <c r="F903" s="75"/>
    </row>
    <row r="904" spans="1:6" ht="69">
      <c r="A904" s="89"/>
      <c r="B904" s="362" t="s">
        <v>4965</v>
      </c>
      <c r="C904" s="72"/>
      <c r="D904" s="92"/>
      <c r="E904" s="74"/>
      <c r="F904" s="75"/>
    </row>
    <row r="905" spans="1:6" ht="41.4">
      <c r="A905" s="87"/>
      <c r="B905" s="90" t="s">
        <v>4118</v>
      </c>
      <c r="C905" s="72"/>
      <c r="D905" s="92"/>
      <c r="E905" s="74"/>
      <c r="F905" s="75"/>
    </row>
    <row r="906" spans="1:6" ht="82.8">
      <c r="A906" s="87"/>
      <c r="B906" s="90" t="s">
        <v>3400</v>
      </c>
      <c r="C906" s="72"/>
      <c r="D906" s="92"/>
      <c r="E906" s="74"/>
      <c r="F906" s="75"/>
    </row>
    <row r="907" spans="1:6" ht="96.6">
      <c r="A907" s="87"/>
      <c r="B907" s="90" t="s">
        <v>3396</v>
      </c>
      <c r="C907" s="72"/>
      <c r="D907" s="92"/>
      <c r="E907" s="74"/>
      <c r="F907" s="75"/>
    </row>
    <row r="908" spans="1:6" ht="82.8">
      <c r="A908" s="87"/>
      <c r="B908" s="90" t="s">
        <v>1752</v>
      </c>
      <c r="C908" s="72"/>
      <c r="D908" s="92"/>
      <c r="E908" s="74"/>
      <c r="F908" s="75"/>
    </row>
    <row r="909" spans="1:6">
      <c r="A909" s="87"/>
      <c r="B909" s="90" t="s">
        <v>1753</v>
      </c>
      <c r="C909" s="72"/>
      <c r="D909" s="92"/>
      <c r="E909" s="74"/>
      <c r="F909" s="75"/>
    </row>
    <row r="910" spans="1:6" ht="27.6">
      <c r="A910" s="87"/>
      <c r="B910" s="374" t="s">
        <v>4938</v>
      </c>
      <c r="C910" s="72"/>
      <c r="D910" s="92"/>
      <c r="E910" s="74"/>
      <c r="F910" s="75"/>
    </row>
    <row r="911" spans="1:6">
      <c r="A911" s="89" t="s">
        <v>48</v>
      </c>
      <c r="B911" s="160" t="s">
        <v>4940</v>
      </c>
      <c r="C911" s="91" t="s">
        <v>675</v>
      </c>
      <c r="D911" s="73">
        <v>1551.5</v>
      </c>
      <c r="E911" s="74">
        <v>65</v>
      </c>
      <c r="F911" s="93">
        <f t="shared" ref="F911:F918" si="13">IF(OR(OR(E911=0,E911=" "),OR(D911=0,D911=" "))," ",D911*E911)</f>
        <v>100847.5</v>
      </c>
    </row>
    <row r="912" spans="1:6" ht="27.6">
      <c r="A912" s="89" t="s">
        <v>49</v>
      </c>
      <c r="B912" s="160" t="s">
        <v>4939</v>
      </c>
      <c r="C912" s="91" t="s">
        <v>675</v>
      </c>
      <c r="D912" s="73">
        <v>63</v>
      </c>
      <c r="E912" s="74">
        <v>65</v>
      </c>
      <c r="F912" s="93">
        <f t="shared" ref="F912" si="14">IF(OR(OR(E912=0,E912=" "),OR(D912=0,D912=" "))," ",D912*E912)</f>
        <v>4095</v>
      </c>
    </row>
    <row r="913" spans="1:8" ht="27.6">
      <c r="A913" s="89" t="s">
        <v>51</v>
      </c>
      <c r="B913" s="375" t="s">
        <v>5020</v>
      </c>
      <c r="C913" s="72" t="s">
        <v>697</v>
      </c>
      <c r="D913" s="73">
        <v>95</v>
      </c>
      <c r="E913" s="74">
        <v>60</v>
      </c>
      <c r="F913" s="93">
        <f t="shared" si="13"/>
        <v>5700</v>
      </c>
    </row>
    <row r="914" spans="1:8">
      <c r="A914" s="89" t="s">
        <v>53</v>
      </c>
      <c r="B914" s="375" t="s">
        <v>3397</v>
      </c>
      <c r="C914" s="72" t="s">
        <v>697</v>
      </c>
      <c r="D914" s="73">
        <v>67</v>
      </c>
      <c r="E914" s="74">
        <v>32</v>
      </c>
      <c r="F914" s="93">
        <f t="shared" si="13"/>
        <v>2144</v>
      </c>
    </row>
    <row r="915" spans="1:8" ht="55.2">
      <c r="A915" s="89" t="s">
        <v>698</v>
      </c>
      <c r="B915" s="375" t="s">
        <v>1754</v>
      </c>
      <c r="C915" s="72" t="s">
        <v>697</v>
      </c>
      <c r="D915" s="73">
        <v>266</v>
      </c>
      <c r="E915" s="74">
        <v>28</v>
      </c>
      <c r="F915" s="93">
        <f t="shared" si="13"/>
        <v>7448</v>
      </c>
    </row>
    <row r="916" spans="1:8" ht="55.2">
      <c r="A916" s="89" t="s">
        <v>699</v>
      </c>
      <c r="B916" s="375" t="s">
        <v>5021</v>
      </c>
      <c r="C916" s="72" t="s">
        <v>697</v>
      </c>
      <c r="D916" s="73">
        <v>270</v>
      </c>
      <c r="E916" s="74">
        <v>23</v>
      </c>
      <c r="F916" s="93">
        <f t="shared" si="13"/>
        <v>6210</v>
      </c>
    </row>
    <row r="917" spans="1:8" ht="69">
      <c r="A917" s="89" t="s">
        <v>745</v>
      </c>
      <c r="B917" s="375" t="s">
        <v>5128</v>
      </c>
      <c r="C917" s="72" t="s">
        <v>697</v>
      </c>
      <c r="D917" s="73">
        <v>11.5</v>
      </c>
      <c r="E917" s="74">
        <v>28</v>
      </c>
      <c r="F917" s="93">
        <f t="shared" ref="F917" si="15">IF(OR(OR(E917=0,E917=" "),OR(D917=0,D917=" "))," ",D917*E917)</f>
        <v>322</v>
      </c>
    </row>
    <row r="918" spans="1:8" ht="55.2">
      <c r="A918" s="89" t="s">
        <v>803</v>
      </c>
      <c r="B918" s="182" t="s">
        <v>3398</v>
      </c>
      <c r="C918" s="72" t="s">
        <v>697</v>
      </c>
      <c r="D918" s="73">
        <v>69</v>
      </c>
      <c r="E918" s="74">
        <v>32</v>
      </c>
      <c r="F918" s="93">
        <f t="shared" si="13"/>
        <v>2208</v>
      </c>
    </row>
    <row r="919" spans="1:8" ht="27.6">
      <c r="A919" s="89" t="s">
        <v>804</v>
      </c>
      <c r="B919" s="182" t="s">
        <v>3399</v>
      </c>
      <c r="C919" s="876" t="s">
        <v>697</v>
      </c>
      <c r="D919" s="73">
        <v>52.5</v>
      </c>
      <c r="E919" s="74">
        <v>20</v>
      </c>
      <c r="F919" s="93">
        <f t="shared" ref="F919" si="16">IF(OR(OR(E919=0,E919=" "),OR(D919=0,D919=" "))," ",D919*E919)</f>
        <v>1050</v>
      </c>
    </row>
    <row r="920" spans="1:8">
      <c r="A920" s="89"/>
      <c r="B920" s="160"/>
      <c r="C920" s="91"/>
      <c r="D920" s="73"/>
      <c r="E920" s="74"/>
      <c r="F920" s="93"/>
    </row>
    <row r="921" spans="1:8" ht="82.8">
      <c r="A921" s="89" t="s">
        <v>1066</v>
      </c>
      <c r="B921" s="362" t="s">
        <v>4119</v>
      </c>
      <c r="C921" s="72"/>
      <c r="D921" s="92"/>
      <c r="E921" s="74"/>
      <c r="F921" s="75"/>
    </row>
    <row r="922" spans="1:8" ht="69">
      <c r="A922" s="89"/>
      <c r="B922" s="362" t="s">
        <v>4965</v>
      </c>
      <c r="C922" s="72"/>
      <c r="D922" s="92"/>
      <c r="E922" s="74"/>
      <c r="F922" s="75"/>
    </row>
    <row r="923" spans="1:8" ht="27.6">
      <c r="A923" s="87"/>
      <c r="B923" s="90" t="s">
        <v>3395</v>
      </c>
      <c r="C923" s="72"/>
      <c r="D923" s="92"/>
      <c r="E923" s="74"/>
      <c r="F923" s="75"/>
    </row>
    <row r="924" spans="1:8" ht="82.8">
      <c r="A924" s="87"/>
      <c r="B924" s="90" t="s">
        <v>3400</v>
      </c>
      <c r="C924" s="72"/>
      <c r="D924" s="92"/>
      <c r="E924" s="74"/>
      <c r="F924" s="75"/>
    </row>
    <row r="925" spans="1:8" ht="96.6">
      <c r="A925" s="87"/>
      <c r="B925" s="90" t="s">
        <v>3396</v>
      </c>
      <c r="C925" s="72"/>
      <c r="D925" s="92"/>
      <c r="E925" s="74"/>
      <c r="F925" s="75"/>
      <c r="H925" s="387"/>
    </row>
    <row r="926" spans="1:8" ht="41.4">
      <c r="A926" s="87"/>
      <c r="B926" s="90" t="s">
        <v>3401</v>
      </c>
      <c r="C926" s="72"/>
      <c r="D926" s="92"/>
      <c r="E926" s="74"/>
      <c r="F926" s="75"/>
    </row>
    <row r="927" spans="1:8">
      <c r="A927" s="87"/>
      <c r="B927" s="374" t="s">
        <v>1759</v>
      </c>
      <c r="C927" s="72"/>
      <c r="D927" s="92"/>
      <c r="E927" s="74"/>
      <c r="F927" s="75"/>
    </row>
    <row r="928" spans="1:8" ht="41.4">
      <c r="A928" s="89" t="s">
        <v>48</v>
      </c>
      <c r="B928" s="160" t="s">
        <v>4937</v>
      </c>
      <c r="C928" s="91" t="s">
        <v>697</v>
      </c>
      <c r="D928" s="73">
        <v>210</v>
      </c>
      <c r="E928" s="74">
        <v>75</v>
      </c>
      <c r="F928" s="93">
        <f>IF(OR(OR(E928=0,E928=" "),OR(D928=0,D928=" "))," ",D928*E928)</f>
        <v>15750</v>
      </c>
    </row>
    <row r="929" spans="1:6" ht="41.4">
      <c r="A929" s="89" t="s">
        <v>49</v>
      </c>
      <c r="B929" s="160" t="s">
        <v>4994</v>
      </c>
      <c r="C929" s="91" t="s">
        <v>697</v>
      </c>
      <c r="D929" s="73">
        <v>60</v>
      </c>
      <c r="E929" s="74">
        <v>95</v>
      </c>
      <c r="F929" s="93">
        <f>IF(OR(OR(E929=0,E929=" "),OR(D929=0,D929=" "))," ",D929*E929)</f>
        <v>5700</v>
      </c>
    </row>
    <row r="930" spans="1:6" ht="27.6">
      <c r="A930" s="89" t="s">
        <v>51</v>
      </c>
      <c r="B930" s="160" t="s">
        <v>4936</v>
      </c>
      <c r="C930" s="91" t="s">
        <v>649</v>
      </c>
      <c r="D930" s="73">
        <v>16</v>
      </c>
      <c r="E930" s="74">
        <v>65</v>
      </c>
      <c r="F930" s="93">
        <f>IF(OR(OR(E930=0,E930=" "),OR(D930=0,D930=" "))," ",D930*E930)</f>
        <v>1040</v>
      </c>
    </row>
    <row r="931" spans="1:6">
      <c r="A931" s="89"/>
      <c r="B931" s="160"/>
      <c r="C931" s="91"/>
      <c r="D931" s="73"/>
      <c r="E931" s="74"/>
      <c r="F931" s="93"/>
    </row>
    <row r="932" spans="1:6" ht="55.2">
      <c r="A932" s="89" t="s">
        <v>1067</v>
      </c>
      <c r="B932" s="362" t="s">
        <v>3402</v>
      </c>
      <c r="C932" s="72"/>
      <c r="D932" s="92"/>
      <c r="E932" s="74"/>
      <c r="F932" s="75"/>
    </row>
    <row r="933" spans="1:6" ht="69">
      <c r="A933" s="89"/>
      <c r="B933" s="362" t="s">
        <v>4965</v>
      </c>
      <c r="C933" s="72"/>
      <c r="D933" s="92"/>
      <c r="E933" s="74"/>
      <c r="F933" s="75"/>
    </row>
    <row r="934" spans="1:6" ht="27.6">
      <c r="A934" s="87"/>
      <c r="B934" s="90" t="s">
        <v>3395</v>
      </c>
      <c r="C934" s="72"/>
      <c r="D934" s="92"/>
      <c r="E934" s="74"/>
      <c r="F934" s="75"/>
    </row>
    <row r="935" spans="1:6" ht="96.6">
      <c r="A935" s="87"/>
      <c r="B935" s="90" t="s">
        <v>3396</v>
      </c>
      <c r="C935" s="72"/>
      <c r="D935" s="92"/>
      <c r="E935" s="74"/>
      <c r="F935" s="75"/>
    </row>
    <row r="936" spans="1:6" ht="41.4">
      <c r="A936" s="87"/>
      <c r="B936" s="90" t="s">
        <v>1757</v>
      </c>
      <c r="C936" s="72"/>
      <c r="D936" s="92"/>
      <c r="E936" s="74"/>
      <c r="F936" s="75"/>
    </row>
    <row r="937" spans="1:6">
      <c r="A937" s="87"/>
      <c r="B937" s="374" t="s">
        <v>1756</v>
      </c>
      <c r="C937" s="72"/>
      <c r="D937" s="92"/>
      <c r="E937" s="74"/>
      <c r="F937" s="75"/>
    </row>
    <row r="938" spans="1:6">
      <c r="A938" s="89" t="s">
        <v>48</v>
      </c>
      <c r="B938" s="160" t="s">
        <v>1758</v>
      </c>
      <c r="C938" s="91" t="s">
        <v>697</v>
      </c>
      <c r="D938" s="73">
        <v>512</v>
      </c>
      <c r="E938" s="74">
        <v>65</v>
      </c>
      <c r="F938" s="93">
        <f>IF(OR(OR(E938=0,E938=" "),OR(D938=0,D938=" "))," ",D938*E938)</f>
        <v>33280</v>
      </c>
    </row>
    <row r="939" spans="1:6">
      <c r="A939" s="89"/>
      <c r="B939" s="375"/>
      <c r="C939" s="72"/>
      <c r="D939" s="73"/>
      <c r="E939" s="74"/>
      <c r="F939" s="93"/>
    </row>
    <row r="940" spans="1:6" ht="82.8">
      <c r="A940" s="89" t="s">
        <v>1068</v>
      </c>
      <c r="B940" s="376" t="s">
        <v>5019</v>
      </c>
      <c r="C940" s="72"/>
      <c r="D940" s="73"/>
      <c r="E940" s="74"/>
      <c r="F940" s="75"/>
    </row>
    <row r="941" spans="1:6" ht="69">
      <c r="A941" s="89"/>
      <c r="B941" s="362" t="s">
        <v>4965</v>
      </c>
      <c r="C941" s="72"/>
      <c r="D941" s="73"/>
      <c r="E941" s="74"/>
      <c r="F941" s="75"/>
    </row>
    <row r="942" spans="1:6">
      <c r="A942" s="89" t="s">
        <v>48</v>
      </c>
      <c r="B942" s="160" t="s">
        <v>3403</v>
      </c>
      <c r="C942" s="91" t="s">
        <v>697</v>
      </c>
      <c r="D942" s="73">
        <v>361</v>
      </c>
      <c r="E942" s="74">
        <v>36</v>
      </c>
      <c r="F942" s="93">
        <f>IF(OR(OR(E942=0,E942=" "),OR(D942=0,D942=" "))," ",D942*E942)</f>
        <v>12996</v>
      </c>
    </row>
    <row r="943" spans="1:6">
      <c r="A943" s="70"/>
      <c r="B943" s="71"/>
      <c r="C943" s="72"/>
      <c r="D943" s="73"/>
      <c r="E943" s="74"/>
      <c r="F943" s="75"/>
    </row>
    <row r="944" spans="1:6">
      <c r="A944" s="87" t="s">
        <v>667</v>
      </c>
      <c r="B944" s="88" t="s">
        <v>3404</v>
      </c>
      <c r="C944" s="72"/>
      <c r="D944" s="92"/>
      <c r="E944" s="74"/>
      <c r="F944" s="75"/>
    </row>
    <row r="945" spans="1:6" ht="82.8">
      <c r="A945" s="89" t="s">
        <v>1069</v>
      </c>
      <c r="B945" s="362" t="s">
        <v>5129</v>
      </c>
      <c r="C945" s="72"/>
      <c r="D945" s="92"/>
      <c r="E945" s="74"/>
      <c r="F945" s="75"/>
    </row>
    <row r="946" spans="1:6" ht="69">
      <c r="A946" s="89"/>
      <c r="B946" s="362" t="s">
        <v>4965</v>
      </c>
      <c r="C946" s="72"/>
      <c r="D946" s="92"/>
      <c r="E946" s="74"/>
      <c r="F946" s="75"/>
    </row>
    <row r="947" spans="1:6" ht="55.2">
      <c r="A947" s="89"/>
      <c r="B947" s="362" t="s">
        <v>5130</v>
      </c>
      <c r="C947" s="72"/>
      <c r="D947" s="92"/>
      <c r="E947" s="74"/>
      <c r="F947" s="75"/>
    </row>
    <row r="948" spans="1:6" ht="27.6">
      <c r="A948" s="87"/>
      <c r="B948" s="90" t="s">
        <v>3395</v>
      </c>
      <c r="C948" s="72"/>
      <c r="D948" s="92"/>
      <c r="E948" s="74"/>
      <c r="F948" s="75"/>
    </row>
    <row r="949" spans="1:6" ht="82.8">
      <c r="A949" s="87"/>
      <c r="B949" s="90" t="s">
        <v>3400</v>
      </c>
      <c r="C949" s="72"/>
      <c r="D949" s="92"/>
      <c r="E949" s="74"/>
      <c r="F949" s="75"/>
    </row>
    <row r="950" spans="1:6" ht="96.6">
      <c r="A950" s="87"/>
      <c r="B950" s="90" t="s">
        <v>3396</v>
      </c>
      <c r="C950" s="72"/>
      <c r="D950" s="92"/>
      <c r="E950" s="74"/>
      <c r="F950" s="75"/>
    </row>
    <row r="951" spans="1:6" ht="27.6">
      <c r="A951" s="87"/>
      <c r="B951" s="90" t="s">
        <v>1755</v>
      </c>
      <c r="C951" s="72"/>
      <c r="D951" s="92"/>
      <c r="E951" s="74"/>
      <c r="F951" s="75"/>
    </row>
    <row r="952" spans="1:6">
      <c r="A952" s="87"/>
      <c r="B952" s="374" t="s">
        <v>1756</v>
      </c>
      <c r="C952" s="72"/>
      <c r="D952" s="92"/>
      <c r="E952" s="74"/>
      <c r="F952" s="75"/>
    </row>
    <row r="953" spans="1:6" ht="27.6">
      <c r="A953" s="89" t="s">
        <v>48</v>
      </c>
      <c r="B953" s="90" t="s">
        <v>5022</v>
      </c>
      <c r="C953" s="91" t="s">
        <v>697</v>
      </c>
      <c r="D953" s="73">
        <v>10.5</v>
      </c>
      <c r="E953" s="74">
        <v>37</v>
      </c>
      <c r="F953" s="93">
        <f>IF(OR(OR(E953=0,E953=" "),OR(D953=0,D953=" "))," ",D953*E953)</f>
        <v>388.5</v>
      </c>
    </row>
    <row r="954" spans="1:6" ht="27.6">
      <c r="A954" s="89" t="s">
        <v>49</v>
      </c>
      <c r="B954" s="90" t="s">
        <v>5023</v>
      </c>
      <c r="C954" s="91" t="s">
        <v>697</v>
      </c>
      <c r="D954" s="73">
        <v>10.5</v>
      </c>
      <c r="E954" s="74">
        <v>40</v>
      </c>
      <c r="F954" s="93">
        <f>IF(OR(OR(E954=0,E954=" "),OR(D954=0,D954=" "))," ",D954*E954)</f>
        <v>420</v>
      </c>
    </row>
    <row r="955" spans="1:6">
      <c r="A955" s="89" t="s">
        <v>51</v>
      </c>
      <c r="B955" s="90" t="s">
        <v>5024</v>
      </c>
      <c r="C955" s="91" t="s">
        <v>697</v>
      </c>
      <c r="D955" s="73">
        <v>66</v>
      </c>
      <c r="E955" s="74">
        <v>40</v>
      </c>
      <c r="F955" s="93">
        <f>IF(OR(OR(E955=0,E955=" "),OR(D955=0,D955=" "))," ",D955*E955)</f>
        <v>2640</v>
      </c>
    </row>
    <row r="956" spans="1:6">
      <c r="A956" s="89" t="s">
        <v>53</v>
      </c>
      <c r="B956" s="90" t="s">
        <v>5057</v>
      </c>
      <c r="C956" s="91" t="s">
        <v>697</v>
      </c>
      <c r="D956" s="73">
        <v>8.5</v>
      </c>
      <c r="E956" s="74">
        <v>45</v>
      </c>
      <c r="F956" s="93">
        <f>IF(OR(OR(E956=0,E956=" "),OR(D956=0,D956=" "))," ",D956*E956)</f>
        <v>382.5</v>
      </c>
    </row>
    <row r="957" spans="1:6" ht="27.6">
      <c r="A957" s="89" t="s">
        <v>698</v>
      </c>
      <c r="B957" s="90" t="s">
        <v>5058</v>
      </c>
      <c r="C957" s="91" t="s">
        <v>697</v>
      </c>
      <c r="D957" s="73">
        <v>20.5</v>
      </c>
      <c r="E957" s="74">
        <v>43</v>
      </c>
      <c r="F957" s="93">
        <f>IF(OR(OR(E957=0,E957=" "),OR(D957=0,D957=" "))," ",D957*E957)</f>
        <v>881.5</v>
      </c>
    </row>
    <row r="958" spans="1:6">
      <c r="A958" s="89"/>
      <c r="B958" s="90"/>
      <c r="C958" s="91"/>
      <c r="D958" s="73"/>
      <c r="E958" s="74"/>
      <c r="F958" s="93"/>
    </row>
    <row r="959" spans="1:6" ht="82.8">
      <c r="A959" s="111" t="s">
        <v>667</v>
      </c>
      <c r="B959" s="96" t="s">
        <v>780</v>
      </c>
      <c r="C959" s="72"/>
      <c r="D959" s="92"/>
      <c r="E959" s="74"/>
      <c r="F959" s="75"/>
    </row>
    <row r="960" spans="1:6" ht="345">
      <c r="A960" s="89" t="s">
        <v>1070</v>
      </c>
      <c r="B960" s="362" t="s">
        <v>5059</v>
      </c>
      <c r="C960" s="91"/>
      <c r="D960" s="73"/>
      <c r="E960" s="74"/>
      <c r="F960" s="94"/>
    </row>
    <row r="961" spans="1:6" ht="27.6">
      <c r="A961" s="89" t="s">
        <v>48</v>
      </c>
      <c r="B961" s="90" t="s">
        <v>3405</v>
      </c>
      <c r="C961" s="91" t="s">
        <v>697</v>
      </c>
      <c r="D961" s="73">
        <v>58</v>
      </c>
      <c r="E961" s="74">
        <v>75</v>
      </c>
      <c r="F961" s="93">
        <f>IF(OR(OR(E961=0,E961=" "),OR(D961=0,D961=" "))," ",D961*E961)</f>
        <v>4350</v>
      </c>
    </row>
    <row r="962" spans="1:6">
      <c r="A962" s="98"/>
      <c r="B962" s="99"/>
      <c r="C962" s="100"/>
      <c r="D962" s="101"/>
      <c r="E962" s="100"/>
      <c r="F962" s="102"/>
    </row>
    <row r="963" spans="1:6">
      <c r="A963" s="103" t="str">
        <f>A900</f>
        <v>B.3.</v>
      </c>
      <c r="B963" s="104" t="str">
        <f>CONCATENATE(B900," ", "UKUPNO:")</f>
        <v>LIMARSKI RADOVI UKUPNO:</v>
      </c>
      <c r="D963" s="73"/>
      <c r="E963" s="74"/>
      <c r="F963" s="663">
        <f>SUM(F903:F962)</f>
        <v>207853</v>
      </c>
    </row>
    <row r="964" spans="1:6">
      <c r="A964" s="106"/>
      <c r="B964" s="107"/>
      <c r="C964" s="72"/>
      <c r="D964" s="73"/>
      <c r="E964" s="74"/>
      <c r="F964" s="108"/>
    </row>
    <row r="965" spans="1:6">
      <c r="A965" s="70"/>
      <c r="B965" s="71"/>
      <c r="C965" s="72"/>
      <c r="D965" s="73"/>
      <c r="E965" s="74"/>
      <c r="F965" s="75"/>
    </row>
    <row r="966" spans="1:6">
      <c r="A966" s="81" t="s">
        <v>1071</v>
      </c>
      <c r="B966" s="82" t="s">
        <v>781</v>
      </c>
      <c r="C966" s="83"/>
      <c r="D966" s="84"/>
      <c r="E966" s="85"/>
      <c r="F966" s="86"/>
    </row>
    <row r="967" spans="1:6">
      <c r="A967" s="70"/>
      <c r="B967" s="71"/>
      <c r="C967" s="72"/>
      <c r="D967" s="73"/>
      <c r="E967" s="74"/>
      <c r="F967" s="75"/>
    </row>
    <row r="968" spans="1:6">
      <c r="A968" s="76" t="s">
        <v>665</v>
      </c>
      <c r="B968" s="96" t="s">
        <v>666</v>
      </c>
      <c r="C968" s="78"/>
      <c r="D968" s="73"/>
      <c r="E968" s="74"/>
      <c r="F968" s="79"/>
    </row>
    <row r="969" spans="1:6" ht="110.4">
      <c r="A969" s="76" t="s">
        <v>665</v>
      </c>
      <c r="B969" s="96" t="s">
        <v>782</v>
      </c>
      <c r="C969" s="78"/>
      <c r="D969" s="73"/>
      <c r="E969" s="74"/>
      <c r="F969" s="79"/>
    </row>
    <row r="970" spans="1:6" ht="55.2">
      <c r="A970" s="76" t="s">
        <v>665</v>
      </c>
      <c r="B970" s="96" t="s">
        <v>783</v>
      </c>
      <c r="C970" s="78"/>
      <c r="D970" s="73"/>
      <c r="E970" s="74"/>
      <c r="F970" s="79"/>
    </row>
    <row r="971" spans="1:6" ht="41.4">
      <c r="A971" s="76"/>
      <c r="B971" s="96" t="s">
        <v>5659</v>
      </c>
      <c r="C971" s="78"/>
      <c r="D971" s="73"/>
      <c r="E971" s="74"/>
      <c r="F971" s="79"/>
    </row>
    <row r="972" spans="1:6" ht="41.4">
      <c r="A972" s="76"/>
      <c r="B972" s="96" t="s">
        <v>784</v>
      </c>
      <c r="C972" s="78"/>
      <c r="D972" s="73"/>
      <c r="E972" s="74"/>
      <c r="F972" s="79"/>
    </row>
    <row r="973" spans="1:6" ht="69">
      <c r="A973" s="76"/>
      <c r="B973" s="96" t="s">
        <v>785</v>
      </c>
      <c r="C973" s="78"/>
      <c r="D973" s="73"/>
      <c r="E973" s="74"/>
      <c r="F973" s="79"/>
    </row>
    <row r="974" spans="1:6">
      <c r="A974" s="76"/>
      <c r="B974" s="96"/>
      <c r="C974" s="78"/>
      <c r="D974" s="73"/>
      <c r="E974" s="74"/>
      <c r="F974" s="79"/>
    </row>
    <row r="975" spans="1:6">
      <c r="A975" s="87" t="s">
        <v>667</v>
      </c>
      <c r="B975" s="88" t="s">
        <v>788</v>
      </c>
      <c r="C975" s="72"/>
      <c r="D975" s="92"/>
      <c r="E975" s="74"/>
      <c r="F975" s="75"/>
    </row>
    <row r="976" spans="1:6" ht="193.2">
      <c r="A976" s="89" t="s">
        <v>1072</v>
      </c>
      <c r="B976" s="362" t="s">
        <v>1764</v>
      </c>
      <c r="C976" s="91"/>
      <c r="D976" s="73"/>
      <c r="E976" s="74"/>
      <c r="F976" s="94"/>
    </row>
    <row r="977" spans="1:6" ht="69">
      <c r="A977" s="89"/>
      <c r="B977" s="362" t="s">
        <v>4966</v>
      </c>
      <c r="C977" s="91"/>
      <c r="D977" s="73"/>
      <c r="E977" s="74"/>
      <c r="F977" s="94"/>
    </row>
    <row r="978" spans="1:6" ht="151.80000000000001">
      <c r="A978" s="76" t="s">
        <v>665</v>
      </c>
      <c r="B978" s="90" t="s">
        <v>5269</v>
      </c>
      <c r="C978" s="78"/>
      <c r="D978" s="73"/>
      <c r="E978" s="74"/>
      <c r="F978" s="79"/>
    </row>
    <row r="979" spans="1:6" ht="69">
      <c r="A979" s="76" t="s">
        <v>665</v>
      </c>
      <c r="B979" s="90" t="s">
        <v>789</v>
      </c>
      <c r="C979" s="78"/>
      <c r="D979" s="73"/>
      <c r="E979" s="74"/>
      <c r="F979" s="79"/>
    </row>
    <row r="980" spans="1:6" ht="27.6">
      <c r="A980" s="76" t="s">
        <v>665</v>
      </c>
      <c r="B980" s="90" t="s">
        <v>790</v>
      </c>
      <c r="C980" s="78"/>
      <c r="D980" s="73"/>
      <c r="E980" s="74"/>
      <c r="F980" s="79"/>
    </row>
    <row r="981" spans="1:6">
      <c r="A981" s="76" t="s">
        <v>665</v>
      </c>
      <c r="B981" s="90" t="s">
        <v>786</v>
      </c>
      <c r="C981" s="78"/>
      <c r="D981" s="73"/>
      <c r="E981" s="74"/>
      <c r="F981" s="79"/>
    </row>
    <row r="982" spans="1:6" ht="41.4">
      <c r="A982" s="76" t="s">
        <v>665</v>
      </c>
      <c r="B982" s="90" t="s">
        <v>787</v>
      </c>
      <c r="C982" s="78"/>
      <c r="D982" s="73"/>
      <c r="E982" s="74"/>
      <c r="F982" s="79"/>
    </row>
    <row r="983" spans="1:6">
      <c r="A983" s="76"/>
      <c r="B983" s="90" t="s">
        <v>703</v>
      </c>
      <c r="C983" s="78"/>
      <c r="D983" s="73"/>
      <c r="E983" s="74"/>
      <c r="F983" s="79"/>
    </row>
    <row r="984" spans="1:6">
      <c r="A984" s="76"/>
      <c r="B984" s="90"/>
      <c r="C984" s="78"/>
      <c r="D984" s="73"/>
      <c r="E984" s="74"/>
      <c r="F984" s="79"/>
    </row>
    <row r="985" spans="1:6" ht="138">
      <c r="A985" s="89" t="s">
        <v>48</v>
      </c>
      <c r="B985" s="90" t="s">
        <v>3450</v>
      </c>
      <c r="C985" s="91" t="s">
        <v>649</v>
      </c>
      <c r="D985" s="92">
        <v>1</v>
      </c>
      <c r="E985" s="74">
        <v>850</v>
      </c>
      <c r="F985" s="93">
        <f>IF(OR(OR(E985=0,E985=" "),OR(D985=0,D985=" "))," ",D985*E985)</f>
        <v>850</v>
      </c>
    </row>
    <row r="986" spans="1:6">
      <c r="A986" s="76"/>
      <c r="B986" s="110"/>
      <c r="C986" s="78"/>
      <c r="D986" s="73"/>
      <c r="E986" s="74"/>
      <c r="F986" s="79"/>
    </row>
    <row r="987" spans="1:6" ht="69">
      <c r="A987" s="89" t="s">
        <v>49</v>
      </c>
      <c r="B987" s="90" t="s">
        <v>3415</v>
      </c>
      <c r="C987" s="91" t="s">
        <v>649</v>
      </c>
      <c r="D987" s="92">
        <v>1</v>
      </c>
      <c r="E987" s="74">
        <v>850</v>
      </c>
      <c r="F987" s="93">
        <f>IF(OR(OR(E987=0,E987=" "),OR(D987=0,D987=" "))," ",D987*E987)</f>
        <v>850</v>
      </c>
    </row>
    <row r="988" spans="1:6">
      <c r="A988" s="76"/>
      <c r="B988" s="110"/>
      <c r="C988" s="78"/>
      <c r="D988" s="73"/>
      <c r="E988" s="74"/>
      <c r="F988" s="79"/>
    </row>
    <row r="989" spans="1:6" ht="69">
      <c r="A989" s="89" t="s">
        <v>51</v>
      </c>
      <c r="B989" s="90" t="s">
        <v>3412</v>
      </c>
      <c r="C989" s="91" t="s">
        <v>649</v>
      </c>
      <c r="D989" s="92">
        <v>11</v>
      </c>
      <c r="E989" s="74">
        <v>850</v>
      </c>
      <c r="F989" s="93">
        <f>IF(OR(OR(E989=0,E989=" "),OR(D989=0,D989=" "))," ",D989*E989)</f>
        <v>9350</v>
      </c>
    </row>
    <row r="990" spans="1:6">
      <c r="A990" s="76"/>
      <c r="B990" s="96"/>
      <c r="C990" s="78"/>
      <c r="D990" s="73"/>
      <c r="E990" s="74"/>
      <c r="F990" s="79"/>
    </row>
    <row r="991" spans="1:6" ht="69">
      <c r="A991" s="89" t="s">
        <v>53</v>
      </c>
      <c r="B991" s="90" t="s">
        <v>3413</v>
      </c>
      <c r="C991" s="91" t="s">
        <v>649</v>
      </c>
      <c r="D991" s="92">
        <v>8</v>
      </c>
      <c r="E991" s="74">
        <v>850</v>
      </c>
      <c r="F991" s="93">
        <f>IF(OR(OR(E991=0,E991=" "),OR(D991=0,D991=" "))," ",D991*E991)</f>
        <v>6800</v>
      </c>
    </row>
    <row r="992" spans="1:6">
      <c r="A992" s="76"/>
      <c r="B992" s="96"/>
      <c r="C992" s="78"/>
      <c r="D992" s="73"/>
      <c r="E992" s="74"/>
      <c r="F992" s="79"/>
    </row>
    <row r="993" spans="1:6" ht="69">
      <c r="A993" s="89" t="s">
        <v>698</v>
      </c>
      <c r="B993" s="90" t="s">
        <v>3414</v>
      </c>
      <c r="C993" s="91" t="s">
        <v>649</v>
      </c>
      <c r="D993" s="92">
        <v>1</v>
      </c>
      <c r="E993" s="74">
        <v>850</v>
      </c>
      <c r="F993" s="93">
        <f>IF(OR(OR(E993=0,E993=" "),OR(D993=0,D993=" "))," ",D993*E993)</f>
        <v>850</v>
      </c>
    </row>
    <row r="994" spans="1:6">
      <c r="A994" s="76"/>
      <c r="B994" s="96"/>
      <c r="C994" s="78"/>
      <c r="D994" s="73"/>
      <c r="E994" s="74"/>
      <c r="F994" s="79"/>
    </row>
    <row r="995" spans="1:6" ht="55.2">
      <c r="A995" s="89" t="s">
        <v>698</v>
      </c>
      <c r="B995" s="90" t="s">
        <v>3416</v>
      </c>
      <c r="C995" s="91" t="s">
        <v>649</v>
      </c>
      <c r="D995" s="92">
        <v>1</v>
      </c>
      <c r="E995" s="74">
        <v>850</v>
      </c>
      <c r="F995" s="93">
        <f>IF(OR(OR(E995=0,E995=" "),OR(D995=0,D995=" "))," ",D995*E995)</f>
        <v>850</v>
      </c>
    </row>
    <row r="996" spans="1:6">
      <c r="A996" s="89"/>
      <c r="B996" s="90"/>
      <c r="C996" s="91"/>
      <c r="D996" s="92"/>
      <c r="E996" s="74"/>
      <c r="F996" s="93"/>
    </row>
    <row r="997" spans="1:6">
      <c r="A997" s="76"/>
      <c r="B997" s="96"/>
      <c r="C997" s="78"/>
      <c r="D997" s="73"/>
      <c r="E997" s="74"/>
      <c r="F997" s="79"/>
    </row>
    <row r="998" spans="1:6">
      <c r="A998" s="87" t="s">
        <v>667</v>
      </c>
      <c r="B998" s="88" t="s">
        <v>791</v>
      </c>
      <c r="C998" s="72"/>
      <c r="D998" s="92"/>
      <c r="E998" s="74"/>
      <c r="F998" s="75"/>
    </row>
    <row r="999" spans="1:6" ht="82.8">
      <c r="A999" s="89" t="s">
        <v>1073</v>
      </c>
      <c r="B999" s="362" t="s">
        <v>3201</v>
      </c>
      <c r="C999" s="91"/>
      <c r="D999" s="73"/>
      <c r="E999" s="74"/>
      <c r="F999" s="94"/>
    </row>
    <row r="1000" spans="1:6" ht="69">
      <c r="A1000" s="76" t="s">
        <v>665</v>
      </c>
      <c r="B1000" s="90" t="s">
        <v>3202</v>
      </c>
      <c r="C1000" s="78"/>
      <c r="D1000" s="73"/>
      <c r="E1000" s="74"/>
      <c r="F1000" s="79"/>
    </row>
    <row r="1001" spans="1:6" ht="151.80000000000001">
      <c r="A1001" s="76"/>
      <c r="B1001" s="90" t="s">
        <v>1761</v>
      </c>
      <c r="C1001" s="78"/>
      <c r="D1001" s="73"/>
      <c r="E1001" s="74"/>
      <c r="F1001" s="79"/>
    </row>
    <row r="1002" spans="1:6" ht="69">
      <c r="A1002" s="76"/>
      <c r="B1002" s="90" t="s">
        <v>3203</v>
      </c>
      <c r="C1002" s="78"/>
      <c r="D1002" s="73"/>
      <c r="E1002" s="74"/>
      <c r="F1002" s="79"/>
    </row>
    <row r="1003" spans="1:6" ht="96.6">
      <c r="A1003" s="76" t="s">
        <v>665</v>
      </c>
      <c r="B1003" s="90" t="s">
        <v>1760</v>
      </c>
      <c r="C1003" s="78"/>
      <c r="D1003" s="73"/>
      <c r="E1003" s="74"/>
      <c r="F1003" s="79"/>
    </row>
    <row r="1004" spans="1:6" ht="69">
      <c r="A1004" s="76"/>
      <c r="B1004" s="90" t="s">
        <v>5131</v>
      </c>
      <c r="C1004" s="78"/>
      <c r="D1004" s="73"/>
      <c r="E1004" s="74"/>
      <c r="F1004" s="79"/>
    </row>
    <row r="1005" spans="1:6">
      <c r="A1005" s="76" t="s">
        <v>665</v>
      </c>
      <c r="B1005" s="90" t="s">
        <v>793</v>
      </c>
      <c r="C1005" s="78"/>
      <c r="D1005" s="73"/>
      <c r="E1005" s="74"/>
      <c r="F1005" s="79"/>
    </row>
    <row r="1006" spans="1:6" ht="41.4">
      <c r="A1006" s="76" t="s">
        <v>665</v>
      </c>
      <c r="B1006" s="90" t="s">
        <v>794</v>
      </c>
      <c r="C1006" s="78"/>
      <c r="D1006" s="73"/>
      <c r="E1006" s="74"/>
      <c r="F1006" s="79"/>
    </row>
    <row r="1007" spans="1:6">
      <c r="A1007" s="76"/>
      <c r="B1007" s="90" t="s">
        <v>703</v>
      </c>
      <c r="C1007" s="78"/>
      <c r="D1007" s="73"/>
      <c r="E1007" s="74"/>
      <c r="F1007" s="79"/>
    </row>
    <row r="1008" spans="1:6" ht="27.6">
      <c r="A1008" s="89" t="s">
        <v>48</v>
      </c>
      <c r="B1008" s="90" t="s">
        <v>3417</v>
      </c>
      <c r="C1008" s="91" t="s">
        <v>649</v>
      </c>
      <c r="D1008" s="92">
        <v>5</v>
      </c>
      <c r="E1008" s="74">
        <v>350</v>
      </c>
      <c r="F1008" s="93">
        <f>IF(OR(OR(E1008=0,E1008=" "),OR(D1008=0,D1008=" "))," ",D1008*E1008)</f>
        <v>1750</v>
      </c>
    </row>
    <row r="1009" spans="1:6" ht="41.4">
      <c r="A1009" s="89" t="s">
        <v>49</v>
      </c>
      <c r="B1009" s="90" t="s">
        <v>3418</v>
      </c>
      <c r="C1009" s="91" t="s">
        <v>649</v>
      </c>
      <c r="D1009" s="92">
        <v>4</v>
      </c>
      <c r="E1009" s="74">
        <v>750</v>
      </c>
      <c r="F1009" s="93">
        <f>IF(OR(OR(E1009=0,E1009=" "),OR(D1009=0,D1009=" "))," ",D1009*E1009)</f>
        <v>3000</v>
      </c>
    </row>
    <row r="1010" spans="1:6">
      <c r="A1010" s="89"/>
      <c r="B1010" s="90"/>
      <c r="C1010" s="91"/>
      <c r="D1010" s="92"/>
      <c r="E1010" s="74"/>
      <c r="F1010" s="94"/>
    </row>
    <row r="1011" spans="1:6" ht="96.6">
      <c r="A1011" s="89" t="s">
        <v>1074</v>
      </c>
      <c r="B1011" s="362" t="s">
        <v>4120</v>
      </c>
      <c r="C1011" s="91"/>
      <c r="D1011" s="73"/>
      <c r="E1011" s="74"/>
      <c r="F1011" s="94"/>
    </row>
    <row r="1012" spans="1:6" ht="69">
      <c r="A1012" s="76" t="s">
        <v>665</v>
      </c>
      <c r="B1012" s="362" t="s">
        <v>3204</v>
      </c>
      <c r="C1012" s="78"/>
      <c r="D1012" s="73"/>
      <c r="E1012" s="74"/>
      <c r="F1012" s="79"/>
    </row>
    <row r="1013" spans="1:6" ht="151.80000000000001">
      <c r="A1013" s="76"/>
      <c r="B1013" s="90" t="s">
        <v>1763</v>
      </c>
      <c r="C1013" s="78"/>
      <c r="D1013" s="73"/>
      <c r="E1013" s="74"/>
      <c r="F1013" s="79"/>
    </row>
    <row r="1014" spans="1:6" ht="110.4">
      <c r="A1014" s="76"/>
      <c r="B1014" s="90" t="s">
        <v>1762</v>
      </c>
      <c r="C1014" s="78"/>
      <c r="D1014" s="73"/>
      <c r="E1014" s="74"/>
      <c r="F1014" s="79"/>
    </row>
    <row r="1015" spans="1:6" ht="69">
      <c r="A1015" s="76" t="s">
        <v>665</v>
      </c>
      <c r="B1015" s="90" t="s">
        <v>792</v>
      </c>
      <c r="C1015" s="78"/>
      <c r="D1015" s="73"/>
      <c r="E1015" s="74"/>
      <c r="F1015" s="79"/>
    </row>
    <row r="1016" spans="1:6" ht="82.8">
      <c r="A1016" s="76"/>
      <c r="B1016" s="90" t="s">
        <v>4990</v>
      </c>
      <c r="C1016" s="78"/>
      <c r="D1016" s="73"/>
      <c r="E1016" s="74"/>
      <c r="F1016" s="79"/>
    </row>
    <row r="1017" spans="1:6" ht="69">
      <c r="A1017" s="76"/>
      <c r="B1017" s="90" t="s">
        <v>4991</v>
      </c>
      <c r="C1017" s="78"/>
      <c r="D1017" s="73"/>
      <c r="E1017" s="74"/>
      <c r="F1017" s="79"/>
    </row>
    <row r="1018" spans="1:6">
      <c r="A1018" s="76" t="s">
        <v>665</v>
      </c>
      <c r="B1018" s="90" t="s">
        <v>793</v>
      </c>
      <c r="C1018" s="78"/>
      <c r="D1018" s="73"/>
      <c r="E1018" s="74"/>
      <c r="F1018" s="79"/>
    </row>
    <row r="1019" spans="1:6" ht="41.4">
      <c r="A1019" s="76" t="s">
        <v>665</v>
      </c>
      <c r="B1019" s="90" t="s">
        <v>794</v>
      </c>
      <c r="C1019" s="78"/>
      <c r="D1019" s="73"/>
      <c r="E1019" s="74"/>
      <c r="F1019" s="79"/>
    </row>
    <row r="1020" spans="1:6">
      <c r="A1020" s="76"/>
      <c r="B1020" s="90" t="s">
        <v>703</v>
      </c>
      <c r="C1020" s="78"/>
      <c r="D1020" s="73"/>
      <c r="E1020" s="74"/>
      <c r="F1020" s="79"/>
    </row>
    <row r="1021" spans="1:6" ht="27.6">
      <c r="A1021" s="89" t="s">
        <v>48</v>
      </c>
      <c r="B1021" s="90" t="s">
        <v>3419</v>
      </c>
      <c r="C1021" s="91" t="s">
        <v>649</v>
      </c>
      <c r="D1021" s="92">
        <v>2</v>
      </c>
      <c r="E1021" s="74">
        <v>850</v>
      </c>
      <c r="F1021" s="93">
        <f>IF(OR(OR(E1021=0,E1021=" "),OR(D1021=0,D1021=" "))," ",D1021*E1021)</f>
        <v>1700</v>
      </c>
    </row>
    <row r="1022" spans="1:6" ht="41.4">
      <c r="A1022" s="89" t="s">
        <v>49</v>
      </c>
      <c r="B1022" s="90" t="s">
        <v>3420</v>
      </c>
      <c r="C1022" s="91" t="s">
        <v>649</v>
      </c>
      <c r="D1022" s="92">
        <v>1</v>
      </c>
      <c r="E1022" s="74">
        <v>1850</v>
      </c>
      <c r="F1022" s="93">
        <f>IF(OR(OR(E1022=0,E1022=" "),OR(D1022=0,D1022=" "))," ",D1022*E1022)</f>
        <v>1850</v>
      </c>
    </row>
    <row r="1023" spans="1:6" ht="41.4">
      <c r="A1023" s="89" t="s">
        <v>51</v>
      </c>
      <c r="B1023" s="90" t="s">
        <v>3421</v>
      </c>
      <c r="C1023" s="91" t="s">
        <v>649</v>
      </c>
      <c r="D1023" s="92">
        <v>1</v>
      </c>
      <c r="E1023" s="74">
        <v>1800</v>
      </c>
      <c r="F1023" s="93">
        <f>IF(OR(OR(E1023=0,E1023=" "),OR(D1023=0,D1023=" "))," ",D1023*E1023)</f>
        <v>1800</v>
      </c>
    </row>
    <row r="1024" spans="1:6" ht="41.4">
      <c r="A1024" s="89" t="s">
        <v>53</v>
      </c>
      <c r="B1024" s="90" t="s">
        <v>3422</v>
      </c>
      <c r="C1024" s="91" t="s">
        <v>649</v>
      </c>
      <c r="D1024" s="92">
        <v>1</v>
      </c>
      <c r="E1024" s="74">
        <v>1200</v>
      </c>
      <c r="F1024" s="93">
        <f>IF(OR(OR(E1024=0,E1024=" "),OR(D1024=0,D1024=" "))," ",D1024*E1024)</f>
        <v>1200</v>
      </c>
    </row>
    <row r="1025" spans="1:6" ht="27.6">
      <c r="A1025" s="89" t="s">
        <v>698</v>
      </c>
      <c r="B1025" s="90" t="s">
        <v>3423</v>
      </c>
      <c r="C1025" s="91" t="s">
        <v>649</v>
      </c>
      <c r="D1025" s="92">
        <v>2</v>
      </c>
      <c r="E1025" s="74">
        <v>650</v>
      </c>
      <c r="F1025" s="93">
        <f>IF(OR(OR(E1025=0,E1025=" "),OR(D1025=0,D1025=" "))," ",D1025*E1025)</f>
        <v>1300</v>
      </c>
    </row>
    <row r="1026" spans="1:6">
      <c r="A1026" s="89"/>
      <c r="B1026" s="90"/>
      <c r="C1026" s="91"/>
      <c r="D1026" s="92"/>
      <c r="E1026" s="74"/>
      <c r="F1026" s="93"/>
    </row>
    <row r="1027" spans="1:6" ht="69">
      <c r="A1027" s="89" t="s">
        <v>1075</v>
      </c>
      <c r="B1027" s="377" t="s">
        <v>1765</v>
      </c>
      <c r="C1027" s="91"/>
      <c r="D1027" s="92"/>
      <c r="E1027" s="74"/>
      <c r="F1027" s="94"/>
    </row>
    <row r="1028" spans="1:6">
      <c r="A1028" s="89"/>
      <c r="B1028" s="90" t="s">
        <v>3424</v>
      </c>
      <c r="C1028" s="91"/>
      <c r="D1028" s="92"/>
      <c r="E1028" s="74"/>
      <c r="F1028" s="94"/>
    </row>
    <row r="1029" spans="1:6" ht="96.6">
      <c r="A1029" s="89"/>
      <c r="B1029" s="90" t="s">
        <v>1766</v>
      </c>
      <c r="C1029" s="91"/>
      <c r="D1029" s="92"/>
      <c r="E1029" s="74"/>
      <c r="F1029" s="94"/>
    </row>
    <row r="1030" spans="1:6" ht="69">
      <c r="A1030" s="89"/>
      <c r="B1030" s="90" t="s">
        <v>4967</v>
      </c>
      <c r="C1030" s="91"/>
      <c r="D1030" s="92"/>
      <c r="E1030" s="74"/>
      <c r="F1030" s="94"/>
    </row>
    <row r="1031" spans="1:6" ht="41.4">
      <c r="A1031" s="89"/>
      <c r="B1031" s="90" t="s">
        <v>794</v>
      </c>
      <c r="C1031" s="91"/>
      <c r="D1031" s="92"/>
      <c r="E1031" s="74"/>
      <c r="F1031" s="94"/>
    </row>
    <row r="1032" spans="1:6">
      <c r="A1032" s="89"/>
      <c r="B1032" s="90" t="s">
        <v>703</v>
      </c>
      <c r="C1032" s="91"/>
      <c r="D1032" s="92"/>
      <c r="E1032" s="74"/>
      <c r="F1032" s="94"/>
    </row>
    <row r="1033" spans="1:6" ht="27.6">
      <c r="A1033" s="89" t="s">
        <v>48</v>
      </c>
      <c r="B1033" s="90" t="s">
        <v>3425</v>
      </c>
      <c r="C1033" s="91" t="s">
        <v>649</v>
      </c>
      <c r="D1033" s="92">
        <v>2</v>
      </c>
      <c r="E1033" s="74">
        <v>100</v>
      </c>
      <c r="F1033" s="93">
        <f>IF(OR(OR(E1033=0,E1033=" "),OR(D1033=0,D1033=" "))," ",D1033*E1033)</f>
        <v>200</v>
      </c>
    </row>
    <row r="1034" spans="1:6">
      <c r="A1034" s="89"/>
      <c r="B1034" s="90"/>
      <c r="C1034" s="91"/>
      <c r="D1034" s="92"/>
      <c r="E1034" s="74"/>
      <c r="F1034" s="94"/>
    </row>
    <row r="1035" spans="1:6">
      <c r="A1035" s="87" t="s">
        <v>667</v>
      </c>
      <c r="B1035" s="88" t="s">
        <v>795</v>
      </c>
      <c r="C1035" s="91"/>
      <c r="D1035" s="92"/>
      <c r="E1035" s="74"/>
      <c r="F1035" s="93"/>
    </row>
    <row r="1036" spans="1:6">
      <c r="A1036" s="76" t="s">
        <v>665</v>
      </c>
      <c r="B1036" s="96" t="s">
        <v>666</v>
      </c>
      <c r="C1036" s="78"/>
      <c r="D1036" s="73"/>
      <c r="E1036" s="74"/>
      <c r="F1036" s="79"/>
    </row>
    <row r="1037" spans="1:6" ht="69">
      <c r="A1037" s="76" t="s">
        <v>665</v>
      </c>
      <c r="B1037" s="96" t="s">
        <v>3236</v>
      </c>
      <c r="C1037" s="78"/>
      <c r="D1037" s="73"/>
      <c r="E1037" s="74"/>
      <c r="F1037" s="79"/>
    </row>
    <row r="1038" spans="1:6" ht="179.4">
      <c r="A1038" s="89" t="s">
        <v>1076</v>
      </c>
      <c r="B1038" s="362" t="s">
        <v>3175</v>
      </c>
      <c r="C1038" s="91"/>
      <c r="D1038" s="114"/>
      <c r="E1038" s="94"/>
      <c r="F1038" s="94"/>
    </row>
    <row r="1039" spans="1:6" ht="69">
      <c r="A1039" s="89"/>
      <c r="B1039" s="90" t="s">
        <v>4967</v>
      </c>
      <c r="C1039" s="91"/>
      <c r="D1039" s="114"/>
      <c r="E1039" s="94"/>
      <c r="F1039" s="94"/>
    </row>
    <row r="1040" spans="1:6" ht="82.8">
      <c r="A1040" s="76" t="s">
        <v>665</v>
      </c>
      <c r="B1040" s="90" t="s">
        <v>796</v>
      </c>
      <c r="C1040" s="78"/>
      <c r="D1040" s="115"/>
      <c r="E1040" s="79"/>
      <c r="F1040" s="79"/>
    </row>
    <row r="1041" spans="1:6" ht="41.4">
      <c r="A1041" s="89" t="s">
        <v>49</v>
      </c>
      <c r="B1041" s="90" t="s">
        <v>3174</v>
      </c>
      <c r="C1041" s="91" t="s">
        <v>697</v>
      </c>
      <c r="D1041" s="73">
        <v>69</v>
      </c>
      <c r="E1041" s="74">
        <v>60</v>
      </c>
      <c r="F1041" s="93">
        <f>IF(OR(OR(E1041=0,E1041=" "),OR(D1041=0,D1041=" "))," ",D1041*E1041)</f>
        <v>4140</v>
      </c>
    </row>
    <row r="1042" spans="1:6">
      <c r="A1042" s="98"/>
      <c r="B1042" s="99"/>
      <c r="C1042" s="100"/>
      <c r="D1042" s="101"/>
      <c r="E1042" s="100"/>
      <c r="F1042" s="102"/>
    </row>
    <row r="1043" spans="1:6">
      <c r="A1043" s="103" t="str">
        <f>A966</f>
        <v>B.4.</v>
      </c>
      <c r="B1043" s="104" t="str">
        <f>CONCATENATE(B966," ", "UKUPNO:")</f>
        <v>STOLARSKI RADOVI UKUPNO:</v>
      </c>
      <c r="D1043" s="73"/>
      <c r="E1043" s="74"/>
      <c r="F1043" s="663">
        <f>SUM(F969:F1042)</f>
        <v>36490</v>
      </c>
    </row>
    <row r="1044" spans="1:6">
      <c r="A1044" s="106"/>
      <c r="B1044" s="107"/>
      <c r="C1044" s="72"/>
      <c r="D1044" s="73"/>
      <c r="E1044" s="74"/>
      <c r="F1044" s="108"/>
    </row>
    <row r="1045" spans="1:6">
      <c r="A1045" s="70"/>
      <c r="B1045" s="71"/>
      <c r="C1045" s="72"/>
      <c r="D1045" s="73"/>
      <c r="E1045" s="74"/>
      <c r="F1045" s="75"/>
    </row>
    <row r="1046" spans="1:6">
      <c r="A1046" s="81" t="s">
        <v>1131</v>
      </c>
      <c r="B1046" s="82" t="s">
        <v>3426</v>
      </c>
      <c r="C1046" s="83"/>
      <c r="D1046" s="84"/>
      <c r="E1046" s="85"/>
      <c r="F1046" s="86"/>
    </row>
    <row r="1047" spans="1:6">
      <c r="A1047" s="70"/>
      <c r="B1047" s="71"/>
      <c r="C1047" s="72"/>
      <c r="D1047" s="73"/>
      <c r="E1047" s="74"/>
      <c r="F1047" s="75"/>
    </row>
    <row r="1048" spans="1:6">
      <c r="A1048" s="87" t="s">
        <v>667</v>
      </c>
      <c r="B1048" s="88" t="s">
        <v>1783</v>
      </c>
      <c r="C1048" s="72"/>
      <c r="D1048" s="73"/>
      <c r="E1048" s="74"/>
      <c r="F1048" s="75"/>
    </row>
    <row r="1049" spans="1:6" ht="96.6">
      <c r="A1049" s="70"/>
      <c r="B1049" s="96" t="s">
        <v>1779</v>
      </c>
      <c r="C1049" s="72"/>
      <c r="D1049" s="73"/>
      <c r="E1049" s="74"/>
      <c r="F1049" s="75"/>
    </row>
    <row r="1050" spans="1:6" ht="69">
      <c r="A1050" s="70"/>
      <c r="B1050" s="96" t="s">
        <v>1767</v>
      </c>
      <c r="C1050" s="72"/>
      <c r="D1050" s="73"/>
      <c r="E1050" s="74"/>
      <c r="F1050" s="75"/>
    </row>
    <row r="1051" spans="1:6" ht="69">
      <c r="A1051" s="70"/>
      <c r="B1051" s="96" t="s">
        <v>1768</v>
      </c>
      <c r="C1051" s="72"/>
      <c r="D1051" s="73"/>
      <c r="E1051" s="74"/>
      <c r="F1051" s="75"/>
    </row>
    <row r="1052" spans="1:6" ht="27.6">
      <c r="A1052" s="70"/>
      <c r="B1052" s="96" t="s">
        <v>1769</v>
      </c>
      <c r="C1052" s="72"/>
      <c r="D1052" s="73"/>
      <c r="E1052" s="74"/>
      <c r="F1052" s="75"/>
    </row>
    <row r="1053" spans="1:6">
      <c r="A1053" s="70"/>
      <c r="B1053" s="96" t="s">
        <v>1770</v>
      </c>
      <c r="C1053" s="72"/>
      <c r="D1053" s="73"/>
      <c r="E1053" s="74"/>
      <c r="F1053" s="75"/>
    </row>
    <row r="1054" spans="1:6">
      <c r="A1054" s="70"/>
      <c r="B1054" s="96"/>
      <c r="C1054" s="72"/>
      <c r="D1054" s="73"/>
      <c r="E1054" s="74"/>
      <c r="F1054" s="75"/>
    </row>
    <row r="1055" spans="1:6" ht="27.6">
      <c r="A1055" s="378" t="s">
        <v>732</v>
      </c>
      <c r="B1055" s="96" t="s">
        <v>1780</v>
      </c>
      <c r="C1055" s="72"/>
      <c r="D1055" s="73"/>
      <c r="E1055" s="74"/>
      <c r="F1055" s="75"/>
    </row>
    <row r="1056" spans="1:6" ht="41.4">
      <c r="A1056" s="378" t="s">
        <v>1771</v>
      </c>
      <c r="B1056" s="96" t="s">
        <v>1772</v>
      </c>
      <c r="C1056" s="72"/>
      <c r="D1056" s="73"/>
      <c r="E1056" s="74"/>
      <c r="F1056" s="75"/>
    </row>
    <row r="1057" spans="1:6" ht="27.6">
      <c r="A1057" s="378" t="s">
        <v>1771</v>
      </c>
      <c r="B1057" s="96" t="s">
        <v>1773</v>
      </c>
      <c r="C1057" s="72"/>
      <c r="D1057" s="73"/>
      <c r="E1057" s="74"/>
      <c r="F1057" s="75"/>
    </row>
    <row r="1058" spans="1:6" ht="27.6">
      <c r="A1058" s="378" t="s">
        <v>1771</v>
      </c>
      <c r="B1058" s="96" t="s">
        <v>1774</v>
      </c>
      <c r="C1058" s="72"/>
      <c r="D1058" s="73"/>
      <c r="E1058" s="74"/>
      <c r="F1058" s="75"/>
    </row>
    <row r="1059" spans="1:6" ht="27.6">
      <c r="A1059" s="378" t="s">
        <v>1771</v>
      </c>
      <c r="B1059" s="96" t="s">
        <v>1775</v>
      </c>
      <c r="C1059" s="72"/>
      <c r="D1059" s="73"/>
      <c r="E1059" s="74"/>
      <c r="F1059" s="75"/>
    </row>
    <row r="1060" spans="1:6" ht="41.4">
      <c r="A1060" s="378" t="s">
        <v>1771</v>
      </c>
      <c r="B1060" s="96" t="s">
        <v>3207</v>
      </c>
      <c r="C1060" s="72"/>
      <c r="D1060" s="73"/>
      <c r="E1060" s="74"/>
      <c r="F1060" s="75"/>
    </row>
    <row r="1061" spans="1:6" ht="27.6">
      <c r="A1061" s="378" t="s">
        <v>1771</v>
      </c>
      <c r="B1061" s="96" t="s">
        <v>1776</v>
      </c>
      <c r="C1061" s="72"/>
      <c r="D1061" s="73"/>
      <c r="E1061" s="74"/>
      <c r="F1061" s="75"/>
    </row>
    <row r="1062" spans="1:6" ht="27.6">
      <c r="A1062" s="378" t="s">
        <v>1771</v>
      </c>
      <c r="B1062" s="96" t="s">
        <v>1777</v>
      </c>
      <c r="C1062" s="72"/>
      <c r="D1062" s="73"/>
      <c r="E1062" s="74"/>
      <c r="F1062" s="75"/>
    </row>
    <row r="1063" spans="1:6" ht="41.4">
      <c r="A1063" s="378" t="s">
        <v>1771</v>
      </c>
      <c r="B1063" s="96" t="s">
        <v>3249</v>
      </c>
      <c r="C1063" s="72"/>
      <c r="D1063" s="73"/>
      <c r="E1063" s="74"/>
      <c r="F1063" s="75"/>
    </row>
    <row r="1064" spans="1:6" ht="96.6">
      <c r="A1064" s="378" t="s">
        <v>1771</v>
      </c>
      <c r="B1064" s="96" t="s">
        <v>3205</v>
      </c>
      <c r="C1064" s="72"/>
      <c r="D1064" s="73"/>
      <c r="E1064" s="74"/>
      <c r="F1064" s="75"/>
    </row>
    <row r="1065" spans="1:6" ht="55.2">
      <c r="A1065" s="378"/>
      <c r="B1065" s="96" t="s">
        <v>3206</v>
      </c>
      <c r="C1065" s="72"/>
      <c r="D1065" s="73"/>
      <c r="E1065" s="74"/>
      <c r="F1065" s="75"/>
    </row>
    <row r="1066" spans="1:6" ht="69">
      <c r="A1066" s="378"/>
      <c r="B1066" s="96" t="s">
        <v>2077</v>
      </c>
      <c r="C1066" s="72"/>
      <c r="D1066" s="73"/>
      <c r="E1066" s="74"/>
      <c r="F1066" s="75"/>
    </row>
    <row r="1067" spans="1:6" ht="27.6">
      <c r="A1067" s="70"/>
      <c r="B1067" s="278" t="s">
        <v>3176</v>
      </c>
      <c r="C1067" s="72"/>
      <c r="D1067" s="73"/>
      <c r="E1067" s="74"/>
      <c r="F1067" s="75"/>
    </row>
    <row r="1068" spans="1:6" ht="82.8">
      <c r="A1068" s="70"/>
      <c r="B1068" s="96" t="s">
        <v>4968</v>
      </c>
      <c r="C1068" s="72"/>
      <c r="D1068" s="73"/>
      <c r="E1068" s="74"/>
      <c r="F1068" s="75"/>
    </row>
    <row r="1069" spans="1:6" ht="55.2">
      <c r="A1069" s="70"/>
      <c r="B1069" s="96" t="s">
        <v>3208</v>
      </c>
      <c r="C1069" s="72"/>
      <c r="D1069" s="73"/>
      <c r="E1069" s="74"/>
      <c r="F1069" s="75"/>
    </row>
    <row r="1070" spans="1:6" ht="69">
      <c r="A1070" s="70"/>
      <c r="B1070" s="96" t="s">
        <v>5270</v>
      </c>
      <c r="C1070" s="72"/>
      <c r="D1070" s="73"/>
      <c r="E1070" s="74"/>
      <c r="F1070" s="75"/>
    </row>
    <row r="1071" spans="1:6" ht="138">
      <c r="A1071" s="70"/>
      <c r="B1071" s="96" t="s">
        <v>5271</v>
      </c>
      <c r="C1071" s="72"/>
      <c r="D1071" s="73"/>
      <c r="E1071" s="74"/>
      <c r="F1071" s="75"/>
    </row>
    <row r="1072" spans="1:6" ht="151.80000000000001">
      <c r="A1072" s="70"/>
      <c r="B1072" s="96" t="s">
        <v>4879</v>
      </c>
      <c r="C1072" s="72"/>
      <c r="D1072" s="73"/>
      <c r="E1072" s="74"/>
      <c r="F1072" s="75"/>
    </row>
    <row r="1073" spans="1:7">
      <c r="A1073" s="70"/>
      <c r="B1073" s="96"/>
      <c r="C1073" s="72"/>
      <c r="D1073" s="73"/>
      <c r="E1073" s="74"/>
      <c r="F1073" s="75"/>
    </row>
    <row r="1074" spans="1:7">
      <c r="A1074" s="87" t="s">
        <v>667</v>
      </c>
      <c r="B1074" s="88" t="s">
        <v>797</v>
      </c>
      <c r="C1074" s="72"/>
      <c r="D1074" s="73"/>
      <c r="E1074" s="74"/>
      <c r="F1074" s="75"/>
    </row>
    <row r="1075" spans="1:7" ht="110.4">
      <c r="A1075" s="106" t="s">
        <v>1132</v>
      </c>
      <c r="B1075" s="358" t="s">
        <v>1781</v>
      </c>
      <c r="C1075" s="72"/>
      <c r="D1075" s="73"/>
      <c r="E1075" s="74"/>
      <c r="F1075" s="75"/>
    </row>
    <row r="1076" spans="1:7" ht="96.6">
      <c r="A1076" s="106"/>
      <c r="B1076" s="358" t="s">
        <v>5027</v>
      </c>
      <c r="C1076" s="72"/>
      <c r="D1076" s="73"/>
      <c r="E1076" s="74"/>
      <c r="F1076" s="75"/>
    </row>
    <row r="1077" spans="1:7" ht="69">
      <c r="A1077" s="106" t="s">
        <v>665</v>
      </c>
      <c r="B1077" s="71" t="s">
        <v>799</v>
      </c>
      <c r="C1077" s="72"/>
      <c r="D1077" s="73"/>
      <c r="E1077" s="74"/>
      <c r="F1077" s="75"/>
    </row>
    <row r="1078" spans="1:7" ht="165.6">
      <c r="A1078" s="106" t="s">
        <v>665</v>
      </c>
      <c r="B1078" s="71" t="s">
        <v>2091</v>
      </c>
      <c r="C1078" s="72"/>
      <c r="D1078" s="73"/>
      <c r="E1078" s="74"/>
      <c r="F1078" s="75"/>
    </row>
    <row r="1079" spans="1:7" ht="27.6">
      <c r="A1079" s="106" t="s">
        <v>665</v>
      </c>
      <c r="B1079" s="71" t="s">
        <v>2076</v>
      </c>
      <c r="C1079" s="72"/>
      <c r="D1079" s="73"/>
      <c r="E1079" s="74"/>
      <c r="F1079" s="75"/>
    </row>
    <row r="1080" spans="1:7" ht="41.4">
      <c r="A1080" s="106" t="s">
        <v>665</v>
      </c>
      <c r="B1080" s="71" t="s">
        <v>3250</v>
      </c>
      <c r="C1080" s="72"/>
      <c r="D1080" s="73"/>
      <c r="E1080" s="74"/>
      <c r="F1080" s="75"/>
    </row>
    <row r="1081" spans="1:7" ht="69">
      <c r="A1081" s="106" t="s">
        <v>665</v>
      </c>
      <c r="B1081" s="71" t="s">
        <v>800</v>
      </c>
      <c r="C1081" s="72"/>
      <c r="D1081" s="73"/>
      <c r="E1081" s="74"/>
      <c r="F1081" s="75"/>
    </row>
    <row r="1082" spans="1:7" ht="124.2">
      <c r="A1082" s="106" t="s">
        <v>665</v>
      </c>
      <c r="B1082" s="71" t="s">
        <v>4969</v>
      </c>
      <c r="C1082" s="72"/>
      <c r="D1082" s="73"/>
      <c r="E1082" s="74"/>
      <c r="F1082" s="75"/>
    </row>
    <row r="1083" spans="1:7" ht="289.8">
      <c r="A1083" s="106" t="s">
        <v>665</v>
      </c>
      <c r="B1083" s="71" t="s">
        <v>5272</v>
      </c>
      <c r="C1083" s="72"/>
      <c r="D1083" s="73"/>
      <c r="E1083" s="74"/>
      <c r="F1083" s="75"/>
    </row>
    <row r="1084" spans="1:7" ht="82.8">
      <c r="A1084" s="106" t="s">
        <v>665</v>
      </c>
      <c r="B1084" s="71" t="s">
        <v>5273</v>
      </c>
      <c r="C1084" s="72"/>
      <c r="D1084" s="73"/>
      <c r="E1084" s="74"/>
      <c r="F1084" s="75"/>
    </row>
    <row r="1085" spans="1:7">
      <c r="A1085" s="106" t="s">
        <v>665</v>
      </c>
      <c r="B1085" s="71" t="s">
        <v>801</v>
      </c>
      <c r="C1085" s="72"/>
      <c r="D1085" s="73"/>
      <c r="E1085" s="74"/>
      <c r="F1085" s="75"/>
    </row>
    <row r="1086" spans="1:7" ht="82.8">
      <c r="A1086" s="106" t="s">
        <v>665</v>
      </c>
      <c r="B1086" s="71" t="s">
        <v>802</v>
      </c>
      <c r="C1086" s="72"/>
      <c r="D1086" s="73"/>
      <c r="E1086" s="74"/>
      <c r="F1086" s="75"/>
    </row>
    <row r="1087" spans="1:7">
      <c r="A1087" s="106"/>
      <c r="B1087" s="90" t="s">
        <v>703</v>
      </c>
      <c r="C1087" s="72"/>
      <c r="D1087" s="73"/>
      <c r="E1087" s="74"/>
      <c r="F1087" s="75"/>
      <c r="G1087" s="379"/>
    </row>
    <row r="1088" spans="1:7">
      <c r="A1088" s="106"/>
      <c r="B1088" s="71"/>
      <c r="C1088" s="72"/>
      <c r="D1088" s="73"/>
      <c r="E1088" s="74"/>
      <c r="F1088" s="75"/>
      <c r="G1088" s="379"/>
    </row>
    <row r="1089" spans="1:10" ht="165.6">
      <c r="A1089" s="106" t="s">
        <v>48</v>
      </c>
      <c r="B1089" s="71" t="s">
        <v>5274</v>
      </c>
      <c r="C1089" s="72" t="s">
        <v>649</v>
      </c>
      <c r="D1089" s="92">
        <v>12</v>
      </c>
      <c r="E1089" s="915">
        <v>4160</v>
      </c>
      <c r="F1089" s="93">
        <f>IF(OR(OR(E1089=0,E1089=" "),OR(D1089=0,D1089=" "))," ",D1089*E1089)</f>
        <v>49920</v>
      </c>
      <c r="G1089" s="379"/>
    </row>
    <row r="1090" spans="1:10">
      <c r="A1090" s="70"/>
      <c r="B1090" s="71"/>
      <c r="C1090" s="72"/>
      <c r="D1090" s="73"/>
      <c r="E1090" s="915"/>
      <c r="F1090" s="75"/>
      <c r="G1090" s="379"/>
    </row>
    <row r="1091" spans="1:10" ht="138">
      <c r="A1091" s="106" t="s">
        <v>49</v>
      </c>
      <c r="B1091" s="71" t="s">
        <v>5132</v>
      </c>
      <c r="C1091" s="72" t="s">
        <v>649</v>
      </c>
      <c r="D1091" s="92">
        <v>5</v>
      </c>
      <c r="E1091" s="915">
        <v>2781.13</v>
      </c>
      <c r="F1091" s="93">
        <f>IF(OR(OR(E1091=0,E1091=" "),OR(D1091=0,D1091=" "))," ",D1091*E1091)</f>
        <v>13905.650000000001</v>
      </c>
      <c r="J1091" s="71"/>
    </row>
    <row r="1092" spans="1:10">
      <c r="A1092" s="70"/>
      <c r="B1092" s="71"/>
      <c r="C1092" s="72"/>
      <c r="D1092" s="73"/>
      <c r="E1092" s="915"/>
      <c r="F1092" s="75"/>
    </row>
    <row r="1093" spans="1:10" ht="110.4">
      <c r="A1093" s="106" t="s">
        <v>51</v>
      </c>
      <c r="B1093" s="71" t="s">
        <v>3448</v>
      </c>
      <c r="C1093" s="72" t="s">
        <v>649</v>
      </c>
      <c r="D1093" s="92">
        <v>6</v>
      </c>
      <c r="E1093" s="915">
        <v>1414.69</v>
      </c>
      <c r="F1093" s="93">
        <f>IF(OR(OR(E1093=0,E1093=" "),OR(D1093=0,D1093=" "))," ",D1093*E1093)</f>
        <v>8488.14</v>
      </c>
    </row>
    <row r="1094" spans="1:10">
      <c r="A1094" s="70"/>
      <c r="B1094" s="71"/>
      <c r="C1094" s="72"/>
      <c r="D1094" s="73"/>
      <c r="E1094" s="915"/>
      <c r="F1094" s="75"/>
    </row>
    <row r="1095" spans="1:10" ht="82.8">
      <c r="A1095" s="106" t="s">
        <v>53</v>
      </c>
      <c r="B1095" s="71" t="s">
        <v>3432</v>
      </c>
      <c r="C1095" s="72" t="s">
        <v>649</v>
      </c>
      <c r="D1095" s="92">
        <v>1</v>
      </c>
      <c r="E1095" s="915">
        <v>1077.48</v>
      </c>
      <c r="F1095" s="93">
        <f>IF(OR(OR(E1095=0,E1095=" "),OR(D1095=0,D1095=" "))," ",D1095*E1095)</f>
        <v>1077.48</v>
      </c>
      <c r="J1095" s="71"/>
    </row>
    <row r="1096" spans="1:10">
      <c r="A1096" s="70"/>
      <c r="B1096" s="71"/>
      <c r="C1096" s="72"/>
      <c r="D1096" s="73"/>
      <c r="E1096" s="915"/>
      <c r="F1096" s="75"/>
    </row>
    <row r="1097" spans="1:10" ht="69">
      <c r="A1097" s="106" t="s">
        <v>698</v>
      </c>
      <c r="B1097" s="71" t="s">
        <v>3447</v>
      </c>
      <c r="C1097" s="72" t="s">
        <v>649</v>
      </c>
      <c r="D1097" s="92">
        <v>1</v>
      </c>
      <c r="E1097" s="915">
        <v>968.65</v>
      </c>
      <c r="F1097" s="93">
        <f>IF(OR(OR(E1097=0,E1097=" "),OR(D1097=0,D1097=" "))," ",D1097*E1097)</f>
        <v>968.65</v>
      </c>
    </row>
    <row r="1098" spans="1:10">
      <c r="A1098" s="106"/>
      <c r="B1098" s="71"/>
      <c r="C1098" s="72"/>
      <c r="D1098" s="92"/>
      <c r="E1098" s="915"/>
      <c r="F1098" s="93"/>
    </row>
    <row r="1099" spans="1:10" ht="124.2">
      <c r="A1099" s="106" t="s">
        <v>699</v>
      </c>
      <c r="B1099" s="71" t="s">
        <v>3433</v>
      </c>
      <c r="C1099" s="72" t="s">
        <v>649</v>
      </c>
      <c r="D1099" s="92">
        <v>6</v>
      </c>
      <c r="E1099" s="915">
        <v>1107.97</v>
      </c>
      <c r="F1099" s="93">
        <f>IF(OR(OR(E1099=0,E1099=" "),OR(D1099=0,D1099=" "))," ",D1099*E1099)</f>
        <v>6647.82</v>
      </c>
    </row>
    <row r="1100" spans="1:10">
      <c r="A1100" s="106"/>
      <c r="B1100" s="71"/>
      <c r="C1100" s="72"/>
      <c r="D1100" s="92"/>
      <c r="E1100" s="915"/>
      <c r="F1100" s="93"/>
    </row>
    <row r="1101" spans="1:10" ht="110.4">
      <c r="A1101" s="106" t="s">
        <v>745</v>
      </c>
      <c r="B1101" s="71" t="s">
        <v>5275</v>
      </c>
      <c r="C1101" s="72" t="s">
        <v>649</v>
      </c>
      <c r="D1101" s="92">
        <v>1</v>
      </c>
      <c r="E1101" s="915">
        <v>1566</v>
      </c>
      <c r="F1101" s="93">
        <f>IF(OR(OR(E1101=0,E1101=" "),OR(D1101=0,D1101=" "))," ",D1101*E1101)</f>
        <v>1566</v>
      </c>
    </row>
    <row r="1102" spans="1:10">
      <c r="A1102" s="106"/>
      <c r="B1102" s="71"/>
      <c r="C1102" s="72"/>
      <c r="D1102" s="92"/>
      <c r="E1102" s="915"/>
      <c r="F1102" s="93"/>
    </row>
    <row r="1103" spans="1:10" ht="138">
      <c r="A1103" s="106" t="s">
        <v>803</v>
      </c>
      <c r="B1103" s="71" t="s">
        <v>5276</v>
      </c>
      <c r="C1103" s="72" t="s">
        <v>649</v>
      </c>
      <c r="D1103" s="92">
        <v>1</v>
      </c>
      <c r="E1103" s="915">
        <v>1620</v>
      </c>
      <c r="F1103" s="93">
        <f>IF(OR(OR(E1103=0,E1103=" "),OR(D1103=0,D1103=" "))," ",D1103*E1103)</f>
        <v>1620</v>
      </c>
    </row>
    <row r="1104" spans="1:10">
      <c r="A1104" s="106"/>
      <c r="B1104" s="71"/>
      <c r="C1104" s="72"/>
      <c r="D1104" s="92"/>
      <c r="E1104" s="915"/>
      <c r="F1104" s="93"/>
    </row>
    <row r="1105" spans="1:6" ht="110.4">
      <c r="A1105" s="106" t="s">
        <v>804</v>
      </c>
      <c r="B1105" s="71" t="s">
        <v>5277</v>
      </c>
      <c r="C1105" s="72" t="s">
        <v>649</v>
      </c>
      <c r="D1105" s="92">
        <v>2</v>
      </c>
      <c r="E1105" s="915">
        <v>1510</v>
      </c>
      <c r="F1105" s="93">
        <f>IF(OR(OR(E1105=0,E1105=" "),OR(D1105=0,D1105=" "))," ",D1105*E1105)</f>
        <v>3020</v>
      </c>
    </row>
    <row r="1106" spans="1:6">
      <c r="A1106" s="106"/>
      <c r="B1106" s="71"/>
      <c r="C1106" s="72"/>
      <c r="D1106" s="92"/>
      <c r="E1106" s="915"/>
      <c r="F1106" s="93"/>
    </row>
    <row r="1107" spans="1:6" ht="96.6">
      <c r="A1107" s="106" t="s">
        <v>805</v>
      </c>
      <c r="B1107" s="71" t="s">
        <v>3444</v>
      </c>
      <c r="C1107" s="72" t="s">
        <v>649</v>
      </c>
      <c r="D1107" s="92">
        <v>1</v>
      </c>
      <c r="E1107" s="915">
        <v>1588.59</v>
      </c>
      <c r="F1107" s="93">
        <f>IF(OR(OR(E1107=0,E1107=" "),OR(D1107=0,D1107=" "))," ",D1107*E1107)</f>
        <v>1588.59</v>
      </c>
    </row>
    <row r="1108" spans="1:6">
      <c r="A1108" s="106"/>
      <c r="B1108" s="71"/>
      <c r="C1108" s="72"/>
      <c r="D1108" s="92"/>
      <c r="E1108" s="915"/>
      <c r="F1108" s="93"/>
    </row>
    <row r="1109" spans="1:6" ht="151.80000000000001">
      <c r="A1109" s="106" t="s">
        <v>1023</v>
      </c>
      <c r="B1109" s="71" t="s">
        <v>5278</v>
      </c>
      <c r="C1109" s="72" t="s">
        <v>649</v>
      </c>
      <c r="D1109" s="92">
        <v>1</v>
      </c>
      <c r="E1109" s="915">
        <v>1173</v>
      </c>
      <c r="F1109" s="93">
        <f>IF(OR(OR(E1109=0,E1109=" "),OR(D1109=0,D1109=" "))," ",D1109*E1109)</f>
        <v>1173</v>
      </c>
    </row>
    <row r="1110" spans="1:6">
      <c r="A1110" s="106"/>
      <c r="B1110" s="71"/>
      <c r="C1110" s="72"/>
      <c r="D1110" s="92"/>
      <c r="E1110" s="915"/>
      <c r="F1110" s="93"/>
    </row>
    <row r="1111" spans="1:6" ht="82.8">
      <c r="A1111" s="106" t="s">
        <v>1024</v>
      </c>
      <c r="B1111" s="71" t="s">
        <v>3445</v>
      </c>
      <c r="C1111" s="72" t="s">
        <v>649</v>
      </c>
      <c r="D1111" s="92">
        <v>5</v>
      </c>
      <c r="E1111" s="915">
        <v>973.12</v>
      </c>
      <c r="F1111" s="93">
        <f>IF(OR(OR(E1111=0,E1111=" "),OR(D1111=0,D1111=" "))," ",D1111*E1111)</f>
        <v>4865.6000000000004</v>
      </c>
    </row>
    <row r="1112" spans="1:6">
      <c r="A1112" s="70"/>
      <c r="B1112" s="71"/>
      <c r="C1112" s="72"/>
      <c r="D1112" s="73"/>
      <c r="E1112" s="915"/>
      <c r="F1112" s="75"/>
    </row>
    <row r="1113" spans="1:6" ht="82.8">
      <c r="A1113" s="106" t="s">
        <v>1025</v>
      </c>
      <c r="B1113" s="71" t="s">
        <v>3446</v>
      </c>
      <c r="C1113" s="72" t="s">
        <v>649</v>
      </c>
      <c r="D1113" s="92">
        <v>1</v>
      </c>
      <c r="E1113" s="915">
        <v>931.97</v>
      </c>
      <c r="F1113" s="93">
        <f>IF(OR(OR(E1113=0,E1113=" "),OR(D1113=0,D1113=" "))," ",D1113*E1113)</f>
        <v>931.97</v>
      </c>
    </row>
    <row r="1114" spans="1:6">
      <c r="A1114" s="70"/>
      <c r="B1114" s="71"/>
      <c r="C1114" s="72"/>
      <c r="D1114" s="73"/>
      <c r="E1114" s="915"/>
      <c r="F1114" s="75"/>
    </row>
    <row r="1115" spans="1:6" ht="124.2">
      <c r="A1115" s="106" t="s">
        <v>1026</v>
      </c>
      <c r="B1115" s="71" t="s">
        <v>5060</v>
      </c>
      <c r="C1115" s="72" t="s">
        <v>649</v>
      </c>
      <c r="D1115" s="92">
        <v>2</v>
      </c>
      <c r="E1115" s="915">
        <v>2477</v>
      </c>
      <c r="F1115" s="93">
        <f>IF(OR(OR(E1115=0,E1115=" "),OR(D1115=0,D1115=" "))," ",D1115*E1115)</f>
        <v>4954</v>
      </c>
    </row>
    <row r="1116" spans="1:6">
      <c r="A1116" s="70"/>
      <c r="B1116" s="71"/>
      <c r="C1116" s="72"/>
      <c r="D1116" s="73"/>
      <c r="E1116" s="915"/>
      <c r="F1116" s="75"/>
    </row>
    <row r="1117" spans="1:6" ht="96.6">
      <c r="A1117" s="106" t="s">
        <v>1027</v>
      </c>
      <c r="B1117" s="71" t="s">
        <v>5061</v>
      </c>
      <c r="C1117" s="72" t="s">
        <v>649</v>
      </c>
      <c r="D1117" s="92">
        <v>7</v>
      </c>
      <c r="E1117" s="915">
        <v>1902.18</v>
      </c>
      <c r="F1117" s="93">
        <f>IF(OR(OR(E1117=0,E1117=" "),OR(D1117=0,D1117=" "))," ",D1117*E1117)</f>
        <v>13315.26</v>
      </c>
    </row>
    <row r="1118" spans="1:6">
      <c r="A1118" s="106"/>
      <c r="B1118" s="71"/>
      <c r="C1118" s="72"/>
      <c r="D1118" s="92"/>
      <c r="E1118" s="915"/>
      <c r="F1118" s="93"/>
    </row>
    <row r="1119" spans="1:6" ht="262.2">
      <c r="A1119" s="106" t="s">
        <v>1782</v>
      </c>
      <c r="B1119" s="71" t="s">
        <v>5279</v>
      </c>
      <c r="C1119" s="72" t="s">
        <v>649</v>
      </c>
      <c r="D1119" s="92">
        <v>1</v>
      </c>
      <c r="E1119" s="915">
        <v>7550.24</v>
      </c>
      <c r="F1119" s="93">
        <f>IF(OR(OR(E1119=0,E1119=" "),OR(D1119=0,D1119=" "))," ",D1119*E1119)</f>
        <v>7550.24</v>
      </c>
    </row>
    <row r="1120" spans="1:6">
      <c r="A1120" s="106"/>
      <c r="B1120" s="71"/>
      <c r="C1120" s="72"/>
      <c r="D1120" s="92"/>
      <c r="E1120" s="74"/>
      <c r="F1120" s="93"/>
    </row>
    <row r="1121" spans="1:7">
      <c r="A1121" s="87" t="s">
        <v>667</v>
      </c>
      <c r="B1121" s="88" t="s">
        <v>1791</v>
      </c>
      <c r="C1121" s="72"/>
      <c r="D1121" s="92"/>
      <c r="E1121" s="74"/>
      <c r="F1121" s="93"/>
    </row>
    <row r="1122" spans="1:7" ht="248.4">
      <c r="A1122" s="89" t="s">
        <v>3438</v>
      </c>
      <c r="B1122" s="362" t="s">
        <v>3435</v>
      </c>
      <c r="C1122" s="91"/>
      <c r="D1122" s="92"/>
      <c r="E1122" s="74"/>
      <c r="F1122" s="94"/>
      <c r="G1122" s="366"/>
    </row>
    <row r="1123" spans="1:7" ht="138">
      <c r="A1123" s="76" t="s">
        <v>665</v>
      </c>
      <c r="B1123" s="90" t="s">
        <v>4970</v>
      </c>
      <c r="C1123" s="78"/>
      <c r="D1123" s="92"/>
      <c r="E1123" s="74"/>
      <c r="F1123" s="79"/>
    </row>
    <row r="1124" spans="1:7">
      <c r="A1124" s="76"/>
      <c r="B1124" s="90" t="s">
        <v>703</v>
      </c>
      <c r="C1124" s="78"/>
      <c r="D1124" s="92"/>
      <c r="E1124" s="74"/>
      <c r="F1124" s="79"/>
    </row>
    <row r="1125" spans="1:7" ht="55.2">
      <c r="A1125" s="89" t="s">
        <v>48</v>
      </c>
      <c r="B1125" s="90" t="s">
        <v>3434</v>
      </c>
      <c r="C1125" s="91" t="s">
        <v>649</v>
      </c>
      <c r="D1125" s="92">
        <v>9</v>
      </c>
      <c r="E1125" s="74">
        <v>1000</v>
      </c>
      <c r="F1125" s="93">
        <f>IF(OR(OR(E1125=0,E1125=" "),OR(D1125=0,D1125=" "))," ",D1125*E1125)</f>
        <v>9000</v>
      </c>
    </row>
    <row r="1126" spans="1:7">
      <c r="A1126" s="89"/>
      <c r="B1126" s="90"/>
      <c r="C1126" s="91"/>
      <c r="D1126" s="92"/>
      <c r="E1126" s="74"/>
      <c r="F1126" s="93"/>
    </row>
    <row r="1127" spans="1:7" ht="248.4">
      <c r="A1127" s="89" t="s">
        <v>1133</v>
      </c>
      <c r="B1127" s="362" t="s">
        <v>3437</v>
      </c>
      <c r="C1127" s="91"/>
      <c r="D1127" s="92"/>
      <c r="E1127" s="74"/>
      <c r="F1127" s="94"/>
    </row>
    <row r="1128" spans="1:7" ht="41.4">
      <c r="A1128" s="76" t="s">
        <v>665</v>
      </c>
      <c r="B1128" s="90" t="s">
        <v>3440</v>
      </c>
      <c r="C1128" s="78"/>
      <c r="D1128" s="92"/>
      <c r="E1128" s="74"/>
      <c r="F1128" s="79"/>
    </row>
    <row r="1129" spans="1:7">
      <c r="A1129" s="76"/>
      <c r="B1129" s="90" t="s">
        <v>703</v>
      </c>
      <c r="C1129" s="78"/>
      <c r="D1129" s="92"/>
      <c r="E1129" s="74"/>
      <c r="F1129" s="79"/>
    </row>
    <row r="1130" spans="1:7" ht="55.2">
      <c r="A1130" s="89" t="s">
        <v>48</v>
      </c>
      <c r="B1130" s="90" t="s">
        <v>3436</v>
      </c>
      <c r="C1130" s="91" t="s">
        <v>649</v>
      </c>
      <c r="D1130" s="92">
        <v>1</v>
      </c>
      <c r="E1130" s="74">
        <v>1000</v>
      </c>
      <c r="F1130" s="93">
        <f>IF(OR(OR(E1130=0,E1130=" "),OR(D1130=0,D1130=" "))," ",D1130*E1130)</f>
        <v>1000</v>
      </c>
    </row>
    <row r="1131" spans="1:7">
      <c r="A1131" s="89"/>
      <c r="B1131" s="90"/>
      <c r="C1131" s="91"/>
      <c r="D1131" s="92"/>
      <c r="E1131" s="74"/>
      <c r="F1131" s="93"/>
    </row>
    <row r="1132" spans="1:7" ht="248.4">
      <c r="A1132" s="89" t="s">
        <v>1788</v>
      </c>
      <c r="B1132" s="362" t="s">
        <v>3442</v>
      </c>
      <c r="C1132" s="91"/>
      <c r="D1132" s="92"/>
      <c r="E1132" s="74"/>
      <c r="F1132" s="94"/>
    </row>
    <row r="1133" spans="1:7" ht="124.2">
      <c r="A1133" s="76" t="s">
        <v>665</v>
      </c>
      <c r="B1133" s="90" t="s">
        <v>3441</v>
      </c>
      <c r="C1133" s="78"/>
      <c r="D1133" s="92"/>
      <c r="E1133" s="74"/>
      <c r="F1133" s="79"/>
    </row>
    <row r="1134" spans="1:7">
      <c r="A1134" s="76"/>
      <c r="B1134" s="90" t="s">
        <v>703</v>
      </c>
      <c r="C1134" s="78"/>
      <c r="D1134" s="92"/>
      <c r="E1134" s="74"/>
      <c r="F1134" s="79"/>
    </row>
    <row r="1135" spans="1:7" ht="55.2">
      <c r="A1135" s="89" t="s">
        <v>48</v>
      </c>
      <c r="B1135" s="90" t="s">
        <v>3439</v>
      </c>
      <c r="C1135" s="91" t="s">
        <v>649</v>
      </c>
      <c r="D1135" s="92">
        <v>1</v>
      </c>
      <c r="E1135" s="74">
        <v>2000</v>
      </c>
      <c r="F1135" s="93">
        <f>IF(OR(OR(E1135=0,E1135=" "),OR(D1135=0,D1135=" "))," ",D1135*E1135)</f>
        <v>2000</v>
      </c>
    </row>
    <row r="1136" spans="1:7">
      <c r="A1136" s="70"/>
      <c r="B1136" s="71"/>
      <c r="C1136" s="72"/>
      <c r="D1136" s="73"/>
      <c r="E1136" s="74"/>
      <c r="F1136" s="75"/>
    </row>
    <row r="1137" spans="1:7">
      <c r="A1137" s="87" t="s">
        <v>667</v>
      </c>
      <c r="B1137" s="88" t="s">
        <v>806</v>
      </c>
      <c r="C1137" s="72"/>
      <c r="D1137" s="73"/>
      <c r="E1137" s="74"/>
      <c r="F1137" s="75"/>
    </row>
    <row r="1138" spans="1:7" ht="27.6">
      <c r="A1138" s="89" t="s">
        <v>1792</v>
      </c>
      <c r="B1138" s="362" t="s">
        <v>2079</v>
      </c>
      <c r="C1138" s="72"/>
      <c r="D1138" s="73"/>
      <c r="E1138" s="74"/>
      <c r="F1138" s="75"/>
      <c r="G1138" s="477"/>
    </row>
    <row r="1139" spans="1:7" ht="96.6">
      <c r="A1139" s="89"/>
      <c r="B1139" s="362" t="s">
        <v>5133</v>
      </c>
      <c r="C1139" s="72"/>
      <c r="D1139" s="73"/>
      <c r="E1139" s="74"/>
      <c r="F1139" s="75"/>
      <c r="G1139" s="477"/>
    </row>
    <row r="1140" spans="1:7" ht="96.6">
      <c r="A1140" s="89"/>
      <c r="B1140" s="362" t="s">
        <v>2080</v>
      </c>
      <c r="C1140" s="72"/>
      <c r="D1140" s="73"/>
      <c r="E1140" s="74"/>
      <c r="F1140" s="75"/>
      <c r="G1140" s="477"/>
    </row>
    <row r="1141" spans="1:7" ht="151.80000000000001">
      <c r="A1141" s="89"/>
      <c r="B1141" s="358" t="s">
        <v>5062</v>
      </c>
      <c r="C1141" s="72"/>
      <c r="D1141" s="73"/>
      <c r="E1141" s="74"/>
      <c r="F1141" s="75"/>
      <c r="G1141" s="477"/>
    </row>
    <row r="1142" spans="1:7" ht="69">
      <c r="A1142" s="76" t="s">
        <v>665</v>
      </c>
      <c r="B1142" s="90" t="s">
        <v>807</v>
      </c>
      <c r="C1142" s="72"/>
      <c r="D1142" s="73"/>
      <c r="E1142" s="74"/>
      <c r="F1142" s="75"/>
    </row>
    <row r="1143" spans="1:7" ht="27.6">
      <c r="A1143" s="76" t="s">
        <v>665</v>
      </c>
      <c r="B1143" s="90" t="s">
        <v>808</v>
      </c>
      <c r="C1143" s="72"/>
      <c r="D1143" s="73"/>
      <c r="E1143" s="74"/>
      <c r="F1143" s="75"/>
    </row>
    <row r="1144" spans="1:7" ht="110.4">
      <c r="A1144" s="76" t="s">
        <v>665</v>
      </c>
      <c r="B1144" s="90" t="s">
        <v>5280</v>
      </c>
      <c r="C1144" s="72"/>
      <c r="D1144" s="73"/>
      <c r="E1144" s="74"/>
      <c r="F1144" s="75"/>
    </row>
    <row r="1145" spans="1:7" ht="27.6">
      <c r="A1145" s="76" t="s">
        <v>665</v>
      </c>
      <c r="B1145" s="90" t="s">
        <v>1166</v>
      </c>
      <c r="C1145" s="72"/>
      <c r="D1145" s="73"/>
      <c r="E1145" s="74"/>
      <c r="F1145" s="75"/>
    </row>
    <row r="1146" spans="1:7" ht="55.2">
      <c r="A1146" s="76"/>
      <c r="B1146" s="90" t="s">
        <v>2078</v>
      </c>
      <c r="C1146" s="72"/>
      <c r="D1146" s="73"/>
      <c r="E1146" s="74"/>
      <c r="F1146" s="75"/>
    </row>
    <row r="1147" spans="1:7" ht="55.2">
      <c r="A1147" s="76"/>
      <c r="B1147" s="90" t="s">
        <v>3449</v>
      </c>
      <c r="C1147" s="72"/>
      <c r="D1147" s="73"/>
      <c r="E1147" s="74"/>
      <c r="F1147" s="75"/>
    </row>
    <row r="1148" spans="1:7" ht="110.4">
      <c r="A1148" s="76" t="s">
        <v>665</v>
      </c>
      <c r="B1148" s="90" t="s">
        <v>809</v>
      </c>
      <c r="C1148" s="72"/>
      <c r="D1148" s="73"/>
      <c r="E1148" s="74"/>
      <c r="F1148" s="75"/>
    </row>
    <row r="1149" spans="1:7">
      <c r="A1149" s="76" t="s">
        <v>665</v>
      </c>
      <c r="B1149" s="90" t="s">
        <v>801</v>
      </c>
      <c r="C1149" s="72"/>
      <c r="D1149" s="73"/>
      <c r="E1149" s="74"/>
      <c r="F1149" s="75"/>
    </row>
    <row r="1150" spans="1:7" ht="69">
      <c r="A1150" s="76" t="s">
        <v>665</v>
      </c>
      <c r="B1150" s="90" t="s">
        <v>3173</v>
      </c>
      <c r="C1150" s="72"/>
      <c r="D1150" s="73"/>
      <c r="E1150" s="74"/>
      <c r="F1150" s="75"/>
    </row>
    <row r="1151" spans="1:7" ht="69">
      <c r="A1151" s="76" t="s">
        <v>665</v>
      </c>
      <c r="B1151" s="90" t="s">
        <v>810</v>
      </c>
      <c r="C1151" s="72"/>
      <c r="D1151" s="73"/>
      <c r="E1151" s="74"/>
      <c r="F1151" s="75"/>
    </row>
    <row r="1152" spans="1:7">
      <c r="A1152" s="76"/>
      <c r="B1152" s="90" t="s">
        <v>703</v>
      </c>
      <c r="C1152" s="72"/>
      <c r="D1152" s="73"/>
      <c r="E1152" s="74"/>
      <c r="F1152" s="75"/>
      <c r="G1152" s="379"/>
    </row>
    <row r="1153" spans="1:8">
      <c r="A1153" s="76"/>
      <c r="B1153" s="90"/>
      <c r="C1153" s="72"/>
      <c r="D1153" s="73"/>
      <c r="E1153" s="74"/>
      <c r="F1153" s="75"/>
      <c r="G1153" s="379"/>
    </row>
    <row r="1154" spans="1:8" ht="124.2">
      <c r="A1154" s="89" t="s">
        <v>48</v>
      </c>
      <c r="B1154" s="71" t="s">
        <v>3443</v>
      </c>
      <c r="C1154" s="72" t="s">
        <v>649</v>
      </c>
      <c r="D1154" s="92">
        <v>1</v>
      </c>
      <c r="E1154" s="916">
        <v>3004.63</v>
      </c>
      <c r="F1154" s="93">
        <f>IF(OR(OR(E1154=0,E1154=" "),OR(D1154=0,D1154=" "))," ",D1154*E1154)</f>
        <v>3004.63</v>
      </c>
      <c r="G1154" s="379"/>
    </row>
    <row r="1155" spans="1:8">
      <c r="A1155" s="70"/>
      <c r="B1155" s="71"/>
      <c r="C1155" s="72"/>
      <c r="D1155" s="73"/>
      <c r="E1155" s="916"/>
      <c r="F1155" s="75"/>
    </row>
    <row r="1156" spans="1:8" ht="165.6">
      <c r="A1156" s="106" t="s">
        <v>49</v>
      </c>
      <c r="B1156" s="71" t="s">
        <v>3451</v>
      </c>
      <c r="C1156" s="72" t="s">
        <v>649</v>
      </c>
      <c r="D1156" s="92">
        <v>9</v>
      </c>
      <c r="E1156" s="916">
        <v>2058.61</v>
      </c>
      <c r="F1156" s="93">
        <f>IF(OR(OR(E1156=0,E1156=" "),OR(D1156=0,D1156=" "))," ",D1156*E1156)</f>
        <v>18527.490000000002</v>
      </c>
    </row>
    <row r="1157" spans="1:8">
      <c r="A1157" s="70"/>
      <c r="B1157" s="71"/>
      <c r="C1157" s="72"/>
      <c r="D1157" s="73"/>
      <c r="E1157" s="916"/>
      <c r="F1157" s="75"/>
    </row>
    <row r="1158" spans="1:8" ht="165.6">
      <c r="A1158" s="106" t="s">
        <v>51</v>
      </c>
      <c r="B1158" s="71" t="s">
        <v>3452</v>
      </c>
      <c r="C1158" s="72" t="s">
        <v>649</v>
      </c>
      <c r="D1158" s="92">
        <v>3</v>
      </c>
      <c r="E1158" s="916">
        <v>1943.66</v>
      </c>
      <c r="F1158" s="93">
        <f>IF(OR(OR(E1158=0,E1158=" "),OR(D1158=0,D1158=" "))," ",D1158*E1158)</f>
        <v>5830.9800000000005</v>
      </c>
    </row>
    <row r="1159" spans="1:8">
      <c r="A1159" s="70"/>
      <c r="B1159" s="71"/>
      <c r="C1159" s="72"/>
      <c r="D1159" s="73"/>
      <c r="E1159" s="916"/>
      <c r="F1159" s="75"/>
      <c r="H1159" s="380"/>
    </row>
    <row r="1160" spans="1:8" ht="151.80000000000001">
      <c r="A1160" s="106" t="s">
        <v>53</v>
      </c>
      <c r="B1160" s="71" t="s">
        <v>3453</v>
      </c>
      <c r="C1160" s="72" t="s">
        <v>649</v>
      </c>
      <c r="D1160" s="92">
        <v>1</v>
      </c>
      <c r="E1160" s="916">
        <v>1890.5</v>
      </c>
      <c r="F1160" s="93">
        <f>IF(OR(OR(E1160=0,E1160=" "),OR(D1160=0,D1160=" "))," ",D1160*E1160)</f>
        <v>1890.5</v>
      </c>
    </row>
    <row r="1161" spans="1:8">
      <c r="A1161" s="70"/>
      <c r="B1161" s="71"/>
      <c r="C1161" s="72"/>
      <c r="D1161" s="73"/>
      <c r="E1161" s="916"/>
      <c r="F1161" s="75"/>
    </row>
    <row r="1162" spans="1:8" ht="151.80000000000001">
      <c r="A1162" s="106" t="s">
        <v>698</v>
      </c>
      <c r="B1162" s="71" t="s">
        <v>3454</v>
      </c>
      <c r="C1162" s="72" t="s">
        <v>649</v>
      </c>
      <c r="D1162" s="92">
        <v>5</v>
      </c>
      <c r="E1162" s="916">
        <v>1775.56</v>
      </c>
      <c r="F1162" s="93">
        <f>IF(OR(OR(E1162=0,E1162=" "),OR(D1162=0,D1162=" "))," ",D1162*E1162)</f>
        <v>8877.7999999999993</v>
      </c>
    </row>
    <row r="1163" spans="1:8">
      <c r="A1163" s="70"/>
      <c r="B1163" s="647"/>
      <c r="C1163" s="72"/>
      <c r="D1163" s="73"/>
      <c r="E1163" s="916"/>
      <c r="F1163" s="75"/>
    </row>
    <row r="1164" spans="1:8" ht="110.4">
      <c r="A1164" s="106" t="s">
        <v>699</v>
      </c>
      <c r="B1164" s="71" t="s">
        <v>5281</v>
      </c>
      <c r="C1164" s="72" t="s">
        <v>649</v>
      </c>
      <c r="D1164" s="92">
        <v>1</v>
      </c>
      <c r="E1164" s="916">
        <v>1910</v>
      </c>
      <c r="F1164" s="93">
        <f>IF(OR(OR(E1164=0,E1164=" "),OR(D1164=0,D1164=" "))," ",D1164*E1164)</f>
        <v>1910</v>
      </c>
    </row>
    <row r="1165" spans="1:8">
      <c r="A1165" s="70"/>
      <c r="B1165" s="71"/>
      <c r="C1165" s="72"/>
      <c r="D1165" s="73"/>
      <c r="E1165" s="916"/>
      <c r="F1165" s="75"/>
    </row>
    <row r="1166" spans="1:8" ht="151.80000000000001">
      <c r="A1166" s="106" t="s">
        <v>745</v>
      </c>
      <c r="B1166" s="71" t="s">
        <v>5282</v>
      </c>
      <c r="C1166" s="72" t="s">
        <v>649</v>
      </c>
      <c r="D1166" s="92">
        <v>2</v>
      </c>
      <c r="E1166" s="916">
        <v>1483</v>
      </c>
      <c r="F1166" s="93">
        <f>IF(OR(OR(E1166=0,E1166=" "),OR(D1166=0,D1166=" "))," ",D1166*E1166)</f>
        <v>2966</v>
      </c>
    </row>
    <row r="1167" spans="1:8">
      <c r="A1167" s="70"/>
      <c r="B1167" s="71"/>
      <c r="C1167" s="72"/>
      <c r="D1167" s="73"/>
      <c r="E1167" s="916"/>
      <c r="F1167" s="75"/>
    </row>
    <row r="1168" spans="1:8" ht="96.6">
      <c r="A1168" s="106" t="s">
        <v>803</v>
      </c>
      <c r="B1168" s="71" t="s">
        <v>3455</v>
      </c>
      <c r="C1168" s="72" t="s">
        <v>649</v>
      </c>
      <c r="D1168" s="92">
        <v>6</v>
      </c>
      <c r="E1168" s="916">
        <v>759.76</v>
      </c>
      <c r="F1168" s="93">
        <f>IF(OR(OR(E1168=0,E1168=" "),OR(D1168=0,D1168=" "))," ",D1168*E1168)</f>
        <v>4558.5599999999995</v>
      </c>
    </row>
    <row r="1169" spans="1:6">
      <c r="A1169" s="98"/>
      <c r="B1169" s="99"/>
      <c r="C1169" s="100"/>
      <c r="D1169" s="101"/>
      <c r="E1169" s="100"/>
      <c r="F1169" s="102"/>
    </row>
    <row r="1170" spans="1:6">
      <c r="A1170" s="103" t="str">
        <f>A1046</f>
        <v>B.5.</v>
      </c>
      <c r="B1170" s="104" t="str">
        <f>CONCATENATE(B1046," ", "UKUPNO:")</f>
        <v>BRAVARSKI RADOVI - ALUMINIJSKA BRAVARIJA I PVC STOLARIJA UKUPNO:</v>
      </c>
      <c r="D1170" s="73"/>
      <c r="E1170" s="74"/>
      <c r="F1170" s="663">
        <f>SUM(F1075:F1169)</f>
        <v>181158.36</v>
      </c>
    </row>
    <row r="1171" spans="1:6">
      <c r="A1171" s="70"/>
      <c r="B1171" s="71"/>
      <c r="C1171" s="72"/>
      <c r="D1171" s="73"/>
      <c r="E1171" s="74"/>
      <c r="F1171" s="75"/>
    </row>
    <row r="1172" spans="1:6">
      <c r="A1172" s="70"/>
      <c r="B1172" s="71"/>
      <c r="C1172" s="72"/>
      <c r="D1172" s="73"/>
      <c r="E1172" s="74"/>
      <c r="F1172" s="75"/>
    </row>
    <row r="1173" spans="1:6">
      <c r="A1173" s="81" t="s">
        <v>1134</v>
      </c>
      <c r="B1173" s="82" t="s">
        <v>811</v>
      </c>
      <c r="C1173" s="83"/>
      <c r="D1173" s="84"/>
      <c r="E1173" s="85"/>
      <c r="F1173" s="86"/>
    </row>
    <row r="1174" spans="1:6">
      <c r="A1174" s="70"/>
      <c r="B1174" s="71"/>
      <c r="C1174" s="72"/>
      <c r="D1174" s="73"/>
      <c r="E1174" s="74"/>
      <c r="F1174" s="75"/>
    </row>
    <row r="1175" spans="1:6">
      <c r="A1175" s="87" t="s">
        <v>667</v>
      </c>
      <c r="B1175" s="88" t="s">
        <v>1783</v>
      </c>
      <c r="C1175" s="72"/>
      <c r="D1175" s="73"/>
      <c r="E1175" s="74"/>
      <c r="F1175" s="75"/>
    </row>
    <row r="1176" spans="1:6" ht="69">
      <c r="A1176" s="76" t="s">
        <v>665</v>
      </c>
      <c r="B1176" s="96" t="s">
        <v>1784</v>
      </c>
      <c r="C1176" s="72"/>
      <c r="D1176" s="73"/>
      <c r="E1176" s="74"/>
      <c r="F1176" s="75"/>
    </row>
    <row r="1177" spans="1:6" ht="55.2">
      <c r="A1177" s="76"/>
      <c r="B1177" s="96" t="s">
        <v>812</v>
      </c>
      <c r="C1177" s="72"/>
      <c r="D1177" s="73"/>
      <c r="E1177" s="74"/>
      <c r="F1177" s="75"/>
    </row>
    <row r="1178" spans="1:6" ht="69">
      <c r="A1178" s="76"/>
      <c r="B1178" s="96" t="s">
        <v>1767</v>
      </c>
      <c r="C1178" s="72"/>
      <c r="D1178" s="73"/>
      <c r="E1178" s="74"/>
      <c r="F1178" s="75"/>
    </row>
    <row r="1179" spans="1:6" ht="69">
      <c r="A1179" s="76"/>
      <c r="B1179" s="96" t="s">
        <v>1768</v>
      </c>
      <c r="C1179" s="72"/>
      <c r="D1179" s="73"/>
      <c r="E1179" s="74"/>
      <c r="F1179" s="75"/>
    </row>
    <row r="1180" spans="1:6" ht="27.6">
      <c r="A1180" s="76"/>
      <c r="B1180" s="96" t="s">
        <v>1769</v>
      </c>
      <c r="C1180" s="72"/>
      <c r="D1180" s="73"/>
      <c r="E1180" s="74"/>
      <c r="F1180" s="75"/>
    </row>
    <row r="1181" spans="1:6">
      <c r="A1181" s="76"/>
      <c r="B1181" s="96" t="s">
        <v>1770</v>
      </c>
      <c r="C1181" s="72"/>
      <c r="D1181" s="73"/>
      <c r="E1181" s="74"/>
      <c r="F1181" s="75"/>
    </row>
    <row r="1182" spans="1:6" ht="124.2">
      <c r="A1182" s="378"/>
      <c r="B1182" s="96" t="s">
        <v>3456</v>
      </c>
      <c r="C1182" s="72"/>
      <c r="D1182" s="73"/>
      <c r="E1182" s="74"/>
      <c r="F1182" s="75"/>
    </row>
    <row r="1183" spans="1:6" ht="55.2">
      <c r="A1183" s="378"/>
      <c r="B1183" s="96" t="s">
        <v>3206</v>
      </c>
      <c r="C1183" s="72"/>
      <c r="D1183" s="73"/>
      <c r="E1183" s="74"/>
      <c r="F1183" s="75"/>
    </row>
    <row r="1184" spans="1:6" ht="27.6">
      <c r="A1184" s="76"/>
      <c r="B1184" s="278" t="s">
        <v>1785</v>
      </c>
      <c r="C1184" s="72"/>
      <c r="D1184" s="73"/>
      <c r="E1184" s="74"/>
      <c r="F1184" s="75"/>
    </row>
    <row r="1185" spans="1:6" ht="82.8">
      <c r="A1185" s="76"/>
      <c r="B1185" s="96" t="s">
        <v>798</v>
      </c>
      <c r="C1185" s="72"/>
      <c r="D1185" s="73"/>
      <c r="E1185" s="74"/>
      <c r="F1185" s="75"/>
    </row>
    <row r="1186" spans="1:6" ht="41.4">
      <c r="A1186" s="76"/>
      <c r="B1186" s="96" t="s">
        <v>1778</v>
      </c>
      <c r="C1186" s="72"/>
      <c r="D1186" s="73"/>
      <c r="E1186" s="74"/>
      <c r="F1186" s="75"/>
    </row>
    <row r="1187" spans="1:6" ht="165.6">
      <c r="A1187" s="76"/>
      <c r="B1187" s="96" t="s">
        <v>5283</v>
      </c>
      <c r="C1187" s="72"/>
      <c r="D1187" s="73"/>
      <c r="E1187" s="74"/>
      <c r="F1187" s="75"/>
    </row>
    <row r="1188" spans="1:6">
      <c r="A1188" s="76"/>
      <c r="B1188" s="96" t="s">
        <v>813</v>
      </c>
      <c r="C1188" s="72"/>
      <c r="D1188" s="73"/>
      <c r="E1188" s="74"/>
      <c r="F1188" s="75"/>
    </row>
    <row r="1189" spans="1:6" ht="165.6">
      <c r="A1189" s="76"/>
      <c r="B1189" s="96" t="s">
        <v>5284</v>
      </c>
      <c r="C1189" s="72"/>
      <c r="D1189" s="73"/>
      <c r="E1189" s="74"/>
      <c r="F1189" s="75"/>
    </row>
    <row r="1190" spans="1:6" ht="82.8">
      <c r="A1190" s="76"/>
      <c r="B1190" s="96" t="s">
        <v>5273</v>
      </c>
      <c r="C1190" s="72"/>
      <c r="D1190" s="73"/>
      <c r="E1190" s="74"/>
      <c r="F1190" s="75"/>
    </row>
    <row r="1191" spans="1:6" ht="124.2">
      <c r="A1191" s="76"/>
      <c r="B1191" s="96" t="s">
        <v>4878</v>
      </c>
      <c r="C1191" s="72"/>
      <c r="D1191" s="73"/>
      <c r="E1191" s="74"/>
      <c r="F1191" s="75"/>
    </row>
    <row r="1192" spans="1:6" ht="41.4">
      <c r="A1192" s="76" t="s">
        <v>665</v>
      </c>
      <c r="B1192" s="96" t="s">
        <v>787</v>
      </c>
      <c r="C1192" s="72"/>
      <c r="D1192" s="73"/>
      <c r="E1192" s="74"/>
      <c r="F1192" s="75"/>
    </row>
    <row r="1193" spans="1:6">
      <c r="A1193" s="70"/>
      <c r="B1193" s="71"/>
      <c r="C1193" s="72"/>
      <c r="D1193" s="73"/>
      <c r="E1193" s="74"/>
      <c r="F1193" s="75"/>
    </row>
    <row r="1194" spans="1:6">
      <c r="A1194" s="87" t="s">
        <v>667</v>
      </c>
      <c r="B1194" s="88" t="s">
        <v>1786</v>
      </c>
      <c r="C1194" s="72"/>
      <c r="D1194" s="92"/>
      <c r="E1194" s="74"/>
      <c r="F1194" s="75"/>
    </row>
    <row r="1195" spans="1:6" ht="248.4">
      <c r="A1195" s="89" t="s">
        <v>2708</v>
      </c>
      <c r="B1195" s="362" t="s">
        <v>5285</v>
      </c>
      <c r="C1195" s="72"/>
      <c r="D1195" s="73"/>
      <c r="E1195" s="74"/>
      <c r="F1195" s="75"/>
    </row>
    <row r="1196" spans="1:6" ht="151.80000000000001">
      <c r="A1196" s="89"/>
      <c r="B1196" s="362" t="s">
        <v>5028</v>
      </c>
      <c r="C1196" s="72"/>
      <c r="D1196" s="73"/>
      <c r="E1196" s="74"/>
      <c r="F1196" s="75"/>
    </row>
    <row r="1197" spans="1:6" ht="96.6">
      <c r="A1197" s="89"/>
      <c r="B1197" s="361" t="s">
        <v>3209</v>
      </c>
      <c r="C1197" s="72"/>
      <c r="D1197" s="73"/>
      <c r="E1197" s="74"/>
      <c r="F1197" s="75"/>
    </row>
    <row r="1198" spans="1:6" ht="55.2">
      <c r="A1198" s="89"/>
      <c r="B1198" s="361" t="s">
        <v>3251</v>
      </c>
      <c r="C1198" s="72"/>
      <c r="D1198" s="73"/>
      <c r="E1198" s="74"/>
      <c r="F1198" s="75"/>
    </row>
    <row r="1199" spans="1:6" ht="69">
      <c r="A1199" s="89"/>
      <c r="B1199" s="361" t="s">
        <v>5286</v>
      </c>
      <c r="C1199" s="72"/>
      <c r="D1199" s="73"/>
      <c r="E1199" s="74"/>
      <c r="F1199" s="75"/>
    </row>
    <row r="1200" spans="1:6" ht="69">
      <c r="A1200" s="89"/>
      <c r="B1200" s="361" t="s">
        <v>3458</v>
      </c>
      <c r="C1200" s="72"/>
      <c r="D1200" s="73"/>
      <c r="E1200" s="74"/>
      <c r="F1200" s="75"/>
    </row>
    <row r="1201" spans="1:6" ht="55.2">
      <c r="A1201" s="89"/>
      <c r="B1201" s="361" t="s">
        <v>3457</v>
      </c>
      <c r="C1201" s="72"/>
      <c r="D1201" s="73"/>
      <c r="E1201" s="74"/>
      <c r="F1201" s="75"/>
    </row>
    <row r="1202" spans="1:6" ht="82.8">
      <c r="A1202" s="89"/>
      <c r="B1202" s="361" t="s">
        <v>5134</v>
      </c>
      <c r="C1202" s="72"/>
      <c r="D1202" s="73"/>
      <c r="E1202" s="74"/>
      <c r="F1202" s="75"/>
    </row>
    <row r="1203" spans="1:6">
      <c r="A1203" s="76" t="s">
        <v>665</v>
      </c>
      <c r="B1203" s="90" t="s">
        <v>801</v>
      </c>
      <c r="C1203" s="72"/>
      <c r="D1203" s="73"/>
      <c r="E1203" s="74"/>
      <c r="F1203" s="75"/>
    </row>
    <row r="1204" spans="1:6">
      <c r="A1204" s="76"/>
      <c r="B1204" s="90" t="s">
        <v>703</v>
      </c>
      <c r="C1204" s="78"/>
      <c r="D1204" s="73"/>
      <c r="E1204" s="74"/>
      <c r="F1204" s="75"/>
    </row>
    <row r="1205" spans="1:6">
      <c r="A1205" s="76"/>
      <c r="B1205" s="90"/>
      <c r="C1205" s="78"/>
      <c r="D1205" s="73"/>
      <c r="E1205" s="74"/>
      <c r="F1205" s="75"/>
    </row>
    <row r="1206" spans="1:6" ht="165.6">
      <c r="A1206" s="89" t="s">
        <v>48</v>
      </c>
      <c r="B1206" s="71" t="s">
        <v>5287</v>
      </c>
      <c r="C1206" s="91" t="s">
        <v>649</v>
      </c>
      <c r="D1206" s="92">
        <v>1</v>
      </c>
      <c r="E1206" s="74">
        <v>6000</v>
      </c>
      <c r="F1206" s="93">
        <f t="shared" ref="F1206:F1213" si="17">IF(OR(OR(E1206=0,E1206=" "),OR(D1206=0,D1206=" "))," ",D1206*E1206)</f>
        <v>6000</v>
      </c>
    </row>
    <row r="1207" spans="1:6" ht="82.8">
      <c r="A1207" s="89" t="s">
        <v>49</v>
      </c>
      <c r="B1207" s="71" t="s">
        <v>3461</v>
      </c>
      <c r="C1207" s="91" t="s">
        <v>649</v>
      </c>
      <c r="D1207" s="92">
        <v>2</v>
      </c>
      <c r="E1207" s="74">
        <v>1200</v>
      </c>
      <c r="F1207" s="93">
        <f t="shared" si="17"/>
        <v>2400</v>
      </c>
    </row>
    <row r="1208" spans="1:6" ht="151.80000000000001">
      <c r="A1208" s="89" t="s">
        <v>51</v>
      </c>
      <c r="B1208" s="71" t="s">
        <v>5288</v>
      </c>
      <c r="C1208" s="91" t="s">
        <v>649</v>
      </c>
      <c r="D1208" s="92">
        <v>1</v>
      </c>
      <c r="E1208" s="74">
        <v>5000</v>
      </c>
      <c r="F1208" s="93">
        <f t="shared" si="17"/>
        <v>5000</v>
      </c>
    </row>
    <row r="1209" spans="1:6" ht="165.6">
      <c r="A1209" s="89" t="s">
        <v>53</v>
      </c>
      <c r="B1209" s="71" t="s">
        <v>5289</v>
      </c>
      <c r="C1209" s="91" t="s">
        <v>649</v>
      </c>
      <c r="D1209" s="92">
        <v>1</v>
      </c>
      <c r="E1209" s="74">
        <v>12000</v>
      </c>
      <c r="F1209" s="93">
        <f t="shared" si="17"/>
        <v>12000</v>
      </c>
    </row>
    <row r="1210" spans="1:6" ht="124.2">
      <c r="A1210" s="89" t="s">
        <v>698</v>
      </c>
      <c r="B1210" s="71" t="s">
        <v>5290</v>
      </c>
      <c r="C1210" s="91" t="s">
        <v>649</v>
      </c>
      <c r="D1210" s="92">
        <v>1</v>
      </c>
      <c r="E1210" s="74">
        <v>7000</v>
      </c>
      <c r="F1210" s="93">
        <f t="shared" si="17"/>
        <v>7000</v>
      </c>
    </row>
    <row r="1211" spans="1:6" ht="110.4">
      <c r="A1211" s="89" t="s">
        <v>699</v>
      </c>
      <c r="B1211" s="71" t="s">
        <v>3459</v>
      </c>
      <c r="C1211" s="91" t="s">
        <v>649</v>
      </c>
      <c r="D1211" s="92">
        <v>1</v>
      </c>
      <c r="E1211" s="74">
        <v>1500</v>
      </c>
      <c r="F1211" s="93">
        <f t="shared" si="17"/>
        <v>1500</v>
      </c>
    </row>
    <row r="1212" spans="1:6" ht="110.4">
      <c r="A1212" s="89" t="s">
        <v>745</v>
      </c>
      <c r="B1212" s="71" t="s">
        <v>3460</v>
      </c>
      <c r="C1212" s="91" t="s">
        <v>649</v>
      </c>
      <c r="D1212" s="92">
        <v>2</v>
      </c>
      <c r="E1212" s="74">
        <v>2000</v>
      </c>
      <c r="F1212" s="93">
        <f t="shared" si="17"/>
        <v>4000</v>
      </c>
    </row>
    <row r="1213" spans="1:6" ht="82.8">
      <c r="A1213" s="89" t="s">
        <v>803</v>
      </c>
      <c r="B1213" s="71" t="s">
        <v>4073</v>
      </c>
      <c r="C1213" s="91" t="s">
        <v>649</v>
      </c>
      <c r="D1213" s="92">
        <v>1</v>
      </c>
      <c r="E1213" s="74">
        <v>2000</v>
      </c>
      <c r="F1213" s="93">
        <f t="shared" si="17"/>
        <v>2000</v>
      </c>
    </row>
    <row r="1214" spans="1:6">
      <c r="A1214" s="98"/>
      <c r="B1214" s="99"/>
      <c r="C1214" s="100"/>
      <c r="D1214" s="101"/>
      <c r="E1214" s="100"/>
      <c r="F1214" s="102"/>
    </row>
    <row r="1215" spans="1:6">
      <c r="A1215" s="103" t="str">
        <f>A1173</f>
        <v>B.6.</v>
      </c>
      <c r="B1215" s="104" t="str">
        <f>CONCATENATE(B1173," ", "UKUPNO:")</f>
        <v>BRAVARSKI RADOVI - PROTUPOŽARNA UKUPNO:</v>
      </c>
      <c r="D1215" s="73"/>
      <c r="E1215" s="74"/>
      <c r="F1215" s="663">
        <f>SUM(F1195:F1214)</f>
        <v>39900</v>
      </c>
    </row>
    <row r="1216" spans="1:6">
      <c r="A1216" s="89"/>
      <c r="B1216" s="90"/>
      <c r="C1216" s="91"/>
      <c r="D1216" s="92"/>
      <c r="E1216" s="74"/>
      <c r="F1216" s="93"/>
    </row>
    <row r="1217" spans="1:6">
      <c r="A1217" s="89"/>
      <c r="B1217" s="90"/>
      <c r="C1217" s="91"/>
      <c r="D1217" s="92"/>
      <c r="E1217" s="74"/>
      <c r="F1217" s="93"/>
    </row>
    <row r="1218" spans="1:6">
      <c r="A1218" s="81" t="s">
        <v>1135</v>
      </c>
      <c r="B1218" s="82" t="s">
        <v>814</v>
      </c>
      <c r="C1218" s="83"/>
      <c r="D1218" s="84"/>
      <c r="E1218" s="85"/>
      <c r="F1218" s="86"/>
    </row>
    <row r="1219" spans="1:6">
      <c r="A1219" s="89"/>
      <c r="B1219" s="90"/>
      <c r="C1219" s="91"/>
      <c r="D1219" s="92"/>
      <c r="E1219" s="74"/>
      <c r="F1219" s="93"/>
    </row>
    <row r="1220" spans="1:6">
      <c r="A1220" s="87" t="s">
        <v>667</v>
      </c>
      <c r="B1220" s="88" t="s">
        <v>1783</v>
      </c>
      <c r="C1220" s="91"/>
      <c r="D1220" s="92"/>
      <c r="E1220" s="74"/>
      <c r="F1220" s="93"/>
    </row>
    <row r="1221" spans="1:6" ht="110.4">
      <c r="A1221" s="76" t="s">
        <v>665</v>
      </c>
      <c r="B1221" s="96" t="s">
        <v>4877</v>
      </c>
      <c r="C1221" s="91"/>
      <c r="D1221" s="92"/>
      <c r="E1221" s="74"/>
      <c r="F1221" s="93"/>
    </row>
    <row r="1222" spans="1:6">
      <c r="A1222" s="76"/>
      <c r="B1222" s="96"/>
      <c r="C1222" s="91"/>
      <c r="D1222" s="92"/>
      <c r="E1222" s="74"/>
      <c r="F1222" s="93"/>
    </row>
    <row r="1223" spans="1:6">
      <c r="A1223" s="87" t="s">
        <v>667</v>
      </c>
      <c r="B1223" s="88" t="s">
        <v>3463</v>
      </c>
      <c r="C1223" s="91"/>
      <c r="D1223" s="92"/>
      <c r="E1223" s="74"/>
      <c r="F1223" s="93"/>
    </row>
    <row r="1224" spans="1:6" ht="55.2">
      <c r="A1224" s="89" t="s">
        <v>1136</v>
      </c>
      <c r="B1224" s="369" t="s">
        <v>3464</v>
      </c>
      <c r="C1224" s="91"/>
      <c r="D1224" s="92"/>
      <c r="E1224" s="74"/>
      <c r="F1224" s="93"/>
    </row>
    <row r="1225" spans="1:6" ht="82.8">
      <c r="A1225" s="89"/>
      <c r="B1225" s="90" t="s">
        <v>3467</v>
      </c>
      <c r="C1225" s="91"/>
      <c r="D1225" s="92"/>
      <c r="E1225" s="74"/>
      <c r="F1225" s="93"/>
    </row>
    <row r="1226" spans="1:6" ht="82.8">
      <c r="A1226" s="89"/>
      <c r="B1226" s="71" t="s">
        <v>5135</v>
      </c>
      <c r="C1226" s="91"/>
      <c r="D1226" s="92"/>
      <c r="E1226" s="74"/>
      <c r="F1226" s="93"/>
    </row>
    <row r="1227" spans="1:6" ht="82.8">
      <c r="A1227" s="89"/>
      <c r="B1227" s="71" t="s">
        <v>3468</v>
      </c>
      <c r="C1227" s="91"/>
      <c r="D1227" s="92"/>
      <c r="E1227" s="74"/>
      <c r="F1227" s="93"/>
    </row>
    <row r="1228" spans="1:6" ht="55.2">
      <c r="A1228" s="89"/>
      <c r="B1228" s="71" t="s">
        <v>5291</v>
      </c>
      <c r="C1228" s="91"/>
      <c r="D1228" s="92"/>
      <c r="E1228" s="74"/>
      <c r="F1228" s="93"/>
    </row>
    <row r="1229" spans="1:6" ht="69">
      <c r="A1229" s="89"/>
      <c r="B1229" s="71" t="s">
        <v>3469</v>
      </c>
      <c r="C1229" s="91"/>
      <c r="D1229" s="92"/>
      <c r="E1229" s="74"/>
      <c r="F1229" s="93"/>
    </row>
    <row r="1230" spans="1:6" ht="41.4">
      <c r="A1230" s="89"/>
      <c r="B1230" s="71" t="s">
        <v>3465</v>
      </c>
      <c r="C1230" s="91"/>
      <c r="D1230" s="92"/>
      <c r="E1230" s="74"/>
      <c r="F1230" s="93"/>
    </row>
    <row r="1231" spans="1:6" ht="41.4">
      <c r="A1231" s="89"/>
      <c r="B1231" s="71" t="s">
        <v>3466</v>
      </c>
      <c r="C1231" s="91"/>
      <c r="D1231" s="92"/>
      <c r="E1231" s="74"/>
      <c r="F1231" s="93"/>
    </row>
    <row r="1232" spans="1:6" ht="96.6">
      <c r="A1232" s="89"/>
      <c r="B1232" s="71" t="s">
        <v>5029</v>
      </c>
      <c r="C1232" s="91"/>
      <c r="D1232" s="92"/>
      <c r="E1232" s="74"/>
      <c r="F1232" s="93"/>
    </row>
    <row r="1233" spans="1:6" ht="110.4">
      <c r="A1233" s="89"/>
      <c r="B1233" s="71" t="s">
        <v>3477</v>
      </c>
      <c r="C1233" s="91"/>
      <c r="D1233" s="92"/>
      <c r="E1233" s="74"/>
      <c r="F1233" s="93"/>
    </row>
    <row r="1234" spans="1:6" ht="27.6">
      <c r="A1234" s="89"/>
      <c r="B1234" s="71" t="s">
        <v>4886</v>
      </c>
      <c r="C1234" s="91"/>
      <c r="D1234" s="92"/>
      <c r="E1234" s="74"/>
      <c r="F1234" s="93"/>
    </row>
    <row r="1235" spans="1:6" ht="55.2">
      <c r="A1235" s="89" t="s">
        <v>48</v>
      </c>
      <c r="B1235" s="90" t="s">
        <v>4884</v>
      </c>
      <c r="C1235" s="91" t="s">
        <v>649</v>
      </c>
      <c r="D1235" s="92">
        <v>1</v>
      </c>
      <c r="E1235" s="74">
        <v>3000</v>
      </c>
      <c r="F1235" s="93">
        <f>IF(OR(OR(E1235=0,E1235=" "),OR(D1235=0,D1235=" "))," ",D1235*E1235)</f>
        <v>3000</v>
      </c>
    </row>
    <row r="1236" spans="1:6" ht="55.2">
      <c r="A1236" s="89" t="s">
        <v>49</v>
      </c>
      <c r="B1236" s="90" t="s">
        <v>4885</v>
      </c>
      <c r="C1236" s="91" t="s">
        <v>649</v>
      </c>
      <c r="D1236" s="92">
        <v>1</v>
      </c>
      <c r="E1236" s="74">
        <v>1000</v>
      </c>
      <c r="F1236" s="93">
        <f>IF(OR(OR(E1236=0,E1236=" "),OR(D1236=0,D1236=" "))," ",D1236*E1236)</f>
        <v>1000</v>
      </c>
    </row>
    <row r="1237" spans="1:6">
      <c r="A1237" s="89"/>
      <c r="B1237" s="90"/>
      <c r="C1237" s="91"/>
      <c r="D1237" s="92"/>
      <c r="E1237" s="74"/>
      <c r="F1237" s="93"/>
    </row>
    <row r="1238" spans="1:6">
      <c r="A1238" s="87" t="s">
        <v>667</v>
      </c>
      <c r="B1238" s="88" t="s">
        <v>3462</v>
      </c>
      <c r="C1238" s="72"/>
      <c r="D1238" s="92"/>
      <c r="E1238" s="74"/>
      <c r="F1238" s="75"/>
    </row>
    <row r="1239" spans="1:6" ht="55.2">
      <c r="A1239" s="89" t="s">
        <v>1137</v>
      </c>
      <c r="B1239" s="362" t="s">
        <v>3470</v>
      </c>
      <c r="C1239" s="72"/>
      <c r="D1239" s="92"/>
      <c r="E1239" s="74"/>
      <c r="F1239" s="75"/>
    </row>
    <row r="1240" spans="1:6" ht="124.2">
      <c r="A1240" s="87"/>
      <c r="B1240" s="71" t="s">
        <v>4881</v>
      </c>
      <c r="C1240" s="72"/>
      <c r="D1240" s="92"/>
      <c r="E1240" s="74"/>
      <c r="F1240" s="75"/>
    </row>
    <row r="1241" spans="1:6" ht="41.4">
      <c r="A1241" s="87"/>
      <c r="B1241" s="71" t="s">
        <v>3472</v>
      </c>
      <c r="C1241" s="72"/>
      <c r="D1241" s="92"/>
      <c r="E1241" s="74"/>
      <c r="F1241" s="75"/>
    </row>
    <row r="1242" spans="1:6" ht="82.8">
      <c r="A1242" s="87"/>
      <c r="B1242" s="71" t="s">
        <v>4876</v>
      </c>
      <c r="C1242" s="72"/>
      <c r="D1242" s="92"/>
      <c r="E1242" s="74"/>
      <c r="F1242" s="75"/>
    </row>
    <row r="1243" spans="1:6" ht="41.4">
      <c r="A1243" s="87"/>
      <c r="B1243" s="71" t="s">
        <v>3471</v>
      </c>
      <c r="C1243" s="72"/>
      <c r="D1243" s="92"/>
      <c r="E1243" s="74"/>
      <c r="F1243" s="75"/>
    </row>
    <row r="1244" spans="1:6" ht="41.4">
      <c r="A1244" s="87"/>
      <c r="B1244" s="71" t="s">
        <v>3466</v>
      </c>
      <c r="C1244" s="72"/>
      <c r="D1244" s="92"/>
      <c r="E1244" s="74"/>
      <c r="F1244" s="75"/>
    </row>
    <row r="1245" spans="1:6" ht="82.8">
      <c r="A1245" s="87"/>
      <c r="B1245" s="71" t="s">
        <v>5030</v>
      </c>
      <c r="C1245" s="72"/>
      <c r="D1245" s="92"/>
      <c r="E1245" s="74"/>
      <c r="F1245" s="75"/>
    </row>
    <row r="1246" spans="1:6" ht="110.4">
      <c r="A1246" s="87"/>
      <c r="B1246" s="71" t="s">
        <v>3477</v>
      </c>
      <c r="C1246" s="72"/>
      <c r="D1246" s="92"/>
      <c r="E1246" s="74"/>
      <c r="F1246" s="75"/>
    </row>
    <row r="1247" spans="1:6" ht="55.2">
      <c r="A1247" s="89" t="s">
        <v>48</v>
      </c>
      <c r="B1247" s="90" t="s">
        <v>4869</v>
      </c>
      <c r="C1247" s="91" t="s">
        <v>649</v>
      </c>
      <c r="D1247" s="92">
        <v>5</v>
      </c>
      <c r="E1247" s="74">
        <v>2200</v>
      </c>
      <c r="F1247" s="93">
        <f t="shared" ref="F1247:F1253" si="18">IF(OR(OR(E1247=0,E1247=" "),OR(D1247=0,D1247=" "))," ",D1247*E1247)</f>
        <v>11000</v>
      </c>
    </row>
    <row r="1248" spans="1:6" ht="55.2">
      <c r="A1248" s="89" t="s">
        <v>49</v>
      </c>
      <c r="B1248" s="90" t="s">
        <v>4870</v>
      </c>
      <c r="C1248" s="91" t="s">
        <v>649</v>
      </c>
      <c r="D1248" s="92">
        <v>6</v>
      </c>
      <c r="E1248" s="74">
        <v>2200</v>
      </c>
      <c r="F1248" s="93">
        <f t="shared" si="18"/>
        <v>13200</v>
      </c>
    </row>
    <row r="1249" spans="1:6" ht="69">
      <c r="A1249" s="89" t="s">
        <v>51</v>
      </c>
      <c r="B1249" s="90" t="s">
        <v>4871</v>
      </c>
      <c r="C1249" s="91" t="s">
        <v>649</v>
      </c>
      <c r="D1249" s="92">
        <v>7</v>
      </c>
      <c r="E1249" s="74">
        <v>750</v>
      </c>
      <c r="F1249" s="93">
        <f t="shared" si="18"/>
        <v>5250</v>
      </c>
    </row>
    <row r="1250" spans="1:6" ht="55.2">
      <c r="A1250" s="89" t="s">
        <v>53</v>
      </c>
      <c r="B1250" s="90" t="s">
        <v>4872</v>
      </c>
      <c r="C1250" s="91" t="s">
        <v>649</v>
      </c>
      <c r="D1250" s="92">
        <v>1</v>
      </c>
      <c r="E1250" s="74">
        <v>6500</v>
      </c>
      <c r="F1250" s="93">
        <f t="shared" si="18"/>
        <v>6500</v>
      </c>
    </row>
    <row r="1251" spans="1:6" ht="55.2">
      <c r="A1251" s="89" t="s">
        <v>698</v>
      </c>
      <c r="B1251" s="90" t="s">
        <v>4873</v>
      </c>
      <c r="C1251" s="91" t="s">
        <v>649</v>
      </c>
      <c r="D1251" s="92">
        <v>1</v>
      </c>
      <c r="E1251" s="74">
        <v>6500</v>
      </c>
      <c r="F1251" s="93">
        <f t="shared" si="18"/>
        <v>6500</v>
      </c>
    </row>
    <row r="1252" spans="1:6" ht="55.2">
      <c r="A1252" s="89" t="s">
        <v>699</v>
      </c>
      <c r="B1252" s="90" t="s">
        <v>4874</v>
      </c>
      <c r="C1252" s="91" t="s">
        <v>649</v>
      </c>
      <c r="D1252" s="92">
        <v>1</v>
      </c>
      <c r="E1252" s="74">
        <v>4200</v>
      </c>
      <c r="F1252" s="93">
        <f t="shared" si="18"/>
        <v>4200</v>
      </c>
    </row>
    <row r="1253" spans="1:6" ht="41.4">
      <c r="A1253" s="89" t="s">
        <v>745</v>
      </c>
      <c r="B1253" s="90" t="s">
        <v>4875</v>
      </c>
      <c r="C1253" s="91" t="s">
        <v>649</v>
      </c>
      <c r="D1253" s="92">
        <v>6</v>
      </c>
      <c r="E1253" s="74">
        <v>1800</v>
      </c>
      <c r="F1253" s="93">
        <f t="shared" si="18"/>
        <v>10800</v>
      </c>
    </row>
    <row r="1254" spans="1:6">
      <c r="A1254" s="89"/>
      <c r="B1254" s="90"/>
      <c r="C1254" s="91"/>
      <c r="D1254" s="73"/>
      <c r="E1254" s="74"/>
      <c r="F1254" s="93"/>
    </row>
    <row r="1255" spans="1:6">
      <c r="A1255" s="87" t="s">
        <v>667</v>
      </c>
      <c r="B1255" s="88" t="s">
        <v>3473</v>
      </c>
      <c r="C1255" s="72"/>
      <c r="D1255" s="92"/>
      <c r="E1255" s="74"/>
      <c r="F1255" s="75"/>
    </row>
    <row r="1256" spans="1:6" ht="41.4">
      <c r="A1256" s="89" t="s">
        <v>1138</v>
      </c>
      <c r="B1256" s="362" t="s">
        <v>3474</v>
      </c>
      <c r="C1256" s="72"/>
      <c r="D1256" s="92"/>
      <c r="E1256" s="74"/>
      <c r="F1256" s="75"/>
    </row>
    <row r="1257" spans="1:6" ht="165.6">
      <c r="A1257" s="89"/>
      <c r="B1257" s="71" t="s">
        <v>4882</v>
      </c>
      <c r="C1257" s="72"/>
      <c r="D1257" s="92"/>
      <c r="E1257" s="74"/>
      <c r="F1257" s="75"/>
    </row>
    <row r="1258" spans="1:6" ht="41.4">
      <c r="A1258" s="87"/>
      <c r="B1258" s="71" t="s">
        <v>3475</v>
      </c>
      <c r="C1258" s="72"/>
      <c r="D1258" s="92"/>
      <c r="E1258" s="74"/>
      <c r="F1258" s="75"/>
    </row>
    <row r="1259" spans="1:6" ht="82.8">
      <c r="A1259" s="87"/>
      <c r="B1259" s="71" t="s">
        <v>3476</v>
      </c>
      <c r="C1259" s="72"/>
      <c r="D1259" s="92"/>
      <c r="E1259" s="74"/>
      <c r="F1259" s="75"/>
    </row>
    <row r="1260" spans="1:6" ht="41.4">
      <c r="A1260" s="87"/>
      <c r="B1260" s="71" t="s">
        <v>3471</v>
      </c>
      <c r="C1260" s="72"/>
      <c r="D1260" s="92"/>
      <c r="E1260" s="74"/>
      <c r="F1260" s="75"/>
    </row>
    <row r="1261" spans="1:6" ht="41.4">
      <c r="A1261" s="87"/>
      <c r="B1261" s="71" t="s">
        <v>3485</v>
      </c>
      <c r="C1261" s="72"/>
      <c r="D1261" s="92"/>
      <c r="E1261" s="74"/>
      <c r="F1261" s="75"/>
    </row>
    <row r="1262" spans="1:6" ht="110.4">
      <c r="A1262" s="87"/>
      <c r="B1262" s="71" t="s">
        <v>5031</v>
      </c>
      <c r="C1262" s="72"/>
      <c r="D1262" s="92"/>
      <c r="E1262" s="74"/>
      <c r="F1262" s="75"/>
    </row>
    <row r="1263" spans="1:6" ht="110.4">
      <c r="A1263" s="87"/>
      <c r="B1263" s="71" t="s">
        <v>3477</v>
      </c>
      <c r="C1263" s="72"/>
      <c r="D1263" s="92"/>
      <c r="E1263" s="74"/>
      <c r="F1263" s="75"/>
    </row>
    <row r="1264" spans="1:6" ht="41.4">
      <c r="A1264" s="89" t="s">
        <v>48</v>
      </c>
      <c r="B1264" s="90" t="s">
        <v>4887</v>
      </c>
      <c r="C1264" s="91" t="s">
        <v>649</v>
      </c>
      <c r="D1264" s="92">
        <v>1</v>
      </c>
      <c r="E1264" s="74">
        <v>1000</v>
      </c>
      <c r="F1264" s="93">
        <f t="shared" ref="F1264:F1271" si="19">IF(OR(OR(E1264=0,E1264=" "),OR(D1264=0,D1264=" "))," ",D1264*E1264)</f>
        <v>1000</v>
      </c>
    </row>
    <row r="1265" spans="1:6" ht="41.4">
      <c r="A1265" s="89" t="s">
        <v>49</v>
      </c>
      <c r="B1265" s="90" t="s">
        <v>4880</v>
      </c>
      <c r="C1265" s="91" t="s">
        <v>649</v>
      </c>
      <c r="D1265" s="92">
        <v>1</v>
      </c>
      <c r="E1265" s="74">
        <v>3500</v>
      </c>
      <c r="F1265" s="93">
        <f t="shared" si="19"/>
        <v>3500</v>
      </c>
    </row>
    <row r="1266" spans="1:6" ht="41.4">
      <c r="A1266" s="89" t="s">
        <v>51</v>
      </c>
      <c r="B1266" s="90" t="s">
        <v>4888</v>
      </c>
      <c r="C1266" s="91" t="s">
        <v>649</v>
      </c>
      <c r="D1266" s="92">
        <v>4</v>
      </c>
      <c r="E1266" s="74">
        <v>2000</v>
      </c>
      <c r="F1266" s="93">
        <f t="shared" si="19"/>
        <v>8000</v>
      </c>
    </row>
    <row r="1267" spans="1:6" ht="41.4">
      <c r="A1267" s="89" t="s">
        <v>53</v>
      </c>
      <c r="B1267" s="90" t="s">
        <v>4889</v>
      </c>
      <c r="C1267" s="91" t="s">
        <v>649</v>
      </c>
      <c r="D1267" s="92">
        <v>1</v>
      </c>
      <c r="E1267" s="74">
        <v>2000</v>
      </c>
      <c r="F1267" s="93">
        <f t="shared" si="19"/>
        <v>2000</v>
      </c>
    </row>
    <row r="1268" spans="1:6" ht="41.4">
      <c r="A1268" s="89" t="s">
        <v>698</v>
      </c>
      <c r="B1268" s="90" t="s">
        <v>4890</v>
      </c>
      <c r="C1268" s="91" t="s">
        <v>649</v>
      </c>
      <c r="D1268" s="92">
        <v>1</v>
      </c>
      <c r="E1268" s="74">
        <v>1000</v>
      </c>
      <c r="F1268" s="93">
        <f t="shared" si="19"/>
        <v>1000</v>
      </c>
    </row>
    <row r="1269" spans="1:6" ht="41.4">
      <c r="A1269" s="89" t="s">
        <v>699</v>
      </c>
      <c r="B1269" s="90" t="s">
        <v>4891</v>
      </c>
      <c r="C1269" s="91" t="s">
        <v>649</v>
      </c>
      <c r="D1269" s="92">
        <v>1</v>
      </c>
      <c r="E1269" s="74">
        <v>1000</v>
      </c>
      <c r="F1269" s="93">
        <f t="shared" si="19"/>
        <v>1000</v>
      </c>
    </row>
    <row r="1270" spans="1:6" ht="41.4">
      <c r="A1270" s="89" t="s">
        <v>48</v>
      </c>
      <c r="B1270" s="90" t="s">
        <v>4892</v>
      </c>
      <c r="C1270" s="91" t="s">
        <v>649</v>
      </c>
      <c r="D1270" s="92">
        <v>1</v>
      </c>
      <c r="E1270" s="74">
        <v>1000</v>
      </c>
      <c r="F1270" s="93">
        <f t="shared" ref="F1270" si="20">IF(OR(OR(E1270=0,E1270=" "),OR(D1270=0,D1270=" "))," ",D1270*E1270)</f>
        <v>1000</v>
      </c>
    </row>
    <row r="1271" spans="1:6" ht="41.4">
      <c r="A1271" s="89" t="s">
        <v>745</v>
      </c>
      <c r="B1271" s="90" t="s">
        <v>4893</v>
      </c>
      <c r="C1271" s="91" t="s">
        <v>649</v>
      </c>
      <c r="D1271" s="92">
        <v>1</v>
      </c>
      <c r="E1271" s="74">
        <v>2000</v>
      </c>
      <c r="F1271" s="93">
        <f t="shared" si="19"/>
        <v>2000</v>
      </c>
    </row>
    <row r="1272" spans="1:6">
      <c r="A1272" s="87"/>
      <c r="B1272" s="88"/>
      <c r="C1272" s="72"/>
      <c r="D1272" s="92"/>
      <c r="E1272" s="74"/>
      <c r="F1272" s="75"/>
    </row>
    <row r="1273" spans="1:6" ht="41.4">
      <c r="A1273" s="89" t="s">
        <v>1139</v>
      </c>
      <c r="B1273" s="362" t="s">
        <v>3478</v>
      </c>
      <c r="C1273" s="72"/>
      <c r="D1273" s="92"/>
      <c r="E1273" s="74"/>
      <c r="F1273" s="75"/>
    </row>
    <row r="1274" spans="1:6" ht="96.6">
      <c r="A1274" s="89"/>
      <c r="B1274" s="71" t="s">
        <v>4883</v>
      </c>
      <c r="C1274" s="72"/>
      <c r="D1274" s="92"/>
      <c r="E1274" s="74"/>
      <c r="F1274" s="75"/>
    </row>
    <row r="1275" spans="1:6" ht="69">
      <c r="A1275" s="87"/>
      <c r="B1275" s="71" t="s">
        <v>3479</v>
      </c>
      <c r="C1275" s="72"/>
      <c r="D1275" s="92"/>
      <c r="E1275" s="74"/>
      <c r="F1275" s="75"/>
    </row>
    <row r="1276" spans="1:6" ht="69">
      <c r="A1276" s="87"/>
      <c r="B1276" s="71" t="s">
        <v>3480</v>
      </c>
      <c r="C1276" s="72"/>
      <c r="D1276" s="92"/>
      <c r="E1276" s="74"/>
      <c r="F1276" s="75"/>
    </row>
    <row r="1277" spans="1:6" ht="41.4">
      <c r="A1277" s="87"/>
      <c r="B1277" s="71" t="s">
        <v>3471</v>
      </c>
      <c r="C1277" s="72"/>
      <c r="D1277" s="92"/>
      <c r="E1277" s="74"/>
      <c r="F1277" s="75"/>
    </row>
    <row r="1278" spans="1:6" ht="41.4">
      <c r="A1278" s="87"/>
      <c r="B1278" s="71" t="s">
        <v>3466</v>
      </c>
      <c r="C1278" s="72"/>
      <c r="D1278" s="92"/>
      <c r="E1278" s="74"/>
      <c r="F1278" s="75"/>
    </row>
    <row r="1279" spans="1:6" ht="82.8">
      <c r="A1279" s="87"/>
      <c r="B1279" s="71" t="s">
        <v>5032</v>
      </c>
      <c r="C1279" s="72"/>
      <c r="D1279" s="92"/>
      <c r="E1279" s="74"/>
      <c r="F1279" s="75"/>
    </row>
    <row r="1280" spans="1:6" ht="110.4">
      <c r="A1280" s="87"/>
      <c r="B1280" s="71" t="s">
        <v>3477</v>
      </c>
      <c r="C1280" s="72"/>
      <c r="D1280" s="92"/>
      <c r="E1280" s="74"/>
      <c r="F1280" s="75"/>
    </row>
    <row r="1281" spans="1:6" ht="41.4">
      <c r="A1281" s="89" t="s">
        <v>48</v>
      </c>
      <c r="B1281" s="90" t="s">
        <v>4894</v>
      </c>
      <c r="C1281" s="91" t="s">
        <v>649</v>
      </c>
      <c r="D1281" s="92">
        <v>1</v>
      </c>
      <c r="E1281" s="74">
        <v>2000</v>
      </c>
      <c r="F1281" s="93">
        <f>IF(OR(OR(E1281=0,E1281=" "),OR(D1281=0,D1281=" "))," ",D1281*E1281)</f>
        <v>2000</v>
      </c>
    </row>
    <row r="1282" spans="1:6" ht="27.6">
      <c r="A1282" s="89" t="s">
        <v>49</v>
      </c>
      <c r="B1282" s="90" t="s">
        <v>4895</v>
      </c>
      <c r="C1282" s="91" t="s">
        <v>649</v>
      </c>
      <c r="D1282" s="92">
        <v>5</v>
      </c>
      <c r="E1282" s="74">
        <v>600</v>
      </c>
      <c r="F1282" s="93">
        <f>IF(OR(OR(E1282=0,E1282=" "),OR(D1282=0,D1282=" "))," ",D1282*E1282)</f>
        <v>3000</v>
      </c>
    </row>
    <row r="1283" spans="1:6" ht="27.6">
      <c r="A1283" s="89" t="s">
        <v>51</v>
      </c>
      <c r="B1283" s="90" t="s">
        <v>4896</v>
      </c>
      <c r="C1283" s="91" t="s">
        <v>649</v>
      </c>
      <c r="D1283" s="92">
        <v>1</v>
      </c>
      <c r="E1283" s="74">
        <v>600</v>
      </c>
      <c r="F1283" s="93">
        <f>IF(OR(OR(E1283=0,E1283=" "),OR(D1283=0,D1283=" "))," ",D1283*E1283)</f>
        <v>600</v>
      </c>
    </row>
    <row r="1284" spans="1:6" ht="41.4">
      <c r="A1284" s="89" t="s">
        <v>53</v>
      </c>
      <c r="B1284" s="90" t="s">
        <v>4897</v>
      </c>
      <c r="C1284" s="91" t="s">
        <v>649</v>
      </c>
      <c r="D1284" s="92">
        <v>1</v>
      </c>
      <c r="E1284" s="74">
        <v>250</v>
      </c>
      <c r="F1284" s="93">
        <f>IF(OR(OR(E1284=0,E1284=" "),OR(D1284=0,D1284=" "))," ",D1284*E1284)</f>
        <v>250</v>
      </c>
    </row>
    <row r="1285" spans="1:6" ht="27.6">
      <c r="A1285" s="89" t="s">
        <v>698</v>
      </c>
      <c r="B1285" s="90" t="s">
        <v>4898</v>
      </c>
      <c r="C1285" s="91" t="s">
        <v>649</v>
      </c>
      <c r="D1285" s="92">
        <v>1</v>
      </c>
      <c r="E1285" s="74">
        <v>200</v>
      </c>
      <c r="F1285" s="93">
        <f>IF(OR(OR(E1285=0,E1285=" "),OR(D1285=0,D1285=" "))," ",D1285*E1285)</f>
        <v>200</v>
      </c>
    </row>
    <row r="1286" spans="1:6">
      <c r="A1286" s="87"/>
      <c r="B1286" s="88"/>
      <c r="C1286" s="72"/>
      <c r="D1286" s="92"/>
      <c r="E1286" s="74"/>
      <c r="F1286" s="75"/>
    </row>
    <row r="1287" spans="1:6" ht="41.4">
      <c r="A1287" s="89" t="s">
        <v>1140</v>
      </c>
      <c r="B1287" s="362" t="s">
        <v>3481</v>
      </c>
      <c r="C1287" s="72"/>
      <c r="D1287" s="92"/>
      <c r="E1287" s="74"/>
      <c r="F1287" s="75"/>
    </row>
    <row r="1288" spans="1:6" ht="55.2">
      <c r="A1288" s="89"/>
      <c r="B1288" s="71" t="s">
        <v>4899</v>
      </c>
      <c r="C1288" s="72"/>
      <c r="D1288" s="92"/>
      <c r="E1288" s="74"/>
      <c r="F1288" s="75"/>
    </row>
    <row r="1289" spans="1:6" ht="110.4">
      <c r="A1289" s="89"/>
      <c r="B1289" s="71" t="s">
        <v>4121</v>
      </c>
      <c r="C1289" s="72"/>
      <c r="D1289" s="92"/>
      <c r="E1289" s="74"/>
      <c r="F1289" s="75"/>
    </row>
    <row r="1290" spans="1:6" ht="69">
      <c r="A1290" s="87"/>
      <c r="B1290" s="71" t="s">
        <v>3480</v>
      </c>
      <c r="C1290" s="72"/>
      <c r="D1290" s="92"/>
      <c r="E1290" s="74"/>
      <c r="F1290" s="75"/>
    </row>
    <row r="1291" spans="1:6" ht="41.4">
      <c r="A1291" s="87"/>
      <c r="B1291" s="71" t="s">
        <v>3471</v>
      </c>
      <c r="C1291" s="72"/>
      <c r="D1291" s="92"/>
      <c r="E1291" s="74"/>
      <c r="F1291" s="75"/>
    </row>
    <row r="1292" spans="1:6" ht="41.4">
      <c r="A1292" s="87"/>
      <c r="B1292" s="71" t="s">
        <v>3466</v>
      </c>
      <c r="C1292" s="72"/>
      <c r="D1292" s="92"/>
      <c r="E1292" s="74"/>
      <c r="F1292" s="75"/>
    </row>
    <row r="1293" spans="1:6" ht="82.8">
      <c r="A1293" s="87"/>
      <c r="B1293" s="71" t="s">
        <v>5032</v>
      </c>
      <c r="C1293" s="72"/>
      <c r="D1293" s="92"/>
      <c r="E1293" s="74"/>
      <c r="F1293" s="75"/>
    </row>
    <row r="1294" spans="1:6" ht="110.4">
      <c r="A1294" s="87"/>
      <c r="B1294" s="71" t="s">
        <v>3477</v>
      </c>
      <c r="C1294" s="72"/>
      <c r="D1294" s="92"/>
      <c r="E1294" s="74"/>
      <c r="F1294" s="75"/>
    </row>
    <row r="1295" spans="1:6" ht="27.6">
      <c r="A1295" s="89" t="s">
        <v>48</v>
      </c>
      <c r="B1295" s="90" t="s">
        <v>4900</v>
      </c>
      <c r="C1295" s="91" t="s">
        <v>649</v>
      </c>
      <c r="D1295" s="92">
        <v>1</v>
      </c>
      <c r="E1295" s="74">
        <v>2000</v>
      </c>
      <c r="F1295" s="93">
        <f>IF(OR(OR(E1295=0,E1295=" "),OR(D1295=0,D1295=" "))," ",D1295*E1295)</f>
        <v>2000</v>
      </c>
    </row>
    <row r="1296" spans="1:6">
      <c r="A1296" s="87"/>
      <c r="B1296" s="88"/>
      <c r="C1296" s="72"/>
      <c r="D1296" s="92"/>
      <c r="E1296" s="74"/>
      <c r="F1296" s="75"/>
    </row>
    <row r="1297" spans="1:6" ht="41.4">
      <c r="A1297" s="89" t="s">
        <v>1789</v>
      </c>
      <c r="B1297" s="362" t="s">
        <v>3482</v>
      </c>
      <c r="C1297" s="72"/>
      <c r="D1297" s="92"/>
      <c r="E1297" s="74"/>
      <c r="F1297" s="75"/>
    </row>
    <row r="1298" spans="1:6" ht="41.4">
      <c r="A1298" s="89"/>
      <c r="B1298" s="71" t="s">
        <v>3483</v>
      </c>
      <c r="C1298" s="72"/>
      <c r="D1298" s="92"/>
      <c r="E1298" s="74"/>
      <c r="F1298" s="75"/>
    </row>
    <row r="1299" spans="1:6" ht="110.4">
      <c r="A1299" s="89"/>
      <c r="B1299" s="71" t="s">
        <v>4121</v>
      </c>
      <c r="C1299" s="72"/>
      <c r="D1299" s="92"/>
      <c r="E1299" s="74"/>
      <c r="F1299" s="75"/>
    </row>
    <row r="1300" spans="1:6" ht="69">
      <c r="A1300" s="87"/>
      <c r="B1300" s="71" t="s">
        <v>3480</v>
      </c>
      <c r="C1300" s="72"/>
      <c r="D1300" s="92"/>
      <c r="E1300" s="74"/>
      <c r="F1300" s="75"/>
    </row>
    <row r="1301" spans="1:6" ht="41.4">
      <c r="A1301" s="87"/>
      <c r="B1301" s="71" t="s">
        <v>3471</v>
      </c>
      <c r="C1301" s="72"/>
      <c r="D1301" s="92"/>
      <c r="E1301" s="74"/>
      <c r="F1301" s="75"/>
    </row>
    <row r="1302" spans="1:6" ht="41.4">
      <c r="A1302" s="87"/>
      <c r="B1302" s="71" t="s">
        <v>3466</v>
      </c>
      <c r="C1302" s="72"/>
      <c r="D1302" s="92"/>
      <c r="E1302" s="74"/>
      <c r="F1302" s="75"/>
    </row>
    <row r="1303" spans="1:6" ht="82.8">
      <c r="A1303" s="87"/>
      <c r="B1303" s="71" t="s">
        <v>4971</v>
      </c>
      <c r="C1303" s="72"/>
      <c r="D1303" s="92"/>
      <c r="E1303" s="74"/>
      <c r="F1303" s="75"/>
    </row>
    <row r="1304" spans="1:6" ht="110.4">
      <c r="A1304" s="87"/>
      <c r="B1304" s="71" t="s">
        <v>3477</v>
      </c>
      <c r="C1304" s="72"/>
      <c r="D1304" s="92"/>
      <c r="E1304" s="74"/>
      <c r="F1304" s="75"/>
    </row>
    <row r="1305" spans="1:6" ht="41.4">
      <c r="A1305" s="89" t="s">
        <v>48</v>
      </c>
      <c r="B1305" s="90" t="s">
        <v>4901</v>
      </c>
      <c r="C1305" s="91" t="s">
        <v>649</v>
      </c>
      <c r="D1305" s="92">
        <v>1</v>
      </c>
      <c r="E1305" s="74">
        <v>2000</v>
      </c>
      <c r="F1305" s="93">
        <f>IF(OR(OR(E1305=0,E1305=" "),OR(D1305=0,D1305=" "))," ",D1305*E1305)</f>
        <v>2000</v>
      </c>
    </row>
    <row r="1306" spans="1:6">
      <c r="A1306" s="87"/>
      <c r="B1306" s="88"/>
      <c r="C1306" s="72"/>
      <c r="D1306" s="92"/>
      <c r="E1306" s="74"/>
      <c r="F1306" s="75"/>
    </row>
    <row r="1307" spans="1:6" ht="41.4">
      <c r="A1307" s="89" t="s">
        <v>1790</v>
      </c>
      <c r="B1307" s="362" t="s">
        <v>4903</v>
      </c>
      <c r="C1307" s="72"/>
      <c r="D1307" s="92"/>
      <c r="E1307" s="74"/>
      <c r="F1307" s="75"/>
    </row>
    <row r="1308" spans="1:6" ht="165.6">
      <c r="A1308" s="89"/>
      <c r="B1308" s="71" t="s">
        <v>4902</v>
      </c>
      <c r="C1308" s="72"/>
      <c r="D1308" s="92"/>
      <c r="E1308" s="74"/>
      <c r="F1308" s="75"/>
    </row>
    <row r="1309" spans="1:6" ht="82.8">
      <c r="A1309" s="87"/>
      <c r="B1309" s="71" t="s">
        <v>3476</v>
      </c>
      <c r="C1309" s="72"/>
      <c r="D1309" s="92"/>
      <c r="E1309" s="74"/>
      <c r="F1309" s="75"/>
    </row>
    <row r="1310" spans="1:6" ht="41.4">
      <c r="A1310" s="87"/>
      <c r="B1310" s="71" t="s">
        <v>3471</v>
      </c>
      <c r="C1310" s="72"/>
      <c r="D1310" s="92"/>
      <c r="E1310" s="74"/>
      <c r="F1310" s="75"/>
    </row>
    <row r="1311" spans="1:6" ht="41.4">
      <c r="A1311" s="87"/>
      <c r="B1311" s="71" t="s">
        <v>3485</v>
      </c>
      <c r="C1311" s="72"/>
      <c r="D1311" s="92"/>
      <c r="E1311" s="74"/>
      <c r="F1311" s="75"/>
    </row>
    <row r="1312" spans="1:6" ht="110.4">
      <c r="A1312" s="87"/>
      <c r="B1312" s="71" t="s">
        <v>5031</v>
      </c>
      <c r="C1312" s="72"/>
      <c r="D1312" s="92"/>
      <c r="E1312" s="74"/>
      <c r="F1312" s="75"/>
    </row>
    <row r="1313" spans="1:6" ht="110.4">
      <c r="A1313" s="87"/>
      <c r="B1313" s="71" t="s">
        <v>3477</v>
      </c>
      <c r="C1313" s="72"/>
      <c r="D1313" s="92"/>
      <c r="E1313" s="74"/>
      <c r="F1313" s="75"/>
    </row>
    <row r="1314" spans="1:6" ht="41.4">
      <c r="A1314" s="89" t="s">
        <v>48</v>
      </c>
      <c r="B1314" s="90" t="s">
        <v>4904</v>
      </c>
      <c r="C1314" s="91" t="s">
        <v>649</v>
      </c>
      <c r="D1314" s="92">
        <v>1</v>
      </c>
      <c r="E1314" s="74">
        <v>2000</v>
      </c>
      <c r="F1314" s="93">
        <f>IF(OR(OR(E1314=0,E1314=" "),OR(D1314=0,D1314=" "))," ",D1314*E1314)</f>
        <v>2000</v>
      </c>
    </row>
    <row r="1315" spans="1:6">
      <c r="A1315" s="87"/>
      <c r="B1315" s="88"/>
      <c r="C1315" s="72"/>
      <c r="D1315" s="92"/>
      <c r="E1315" s="74"/>
      <c r="F1315" s="75"/>
    </row>
    <row r="1316" spans="1:6" ht="41.4">
      <c r="A1316" s="89" t="s">
        <v>1802</v>
      </c>
      <c r="B1316" s="362" t="s">
        <v>3484</v>
      </c>
      <c r="C1316" s="72"/>
      <c r="D1316" s="92"/>
      <c r="E1316" s="74"/>
      <c r="F1316" s="75"/>
    </row>
    <row r="1317" spans="1:6" ht="165.6">
      <c r="A1317" s="89"/>
      <c r="B1317" s="71" t="s">
        <v>4902</v>
      </c>
      <c r="C1317" s="72"/>
      <c r="D1317" s="92"/>
      <c r="E1317" s="74"/>
      <c r="F1317" s="75"/>
    </row>
    <row r="1318" spans="1:6" ht="82.8">
      <c r="A1318" s="87"/>
      <c r="B1318" s="71" t="s">
        <v>3476</v>
      </c>
      <c r="C1318" s="72"/>
      <c r="D1318" s="92"/>
      <c r="E1318" s="74"/>
      <c r="F1318" s="75"/>
    </row>
    <row r="1319" spans="1:6" ht="41.4">
      <c r="A1319" s="87"/>
      <c r="B1319" s="71" t="s">
        <v>3471</v>
      </c>
      <c r="C1319" s="72"/>
      <c r="D1319" s="92"/>
      <c r="E1319" s="74"/>
      <c r="F1319" s="75"/>
    </row>
    <row r="1320" spans="1:6" ht="41.4">
      <c r="A1320" s="87"/>
      <c r="B1320" s="71" t="s">
        <v>3485</v>
      </c>
      <c r="C1320" s="72"/>
      <c r="D1320" s="92"/>
      <c r="E1320" s="74"/>
      <c r="F1320" s="75"/>
    </row>
    <row r="1321" spans="1:6" ht="110.4">
      <c r="A1321" s="87"/>
      <c r="B1321" s="71" t="s">
        <v>4972</v>
      </c>
      <c r="C1321" s="72"/>
      <c r="D1321" s="92"/>
      <c r="E1321" s="74"/>
      <c r="F1321" s="75"/>
    </row>
    <row r="1322" spans="1:6" ht="110.4">
      <c r="A1322" s="87"/>
      <c r="B1322" s="71" t="s">
        <v>3477</v>
      </c>
      <c r="C1322" s="72"/>
      <c r="D1322" s="92"/>
      <c r="E1322" s="74"/>
      <c r="F1322" s="75"/>
    </row>
    <row r="1323" spans="1:6" ht="41.4">
      <c r="A1323" s="89" t="s">
        <v>48</v>
      </c>
      <c r="B1323" s="90" t="s">
        <v>4905</v>
      </c>
      <c r="C1323" s="91" t="s">
        <v>649</v>
      </c>
      <c r="D1323" s="92">
        <v>1</v>
      </c>
      <c r="E1323" s="74">
        <v>6000</v>
      </c>
      <c r="F1323" s="93">
        <f>IF(OR(OR(E1323=0,E1323=" "),OR(D1323=0,D1323=" "))," ",D1323*E1323)</f>
        <v>6000</v>
      </c>
    </row>
    <row r="1324" spans="1:6">
      <c r="A1324" s="87"/>
      <c r="B1324" s="88"/>
      <c r="C1324" s="72"/>
      <c r="D1324" s="92"/>
      <c r="E1324" s="74"/>
      <c r="F1324" s="75"/>
    </row>
    <row r="1325" spans="1:6">
      <c r="A1325" s="87" t="s">
        <v>667</v>
      </c>
      <c r="B1325" s="88" t="s">
        <v>817</v>
      </c>
      <c r="C1325" s="72"/>
      <c r="D1325" s="92"/>
      <c r="E1325" s="74"/>
      <c r="F1325" s="75"/>
    </row>
    <row r="1326" spans="1:6" ht="41.4">
      <c r="A1326" s="89" t="s">
        <v>1803</v>
      </c>
      <c r="B1326" s="362" t="s">
        <v>4912</v>
      </c>
      <c r="C1326" s="72"/>
      <c r="D1326" s="92"/>
      <c r="E1326" s="74"/>
      <c r="F1326" s="75"/>
    </row>
    <row r="1327" spans="1:6" ht="124.2">
      <c r="A1327" s="87"/>
      <c r="B1327" s="71" t="s">
        <v>4913</v>
      </c>
      <c r="C1327" s="72"/>
      <c r="D1327" s="92"/>
      <c r="E1327" s="74"/>
      <c r="F1327" s="75"/>
    </row>
    <row r="1328" spans="1:6" ht="27.6">
      <c r="A1328" s="87"/>
      <c r="B1328" s="71" t="s">
        <v>4911</v>
      </c>
      <c r="C1328" s="72"/>
      <c r="D1328" s="92"/>
      <c r="E1328" s="74"/>
      <c r="F1328" s="75"/>
    </row>
    <row r="1329" spans="1:6" ht="41.4">
      <c r="A1329" s="87"/>
      <c r="B1329" s="71" t="s">
        <v>3471</v>
      </c>
      <c r="C1329" s="72"/>
      <c r="D1329" s="92"/>
      <c r="E1329" s="74"/>
      <c r="F1329" s="75"/>
    </row>
    <row r="1330" spans="1:6" ht="41.4">
      <c r="A1330" s="87"/>
      <c r="B1330" s="71" t="s">
        <v>3466</v>
      </c>
      <c r="C1330" s="72"/>
      <c r="D1330" s="92"/>
      <c r="E1330" s="74"/>
      <c r="F1330" s="75"/>
    </row>
    <row r="1331" spans="1:6" ht="82.8">
      <c r="A1331" s="87"/>
      <c r="B1331" s="71" t="s">
        <v>5032</v>
      </c>
      <c r="C1331" s="72"/>
      <c r="D1331" s="92"/>
      <c r="E1331" s="74"/>
      <c r="F1331" s="75"/>
    </row>
    <row r="1332" spans="1:6" ht="110.4">
      <c r="A1332" s="87"/>
      <c r="B1332" s="71" t="s">
        <v>3477</v>
      </c>
      <c r="C1332" s="72"/>
      <c r="D1332" s="92"/>
      <c r="E1332" s="74"/>
      <c r="F1332" s="75"/>
    </row>
    <row r="1333" spans="1:6" ht="55.2">
      <c r="A1333" s="89" t="s">
        <v>48</v>
      </c>
      <c r="B1333" s="90" t="s">
        <v>4914</v>
      </c>
      <c r="C1333" s="91" t="s">
        <v>649</v>
      </c>
      <c r="D1333" s="92">
        <v>1</v>
      </c>
      <c r="E1333" s="74">
        <v>8000</v>
      </c>
      <c r="F1333" s="93">
        <f t="shared" ref="F1333" si="21">IF(OR(OR(E1333=0,E1333=" "),OR(D1333=0,D1333=" "))," ",D1333*E1333)</f>
        <v>8000</v>
      </c>
    </row>
    <row r="1334" spans="1:6">
      <c r="A1334" s="87"/>
      <c r="B1334" s="88"/>
      <c r="C1334" s="72"/>
      <c r="D1334" s="92"/>
      <c r="E1334" s="74"/>
      <c r="F1334" s="75"/>
    </row>
    <row r="1335" spans="1:6" ht="55.2">
      <c r="A1335" s="89" t="s">
        <v>3501</v>
      </c>
      <c r="B1335" s="362" t="s">
        <v>3489</v>
      </c>
      <c r="C1335" s="91"/>
      <c r="D1335" s="73"/>
      <c r="E1335" s="74"/>
      <c r="F1335" s="94"/>
    </row>
    <row r="1336" spans="1:6" ht="55.2">
      <c r="A1336" s="76" t="s">
        <v>665</v>
      </c>
      <c r="B1336" s="95" t="s">
        <v>3490</v>
      </c>
      <c r="C1336" s="78"/>
      <c r="D1336" s="73"/>
      <c r="E1336" s="74"/>
      <c r="F1336" s="79"/>
    </row>
    <row r="1337" spans="1:6" ht="179.4">
      <c r="A1337" s="76" t="s">
        <v>665</v>
      </c>
      <c r="B1337" s="95" t="s">
        <v>5136</v>
      </c>
      <c r="C1337" s="78"/>
      <c r="D1337" s="73"/>
      <c r="E1337" s="74"/>
      <c r="F1337" s="79"/>
    </row>
    <row r="1338" spans="1:6" ht="41.4">
      <c r="A1338" s="76" t="s">
        <v>665</v>
      </c>
      <c r="B1338" s="90" t="s">
        <v>1787</v>
      </c>
      <c r="C1338" s="78"/>
      <c r="D1338" s="73"/>
      <c r="E1338" s="74"/>
      <c r="F1338" s="79"/>
    </row>
    <row r="1339" spans="1:6" ht="96.6">
      <c r="A1339" s="76" t="s">
        <v>665</v>
      </c>
      <c r="B1339" s="90" t="s">
        <v>4122</v>
      </c>
      <c r="C1339" s="78"/>
      <c r="D1339" s="73"/>
      <c r="E1339" s="74"/>
      <c r="F1339" s="79"/>
    </row>
    <row r="1340" spans="1:6" ht="110.4">
      <c r="A1340" s="76"/>
      <c r="B1340" s="71" t="s">
        <v>3477</v>
      </c>
      <c r="C1340" s="78"/>
      <c r="D1340" s="73"/>
      <c r="E1340" s="74"/>
      <c r="F1340" s="79"/>
    </row>
    <row r="1341" spans="1:6">
      <c r="A1341" s="76"/>
      <c r="B1341" s="90" t="s">
        <v>816</v>
      </c>
      <c r="C1341" s="78"/>
      <c r="D1341" s="73"/>
      <c r="E1341" s="74"/>
      <c r="F1341" s="79"/>
    </row>
    <row r="1342" spans="1:6" ht="82.8">
      <c r="A1342" s="76"/>
      <c r="B1342" s="71" t="s">
        <v>4973</v>
      </c>
      <c r="C1342" s="78"/>
      <c r="D1342" s="73"/>
      <c r="E1342" s="74"/>
      <c r="F1342" s="79"/>
    </row>
    <row r="1343" spans="1:6">
      <c r="A1343" s="76"/>
      <c r="B1343" s="90" t="s">
        <v>801</v>
      </c>
      <c r="C1343" s="78"/>
      <c r="D1343" s="73"/>
      <c r="E1343" s="74"/>
      <c r="F1343" s="79"/>
    </row>
    <row r="1344" spans="1:6">
      <c r="A1344" s="76"/>
      <c r="B1344" s="90" t="s">
        <v>3491</v>
      </c>
      <c r="C1344" s="78"/>
      <c r="D1344" s="73"/>
      <c r="E1344" s="74"/>
      <c r="F1344" s="79"/>
    </row>
    <row r="1345" spans="1:6" ht="41.4">
      <c r="A1345" s="89" t="s">
        <v>48</v>
      </c>
      <c r="B1345" s="90" t="s">
        <v>3492</v>
      </c>
      <c r="C1345" s="91" t="s">
        <v>697</v>
      </c>
      <c r="D1345" s="73">
        <v>269.5</v>
      </c>
      <c r="E1345" s="74">
        <v>50</v>
      </c>
      <c r="F1345" s="93">
        <f>IF(OR(OR(E1345=0,E1345=" "),OR(D1345=0,D1345=" "))," ",D1345*E1345)</f>
        <v>13475</v>
      </c>
    </row>
    <row r="1346" spans="1:6" ht="27.6">
      <c r="A1346" s="89" t="s">
        <v>49</v>
      </c>
      <c r="B1346" s="90" t="s">
        <v>5001</v>
      </c>
      <c r="C1346" s="91" t="s">
        <v>649</v>
      </c>
      <c r="D1346" s="73">
        <v>122</v>
      </c>
      <c r="E1346" s="74">
        <v>40</v>
      </c>
      <c r="F1346" s="93">
        <f>IF(OR(OR(E1346=0,E1346=" "),OR(D1346=0,D1346=" "))," ",D1346*E1346)</f>
        <v>4880</v>
      </c>
    </row>
    <row r="1347" spans="1:6">
      <c r="A1347" s="89"/>
      <c r="B1347" s="90"/>
      <c r="C1347" s="91"/>
      <c r="D1347" s="73"/>
      <c r="E1347" s="74"/>
      <c r="F1347" s="93"/>
    </row>
    <row r="1348" spans="1:6" ht="27.6">
      <c r="A1348" s="89" t="s">
        <v>3502</v>
      </c>
      <c r="B1348" s="369" t="s">
        <v>3495</v>
      </c>
      <c r="C1348" s="382"/>
      <c r="D1348" s="383"/>
      <c r="E1348" s="74"/>
      <c r="F1348" s="75"/>
    </row>
    <row r="1349" spans="1:6" ht="110.4">
      <c r="A1349" s="89"/>
      <c r="B1349" s="373" t="s">
        <v>4996</v>
      </c>
      <c r="C1349" s="382"/>
      <c r="D1349" s="383"/>
      <c r="E1349" s="74"/>
      <c r="F1349" s="75"/>
    </row>
    <row r="1350" spans="1:6" ht="151.80000000000001">
      <c r="A1350" s="89"/>
      <c r="B1350" s="373" t="s">
        <v>4909</v>
      </c>
      <c r="C1350" s="382"/>
      <c r="D1350" s="383"/>
      <c r="E1350" s="74"/>
      <c r="F1350" s="75"/>
    </row>
    <row r="1351" spans="1:6" ht="82.8">
      <c r="A1351" s="89" t="s">
        <v>665</v>
      </c>
      <c r="B1351" s="95" t="s">
        <v>3494</v>
      </c>
      <c r="C1351" s="384"/>
      <c r="D1351" s="383"/>
      <c r="E1351" s="74"/>
      <c r="F1351" s="75"/>
    </row>
    <row r="1352" spans="1:6" ht="82.8">
      <c r="A1352" s="89" t="s">
        <v>665</v>
      </c>
      <c r="B1352" s="95" t="s">
        <v>5292</v>
      </c>
      <c r="C1352" s="384"/>
      <c r="D1352" s="383"/>
      <c r="E1352" s="74"/>
      <c r="F1352" s="75"/>
    </row>
    <row r="1353" spans="1:6" ht="96.6">
      <c r="A1353" s="89" t="s">
        <v>665</v>
      </c>
      <c r="B1353" s="90" t="s">
        <v>4122</v>
      </c>
      <c r="C1353" s="384"/>
      <c r="D1353" s="383"/>
      <c r="E1353" s="74"/>
      <c r="F1353" s="75"/>
    </row>
    <row r="1354" spans="1:6" ht="110.4">
      <c r="A1354" s="89"/>
      <c r="B1354" s="71" t="s">
        <v>3477</v>
      </c>
      <c r="C1354" s="384"/>
      <c r="D1354" s="383"/>
      <c r="E1354" s="74"/>
      <c r="F1354" s="75"/>
    </row>
    <row r="1355" spans="1:6">
      <c r="A1355" s="89"/>
      <c r="B1355" s="90" t="s">
        <v>816</v>
      </c>
      <c r="C1355" s="384"/>
      <c r="D1355" s="383"/>
      <c r="E1355" s="74"/>
      <c r="F1355" s="75"/>
    </row>
    <row r="1356" spans="1:6" ht="96.6">
      <c r="A1356" s="89"/>
      <c r="B1356" s="71" t="s">
        <v>4974</v>
      </c>
      <c r="C1356" s="384"/>
      <c r="D1356" s="383"/>
      <c r="E1356" s="74"/>
      <c r="F1356" s="75"/>
    </row>
    <row r="1357" spans="1:6">
      <c r="A1357" s="89"/>
      <c r="B1357" s="90" t="s">
        <v>801</v>
      </c>
      <c r="C1357" s="384"/>
      <c r="D1357" s="383"/>
      <c r="E1357" s="74"/>
      <c r="F1357" s="75"/>
    </row>
    <row r="1358" spans="1:6">
      <c r="A1358" s="89" t="s">
        <v>665</v>
      </c>
      <c r="B1358" s="90" t="s">
        <v>3493</v>
      </c>
      <c r="C1358" s="384"/>
      <c r="D1358" s="383"/>
      <c r="E1358" s="74"/>
      <c r="F1358" s="75"/>
    </row>
    <row r="1359" spans="1:6" ht="27.6">
      <c r="A1359" s="89" t="s">
        <v>48</v>
      </c>
      <c r="B1359" s="373" t="s">
        <v>3496</v>
      </c>
      <c r="C1359" s="91" t="s">
        <v>649</v>
      </c>
      <c r="D1359" s="92">
        <v>1</v>
      </c>
      <c r="E1359" s="74">
        <v>2000</v>
      </c>
      <c r="F1359" s="93">
        <f>IF(OR(OR(E1359=0,E1359=" "),OR(D1359=0,D1359=" "))," ",D1359*E1359)</f>
        <v>2000</v>
      </c>
    </row>
    <row r="1360" spans="1:6">
      <c r="A1360" s="89"/>
      <c r="B1360" s="95"/>
      <c r="C1360" s="382"/>
      <c r="D1360" s="381"/>
      <c r="E1360" s="74"/>
      <c r="F1360" s="75"/>
    </row>
    <row r="1361" spans="1:6" ht="41.4">
      <c r="A1361" s="89" t="s">
        <v>3503</v>
      </c>
      <c r="B1361" s="369" t="s">
        <v>3211</v>
      </c>
      <c r="C1361" s="382"/>
      <c r="D1361" s="383"/>
      <c r="E1361" s="74"/>
      <c r="F1361" s="75"/>
    </row>
    <row r="1362" spans="1:6" ht="124.2">
      <c r="A1362" s="89"/>
      <c r="B1362" s="373" t="s">
        <v>4998</v>
      </c>
      <c r="C1362" s="382"/>
      <c r="D1362" s="383"/>
      <c r="E1362" s="74"/>
      <c r="F1362" s="75"/>
    </row>
    <row r="1363" spans="1:6" ht="151.80000000000001">
      <c r="A1363" s="89"/>
      <c r="B1363" s="373" t="s">
        <v>4909</v>
      </c>
      <c r="C1363" s="382"/>
      <c r="D1363" s="383"/>
      <c r="E1363" s="74"/>
      <c r="F1363" s="75"/>
    </row>
    <row r="1364" spans="1:6" ht="69">
      <c r="A1364" s="89" t="s">
        <v>665</v>
      </c>
      <c r="B1364" s="95" t="s">
        <v>3210</v>
      </c>
      <c r="C1364" s="384"/>
      <c r="D1364" s="383"/>
      <c r="E1364" s="74"/>
      <c r="F1364" s="75"/>
    </row>
    <row r="1365" spans="1:6" ht="82.8">
      <c r="A1365" s="89" t="s">
        <v>665</v>
      </c>
      <c r="B1365" s="95" t="s">
        <v>5292</v>
      </c>
      <c r="C1365" s="384"/>
      <c r="D1365" s="383"/>
      <c r="E1365" s="74"/>
      <c r="F1365" s="75"/>
    </row>
    <row r="1366" spans="1:6" ht="96.6">
      <c r="A1366" s="89" t="s">
        <v>665</v>
      </c>
      <c r="B1366" s="90" t="s">
        <v>4122</v>
      </c>
      <c r="C1366" s="384"/>
      <c r="D1366" s="383"/>
      <c r="E1366" s="74"/>
      <c r="F1366" s="75"/>
    </row>
    <row r="1367" spans="1:6" ht="96.6">
      <c r="A1367" s="89"/>
      <c r="B1367" s="71" t="s">
        <v>815</v>
      </c>
      <c r="C1367" s="384"/>
      <c r="D1367" s="383"/>
      <c r="E1367" s="74"/>
      <c r="F1367" s="75"/>
    </row>
    <row r="1368" spans="1:6">
      <c r="A1368" s="89"/>
      <c r="B1368" s="90" t="s">
        <v>816</v>
      </c>
      <c r="C1368" s="384"/>
      <c r="D1368" s="383"/>
      <c r="E1368" s="74"/>
      <c r="F1368" s="75"/>
    </row>
    <row r="1369" spans="1:6" ht="96.6">
      <c r="A1369" s="89"/>
      <c r="B1369" s="71" t="s">
        <v>4974</v>
      </c>
      <c r="C1369" s="384"/>
      <c r="D1369" s="383"/>
      <c r="E1369" s="74"/>
      <c r="F1369" s="75"/>
    </row>
    <row r="1370" spans="1:6">
      <c r="A1370" s="89"/>
      <c r="B1370" s="90" t="s">
        <v>801</v>
      </c>
      <c r="C1370" s="384"/>
      <c r="D1370" s="383"/>
      <c r="E1370" s="74"/>
      <c r="F1370" s="75"/>
    </row>
    <row r="1371" spans="1:6">
      <c r="A1371" s="89" t="s">
        <v>665</v>
      </c>
      <c r="B1371" s="90" t="s">
        <v>3499</v>
      </c>
      <c r="C1371" s="384"/>
      <c r="D1371" s="383"/>
      <c r="E1371" s="74"/>
      <c r="F1371" s="75"/>
    </row>
    <row r="1372" spans="1:6" ht="27.6">
      <c r="A1372" s="89" t="s">
        <v>48</v>
      </c>
      <c r="B1372" s="373" t="s">
        <v>4997</v>
      </c>
      <c r="C1372" s="91" t="s">
        <v>649</v>
      </c>
      <c r="D1372" s="92">
        <v>1</v>
      </c>
      <c r="E1372" s="74">
        <v>1000</v>
      </c>
      <c r="F1372" s="93">
        <f>IF(OR(OR(E1372=0,E1372=" "),OR(D1372=0,D1372=" "))," ",D1372*E1372)</f>
        <v>1000</v>
      </c>
    </row>
    <row r="1373" spans="1:6">
      <c r="A1373" s="89"/>
      <c r="B1373" s="95"/>
      <c r="C1373" s="382"/>
      <c r="D1373" s="381"/>
      <c r="E1373" s="74"/>
      <c r="F1373" s="75"/>
    </row>
    <row r="1374" spans="1:6" ht="27.6">
      <c r="A1374" s="89" t="s">
        <v>3504</v>
      </c>
      <c r="B1374" s="369" t="s">
        <v>3497</v>
      </c>
      <c r="C1374" s="382"/>
      <c r="D1374" s="383"/>
      <c r="E1374" s="74"/>
      <c r="F1374" s="75"/>
    </row>
    <row r="1375" spans="1:6" ht="165.6">
      <c r="A1375" s="89"/>
      <c r="B1375" s="373" t="s">
        <v>4999</v>
      </c>
      <c r="C1375" s="382"/>
      <c r="D1375" s="383"/>
      <c r="E1375" s="74"/>
      <c r="F1375" s="75"/>
    </row>
    <row r="1376" spans="1:6" ht="179.4">
      <c r="A1376" s="89"/>
      <c r="B1376" s="373" t="s">
        <v>4910</v>
      </c>
      <c r="C1376" s="382"/>
      <c r="D1376" s="383"/>
      <c r="E1376" s="74"/>
      <c r="F1376" s="75"/>
    </row>
    <row r="1377" spans="1:6" ht="82.8">
      <c r="A1377" s="89" t="s">
        <v>665</v>
      </c>
      <c r="B1377" s="95" t="s">
        <v>3498</v>
      </c>
      <c r="C1377" s="384"/>
      <c r="D1377" s="383"/>
      <c r="E1377" s="74"/>
      <c r="F1377" s="75"/>
    </row>
    <row r="1378" spans="1:6" ht="82.8">
      <c r="A1378" s="89" t="s">
        <v>665</v>
      </c>
      <c r="B1378" s="95" t="s">
        <v>5292</v>
      </c>
      <c r="C1378" s="384"/>
      <c r="D1378" s="383"/>
      <c r="E1378" s="74"/>
      <c r="F1378" s="75"/>
    </row>
    <row r="1379" spans="1:6" ht="96.6">
      <c r="A1379" s="89" t="s">
        <v>665</v>
      </c>
      <c r="B1379" s="90" t="s">
        <v>4122</v>
      </c>
      <c r="C1379" s="384"/>
      <c r="D1379" s="383"/>
      <c r="E1379" s="74"/>
      <c r="F1379" s="75"/>
    </row>
    <row r="1380" spans="1:6" ht="96.6">
      <c r="A1380" s="89"/>
      <c r="B1380" s="71" t="s">
        <v>815</v>
      </c>
      <c r="C1380" s="384"/>
      <c r="D1380" s="383"/>
      <c r="E1380" s="74"/>
      <c r="F1380" s="75"/>
    </row>
    <row r="1381" spans="1:6">
      <c r="A1381" s="89"/>
      <c r="B1381" s="90" t="s">
        <v>816</v>
      </c>
      <c r="C1381" s="384"/>
      <c r="D1381" s="383"/>
      <c r="E1381" s="74"/>
      <c r="F1381" s="75"/>
    </row>
    <row r="1382" spans="1:6" ht="96.6">
      <c r="A1382" s="89"/>
      <c r="B1382" s="71" t="s">
        <v>4974</v>
      </c>
      <c r="C1382" s="384"/>
      <c r="D1382" s="383"/>
      <c r="E1382" s="74"/>
      <c r="F1382" s="75"/>
    </row>
    <row r="1383" spans="1:6">
      <c r="A1383" s="89"/>
      <c r="B1383" s="90" t="s">
        <v>801</v>
      </c>
      <c r="C1383" s="384"/>
      <c r="D1383" s="383"/>
      <c r="E1383" s="74"/>
      <c r="F1383" s="75"/>
    </row>
    <row r="1384" spans="1:6">
      <c r="A1384" s="89" t="s">
        <v>665</v>
      </c>
      <c r="B1384" s="90" t="s">
        <v>3500</v>
      </c>
      <c r="C1384" s="384"/>
      <c r="D1384" s="383"/>
      <c r="E1384" s="74"/>
      <c r="F1384" s="75"/>
    </row>
    <row r="1385" spans="1:6" ht="27.6">
      <c r="A1385" s="89" t="s">
        <v>48</v>
      </c>
      <c r="B1385" s="373" t="s">
        <v>5000</v>
      </c>
      <c r="C1385" s="91" t="s">
        <v>649</v>
      </c>
      <c r="D1385" s="92">
        <v>2</v>
      </c>
      <c r="E1385" s="74">
        <v>2500</v>
      </c>
      <c r="F1385" s="93">
        <f>IF(OR(OR(E1385=0,E1385=" "),OR(D1385=0,D1385=" "))," ",D1385*E1385)</f>
        <v>5000</v>
      </c>
    </row>
    <row r="1386" spans="1:6">
      <c r="A1386" s="70"/>
      <c r="B1386" s="71"/>
      <c r="C1386" s="72"/>
      <c r="D1386" s="73"/>
      <c r="E1386" s="74"/>
      <c r="F1386" s="75"/>
    </row>
    <row r="1387" spans="1:6">
      <c r="A1387" s="87" t="s">
        <v>667</v>
      </c>
      <c r="B1387" s="88" t="s">
        <v>818</v>
      </c>
      <c r="C1387" s="72"/>
      <c r="D1387" s="92"/>
      <c r="E1387" s="74"/>
      <c r="F1387" s="75"/>
    </row>
    <row r="1388" spans="1:6" ht="41.4">
      <c r="A1388" s="70" t="s">
        <v>4907</v>
      </c>
      <c r="B1388" s="364" t="s">
        <v>4986</v>
      </c>
      <c r="C1388" s="72"/>
      <c r="D1388" s="73"/>
      <c r="E1388" s="74"/>
      <c r="F1388" s="75"/>
    </row>
    <row r="1389" spans="1:6" ht="41.4">
      <c r="A1389" s="70"/>
      <c r="B1389" s="71" t="s">
        <v>3486</v>
      </c>
      <c r="C1389" s="72"/>
      <c r="D1389" s="73"/>
      <c r="E1389" s="74"/>
      <c r="F1389" s="75"/>
    </row>
    <row r="1390" spans="1:6" ht="207">
      <c r="A1390" s="70"/>
      <c r="B1390" s="71" t="s">
        <v>3488</v>
      </c>
      <c r="C1390" s="72"/>
      <c r="D1390" s="73"/>
      <c r="E1390" s="74"/>
      <c r="F1390" s="75"/>
    </row>
    <row r="1391" spans="1:6" ht="41.4">
      <c r="A1391" s="70"/>
      <c r="B1391" s="71" t="s">
        <v>819</v>
      </c>
      <c r="C1391" s="72"/>
      <c r="D1391" s="73"/>
      <c r="E1391" s="74"/>
      <c r="F1391" s="75"/>
    </row>
    <row r="1392" spans="1:6" ht="82.8">
      <c r="A1392" s="70"/>
      <c r="B1392" s="71" t="s">
        <v>5293</v>
      </c>
      <c r="C1392" s="72"/>
      <c r="D1392" s="73"/>
      <c r="E1392" s="74"/>
      <c r="F1392" s="75"/>
    </row>
    <row r="1393" spans="1:6" ht="69">
      <c r="A1393" s="70"/>
      <c r="B1393" s="71" t="s">
        <v>4975</v>
      </c>
      <c r="C1393" s="72"/>
      <c r="D1393" s="73"/>
      <c r="E1393" s="74"/>
      <c r="F1393" s="75"/>
    </row>
    <row r="1394" spans="1:6" ht="110.4">
      <c r="A1394" s="70"/>
      <c r="B1394" s="71" t="s">
        <v>3477</v>
      </c>
      <c r="C1394" s="72"/>
      <c r="D1394" s="73"/>
      <c r="E1394" s="74"/>
      <c r="F1394" s="75"/>
    </row>
    <row r="1395" spans="1:6">
      <c r="A1395" s="70"/>
      <c r="B1395" s="71" t="s">
        <v>4906</v>
      </c>
      <c r="C1395" s="72"/>
      <c r="D1395" s="73"/>
      <c r="E1395" s="74"/>
      <c r="F1395" s="75"/>
    </row>
    <row r="1396" spans="1:6" ht="27.6">
      <c r="A1396" s="70" t="s">
        <v>48</v>
      </c>
      <c r="B1396" s="71" t="s">
        <v>3487</v>
      </c>
      <c r="C1396" s="72" t="s">
        <v>649</v>
      </c>
      <c r="D1396" s="92">
        <v>1</v>
      </c>
      <c r="E1396" s="74">
        <v>2000</v>
      </c>
      <c r="F1396" s="93">
        <f>IF(OR(OR(E1396=0,E1396=" "),OR(D1396=0,D1396=" "))," ",D1396*E1396)</f>
        <v>2000</v>
      </c>
    </row>
    <row r="1397" spans="1:6">
      <c r="A1397" s="70"/>
      <c r="B1397" s="71"/>
      <c r="C1397" s="72"/>
      <c r="D1397" s="73"/>
      <c r="E1397" s="74"/>
      <c r="F1397" s="75"/>
    </row>
    <row r="1398" spans="1:6">
      <c r="A1398" s="87" t="s">
        <v>667</v>
      </c>
      <c r="B1398" s="88" t="s">
        <v>820</v>
      </c>
      <c r="C1398" s="72"/>
      <c r="D1398" s="92"/>
      <c r="E1398" s="74"/>
      <c r="F1398" s="75"/>
    </row>
    <row r="1399" spans="1:6" ht="110.4">
      <c r="A1399" s="89" t="s">
        <v>4908</v>
      </c>
      <c r="B1399" s="362" t="s">
        <v>4976</v>
      </c>
      <c r="C1399" s="91"/>
      <c r="D1399" s="73"/>
      <c r="E1399" s="74"/>
      <c r="F1399" s="93"/>
    </row>
    <row r="1400" spans="1:6">
      <c r="A1400" s="89" t="s">
        <v>48</v>
      </c>
      <c r="B1400" s="90" t="s">
        <v>821</v>
      </c>
      <c r="C1400" s="91" t="s">
        <v>645</v>
      </c>
      <c r="D1400" s="73">
        <v>500</v>
      </c>
      <c r="E1400" s="74">
        <v>10</v>
      </c>
      <c r="F1400" s="93">
        <f>IF(OR(OR(E1400=0,E1400=" "),OR(D1400=0,D1400=" "))," ",D1400*E1400)</f>
        <v>5000</v>
      </c>
    </row>
    <row r="1401" spans="1:6">
      <c r="A1401" s="98"/>
      <c r="B1401" s="99"/>
      <c r="C1401" s="100"/>
      <c r="D1401" s="101"/>
      <c r="E1401" s="100"/>
      <c r="F1401" s="102"/>
    </row>
    <row r="1402" spans="1:6">
      <c r="A1402" s="103" t="str">
        <f>A1218</f>
        <v>B.7.</v>
      </c>
      <c r="B1402" s="104" t="str">
        <f>CONCATENATE(B1218," ", "UKUPNO:")</f>
        <v>BRAVARSKI RADOVI  UKUPNO:</v>
      </c>
      <c r="D1402" s="73"/>
      <c r="E1402" s="74"/>
      <c r="F1402" s="663">
        <f>SUM(F1224:F1401)</f>
        <v>140355</v>
      </c>
    </row>
    <row r="1403" spans="1:6">
      <c r="A1403" s="103"/>
      <c r="B1403" s="104"/>
      <c r="D1403" s="73"/>
      <c r="E1403" s="74"/>
      <c r="F1403" s="105"/>
    </row>
    <row r="1404" spans="1:6">
      <c r="A1404" s="103"/>
      <c r="B1404" s="104"/>
      <c r="D1404" s="73"/>
      <c r="E1404" s="74"/>
      <c r="F1404" s="105"/>
    </row>
    <row r="1405" spans="1:6">
      <c r="A1405" s="106"/>
      <c r="B1405" s="107"/>
      <c r="C1405" s="72"/>
      <c r="D1405" s="73"/>
      <c r="E1405" s="74"/>
      <c r="F1405" s="108"/>
    </row>
    <row r="1406" spans="1:6">
      <c r="A1406" s="70"/>
      <c r="B1406" s="71"/>
      <c r="C1406" s="72"/>
      <c r="D1406" s="73"/>
      <c r="E1406" s="74"/>
      <c r="F1406" s="75"/>
    </row>
    <row r="1407" spans="1:6">
      <c r="A1407" s="81" t="s">
        <v>4074</v>
      </c>
      <c r="B1407" s="82" t="s">
        <v>822</v>
      </c>
      <c r="C1407" s="83"/>
      <c r="D1407" s="84"/>
      <c r="E1407" s="85"/>
      <c r="F1407" s="86"/>
    </row>
    <row r="1408" spans="1:6">
      <c r="A1408" s="70"/>
      <c r="B1408" s="71"/>
      <c r="C1408" s="72"/>
      <c r="D1408" s="73"/>
      <c r="E1408" s="74"/>
      <c r="F1408" s="75"/>
    </row>
    <row r="1409" spans="1:18">
      <c r="A1409" s="87" t="s">
        <v>667</v>
      </c>
      <c r="B1409" s="88" t="s">
        <v>823</v>
      </c>
      <c r="C1409" s="72"/>
      <c r="D1409" s="92"/>
      <c r="E1409" s="74"/>
      <c r="F1409" s="75"/>
    </row>
    <row r="1410" spans="1:18" ht="96.6">
      <c r="A1410" s="89" t="s">
        <v>4075</v>
      </c>
      <c r="B1410" s="362" t="s">
        <v>3506</v>
      </c>
      <c r="C1410" s="91"/>
      <c r="D1410" s="73"/>
      <c r="E1410" s="74"/>
      <c r="F1410" s="94"/>
    </row>
    <row r="1411" spans="1:18" ht="96.6">
      <c r="A1411" s="76" t="s">
        <v>665</v>
      </c>
      <c r="B1411" s="90" t="s">
        <v>824</v>
      </c>
      <c r="C1411" s="78"/>
      <c r="D1411" s="73"/>
      <c r="E1411" s="74"/>
      <c r="F1411" s="79"/>
    </row>
    <row r="1412" spans="1:18" ht="82.8">
      <c r="A1412" s="76" t="s">
        <v>665</v>
      </c>
      <c r="B1412" s="90" t="s">
        <v>1801</v>
      </c>
      <c r="C1412" s="78"/>
      <c r="D1412" s="73"/>
      <c r="E1412" s="74"/>
      <c r="F1412" s="79"/>
    </row>
    <row r="1413" spans="1:18" ht="124.2">
      <c r="A1413" s="76" t="s">
        <v>665</v>
      </c>
      <c r="B1413" s="90" t="s">
        <v>3505</v>
      </c>
      <c r="C1413" s="78"/>
      <c r="D1413" s="73"/>
      <c r="E1413" s="74"/>
      <c r="F1413" s="79"/>
    </row>
    <row r="1414" spans="1:18" ht="124.2">
      <c r="A1414" s="76" t="s">
        <v>665</v>
      </c>
      <c r="B1414" s="90" t="s">
        <v>825</v>
      </c>
      <c r="C1414" s="78"/>
      <c r="D1414" s="73"/>
      <c r="E1414" s="74"/>
      <c r="F1414" s="79"/>
    </row>
    <row r="1415" spans="1:18" ht="27.6">
      <c r="A1415" s="76" t="s">
        <v>665</v>
      </c>
      <c r="B1415" s="90" t="s">
        <v>826</v>
      </c>
      <c r="C1415" s="78"/>
      <c r="D1415" s="73"/>
      <c r="E1415" s="74"/>
      <c r="F1415" s="79"/>
    </row>
    <row r="1416" spans="1:18" ht="69">
      <c r="A1416" s="76"/>
      <c r="B1416" s="71" t="s">
        <v>4977</v>
      </c>
      <c r="C1416" s="78"/>
      <c r="D1416" s="73"/>
      <c r="E1416" s="74"/>
      <c r="F1416" s="79"/>
    </row>
    <row r="1417" spans="1:18" ht="82.8">
      <c r="A1417" s="76" t="s">
        <v>665</v>
      </c>
      <c r="B1417" s="90" t="s">
        <v>5294</v>
      </c>
      <c r="C1417" s="78"/>
      <c r="D1417" s="73"/>
      <c r="E1417" s="74"/>
      <c r="F1417" s="79"/>
    </row>
    <row r="1418" spans="1:18" ht="69">
      <c r="A1418" s="76" t="s">
        <v>665</v>
      </c>
      <c r="B1418" s="90" t="s">
        <v>5295</v>
      </c>
      <c r="C1418" s="78"/>
      <c r="D1418" s="73"/>
      <c r="E1418" s="74"/>
      <c r="F1418" s="79"/>
    </row>
    <row r="1419" spans="1:18" ht="41.4">
      <c r="A1419" s="89"/>
      <c r="B1419" s="90" t="s">
        <v>827</v>
      </c>
      <c r="C1419" s="91"/>
      <c r="D1419" s="73"/>
      <c r="E1419" s="74"/>
      <c r="F1419" s="93"/>
      <c r="H1419" s="116"/>
    </row>
    <row r="1420" spans="1:18" ht="41.4">
      <c r="A1420" s="89" t="s">
        <v>48</v>
      </c>
      <c r="B1420" s="90" t="s">
        <v>828</v>
      </c>
      <c r="C1420" s="91" t="s">
        <v>675</v>
      </c>
      <c r="D1420" s="73">
        <v>3555</v>
      </c>
      <c r="E1420" s="74">
        <v>10</v>
      </c>
      <c r="F1420" s="93">
        <f>IF(OR(OR(E1420=0,E1420=" "),OR(D1420=0,D1420=" "))," ",D1420*E1420)</f>
        <v>35550</v>
      </c>
      <c r="G1420" s="73"/>
      <c r="H1420" s="73"/>
      <c r="I1420" s="645"/>
      <c r="K1420" s="366"/>
      <c r="M1420" s="60"/>
      <c r="N1420" s="62"/>
      <c r="O1420" s="62"/>
      <c r="P1420" s="62"/>
      <c r="Q1420" s="62"/>
      <c r="R1420" s="366"/>
    </row>
    <row r="1421" spans="1:18" ht="27.6">
      <c r="A1421" s="89" t="s">
        <v>49</v>
      </c>
      <c r="B1421" s="90" t="s">
        <v>1856</v>
      </c>
      <c r="C1421" s="91" t="s">
        <v>675</v>
      </c>
      <c r="D1421" s="73">
        <v>6</v>
      </c>
      <c r="E1421" s="74">
        <v>10</v>
      </c>
      <c r="F1421" s="93">
        <f>IF(OR(OR(E1421=0,E1421=" "),OR(D1421=0,D1421=" "))," ",D1421*E1421)</f>
        <v>60</v>
      </c>
      <c r="G1421" s="73"/>
    </row>
    <row r="1422" spans="1:18" ht="41.4">
      <c r="A1422" s="89" t="s">
        <v>51</v>
      </c>
      <c r="B1422" s="90" t="s">
        <v>829</v>
      </c>
      <c r="C1422" s="91" t="s">
        <v>675</v>
      </c>
      <c r="D1422" s="73">
        <v>93</v>
      </c>
      <c r="E1422" s="74">
        <v>11</v>
      </c>
      <c r="F1422" s="93">
        <f>IF(OR(OR(E1422=0,E1422=" "),OR(D1422=0,D1422=" "))," ",D1422*E1422)</f>
        <v>1023</v>
      </c>
      <c r="G1422" s="73"/>
      <c r="H1422" s="73"/>
      <c r="I1422" s="73"/>
      <c r="J1422" s="73"/>
      <c r="K1422" s="73"/>
    </row>
    <row r="1423" spans="1:18" ht="41.4">
      <c r="A1423" s="89" t="s">
        <v>53</v>
      </c>
      <c r="B1423" s="90" t="s">
        <v>830</v>
      </c>
      <c r="C1423" s="91" t="s">
        <v>675</v>
      </c>
      <c r="D1423" s="73">
        <v>1339</v>
      </c>
      <c r="E1423" s="74">
        <v>9</v>
      </c>
      <c r="F1423" s="93">
        <f>IF(OR(OR(E1423=0,E1423=" "),OR(D1423=0,D1423=" "))," ",D1423*E1423)</f>
        <v>12051</v>
      </c>
      <c r="G1423" s="73"/>
    </row>
    <row r="1424" spans="1:18">
      <c r="A1424" s="98"/>
      <c r="B1424" s="99"/>
      <c r="C1424" s="100"/>
      <c r="D1424" s="101"/>
      <c r="E1424" s="100"/>
      <c r="F1424" s="102"/>
      <c r="H1424" s="73"/>
      <c r="I1424" s="388"/>
    </row>
    <row r="1425" spans="1:6">
      <c r="A1425" s="103" t="str">
        <f>A1407</f>
        <v>B.8.</v>
      </c>
      <c r="B1425" s="104" t="str">
        <f>CONCATENATE(B1407," ", "UKUPNO:")</f>
        <v>SOBOSLIKARSKI RADOVI UKUPNO:</v>
      </c>
      <c r="D1425" s="73"/>
      <c r="E1425" s="74"/>
      <c r="F1425" s="663">
        <f>SUM(F1410:F1424)</f>
        <v>48684</v>
      </c>
    </row>
    <row r="1426" spans="1:6">
      <c r="A1426" s="106"/>
      <c r="B1426" s="107"/>
      <c r="C1426" s="72"/>
      <c r="D1426" s="73"/>
      <c r="E1426" s="74"/>
      <c r="F1426" s="108"/>
    </row>
    <row r="1427" spans="1:6">
      <c r="A1427" s="70"/>
      <c r="B1427" s="71"/>
      <c r="C1427" s="72"/>
      <c r="D1427" s="73"/>
      <c r="E1427" s="74"/>
      <c r="F1427" s="75"/>
    </row>
    <row r="1428" spans="1:6">
      <c r="A1428" s="81" t="s">
        <v>1141</v>
      </c>
      <c r="B1428" s="82" t="s">
        <v>531</v>
      </c>
      <c r="C1428" s="83"/>
      <c r="D1428" s="84"/>
      <c r="E1428" s="85"/>
      <c r="F1428" s="86"/>
    </row>
    <row r="1429" spans="1:6">
      <c r="A1429" s="70"/>
      <c r="B1429" s="71"/>
      <c r="C1429" s="72"/>
      <c r="D1429" s="73"/>
      <c r="E1429" s="74"/>
      <c r="F1429" s="75"/>
    </row>
    <row r="1430" spans="1:6" ht="110.4">
      <c r="A1430" s="76" t="s">
        <v>665</v>
      </c>
      <c r="B1430" s="96" t="s">
        <v>831</v>
      </c>
      <c r="C1430" s="78"/>
      <c r="D1430" s="73"/>
      <c r="E1430" s="74"/>
      <c r="F1430" s="79"/>
    </row>
    <row r="1431" spans="1:6">
      <c r="A1431" s="70"/>
      <c r="B1431" s="71"/>
      <c r="C1431" s="72"/>
      <c r="D1431" s="73"/>
      <c r="E1431" s="74"/>
      <c r="F1431" s="75"/>
    </row>
    <row r="1432" spans="1:6">
      <c r="A1432" s="87" t="s">
        <v>667</v>
      </c>
      <c r="B1432" s="88" t="s">
        <v>832</v>
      </c>
      <c r="C1432" s="72"/>
      <c r="D1432" s="92"/>
      <c r="E1432" s="74"/>
      <c r="F1432" s="75"/>
    </row>
    <row r="1433" spans="1:6" ht="55.2">
      <c r="A1433" s="89" t="s">
        <v>1142</v>
      </c>
      <c r="B1433" s="369" t="s">
        <v>1828</v>
      </c>
      <c r="C1433" s="72"/>
      <c r="D1433" s="92"/>
      <c r="E1433" s="74"/>
      <c r="F1433" s="75"/>
    </row>
    <row r="1434" spans="1:6" ht="151.80000000000001">
      <c r="A1434" s="89"/>
      <c r="B1434" s="390" t="s">
        <v>1814</v>
      </c>
      <c r="C1434" s="72"/>
      <c r="D1434" s="92"/>
      <c r="E1434" s="74"/>
      <c r="F1434" s="75"/>
    </row>
    <row r="1435" spans="1:6">
      <c r="A1435" s="389" t="s">
        <v>665</v>
      </c>
      <c r="B1435" s="95" t="s">
        <v>1804</v>
      </c>
      <c r="C1435" s="72"/>
      <c r="D1435" s="92"/>
      <c r="E1435" s="74"/>
      <c r="F1435" s="75"/>
    </row>
    <row r="1436" spans="1:6">
      <c r="A1436" s="389"/>
      <c r="B1436" s="95" t="s">
        <v>4978</v>
      </c>
      <c r="C1436" s="72"/>
      <c r="D1436" s="92"/>
      <c r="E1436" s="74"/>
      <c r="F1436" s="75"/>
    </row>
    <row r="1437" spans="1:6">
      <c r="A1437" s="389"/>
      <c r="B1437" s="95" t="s">
        <v>1827</v>
      </c>
      <c r="C1437" s="72"/>
      <c r="D1437" s="92"/>
      <c r="E1437" s="74"/>
      <c r="F1437" s="75"/>
    </row>
    <row r="1438" spans="1:6">
      <c r="A1438" s="389"/>
      <c r="B1438" s="95" t="s">
        <v>1815</v>
      </c>
      <c r="C1438" s="72"/>
      <c r="D1438" s="92"/>
      <c r="E1438" s="74"/>
      <c r="F1438" s="75"/>
    </row>
    <row r="1439" spans="1:6">
      <c r="A1439" s="389"/>
      <c r="B1439" s="95" t="s">
        <v>1806</v>
      </c>
      <c r="C1439" s="72"/>
      <c r="D1439" s="92"/>
      <c r="E1439" s="74"/>
      <c r="F1439" s="75"/>
    </row>
    <row r="1440" spans="1:6">
      <c r="A1440" s="389"/>
      <c r="B1440" s="95" t="s">
        <v>1807</v>
      </c>
      <c r="C1440" s="72"/>
      <c r="D1440" s="92"/>
      <c r="E1440" s="74"/>
      <c r="F1440" s="75"/>
    </row>
    <row r="1441" spans="1:6">
      <c r="A1441" s="389"/>
      <c r="B1441" s="95" t="s">
        <v>1808</v>
      </c>
      <c r="C1441" s="72"/>
      <c r="D1441" s="92"/>
      <c r="E1441" s="74"/>
      <c r="F1441" s="75"/>
    </row>
    <row r="1442" spans="1:6" ht="41.4">
      <c r="A1442" s="389"/>
      <c r="B1442" s="95" t="s">
        <v>1816</v>
      </c>
      <c r="C1442" s="72"/>
      <c r="D1442" s="92"/>
      <c r="E1442" s="74"/>
      <c r="F1442" s="75"/>
    </row>
    <row r="1443" spans="1:6">
      <c r="A1443" s="389"/>
      <c r="B1443" s="95" t="s">
        <v>1817</v>
      </c>
      <c r="C1443" s="72"/>
      <c r="D1443" s="92"/>
      <c r="E1443" s="74"/>
      <c r="F1443" s="75"/>
    </row>
    <row r="1444" spans="1:6">
      <c r="A1444" s="389"/>
      <c r="B1444" s="95" t="s">
        <v>1818</v>
      </c>
      <c r="C1444" s="72"/>
      <c r="D1444" s="92"/>
      <c r="E1444" s="74"/>
      <c r="F1444" s="75"/>
    </row>
    <row r="1445" spans="1:6">
      <c r="A1445" s="389"/>
      <c r="B1445" s="95" t="s">
        <v>1819</v>
      </c>
      <c r="C1445" s="72"/>
      <c r="D1445" s="92"/>
      <c r="E1445" s="74"/>
      <c r="F1445" s="75"/>
    </row>
    <row r="1446" spans="1:6" ht="55.2">
      <c r="A1446" s="389"/>
      <c r="B1446" s="95" t="s">
        <v>4944</v>
      </c>
      <c r="C1446" s="72"/>
      <c r="D1446" s="92"/>
      <c r="E1446" s="74"/>
      <c r="F1446" s="75"/>
    </row>
    <row r="1447" spans="1:6" ht="124.2">
      <c r="A1447" s="389"/>
      <c r="B1447" s="95" t="s">
        <v>4989</v>
      </c>
      <c r="C1447" s="72"/>
      <c r="D1447" s="92"/>
      <c r="E1447" s="74"/>
      <c r="F1447" s="75"/>
    </row>
    <row r="1448" spans="1:6" ht="55.2">
      <c r="A1448" s="389" t="s">
        <v>665</v>
      </c>
      <c r="B1448" s="95" t="s">
        <v>5296</v>
      </c>
      <c r="C1448" s="72"/>
      <c r="D1448" s="92"/>
      <c r="E1448" s="74"/>
      <c r="F1448" s="75"/>
    </row>
    <row r="1449" spans="1:6" ht="96.6">
      <c r="A1449" s="389" t="s">
        <v>665</v>
      </c>
      <c r="B1449" s="95" t="s">
        <v>5297</v>
      </c>
      <c r="C1449" s="72"/>
      <c r="D1449" s="92"/>
      <c r="E1449" s="74"/>
      <c r="F1449" s="75"/>
    </row>
    <row r="1450" spans="1:6">
      <c r="A1450" s="389" t="s">
        <v>665</v>
      </c>
      <c r="B1450" s="95" t="s">
        <v>1809</v>
      </c>
      <c r="C1450" s="72"/>
      <c r="D1450" s="92"/>
      <c r="E1450" s="74"/>
      <c r="F1450" s="75"/>
    </row>
    <row r="1451" spans="1:6" ht="27.6">
      <c r="A1451" s="389"/>
      <c r="B1451" s="95" t="s">
        <v>1810</v>
      </c>
      <c r="C1451" s="72"/>
      <c r="D1451" s="92"/>
      <c r="E1451" s="74"/>
      <c r="F1451" s="75"/>
    </row>
    <row r="1452" spans="1:6" ht="124.2">
      <c r="A1452" s="389"/>
      <c r="B1452" s="95" t="s">
        <v>5715</v>
      </c>
      <c r="C1452" s="72"/>
      <c r="D1452" s="92"/>
      <c r="E1452" s="74"/>
      <c r="F1452" s="75"/>
    </row>
    <row r="1453" spans="1:6" ht="110.4">
      <c r="A1453" s="389"/>
      <c r="B1453" s="95" t="s">
        <v>5298</v>
      </c>
      <c r="C1453" s="72"/>
      <c r="D1453" s="92"/>
      <c r="E1453" s="74"/>
      <c r="F1453" s="75"/>
    </row>
    <row r="1454" spans="1:6" ht="27.6">
      <c r="A1454" s="389" t="s">
        <v>665</v>
      </c>
      <c r="B1454" s="95" t="s">
        <v>755</v>
      </c>
      <c r="C1454" s="72"/>
      <c r="D1454" s="92"/>
      <c r="E1454" s="74"/>
      <c r="F1454" s="75"/>
    </row>
    <row r="1455" spans="1:6">
      <c r="A1455" s="389" t="s">
        <v>665</v>
      </c>
      <c r="B1455" s="95" t="s">
        <v>1811</v>
      </c>
      <c r="C1455" s="72"/>
      <c r="D1455" s="92"/>
      <c r="E1455" s="74"/>
      <c r="F1455" s="75"/>
    </row>
    <row r="1456" spans="1:6" ht="55.2">
      <c r="A1456" s="389" t="s">
        <v>665</v>
      </c>
      <c r="B1456" s="95" t="s">
        <v>1812</v>
      </c>
      <c r="C1456" s="72"/>
      <c r="D1456" s="92"/>
      <c r="E1456" s="74"/>
      <c r="F1456" s="75"/>
    </row>
    <row r="1457" spans="1:7">
      <c r="A1457" s="389" t="s">
        <v>665</v>
      </c>
      <c r="B1457" s="95" t="s">
        <v>1813</v>
      </c>
      <c r="C1457" s="72"/>
      <c r="D1457" s="92"/>
      <c r="E1457" s="74"/>
      <c r="F1457" s="75"/>
    </row>
    <row r="1458" spans="1:7" ht="55.2">
      <c r="A1458" s="89" t="s">
        <v>48</v>
      </c>
      <c r="B1458" s="90" t="s">
        <v>5048</v>
      </c>
      <c r="C1458" s="91" t="s">
        <v>675</v>
      </c>
      <c r="D1458" s="73">
        <v>109</v>
      </c>
      <c r="E1458" s="74">
        <v>25</v>
      </c>
      <c r="F1458" s="93">
        <f>IF(OR(OR(E1458=0,E1458=" "),OR(D1458=0,D1458=" "))," ",D1458*E1458)</f>
        <v>2725</v>
      </c>
    </row>
    <row r="1459" spans="1:7" ht="41.4">
      <c r="A1459" s="89" t="s">
        <v>49</v>
      </c>
      <c r="B1459" s="90" t="s">
        <v>4946</v>
      </c>
      <c r="C1459" s="91" t="s">
        <v>675</v>
      </c>
      <c r="D1459" s="73">
        <v>64</v>
      </c>
      <c r="E1459" s="74">
        <v>25</v>
      </c>
      <c r="F1459" s="93">
        <f>IF(OR(OR(E1459=0,E1459=" "),OR(D1459=0,D1459=" "))," ",D1459*E1459)</f>
        <v>1600</v>
      </c>
    </row>
    <row r="1460" spans="1:7" ht="41.4">
      <c r="A1460" s="89" t="s">
        <v>51</v>
      </c>
      <c r="B1460" s="90" t="s">
        <v>4945</v>
      </c>
      <c r="C1460" s="91" t="s">
        <v>675</v>
      </c>
      <c r="D1460" s="73">
        <v>175</v>
      </c>
      <c r="E1460" s="74">
        <v>25</v>
      </c>
      <c r="F1460" s="93">
        <f>IF(OR(OR(E1460=0,E1460=" "),OR(D1460=0,D1460=" "))," ",D1460*E1460)</f>
        <v>4375</v>
      </c>
    </row>
    <row r="1461" spans="1:7" ht="41.4">
      <c r="A1461" s="89" t="s">
        <v>53</v>
      </c>
      <c r="B1461" s="90" t="s">
        <v>833</v>
      </c>
      <c r="C1461" s="91" t="s">
        <v>675</v>
      </c>
      <c r="D1461" s="73">
        <v>348</v>
      </c>
      <c r="E1461" s="74">
        <v>30</v>
      </c>
      <c r="F1461" s="93">
        <f>IF(OR(OR(E1461=0,E1461=" "),OR(D1461=0,D1461=" "))," ",D1461*E1461)</f>
        <v>10440</v>
      </c>
      <c r="G1461" s="73"/>
    </row>
    <row r="1462" spans="1:7">
      <c r="A1462" s="87"/>
      <c r="B1462" s="88"/>
      <c r="C1462" s="72"/>
      <c r="D1462" s="92"/>
      <c r="E1462" s="74"/>
      <c r="F1462" s="75"/>
    </row>
    <row r="1463" spans="1:7">
      <c r="A1463" s="87" t="s">
        <v>667</v>
      </c>
      <c r="B1463" s="88" t="s">
        <v>834</v>
      </c>
      <c r="C1463" s="72"/>
      <c r="D1463" s="92"/>
      <c r="E1463" s="74"/>
      <c r="F1463" s="75"/>
    </row>
    <row r="1464" spans="1:7" ht="55.2">
      <c r="A1464" s="89" t="s">
        <v>4076</v>
      </c>
      <c r="B1464" s="369" t="s">
        <v>1826</v>
      </c>
      <c r="C1464" s="72"/>
      <c r="D1464" s="92"/>
      <c r="E1464" s="74"/>
      <c r="F1464" s="75"/>
    </row>
    <row r="1465" spans="1:7" ht="151.80000000000001">
      <c r="A1465" s="89"/>
      <c r="B1465" s="390" t="s">
        <v>1814</v>
      </c>
      <c r="C1465" s="72"/>
      <c r="D1465" s="92"/>
      <c r="E1465" s="74"/>
      <c r="F1465" s="75"/>
    </row>
    <row r="1466" spans="1:7">
      <c r="A1466" s="391" t="s">
        <v>665</v>
      </c>
      <c r="B1466" s="95" t="s">
        <v>1804</v>
      </c>
      <c r="C1466" s="72"/>
      <c r="D1466" s="92"/>
      <c r="E1466" s="74"/>
      <c r="F1466" s="75"/>
    </row>
    <row r="1467" spans="1:7">
      <c r="A1467" s="391"/>
      <c r="B1467" s="95" t="s">
        <v>1820</v>
      </c>
      <c r="C1467" s="72"/>
      <c r="D1467" s="92"/>
      <c r="E1467" s="74"/>
      <c r="F1467" s="75"/>
    </row>
    <row r="1468" spans="1:7">
      <c r="A1468" s="391"/>
      <c r="B1468" s="95" t="s">
        <v>1825</v>
      </c>
      <c r="C1468" s="72"/>
      <c r="D1468" s="92"/>
      <c r="E1468" s="74"/>
      <c r="F1468" s="75"/>
    </row>
    <row r="1469" spans="1:7">
      <c r="A1469" s="391"/>
      <c r="B1469" s="95" t="s">
        <v>1805</v>
      </c>
      <c r="C1469" s="72"/>
      <c r="D1469" s="92"/>
      <c r="E1469" s="74"/>
      <c r="F1469" s="75"/>
    </row>
    <row r="1470" spans="1:7">
      <c r="A1470" s="391"/>
      <c r="B1470" s="95" t="s">
        <v>1806</v>
      </c>
      <c r="C1470" s="72"/>
      <c r="D1470" s="92"/>
      <c r="E1470" s="74"/>
      <c r="F1470" s="75"/>
    </row>
    <row r="1471" spans="1:7">
      <c r="A1471" s="391"/>
      <c r="B1471" s="95" t="s">
        <v>1807</v>
      </c>
      <c r="C1471" s="72"/>
      <c r="D1471" s="92"/>
      <c r="E1471" s="74"/>
      <c r="F1471" s="75"/>
    </row>
    <row r="1472" spans="1:7">
      <c r="A1472" s="391"/>
      <c r="B1472" s="95" t="s">
        <v>1808</v>
      </c>
      <c r="C1472" s="72"/>
      <c r="D1472" s="92"/>
      <c r="E1472" s="74"/>
      <c r="F1472" s="75"/>
    </row>
    <row r="1473" spans="1:6">
      <c r="A1473" s="391"/>
      <c r="B1473" s="95" t="s">
        <v>1817</v>
      </c>
      <c r="C1473" s="72"/>
      <c r="D1473" s="92"/>
      <c r="E1473" s="74"/>
      <c r="F1473" s="75"/>
    </row>
    <row r="1474" spans="1:6">
      <c r="A1474" s="391"/>
      <c r="B1474" s="95" t="s">
        <v>1818</v>
      </c>
      <c r="C1474" s="72"/>
      <c r="D1474" s="92"/>
      <c r="E1474" s="74"/>
      <c r="F1474" s="75"/>
    </row>
    <row r="1475" spans="1:6">
      <c r="A1475" s="391"/>
      <c r="B1475" s="95" t="s">
        <v>1819</v>
      </c>
      <c r="C1475" s="72"/>
      <c r="D1475" s="92"/>
      <c r="E1475" s="74"/>
      <c r="F1475" s="75"/>
    </row>
    <row r="1476" spans="1:6" ht="55.2">
      <c r="A1476" s="391"/>
      <c r="B1476" s="95" t="s">
        <v>4944</v>
      </c>
      <c r="C1476" s="72"/>
      <c r="D1476" s="92"/>
      <c r="E1476" s="74"/>
      <c r="F1476" s="75"/>
    </row>
    <row r="1477" spans="1:6" ht="124.2">
      <c r="A1477" s="391"/>
      <c r="B1477" s="95" t="s">
        <v>4988</v>
      </c>
      <c r="C1477" s="72"/>
      <c r="D1477" s="92"/>
      <c r="E1477" s="74"/>
      <c r="F1477" s="75"/>
    </row>
    <row r="1478" spans="1:6" ht="55.2">
      <c r="A1478" s="391" t="s">
        <v>665</v>
      </c>
      <c r="B1478" s="95" t="s">
        <v>3212</v>
      </c>
      <c r="C1478" s="72"/>
      <c r="D1478" s="92"/>
      <c r="E1478" s="74"/>
      <c r="F1478" s="75"/>
    </row>
    <row r="1479" spans="1:6" ht="55.2">
      <c r="A1479" s="391" t="s">
        <v>665</v>
      </c>
      <c r="B1479" s="95" t="s">
        <v>5296</v>
      </c>
      <c r="C1479" s="72"/>
      <c r="D1479" s="92"/>
      <c r="E1479" s="74"/>
      <c r="F1479" s="75"/>
    </row>
    <row r="1480" spans="1:6" ht="96.6">
      <c r="A1480" s="391" t="s">
        <v>665</v>
      </c>
      <c r="B1480" s="95" t="s">
        <v>5297</v>
      </c>
      <c r="C1480" s="72"/>
      <c r="D1480" s="92"/>
      <c r="E1480" s="74"/>
      <c r="F1480" s="75"/>
    </row>
    <row r="1481" spans="1:6">
      <c r="A1481" s="391" t="s">
        <v>665</v>
      </c>
      <c r="B1481" s="95" t="s">
        <v>1809</v>
      </c>
      <c r="C1481" s="72"/>
      <c r="D1481" s="92"/>
      <c r="E1481" s="74"/>
      <c r="F1481" s="75"/>
    </row>
    <row r="1482" spans="1:6" ht="27.6">
      <c r="A1482" s="391"/>
      <c r="B1482" s="95" t="s">
        <v>1810</v>
      </c>
      <c r="C1482" s="72"/>
      <c r="D1482" s="92"/>
      <c r="E1482" s="74"/>
      <c r="F1482" s="75"/>
    </row>
    <row r="1483" spans="1:6" ht="124.2">
      <c r="A1483" s="391"/>
      <c r="B1483" s="95" t="s">
        <v>5715</v>
      </c>
      <c r="C1483" s="72"/>
      <c r="D1483" s="92"/>
      <c r="E1483" s="74"/>
      <c r="F1483" s="75"/>
    </row>
    <row r="1484" spans="1:6" ht="110.4">
      <c r="A1484" s="391"/>
      <c r="B1484" s="95" t="s">
        <v>5298</v>
      </c>
      <c r="C1484" s="72"/>
      <c r="D1484" s="92"/>
      <c r="E1484" s="74"/>
      <c r="F1484" s="75"/>
    </row>
    <row r="1485" spans="1:6" ht="27.6">
      <c r="A1485" s="391" t="s">
        <v>665</v>
      </c>
      <c r="B1485" s="95" t="s">
        <v>755</v>
      </c>
      <c r="C1485" s="72"/>
      <c r="D1485" s="92"/>
      <c r="E1485" s="74"/>
      <c r="F1485" s="75"/>
    </row>
    <row r="1486" spans="1:6">
      <c r="A1486" s="391" t="s">
        <v>665</v>
      </c>
      <c r="B1486" s="95" t="s">
        <v>1811</v>
      </c>
      <c r="C1486" s="72"/>
      <c r="D1486" s="92"/>
      <c r="E1486" s="74"/>
      <c r="F1486" s="75"/>
    </row>
    <row r="1487" spans="1:6" ht="55.2">
      <c r="A1487" s="391" t="s">
        <v>665</v>
      </c>
      <c r="B1487" s="95" t="s">
        <v>1812</v>
      </c>
      <c r="C1487" s="72"/>
      <c r="D1487" s="92"/>
      <c r="E1487" s="74"/>
      <c r="F1487" s="75"/>
    </row>
    <row r="1488" spans="1:6">
      <c r="A1488" s="391" t="s">
        <v>665</v>
      </c>
      <c r="B1488" s="95" t="s">
        <v>1813</v>
      </c>
      <c r="C1488" s="72"/>
      <c r="D1488" s="92"/>
      <c r="E1488" s="74"/>
      <c r="F1488" s="75"/>
    </row>
    <row r="1489" spans="1:11" ht="41.4">
      <c r="A1489" s="89" t="s">
        <v>48</v>
      </c>
      <c r="B1489" s="90" t="s">
        <v>5047</v>
      </c>
      <c r="C1489" s="91" t="s">
        <v>675</v>
      </c>
      <c r="D1489" s="73">
        <v>193</v>
      </c>
      <c r="E1489" s="74">
        <v>25</v>
      </c>
      <c r="F1489" s="93">
        <f>IF(OR(OR(E1489=0,E1489=" "),OR(D1489=0,D1489=" "))," ",D1489*E1489)</f>
        <v>4825</v>
      </c>
    </row>
    <row r="1490" spans="1:11" ht="55.2">
      <c r="A1490" s="89" t="s">
        <v>49</v>
      </c>
      <c r="B1490" s="90" t="s">
        <v>3507</v>
      </c>
      <c r="C1490" s="91" t="s">
        <v>675</v>
      </c>
      <c r="D1490" s="73">
        <v>52</v>
      </c>
      <c r="E1490" s="74">
        <v>25</v>
      </c>
      <c r="F1490" s="93">
        <f>IF(OR(OR(E1490=0,E1490=" "),OR(D1490=0,D1490=" "))," ",D1490*E1490)</f>
        <v>1300</v>
      </c>
    </row>
    <row r="1491" spans="1:11" ht="55.2">
      <c r="A1491" s="89" t="s">
        <v>51</v>
      </c>
      <c r="B1491" s="90" t="s">
        <v>3213</v>
      </c>
      <c r="C1491" s="91" t="s">
        <v>675</v>
      </c>
      <c r="D1491" s="73">
        <v>261</v>
      </c>
      <c r="E1491" s="74">
        <v>25</v>
      </c>
      <c r="F1491" s="93">
        <f>IF(OR(OR(E1491=0,E1491=" "),OR(D1491=0,D1491=" "))," ",D1491*E1491)</f>
        <v>6525</v>
      </c>
    </row>
    <row r="1492" spans="1:11" ht="41.4">
      <c r="A1492" s="89" t="s">
        <v>53</v>
      </c>
      <c r="B1492" s="90" t="s">
        <v>1821</v>
      </c>
      <c r="C1492" s="91" t="s">
        <v>675</v>
      </c>
      <c r="D1492" s="73">
        <v>506</v>
      </c>
      <c r="E1492" s="74">
        <v>30</v>
      </c>
      <c r="F1492" s="93">
        <f>IF(OR(OR(E1492=0,E1492=" "),OR(D1492=0,D1492=" "))," ",D1492*E1492)</f>
        <v>15180</v>
      </c>
      <c r="G1492" s="73"/>
      <c r="K1492" s="366"/>
    </row>
    <row r="1493" spans="1:11">
      <c r="A1493" s="89"/>
      <c r="B1493" s="90"/>
      <c r="C1493" s="91"/>
      <c r="D1493" s="73"/>
      <c r="E1493" s="74"/>
      <c r="F1493" s="93"/>
    </row>
    <row r="1494" spans="1:11">
      <c r="A1494" s="87" t="s">
        <v>667</v>
      </c>
      <c r="B1494" s="88" t="s">
        <v>1822</v>
      </c>
      <c r="C1494" s="72"/>
      <c r="D1494" s="92"/>
      <c r="E1494" s="74"/>
      <c r="F1494" s="75"/>
    </row>
    <row r="1495" spans="1:11" ht="41.4">
      <c r="A1495" s="89" t="s">
        <v>4077</v>
      </c>
      <c r="B1495" s="369" t="s">
        <v>4100</v>
      </c>
      <c r="C1495" s="72"/>
      <c r="D1495" s="92"/>
      <c r="E1495" s="74"/>
      <c r="F1495" s="75"/>
    </row>
    <row r="1496" spans="1:11" ht="151.80000000000001">
      <c r="A1496" s="89"/>
      <c r="B1496" s="369" t="s">
        <v>1814</v>
      </c>
      <c r="C1496" s="72"/>
      <c r="D1496" s="92"/>
      <c r="E1496" s="74"/>
      <c r="F1496" s="75"/>
    </row>
    <row r="1497" spans="1:11" ht="27.6">
      <c r="A1497" s="89"/>
      <c r="B1497" s="369" t="s">
        <v>4098</v>
      </c>
      <c r="C1497" s="72"/>
      <c r="D1497" s="92"/>
      <c r="E1497" s="74"/>
      <c r="F1497" s="75"/>
    </row>
    <row r="1498" spans="1:11" ht="27.6">
      <c r="A1498" s="89"/>
      <c r="B1498" s="369" t="s">
        <v>4099</v>
      </c>
      <c r="C1498" s="72"/>
      <c r="D1498" s="92"/>
      <c r="E1498" s="74"/>
      <c r="F1498" s="75"/>
    </row>
    <row r="1499" spans="1:11" ht="27.6">
      <c r="A1499" s="89"/>
      <c r="B1499" s="95" t="s">
        <v>755</v>
      </c>
      <c r="C1499" s="72"/>
      <c r="D1499" s="92"/>
      <c r="E1499" s="74"/>
      <c r="F1499" s="75"/>
    </row>
    <row r="1500" spans="1:11" ht="55.2">
      <c r="A1500" s="89"/>
      <c r="B1500" s="95" t="s">
        <v>1812</v>
      </c>
      <c r="C1500" s="72"/>
      <c r="D1500" s="92"/>
      <c r="E1500" s="74"/>
      <c r="F1500" s="75"/>
    </row>
    <row r="1501" spans="1:11">
      <c r="A1501" s="89"/>
      <c r="B1501" s="95" t="s">
        <v>1823</v>
      </c>
      <c r="C1501" s="72"/>
      <c r="D1501" s="92"/>
      <c r="E1501" s="74"/>
      <c r="F1501" s="75"/>
    </row>
    <row r="1502" spans="1:11">
      <c r="A1502" s="89" t="s">
        <v>48</v>
      </c>
      <c r="B1502" s="95" t="s">
        <v>1824</v>
      </c>
      <c r="C1502" s="91" t="s">
        <v>697</v>
      </c>
      <c r="D1502" s="73">
        <v>76</v>
      </c>
      <c r="E1502" s="74">
        <v>10</v>
      </c>
      <c r="F1502" s="93">
        <f>IF(OR(OR(E1502=0,E1502=" "),OR(D1502=0,D1502=" "))," ",D1502*E1502)</f>
        <v>760</v>
      </c>
    </row>
    <row r="1503" spans="1:11" ht="27.6">
      <c r="A1503" s="89" t="s">
        <v>49</v>
      </c>
      <c r="B1503" s="95" t="s">
        <v>835</v>
      </c>
      <c r="C1503" s="91" t="s">
        <v>697</v>
      </c>
      <c r="D1503" s="73">
        <v>76</v>
      </c>
      <c r="E1503" s="74">
        <v>10</v>
      </c>
      <c r="F1503" s="93">
        <f>IF(OR(OR(E1503=0,E1503=" "),OR(D1503=0,D1503=" "))," ",D1503*E1503)</f>
        <v>760</v>
      </c>
    </row>
    <row r="1504" spans="1:11">
      <c r="A1504" s="98"/>
      <c r="B1504" s="99"/>
      <c r="C1504" s="100"/>
      <c r="D1504" s="101"/>
      <c r="E1504" s="100"/>
      <c r="F1504" s="102"/>
    </row>
    <row r="1505" spans="1:6">
      <c r="A1505" s="103" t="str">
        <f>A1428</f>
        <v>B.9.</v>
      </c>
      <c r="B1505" s="104" t="str">
        <f>CONCATENATE(B1428," ", "UKUPNO:")</f>
        <v>KERAMIČARSKI RADOVI UKUPNO:</v>
      </c>
      <c r="D1505" s="73"/>
      <c r="E1505" s="74"/>
      <c r="F1505" s="663">
        <f>SUM(F1433:F1504)</f>
        <v>48490</v>
      </c>
    </row>
    <row r="1506" spans="1:6">
      <c r="A1506" s="106"/>
      <c r="B1506" s="107"/>
      <c r="C1506" s="72"/>
      <c r="D1506" s="73"/>
      <c r="E1506" s="74"/>
      <c r="F1506" s="108"/>
    </row>
    <row r="1507" spans="1:6">
      <c r="A1507" s="70"/>
      <c r="B1507" s="71"/>
      <c r="C1507" s="72"/>
      <c r="D1507" s="73"/>
      <c r="E1507" s="74"/>
      <c r="F1507" s="75"/>
    </row>
    <row r="1508" spans="1:6">
      <c r="A1508" s="81" t="s">
        <v>1143</v>
      </c>
      <c r="B1508" s="82" t="s">
        <v>534</v>
      </c>
      <c r="C1508" s="83"/>
      <c r="D1508" s="84"/>
      <c r="E1508" s="85"/>
      <c r="F1508" s="86"/>
    </row>
    <row r="1509" spans="1:6">
      <c r="A1509" s="70"/>
      <c r="B1509" s="71"/>
      <c r="C1509" s="72"/>
      <c r="D1509" s="73"/>
      <c r="E1509" s="74"/>
      <c r="F1509" s="75"/>
    </row>
    <row r="1510" spans="1:6">
      <c r="A1510" s="87" t="s">
        <v>667</v>
      </c>
      <c r="B1510" s="88" t="s">
        <v>836</v>
      </c>
      <c r="C1510" s="72"/>
      <c r="D1510" s="73"/>
      <c r="E1510" s="74"/>
      <c r="F1510" s="75"/>
    </row>
    <row r="1511" spans="1:6" ht="27.6">
      <c r="A1511" s="70" t="s">
        <v>1144</v>
      </c>
      <c r="B1511" s="377" t="s">
        <v>1829</v>
      </c>
      <c r="C1511" s="72"/>
      <c r="D1511" s="73"/>
      <c r="E1511" s="74"/>
      <c r="F1511" s="75"/>
    </row>
    <row r="1512" spans="1:6" ht="55.2">
      <c r="A1512" s="70"/>
      <c r="B1512" s="90" t="s">
        <v>1830</v>
      </c>
      <c r="C1512" s="72"/>
      <c r="D1512" s="73"/>
      <c r="E1512" s="74"/>
      <c r="F1512" s="75"/>
    </row>
    <row r="1513" spans="1:6" ht="55.2">
      <c r="A1513" s="70"/>
      <c r="B1513" s="90" t="s">
        <v>4101</v>
      </c>
      <c r="C1513" s="72"/>
      <c r="D1513" s="73"/>
      <c r="E1513" s="74"/>
      <c r="F1513" s="75"/>
    </row>
    <row r="1514" spans="1:6" ht="41.4">
      <c r="A1514" s="70"/>
      <c r="B1514" s="90" t="s">
        <v>837</v>
      </c>
      <c r="C1514" s="72"/>
      <c r="D1514" s="73"/>
      <c r="E1514" s="74"/>
      <c r="F1514" s="75"/>
    </row>
    <row r="1515" spans="1:6" ht="55.2">
      <c r="A1515" s="70"/>
      <c r="B1515" s="90" t="s">
        <v>4979</v>
      </c>
      <c r="C1515" s="72"/>
      <c r="D1515" s="73"/>
      <c r="E1515" s="74"/>
      <c r="F1515" s="75"/>
    </row>
    <row r="1516" spans="1:6" ht="82.8">
      <c r="A1516" s="70"/>
      <c r="B1516" s="90" t="s">
        <v>1167</v>
      </c>
      <c r="C1516" s="72"/>
      <c r="D1516" s="73"/>
      <c r="E1516" s="74"/>
      <c r="F1516" s="75"/>
    </row>
    <row r="1517" spans="1:6" ht="96.6">
      <c r="A1517" s="70"/>
      <c r="B1517" s="90" t="s">
        <v>1831</v>
      </c>
      <c r="C1517" s="72"/>
      <c r="D1517" s="73"/>
      <c r="E1517" s="74"/>
      <c r="F1517" s="75"/>
    </row>
    <row r="1518" spans="1:6">
      <c r="A1518" s="89" t="s">
        <v>48</v>
      </c>
      <c r="B1518" s="71" t="s">
        <v>3508</v>
      </c>
      <c r="C1518" s="91" t="s">
        <v>649</v>
      </c>
      <c r="D1518" s="92">
        <v>1</v>
      </c>
      <c r="E1518" s="74">
        <v>2000</v>
      </c>
      <c r="F1518" s="93">
        <f>IF(OR(OR(E1518=0,E1518=" "),OR(D1518=0,D1518=" "))," ",D1518*E1518)</f>
        <v>2000</v>
      </c>
    </row>
    <row r="1519" spans="1:6">
      <c r="A1519" s="89" t="s">
        <v>49</v>
      </c>
      <c r="B1519" s="90" t="s">
        <v>3510</v>
      </c>
      <c r="C1519" s="91" t="s">
        <v>649</v>
      </c>
      <c r="D1519" s="92">
        <v>2</v>
      </c>
      <c r="E1519" s="74">
        <v>1000</v>
      </c>
      <c r="F1519" s="93">
        <f>IF(OR(OR(E1519=0,E1519=" "),OR(D1519=0,D1519=" "))," ",D1519*E1519)</f>
        <v>2000</v>
      </c>
    </row>
    <row r="1520" spans="1:6">
      <c r="A1520" s="89" t="s">
        <v>51</v>
      </c>
      <c r="B1520" s="90" t="s">
        <v>3509</v>
      </c>
      <c r="C1520" s="91" t="s">
        <v>649</v>
      </c>
      <c r="D1520" s="92">
        <v>1</v>
      </c>
      <c r="E1520" s="74">
        <v>1000</v>
      </c>
      <c r="F1520" s="93">
        <f>IF(OR(OR(E1520=0,E1520=" "),OR(D1520=0,D1520=" "))," ",D1520*E1520)</f>
        <v>1000</v>
      </c>
    </row>
    <row r="1521" spans="1:6">
      <c r="A1521" s="89" t="s">
        <v>53</v>
      </c>
      <c r="B1521" s="90" t="s">
        <v>838</v>
      </c>
      <c r="C1521" s="91" t="s">
        <v>697</v>
      </c>
      <c r="D1521" s="73">
        <v>25.1</v>
      </c>
      <c r="E1521" s="74">
        <v>40</v>
      </c>
      <c r="F1521" s="93">
        <f>IF(OR(OR(E1521=0,E1521=" "),OR(D1521=0,D1521=" "))," ",D1521*E1521)</f>
        <v>1004</v>
      </c>
    </row>
    <row r="1522" spans="1:6">
      <c r="A1522" s="70"/>
      <c r="B1522" s="71"/>
      <c r="C1522" s="72"/>
      <c r="D1522" s="73"/>
      <c r="E1522" s="74"/>
      <c r="F1522" s="75"/>
    </row>
    <row r="1523" spans="1:6">
      <c r="A1523" s="87" t="s">
        <v>667</v>
      </c>
      <c r="B1523" s="88" t="s">
        <v>842</v>
      </c>
      <c r="C1523" s="72"/>
      <c r="D1523" s="73"/>
      <c r="E1523" s="74"/>
      <c r="F1523" s="75"/>
    </row>
    <row r="1524" spans="1:6" ht="69">
      <c r="A1524" s="70" t="s">
        <v>1145</v>
      </c>
      <c r="B1524" s="361" t="s">
        <v>1832</v>
      </c>
      <c r="C1524" s="72"/>
      <c r="D1524" s="73"/>
      <c r="E1524" s="74"/>
      <c r="F1524" s="75"/>
    </row>
    <row r="1525" spans="1:6" ht="82.8">
      <c r="A1525" s="87"/>
      <c r="B1525" s="90" t="s">
        <v>839</v>
      </c>
      <c r="C1525" s="72"/>
      <c r="D1525" s="73"/>
      <c r="E1525" s="74"/>
      <c r="F1525" s="75"/>
    </row>
    <row r="1526" spans="1:6">
      <c r="A1526" s="89" t="s">
        <v>48</v>
      </c>
      <c r="B1526" s="90" t="s">
        <v>840</v>
      </c>
      <c r="C1526" s="91" t="s">
        <v>675</v>
      </c>
      <c r="D1526" s="73">
        <v>664</v>
      </c>
      <c r="E1526" s="74">
        <v>5</v>
      </c>
      <c r="F1526" s="93">
        <f>IF(OR(OR(E1526=0,E1526=" "),OR(D1526=0,D1526=" "))," ",D1526*E1526)</f>
        <v>3320</v>
      </c>
    </row>
    <row r="1527" spans="1:6">
      <c r="A1527" s="70"/>
      <c r="B1527" s="71"/>
      <c r="C1527" s="72"/>
      <c r="D1527" s="73"/>
      <c r="E1527" s="74"/>
      <c r="F1527" s="75"/>
    </row>
    <row r="1528" spans="1:6" ht="55.2">
      <c r="A1528" s="70" t="s">
        <v>1146</v>
      </c>
      <c r="B1528" s="373" t="s">
        <v>1833</v>
      </c>
      <c r="C1528" s="72"/>
      <c r="D1528" s="73"/>
      <c r="E1528" s="74"/>
      <c r="F1528" s="75"/>
    </row>
    <row r="1529" spans="1:6" ht="138">
      <c r="A1529" s="70"/>
      <c r="B1529" s="95" t="s">
        <v>843</v>
      </c>
      <c r="C1529" s="72"/>
      <c r="D1529" s="73"/>
      <c r="E1529" s="74"/>
      <c r="F1529" s="75"/>
    </row>
    <row r="1530" spans="1:6" ht="409.6">
      <c r="A1530" s="70"/>
      <c r="B1530" s="95" t="s">
        <v>5299</v>
      </c>
      <c r="C1530" s="72"/>
      <c r="D1530" s="73"/>
      <c r="E1530" s="74"/>
      <c r="F1530" s="75"/>
    </row>
    <row r="1531" spans="1:6" ht="41.4">
      <c r="A1531" s="70"/>
      <c r="B1531" s="95" t="s">
        <v>1834</v>
      </c>
      <c r="C1531" s="72"/>
      <c r="D1531" s="73"/>
      <c r="E1531" s="74"/>
      <c r="F1531" s="75"/>
    </row>
    <row r="1532" spans="1:6" ht="27.6">
      <c r="A1532" s="70"/>
      <c r="B1532" s="95" t="s">
        <v>841</v>
      </c>
      <c r="C1532" s="72"/>
      <c r="D1532" s="73"/>
      <c r="E1532" s="74"/>
      <c r="F1532" s="75"/>
    </row>
    <row r="1533" spans="1:6" ht="69">
      <c r="A1533" s="70"/>
      <c r="B1533" s="95" t="s">
        <v>5033</v>
      </c>
      <c r="C1533" s="72"/>
      <c r="D1533" s="73"/>
      <c r="E1533" s="74"/>
      <c r="F1533" s="75"/>
    </row>
    <row r="1534" spans="1:6" ht="96.6">
      <c r="A1534" s="70"/>
      <c r="B1534" s="95" t="s">
        <v>844</v>
      </c>
      <c r="C1534" s="72"/>
      <c r="D1534" s="73"/>
      <c r="E1534" s="74"/>
      <c r="F1534" s="75"/>
    </row>
    <row r="1535" spans="1:6" ht="27.6">
      <c r="A1535" s="70"/>
      <c r="B1535" s="95" t="s">
        <v>845</v>
      </c>
      <c r="C1535" s="72"/>
      <c r="D1535" s="73"/>
      <c r="E1535" s="74"/>
      <c r="F1535" s="75"/>
    </row>
    <row r="1536" spans="1:6">
      <c r="A1536" s="70" t="s">
        <v>48</v>
      </c>
      <c r="B1536" s="95" t="s">
        <v>846</v>
      </c>
      <c r="C1536" s="91" t="s">
        <v>675</v>
      </c>
      <c r="D1536" s="73">
        <v>664</v>
      </c>
      <c r="E1536" s="74">
        <v>45</v>
      </c>
      <c r="F1536" s="93">
        <f>IF(OR(OR(E1536=0,E1536=" "),OR(D1536=0,D1536=" "))," ",D1536*E1536)</f>
        <v>29880</v>
      </c>
    </row>
    <row r="1537" spans="1:6">
      <c r="A1537" s="70"/>
      <c r="B1537" s="95"/>
      <c r="C1537" s="72"/>
      <c r="D1537" s="73"/>
      <c r="E1537" s="74"/>
      <c r="F1537" s="75"/>
    </row>
    <row r="1538" spans="1:6">
      <c r="A1538" s="87" t="s">
        <v>667</v>
      </c>
      <c r="B1538" s="88" t="s">
        <v>847</v>
      </c>
      <c r="C1538" s="72"/>
      <c r="D1538" s="73"/>
      <c r="E1538" s="74"/>
      <c r="F1538" s="75"/>
    </row>
    <row r="1539" spans="1:6" ht="69">
      <c r="A1539" s="70" t="s">
        <v>4078</v>
      </c>
      <c r="B1539" s="373" t="s">
        <v>1835</v>
      </c>
      <c r="C1539" s="72"/>
      <c r="D1539" s="73"/>
      <c r="E1539" s="74"/>
      <c r="F1539" s="75"/>
    </row>
    <row r="1540" spans="1:6" ht="82.8">
      <c r="A1540" s="70"/>
      <c r="B1540" s="95" t="s">
        <v>848</v>
      </c>
      <c r="C1540" s="72"/>
      <c r="D1540" s="73"/>
      <c r="E1540" s="74"/>
      <c r="F1540" s="75"/>
    </row>
    <row r="1541" spans="1:6" ht="41.4">
      <c r="A1541" s="70"/>
      <c r="B1541" s="95" t="s">
        <v>849</v>
      </c>
      <c r="C1541" s="72"/>
      <c r="D1541" s="73"/>
      <c r="E1541" s="74"/>
      <c r="F1541" s="75"/>
    </row>
    <row r="1542" spans="1:6" ht="69">
      <c r="A1542" s="70"/>
      <c r="B1542" s="95" t="s">
        <v>4980</v>
      </c>
      <c r="C1542" s="72"/>
      <c r="D1542" s="73"/>
      <c r="E1542" s="74"/>
      <c r="F1542" s="75"/>
    </row>
    <row r="1543" spans="1:6" ht="69">
      <c r="A1543" s="70"/>
      <c r="B1543" s="95" t="s">
        <v>850</v>
      </c>
      <c r="C1543" s="72"/>
      <c r="D1543" s="73"/>
      <c r="E1543" s="74"/>
      <c r="F1543" s="75"/>
    </row>
    <row r="1544" spans="1:6">
      <c r="A1544" s="89" t="s">
        <v>48</v>
      </c>
      <c r="B1544" s="95" t="s">
        <v>851</v>
      </c>
      <c r="C1544" s="91" t="s">
        <v>697</v>
      </c>
      <c r="D1544" s="73">
        <v>330</v>
      </c>
      <c r="E1544" s="74">
        <v>10</v>
      </c>
      <c r="F1544" s="93">
        <f>IF(OR(OR(E1544=0,E1544=" "),OR(D1544=0,D1544=" "))," ",D1544*E1544)</f>
        <v>3300</v>
      </c>
    </row>
    <row r="1545" spans="1:6">
      <c r="A1545" s="70"/>
      <c r="B1545" s="71"/>
      <c r="C1545" s="72"/>
      <c r="D1545" s="73"/>
      <c r="E1545" s="74"/>
      <c r="F1545" s="75"/>
    </row>
    <row r="1546" spans="1:6">
      <c r="A1546" s="87" t="s">
        <v>667</v>
      </c>
      <c r="B1546" s="88" t="s">
        <v>852</v>
      </c>
      <c r="C1546" s="72"/>
      <c r="D1546" s="92"/>
      <c r="E1546" s="74"/>
      <c r="F1546" s="75"/>
    </row>
    <row r="1547" spans="1:6" ht="138">
      <c r="A1547" s="89" t="s">
        <v>4079</v>
      </c>
      <c r="B1547" s="361" t="s">
        <v>1838</v>
      </c>
      <c r="C1547" s="91"/>
      <c r="D1547" s="73"/>
      <c r="E1547" s="74"/>
      <c r="F1547" s="94"/>
    </row>
    <row r="1548" spans="1:6" ht="41.4">
      <c r="A1548" s="89" t="s">
        <v>48</v>
      </c>
      <c r="B1548" s="90" t="s">
        <v>1837</v>
      </c>
      <c r="C1548" s="91" t="s">
        <v>697</v>
      </c>
      <c r="D1548" s="73">
        <v>15.8</v>
      </c>
      <c r="E1548" s="74">
        <v>20</v>
      </c>
      <c r="F1548" s="93">
        <f>IF(OR(OR(E1548=0,E1548=" "),OR(D1548=0,D1548=" "))," ",D1548*E1548)</f>
        <v>316</v>
      </c>
    </row>
    <row r="1549" spans="1:6" ht="41.4">
      <c r="A1549" s="89" t="s">
        <v>49</v>
      </c>
      <c r="B1549" s="90" t="s">
        <v>3511</v>
      </c>
      <c r="C1549" s="91" t="s">
        <v>697</v>
      </c>
      <c r="D1549" s="73">
        <v>9.5</v>
      </c>
      <c r="E1549" s="74">
        <v>20</v>
      </c>
      <c r="F1549" s="93">
        <f>IF(OR(OR(E1549=0,E1549=" "),OR(D1549=0,D1549=" "))," ",D1549*E1549)</f>
        <v>190</v>
      </c>
    </row>
    <row r="1550" spans="1:6" ht="55.2">
      <c r="A1550" s="89" t="s">
        <v>51</v>
      </c>
      <c r="B1550" s="90" t="s">
        <v>1836</v>
      </c>
      <c r="C1550" s="91" t="s">
        <v>697</v>
      </c>
      <c r="D1550" s="73">
        <v>3.1</v>
      </c>
      <c r="E1550" s="74">
        <v>50</v>
      </c>
      <c r="F1550" s="93">
        <f>IF(OR(OR(E1550=0,E1550=" "),OR(D1550=0,D1550=" "))," ",D1550*E1550)</f>
        <v>155</v>
      </c>
    </row>
    <row r="1551" spans="1:6" ht="27.6">
      <c r="A1551" s="89" t="s">
        <v>51</v>
      </c>
      <c r="B1551" s="90" t="s">
        <v>3512</v>
      </c>
      <c r="C1551" s="91" t="s">
        <v>697</v>
      </c>
      <c r="D1551" s="73">
        <v>4.5</v>
      </c>
      <c r="E1551" s="74">
        <v>50</v>
      </c>
      <c r="F1551" s="93">
        <f>IF(OR(OR(E1551=0,E1551=" "),OR(D1551=0,D1551=" "))," ",D1551*E1551)</f>
        <v>225</v>
      </c>
    </row>
    <row r="1552" spans="1:6">
      <c r="A1552" s="70"/>
      <c r="B1552" s="71"/>
      <c r="C1552" s="72"/>
      <c r="D1552" s="73"/>
      <c r="E1552" s="74"/>
      <c r="F1552" s="75"/>
    </row>
    <row r="1553" spans="1:6">
      <c r="A1553" s="87" t="s">
        <v>667</v>
      </c>
      <c r="B1553" s="88" t="s">
        <v>853</v>
      </c>
      <c r="C1553" s="72"/>
      <c r="D1553" s="73"/>
      <c r="E1553" s="74"/>
      <c r="F1553" s="75"/>
    </row>
    <row r="1554" spans="1:6" ht="138">
      <c r="A1554" s="70" t="s">
        <v>4080</v>
      </c>
      <c r="B1554" s="364" t="s">
        <v>3525</v>
      </c>
      <c r="C1554" s="72"/>
      <c r="D1554" s="73"/>
      <c r="E1554" s="74"/>
      <c r="F1554" s="75"/>
    </row>
    <row r="1555" spans="1:6" ht="124.2">
      <c r="A1555" s="70"/>
      <c r="B1555" s="112" t="s">
        <v>5300</v>
      </c>
      <c r="C1555" s="72"/>
      <c r="D1555" s="73"/>
      <c r="E1555" s="74"/>
      <c r="F1555" s="75"/>
    </row>
    <row r="1556" spans="1:6" ht="138">
      <c r="A1556" s="70"/>
      <c r="B1556" s="112" t="s">
        <v>3513</v>
      </c>
      <c r="C1556" s="72"/>
      <c r="D1556" s="73"/>
      <c r="E1556" s="74"/>
      <c r="F1556" s="75"/>
    </row>
    <row r="1557" spans="1:6">
      <c r="A1557" s="70"/>
      <c r="B1557" s="112" t="s">
        <v>4915</v>
      </c>
      <c r="C1557" s="72"/>
      <c r="D1557" s="73"/>
      <c r="E1557" s="74"/>
      <c r="F1557" s="75"/>
    </row>
    <row r="1558" spans="1:6" ht="124.2">
      <c r="A1558" s="70"/>
      <c r="B1558" s="112" t="s">
        <v>3514</v>
      </c>
      <c r="C1558" s="72"/>
      <c r="D1558" s="73"/>
      <c r="E1558" s="74"/>
      <c r="F1558" s="75"/>
    </row>
    <row r="1559" spans="1:6" ht="96.6">
      <c r="A1559" s="70"/>
      <c r="B1559" s="112" t="s">
        <v>4123</v>
      </c>
      <c r="C1559" s="72"/>
      <c r="D1559" s="73"/>
      <c r="E1559" s="74"/>
      <c r="F1559" s="75"/>
    </row>
    <row r="1560" spans="1:6" ht="110.4">
      <c r="A1560" s="70"/>
      <c r="B1560" s="112" t="s">
        <v>3524</v>
      </c>
      <c r="C1560" s="72"/>
      <c r="D1560" s="73"/>
      <c r="E1560" s="74"/>
      <c r="F1560" s="75"/>
    </row>
    <row r="1561" spans="1:6" ht="27.6">
      <c r="A1561" s="70"/>
      <c r="B1561" s="112" t="s">
        <v>4916</v>
      </c>
      <c r="C1561" s="72"/>
      <c r="D1561" s="73"/>
      <c r="E1561" s="74"/>
      <c r="F1561" s="75"/>
    </row>
    <row r="1562" spans="1:6" ht="69">
      <c r="A1562" s="70"/>
      <c r="B1562" s="112" t="s">
        <v>3516</v>
      </c>
      <c r="C1562" s="72"/>
      <c r="D1562" s="73"/>
      <c r="E1562" s="74"/>
      <c r="F1562" s="75"/>
    </row>
    <row r="1563" spans="1:6" ht="96.6">
      <c r="A1563" s="70"/>
      <c r="B1563" s="112" t="s">
        <v>5034</v>
      </c>
      <c r="C1563" s="72"/>
      <c r="D1563" s="73"/>
      <c r="E1563" s="74"/>
      <c r="F1563" s="75"/>
    </row>
    <row r="1564" spans="1:6" ht="55.2">
      <c r="A1564" s="70"/>
      <c r="B1564" s="112" t="s">
        <v>3527</v>
      </c>
      <c r="C1564" s="72"/>
      <c r="D1564" s="73"/>
      <c r="E1564" s="74"/>
      <c r="F1564" s="75"/>
    </row>
    <row r="1565" spans="1:6" ht="69">
      <c r="A1565" s="70"/>
      <c r="B1565" s="112" t="s">
        <v>855</v>
      </c>
      <c r="C1565" s="72"/>
      <c r="D1565" s="73"/>
      <c r="E1565" s="74"/>
      <c r="F1565" s="75"/>
    </row>
    <row r="1566" spans="1:6" ht="151.80000000000001">
      <c r="A1566" s="70"/>
      <c r="B1566" s="71" t="s">
        <v>3515</v>
      </c>
      <c r="C1566" s="91"/>
      <c r="D1566" s="73"/>
      <c r="E1566" s="74"/>
      <c r="F1566" s="93"/>
    </row>
    <row r="1567" spans="1:6" ht="55.2">
      <c r="A1567" s="70"/>
      <c r="B1567" s="71" t="s">
        <v>3521</v>
      </c>
      <c r="C1567" s="91"/>
      <c r="D1567" s="73"/>
      <c r="E1567" s="74"/>
      <c r="F1567" s="93"/>
    </row>
    <row r="1568" spans="1:6" ht="41.4">
      <c r="A1568" s="70"/>
      <c r="B1568" s="71" t="s">
        <v>3520</v>
      </c>
      <c r="C1568" s="91"/>
      <c r="D1568" s="73"/>
      <c r="E1568" s="74"/>
      <c r="F1568" s="93"/>
    </row>
    <row r="1569" spans="1:6" ht="41.4">
      <c r="A1569" s="70"/>
      <c r="B1569" s="71" t="s">
        <v>3519</v>
      </c>
      <c r="C1569" s="91"/>
      <c r="D1569" s="73"/>
      <c r="E1569" s="74"/>
      <c r="F1569" s="93"/>
    </row>
    <row r="1570" spans="1:6">
      <c r="A1570" s="70" t="s">
        <v>48</v>
      </c>
      <c r="B1570" s="71" t="s">
        <v>3517</v>
      </c>
      <c r="C1570" s="91" t="s">
        <v>675</v>
      </c>
      <c r="D1570" s="73">
        <v>458</v>
      </c>
      <c r="E1570" s="74">
        <v>55</v>
      </c>
      <c r="F1570" s="93">
        <f>IF(OR(OR(E1570=0,E1570=" "),OR(D1570=0,D1570=" "))," ",D1570*E1570)</f>
        <v>25190</v>
      </c>
    </row>
    <row r="1571" spans="1:6" ht="27.6">
      <c r="A1571" s="70" t="s">
        <v>49</v>
      </c>
      <c r="B1571" s="71" t="s">
        <v>3522</v>
      </c>
      <c r="C1571" s="91" t="s">
        <v>675</v>
      </c>
      <c r="D1571" s="73">
        <v>22</v>
      </c>
      <c r="E1571" s="74">
        <v>60</v>
      </c>
      <c r="F1571" s="93">
        <f>IF(OR(OR(E1571=0,E1571=" "),OR(D1571=0,D1571=" "))," ",D1571*E1571)</f>
        <v>1320</v>
      </c>
    </row>
    <row r="1572" spans="1:6">
      <c r="A1572" s="70" t="s">
        <v>51</v>
      </c>
      <c r="B1572" s="71" t="s">
        <v>3518</v>
      </c>
      <c r="C1572" s="91" t="s">
        <v>675</v>
      </c>
      <c r="D1572" s="73">
        <v>100</v>
      </c>
      <c r="E1572" s="74">
        <v>55</v>
      </c>
      <c r="F1572" s="93">
        <f>IF(OR(OR(E1572=0,E1572=" "),OR(D1572=0,D1572=" "))," ",D1572*E1572)</f>
        <v>5500</v>
      </c>
    </row>
    <row r="1573" spans="1:6" ht="27.6">
      <c r="A1573" s="70" t="s">
        <v>53</v>
      </c>
      <c r="B1573" s="71" t="s">
        <v>3523</v>
      </c>
      <c r="C1573" s="91" t="s">
        <v>675</v>
      </c>
      <c r="D1573" s="73">
        <v>22</v>
      </c>
      <c r="E1573" s="74">
        <v>60</v>
      </c>
      <c r="F1573" s="93">
        <f>IF(OR(OR(E1573=0,E1573=" "),OR(D1573=0,D1573=" "))," ",D1573*E1573)</f>
        <v>1320</v>
      </c>
    </row>
    <row r="1574" spans="1:6">
      <c r="A1574" s="70"/>
      <c r="B1574" s="71"/>
      <c r="C1574" s="72"/>
      <c r="D1574" s="73"/>
      <c r="E1574" s="74"/>
      <c r="F1574" s="75"/>
    </row>
    <row r="1575" spans="1:6" ht="165.6">
      <c r="A1575" s="70" t="s">
        <v>4081</v>
      </c>
      <c r="B1575" s="364" t="s">
        <v>3526</v>
      </c>
      <c r="C1575" s="72"/>
      <c r="D1575" s="73"/>
      <c r="E1575" s="74"/>
      <c r="F1575" s="75"/>
    </row>
    <row r="1576" spans="1:6" ht="110.4">
      <c r="A1576" s="70"/>
      <c r="B1576" s="112" t="s">
        <v>854</v>
      </c>
      <c r="C1576" s="72"/>
      <c r="D1576" s="73"/>
      <c r="E1576" s="74"/>
      <c r="F1576" s="75"/>
    </row>
    <row r="1577" spans="1:6" ht="289.8">
      <c r="A1577" s="70"/>
      <c r="B1577" s="112" t="s">
        <v>5301</v>
      </c>
      <c r="C1577" s="72"/>
      <c r="D1577" s="73"/>
      <c r="E1577" s="74"/>
      <c r="F1577" s="75"/>
    </row>
    <row r="1578" spans="1:6">
      <c r="A1578" s="70"/>
      <c r="B1578" s="112" t="s">
        <v>856</v>
      </c>
      <c r="C1578" s="72"/>
      <c r="D1578" s="73"/>
      <c r="E1578" s="74"/>
      <c r="F1578" s="75"/>
    </row>
    <row r="1579" spans="1:6" ht="41.4">
      <c r="A1579" s="70"/>
      <c r="B1579" s="112" t="s">
        <v>3528</v>
      </c>
      <c r="C1579" s="72"/>
      <c r="D1579" s="73"/>
      <c r="E1579" s="74"/>
      <c r="F1579" s="75"/>
    </row>
    <row r="1580" spans="1:6" ht="110.4">
      <c r="A1580" s="70"/>
      <c r="B1580" s="112" t="s">
        <v>3529</v>
      </c>
      <c r="C1580" s="72"/>
      <c r="D1580" s="73"/>
      <c r="E1580" s="74"/>
      <c r="F1580" s="75"/>
    </row>
    <row r="1581" spans="1:6">
      <c r="A1581" s="70"/>
      <c r="B1581" s="112" t="s">
        <v>857</v>
      </c>
      <c r="C1581" s="72"/>
      <c r="D1581" s="73"/>
      <c r="E1581" s="74"/>
      <c r="F1581" s="75"/>
    </row>
    <row r="1582" spans="1:6" ht="124.2">
      <c r="A1582" s="70"/>
      <c r="B1582" s="71" t="s">
        <v>4993</v>
      </c>
      <c r="C1582" s="91"/>
      <c r="D1582" s="73"/>
      <c r="E1582" s="74"/>
      <c r="F1582" s="93"/>
    </row>
    <row r="1583" spans="1:6" ht="69">
      <c r="A1583" s="70"/>
      <c r="B1583" s="71" t="s">
        <v>4965</v>
      </c>
      <c r="C1583" s="91"/>
      <c r="D1583" s="73"/>
      <c r="E1583" s="74"/>
      <c r="F1583" s="93"/>
    </row>
    <row r="1584" spans="1:6" ht="41.4">
      <c r="A1584" s="70"/>
      <c r="B1584" s="71" t="s">
        <v>4992</v>
      </c>
      <c r="C1584" s="91"/>
      <c r="D1584" s="73"/>
      <c r="E1584" s="74"/>
      <c r="F1584" s="93"/>
    </row>
    <row r="1585" spans="1:6" ht="27.6">
      <c r="A1585" s="70" t="s">
        <v>48</v>
      </c>
      <c r="B1585" s="71" t="s">
        <v>3530</v>
      </c>
      <c r="C1585" s="91" t="s">
        <v>675</v>
      </c>
      <c r="D1585" s="73">
        <v>586</v>
      </c>
      <c r="E1585" s="74">
        <v>100</v>
      </c>
      <c r="F1585" s="93">
        <f>IF(OR(OR(E1585=0,E1585=" "),OR(D1585=0,D1585=" "))," ",D1585*E1585)</f>
        <v>58600</v>
      </c>
    </row>
    <row r="1586" spans="1:6">
      <c r="A1586" s="70"/>
      <c r="B1586" s="71"/>
      <c r="C1586" s="72"/>
      <c r="D1586" s="92"/>
      <c r="E1586" s="74"/>
      <c r="F1586" s="75"/>
    </row>
    <row r="1587" spans="1:6">
      <c r="A1587" s="87" t="s">
        <v>667</v>
      </c>
      <c r="B1587" s="88" t="s">
        <v>820</v>
      </c>
      <c r="C1587" s="72"/>
      <c r="D1587" s="92"/>
      <c r="E1587" s="74"/>
      <c r="F1587" s="75"/>
    </row>
    <row r="1588" spans="1:6" ht="96.6">
      <c r="A1588" s="261" t="s">
        <v>4082</v>
      </c>
      <c r="B1588" s="90" t="s">
        <v>858</v>
      </c>
      <c r="C1588" s="91"/>
      <c r="D1588" s="92"/>
      <c r="E1588" s="74"/>
      <c r="F1588" s="94"/>
    </row>
    <row r="1589" spans="1:6">
      <c r="A1589" s="89" t="s">
        <v>48</v>
      </c>
      <c r="B1589" s="90" t="s">
        <v>859</v>
      </c>
      <c r="C1589" s="91" t="s">
        <v>649</v>
      </c>
      <c r="D1589" s="92">
        <v>20</v>
      </c>
      <c r="E1589" s="74">
        <v>10</v>
      </c>
      <c r="F1589" s="93">
        <f>IF(OR(OR(E1589=0,E1589=" "),OR(D1589=0,D1589=" "))," ",D1589*E1589)</f>
        <v>200</v>
      </c>
    </row>
    <row r="1590" spans="1:6">
      <c r="A1590" s="98"/>
      <c r="B1590" s="99"/>
      <c r="C1590" s="100"/>
      <c r="D1590" s="101"/>
      <c r="E1590" s="100"/>
      <c r="F1590" s="102"/>
    </row>
    <row r="1591" spans="1:6">
      <c r="A1591" s="103" t="str">
        <f>A1508</f>
        <v>B.10.</v>
      </c>
      <c r="B1591" s="104" t="str">
        <f>CONCATENATE(B1508," ", "UKUPNO:")</f>
        <v>PODOPOLAGAČKI RADOVI UKUPNO:</v>
      </c>
      <c r="D1591" s="73"/>
      <c r="E1591" s="74"/>
      <c r="F1591" s="663">
        <f>SUM(F1510:F1590)</f>
        <v>135520</v>
      </c>
    </row>
    <row r="1592" spans="1:6">
      <c r="A1592" s="106"/>
      <c r="B1592" s="107"/>
      <c r="C1592" s="72"/>
      <c r="D1592" s="73"/>
      <c r="E1592" s="74"/>
      <c r="F1592" s="108"/>
    </row>
    <row r="1593" spans="1:6">
      <c r="A1593" s="70"/>
      <c r="B1593" s="71"/>
      <c r="C1593" s="72"/>
      <c r="D1593" s="73"/>
      <c r="E1593" s="74"/>
      <c r="F1593" s="75"/>
    </row>
    <row r="1594" spans="1:6">
      <c r="A1594" s="81" t="s">
        <v>1147</v>
      </c>
      <c r="B1594" s="82" t="s">
        <v>538</v>
      </c>
      <c r="C1594" s="83"/>
      <c r="D1594" s="84"/>
      <c r="E1594" s="85"/>
      <c r="F1594" s="86"/>
    </row>
    <row r="1595" spans="1:6">
      <c r="A1595" s="70"/>
      <c r="B1595" s="71"/>
      <c r="C1595" s="72"/>
      <c r="D1595" s="73"/>
      <c r="E1595" s="74"/>
      <c r="F1595" s="75"/>
    </row>
    <row r="1596" spans="1:6">
      <c r="A1596" s="70"/>
      <c r="B1596" s="96" t="s">
        <v>860</v>
      </c>
      <c r="C1596" s="72"/>
      <c r="D1596" s="73"/>
      <c r="E1596" s="74"/>
      <c r="F1596" s="75"/>
    </row>
    <row r="1597" spans="1:6" ht="82.8">
      <c r="A1597" s="76" t="s">
        <v>665</v>
      </c>
      <c r="B1597" s="96" t="s">
        <v>1839</v>
      </c>
      <c r="C1597" s="78"/>
      <c r="D1597" s="73"/>
      <c r="E1597" s="74"/>
      <c r="F1597" s="79"/>
    </row>
    <row r="1598" spans="1:6" ht="41.4">
      <c r="A1598" s="76" t="s">
        <v>665</v>
      </c>
      <c r="B1598" s="96" t="s">
        <v>1840</v>
      </c>
      <c r="C1598" s="78"/>
      <c r="D1598" s="73"/>
      <c r="E1598" s="74"/>
      <c r="F1598" s="79"/>
    </row>
    <row r="1599" spans="1:6" ht="39" customHeight="1">
      <c r="A1599" s="76" t="s">
        <v>665</v>
      </c>
      <c r="B1599" s="96" t="s">
        <v>1841</v>
      </c>
      <c r="C1599" s="78"/>
      <c r="D1599" s="73"/>
      <c r="E1599" s="74"/>
      <c r="F1599" s="79"/>
    </row>
    <row r="1600" spans="1:6" ht="179.4">
      <c r="A1600" s="76" t="s">
        <v>665</v>
      </c>
      <c r="B1600" s="96" t="s">
        <v>4102</v>
      </c>
      <c r="C1600" s="78"/>
      <c r="D1600" s="73"/>
      <c r="E1600" s="74"/>
      <c r="F1600" s="79"/>
    </row>
    <row r="1601" spans="1:15" ht="55.2">
      <c r="A1601" s="76" t="s">
        <v>665</v>
      </c>
      <c r="B1601" s="96" t="s">
        <v>5306</v>
      </c>
      <c r="C1601" s="78"/>
      <c r="D1601" s="73"/>
      <c r="E1601" s="74"/>
      <c r="F1601" s="79"/>
    </row>
    <row r="1602" spans="1:15" ht="55.2">
      <c r="A1602" s="76" t="s">
        <v>665</v>
      </c>
      <c r="B1602" s="96" t="s">
        <v>5305</v>
      </c>
      <c r="C1602" s="78"/>
      <c r="D1602" s="73"/>
      <c r="E1602" s="74"/>
      <c r="F1602" s="79"/>
    </row>
    <row r="1603" spans="1:15" ht="69">
      <c r="A1603" s="76" t="s">
        <v>665</v>
      </c>
      <c r="B1603" s="96" t="s">
        <v>5304</v>
      </c>
      <c r="C1603" s="78"/>
      <c r="D1603" s="73"/>
      <c r="E1603" s="74"/>
      <c r="F1603" s="79"/>
    </row>
    <row r="1604" spans="1:15" ht="55.2">
      <c r="A1604" s="76" t="s">
        <v>665</v>
      </c>
      <c r="B1604" s="96" t="s">
        <v>5302</v>
      </c>
      <c r="C1604" s="78"/>
      <c r="D1604" s="73"/>
      <c r="E1604" s="74"/>
      <c r="F1604" s="79"/>
    </row>
    <row r="1605" spans="1:15" ht="55.2">
      <c r="A1605" s="76" t="s">
        <v>665</v>
      </c>
      <c r="B1605" s="96" t="s">
        <v>5303</v>
      </c>
      <c r="C1605" s="78"/>
      <c r="D1605" s="73"/>
      <c r="E1605" s="74"/>
      <c r="F1605" s="79"/>
    </row>
    <row r="1606" spans="1:15" ht="55.2">
      <c r="A1606" s="76" t="s">
        <v>665</v>
      </c>
      <c r="B1606" s="96" t="s">
        <v>5307</v>
      </c>
      <c r="C1606" s="78"/>
      <c r="D1606" s="73"/>
      <c r="E1606" s="74"/>
      <c r="F1606" s="79"/>
    </row>
    <row r="1607" spans="1:15" ht="55.2">
      <c r="A1607" s="76" t="s">
        <v>665</v>
      </c>
      <c r="B1607" s="96" t="s">
        <v>5308</v>
      </c>
      <c r="C1607" s="78"/>
      <c r="D1607" s="73"/>
      <c r="E1607" s="74"/>
      <c r="F1607" s="79"/>
      <c r="G1607" s="388"/>
    </row>
    <row r="1608" spans="1:15" ht="69">
      <c r="A1608" s="76" t="s">
        <v>665</v>
      </c>
      <c r="B1608" s="96" t="s">
        <v>5309</v>
      </c>
      <c r="C1608" s="78"/>
      <c r="D1608" s="73"/>
      <c r="E1608" s="74"/>
      <c r="F1608" s="79"/>
      <c r="H1608" s="392"/>
      <c r="I1608" s="392"/>
      <c r="J1608" s="393"/>
      <c r="K1608" s="392"/>
      <c r="L1608" s="392"/>
      <c r="M1608" s="394"/>
      <c r="N1608" s="394"/>
    </row>
    <row r="1609" spans="1:15">
      <c r="A1609" s="70"/>
      <c r="B1609" s="71"/>
      <c r="C1609" s="72"/>
      <c r="D1609" s="73"/>
      <c r="E1609" s="74"/>
      <c r="F1609" s="75"/>
      <c r="H1609" s="392"/>
      <c r="I1609" s="392"/>
      <c r="J1609" s="392"/>
      <c r="K1609" s="392"/>
      <c r="L1609" s="392"/>
      <c r="M1609" s="394"/>
      <c r="N1609" s="394"/>
    </row>
    <row r="1610" spans="1:15">
      <c r="A1610" s="87" t="s">
        <v>667</v>
      </c>
      <c r="B1610" s="88" t="s">
        <v>861</v>
      </c>
      <c r="C1610" s="72"/>
      <c r="D1610" s="92"/>
      <c r="E1610" s="74"/>
      <c r="F1610" s="75"/>
      <c r="H1610" s="395"/>
      <c r="I1610" s="396"/>
      <c r="J1610" s="396"/>
      <c r="K1610" s="396"/>
      <c r="L1610" s="396"/>
      <c r="M1610" s="396"/>
      <c r="N1610" s="393"/>
    </row>
    <row r="1611" spans="1:15" ht="82.8">
      <c r="A1611" s="89" t="s">
        <v>1148</v>
      </c>
      <c r="B1611" s="362" t="s">
        <v>1842</v>
      </c>
      <c r="C1611" s="91"/>
      <c r="D1611" s="73"/>
      <c r="E1611" s="74"/>
      <c r="F1611" s="94"/>
      <c r="H1611" s="396"/>
      <c r="I1611" s="392"/>
      <c r="J1611" s="392"/>
      <c r="K1611" s="392"/>
      <c r="L1611" s="392"/>
      <c r="M1611" s="392"/>
      <c r="N1611" s="397"/>
    </row>
    <row r="1612" spans="1:15" ht="14.4" thickBot="1">
      <c r="A1612" s="89"/>
      <c r="B1612" s="90" t="s">
        <v>3538</v>
      </c>
      <c r="C1612" s="91"/>
      <c r="D1612" s="73"/>
      <c r="E1612" s="74"/>
      <c r="F1612" s="94"/>
      <c r="H1612" s="396"/>
      <c r="I1612" s="392"/>
      <c r="J1612" s="392"/>
      <c r="K1612" s="392"/>
      <c r="L1612" s="392"/>
      <c r="M1612" s="392"/>
      <c r="N1612" s="398"/>
    </row>
    <row r="1613" spans="1:15" ht="83.4" thickBot="1">
      <c r="A1613" s="89"/>
      <c r="B1613" s="90" t="s">
        <v>1855</v>
      </c>
      <c r="C1613" s="91"/>
      <c r="D1613" s="73"/>
      <c r="E1613" s="74"/>
      <c r="F1613" s="94"/>
      <c r="H1613" s="396"/>
      <c r="I1613" s="392"/>
      <c r="J1613" s="392"/>
      <c r="K1613" s="392"/>
      <c r="L1613" s="392"/>
      <c r="M1613" s="392"/>
      <c r="N1613" s="398"/>
      <c r="O1613" s="399"/>
    </row>
    <row r="1614" spans="1:15" ht="165.6">
      <c r="A1614" s="76" t="s">
        <v>665</v>
      </c>
      <c r="B1614" s="90" t="s">
        <v>1843</v>
      </c>
      <c r="C1614" s="78"/>
      <c r="D1614" s="73"/>
      <c r="E1614" s="74"/>
      <c r="F1614" s="79"/>
      <c r="H1614" s="396"/>
      <c r="I1614" s="392"/>
      <c r="J1614" s="392"/>
      <c r="K1614" s="392"/>
      <c r="L1614" s="392"/>
      <c r="M1614" s="392"/>
      <c r="N1614" s="398"/>
      <c r="O1614" s="398"/>
    </row>
    <row r="1615" spans="1:15" ht="69">
      <c r="A1615" s="76"/>
      <c r="B1615" s="90" t="s">
        <v>5310</v>
      </c>
      <c r="C1615" s="78"/>
      <c r="D1615" s="73"/>
      <c r="E1615" s="74"/>
      <c r="F1615" s="79"/>
      <c r="N1615" s="394"/>
    </row>
    <row r="1616" spans="1:15" ht="55.2">
      <c r="A1616" s="76"/>
      <c r="B1616" s="90" t="s">
        <v>5328</v>
      </c>
      <c r="C1616" s="78"/>
      <c r="D1616" s="73"/>
      <c r="E1616" s="74"/>
      <c r="F1616" s="79"/>
    </row>
    <row r="1617" spans="1:9" ht="27.6">
      <c r="A1617" s="89" t="s">
        <v>48</v>
      </c>
      <c r="B1617" s="90" t="s">
        <v>3537</v>
      </c>
      <c r="C1617" s="91" t="s">
        <v>675</v>
      </c>
      <c r="D1617" s="73">
        <v>263</v>
      </c>
      <c r="E1617" s="74">
        <v>32</v>
      </c>
      <c r="F1617" s="93">
        <f t="shared" ref="F1617:F1619" si="22">IF(OR(OR(E1617=0,E1617=" "),OR(D1617=0,D1617=" "))," ",D1617*E1617)</f>
        <v>8416</v>
      </c>
      <c r="G1617" s="388"/>
    </row>
    <row r="1618" spans="1:9" ht="27.6">
      <c r="A1618" s="89" t="s">
        <v>49</v>
      </c>
      <c r="B1618" s="90" t="s">
        <v>3536</v>
      </c>
      <c r="C1618" s="91" t="s">
        <v>675</v>
      </c>
      <c r="D1618" s="73">
        <v>195</v>
      </c>
      <c r="E1618" s="74">
        <v>32</v>
      </c>
      <c r="F1618" s="93">
        <f t="shared" ref="F1618" si="23">IF(OR(OR(E1618=0,E1618=" "),OR(D1618=0,D1618=" "))," ",D1618*E1618)</f>
        <v>6240</v>
      </c>
      <c r="G1618" s="388"/>
    </row>
    <row r="1619" spans="1:9" ht="27.6">
      <c r="A1619" s="89" t="s">
        <v>51</v>
      </c>
      <c r="B1619" s="90" t="s">
        <v>1857</v>
      </c>
      <c r="C1619" s="91" t="s">
        <v>675</v>
      </c>
      <c r="D1619" s="73">
        <v>32</v>
      </c>
      <c r="E1619" s="74">
        <v>52</v>
      </c>
      <c r="F1619" s="93">
        <f t="shared" si="22"/>
        <v>1664</v>
      </c>
    </row>
    <row r="1620" spans="1:9">
      <c r="A1620" s="89" t="s">
        <v>53</v>
      </c>
      <c r="B1620" s="90" t="s">
        <v>1861</v>
      </c>
      <c r="C1620" s="91" t="s">
        <v>675</v>
      </c>
      <c r="D1620" s="73">
        <v>17</v>
      </c>
      <c r="E1620" s="74">
        <v>10</v>
      </c>
      <c r="F1620" s="93">
        <f>IF(OR(OR(E1620=0,E1620=" "),OR(D1620=0,D1620=" "))," ",D1620*E1620)</f>
        <v>170</v>
      </c>
    </row>
    <row r="1621" spans="1:9">
      <c r="A1621" s="70"/>
      <c r="B1621" s="71"/>
      <c r="C1621" s="72"/>
      <c r="D1621" s="73"/>
      <c r="E1621" s="74"/>
      <c r="F1621" s="75"/>
      <c r="H1621" s="73"/>
    </row>
    <row r="1622" spans="1:9">
      <c r="A1622" s="87" t="s">
        <v>667</v>
      </c>
      <c r="B1622" s="88" t="s">
        <v>862</v>
      </c>
      <c r="C1622" s="72"/>
      <c r="D1622" s="92"/>
      <c r="E1622" s="74"/>
      <c r="F1622" s="75"/>
    </row>
    <row r="1623" spans="1:9" ht="82.8">
      <c r="A1623" s="89" t="s">
        <v>1149</v>
      </c>
      <c r="B1623" s="361" t="s">
        <v>1844</v>
      </c>
      <c r="C1623" s="91"/>
      <c r="D1623" s="73"/>
      <c r="E1623" s="74"/>
      <c r="F1623" s="94"/>
    </row>
    <row r="1624" spans="1:9" ht="27.6">
      <c r="A1624" s="89"/>
      <c r="B1624" s="90" t="s">
        <v>1849</v>
      </c>
      <c r="C1624" s="91"/>
      <c r="D1624" s="73"/>
      <c r="E1624" s="74"/>
      <c r="F1624" s="94"/>
    </row>
    <row r="1625" spans="1:9" ht="82.8">
      <c r="A1625" s="89"/>
      <c r="B1625" s="90" t="s">
        <v>1854</v>
      </c>
      <c r="C1625" s="91"/>
      <c r="D1625" s="73"/>
      <c r="E1625" s="74"/>
      <c r="F1625" s="94"/>
    </row>
    <row r="1626" spans="1:9" ht="165.6">
      <c r="A1626" s="76" t="s">
        <v>665</v>
      </c>
      <c r="B1626" s="90" t="s">
        <v>1845</v>
      </c>
      <c r="C1626" s="78"/>
      <c r="D1626" s="73"/>
      <c r="E1626" s="74"/>
      <c r="F1626" s="79"/>
    </row>
    <row r="1627" spans="1:9" ht="96.6">
      <c r="A1627" s="76"/>
      <c r="B1627" s="90" t="s">
        <v>5311</v>
      </c>
      <c r="C1627" s="78"/>
      <c r="D1627" s="73"/>
      <c r="E1627" s="74"/>
      <c r="F1627" s="79"/>
    </row>
    <row r="1628" spans="1:9" ht="82.8">
      <c r="A1628" s="76"/>
      <c r="B1628" s="90" t="s">
        <v>4935</v>
      </c>
      <c r="C1628" s="78"/>
      <c r="D1628" s="73"/>
      <c r="E1628" s="74"/>
      <c r="F1628" s="79"/>
      <c r="G1628" s="73"/>
    </row>
    <row r="1629" spans="1:9" ht="27.6">
      <c r="A1629" s="89" t="s">
        <v>48</v>
      </c>
      <c r="B1629" s="90" t="s">
        <v>1850</v>
      </c>
      <c r="C1629" s="91" t="s">
        <v>675</v>
      </c>
      <c r="D1629" s="73">
        <v>108</v>
      </c>
      <c r="E1629" s="74">
        <v>33</v>
      </c>
      <c r="F1629" s="93">
        <f>IF(OR(OR(E1629=0,E1629=" "),OR(D1629=0,D1629=" "))," ",D1629*E1629)</f>
        <v>3564</v>
      </c>
      <c r="G1629" s="388"/>
      <c r="H1629" s="73"/>
      <c r="I1629" s="388"/>
    </row>
    <row r="1630" spans="1:9" ht="27.6">
      <c r="A1630" s="89" t="s">
        <v>49</v>
      </c>
      <c r="B1630" s="90" t="s">
        <v>3539</v>
      </c>
      <c r="C1630" s="91" t="s">
        <v>675</v>
      </c>
      <c r="D1630" s="73">
        <v>43</v>
      </c>
      <c r="E1630" s="74">
        <v>33</v>
      </c>
      <c r="F1630" s="93">
        <f>IF(OR(OR(E1630=0,E1630=" "),OR(D1630=0,D1630=" "))," ",D1630*E1630)</f>
        <v>1419</v>
      </c>
      <c r="G1630" s="388"/>
    </row>
    <row r="1631" spans="1:9">
      <c r="A1631" s="89" t="s">
        <v>51</v>
      </c>
      <c r="B1631" s="90" t="s">
        <v>1861</v>
      </c>
      <c r="C1631" s="91" t="s">
        <v>675</v>
      </c>
      <c r="D1631" s="73">
        <v>108</v>
      </c>
      <c r="E1631" s="74">
        <v>10</v>
      </c>
      <c r="F1631" s="93">
        <f>IF(OR(OR(E1631=0,E1631=" "),OR(D1631=0,D1631=" "))," ",D1631*E1631)</f>
        <v>1080</v>
      </c>
    </row>
    <row r="1632" spans="1:9">
      <c r="A1632" s="70"/>
      <c r="B1632" s="71"/>
      <c r="C1632" s="72"/>
      <c r="D1632" s="73"/>
      <c r="E1632" s="74"/>
      <c r="F1632" s="75"/>
      <c r="H1632" s="73"/>
    </row>
    <row r="1633" spans="1:7">
      <c r="A1633" s="87" t="s">
        <v>667</v>
      </c>
      <c r="B1633" s="88" t="s">
        <v>863</v>
      </c>
      <c r="C1633" s="72"/>
      <c r="D1633" s="92"/>
      <c r="E1633" s="74"/>
      <c r="F1633" s="75"/>
    </row>
    <row r="1634" spans="1:7" ht="110.4">
      <c r="A1634" s="89" t="s">
        <v>1150</v>
      </c>
      <c r="B1634" s="362" t="s">
        <v>1846</v>
      </c>
      <c r="C1634" s="91"/>
      <c r="D1634" s="73"/>
      <c r="E1634" s="74"/>
      <c r="F1634" s="94"/>
    </row>
    <row r="1635" spans="1:7">
      <c r="A1635" s="89"/>
      <c r="B1635" s="90" t="s">
        <v>1848</v>
      </c>
      <c r="C1635" s="91"/>
      <c r="D1635" s="73"/>
      <c r="E1635" s="74"/>
      <c r="F1635" s="94"/>
    </row>
    <row r="1636" spans="1:7" ht="41.4">
      <c r="A1636" s="76" t="s">
        <v>665</v>
      </c>
      <c r="B1636" s="90" t="s">
        <v>864</v>
      </c>
      <c r="C1636" s="78"/>
      <c r="D1636" s="73"/>
      <c r="E1636" s="74"/>
      <c r="F1636" s="79"/>
    </row>
    <row r="1637" spans="1:7" ht="165.6">
      <c r="A1637" s="76" t="s">
        <v>665</v>
      </c>
      <c r="B1637" s="90" t="s">
        <v>1845</v>
      </c>
      <c r="C1637" s="78"/>
      <c r="D1637" s="73"/>
      <c r="E1637" s="74"/>
      <c r="F1637" s="79"/>
    </row>
    <row r="1638" spans="1:7" ht="96.6">
      <c r="A1638" s="76"/>
      <c r="B1638" s="90" t="s">
        <v>5312</v>
      </c>
      <c r="C1638" s="78"/>
      <c r="D1638" s="73"/>
      <c r="E1638" s="74"/>
      <c r="F1638" s="79"/>
    </row>
    <row r="1639" spans="1:7" ht="82.8">
      <c r="A1639" s="76"/>
      <c r="B1639" s="90" t="s">
        <v>4935</v>
      </c>
      <c r="C1639" s="78"/>
      <c r="D1639" s="73"/>
      <c r="E1639" s="74"/>
      <c r="F1639" s="79"/>
    </row>
    <row r="1640" spans="1:7" ht="27.6">
      <c r="A1640" s="89" t="s">
        <v>48</v>
      </c>
      <c r="B1640" s="90" t="s">
        <v>3532</v>
      </c>
      <c r="C1640" s="91" t="s">
        <v>675</v>
      </c>
      <c r="D1640" s="73">
        <v>542</v>
      </c>
      <c r="E1640" s="74">
        <v>76</v>
      </c>
      <c r="F1640" s="93">
        <f>IF(OR(OR(E1640=0,E1640=" "),OR(D1640=0,D1640=" "))," ",D1640*E1640)</f>
        <v>41192</v>
      </c>
      <c r="G1640" s="388"/>
    </row>
    <row r="1641" spans="1:7" ht="27.6">
      <c r="A1641" s="89" t="s">
        <v>49</v>
      </c>
      <c r="B1641" s="90" t="s">
        <v>3535</v>
      </c>
      <c r="C1641" s="91" t="s">
        <v>675</v>
      </c>
      <c r="D1641" s="73">
        <v>102</v>
      </c>
      <c r="E1641" s="74">
        <v>76</v>
      </c>
      <c r="F1641" s="93">
        <f>IF(OR(OR(E1641=0,E1641=" "),OR(D1641=0,D1641=" "))," ",D1641*E1641)</f>
        <v>7752</v>
      </c>
      <c r="G1641" s="388"/>
    </row>
    <row r="1642" spans="1:7" ht="27.6">
      <c r="A1642" s="89" t="s">
        <v>51</v>
      </c>
      <c r="B1642" s="90" t="s">
        <v>3533</v>
      </c>
      <c r="C1642" s="91" t="s">
        <v>675</v>
      </c>
      <c r="D1642" s="73">
        <v>48</v>
      </c>
      <c r="E1642" s="74">
        <v>76</v>
      </c>
      <c r="F1642" s="93">
        <f>IF(OR(OR(E1642=0,E1642=" "),OR(D1642=0,D1642=" "))," ",D1642*E1642)</f>
        <v>3648</v>
      </c>
    </row>
    <row r="1643" spans="1:7">
      <c r="A1643" s="89" t="s">
        <v>53</v>
      </c>
      <c r="B1643" s="90" t="s">
        <v>3534</v>
      </c>
      <c r="C1643" s="91" t="s">
        <v>675</v>
      </c>
      <c r="D1643" s="73">
        <v>58</v>
      </c>
      <c r="E1643" s="74">
        <v>15</v>
      </c>
      <c r="F1643" s="93">
        <f>IF(OR(OR(E1643=0,E1643=" "),OR(D1643=0,D1643=" "))," ",D1643*E1643)</f>
        <v>870</v>
      </c>
    </row>
    <row r="1644" spans="1:7">
      <c r="A1644" s="89" t="s">
        <v>698</v>
      </c>
      <c r="B1644" s="90" t="s">
        <v>3531</v>
      </c>
      <c r="C1644" s="91" t="s">
        <v>675</v>
      </c>
      <c r="D1644" s="73">
        <v>58</v>
      </c>
      <c r="E1644" s="74">
        <v>10</v>
      </c>
      <c r="F1644" s="93">
        <f>IF(OR(OR(E1644=0,E1644=" "),OR(D1644=0,D1644=" "))," ",D1644*E1644)</f>
        <v>580</v>
      </c>
    </row>
    <row r="1645" spans="1:7">
      <c r="A1645" s="89"/>
      <c r="B1645" s="90"/>
      <c r="C1645" s="91"/>
      <c r="D1645" s="73"/>
      <c r="E1645" s="74"/>
      <c r="F1645" s="93"/>
    </row>
    <row r="1646" spans="1:7">
      <c r="A1646" s="87" t="s">
        <v>667</v>
      </c>
      <c r="B1646" s="88" t="s">
        <v>3546</v>
      </c>
      <c r="C1646" s="78"/>
      <c r="D1646" s="73"/>
      <c r="E1646" s="74"/>
      <c r="F1646" s="79"/>
    </row>
    <row r="1647" spans="1:7" ht="41.4">
      <c r="A1647" s="89" t="s">
        <v>1151</v>
      </c>
      <c r="B1647" s="656" t="s">
        <v>3547</v>
      </c>
      <c r="C1647" s="650"/>
      <c r="D1647" s="386"/>
      <c r="E1647" s="651"/>
      <c r="F1647" s="652"/>
    </row>
    <row r="1648" spans="1:7" ht="138">
      <c r="A1648" s="89"/>
      <c r="B1648" s="654" t="s">
        <v>3548</v>
      </c>
      <c r="C1648" s="650"/>
      <c r="D1648" s="386"/>
      <c r="E1648" s="651"/>
      <c r="F1648" s="652"/>
    </row>
    <row r="1649" spans="1:6">
      <c r="A1649" s="89"/>
      <c r="B1649" s="90" t="s">
        <v>3549</v>
      </c>
      <c r="C1649" s="650"/>
      <c r="D1649" s="386"/>
      <c r="E1649" s="651"/>
      <c r="F1649" s="652"/>
    </row>
    <row r="1650" spans="1:6" ht="110.4">
      <c r="A1650" s="89"/>
      <c r="B1650" s="649" t="s">
        <v>3545</v>
      </c>
      <c r="C1650" s="650"/>
      <c r="D1650" s="386"/>
      <c r="E1650" s="651"/>
      <c r="F1650" s="652"/>
    </row>
    <row r="1651" spans="1:6" ht="69">
      <c r="A1651" s="89"/>
      <c r="B1651" s="90" t="s">
        <v>5313</v>
      </c>
      <c r="C1651" s="650"/>
      <c r="D1651" s="386"/>
      <c r="E1651" s="651"/>
      <c r="F1651" s="652"/>
    </row>
    <row r="1652" spans="1:6" ht="82.8">
      <c r="A1652" s="89"/>
      <c r="B1652" s="90" t="s">
        <v>4935</v>
      </c>
      <c r="C1652" s="650"/>
      <c r="D1652" s="386"/>
      <c r="E1652" s="651"/>
      <c r="F1652" s="652"/>
    </row>
    <row r="1653" spans="1:6">
      <c r="A1653" s="653" t="s">
        <v>48</v>
      </c>
      <c r="B1653" s="655" t="s">
        <v>4932</v>
      </c>
      <c r="C1653" s="385" t="s">
        <v>675</v>
      </c>
      <c r="D1653" s="386">
        <v>359</v>
      </c>
      <c r="E1653" s="74">
        <v>90</v>
      </c>
      <c r="F1653" s="93">
        <f>IF(OR(OR(E1653=0,E1653=" "),OR(D1653=0,D1653=" "))," ",D1653*E1653)</f>
        <v>32310</v>
      </c>
    </row>
    <row r="1654" spans="1:6">
      <c r="A1654" s="653" t="s">
        <v>49</v>
      </c>
      <c r="B1654" s="655" t="s">
        <v>3550</v>
      </c>
      <c r="C1654" s="385" t="s">
        <v>675</v>
      </c>
      <c r="D1654" s="386">
        <v>359</v>
      </c>
      <c r="E1654" s="74">
        <v>10</v>
      </c>
      <c r="F1654" s="93">
        <f>IF(OR(OR(E1654=0,E1654=" "),OR(D1654=0,D1654=" "))," ",D1654*E1654)</f>
        <v>3590</v>
      </c>
    </row>
    <row r="1655" spans="1:6">
      <c r="A1655" s="89"/>
      <c r="B1655" s="90"/>
      <c r="C1655" s="91"/>
      <c r="D1655" s="73"/>
      <c r="E1655" s="74"/>
      <c r="F1655" s="93"/>
    </row>
    <row r="1656" spans="1:6">
      <c r="A1656" s="111" t="s">
        <v>667</v>
      </c>
      <c r="B1656" s="88" t="s">
        <v>2087</v>
      </c>
      <c r="C1656" s="72"/>
      <c r="D1656" s="73"/>
      <c r="E1656" s="74"/>
      <c r="F1656" s="75"/>
    </row>
    <row r="1657" spans="1:6">
      <c r="A1657" s="89" t="s">
        <v>1152</v>
      </c>
      <c r="B1657" s="400" t="s">
        <v>2088</v>
      </c>
      <c r="C1657" s="78"/>
      <c r="D1657" s="73"/>
      <c r="E1657" s="74"/>
      <c r="F1657" s="79"/>
    </row>
    <row r="1658" spans="1:6" ht="138">
      <c r="A1658" s="391" t="s">
        <v>665</v>
      </c>
      <c r="B1658" s="95" t="s">
        <v>1863</v>
      </c>
      <c r="C1658" s="78"/>
      <c r="D1658" s="73"/>
      <c r="E1658" s="74"/>
      <c r="F1658" s="79"/>
    </row>
    <row r="1659" spans="1:6" ht="41.4">
      <c r="A1659" s="391"/>
      <c r="B1659" s="95" t="s">
        <v>3541</v>
      </c>
      <c r="C1659" s="78"/>
      <c r="D1659" s="73"/>
      <c r="E1659" s="74"/>
      <c r="F1659" s="79"/>
    </row>
    <row r="1660" spans="1:6" ht="55.2">
      <c r="A1660" s="391" t="s">
        <v>665</v>
      </c>
      <c r="B1660" s="95" t="s">
        <v>5314</v>
      </c>
      <c r="C1660" s="78"/>
      <c r="D1660" s="73"/>
      <c r="E1660" s="74"/>
      <c r="F1660" s="79"/>
    </row>
    <row r="1661" spans="1:6">
      <c r="A1661" s="391"/>
      <c r="B1661" s="95" t="s">
        <v>1862</v>
      </c>
      <c r="C1661" s="78"/>
      <c r="D1661" s="73"/>
      <c r="E1661" s="74"/>
      <c r="F1661" s="79"/>
    </row>
    <row r="1662" spans="1:6" ht="41.4">
      <c r="A1662" s="391"/>
      <c r="B1662" s="95" t="s">
        <v>3540</v>
      </c>
      <c r="C1662" s="78"/>
      <c r="D1662" s="73"/>
      <c r="E1662" s="74"/>
      <c r="F1662" s="79"/>
    </row>
    <row r="1663" spans="1:6" ht="27.6">
      <c r="A1663" s="391" t="s">
        <v>665</v>
      </c>
      <c r="B1663" s="95" t="s">
        <v>1864</v>
      </c>
      <c r="C1663" s="78"/>
      <c r="D1663" s="73"/>
      <c r="E1663" s="74"/>
      <c r="F1663" s="79"/>
    </row>
    <row r="1664" spans="1:6" ht="179.4">
      <c r="A1664" s="391" t="s">
        <v>665</v>
      </c>
      <c r="B1664" s="95" t="s">
        <v>1859</v>
      </c>
      <c r="C1664" s="78"/>
      <c r="D1664" s="73"/>
      <c r="E1664" s="74"/>
      <c r="F1664" s="79"/>
    </row>
    <row r="1665" spans="1:6" ht="27.6">
      <c r="A1665" s="391"/>
      <c r="B1665" s="95" t="s">
        <v>1860</v>
      </c>
      <c r="C1665" s="78"/>
      <c r="D1665" s="73"/>
      <c r="E1665" s="74"/>
      <c r="F1665" s="79"/>
    </row>
    <row r="1666" spans="1:6" ht="41.4">
      <c r="A1666" s="391" t="s">
        <v>665</v>
      </c>
      <c r="B1666" s="95" t="s">
        <v>3214</v>
      </c>
      <c r="C1666" s="78"/>
      <c r="D1666" s="73"/>
      <c r="E1666" s="74"/>
      <c r="F1666" s="79"/>
    </row>
    <row r="1667" spans="1:6" ht="69">
      <c r="A1667" s="391" t="s">
        <v>665</v>
      </c>
      <c r="B1667" s="90" t="s">
        <v>5329</v>
      </c>
      <c r="C1667" s="78"/>
      <c r="D1667" s="73"/>
      <c r="E1667" s="74"/>
      <c r="F1667" s="79"/>
    </row>
    <row r="1668" spans="1:6">
      <c r="A1668" s="391" t="s">
        <v>665</v>
      </c>
      <c r="B1668" s="95" t="s">
        <v>764</v>
      </c>
      <c r="C1668" s="78"/>
      <c r="D1668" s="73"/>
      <c r="E1668" s="74"/>
      <c r="F1668" s="79"/>
    </row>
    <row r="1669" spans="1:6" ht="27.6">
      <c r="A1669" s="89" t="s">
        <v>48</v>
      </c>
      <c r="B1669" s="95" t="s">
        <v>4071</v>
      </c>
      <c r="C1669" s="91" t="s">
        <v>675</v>
      </c>
      <c r="D1669" s="73">
        <v>5.5</v>
      </c>
      <c r="E1669" s="74">
        <v>50</v>
      </c>
      <c r="F1669" s="93">
        <f>IF(OR(OR(E1669=0,E1669=" "),OR(D1669=0,D1669=" "))," ",D1669*E1669)</f>
        <v>275</v>
      </c>
    </row>
    <row r="1670" spans="1:6">
      <c r="A1670" s="89" t="s">
        <v>49</v>
      </c>
      <c r="B1670" s="90" t="s">
        <v>1861</v>
      </c>
      <c r="C1670" s="91" t="s">
        <v>675</v>
      </c>
      <c r="D1670" s="73">
        <v>5.5</v>
      </c>
      <c r="E1670" s="74">
        <v>10</v>
      </c>
      <c r="F1670" s="93">
        <f>IF(OR(OR(E1670=0,E1670=" "),OR(D1670=0,D1670=" "))," ",D1670*E1670)</f>
        <v>55</v>
      </c>
    </row>
    <row r="1671" spans="1:6">
      <c r="A1671" s="89"/>
      <c r="B1671" s="90"/>
      <c r="C1671" s="91"/>
      <c r="D1671" s="73"/>
      <c r="E1671" s="74"/>
      <c r="F1671" s="93"/>
    </row>
    <row r="1672" spans="1:6" ht="41.4">
      <c r="A1672" s="89" t="s">
        <v>1153</v>
      </c>
      <c r="B1672" s="400" t="s">
        <v>3554</v>
      </c>
      <c r="C1672" s="78"/>
      <c r="D1672" s="73"/>
      <c r="E1672" s="74"/>
      <c r="F1672" s="79"/>
    </row>
    <row r="1673" spans="1:6" ht="124.2">
      <c r="A1673" s="391" t="s">
        <v>665</v>
      </c>
      <c r="B1673" s="95" t="s">
        <v>3552</v>
      </c>
      <c r="C1673" s="78"/>
      <c r="D1673" s="73"/>
      <c r="E1673" s="74"/>
      <c r="F1673" s="79"/>
    </row>
    <row r="1674" spans="1:6" ht="41.4">
      <c r="A1674" s="391"/>
      <c r="B1674" s="95" t="s">
        <v>3553</v>
      </c>
      <c r="C1674" s="78"/>
      <c r="D1674" s="73"/>
      <c r="E1674" s="74"/>
      <c r="F1674" s="79"/>
    </row>
    <row r="1675" spans="1:6">
      <c r="A1675" s="391"/>
      <c r="B1675" s="95" t="s">
        <v>1858</v>
      </c>
      <c r="C1675" s="78"/>
      <c r="D1675" s="73"/>
      <c r="E1675" s="74"/>
      <c r="F1675" s="79"/>
    </row>
    <row r="1676" spans="1:6" ht="41.4">
      <c r="A1676" s="391"/>
      <c r="B1676" s="95" t="s">
        <v>4072</v>
      </c>
      <c r="C1676" s="78"/>
      <c r="D1676" s="73"/>
      <c r="E1676" s="74"/>
      <c r="F1676" s="79"/>
    </row>
    <row r="1677" spans="1:6" ht="27.6">
      <c r="A1677" s="391" t="s">
        <v>665</v>
      </c>
      <c r="B1677" s="95" t="s">
        <v>3551</v>
      </c>
      <c r="C1677" s="78"/>
      <c r="D1677" s="73"/>
      <c r="E1677" s="74"/>
      <c r="F1677" s="79"/>
    </row>
    <row r="1678" spans="1:6" ht="151.80000000000001">
      <c r="A1678" s="391" t="s">
        <v>665</v>
      </c>
      <c r="B1678" s="95" t="s">
        <v>3555</v>
      </c>
      <c r="C1678" s="78"/>
      <c r="D1678" s="73"/>
      <c r="E1678" s="74"/>
      <c r="F1678" s="79"/>
    </row>
    <row r="1679" spans="1:6" ht="27.6">
      <c r="A1679" s="391"/>
      <c r="B1679" s="95" t="s">
        <v>1860</v>
      </c>
      <c r="C1679" s="78"/>
      <c r="D1679" s="73"/>
      <c r="E1679" s="74"/>
      <c r="F1679" s="79"/>
    </row>
    <row r="1680" spans="1:6" ht="27.6">
      <c r="A1680" s="391" t="s">
        <v>665</v>
      </c>
      <c r="B1680" s="95" t="s">
        <v>755</v>
      </c>
      <c r="C1680" s="78"/>
      <c r="D1680" s="73"/>
      <c r="E1680" s="74"/>
      <c r="F1680" s="79"/>
    </row>
    <row r="1681" spans="1:6" ht="82.8">
      <c r="A1681" s="391" t="s">
        <v>665</v>
      </c>
      <c r="B1681" s="90" t="s">
        <v>4933</v>
      </c>
      <c r="C1681" s="78"/>
      <c r="D1681" s="73"/>
      <c r="E1681" s="74"/>
      <c r="F1681" s="79"/>
    </row>
    <row r="1682" spans="1:6">
      <c r="A1682" s="391" t="s">
        <v>665</v>
      </c>
      <c r="B1682" s="95" t="s">
        <v>764</v>
      </c>
      <c r="C1682" s="78"/>
      <c r="D1682" s="73"/>
      <c r="E1682" s="74"/>
      <c r="F1682" s="79"/>
    </row>
    <row r="1683" spans="1:6" ht="27.6">
      <c r="A1683" s="89" t="s">
        <v>48</v>
      </c>
      <c r="B1683" s="95" t="s">
        <v>3556</v>
      </c>
      <c r="C1683" s="91" t="s">
        <v>675</v>
      </c>
      <c r="D1683" s="73">
        <v>11</v>
      </c>
      <c r="E1683" s="74">
        <v>70</v>
      </c>
      <c r="F1683" s="93">
        <f>IF(OR(OR(E1683=0,E1683=" "),OR(D1683=0,D1683=" "))," ",D1683*E1683)</f>
        <v>770</v>
      </c>
    </row>
    <row r="1684" spans="1:6">
      <c r="A1684" s="89"/>
      <c r="B1684" s="90"/>
      <c r="C1684" s="91"/>
      <c r="D1684" s="73"/>
      <c r="E1684" s="74"/>
      <c r="F1684" s="93"/>
    </row>
    <row r="1685" spans="1:6">
      <c r="A1685" s="111" t="s">
        <v>667</v>
      </c>
      <c r="B1685" s="88" t="s">
        <v>5168</v>
      </c>
      <c r="C1685" s="91"/>
      <c r="D1685" s="73"/>
      <c r="E1685" s="74"/>
      <c r="F1685" s="93"/>
    </row>
    <row r="1686" spans="1:6" ht="55.2">
      <c r="A1686" s="89" t="s">
        <v>1154</v>
      </c>
      <c r="B1686" s="656" t="s">
        <v>4928</v>
      </c>
      <c r="C1686" s="650"/>
      <c r="D1686" s="386"/>
      <c r="E1686" s="651"/>
      <c r="F1686" s="652"/>
    </row>
    <row r="1687" spans="1:6" ht="165.6">
      <c r="A1687" s="89"/>
      <c r="B1687" s="654" t="s">
        <v>4930</v>
      </c>
      <c r="C1687" s="650"/>
      <c r="D1687" s="386"/>
      <c r="E1687" s="651"/>
      <c r="F1687" s="652"/>
    </row>
    <row r="1688" spans="1:6" ht="55.2">
      <c r="A1688" s="89"/>
      <c r="B1688" s="95" t="s">
        <v>4929</v>
      </c>
      <c r="C1688" s="650"/>
      <c r="D1688" s="386"/>
      <c r="E1688" s="651"/>
      <c r="F1688" s="652"/>
    </row>
    <row r="1689" spans="1:6" ht="110.4">
      <c r="A1689" s="89"/>
      <c r="B1689" s="649" t="s">
        <v>3545</v>
      </c>
      <c r="C1689" s="650"/>
      <c r="D1689" s="386"/>
      <c r="E1689" s="651"/>
      <c r="F1689" s="652"/>
    </row>
    <row r="1690" spans="1:6" ht="82.8">
      <c r="A1690" s="89"/>
      <c r="B1690" s="90" t="s">
        <v>4934</v>
      </c>
      <c r="C1690" s="650"/>
      <c r="D1690" s="386"/>
      <c r="E1690" s="651"/>
      <c r="F1690" s="652"/>
    </row>
    <row r="1691" spans="1:6" ht="27.6">
      <c r="A1691" s="653" t="s">
        <v>48</v>
      </c>
      <c r="B1691" s="95" t="s">
        <v>4931</v>
      </c>
      <c r="C1691" s="385" t="s">
        <v>675</v>
      </c>
      <c r="D1691" s="386">
        <v>54</v>
      </c>
      <c r="E1691" s="74">
        <v>9</v>
      </c>
      <c r="F1691" s="93">
        <f>IF(OR(OR(E1691=0,E1691=" "),OR(D1691=0,D1691=" "))," ",D1691*E1691)</f>
        <v>486</v>
      </c>
    </row>
    <row r="1692" spans="1:6">
      <c r="A1692" s="89"/>
      <c r="B1692" s="90"/>
      <c r="C1692" s="91"/>
      <c r="D1692" s="73"/>
      <c r="E1692" s="74"/>
      <c r="F1692" s="93"/>
    </row>
    <row r="1693" spans="1:6" ht="110.4">
      <c r="A1693" s="89" t="s">
        <v>1155</v>
      </c>
      <c r="B1693" s="362" t="s">
        <v>5171</v>
      </c>
      <c r="C1693" s="91"/>
      <c r="D1693" s="73"/>
      <c r="E1693" s="74"/>
      <c r="F1693" s="94"/>
    </row>
    <row r="1694" spans="1:6" ht="165.6">
      <c r="A1694" s="76" t="s">
        <v>665</v>
      </c>
      <c r="B1694" s="90" t="s">
        <v>1845</v>
      </c>
      <c r="C1694" s="78"/>
      <c r="D1694" s="73"/>
      <c r="E1694" s="74"/>
      <c r="F1694" s="79"/>
    </row>
    <row r="1695" spans="1:6" ht="69">
      <c r="A1695" s="76"/>
      <c r="B1695" s="90" t="s">
        <v>5315</v>
      </c>
      <c r="C1695" s="78"/>
      <c r="D1695" s="73"/>
      <c r="E1695" s="74"/>
      <c r="F1695" s="79"/>
    </row>
    <row r="1696" spans="1:6" ht="41.4">
      <c r="A1696" s="76"/>
      <c r="B1696" s="90" t="s">
        <v>5172</v>
      </c>
      <c r="C1696" s="78"/>
      <c r="D1696" s="73"/>
      <c r="E1696" s="74"/>
      <c r="F1696" s="79"/>
    </row>
    <row r="1697" spans="1:10" ht="82.8">
      <c r="A1697" s="76"/>
      <c r="B1697" s="90" t="s">
        <v>4935</v>
      </c>
      <c r="C1697" s="78"/>
      <c r="D1697" s="73"/>
      <c r="E1697" s="74"/>
      <c r="F1697" s="79"/>
    </row>
    <row r="1698" spans="1:10">
      <c r="A1698" s="89" t="s">
        <v>48</v>
      </c>
      <c r="B1698" s="90" t="s">
        <v>5169</v>
      </c>
      <c r="C1698" s="91" t="s">
        <v>675</v>
      </c>
      <c r="D1698" s="73">
        <v>11.5</v>
      </c>
      <c r="E1698" s="74">
        <v>40</v>
      </c>
      <c r="F1698" s="93">
        <f>IF(OR(OR(E1698=0,E1698=" "),OR(D1698=0,D1698=" "))," ",D1698*E1698)</f>
        <v>460</v>
      </c>
    </row>
    <row r="1699" spans="1:10">
      <c r="A1699" s="89" t="s">
        <v>49</v>
      </c>
      <c r="B1699" s="90" t="s">
        <v>5170</v>
      </c>
      <c r="C1699" s="91" t="s">
        <v>675</v>
      </c>
      <c r="D1699" s="73">
        <v>11.5</v>
      </c>
      <c r="E1699" s="74">
        <v>15</v>
      </c>
      <c r="F1699" s="93">
        <f>IF(OR(OR(E1699=0,E1699=" "),OR(D1699=0,D1699=" "))," ",D1699*E1699)</f>
        <v>172.5</v>
      </c>
    </row>
    <row r="1700" spans="1:10">
      <c r="A1700" s="89" t="s">
        <v>51</v>
      </c>
      <c r="B1700" s="90" t="s">
        <v>3531</v>
      </c>
      <c r="C1700" s="91" t="s">
        <v>675</v>
      </c>
      <c r="D1700" s="73">
        <v>5</v>
      </c>
      <c r="E1700" s="74">
        <v>10</v>
      </c>
      <c r="F1700" s="93">
        <f>IF(OR(OR(E1700=0,E1700=" "),OR(D1700=0,D1700=" "))," ",D1700*E1700)</f>
        <v>50</v>
      </c>
    </row>
    <row r="1701" spans="1:10">
      <c r="A1701" s="89"/>
      <c r="B1701" s="90"/>
      <c r="C1701" s="91"/>
      <c r="D1701" s="73"/>
      <c r="E1701" s="74"/>
      <c r="F1701" s="93"/>
    </row>
    <row r="1702" spans="1:10">
      <c r="A1702" s="87" t="s">
        <v>667</v>
      </c>
      <c r="B1702" s="88" t="s">
        <v>865</v>
      </c>
      <c r="C1702" s="72"/>
      <c r="D1702" s="92"/>
      <c r="E1702" s="74"/>
      <c r="F1702" s="75"/>
    </row>
    <row r="1703" spans="1:10" ht="55.2">
      <c r="A1703" s="89" t="s">
        <v>4083</v>
      </c>
      <c r="B1703" s="362" t="s">
        <v>3542</v>
      </c>
      <c r="C1703" s="91"/>
      <c r="D1703" s="73"/>
      <c r="E1703" s="74"/>
      <c r="F1703" s="94"/>
    </row>
    <row r="1704" spans="1:10" ht="69">
      <c r="A1704" s="76" t="s">
        <v>665</v>
      </c>
      <c r="B1704" s="90" t="s">
        <v>866</v>
      </c>
      <c r="C1704" s="78"/>
      <c r="D1704" s="73"/>
      <c r="E1704" s="74"/>
      <c r="F1704" s="79"/>
    </row>
    <row r="1705" spans="1:10" ht="41.4">
      <c r="A1705" s="76" t="s">
        <v>665</v>
      </c>
      <c r="B1705" s="90" t="s">
        <v>3543</v>
      </c>
      <c r="C1705" s="78"/>
      <c r="D1705" s="73"/>
      <c r="E1705" s="74"/>
      <c r="F1705" s="79"/>
      <c r="I1705" s="387"/>
      <c r="J1705" s="387"/>
    </row>
    <row r="1706" spans="1:10" ht="41.4">
      <c r="A1706" s="89" t="s">
        <v>48</v>
      </c>
      <c r="B1706" s="90" t="s">
        <v>867</v>
      </c>
      <c r="C1706" s="91" t="s">
        <v>649</v>
      </c>
      <c r="D1706" s="92">
        <v>225</v>
      </c>
      <c r="E1706" s="74">
        <v>5</v>
      </c>
      <c r="F1706" s="93">
        <f>IF(OR(OR(E1706=0,E1706=" "),OR(D1706=0,D1706=" "))," ",D1706*E1706)</f>
        <v>1125</v>
      </c>
      <c r="I1706" s="387"/>
      <c r="J1706" s="387"/>
    </row>
    <row r="1707" spans="1:10" ht="41.4">
      <c r="A1707" s="89" t="s">
        <v>49</v>
      </c>
      <c r="B1707" s="90" t="s">
        <v>868</v>
      </c>
      <c r="C1707" s="91" t="s">
        <v>649</v>
      </c>
      <c r="D1707" s="92">
        <v>28</v>
      </c>
      <c r="E1707" s="74">
        <v>7.5</v>
      </c>
      <c r="F1707" s="93">
        <f>IF(OR(OR(E1707=0,E1707=" "),OR(D1707=0,D1707=" "))," ",D1707*E1707)</f>
        <v>210</v>
      </c>
    </row>
    <row r="1708" spans="1:10" ht="41.4">
      <c r="A1708" s="89" t="s">
        <v>51</v>
      </c>
      <c r="B1708" s="90" t="s">
        <v>3544</v>
      </c>
      <c r="C1708" s="91" t="s">
        <v>649</v>
      </c>
      <c r="D1708" s="92">
        <v>10</v>
      </c>
      <c r="E1708" s="74">
        <v>10</v>
      </c>
      <c r="F1708" s="93">
        <f>IF(OR(OR(E1708=0,E1708=" "),OR(D1708=0,D1708=" "))," ",D1708*E1708)</f>
        <v>100</v>
      </c>
    </row>
    <row r="1709" spans="1:10">
      <c r="A1709" s="70"/>
      <c r="B1709" s="71"/>
      <c r="C1709" s="72"/>
      <c r="D1709" s="73"/>
      <c r="E1709" s="74"/>
      <c r="F1709" s="75"/>
    </row>
    <row r="1710" spans="1:10">
      <c r="A1710" s="87" t="s">
        <v>667</v>
      </c>
      <c r="B1710" s="88" t="s">
        <v>869</v>
      </c>
      <c r="C1710" s="72"/>
      <c r="D1710" s="92"/>
      <c r="E1710" s="74"/>
      <c r="F1710" s="75"/>
    </row>
    <row r="1711" spans="1:10" ht="124.2">
      <c r="A1711" s="89" t="s">
        <v>5173</v>
      </c>
      <c r="B1711" s="361" t="s">
        <v>1865</v>
      </c>
      <c r="C1711" s="91"/>
      <c r="D1711" s="73"/>
      <c r="E1711" s="74"/>
      <c r="F1711" s="94"/>
    </row>
    <row r="1712" spans="1:10" ht="41.4">
      <c r="A1712" s="89"/>
      <c r="B1712" s="90" t="s">
        <v>3543</v>
      </c>
      <c r="C1712" s="91"/>
      <c r="D1712" s="73"/>
      <c r="E1712" s="74"/>
      <c r="F1712" s="94"/>
    </row>
    <row r="1713" spans="1:6" ht="41.4">
      <c r="A1713" s="89" t="s">
        <v>48</v>
      </c>
      <c r="B1713" s="90" t="s">
        <v>870</v>
      </c>
      <c r="C1713" s="91" t="s">
        <v>649</v>
      </c>
      <c r="D1713" s="92">
        <v>29</v>
      </c>
      <c r="E1713" s="74">
        <v>58</v>
      </c>
      <c r="F1713" s="93">
        <f>IF(OR(OR(E1713=0,E1713=" "),OR(D1713=0,D1713=" "))," ",D1713*E1713)</f>
        <v>1682</v>
      </c>
    </row>
    <row r="1714" spans="1:6" ht="27.6">
      <c r="A1714" s="89" t="s">
        <v>49</v>
      </c>
      <c r="B1714" s="90" t="s">
        <v>871</v>
      </c>
      <c r="C1714" s="91" t="s">
        <v>649</v>
      </c>
      <c r="D1714" s="92">
        <v>24</v>
      </c>
      <c r="E1714" s="74">
        <v>62</v>
      </c>
      <c r="F1714" s="93">
        <f>IF(OR(OR(E1714=0,E1714=" "),OR(D1714=0,D1714=" "))," ",D1714*E1714)</f>
        <v>1488</v>
      </c>
    </row>
    <row r="1715" spans="1:6">
      <c r="A1715" s="98"/>
      <c r="B1715" s="99"/>
      <c r="C1715" s="100"/>
      <c r="D1715" s="101"/>
      <c r="E1715" s="100"/>
      <c r="F1715" s="102"/>
    </row>
    <row r="1716" spans="1:6">
      <c r="A1716" s="103" t="str">
        <f>A1594</f>
        <v>B.11.</v>
      </c>
      <c r="B1716" s="104" t="str">
        <f>CONCATENATE(B1594," ", "UKUPNO:")</f>
        <v>GIPSARSKI RADOVI UKUPNO:</v>
      </c>
      <c r="D1716" s="73"/>
      <c r="E1716" s="74"/>
      <c r="F1716" s="663">
        <f>SUM(F1611:F1715)</f>
        <v>119368.5</v>
      </c>
    </row>
    <row r="1717" spans="1:6">
      <c r="A1717" s="106"/>
      <c r="B1717" s="107"/>
      <c r="C1717" s="72"/>
      <c r="D1717" s="73"/>
      <c r="E1717" s="74"/>
      <c r="F1717" s="108"/>
    </row>
    <row r="1718" spans="1:6">
      <c r="A1718" s="70"/>
      <c r="B1718" s="71"/>
      <c r="C1718" s="72"/>
      <c r="D1718" s="73"/>
      <c r="E1718" s="74"/>
      <c r="F1718" s="75"/>
    </row>
    <row r="1719" spans="1:6">
      <c r="A1719" s="81" t="s">
        <v>1156</v>
      </c>
      <c r="B1719" s="82" t="s">
        <v>872</v>
      </c>
      <c r="C1719" s="83"/>
      <c r="D1719" s="84"/>
      <c r="E1719" s="85"/>
      <c r="F1719" s="86"/>
    </row>
    <row r="1720" spans="1:6">
      <c r="A1720" s="70"/>
      <c r="B1720" s="71"/>
      <c r="C1720" s="72"/>
      <c r="D1720" s="73"/>
      <c r="E1720" s="74"/>
      <c r="F1720" s="75"/>
    </row>
    <row r="1721" spans="1:6">
      <c r="A1721" s="87" t="s">
        <v>667</v>
      </c>
      <c r="B1721" s="88" t="s">
        <v>873</v>
      </c>
      <c r="C1721" s="72"/>
      <c r="D1721" s="73"/>
      <c r="E1721" s="74"/>
      <c r="F1721" s="75"/>
    </row>
    <row r="1722" spans="1:6" ht="82.8">
      <c r="A1722" s="89" t="s">
        <v>1157</v>
      </c>
      <c r="B1722" s="362" t="s">
        <v>3559</v>
      </c>
      <c r="C1722" s="91"/>
      <c r="D1722" s="73"/>
      <c r="E1722" s="74"/>
      <c r="F1722" s="94"/>
    </row>
    <row r="1723" spans="1:6" ht="124.2">
      <c r="A1723" s="76" t="s">
        <v>665</v>
      </c>
      <c r="B1723" s="90" t="s">
        <v>5449</v>
      </c>
      <c r="C1723" s="78"/>
      <c r="D1723" s="73"/>
      <c r="E1723" s="74"/>
      <c r="F1723" s="79"/>
    </row>
    <row r="1724" spans="1:6">
      <c r="A1724" s="89" t="s">
        <v>48</v>
      </c>
      <c r="B1724" s="90" t="s">
        <v>5442</v>
      </c>
      <c r="C1724" s="91" t="s">
        <v>649</v>
      </c>
      <c r="D1724" s="92">
        <v>9</v>
      </c>
      <c r="E1724" s="74">
        <v>50</v>
      </c>
      <c r="F1724" s="93">
        <f>IF(OR(OR(E1724=0,E1724=" "),OR(D1724=0,D1724=" "))," ",D1724*E1724)</f>
        <v>450</v>
      </c>
    </row>
    <row r="1725" spans="1:6" ht="27.6">
      <c r="A1725" s="89" t="s">
        <v>49</v>
      </c>
      <c r="B1725" s="90" t="s">
        <v>5443</v>
      </c>
      <c r="C1725" s="91" t="s">
        <v>649</v>
      </c>
      <c r="D1725" s="92">
        <v>20</v>
      </c>
      <c r="E1725" s="74">
        <v>40</v>
      </c>
      <c r="F1725" s="93">
        <f t="shared" ref="F1725:F1727" si="24">IF(OR(OR(E1725=0,E1725=" "),OR(D1725=0,D1725=" "))," ",D1725*E1725)</f>
        <v>800</v>
      </c>
    </row>
    <row r="1726" spans="1:6" ht="27.6">
      <c r="A1726" s="89" t="s">
        <v>51</v>
      </c>
      <c r="B1726" s="90" t="s">
        <v>5444</v>
      </c>
      <c r="C1726" s="91" t="s">
        <v>649</v>
      </c>
      <c r="D1726" s="92">
        <v>10</v>
      </c>
      <c r="E1726" s="74">
        <v>35</v>
      </c>
      <c r="F1726" s="93">
        <f t="shared" si="24"/>
        <v>350</v>
      </c>
    </row>
    <row r="1727" spans="1:6" ht="27.6">
      <c r="A1727" s="89" t="s">
        <v>53</v>
      </c>
      <c r="B1727" s="90" t="s">
        <v>5445</v>
      </c>
      <c r="C1727" s="91" t="s">
        <v>649</v>
      </c>
      <c r="D1727" s="92">
        <v>10</v>
      </c>
      <c r="E1727" s="74">
        <v>30</v>
      </c>
      <c r="F1727" s="93">
        <f t="shared" si="24"/>
        <v>300</v>
      </c>
    </row>
    <row r="1728" spans="1:6">
      <c r="A1728" s="89" t="s">
        <v>698</v>
      </c>
      <c r="B1728" s="90" t="s">
        <v>5446</v>
      </c>
      <c r="C1728" s="91" t="s">
        <v>649</v>
      </c>
      <c r="D1728" s="92">
        <v>5</v>
      </c>
      <c r="E1728" s="74">
        <v>35</v>
      </c>
      <c r="F1728" s="93">
        <f>IF(OR(OR(E1728=0,E1728=" "),OR(D1728=0,D1728=" "))," ",D1728*E1728)</f>
        <v>175</v>
      </c>
    </row>
    <row r="1729" spans="1:6">
      <c r="A1729" s="89" t="s">
        <v>699</v>
      </c>
      <c r="B1729" s="90" t="s">
        <v>5448</v>
      </c>
      <c r="C1729" s="91" t="s">
        <v>649</v>
      </c>
      <c r="D1729" s="92">
        <v>2</v>
      </c>
      <c r="E1729" s="74">
        <v>35</v>
      </c>
      <c r="F1729" s="93">
        <f>IF(OR(OR(E1729=0,E1729=" "),OR(D1729=0,D1729=" "))," ",D1729*E1729)</f>
        <v>70</v>
      </c>
    </row>
    <row r="1730" spans="1:6">
      <c r="A1730" s="89" t="s">
        <v>745</v>
      </c>
      <c r="B1730" s="90" t="s">
        <v>5447</v>
      </c>
      <c r="C1730" s="91" t="s">
        <v>649</v>
      </c>
      <c r="D1730" s="92">
        <v>15</v>
      </c>
      <c r="E1730" s="74">
        <v>30</v>
      </c>
      <c r="F1730" s="93">
        <f>IF(OR(OR(E1730=0,E1730=" "),OR(D1730=0,D1730=" "))," ",D1730*E1730)</f>
        <v>450</v>
      </c>
    </row>
    <row r="1731" spans="1:6" ht="41.4">
      <c r="A1731" s="89" t="s">
        <v>803</v>
      </c>
      <c r="B1731" s="90" t="s">
        <v>5450</v>
      </c>
      <c r="C1731" s="91" t="s">
        <v>649</v>
      </c>
      <c r="D1731" s="92">
        <v>10</v>
      </c>
      <c r="E1731" s="74">
        <v>35</v>
      </c>
      <c r="F1731" s="93">
        <f>IF(OR(OR(E1731=0,E1731=" "),OR(D1731=0,D1731=" "))," ",D1731*E1731)</f>
        <v>350</v>
      </c>
    </row>
    <row r="1732" spans="1:6">
      <c r="A1732" s="89"/>
      <c r="B1732" s="90"/>
      <c r="C1732" s="91"/>
      <c r="D1732" s="92"/>
      <c r="E1732" s="74"/>
      <c r="F1732" s="93"/>
    </row>
    <row r="1733" spans="1:6">
      <c r="A1733" s="87" t="s">
        <v>667</v>
      </c>
      <c r="B1733" s="77" t="s">
        <v>874</v>
      </c>
      <c r="C1733" s="91"/>
      <c r="D1733" s="92"/>
      <c r="E1733" s="74"/>
      <c r="F1733" s="93"/>
    </row>
    <row r="1734" spans="1:6" ht="41.4">
      <c r="A1734" s="106" t="s">
        <v>1158</v>
      </c>
      <c r="B1734" s="358" t="s">
        <v>1879</v>
      </c>
      <c r="C1734" s="91"/>
      <c r="D1734" s="92"/>
      <c r="E1734" s="74"/>
      <c r="F1734" s="93"/>
    </row>
    <row r="1735" spans="1:6" ht="303.60000000000002">
      <c r="A1735" s="106" t="s">
        <v>665</v>
      </c>
      <c r="B1735" s="71" t="s">
        <v>5316</v>
      </c>
      <c r="C1735" s="91"/>
      <c r="D1735" s="92"/>
      <c r="E1735" s="74"/>
      <c r="F1735" s="93"/>
    </row>
    <row r="1736" spans="1:6">
      <c r="A1736" s="106" t="s">
        <v>665</v>
      </c>
      <c r="B1736" s="71" t="s">
        <v>875</v>
      </c>
      <c r="C1736" s="91"/>
      <c r="D1736" s="92"/>
      <c r="E1736" s="74"/>
      <c r="F1736" s="93"/>
    </row>
    <row r="1737" spans="1:6" ht="27.6">
      <c r="A1737" s="106"/>
      <c r="B1737" s="71" t="s">
        <v>876</v>
      </c>
      <c r="C1737" s="91"/>
      <c r="D1737" s="92"/>
      <c r="E1737" s="74"/>
      <c r="F1737" s="93"/>
    </row>
    <row r="1738" spans="1:6">
      <c r="A1738" s="106"/>
      <c r="B1738" s="71" t="s">
        <v>877</v>
      </c>
      <c r="C1738" s="91"/>
      <c r="D1738" s="92"/>
      <c r="E1738" s="74"/>
      <c r="F1738" s="93"/>
    </row>
    <row r="1739" spans="1:6" ht="69">
      <c r="A1739" s="106" t="s">
        <v>48</v>
      </c>
      <c r="B1739" s="71" t="s">
        <v>5317</v>
      </c>
      <c r="C1739" s="91" t="s">
        <v>697</v>
      </c>
      <c r="D1739" s="73">
        <v>52</v>
      </c>
      <c r="E1739" s="74">
        <v>10</v>
      </c>
      <c r="F1739" s="93">
        <f t="shared" ref="F1739:F1741" si="25">IF(OR(OR(E1739=0,E1739=" "),OR(D1739=0,D1739=" "))," ",D1739*E1739)</f>
        <v>520</v>
      </c>
    </row>
    <row r="1740" spans="1:6" ht="69">
      <c r="A1740" s="106" t="s">
        <v>49</v>
      </c>
      <c r="B1740" s="71" t="s">
        <v>5318</v>
      </c>
      <c r="C1740" s="91" t="s">
        <v>697</v>
      </c>
      <c r="D1740" s="92">
        <v>50</v>
      </c>
      <c r="E1740" s="74">
        <v>12</v>
      </c>
      <c r="F1740" s="93">
        <f t="shared" ref="F1740" si="26">IF(OR(OR(E1740=0,E1740=" "),OR(D1740=0,D1740=" "))," ",D1740*E1740)</f>
        <v>600</v>
      </c>
    </row>
    <row r="1741" spans="1:6" ht="82.8">
      <c r="A1741" s="106" t="s">
        <v>51</v>
      </c>
      <c r="B1741" s="71" t="s">
        <v>5319</v>
      </c>
      <c r="C1741" s="91" t="s">
        <v>697</v>
      </c>
      <c r="D1741" s="92">
        <v>26</v>
      </c>
      <c r="E1741" s="74">
        <v>12</v>
      </c>
      <c r="F1741" s="93">
        <f t="shared" si="25"/>
        <v>312</v>
      </c>
    </row>
    <row r="1742" spans="1:6">
      <c r="A1742" s="70"/>
      <c r="B1742" s="71"/>
      <c r="C1742" s="72"/>
      <c r="D1742" s="73"/>
      <c r="E1742" s="74"/>
      <c r="F1742" s="75"/>
    </row>
    <row r="1743" spans="1:6">
      <c r="A1743" s="87" t="s">
        <v>667</v>
      </c>
      <c r="B1743" s="88" t="s">
        <v>878</v>
      </c>
      <c r="C1743" s="72"/>
      <c r="D1743" s="92"/>
      <c r="E1743" s="74"/>
      <c r="F1743" s="75"/>
    </row>
    <row r="1744" spans="1:6" ht="179.4">
      <c r="A1744" s="89" t="s">
        <v>1159</v>
      </c>
      <c r="B1744" s="361" t="s">
        <v>1880</v>
      </c>
      <c r="C1744" s="91"/>
      <c r="D1744" s="73"/>
      <c r="E1744" s="74"/>
      <c r="F1744" s="94"/>
    </row>
    <row r="1745" spans="1:6" ht="82.8">
      <c r="A1745" s="76" t="s">
        <v>665</v>
      </c>
      <c r="B1745" s="90" t="s">
        <v>5320</v>
      </c>
      <c r="C1745" s="78"/>
      <c r="D1745" s="73"/>
      <c r="E1745" s="74"/>
      <c r="F1745" s="79"/>
    </row>
    <row r="1746" spans="1:6" ht="41.4">
      <c r="A1746" s="89" t="s">
        <v>48</v>
      </c>
      <c r="B1746" s="90" t="s">
        <v>1881</v>
      </c>
      <c r="C1746" s="91" t="s">
        <v>649</v>
      </c>
      <c r="D1746" s="92">
        <v>2</v>
      </c>
      <c r="E1746" s="74">
        <v>100</v>
      </c>
      <c r="F1746" s="93">
        <f t="shared" ref="F1746:F1749" si="27">IF(OR(OR(E1746=0,E1746=" "),OR(D1746=0,D1746=" "))," ",D1746*E1746)</f>
        <v>200</v>
      </c>
    </row>
    <row r="1747" spans="1:6" ht="41.4">
      <c r="A1747" s="89" t="s">
        <v>49</v>
      </c>
      <c r="B1747" s="90" t="s">
        <v>1882</v>
      </c>
      <c r="C1747" s="91" t="s">
        <v>649</v>
      </c>
      <c r="D1747" s="92">
        <v>1</v>
      </c>
      <c r="E1747" s="74">
        <v>100</v>
      </c>
      <c r="F1747" s="93">
        <f t="shared" si="27"/>
        <v>100</v>
      </c>
    </row>
    <row r="1748" spans="1:6" ht="41.4">
      <c r="A1748" s="89" t="s">
        <v>51</v>
      </c>
      <c r="B1748" s="90" t="s">
        <v>1883</v>
      </c>
      <c r="C1748" s="91" t="s">
        <v>649</v>
      </c>
      <c r="D1748" s="92">
        <v>2</v>
      </c>
      <c r="E1748" s="74">
        <v>100</v>
      </c>
      <c r="F1748" s="93">
        <f t="shared" si="27"/>
        <v>200</v>
      </c>
    </row>
    <row r="1749" spans="1:6" ht="41.4">
      <c r="A1749" s="89" t="s">
        <v>53</v>
      </c>
      <c r="B1749" s="90" t="s">
        <v>1884</v>
      </c>
      <c r="C1749" s="91" t="s">
        <v>649</v>
      </c>
      <c r="D1749" s="92">
        <v>2</v>
      </c>
      <c r="E1749" s="74">
        <v>100</v>
      </c>
      <c r="F1749" s="93">
        <f t="shared" si="27"/>
        <v>200</v>
      </c>
    </row>
    <row r="1750" spans="1:6">
      <c r="A1750" s="89"/>
      <c r="B1750" s="90"/>
      <c r="C1750" s="91"/>
      <c r="D1750" s="92"/>
      <c r="E1750" s="74"/>
      <c r="F1750" s="93"/>
    </row>
    <row r="1751" spans="1:6">
      <c r="A1751" s="87" t="s">
        <v>667</v>
      </c>
      <c r="B1751" s="88" t="s">
        <v>879</v>
      </c>
      <c r="C1751" s="91"/>
      <c r="D1751" s="92"/>
      <c r="E1751" s="74"/>
      <c r="F1751" s="93"/>
    </row>
    <row r="1752" spans="1:6" ht="220.8">
      <c r="A1752" s="89" t="s">
        <v>1160</v>
      </c>
      <c r="B1752" s="364" t="s">
        <v>5321</v>
      </c>
      <c r="C1752" s="91"/>
      <c r="D1752" s="92"/>
      <c r="E1752" s="74"/>
      <c r="F1752" s="93"/>
    </row>
    <row r="1753" spans="1:6" ht="27.6">
      <c r="A1753" s="89"/>
      <c r="B1753" s="71" t="s">
        <v>2122</v>
      </c>
      <c r="C1753" s="91"/>
      <c r="D1753" s="92"/>
      <c r="E1753" s="74"/>
      <c r="F1753" s="93"/>
    </row>
    <row r="1754" spans="1:6">
      <c r="A1754" s="89"/>
      <c r="B1754" s="71" t="s">
        <v>703</v>
      </c>
      <c r="C1754" s="91"/>
      <c r="D1754" s="92"/>
      <c r="E1754" s="74"/>
      <c r="F1754" s="93"/>
    </row>
    <row r="1755" spans="1:6">
      <c r="A1755" s="89" t="s">
        <v>48</v>
      </c>
      <c r="B1755" s="71" t="s">
        <v>880</v>
      </c>
      <c r="C1755" s="91" t="s">
        <v>649</v>
      </c>
      <c r="D1755" s="92">
        <v>16</v>
      </c>
      <c r="E1755" s="74">
        <v>150</v>
      </c>
      <c r="F1755" s="93">
        <f>IF(OR(OR(E1755=0,E1755=" "),OR(D1755=0,D1755=" "))," ",D1755*E1755)</f>
        <v>2400</v>
      </c>
    </row>
    <row r="1756" spans="1:6">
      <c r="A1756" s="89" t="s">
        <v>49</v>
      </c>
      <c r="B1756" s="71" t="s">
        <v>3560</v>
      </c>
      <c r="C1756" s="91" t="s">
        <v>649</v>
      </c>
      <c r="D1756" s="92">
        <v>1</v>
      </c>
      <c r="E1756" s="74">
        <v>100</v>
      </c>
      <c r="F1756" s="93">
        <f>IF(OR(OR(E1756=0,E1756=" "),OR(D1756=0,D1756=" "))," ",D1756*E1756)</f>
        <v>100</v>
      </c>
    </row>
    <row r="1757" spans="1:6">
      <c r="A1757" s="89"/>
      <c r="B1757" s="90"/>
      <c r="C1757" s="91"/>
      <c r="D1757" s="92"/>
      <c r="E1757" s="74"/>
      <c r="F1757" s="93"/>
    </row>
    <row r="1758" spans="1:6">
      <c r="A1758" s="87" t="s">
        <v>667</v>
      </c>
      <c r="B1758" s="88" t="s">
        <v>1885</v>
      </c>
      <c r="C1758" s="91"/>
      <c r="D1758" s="92"/>
      <c r="E1758" s="74"/>
      <c r="F1758" s="93"/>
    </row>
    <row r="1759" spans="1:6" ht="193.2">
      <c r="A1759" s="89"/>
      <c r="B1759" s="367" t="s">
        <v>5322</v>
      </c>
      <c r="C1759" s="91"/>
      <c r="D1759" s="92"/>
      <c r="E1759" s="74"/>
      <c r="F1759" s="93"/>
    </row>
    <row r="1760" spans="1:6">
      <c r="A1760" s="89"/>
      <c r="B1760" s="90"/>
      <c r="C1760" s="91"/>
      <c r="D1760" s="92"/>
      <c r="E1760" s="74"/>
      <c r="F1760" s="93"/>
    </row>
    <row r="1761" spans="1:7" ht="96.6">
      <c r="A1761" s="89" t="s">
        <v>1161</v>
      </c>
      <c r="B1761" s="362" t="s">
        <v>3561</v>
      </c>
      <c r="C1761" s="91"/>
      <c r="D1761" s="410"/>
      <c r="E1761" s="74"/>
      <c r="F1761" s="93"/>
    </row>
    <row r="1762" spans="1:7" ht="41.4">
      <c r="A1762" s="89"/>
      <c r="B1762" s="361" t="s">
        <v>3562</v>
      </c>
      <c r="C1762" s="91"/>
      <c r="D1762" s="92"/>
      <c r="E1762" s="74"/>
      <c r="F1762" s="93"/>
    </row>
    <row r="1763" spans="1:7" ht="41.4">
      <c r="A1763" s="89"/>
      <c r="B1763" s="361" t="s">
        <v>1892</v>
      </c>
      <c r="C1763" s="91"/>
      <c r="D1763" s="92"/>
      <c r="E1763" s="74"/>
      <c r="F1763" s="93"/>
      <c r="G1763" s="387"/>
    </row>
    <row r="1764" spans="1:7" ht="110.4">
      <c r="A1764" s="89"/>
      <c r="B1764" s="361" t="s">
        <v>1900</v>
      </c>
      <c r="C1764" s="91"/>
      <c r="D1764" s="92"/>
      <c r="E1764" s="74"/>
      <c r="F1764" s="93"/>
    </row>
    <row r="1765" spans="1:7" ht="55.2">
      <c r="A1765" s="89"/>
      <c r="B1765" s="361" t="s">
        <v>3216</v>
      </c>
      <c r="C1765" s="91"/>
      <c r="D1765" s="92"/>
      <c r="E1765" s="74"/>
      <c r="F1765" s="93"/>
    </row>
    <row r="1766" spans="1:7" ht="55.2">
      <c r="A1766" s="89"/>
      <c r="B1766" s="361" t="s">
        <v>3217</v>
      </c>
      <c r="C1766" s="91"/>
      <c r="D1766" s="92"/>
      <c r="E1766" s="74"/>
      <c r="F1766" s="93"/>
    </row>
    <row r="1767" spans="1:7" ht="41.4">
      <c r="A1767" s="89"/>
      <c r="B1767" s="361" t="s">
        <v>3252</v>
      </c>
      <c r="C1767" s="91"/>
      <c r="D1767" s="92"/>
      <c r="E1767" s="74"/>
      <c r="F1767" s="93"/>
    </row>
    <row r="1768" spans="1:7" ht="55.2">
      <c r="A1768" s="89"/>
      <c r="B1768" s="409" t="s">
        <v>1893</v>
      </c>
      <c r="C1768" s="91"/>
      <c r="D1768" s="92"/>
      <c r="E1768" s="74"/>
      <c r="F1768" s="93"/>
    </row>
    <row r="1769" spans="1:7" ht="41.4">
      <c r="A1769" s="89"/>
      <c r="B1769" s="90" t="s">
        <v>1896</v>
      </c>
      <c r="C1769" s="91"/>
      <c r="D1769" s="92"/>
      <c r="E1769" s="74"/>
      <c r="F1769" s="93"/>
    </row>
    <row r="1770" spans="1:7" ht="82.8">
      <c r="A1770" s="89"/>
      <c r="B1770" s="90" t="s">
        <v>3218</v>
      </c>
      <c r="C1770" s="91"/>
      <c r="D1770" s="92"/>
      <c r="E1770" s="74"/>
      <c r="F1770" s="93"/>
    </row>
    <row r="1771" spans="1:7" ht="55.2">
      <c r="A1771" s="89"/>
      <c r="B1771" s="90" t="s">
        <v>3220</v>
      </c>
      <c r="C1771" s="91"/>
      <c r="D1771" s="92"/>
      <c r="E1771" s="74"/>
      <c r="F1771" s="93"/>
    </row>
    <row r="1772" spans="1:7" ht="41.4">
      <c r="A1772" s="89"/>
      <c r="B1772" s="71" t="s">
        <v>3177</v>
      </c>
      <c r="C1772" s="91"/>
      <c r="D1772" s="92"/>
      <c r="E1772" s="74"/>
      <c r="F1772" s="93"/>
    </row>
    <row r="1773" spans="1:7">
      <c r="A1773" s="89" t="s">
        <v>48</v>
      </c>
      <c r="B1773" s="90" t="s">
        <v>3563</v>
      </c>
      <c r="C1773" s="91" t="s">
        <v>649</v>
      </c>
      <c r="D1773" s="92">
        <v>1</v>
      </c>
      <c r="E1773" s="74">
        <v>2890</v>
      </c>
      <c r="F1773" s="93">
        <f>IF(OR(OR(E1773=0,E1773=" "),OR(D1773=0,D1773=" "))," ",D1773*E1773)</f>
        <v>2890</v>
      </c>
    </row>
    <row r="1774" spans="1:7">
      <c r="A1774" s="89"/>
      <c r="B1774" s="90"/>
      <c r="C1774" s="91"/>
      <c r="D1774" s="92"/>
      <c r="E1774" s="74"/>
      <c r="F1774" s="93"/>
    </row>
    <row r="1775" spans="1:7" ht="96.6">
      <c r="A1775" s="89" t="s">
        <v>1162</v>
      </c>
      <c r="B1775" s="361" t="s">
        <v>1897</v>
      </c>
      <c r="C1775" s="91"/>
      <c r="D1775" s="410"/>
      <c r="E1775" s="74"/>
      <c r="F1775" s="93"/>
    </row>
    <row r="1776" spans="1:7" ht="41.4">
      <c r="A1776" s="89"/>
      <c r="B1776" s="361" t="s">
        <v>3562</v>
      </c>
      <c r="C1776" s="91"/>
      <c r="D1776" s="92"/>
      <c r="E1776" s="74"/>
      <c r="F1776" s="93"/>
    </row>
    <row r="1777" spans="1:6" ht="41.4">
      <c r="A1777" s="89"/>
      <c r="B1777" s="361" t="s">
        <v>1892</v>
      </c>
      <c r="C1777" s="91"/>
      <c r="D1777" s="92"/>
      <c r="E1777" s="74"/>
      <c r="F1777" s="93"/>
    </row>
    <row r="1778" spans="1:6" ht="110.4">
      <c r="A1778" s="89"/>
      <c r="B1778" s="361" t="s">
        <v>1900</v>
      </c>
      <c r="C1778" s="91"/>
      <c r="D1778" s="92"/>
      <c r="E1778" s="74"/>
      <c r="F1778" s="93"/>
    </row>
    <row r="1779" spans="1:6" ht="55.2">
      <c r="A1779" s="89"/>
      <c r="B1779" s="361" t="s">
        <v>3215</v>
      </c>
      <c r="C1779" s="91"/>
      <c r="D1779" s="92"/>
      <c r="E1779" s="74"/>
      <c r="F1779" s="93"/>
    </row>
    <row r="1780" spans="1:6" ht="55.2">
      <c r="A1780" s="89"/>
      <c r="B1780" s="361" t="s">
        <v>1895</v>
      </c>
      <c r="C1780" s="91"/>
      <c r="D1780" s="92"/>
      <c r="E1780" s="74"/>
      <c r="F1780" s="93"/>
    </row>
    <row r="1781" spans="1:6" ht="27.6">
      <c r="A1781" s="89"/>
      <c r="B1781" s="361" t="s">
        <v>1894</v>
      </c>
      <c r="C1781" s="91"/>
      <c r="D1781" s="92"/>
      <c r="E1781" s="74"/>
      <c r="F1781" s="93"/>
    </row>
    <row r="1782" spans="1:6" ht="55.2">
      <c r="A1782" s="89"/>
      <c r="B1782" s="409" t="s">
        <v>1893</v>
      </c>
      <c r="C1782" s="91"/>
      <c r="D1782" s="92"/>
      <c r="E1782" s="74"/>
      <c r="F1782" s="93"/>
    </row>
    <row r="1783" spans="1:6" ht="41.4">
      <c r="A1783" s="89"/>
      <c r="B1783" s="90" t="s">
        <v>1896</v>
      </c>
      <c r="C1783" s="91"/>
      <c r="D1783" s="92"/>
      <c r="E1783" s="74"/>
      <c r="F1783" s="93"/>
    </row>
    <row r="1784" spans="1:6" ht="69">
      <c r="A1784" s="89"/>
      <c r="B1784" s="90" t="s">
        <v>882</v>
      </c>
      <c r="C1784" s="91"/>
      <c r="D1784" s="92"/>
      <c r="E1784" s="74"/>
      <c r="F1784" s="93"/>
    </row>
    <row r="1785" spans="1:6" ht="55.2">
      <c r="A1785" s="89"/>
      <c r="B1785" s="90" t="s">
        <v>3220</v>
      </c>
      <c r="C1785" s="91"/>
      <c r="D1785" s="92"/>
      <c r="E1785" s="74"/>
      <c r="F1785" s="93"/>
    </row>
    <row r="1786" spans="1:6" ht="41.4">
      <c r="A1786" s="89"/>
      <c r="B1786" s="71" t="s">
        <v>3177</v>
      </c>
      <c r="C1786" s="91"/>
      <c r="D1786" s="92"/>
      <c r="E1786" s="74"/>
      <c r="F1786" s="93"/>
    </row>
    <row r="1787" spans="1:6">
      <c r="A1787" s="89" t="s">
        <v>48</v>
      </c>
      <c r="B1787" s="90" t="s">
        <v>1899</v>
      </c>
      <c r="C1787" s="91" t="s">
        <v>649</v>
      </c>
      <c r="D1787" s="92">
        <v>1</v>
      </c>
      <c r="E1787" s="74">
        <v>1530</v>
      </c>
      <c r="F1787" s="93">
        <f>IF(OR(OR(E1787=0,E1787=" "),OR(D1787=0,D1787=" "))," ",D1787*E1787)</f>
        <v>1530</v>
      </c>
    </row>
    <row r="1788" spans="1:6">
      <c r="A1788" s="89"/>
      <c r="B1788" s="90"/>
      <c r="C1788" s="91"/>
      <c r="D1788" s="92"/>
      <c r="E1788" s="74"/>
      <c r="F1788" s="93"/>
    </row>
    <row r="1789" spans="1:6" ht="96.6">
      <c r="A1789" s="89" t="s">
        <v>1163</v>
      </c>
      <c r="B1789" s="362" t="s">
        <v>3574</v>
      </c>
      <c r="C1789" s="91"/>
      <c r="D1789" s="92"/>
      <c r="E1789" s="74"/>
      <c r="F1789" s="93"/>
    </row>
    <row r="1790" spans="1:6" ht="151.80000000000001">
      <c r="A1790" s="89"/>
      <c r="B1790" s="361" t="s">
        <v>3577</v>
      </c>
      <c r="C1790" s="91"/>
      <c r="D1790" s="92"/>
      <c r="E1790" s="74"/>
      <c r="F1790" s="93"/>
    </row>
    <row r="1791" spans="1:6" ht="124.2">
      <c r="A1791" s="89"/>
      <c r="B1791" s="361" t="s">
        <v>1919</v>
      </c>
      <c r="C1791" s="91"/>
      <c r="D1791" s="92"/>
      <c r="E1791" s="74"/>
      <c r="F1791" s="93"/>
    </row>
    <row r="1792" spans="1:6" ht="110.4">
      <c r="A1792" s="89"/>
      <c r="B1792" s="361" t="s">
        <v>3578</v>
      </c>
      <c r="C1792" s="91"/>
      <c r="D1792" s="92"/>
      <c r="E1792" s="74"/>
      <c r="F1792" s="93"/>
    </row>
    <row r="1793" spans="1:6" ht="124.2">
      <c r="A1793" s="89"/>
      <c r="B1793" s="361" t="s">
        <v>3575</v>
      </c>
      <c r="C1793" s="91"/>
      <c r="D1793" s="92"/>
      <c r="E1793" s="74"/>
      <c r="F1793" s="93"/>
    </row>
    <row r="1794" spans="1:6" ht="179.4">
      <c r="A1794" s="89"/>
      <c r="B1794" s="361" t="s">
        <v>3579</v>
      </c>
      <c r="C1794" s="91"/>
      <c r="D1794" s="92"/>
      <c r="E1794" s="74"/>
      <c r="F1794" s="93"/>
    </row>
    <row r="1795" spans="1:6" ht="110.4">
      <c r="A1795" s="89"/>
      <c r="B1795" s="361" t="s">
        <v>3571</v>
      </c>
      <c r="C1795" s="91"/>
      <c r="D1795" s="92"/>
      <c r="E1795" s="74"/>
      <c r="F1795" s="93"/>
    </row>
    <row r="1796" spans="1:6" ht="96.6">
      <c r="A1796" s="89"/>
      <c r="B1796" s="361" t="s">
        <v>3567</v>
      </c>
      <c r="C1796" s="91"/>
      <c r="D1796" s="92"/>
      <c r="E1796" s="74"/>
      <c r="F1796" s="93"/>
    </row>
    <row r="1797" spans="1:6" ht="151.80000000000001">
      <c r="A1797" s="89"/>
      <c r="B1797" s="361" t="s">
        <v>3570</v>
      </c>
      <c r="C1797" s="91"/>
      <c r="D1797" s="92"/>
      <c r="E1797" s="74"/>
      <c r="F1797" s="93"/>
    </row>
    <row r="1798" spans="1:6" ht="96.6">
      <c r="A1798" s="89"/>
      <c r="B1798" s="361" t="s">
        <v>3219</v>
      </c>
      <c r="C1798" s="91"/>
      <c r="D1798" s="92"/>
      <c r="E1798" s="74"/>
      <c r="F1798" s="93"/>
    </row>
    <row r="1799" spans="1:6" ht="69">
      <c r="A1799" s="89"/>
      <c r="B1799" s="90" t="s">
        <v>882</v>
      </c>
      <c r="C1799" s="91"/>
      <c r="D1799" s="92"/>
      <c r="E1799" s="74"/>
      <c r="F1799" s="93"/>
    </row>
    <row r="1800" spans="1:6" ht="55.2">
      <c r="A1800" s="89"/>
      <c r="B1800" s="90" t="s">
        <v>3220</v>
      </c>
      <c r="C1800" s="91"/>
      <c r="D1800" s="92"/>
      <c r="E1800" s="74"/>
      <c r="F1800" s="93"/>
    </row>
    <row r="1801" spans="1:6" ht="41.4">
      <c r="A1801" s="89"/>
      <c r="B1801" s="71" t="s">
        <v>3177</v>
      </c>
      <c r="C1801" s="91"/>
      <c r="D1801" s="92"/>
      <c r="E1801" s="74"/>
      <c r="F1801" s="93"/>
    </row>
    <row r="1802" spans="1:6">
      <c r="A1802" s="89" t="s">
        <v>48</v>
      </c>
      <c r="B1802" s="90" t="s">
        <v>3573</v>
      </c>
      <c r="C1802" s="91" t="s">
        <v>649</v>
      </c>
      <c r="D1802" s="92">
        <v>1</v>
      </c>
      <c r="E1802" s="74">
        <v>5100</v>
      </c>
      <c r="F1802" s="93">
        <f>IF(OR(OR(E1802=0,E1802=" "),OR(D1802=0,D1802=" "))," ",D1802*E1802)</f>
        <v>5100</v>
      </c>
    </row>
    <row r="1803" spans="1:6">
      <c r="A1803" s="89"/>
      <c r="B1803" s="90"/>
      <c r="C1803" s="91"/>
      <c r="D1803" s="92"/>
      <c r="E1803" s="74"/>
      <c r="F1803" s="93"/>
    </row>
    <row r="1804" spans="1:6" ht="96.6">
      <c r="A1804" s="89" t="s">
        <v>3557</v>
      </c>
      <c r="B1804" s="362" t="s">
        <v>3565</v>
      </c>
      <c r="C1804" s="91"/>
      <c r="D1804" s="92"/>
      <c r="E1804" s="74"/>
      <c r="F1804" s="93"/>
    </row>
    <row r="1805" spans="1:6" ht="151.80000000000001">
      <c r="A1805" s="89"/>
      <c r="B1805" s="361" t="s">
        <v>3576</v>
      </c>
      <c r="C1805" s="91"/>
      <c r="D1805" s="92"/>
      <c r="E1805" s="74"/>
      <c r="F1805" s="93"/>
    </row>
    <row r="1806" spans="1:6" ht="124.2">
      <c r="A1806" s="89"/>
      <c r="B1806" s="361" t="s">
        <v>1919</v>
      </c>
      <c r="C1806" s="91"/>
      <c r="D1806" s="92"/>
      <c r="E1806" s="74"/>
      <c r="F1806" s="93"/>
    </row>
    <row r="1807" spans="1:6" ht="110.4">
      <c r="A1807" s="89"/>
      <c r="B1807" s="361" t="s">
        <v>3566</v>
      </c>
      <c r="C1807" s="91"/>
      <c r="D1807" s="92"/>
      <c r="E1807" s="74"/>
      <c r="F1807" s="93"/>
    </row>
    <row r="1808" spans="1:6" ht="124.2">
      <c r="A1808" s="89"/>
      <c r="B1808" s="361" t="s">
        <v>3575</v>
      </c>
      <c r="C1808" s="91"/>
      <c r="D1808" s="92"/>
      <c r="E1808" s="74"/>
      <c r="F1808" s="93"/>
    </row>
    <row r="1809" spans="1:6" ht="124.2">
      <c r="A1809" s="89"/>
      <c r="B1809" s="361" t="s">
        <v>3568</v>
      </c>
      <c r="C1809" s="91"/>
      <c r="D1809" s="92"/>
      <c r="E1809" s="74"/>
      <c r="F1809" s="93"/>
    </row>
    <row r="1810" spans="1:6" ht="110.4">
      <c r="A1810" s="89"/>
      <c r="B1810" s="361" t="s">
        <v>3571</v>
      </c>
      <c r="C1810" s="91"/>
      <c r="D1810" s="92"/>
      <c r="E1810" s="74"/>
      <c r="F1810" s="93"/>
    </row>
    <row r="1811" spans="1:6" ht="96.6">
      <c r="A1811" s="89"/>
      <c r="B1811" s="361" t="s">
        <v>3567</v>
      </c>
      <c r="C1811" s="91"/>
      <c r="D1811" s="92"/>
      <c r="E1811" s="74"/>
      <c r="F1811" s="93"/>
    </row>
    <row r="1812" spans="1:6" ht="151.80000000000001">
      <c r="A1812" s="89"/>
      <c r="B1812" s="361" t="s">
        <v>3570</v>
      </c>
      <c r="C1812" s="91"/>
      <c r="D1812" s="92"/>
      <c r="E1812" s="74"/>
      <c r="F1812" s="93"/>
    </row>
    <row r="1813" spans="1:6" ht="96.6">
      <c r="A1813" s="89"/>
      <c r="B1813" s="361" t="s">
        <v>3219</v>
      </c>
      <c r="C1813" s="91"/>
      <c r="D1813" s="92"/>
      <c r="E1813" s="74"/>
      <c r="F1813" s="93"/>
    </row>
    <row r="1814" spans="1:6" ht="69">
      <c r="A1814" s="89"/>
      <c r="B1814" s="90" t="s">
        <v>882</v>
      </c>
      <c r="C1814" s="91"/>
      <c r="D1814" s="92"/>
      <c r="E1814" s="74"/>
      <c r="F1814" s="93"/>
    </row>
    <row r="1815" spans="1:6" ht="55.2">
      <c r="A1815" s="89"/>
      <c r="B1815" s="90" t="s">
        <v>3220</v>
      </c>
      <c r="C1815" s="91"/>
      <c r="D1815" s="92"/>
      <c r="E1815" s="74"/>
      <c r="F1815" s="93"/>
    </row>
    <row r="1816" spans="1:6" ht="41.4">
      <c r="A1816" s="89"/>
      <c r="B1816" s="71" t="s">
        <v>3177</v>
      </c>
      <c r="C1816" s="91"/>
      <c r="D1816" s="92"/>
      <c r="E1816" s="74"/>
      <c r="F1816" s="93"/>
    </row>
    <row r="1817" spans="1:6">
      <c r="A1817" s="89" t="s">
        <v>48</v>
      </c>
      <c r="B1817" s="90" t="s">
        <v>3569</v>
      </c>
      <c r="C1817" s="91" t="s">
        <v>649</v>
      </c>
      <c r="D1817" s="92">
        <v>1</v>
      </c>
      <c r="E1817" s="74">
        <v>9010</v>
      </c>
      <c r="F1817" s="93">
        <f>IF(OR(OR(E1817=0,E1817=" "),OR(D1817=0,D1817=" "))," ",D1817*E1817)</f>
        <v>9010</v>
      </c>
    </row>
    <row r="1818" spans="1:6">
      <c r="A1818" s="89"/>
      <c r="B1818" s="90"/>
      <c r="C1818" s="91"/>
      <c r="D1818" s="92"/>
      <c r="E1818" s="74"/>
      <c r="F1818" s="93"/>
    </row>
    <row r="1819" spans="1:6" ht="82.8">
      <c r="A1819" s="89" t="s">
        <v>3558</v>
      </c>
      <c r="B1819" s="362" t="s">
        <v>1905</v>
      </c>
      <c r="C1819" s="91"/>
      <c r="D1819" s="92"/>
      <c r="E1819" s="74"/>
      <c r="F1819" s="93"/>
    </row>
    <row r="1820" spans="1:6" ht="82.8">
      <c r="A1820" s="89"/>
      <c r="B1820" s="361" t="s">
        <v>4125</v>
      </c>
      <c r="C1820" s="91"/>
      <c r="D1820" s="92"/>
      <c r="E1820" s="74"/>
      <c r="F1820" s="93"/>
    </row>
    <row r="1821" spans="1:6" ht="27.6">
      <c r="A1821" s="89"/>
      <c r="B1821" s="361" t="s">
        <v>1901</v>
      </c>
      <c r="C1821" s="91"/>
      <c r="D1821" s="92"/>
      <c r="E1821" s="74"/>
      <c r="F1821" s="93"/>
    </row>
    <row r="1822" spans="1:6" ht="110.4">
      <c r="A1822" s="89"/>
      <c r="B1822" s="361" t="s">
        <v>4124</v>
      </c>
      <c r="C1822" s="91"/>
      <c r="D1822" s="92"/>
      <c r="E1822" s="74"/>
      <c r="F1822" s="93"/>
    </row>
    <row r="1823" spans="1:6" ht="138">
      <c r="A1823" s="89"/>
      <c r="B1823" s="361" t="s">
        <v>1907</v>
      </c>
      <c r="C1823" s="91"/>
      <c r="D1823" s="92"/>
      <c r="E1823" s="74"/>
      <c r="F1823" s="93"/>
    </row>
    <row r="1824" spans="1:6" ht="27.6">
      <c r="A1824" s="89"/>
      <c r="B1824" s="409" t="s">
        <v>1906</v>
      </c>
      <c r="C1824" s="91"/>
      <c r="D1824" s="92"/>
      <c r="E1824" s="74"/>
      <c r="F1824" s="93"/>
    </row>
    <row r="1825" spans="1:6" ht="41.4">
      <c r="A1825" s="89"/>
      <c r="B1825" s="90" t="s">
        <v>1902</v>
      </c>
      <c r="C1825" s="91"/>
      <c r="D1825" s="92"/>
      <c r="E1825" s="74"/>
      <c r="F1825" s="93"/>
    </row>
    <row r="1826" spans="1:6" ht="69">
      <c r="A1826" s="89"/>
      <c r="B1826" s="90" t="s">
        <v>882</v>
      </c>
      <c r="C1826" s="91"/>
      <c r="D1826" s="92"/>
      <c r="E1826" s="74"/>
      <c r="F1826" s="93"/>
    </row>
    <row r="1827" spans="1:6" ht="55.2">
      <c r="A1827" s="89"/>
      <c r="B1827" s="90" t="s">
        <v>3220</v>
      </c>
      <c r="C1827" s="91"/>
      <c r="D1827" s="92"/>
      <c r="E1827" s="74"/>
      <c r="F1827" s="93"/>
    </row>
    <row r="1828" spans="1:6" ht="41.4">
      <c r="A1828" s="89"/>
      <c r="B1828" s="71" t="s">
        <v>3178</v>
      </c>
      <c r="C1828" s="91"/>
      <c r="D1828" s="92"/>
      <c r="E1828" s="74"/>
      <c r="F1828" s="93"/>
    </row>
    <row r="1829" spans="1:6">
      <c r="A1829" s="89" t="s">
        <v>48</v>
      </c>
      <c r="B1829" s="90" t="s">
        <v>1904</v>
      </c>
      <c r="C1829" s="91" t="s">
        <v>649</v>
      </c>
      <c r="D1829" s="92">
        <v>2</v>
      </c>
      <c r="E1829" s="74">
        <v>765</v>
      </c>
      <c r="F1829" s="93">
        <f>IF(OR(OR(E1829=0,E1829=" "),OR(D1829=0,D1829=" "))," ",D1829*E1829)</f>
        <v>1530</v>
      </c>
    </row>
    <row r="1830" spans="1:6">
      <c r="A1830" s="89" t="s">
        <v>49</v>
      </c>
      <c r="B1830" s="90" t="s">
        <v>1903</v>
      </c>
      <c r="C1830" s="91" t="s">
        <v>681</v>
      </c>
      <c r="D1830" s="92">
        <v>4</v>
      </c>
      <c r="E1830" s="74">
        <v>85</v>
      </c>
      <c r="F1830" s="93">
        <f>IF(OR(OR(E1830=0,E1830=" "),OR(D1830=0,D1830=" "))," ",D1830*E1830)</f>
        <v>340</v>
      </c>
    </row>
    <row r="1831" spans="1:6">
      <c r="A1831" s="89"/>
      <c r="B1831" s="90"/>
      <c r="C1831" s="91"/>
      <c r="D1831" s="92"/>
      <c r="E1831" s="74"/>
      <c r="F1831" s="93"/>
    </row>
    <row r="1832" spans="1:6" ht="69">
      <c r="A1832" s="89" t="s">
        <v>4084</v>
      </c>
      <c r="B1832" s="362" t="s">
        <v>1918</v>
      </c>
      <c r="C1832" s="91"/>
      <c r="D1832" s="92"/>
      <c r="E1832" s="74"/>
      <c r="F1832" s="93"/>
    </row>
    <row r="1833" spans="1:6" ht="55.2">
      <c r="A1833" s="89"/>
      <c r="B1833" s="90" t="s">
        <v>5137</v>
      </c>
      <c r="C1833" s="91"/>
      <c r="D1833" s="92"/>
      <c r="E1833" s="74"/>
      <c r="F1833" s="93"/>
    </row>
    <row r="1834" spans="1:6" ht="27.6">
      <c r="A1834" s="89"/>
      <c r="B1834" s="90" t="s">
        <v>1908</v>
      </c>
      <c r="C1834" s="91"/>
      <c r="D1834" s="92"/>
      <c r="E1834" s="74"/>
      <c r="F1834" s="93"/>
    </row>
    <row r="1835" spans="1:6" ht="41.4">
      <c r="A1835" s="89"/>
      <c r="B1835" s="90" t="s">
        <v>1909</v>
      </c>
      <c r="C1835" s="91"/>
      <c r="D1835" s="92"/>
      <c r="E1835" s="74"/>
      <c r="F1835" s="93"/>
    </row>
    <row r="1836" spans="1:6" ht="55.2">
      <c r="A1836" s="89"/>
      <c r="B1836" s="90" t="s">
        <v>1910</v>
      </c>
      <c r="C1836" s="91"/>
      <c r="D1836" s="92"/>
      <c r="E1836" s="74"/>
      <c r="F1836" s="93"/>
    </row>
    <row r="1837" spans="1:6" ht="96.6">
      <c r="A1837" s="89"/>
      <c r="B1837" s="90" t="s">
        <v>3221</v>
      </c>
      <c r="C1837" s="91"/>
      <c r="D1837" s="92"/>
      <c r="E1837" s="74"/>
      <c r="F1837" s="93"/>
    </row>
    <row r="1838" spans="1:6" ht="27.6">
      <c r="A1838" s="89"/>
      <c r="B1838" s="409" t="s">
        <v>1906</v>
      </c>
      <c r="C1838" s="91"/>
      <c r="D1838" s="92"/>
      <c r="E1838" s="74"/>
      <c r="F1838" s="93"/>
    </row>
    <row r="1839" spans="1:6" ht="41.4">
      <c r="A1839" s="89"/>
      <c r="B1839" s="90" t="s">
        <v>1911</v>
      </c>
      <c r="C1839" s="91"/>
      <c r="D1839" s="92"/>
      <c r="E1839" s="74"/>
      <c r="F1839" s="93"/>
    </row>
    <row r="1840" spans="1:6" ht="69">
      <c r="A1840" s="89"/>
      <c r="B1840" s="90" t="s">
        <v>882</v>
      </c>
      <c r="C1840" s="91"/>
      <c r="D1840" s="92"/>
      <c r="E1840" s="74"/>
      <c r="F1840" s="93"/>
    </row>
    <row r="1841" spans="1:6" ht="55.2">
      <c r="A1841" s="89"/>
      <c r="B1841" s="90" t="s">
        <v>3220</v>
      </c>
      <c r="C1841" s="91"/>
      <c r="D1841" s="92"/>
      <c r="E1841" s="74"/>
      <c r="F1841" s="93"/>
    </row>
    <row r="1842" spans="1:6" ht="41.4">
      <c r="A1842" s="89"/>
      <c r="B1842" s="71" t="s">
        <v>3177</v>
      </c>
      <c r="C1842" s="91"/>
      <c r="D1842" s="92"/>
      <c r="E1842" s="74"/>
      <c r="F1842" s="93"/>
    </row>
    <row r="1843" spans="1:6">
      <c r="A1843" s="89" t="s">
        <v>48</v>
      </c>
      <c r="B1843" s="90" t="s">
        <v>884</v>
      </c>
      <c r="C1843" s="91" t="s">
        <v>649</v>
      </c>
      <c r="D1843" s="92">
        <v>1</v>
      </c>
      <c r="E1843" s="74">
        <v>2380</v>
      </c>
      <c r="F1843" s="93">
        <f>IF(OR(OR(E1843=0,E1843=" "),OR(D1843=0,D1843=" "))," ",D1843*E1843)</f>
        <v>2380</v>
      </c>
    </row>
    <row r="1844" spans="1:6">
      <c r="A1844" s="89"/>
      <c r="B1844" s="90"/>
      <c r="C1844" s="91"/>
      <c r="D1844" s="92"/>
      <c r="E1844" s="74"/>
      <c r="F1844" s="93"/>
    </row>
    <row r="1845" spans="1:6" ht="82.8">
      <c r="A1845" s="89" t="s">
        <v>4085</v>
      </c>
      <c r="B1845" s="362" t="s">
        <v>1917</v>
      </c>
      <c r="C1845" s="91"/>
      <c r="D1845" s="410"/>
      <c r="E1845" s="74"/>
      <c r="F1845" s="93"/>
    </row>
    <row r="1846" spans="1:6" ht="96.6">
      <c r="A1846" s="89"/>
      <c r="B1846" s="373" t="s">
        <v>1913</v>
      </c>
      <c r="C1846" s="91"/>
      <c r="D1846" s="410"/>
      <c r="E1846" s="74"/>
      <c r="F1846" s="93"/>
    </row>
    <row r="1847" spans="1:6">
      <c r="A1847" s="89"/>
      <c r="B1847" s="373" t="s">
        <v>1914</v>
      </c>
      <c r="C1847" s="91"/>
      <c r="D1847" s="410"/>
      <c r="E1847" s="74"/>
      <c r="F1847" s="93"/>
    </row>
    <row r="1848" spans="1:6" ht="124.2">
      <c r="A1848" s="89"/>
      <c r="B1848" s="373" t="s">
        <v>3222</v>
      </c>
      <c r="C1848" s="91"/>
      <c r="D1848" s="410"/>
      <c r="E1848" s="74"/>
      <c r="F1848" s="93"/>
    </row>
    <row r="1849" spans="1:6" ht="96.6">
      <c r="A1849" s="89"/>
      <c r="B1849" s="373" t="s">
        <v>3223</v>
      </c>
      <c r="C1849" s="91"/>
      <c r="D1849" s="410"/>
      <c r="E1849" s="74"/>
      <c r="F1849" s="93"/>
    </row>
    <row r="1850" spans="1:6" ht="82.8">
      <c r="A1850" s="89"/>
      <c r="B1850" s="373" t="s">
        <v>1916</v>
      </c>
      <c r="C1850" s="91"/>
      <c r="D1850" s="410"/>
      <c r="E1850" s="74"/>
      <c r="F1850" s="93"/>
    </row>
    <row r="1851" spans="1:6" ht="69">
      <c r="A1851" s="89"/>
      <c r="B1851" s="373" t="s">
        <v>3572</v>
      </c>
      <c r="C1851" s="91"/>
      <c r="D1851" s="410"/>
      <c r="E1851" s="74"/>
      <c r="F1851" s="93"/>
    </row>
    <row r="1852" spans="1:6" ht="55.2">
      <c r="A1852" s="89"/>
      <c r="B1852" s="373" t="s">
        <v>5138</v>
      </c>
      <c r="C1852" s="91"/>
      <c r="D1852" s="410"/>
      <c r="E1852" s="74"/>
      <c r="F1852" s="93"/>
    </row>
    <row r="1853" spans="1:6">
      <c r="A1853" s="89"/>
      <c r="B1853" s="373" t="s">
        <v>1915</v>
      </c>
      <c r="C1853" s="91"/>
      <c r="D1853" s="410"/>
      <c r="E1853" s="74"/>
      <c r="F1853" s="93"/>
    </row>
    <row r="1854" spans="1:6" ht="138">
      <c r="A1854" s="89"/>
      <c r="B1854" s="361" t="s">
        <v>4126</v>
      </c>
      <c r="C1854" s="91"/>
      <c r="D1854" s="92"/>
      <c r="E1854" s="74"/>
      <c r="F1854" s="93"/>
    </row>
    <row r="1855" spans="1:6" ht="69">
      <c r="A1855" s="89"/>
      <c r="B1855" s="90" t="s">
        <v>882</v>
      </c>
      <c r="C1855" s="91"/>
      <c r="D1855" s="92"/>
      <c r="E1855" s="74"/>
      <c r="F1855" s="93"/>
    </row>
    <row r="1856" spans="1:6" ht="55.2">
      <c r="A1856" s="89"/>
      <c r="B1856" s="90" t="s">
        <v>3220</v>
      </c>
      <c r="C1856" s="91"/>
      <c r="D1856" s="92"/>
      <c r="E1856" s="74"/>
      <c r="F1856" s="93"/>
    </row>
    <row r="1857" spans="1:6" ht="55.2">
      <c r="A1857" s="89"/>
      <c r="B1857" s="71" t="s">
        <v>4127</v>
      </c>
      <c r="C1857" s="91"/>
      <c r="D1857" s="92"/>
      <c r="E1857" s="74"/>
      <c r="F1857" s="93"/>
    </row>
    <row r="1858" spans="1:6">
      <c r="A1858" s="89" t="s">
        <v>48</v>
      </c>
      <c r="B1858" s="90" t="s">
        <v>1912</v>
      </c>
      <c r="C1858" s="91" t="s">
        <v>649</v>
      </c>
      <c r="D1858" s="92">
        <v>1</v>
      </c>
      <c r="E1858" s="74">
        <v>850</v>
      </c>
      <c r="F1858" s="93">
        <f>IF(OR(OR(E1858=0,E1858=" "),OR(D1858=0,D1858=" "))," ",D1858*E1858)</f>
        <v>850</v>
      </c>
    </row>
    <row r="1859" spans="1:6">
      <c r="A1859" s="89"/>
      <c r="B1859" s="90"/>
      <c r="C1859" s="91"/>
      <c r="D1859" s="92"/>
      <c r="E1859" s="74"/>
      <c r="F1859" s="93"/>
    </row>
    <row r="1860" spans="1:6" ht="41.4">
      <c r="A1860" s="89" t="s">
        <v>4086</v>
      </c>
      <c r="B1860" s="362" t="s">
        <v>1891</v>
      </c>
      <c r="C1860" s="91"/>
      <c r="D1860" s="92"/>
      <c r="E1860" s="74"/>
      <c r="F1860" s="93"/>
    </row>
    <row r="1861" spans="1:6" ht="55.2">
      <c r="A1861" s="89"/>
      <c r="B1861" s="90" t="s">
        <v>1920</v>
      </c>
      <c r="C1861" s="91"/>
      <c r="D1861" s="92"/>
      <c r="E1861" s="74"/>
      <c r="F1861" s="93"/>
    </row>
    <row r="1862" spans="1:6" ht="55.2">
      <c r="A1862" s="89"/>
      <c r="B1862" s="362" t="s">
        <v>3224</v>
      </c>
      <c r="C1862" s="91"/>
      <c r="D1862" s="92"/>
      <c r="E1862" s="74"/>
      <c r="F1862" s="93"/>
    </row>
    <row r="1863" spans="1:6" ht="82.8">
      <c r="A1863" s="89"/>
      <c r="B1863" s="90" t="s">
        <v>3225</v>
      </c>
      <c r="C1863" s="91"/>
      <c r="D1863" s="92"/>
      <c r="E1863" s="74"/>
      <c r="F1863" s="93"/>
    </row>
    <row r="1864" spans="1:6" ht="41.4">
      <c r="A1864" s="89"/>
      <c r="B1864" s="90" t="s">
        <v>1921</v>
      </c>
      <c r="C1864" s="91"/>
      <c r="D1864" s="92"/>
      <c r="E1864" s="74"/>
      <c r="F1864" s="93"/>
    </row>
    <row r="1865" spans="1:6" ht="69">
      <c r="A1865" s="89"/>
      <c r="B1865" s="90" t="s">
        <v>882</v>
      </c>
      <c r="C1865" s="91"/>
      <c r="D1865" s="92"/>
      <c r="E1865" s="74"/>
      <c r="F1865" s="93"/>
    </row>
    <row r="1866" spans="1:6" ht="55.2">
      <c r="A1866" s="89"/>
      <c r="B1866" s="90" t="s">
        <v>3220</v>
      </c>
      <c r="C1866" s="91"/>
      <c r="D1866" s="92"/>
      <c r="E1866" s="74"/>
      <c r="F1866" s="93"/>
    </row>
    <row r="1867" spans="1:6" ht="41.4">
      <c r="A1867" s="89"/>
      <c r="B1867" s="90" t="s">
        <v>3564</v>
      </c>
      <c r="C1867" s="91"/>
      <c r="D1867" s="92"/>
      <c r="E1867" s="74"/>
      <c r="F1867" s="93"/>
    </row>
    <row r="1868" spans="1:6" ht="41.4">
      <c r="A1868" s="89"/>
      <c r="B1868" s="71" t="s">
        <v>3177</v>
      </c>
      <c r="C1868" s="91"/>
      <c r="D1868" s="92"/>
      <c r="E1868" s="74"/>
      <c r="F1868" s="93"/>
    </row>
    <row r="1869" spans="1:6">
      <c r="A1869" s="89" t="s">
        <v>48</v>
      </c>
      <c r="B1869" s="90" t="s">
        <v>885</v>
      </c>
      <c r="C1869" s="91" t="s">
        <v>649</v>
      </c>
      <c r="D1869" s="92">
        <v>2</v>
      </c>
      <c r="E1869" s="74">
        <v>850</v>
      </c>
      <c r="F1869" s="93">
        <f>IF(OR(OR(E1869=0,E1869=" "),OR(D1869=0,D1869=" "))," ",D1869*E1869)</f>
        <v>1700</v>
      </c>
    </row>
    <row r="1870" spans="1:6">
      <c r="A1870" s="89"/>
      <c r="B1870" s="90"/>
      <c r="C1870" s="91"/>
      <c r="D1870" s="92"/>
      <c r="E1870" s="74"/>
      <c r="F1870" s="93"/>
    </row>
    <row r="1871" spans="1:6" ht="82.8">
      <c r="A1871" s="89" t="s">
        <v>4087</v>
      </c>
      <c r="B1871" s="362" t="s">
        <v>1922</v>
      </c>
      <c r="C1871" s="91"/>
      <c r="D1871" s="410"/>
      <c r="E1871" s="74"/>
      <c r="F1871" s="93"/>
    </row>
    <row r="1872" spans="1:6" ht="82.8">
      <c r="A1872" s="89"/>
      <c r="B1872" s="373" t="s">
        <v>3226</v>
      </c>
      <c r="C1872" s="91"/>
      <c r="D1872" s="410"/>
      <c r="E1872" s="74"/>
      <c r="F1872" s="93"/>
    </row>
    <row r="1873" spans="1:6">
      <c r="A1873" s="89"/>
      <c r="B1873" s="373" t="s">
        <v>4128</v>
      </c>
      <c r="C1873" s="91"/>
      <c r="D1873" s="410"/>
      <c r="E1873" s="74"/>
      <c r="F1873" s="93"/>
    </row>
    <row r="1874" spans="1:6" ht="27.6">
      <c r="A1874" s="89"/>
      <c r="B1874" s="373" t="s">
        <v>1923</v>
      </c>
      <c r="C1874" s="91"/>
      <c r="D1874" s="410"/>
      <c r="E1874" s="74"/>
      <c r="F1874" s="93"/>
    </row>
    <row r="1875" spans="1:6" ht="82.8">
      <c r="A1875" s="89"/>
      <c r="B1875" s="373" t="s">
        <v>1925</v>
      </c>
      <c r="C1875" s="91"/>
      <c r="D1875" s="410"/>
      <c r="E1875" s="74"/>
      <c r="F1875" s="93"/>
    </row>
    <row r="1876" spans="1:6" ht="69">
      <c r="A1876" s="89"/>
      <c r="B1876" s="90" t="s">
        <v>882</v>
      </c>
      <c r="C1876" s="91"/>
      <c r="D1876" s="92"/>
      <c r="E1876" s="74"/>
      <c r="F1876" s="93"/>
    </row>
    <row r="1877" spans="1:6" ht="55.2">
      <c r="A1877" s="89"/>
      <c r="B1877" s="90" t="s">
        <v>3220</v>
      </c>
      <c r="C1877" s="91"/>
      <c r="D1877" s="92"/>
      <c r="E1877" s="74"/>
      <c r="F1877" s="93"/>
    </row>
    <row r="1878" spans="1:6" ht="41.4">
      <c r="A1878" s="89"/>
      <c r="B1878" s="71" t="s">
        <v>3177</v>
      </c>
      <c r="C1878" s="91"/>
      <c r="D1878" s="92"/>
      <c r="E1878" s="74"/>
      <c r="F1878" s="93"/>
    </row>
    <row r="1879" spans="1:6">
      <c r="A1879" s="89" t="s">
        <v>48</v>
      </c>
      <c r="B1879" s="90" t="s">
        <v>1924</v>
      </c>
      <c r="C1879" s="91" t="s">
        <v>649</v>
      </c>
      <c r="D1879" s="92">
        <v>1</v>
      </c>
      <c r="E1879" s="74">
        <v>1530</v>
      </c>
      <c r="F1879" s="93">
        <f>IF(OR(OR(E1879=0,E1879=" "),OR(D1879=0,D1879=" "))," ",D1879*E1879)</f>
        <v>1530</v>
      </c>
    </row>
    <row r="1880" spans="1:6">
      <c r="A1880" s="89"/>
      <c r="B1880" s="90"/>
      <c r="C1880" s="91"/>
      <c r="D1880" s="92"/>
      <c r="E1880" s="74"/>
      <c r="F1880" s="93"/>
    </row>
    <row r="1881" spans="1:6" ht="55.2">
      <c r="A1881" s="89" t="s">
        <v>4088</v>
      </c>
      <c r="B1881" s="361" t="s">
        <v>1886</v>
      </c>
      <c r="C1881" s="91"/>
      <c r="D1881" s="92"/>
      <c r="E1881" s="74"/>
      <c r="F1881" s="93"/>
    </row>
    <row r="1882" spans="1:6" ht="55.2">
      <c r="A1882" s="89"/>
      <c r="B1882" s="90" t="s">
        <v>883</v>
      </c>
      <c r="C1882" s="91"/>
      <c r="D1882" s="92"/>
      <c r="E1882" s="74"/>
      <c r="F1882" s="93"/>
    </row>
    <row r="1883" spans="1:6" ht="151.80000000000001">
      <c r="A1883" s="89"/>
      <c r="B1883" s="90" t="s">
        <v>4129</v>
      </c>
      <c r="C1883" s="91"/>
      <c r="D1883" s="92"/>
      <c r="E1883" s="74"/>
      <c r="F1883" s="93"/>
    </row>
    <row r="1884" spans="1:6" ht="41.4">
      <c r="A1884" s="89"/>
      <c r="B1884" s="90" t="s">
        <v>881</v>
      </c>
      <c r="C1884" s="91"/>
      <c r="D1884" s="92"/>
      <c r="E1884" s="74"/>
      <c r="F1884" s="93"/>
    </row>
    <row r="1885" spans="1:6" ht="69">
      <c r="A1885" s="89"/>
      <c r="B1885" s="90" t="s">
        <v>882</v>
      </c>
      <c r="C1885" s="91"/>
      <c r="D1885" s="92"/>
      <c r="E1885" s="74"/>
      <c r="F1885" s="93"/>
    </row>
    <row r="1886" spans="1:6" ht="82.8">
      <c r="A1886" s="89"/>
      <c r="B1886" s="90" t="s">
        <v>5043</v>
      </c>
      <c r="C1886" s="91"/>
      <c r="D1886" s="92"/>
      <c r="E1886" s="74"/>
      <c r="F1886" s="93"/>
    </row>
    <row r="1887" spans="1:6" ht="55.2">
      <c r="A1887" s="89"/>
      <c r="B1887" s="90" t="s">
        <v>3220</v>
      </c>
      <c r="C1887" s="91"/>
      <c r="D1887" s="92"/>
      <c r="E1887" s="74"/>
      <c r="F1887" s="93"/>
    </row>
    <row r="1888" spans="1:6" ht="41.4">
      <c r="A1888" s="89"/>
      <c r="B1888" s="71" t="s">
        <v>3177</v>
      </c>
      <c r="C1888" s="91"/>
      <c r="D1888" s="92"/>
      <c r="E1888" s="74"/>
      <c r="F1888" s="93"/>
    </row>
    <row r="1889" spans="1:12">
      <c r="A1889" s="89" t="s">
        <v>48</v>
      </c>
      <c r="B1889" s="90" t="s">
        <v>1887</v>
      </c>
      <c r="C1889" s="91" t="s">
        <v>649</v>
      </c>
      <c r="D1889" s="92">
        <v>10</v>
      </c>
      <c r="E1889" s="74">
        <v>510</v>
      </c>
      <c r="F1889" s="93">
        <f>IF(OR(OR(E1889=0,E1889=" "),OR(D1889=0,D1889=" "))," ",D1889*E1889)</f>
        <v>5100</v>
      </c>
      <c r="G1889" s="7"/>
    </row>
    <row r="1890" spans="1:12">
      <c r="A1890" s="89"/>
      <c r="B1890" s="90"/>
      <c r="C1890" s="91"/>
      <c r="D1890" s="92"/>
      <c r="E1890" s="74"/>
      <c r="F1890" s="93"/>
      <c r="G1890" s="7"/>
      <c r="H1890" s="7"/>
      <c r="I1890" s="7"/>
      <c r="J1890" s="7"/>
      <c r="K1890" s="7"/>
      <c r="L1890" s="7"/>
    </row>
    <row r="1891" spans="1:12" ht="55.2">
      <c r="A1891" s="89" t="s">
        <v>4089</v>
      </c>
      <c r="B1891" s="361" t="s">
        <v>1888</v>
      </c>
      <c r="C1891" s="91"/>
      <c r="D1891" s="92"/>
      <c r="E1891" s="74"/>
      <c r="F1891" s="93"/>
      <c r="G1891" s="7"/>
      <c r="H1891" s="7"/>
      <c r="I1891" s="7"/>
      <c r="J1891" s="7"/>
      <c r="K1891" s="7"/>
      <c r="L1891" s="7"/>
    </row>
    <row r="1892" spans="1:12" ht="55.2">
      <c r="A1892" s="89"/>
      <c r="B1892" s="90" t="s">
        <v>883</v>
      </c>
      <c r="C1892" s="91"/>
      <c r="D1892" s="92"/>
      <c r="E1892" s="74"/>
      <c r="F1892" s="93"/>
      <c r="G1892" s="7"/>
      <c r="H1892" s="7"/>
      <c r="I1892" s="7"/>
      <c r="J1892" s="7"/>
      <c r="K1892" s="7"/>
      <c r="L1892" s="7"/>
    </row>
    <row r="1893" spans="1:12" ht="151.80000000000001">
      <c r="A1893" s="89"/>
      <c r="B1893" s="90" t="s">
        <v>4130</v>
      </c>
      <c r="C1893" s="91"/>
      <c r="D1893" s="92"/>
      <c r="E1893" s="74"/>
      <c r="F1893" s="93"/>
      <c r="G1893" s="7"/>
      <c r="H1893" s="7"/>
      <c r="I1893" s="7"/>
      <c r="J1893" s="7"/>
      <c r="K1893" s="7"/>
      <c r="L1893" s="7"/>
    </row>
    <row r="1894" spans="1:12" ht="41.4">
      <c r="A1894" s="89"/>
      <c r="B1894" s="90" t="s">
        <v>1889</v>
      </c>
      <c r="C1894" s="91"/>
      <c r="D1894" s="92"/>
      <c r="E1894" s="74"/>
      <c r="F1894" s="93"/>
      <c r="G1894" s="7"/>
      <c r="H1894" s="7"/>
      <c r="I1894" s="7"/>
      <c r="J1894" s="7"/>
      <c r="K1894" s="7"/>
      <c r="L1894" s="7"/>
    </row>
    <row r="1895" spans="1:12" ht="69">
      <c r="A1895" s="89"/>
      <c r="B1895" s="90" t="s">
        <v>882</v>
      </c>
      <c r="C1895" s="91"/>
      <c r="D1895" s="92"/>
      <c r="E1895" s="74"/>
      <c r="F1895" s="93"/>
      <c r="G1895" s="7"/>
      <c r="H1895" s="7"/>
      <c r="I1895" s="7"/>
      <c r="J1895" s="7"/>
      <c r="K1895" s="7"/>
      <c r="L1895" s="7"/>
    </row>
    <row r="1896" spans="1:12" ht="82.8">
      <c r="A1896" s="89"/>
      <c r="B1896" s="90" t="s">
        <v>5043</v>
      </c>
      <c r="C1896" s="91"/>
      <c r="D1896" s="92"/>
      <c r="E1896" s="74"/>
      <c r="F1896" s="93"/>
      <c r="G1896" s="7"/>
      <c r="H1896" s="7"/>
      <c r="I1896" s="7"/>
      <c r="J1896" s="7"/>
      <c r="K1896" s="7"/>
      <c r="L1896" s="7"/>
    </row>
    <row r="1897" spans="1:12" ht="55.2">
      <c r="A1897" s="89"/>
      <c r="B1897" s="90" t="s">
        <v>3220</v>
      </c>
      <c r="C1897" s="91"/>
      <c r="D1897" s="92"/>
      <c r="E1897" s="74"/>
      <c r="F1897" s="93"/>
      <c r="G1897" s="7"/>
      <c r="H1897" s="7"/>
      <c r="I1897" s="7"/>
      <c r="J1897" s="7"/>
      <c r="K1897" s="7"/>
      <c r="L1897" s="7"/>
    </row>
    <row r="1898" spans="1:12" ht="41.4">
      <c r="A1898" s="89"/>
      <c r="B1898" s="71" t="s">
        <v>3177</v>
      </c>
      <c r="C1898" s="91"/>
      <c r="D1898" s="92"/>
      <c r="E1898" s="74"/>
      <c r="F1898" s="93"/>
      <c r="G1898" s="7"/>
      <c r="H1898" s="7"/>
      <c r="I1898" s="7"/>
      <c r="J1898" s="7"/>
      <c r="K1898" s="7"/>
      <c r="L1898" s="7"/>
    </row>
    <row r="1899" spans="1:12">
      <c r="A1899" s="89" t="s">
        <v>48</v>
      </c>
      <c r="B1899" s="90" t="s">
        <v>1890</v>
      </c>
      <c r="C1899" s="91" t="s">
        <v>649</v>
      </c>
      <c r="D1899" s="92">
        <v>5</v>
      </c>
      <c r="E1899" s="74">
        <v>850</v>
      </c>
      <c r="F1899" s="93">
        <f>IF(OR(OR(E1899=0,E1899=" "),OR(D1899=0,D1899=" "))," ",D1899*E1899)</f>
        <v>4250</v>
      </c>
      <c r="G1899" s="7"/>
      <c r="H1899" s="7"/>
      <c r="I1899" s="7"/>
      <c r="J1899" s="7"/>
      <c r="K1899" s="7"/>
      <c r="L1899" s="7"/>
    </row>
    <row r="1900" spans="1:12">
      <c r="A1900" s="89"/>
      <c r="B1900" s="90"/>
      <c r="C1900" s="91"/>
      <c r="D1900" s="92"/>
      <c r="E1900" s="74"/>
      <c r="F1900" s="93"/>
      <c r="G1900" s="7"/>
      <c r="H1900" s="7"/>
      <c r="I1900" s="7"/>
      <c r="J1900" s="7"/>
      <c r="K1900" s="7"/>
      <c r="L1900" s="7"/>
    </row>
    <row r="1901" spans="1:12" ht="55.2">
      <c r="A1901" s="89" t="s">
        <v>4090</v>
      </c>
      <c r="B1901" s="362" t="s">
        <v>3580</v>
      </c>
      <c r="C1901" s="91"/>
      <c r="D1901" s="92"/>
      <c r="E1901" s="74"/>
      <c r="F1901" s="93"/>
      <c r="G1901" s="7"/>
      <c r="H1901" s="7"/>
      <c r="I1901" s="7"/>
      <c r="J1901" s="7"/>
      <c r="K1901" s="7"/>
      <c r="L1901" s="7"/>
    </row>
    <row r="1902" spans="1:12" ht="41.4">
      <c r="A1902" s="89"/>
      <c r="B1902" s="362" t="s">
        <v>5139</v>
      </c>
      <c r="C1902" s="91"/>
      <c r="D1902" s="92"/>
      <c r="E1902" s="74"/>
      <c r="F1902" s="93"/>
      <c r="G1902" s="7"/>
      <c r="H1902" s="7"/>
      <c r="I1902" s="7"/>
      <c r="J1902" s="7"/>
      <c r="K1902" s="7"/>
      <c r="L1902" s="7"/>
    </row>
    <row r="1903" spans="1:12" ht="69">
      <c r="A1903" s="89"/>
      <c r="B1903" s="90" t="s">
        <v>5035</v>
      </c>
      <c r="C1903" s="91"/>
      <c r="D1903" s="92"/>
      <c r="E1903" s="74"/>
      <c r="F1903" s="93"/>
      <c r="G1903" s="7"/>
      <c r="H1903" s="7"/>
      <c r="I1903" s="7"/>
      <c r="J1903" s="7"/>
      <c r="K1903" s="7"/>
      <c r="L1903" s="7"/>
    </row>
    <row r="1904" spans="1:12" ht="151.80000000000001">
      <c r="A1904" s="89"/>
      <c r="B1904" s="90" t="s">
        <v>4131</v>
      </c>
      <c r="C1904" s="91"/>
      <c r="D1904" s="92"/>
      <c r="E1904" s="74"/>
      <c r="F1904" s="93"/>
      <c r="G1904" s="7"/>
      <c r="H1904" s="7"/>
      <c r="I1904" s="7"/>
      <c r="J1904" s="7"/>
      <c r="K1904" s="7"/>
      <c r="L1904" s="7"/>
    </row>
    <row r="1905" spans="1:12" ht="41.4">
      <c r="A1905" s="89"/>
      <c r="B1905" s="90" t="s">
        <v>3581</v>
      </c>
      <c r="C1905" s="91"/>
      <c r="D1905" s="92"/>
      <c r="E1905" s="74"/>
      <c r="F1905" s="93"/>
      <c r="G1905" s="7"/>
      <c r="H1905" s="7"/>
      <c r="I1905" s="7"/>
      <c r="J1905" s="7"/>
      <c r="K1905" s="7"/>
      <c r="L1905" s="7"/>
    </row>
    <row r="1906" spans="1:12" ht="69">
      <c r="A1906" s="89"/>
      <c r="B1906" s="90" t="s">
        <v>882</v>
      </c>
      <c r="C1906" s="91"/>
      <c r="D1906" s="92"/>
      <c r="E1906" s="74"/>
      <c r="F1906" s="93"/>
      <c r="G1906" s="7"/>
      <c r="H1906" s="7"/>
      <c r="I1906" s="7"/>
      <c r="J1906" s="7"/>
      <c r="K1906" s="7"/>
      <c r="L1906" s="7"/>
    </row>
    <row r="1907" spans="1:12" ht="82.8">
      <c r="A1907" s="89"/>
      <c r="B1907" s="90" t="s">
        <v>5042</v>
      </c>
      <c r="C1907" s="91"/>
      <c r="D1907" s="92"/>
      <c r="E1907" s="74"/>
      <c r="F1907" s="93"/>
      <c r="G1907" s="7"/>
      <c r="H1907" s="7"/>
      <c r="I1907" s="7"/>
      <c r="J1907" s="7"/>
      <c r="K1907" s="7"/>
      <c r="L1907" s="7"/>
    </row>
    <row r="1908" spans="1:12" ht="55.2">
      <c r="A1908" s="89"/>
      <c r="B1908" s="90" t="s">
        <v>3220</v>
      </c>
      <c r="C1908" s="91"/>
      <c r="D1908" s="92"/>
      <c r="E1908" s="74"/>
      <c r="F1908" s="93"/>
      <c r="G1908" s="7"/>
      <c r="H1908" s="7"/>
      <c r="I1908" s="7"/>
      <c r="J1908" s="7"/>
      <c r="K1908" s="7"/>
      <c r="L1908" s="7"/>
    </row>
    <row r="1909" spans="1:12" ht="41.4">
      <c r="A1909" s="89"/>
      <c r="B1909" s="71" t="s">
        <v>3177</v>
      </c>
      <c r="C1909" s="91"/>
      <c r="D1909" s="92"/>
      <c r="E1909" s="74"/>
      <c r="F1909" s="93"/>
      <c r="G1909" s="7"/>
      <c r="H1909" s="7"/>
      <c r="I1909" s="7"/>
      <c r="J1909" s="7"/>
      <c r="K1909" s="7"/>
      <c r="L1909" s="7"/>
    </row>
    <row r="1910" spans="1:12">
      <c r="A1910" s="89" t="s">
        <v>48</v>
      </c>
      <c r="B1910" s="90" t="s">
        <v>3582</v>
      </c>
      <c r="C1910" s="91" t="s">
        <v>649</v>
      </c>
      <c r="D1910" s="92">
        <v>1</v>
      </c>
      <c r="E1910" s="74">
        <v>4080</v>
      </c>
      <c r="F1910" s="93">
        <f>IF(OR(OR(E1910=0,E1910=" "),OR(D1910=0,D1910=" "))," ",D1910*E1910)</f>
        <v>4080</v>
      </c>
      <c r="G1910" s="7"/>
      <c r="H1910" s="7"/>
      <c r="I1910" s="7"/>
      <c r="J1910" s="7"/>
      <c r="K1910" s="7"/>
      <c r="L1910" s="7"/>
    </row>
    <row r="1911" spans="1:12">
      <c r="A1911" s="89"/>
      <c r="B1911" s="90"/>
      <c r="C1911" s="91"/>
      <c r="D1911" s="92"/>
      <c r="E1911" s="74"/>
      <c r="F1911" s="93"/>
      <c r="G1911" s="7"/>
      <c r="H1911" s="7"/>
      <c r="I1911" s="226"/>
      <c r="J1911" s="7"/>
      <c r="K1911" s="7"/>
      <c r="L1911" s="7"/>
    </row>
    <row r="1912" spans="1:12">
      <c r="A1912" s="89" t="s">
        <v>4090</v>
      </c>
      <c r="B1912" s="362" t="s">
        <v>5040</v>
      </c>
      <c r="C1912" s="91"/>
      <c r="D1912" s="92"/>
      <c r="E1912" s="74"/>
      <c r="F1912" s="93"/>
      <c r="G1912" s="7"/>
      <c r="H1912" s="7"/>
      <c r="I1912" s="226"/>
      <c r="J1912" s="7"/>
      <c r="K1912" s="7"/>
      <c r="L1912" s="7"/>
    </row>
    <row r="1913" spans="1:12" ht="82.8">
      <c r="A1913" s="89"/>
      <c r="B1913" s="90" t="s">
        <v>5036</v>
      </c>
      <c r="C1913" s="91"/>
      <c r="D1913" s="92"/>
      <c r="E1913" s="74"/>
      <c r="F1913" s="93"/>
      <c r="G1913" s="7"/>
      <c r="H1913" s="7"/>
      <c r="I1913" s="226"/>
      <c r="J1913" s="7"/>
      <c r="K1913" s="7"/>
      <c r="L1913" s="7"/>
    </row>
    <row r="1914" spans="1:12" ht="110.4">
      <c r="A1914" s="89"/>
      <c r="B1914" s="90" t="s">
        <v>5037</v>
      </c>
      <c r="C1914" s="91"/>
      <c r="D1914" s="92"/>
      <c r="E1914" s="74"/>
      <c r="F1914" s="93"/>
      <c r="G1914" s="7"/>
      <c r="H1914" s="7"/>
      <c r="I1914" s="226"/>
      <c r="J1914" s="7"/>
      <c r="K1914" s="7"/>
      <c r="L1914" s="7"/>
    </row>
    <row r="1915" spans="1:12" ht="41.4">
      <c r="A1915" s="89"/>
      <c r="B1915" s="90" t="s">
        <v>5038</v>
      </c>
      <c r="C1915" s="91"/>
      <c r="D1915" s="92"/>
      <c r="E1915" s="74"/>
      <c r="F1915" s="93"/>
      <c r="G1915" s="7"/>
      <c r="H1915" s="7"/>
      <c r="I1915" s="226"/>
      <c r="J1915" s="7"/>
      <c r="K1915" s="7"/>
      <c r="L1915" s="7"/>
    </row>
    <row r="1916" spans="1:12" ht="69">
      <c r="A1916" s="89"/>
      <c r="B1916" s="90" t="s">
        <v>882</v>
      </c>
      <c r="C1916" s="91"/>
      <c r="D1916" s="92"/>
      <c r="E1916" s="74"/>
      <c r="F1916" s="93"/>
      <c r="G1916" s="7"/>
      <c r="H1916" s="7"/>
      <c r="I1916" s="226"/>
      <c r="J1916" s="7"/>
      <c r="K1916" s="7"/>
      <c r="L1916" s="7"/>
    </row>
    <row r="1917" spans="1:12" ht="82.8">
      <c r="A1917" s="89"/>
      <c r="B1917" s="90" t="s">
        <v>5039</v>
      </c>
      <c r="C1917" s="91"/>
      <c r="D1917" s="92"/>
      <c r="E1917" s="74"/>
      <c r="F1917" s="93"/>
      <c r="G1917" s="7"/>
      <c r="H1917" s="7"/>
      <c r="I1917" s="226"/>
      <c r="J1917" s="7"/>
      <c r="K1917" s="7"/>
      <c r="L1917" s="7"/>
    </row>
    <row r="1918" spans="1:12" ht="41.4">
      <c r="A1918" s="89"/>
      <c r="B1918" s="90" t="s">
        <v>1898</v>
      </c>
      <c r="C1918" s="91"/>
      <c r="D1918" s="92"/>
      <c r="E1918" s="74"/>
      <c r="F1918" s="93"/>
      <c r="G1918" s="7"/>
      <c r="H1918" s="7"/>
      <c r="I1918" s="226"/>
      <c r="J1918" s="7"/>
      <c r="K1918" s="7"/>
      <c r="L1918" s="7"/>
    </row>
    <row r="1919" spans="1:12" ht="41.4">
      <c r="A1919" s="89"/>
      <c r="B1919" s="71" t="s">
        <v>3177</v>
      </c>
      <c r="C1919" s="91"/>
      <c r="D1919" s="92"/>
      <c r="E1919" s="74"/>
      <c r="F1919" s="93"/>
      <c r="G1919" s="7"/>
      <c r="H1919" s="7"/>
      <c r="I1919" s="226"/>
      <c r="J1919" s="7"/>
      <c r="K1919" s="7"/>
      <c r="L1919" s="7"/>
    </row>
    <row r="1920" spans="1:12">
      <c r="A1920" s="89" t="s">
        <v>48</v>
      </c>
      <c r="B1920" s="90" t="s">
        <v>5041</v>
      </c>
      <c r="C1920" s="91" t="s">
        <v>649</v>
      </c>
      <c r="D1920" s="92">
        <v>3</v>
      </c>
      <c r="E1920" s="74">
        <v>663</v>
      </c>
      <c r="F1920" s="93">
        <f>IF(OR(OR(E1920=0,E1920=" "),OR(D1920=0,D1920=" "))," ",D1920*E1920)</f>
        <v>1989</v>
      </c>
      <c r="G1920" s="7"/>
      <c r="H1920" s="7"/>
      <c r="I1920" s="7"/>
      <c r="J1920" s="7"/>
      <c r="K1920" s="7"/>
      <c r="L1920" s="7"/>
    </row>
    <row r="1921" spans="1:12">
      <c r="A1921" s="89"/>
      <c r="B1921" s="90"/>
      <c r="C1921" s="91"/>
      <c r="D1921" s="92"/>
      <c r="E1921" s="74"/>
      <c r="F1921" s="93"/>
      <c r="G1921" s="7"/>
      <c r="H1921" s="7"/>
      <c r="I1921" s="7"/>
      <c r="J1921" s="7"/>
      <c r="K1921" s="7"/>
      <c r="L1921" s="7"/>
    </row>
    <row r="1922" spans="1:12" ht="124.2">
      <c r="A1922" s="89" t="s">
        <v>4091</v>
      </c>
      <c r="B1922" s="362" t="s">
        <v>4132</v>
      </c>
      <c r="C1922" s="91"/>
      <c r="D1922" s="73"/>
      <c r="E1922" s="74"/>
      <c r="F1922" s="93"/>
      <c r="G1922" s="7"/>
      <c r="H1922" s="7"/>
      <c r="I1922" s="7"/>
      <c r="J1922" s="7"/>
      <c r="K1922" s="409"/>
      <c r="L1922" s="7"/>
    </row>
    <row r="1923" spans="1:12" ht="82.8">
      <c r="A1923" s="89"/>
      <c r="B1923" s="362" t="s">
        <v>4982</v>
      </c>
      <c r="C1923" s="91"/>
      <c r="D1923" s="73"/>
      <c r="E1923" s="74"/>
      <c r="F1923" s="93"/>
      <c r="G1923" s="7"/>
      <c r="H1923" s="7"/>
      <c r="I1923" s="7"/>
      <c r="J1923" s="7"/>
      <c r="K1923" s="7"/>
      <c r="L1923" s="7"/>
    </row>
    <row r="1924" spans="1:12" ht="69">
      <c r="A1924" s="89"/>
      <c r="B1924" s="90" t="s">
        <v>4981</v>
      </c>
      <c r="C1924" s="91"/>
      <c r="D1924" s="73"/>
      <c r="E1924" s="74"/>
      <c r="F1924" s="93"/>
      <c r="G1924" s="7"/>
      <c r="H1924" s="7"/>
      <c r="I1924" s="7"/>
      <c r="J1924" s="7"/>
      <c r="K1924" s="7"/>
      <c r="L1924" s="7"/>
    </row>
    <row r="1925" spans="1:12" ht="41.4">
      <c r="A1925" s="89" t="s">
        <v>48</v>
      </c>
      <c r="B1925" s="90" t="s">
        <v>1928</v>
      </c>
      <c r="C1925" s="91" t="s">
        <v>697</v>
      </c>
      <c r="D1925" s="73">
        <v>13.4</v>
      </c>
      <c r="E1925" s="74">
        <v>75</v>
      </c>
      <c r="F1925" s="93">
        <f>IF(OR(OR(E1925=0,E1925=" "),OR(D1925=0,D1925=" "))," ",D1925*E1925)</f>
        <v>1005</v>
      </c>
      <c r="G1925" s="60"/>
      <c r="H1925" s="7"/>
      <c r="I1925" s="7"/>
      <c r="J1925" s="7"/>
      <c r="K1925" s="7"/>
      <c r="L1925" s="7"/>
    </row>
    <row r="1926" spans="1:12">
      <c r="A1926" s="89"/>
      <c r="B1926" s="90"/>
      <c r="C1926" s="91"/>
      <c r="D1926" s="73"/>
      <c r="E1926" s="74"/>
      <c r="F1926" s="93"/>
      <c r="G1926" s="7"/>
      <c r="H1926" s="7"/>
      <c r="I1926" s="7"/>
      <c r="J1926" s="7"/>
      <c r="K1926" s="7"/>
      <c r="L1926" s="7"/>
    </row>
    <row r="1927" spans="1:12" ht="124.2">
      <c r="A1927" s="89" t="s">
        <v>4092</v>
      </c>
      <c r="B1927" s="362" t="s">
        <v>4133</v>
      </c>
      <c r="C1927" s="91"/>
      <c r="D1927" s="73"/>
      <c r="E1927" s="74"/>
      <c r="F1927" s="93"/>
      <c r="G1927" s="7"/>
      <c r="H1927" s="7"/>
      <c r="I1927" s="7"/>
      <c r="J1927" s="7"/>
      <c r="K1927" s="7"/>
      <c r="L1927" s="7"/>
    </row>
    <row r="1928" spans="1:12" ht="82.8">
      <c r="A1928" s="89"/>
      <c r="B1928" s="362" t="s">
        <v>4982</v>
      </c>
      <c r="C1928" s="91"/>
      <c r="D1928" s="73"/>
      <c r="E1928" s="74"/>
      <c r="F1928" s="93"/>
      <c r="G1928" s="7"/>
      <c r="H1928" s="7"/>
      <c r="I1928" s="7"/>
      <c r="J1928" s="7"/>
      <c r="K1928" s="7"/>
      <c r="L1928" s="7"/>
    </row>
    <row r="1929" spans="1:12" ht="69">
      <c r="A1929" s="89"/>
      <c r="B1929" s="90" t="s">
        <v>4981</v>
      </c>
      <c r="C1929" s="91"/>
      <c r="D1929" s="73"/>
      <c r="E1929" s="74"/>
      <c r="F1929" s="93"/>
      <c r="G1929" s="7"/>
      <c r="H1929" s="7"/>
      <c r="I1929" s="7"/>
      <c r="J1929" s="7"/>
      <c r="K1929" s="7"/>
      <c r="L1929" s="7"/>
    </row>
    <row r="1930" spans="1:12" ht="41.4">
      <c r="A1930" s="89" t="s">
        <v>48</v>
      </c>
      <c r="B1930" s="90" t="s">
        <v>3584</v>
      </c>
      <c r="C1930" s="91" t="s">
        <v>697</v>
      </c>
      <c r="D1930" s="73">
        <v>117</v>
      </c>
      <c r="E1930" s="74">
        <v>100</v>
      </c>
      <c r="F1930" s="93">
        <f>IF(OR(OR(E1930=0,E1930=" "),OR(D1930=0,D1930=" "))," ",D1930*E1930)</f>
        <v>11700</v>
      </c>
      <c r="G1930" s="7"/>
      <c r="H1930" s="7"/>
      <c r="I1930" s="7"/>
      <c r="J1930" s="7"/>
      <c r="K1930" s="7"/>
      <c r="L1930" s="7"/>
    </row>
    <row r="1931" spans="1:12">
      <c r="A1931" s="89"/>
      <c r="B1931" s="90"/>
      <c r="C1931" s="91"/>
      <c r="D1931" s="73"/>
      <c r="E1931" s="74"/>
      <c r="F1931" s="93"/>
      <c r="G1931" s="7"/>
      <c r="H1931" s="7"/>
      <c r="I1931" s="7"/>
      <c r="J1931" s="7"/>
      <c r="K1931" s="7"/>
      <c r="L1931" s="7"/>
    </row>
    <row r="1932" spans="1:12" ht="165.6">
      <c r="A1932" s="89" t="s">
        <v>4093</v>
      </c>
      <c r="B1932" s="362" t="s">
        <v>4983</v>
      </c>
      <c r="C1932" s="91"/>
      <c r="D1932" s="73"/>
      <c r="E1932" s="74"/>
      <c r="F1932" s="93"/>
      <c r="G1932" s="7"/>
      <c r="H1932" s="7"/>
      <c r="I1932" s="7"/>
      <c r="J1932" s="7"/>
      <c r="K1932" s="7"/>
      <c r="L1932" s="7"/>
    </row>
    <row r="1933" spans="1:12" ht="41.4">
      <c r="A1933" s="89" t="s">
        <v>48</v>
      </c>
      <c r="B1933" s="90" t="s">
        <v>3583</v>
      </c>
      <c r="C1933" s="91" t="s">
        <v>697</v>
      </c>
      <c r="D1933" s="73">
        <v>6.7</v>
      </c>
      <c r="E1933" s="74">
        <v>30</v>
      </c>
      <c r="F1933" s="93">
        <f>IF(OR(OR(E1933=0,E1933=" "),OR(D1933=0,D1933=" "))," ",D1933*E1933)</f>
        <v>201</v>
      </c>
      <c r="G1933" s="60"/>
      <c r="H1933" s="7"/>
      <c r="I1933" s="7"/>
      <c r="J1933" s="7"/>
      <c r="K1933" s="7"/>
      <c r="L1933" s="7"/>
    </row>
    <row r="1934" spans="1:12" ht="41.4">
      <c r="A1934" s="89" t="s">
        <v>48</v>
      </c>
      <c r="B1934" s="90" t="s">
        <v>3585</v>
      </c>
      <c r="C1934" s="91" t="s">
        <v>697</v>
      </c>
      <c r="D1934" s="73">
        <v>58.5</v>
      </c>
      <c r="E1934" s="74">
        <v>25</v>
      </c>
      <c r="F1934" s="93">
        <f>IF(OR(OR(E1934=0,E1934=" "),OR(D1934=0,D1934=" "))," ",D1934*E1934)</f>
        <v>1462.5</v>
      </c>
      <c r="G1934" s="60"/>
      <c r="H1934" s="7"/>
      <c r="I1934" s="7"/>
      <c r="J1934" s="7"/>
      <c r="K1934" s="7"/>
      <c r="L1934" s="7"/>
    </row>
    <row r="1935" spans="1:12">
      <c r="A1935" s="89"/>
      <c r="B1935" s="90"/>
      <c r="C1935" s="91"/>
      <c r="D1935" s="73"/>
      <c r="E1935" s="74"/>
      <c r="F1935" s="93"/>
      <c r="G1935" s="7"/>
      <c r="H1935" s="7"/>
      <c r="I1935" s="7"/>
      <c r="J1935" s="7"/>
      <c r="K1935" s="7"/>
      <c r="L1935" s="7"/>
    </row>
    <row r="1936" spans="1:12">
      <c r="A1936" s="87" t="s">
        <v>667</v>
      </c>
      <c r="B1936" s="88" t="s">
        <v>886</v>
      </c>
      <c r="C1936" s="91"/>
      <c r="D1936" s="73"/>
      <c r="E1936" s="74"/>
      <c r="F1936" s="93"/>
      <c r="G1936" s="7"/>
      <c r="H1936" s="7"/>
      <c r="I1936" s="7"/>
      <c r="J1936" s="7"/>
      <c r="K1936" s="7"/>
      <c r="L1936" s="7"/>
    </row>
    <row r="1937" spans="1:12">
      <c r="A1937" s="89" t="s">
        <v>4094</v>
      </c>
      <c r="B1937" s="400" t="s">
        <v>1867</v>
      </c>
      <c r="C1937" s="401"/>
      <c r="D1937" s="402"/>
      <c r="E1937" s="402"/>
      <c r="F1937" s="403"/>
      <c r="G1937" s="7"/>
      <c r="H1937" s="7"/>
      <c r="I1937" s="7"/>
      <c r="J1937" s="7"/>
      <c r="K1937" s="7"/>
      <c r="L1937" s="7"/>
    </row>
    <row r="1938" spans="1:12">
      <c r="A1938" s="87"/>
      <c r="B1938" s="95" t="s">
        <v>1868</v>
      </c>
      <c r="C1938" s="401"/>
      <c r="D1938" s="402"/>
      <c r="E1938" s="402"/>
      <c r="F1938" s="403"/>
      <c r="G1938" s="7"/>
      <c r="H1938" s="7"/>
      <c r="I1938" s="7"/>
      <c r="J1938" s="7"/>
      <c r="K1938" s="7"/>
      <c r="L1938" s="7"/>
    </row>
    <row r="1939" spans="1:12">
      <c r="A1939" s="87"/>
      <c r="B1939" s="95" t="s">
        <v>1929</v>
      </c>
      <c r="C1939" s="401"/>
      <c r="D1939" s="402"/>
      <c r="E1939" s="402"/>
      <c r="F1939" s="403"/>
      <c r="G1939" s="7"/>
      <c r="H1939" s="7"/>
      <c r="I1939" s="7"/>
      <c r="J1939" s="7"/>
      <c r="K1939" s="7"/>
      <c r="L1939" s="7"/>
    </row>
    <row r="1940" spans="1:12">
      <c r="A1940" s="87"/>
      <c r="B1940" s="95" t="s">
        <v>1869</v>
      </c>
      <c r="C1940" s="401"/>
      <c r="D1940" s="402"/>
      <c r="E1940" s="402"/>
      <c r="F1940" s="403"/>
      <c r="G1940" s="7"/>
      <c r="H1940" s="7"/>
      <c r="I1940" s="7"/>
      <c r="J1940" s="7"/>
      <c r="K1940" s="7"/>
      <c r="L1940" s="7"/>
    </row>
    <row r="1941" spans="1:12" ht="27.6">
      <c r="A1941" s="87"/>
      <c r="B1941" s="95" t="s">
        <v>1870</v>
      </c>
      <c r="C1941" s="401"/>
      <c r="D1941" s="402"/>
      <c r="E1941" s="402"/>
      <c r="F1941" s="403"/>
      <c r="G1941" s="7"/>
      <c r="H1941" s="7"/>
      <c r="I1941" s="7"/>
      <c r="J1941" s="7"/>
      <c r="K1941" s="7"/>
      <c r="L1941" s="7"/>
    </row>
    <row r="1942" spans="1:12">
      <c r="A1942" s="87"/>
      <c r="B1942" s="95" t="s">
        <v>1871</v>
      </c>
      <c r="C1942" s="401"/>
      <c r="D1942" s="402"/>
      <c r="E1942" s="402"/>
      <c r="F1942" s="403"/>
      <c r="G1942" s="7"/>
      <c r="H1942" s="7"/>
      <c r="I1942" s="7"/>
      <c r="J1942" s="7"/>
      <c r="K1942" s="7"/>
      <c r="L1942" s="7"/>
    </row>
    <row r="1943" spans="1:12">
      <c r="A1943" s="87"/>
      <c r="B1943" s="95" t="s">
        <v>5362</v>
      </c>
      <c r="C1943" s="401"/>
      <c r="D1943" s="402"/>
      <c r="E1943" s="402"/>
      <c r="F1943" s="403"/>
      <c r="G1943" s="7"/>
      <c r="H1943" s="7"/>
      <c r="I1943" s="7"/>
      <c r="J1943" s="7"/>
      <c r="K1943" s="7"/>
      <c r="L1943" s="7"/>
    </row>
    <row r="1944" spans="1:12" ht="96.6">
      <c r="A1944" s="87"/>
      <c r="B1944" s="95" t="s">
        <v>5368</v>
      </c>
      <c r="C1944" s="401"/>
      <c r="D1944" s="402"/>
      <c r="E1944" s="402"/>
      <c r="F1944" s="403"/>
      <c r="G1944" s="7"/>
      <c r="H1944" s="7"/>
      <c r="I1944" s="7"/>
      <c r="J1944" s="7"/>
      <c r="K1944" s="7"/>
      <c r="L1944" s="7"/>
    </row>
    <row r="1945" spans="1:12">
      <c r="A1945" s="89" t="s">
        <v>48</v>
      </c>
      <c r="B1945" s="95" t="s">
        <v>1872</v>
      </c>
      <c r="C1945" s="91" t="s">
        <v>670</v>
      </c>
      <c r="D1945" s="92">
        <v>1</v>
      </c>
      <c r="E1945" s="402">
        <v>1000</v>
      </c>
      <c r="F1945" s="93">
        <f>IF(OR(OR(E1945=0,E1945=" "),OR(D1945=0,D1945=" "))," ",D1945*E1945)</f>
        <v>1000</v>
      </c>
      <c r="G1945" s="7"/>
      <c r="H1945" s="7"/>
      <c r="I1945" s="7"/>
      <c r="J1945" s="7"/>
      <c r="K1945" s="7"/>
      <c r="L1945" s="7"/>
    </row>
    <row r="1946" spans="1:12">
      <c r="A1946" s="89"/>
      <c r="B1946" s="95"/>
      <c r="C1946" s="91"/>
      <c r="D1946" s="92"/>
      <c r="E1946" s="74"/>
      <c r="F1946" s="93"/>
      <c r="G1946" s="7"/>
      <c r="H1946" s="7"/>
      <c r="I1946" s="7"/>
      <c r="J1946" s="7"/>
      <c r="K1946" s="7"/>
      <c r="L1946" s="7"/>
    </row>
    <row r="1947" spans="1:12" ht="27.6">
      <c r="A1947" s="89" t="s">
        <v>4095</v>
      </c>
      <c r="B1947" s="400" t="s">
        <v>1873</v>
      </c>
      <c r="C1947" s="404"/>
      <c r="D1947" s="405"/>
      <c r="E1947" s="74"/>
      <c r="F1947" s="406"/>
      <c r="G1947" s="7"/>
      <c r="H1947" s="7"/>
      <c r="I1947" s="7"/>
      <c r="J1947" s="7"/>
      <c r="K1947" s="7"/>
      <c r="L1947" s="7"/>
    </row>
    <row r="1948" spans="1:12" ht="41.4">
      <c r="A1948" s="407"/>
      <c r="B1948" s="95" t="s">
        <v>4985</v>
      </c>
      <c r="C1948" s="401"/>
      <c r="D1948" s="408"/>
      <c r="E1948" s="402"/>
      <c r="F1948" s="403"/>
      <c r="G1948" s="7"/>
      <c r="H1948" s="7"/>
      <c r="I1948" s="7"/>
      <c r="J1948" s="7"/>
      <c r="K1948" s="7"/>
      <c r="L1948" s="7"/>
    </row>
    <row r="1949" spans="1:12" ht="55.2">
      <c r="A1949" s="407"/>
      <c r="B1949" s="95" t="s">
        <v>1874</v>
      </c>
      <c r="C1949" s="401"/>
      <c r="D1949" s="402"/>
      <c r="E1949" s="402"/>
      <c r="F1949" s="403"/>
      <c r="G1949" s="7"/>
      <c r="H1949" s="7"/>
      <c r="I1949" s="7"/>
      <c r="J1949" s="7"/>
      <c r="K1949" s="7"/>
      <c r="L1949" s="7"/>
    </row>
    <row r="1950" spans="1:12" ht="55.2">
      <c r="A1950" s="391" t="s">
        <v>665</v>
      </c>
      <c r="B1950" s="369" t="s">
        <v>5358</v>
      </c>
      <c r="C1950" s="401"/>
      <c r="D1950" s="402"/>
      <c r="E1950" s="402"/>
      <c r="F1950" s="403"/>
      <c r="G1950" s="7"/>
      <c r="H1950" s="7"/>
      <c r="I1950" s="7"/>
      <c r="J1950" s="7"/>
      <c r="K1950" s="7"/>
      <c r="L1950" s="7"/>
    </row>
    <row r="1951" spans="1:12" ht="27.6">
      <c r="A1951" s="89" t="s">
        <v>48</v>
      </c>
      <c r="B1951" s="95" t="s">
        <v>1875</v>
      </c>
      <c r="C1951" s="91" t="s">
        <v>649</v>
      </c>
      <c r="D1951" s="92">
        <v>12</v>
      </c>
      <c r="E1951" s="402">
        <v>30</v>
      </c>
      <c r="F1951" s="93">
        <f>IF(OR(OR(E1951=0,E1951=" "),OR(D1951=0,D1951=" "))," ",D1951*E1951)</f>
        <v>360</v>
      </c>
      <c r="G1951" s="7"/>
      <c r="H1951" s="7"/>
      <c r="I1951" s="7"/>
      <c r="J1951" s="7"/>
      <c r="K1951" s="7"/>
      <c r="L1951" s="7"/>
    </row>
    <row r="1952" spans="1:12">
      <c r="A1952" s="89"/>
      <c r="B1952" s="95"/>
      <c r="C1952" s="91"/>
      <c r="D1952" s="92"/>
      <c r="E1952" s="74"/>
      <c r="F1952" s="93"/>
      <c r="G1952" s="7"/>
      <c r="H1952" s="7"/>
      <c r="I1952" s="7"/>
      <c r="J1952" s="7"/>
      <c r="K1952" s="7"/>
      <c r="L1952" s="7"/>
    </row>
    <row r="1953" spans="1:12">
      <c r="A1953" s="89" t="s">
        <v>4096</v>
      </c>
      <c r="B1953" s="377" t="s">
        <v>1876</v>
      </c>
      <c r="C1953" s="91"/>
      <c r="D1953" s="92"/>
      <c r="E1953" s="74"/>
      <c r="F1953" s="93"/>
      <c r="G1953" s="7"/>
      <c r="H1953" s="7"/>
      <c r="I1953" s="7"/>
      <c r="J1953" s="7"/>
      <c r="K1953" s="7"/>
      <c r="L1953" s="7"/>
    </row>
    <row r="1954" spans="1:12" ht="82.8">
      <c r="A1954" s="89"/>
      <c r="B1954" s="95" t="s">
        <v>5360</v>
      </c>
      <c r="C1954" s="91"/>
      <c r="D1954" s="92"/>
      <c r="E1954" s="74"/>
      <c r="F1954" s="93"/>
      <c r="G1954" s="7"/>
      <c r="H1954" s="7"/>
      <c r="I1954" s="7"/>
      <c r="J1954" s="7"/>
      <c r="K1954" s="7"/>
      <c r="L1954" s="7"/>
    </row>
    <row r="1955" spans="1:12" ht="27.6">
      <c r="A1955" s="89"/>
      <c r="B1955" s="95" t="s">
        <v>1877</v>
      </c>
      <c r="C1955" s="91"/>
      <c r="D1955" s="92"/>
      <c r="E1955" s="74"/>
      <c r="F1955" s="93"/>
      <c r="G1955" s="7"/>
      <c r="H1955" s="7"/>
      <c r="I1955" s="7"/>
      <c r="J1955" s="7"/>
      <c r="K1955" s="7"/>
      <c r="L1955" s="7"/>
    </row>
    <row r="1956" spans="1:12">
      <c r="A1956" s="89"/>
      <c r="B1956" s="95" t="s">
        <v>1878</v>
      </c>
      <c r="C1956" s="91"/>
      <c r="D1956" s="92"/>
      <c r="E1956" s="74"/>
      <c r="F1956" s="93"/>
      <c r="G1956" s="7"/>
      <c r="H1956" s="7"/>
      <c r="I1956" s="7"/>
      <c r="J1956" s="7"/>
      <c r="K1956" s="7"/>
      <c r="L1956" s="7"/>
    </row>
    <row r="1957" spans="1:12" ht="41.4">
      <c r="A1957" s="89"/>
      <c r="B1957" s="95" t="s">
        <v>4984</v>
      </c>
      <c r="C1957" s="91"/>
      <c r="D1957" s="92"/>
      <c r="E1957" s="74"/>
      <c r="F1957" s="93"/>
      <c r="G1957" s="7"/>
      <c r="H1957" s="7"/>
      <c r="I1957" s="7"/>
      <c r="J1957" s="7"/>
      <c r="K1957" s="7"/>
      <c r="L1957" s="7"/>
    </row>
    <row r="1958" spans="1:12" ht="69">
      <c r="A1958" s="89"/>
      <c r="B1958" s="369" t="s">
        <v>5357</v>
      </c>
      <c r="C1958" s="91"/>
      <c r="D1958" s="92"/>
      <c r="E1958" s="74"/>
      <c r="F1958" s="93"/>
      <c r="G1958" s="7"/>
      <c r="H1958" s="7"/>
      <c r="I1958" s="7"/>
      <c r="J1958" s="7"/>
      <c r="K1958" s="7"/>
      <c r="L1958" s="7"/>
    </row>
    <row r="1959" spans="1:12" ht="82.8">
      <c r="A1959" s="89" t="s">
        <v>48</v>
      </c>
      <c r="B1959" s="90" t="s">
        <v>5363</v>
      </c>
      <c r="C1959" s="91" t="s">
        <v>649</v>
      </c>
      <c r="D1959" s="92">
        <v>17</v>
      </c>
      <c r="E1959" s="74">
        <v>50</v>
      </c>
      <c r="F1959" s="93">
        <f>IF(OR(OR(E1959=0,E1959=" "),OR(D1959=0,D1959=" "))," ",D1959*E1959)</f>
        <v>850</v>
      </c>
      <c r="G1959" s="7"/>
      <c r="H1959" s="7"/>
      <c r="I1959" s="7"/>
      <c r="J1959" s="7"/>
      <c r="K1959" s="7"/>
      <c r="L1959" s="7"/>
    </row>
    <row r="1960" spans="1:12" ht="55.2">
      <c r="A1960" s="89" t="s">
        <v>49</v>
      </c>
      <c r="B1960" s="90" t="s">
        <v>5359</v>
      </c>
      <c r="C1960" s="91" t="s">
        <v>649</v>
      </c>
      <c r="D1960" s="92">
        <v>29</v>
      </c>
      <c r="E1960" s="74">
        <v>30</v>
      </c>
      <c r="F1960" s="93">
        <f>IF(OR(OR(E1960=0,E1960=" "),OR(D1960=0,D1960=" "))," ",D1960*E1960)</f>
        <v>870</v>
      </c>
      <c r="G1960" s="7"/>
      <c r="H1960" s="7"/>
      <c r="I1960" s="7"/>
      <c r="J1960" s="7"/>
      <c r="K1960" s="7"/>
      <c r="L1960" s="7"/>
    </row>
    <row r="1961" spans="1:12" ht="55.2">
      <c r="A1961" s="89" t="s">
        <v>51</v>
      </c>
      <c r="B1961" s="90" t="s">
        <v>5361</v>
      </c>
      <c r="C1961" s="91" t="s">
        <v>649</v>
      </c>
      <c r="D1961" s="92">
        <v>9</v>
      </c>
      <c r="E1961" s="74">
        <v>100</v>
      </c>
      <c r="F1961" s="93">
        <f>IF(OR(OR(E1961=0,E1961=" "),OR(D1961=0,D1961=" "))," ",D1961*E1961)</f>
        <v>900</v>
      </c>
      <c r="G1961" s="7"/>
      <c r="H1961" s="7"/>
      <c r="I1961" s="7"/>
      <c r="J1961" s="7"/>
      <c r="K1961" s="7"/>
      <c r="L1961" s="7"/>
    </row>
    <row r="1962" spans="1:12" ht="55.2">
      <c r="A1962" s="89" t="s">
        <v>53</v>
      </c>
      <c r="B1962" s="90" t="s">
        <v>5364</v>
      </c>
      <c r="C1962" s="91" t="s">
        <v>697</v>
      </c>
      <c r="D1962" s="73">
        <v>105</v>
      </c>
      <c r="E1962" s="74">
        <v>10</v>
      </c>
      <c r="F1962" s="93">
        <f>IF(OR(OR(E1962=0,E1962=" "),OR(D1962=0,D1962=" "))," ",D1962*E1962)</f>
        <v>1050</v>
      </c>
      <c r="G1962" s="60"/>
      <c r="H1962" s="7"/>
      <c r="I1962" s="7"/>
      <c r="J1962" s="7"/>
      <c r="K1962" s="7"/>
      <c r="L1962" s="7"/>
    </row>
    <row r="1963" spans="1:12" ht="41.4">
      <c r="A1963" s="89" t="s">
        <v>698</v>
      </c>
      <c r="B1963" s="90" t="s">
        <v>5356</v>
      </c>
      <c r="C1963" s="91" t="s">
        <v>649</v>
      </c>
      <c r="D1963" s="92">
        <v>5</v>
      </c>
      <c r="E1963" s="74">
        <v>10</v>
      </c>
      <c r="F1963" s="93">
        <f>IF(OR(OR(E1963=0,E1963=" "),OR(D1963=0,D1963=" "))," ",D1963*E1963)</f>
        <v>50</v>
      </c>
      <c r="G1963" s="7"/>
      <c r="H1963" s="7"/>
      <c r="I1963" s="7"/>
      <c r="J1963" s="7"/>
      <c r="K1963" s="7"/>
      <c r="L1963" s="7"/>
    </row>
    <row r="1964" spans="1:12">
      <c r="A1964" s="89"/>
      <c r="B1964" s="90"/>
      <c r="C1964" s="91"/>
      <c r="D1964" s="92"/>
      <c r="E1964" s="74"/>
      <c r="F1964" s="93"/>
      <c r="G1964" s="7"/>
      <c r="H1964" s="7"/>
      <c r="I1964" s="7"/>
      <c r="J1964" s="7"/>
      <c r="K1964" s="7"/>
      <c r="L1964" s="7"/>
    </row>
    <row r="1965" spans="1:12">
      <c r="A1965" s="89" t="s">
        <v>4097</v>
      </c>
      <c r="B1965" s="400" t="s">
        <v>5371</v>
      </c>
      <c r="C1965" s="404"/>
      <c r="D1965" s="405"/>
      <c r="E1965" s="74"/>
      <c r="F1965" s="406"/>
      <c r="G1965" s="7"/>
      <c r="H1965" s="7"/>
      <c r="I1965" s="7"/>
      <c r="J1965" s="7"/>
      <c r="K1965" s="7"/>
      <c r="L1965" s="7"/>
    </row>
    <row r="1966" spans="1:12" ht="55.2">
      <c r="A1966" s="407"/>
      <c r="B1966" s="95" t="s">
        <v>5372</v>
      </c>
      <c r="C1966" s="401"/>
      <c r="D1966" s="408"/>
      <c r="E1966" s="74"/>
      <c r="F1966" s="403"/>
      <c r="G1966" s="7"/>
      <c r="H1966" s="7"/>
      <c r="I1966" s="7"/>
      <c r="J1966" s="7"/>
      <c r="K1966" s="7"/>
      <c r="L1966" s="7"/>
    </row>
    <row r="1967" spans="1:12" ht="179.4">
      <c r="A1967" s="407"/>
      <c r="B1967" s="95" t="s">
        <v>5380</v>
      </c>
      <c r="C1967" s="401"/>
      <c r="D1967" s="408"/>
      <c r="E1967" s="74"/>
      <c r="F1967" s="403"/>
      <c r="G1967" s="7"/>
      <c r="H1967" s="7"/>
      <c r="I1967" s="7"/>
      <c r="J1967" s="7"/>
      <c r="K1967" s="7"/>
      <c r="L1967" s="7"/>
    </row>
    <row r="1968" spans="1:12" ht="331.2">
      <c r="A1968" s="407"/>
      <c r="B1968" s="95" t="s">
        <v>5377</v>
      </c>
      <c r="C1968" s="401"/>
      <c r="D1968" s="402"/>
      <c r="E1968" s="74"/>
      <c r="F1968" s="403"/>
      <c r="G1968" s="7"/>
      <c r="H1968" s="7"/>
      <c r="I1968" s="7"/>
      <c r="J1968" s="7"/>
      <c r="K1968" s="7"/>
      <c r="L1968" s="7"/>
    </row>
    <row r="1969" spans="1:12" ht="234.6">
      <c r="A1969" s="407"/>
      <c r="B1969" s="95" t="s">
        <v>5379</v>
      </c>
      <c r="C1969" s="401"/>
      <c r="D1969" s="402"/>
      <c r="E1969" s="74"/>
      <c r="F1969" s="403"/>
      <c r="G1969" s="7"/>
      <c r="H1969" s="7"/>
      <c r="I1969" s="7"/>
      <c r="J1969" s="7"/>
      <c r="K1969" s="7"/>
      <c r="L1969" s="7"/>
    </row>
    <row r="1970" spans="1:12" ht="55.2">
      <c r="A1970" s="391" t="s">
        <v>665</v>
      </c>
      <c r="B1970" s="369" t="s">
        <v>5358</v>
      </c>
      <c r="C1970" s="401"/>
      <c r="D1970" s="402"/>
      <c r="E1970" s="74"/>
      <c r="F1970" s="403"/>
      <c r="G1970" s="7"/>
      <c r="H1970" s="7"/>
      <c r="I1970" s="7"/>
      <c r="J1970" s="7"/>
      <c r="K1970" s="7"/>
      <c r="L1970" s="7"/>
    </row>
    <row r="1971" spans="1:12">
      <c r="A1971" s="89" t="s">
        <v>48</v>
      </c>
      <c r="B1971" s="95" t="s">
        <v>5373</v>
      </c>
      <c r="C1971" s="91" t="s">
        <v>649</v>
      </c>
      <c r="D1971" s="92">
        <v>1</v>
      </c>
      <c r="E1971" s="74">
        <v>500</v>
      </c>
      <c r="F1971" s="93">
        <f>IF(OR(OR(E1971=0,E1971=" "),OR(D1971=0,D1971=" "))," ",D1971*E1971)</f>
        <v>500</v>
      </c>
      <c r="G1971" s="7"/>
      <c r="H1971" s="7"/>
      <c r="I1971" s="7"/>
      <c r="J1971" s="7"/>
      <c r="K1971" s="7"/>
      <c r="L1971" s="7"/>
    </row>
    <row r="1972" spans="1:12">
      <c r="A1972" s="89" t="s">
        <v>49</v>
      </c>
      <c r="B1972" s="95" t="s">
        <v>5374</v>
      </c>
      <c r="C1972" s="91" t="s">
        <v>649</v>
      </c>
      <c r="D1972" s="92">
        <v>1</v>
      </c>
      <c r="E1972" s="74">
        <v>500</v>
      </c>
      <c r="F1972" s="93">
        <f t="shared" ref="F1972:F1973" si="28">IF(OR(OR(E1972=0,E1972=" "),OR(D1972=0,D1972=" "))," ",D1972*E1972)</f>
        <v>500</v>
      </c>
      <c r="G1972" s="7"/>
      <c r="H1972" s="7"/>
      <c r="I1972" s="7"/>
      <c r="J1972" s="7"/>
      <c r="K1972" s="7"/>
      <c r="L1972" s="7"/>
    </row>
    <row r="1973" spans="1:12">
      <c r="A1973" s="89" t="s">
        <v>51</v>
      </c>
      <c r="B1973" s="95" t="s">
        <v>5375</v>
      </c>
      <c r="C1973" s="91" t="s">
        <v>649</v>
      </c>
      <c r="D1973" s="92">
        <v>1</v>
      </c>
      <c r="E1973" s="74">
        <v>1000</v>
      </c>
      <c r="F1973" s="93">
        <f t="shared" si="28"/>
        <v>1000</v>
      </c>
      <c r="G1973" s="7"/>
      <c r="H1973" s="7"/>
      <c r="I1973" s="7"/>
      <c r="J1973" s="7"/>
      <c r="K1973" s="7"/>
      <c r="L1973" s="7"/>
    </row>
    <row r="1974" spans="1:12">
      <c r="A1974" s="89"/>
      <c r="B1974" s="90"/>
      <c r="C1974" s="91"/>
      <c r="D1974" s="92"/>
      <c r="E1974" s="74"/>
      <c r="F1974" s="93"/>
      <c r="G1974" s="7"/>
      <c r="H1974" s="7"/>
      <c r="I1974" s="7"/>
      <c r="J1974" s="7"/>
      <c r="K1974" s="7"/>
      <c r="L1974" s="7"/>
    </row>
    <row r="1975" spans="1:12" ht="27.6">
      <c r="A1975" s="89" t="s">
        <v>4833</v>
      </c>
      <c r="B1975" s="377" t="s">
        <v>4834</v>
      </c>
      <c r="C1975" s="91"/>
      <c r="D1975" s="92"/>
      <c r="E1975" s="74"/>
      <c r="F1975" s="93"/>
      <c r="G1975" s="7"/>
      <c r="H1975" s="7"/>
      <c r="I1975" s="7"/>
      <c r="J1975" s="7"/>
      <c r="K1975" s="7"/>
      <c r="L1975" s="7"/>
    </row>
    <row r="1976" spans="1:12" ht="69">
      <c r="A1976" s="89"/>
      <c r="B1976" s="95" t="s">
        <v>4835</v>
      </c>
      <c r="C1976" s="91"/>
      <c r="D1976" s="92"/>
      <c r="E1976" s="74"/>
      <c r="F1976" s="93"/>
      <c r="G1976" s="7"/>
      <c r="H1976" s="7"/>
      <c r="I1976" s="7"/>
      <c r="J1976" s="7"/>
      <c r="K1976" s="7"/>
      <c r="L1976" s="7"/>
    </row>
    <row r="1977" spans="1:12" ht="110.4">
      <c r="A1977" s="89"/>
      <c r="B1977" s="95" t="s">
        <v>4836</v>
      </c>
      <c r="C1977" s="91"/>
      <c r="D1977" s="92"/>
      <c r="E1977" s="74"/>
      <c r="F1977" s="93"/>
      <c r="G1977" s="7"/>
      <c r="H1977" s="7"/>
      <c r="I1977" s="7"/>
      <c r="J1977" s="7"/>
      <c r="K1977" s="7"/>
      <c r="L1977" s="7"/>
    </row>
    <row r="1978" spans="1:12">
      <c r="A1978" s="89"/>
      <c r="B1978" s="95" t="s">
        <v>4830</v>
      </c>
      <c r="C1978" s="91"/>
      <c r="D1978" s="92"/>
      <c r="E1978" s="74"/>
      <c r="F1978" s="93"/>
      <c r="G1978" s="7"/>
      <c r="H1978" s="7"/>
      <c r="I1978" s="7"/>
      <c r="J1978" s="7"/>
      <c r="K1978" s="7"/>
      <c r="L1978" s="7"/>
    </row>
    <row r="1979" spans="1:12" ht="165.6">
      <c r="A1979" s="89"/>
      <c r="B1979" s="95" t="s">
        <v>4838</v>
      </c>
      <c r="C1979" s="91"/>
      <c r="D1979" s="92"/>
      <c r="E1979" s="74"/>
      <c r="F1979" s="93"/>
      <c r="G1979" s="7"/>
      <c r="H1979" s="7"/>
      <c r="I1979" s="7"/>
      <c r="J1979" s="7"/>
      <c r="K1979" s="7"/>
      <c r="L1979" s="7"/>
    </row>
    <row r="1980" spans="1:12">
      <c r="A1980" s="89"/>
      <c r="B1980" s="95" t="s">
        <v>4830</v>
      </c>
      <c r="C1980" s="91"/>
      <c r="D1980" s="92"/>
      <c r="E1980" s="74"/>
      <c r="F1980" s="93"/>
      <c r="G1980" s="7"/>
      <c r="H1980" s="7"/>
      <c r="I1980" s="7"/>
      <c r="J1980" s="7"/>
      <c r="K1980" s="7"/>
      <c r="L1980" s="7"/>
    </row>
    <row r="1981" spans="1:12" ht="193.2">
      <c r="A1981" s="89"/>
      <c r="B1981" s="95" t="s">
        <v>4839</v>
      </c>
      <c r="C1981" s="91"/>
      <c r="D1981" s="92"/>
      <c r="E1981" s="74"/>
      <c r="F1981" s="93"/>
      <c r="G1981" s="7"/>
      <c r="H1981" s="7"/>
      <c r="I1981" s="7"/>
      <c r="J1981" s="7"/>
      <c r="K1981" s="7"/>
      <c r="L1981" s="7"/>
    </row>
    <row r="1982" spans="1:12" ht="27.6">
      <c r="A1982" s="89"/>
      <c r="B1982" s="95" t="s">
        <v>4840</v>
      </c>
      <c r="C1982" s="91"/>
      <c r="D1982" s="92"/>
      <c r="E1982" s="74"/>
      <c r="F1982" s="93"/>
      <c r="G1982" s="7"/>
      <c r="H1982" s="7"/>
      <c r="I1982" s="7"/>
      <c r="J1982" s="7"/>
      <c r="K1982" s="7"/>
      <c r="L1982" s="7"/>
    </row>
    <row r="1983" spans="1:12" ht="55.2">
      <c r="A1983" s="89"/>
      <c r="B1983" s="369" t="s">
        <v>4837</v>
      </c>
      <c r="C1983" s="91"/>
      <c r="D1983" s="92"/>
      <c r="E1983" s="74"/>
      <c r="F1983" s="93"/>
      <c r="G1983" s="7"/>
      <c r="H1983" s="7"/>
      <c r="I1983" s="7"/>
      <c r="J1983" s="7"/>
      <c r="K1983" s="7"/>
      <c r="L1983" s="7"/>
    </row>
    <row r="1984" spans="1:12" ht="27.6">
      <c r="A1984" s="89" t="s">
        <v>48</v>
      </c>
      <c r="B1984" s="90" t="s">
        <v>4831</v>
      </c>
      <c r="C1984" s="91" t="s">
        <v>697</v>
      </c>
      <c r="D1984" s="73">
        <v>38</v>
      </c>
      <c r="E1984" s="74">
        <v>50</v>
      </c>
      <c r="F1984" s="93">
        <f>IF(OR(OR(E1984=0,E1984=" "),OR(D1984=0,D1984=" "))," ",D1984*E1984)</f>
        <v>1900</v>
      </c>
      <c r="G1984" s="7"/>
      <c r="H1984" s="7"/>
      <c r="I1984" s="7"/>
      <c r="J1984" s="7"/>
      <c r="K1984" s="7"/>
      <c r="L1984" s="7"/>
    </row>
    <row r="1985" spans="1:12" ht="27.6">
      <c r="A1985" s="89" t="s">
        <v>49</v>
      </c>
      <c r="B1985" s="90" t="s">
        <v>4832</v>
      </c>
      <c r="C1985" s="91" t="s">
        <v>697</v>
      </c>
      <c r="D1985" s="73">
        <v>38</v>
      </c>
      <c r="E1985" s="74">
        <v>50</v>
      </c>
      <c r="F1985" s="93">
        <f>IF(OR(OR(E1985=0,E1985=" "),OR(D1985=0,D1985=" "))," ",D1985*E1985)</f>
        <v>1900</v>
      </c>
      <c r="G1985" s="7"/>
      <c r="H1985" s="7"/>
      <c r="I1985" s="7"/>
      <c r="J1985" s="7"/>
      <c r="K1985" s="7"/>
      <c r="L1985" s="7"/>
    </row>
    <row r="1986" spans="1:12">
      <c r="A1986" s="89"/>
      <c r="B1986" s="90"/>
      <c r="C1986" s="91"/>
      <c r="D1986" s="92"/>
      <c r="E1986" s="74"/>
      <c r="F1986" s="93"/>
      <c r="H1986" s="7"/>
      <c r="I1986" s="7"/>
      <c r="J1986" s="7"/>
      <c r="K1986" s="7"/>
      <c r="L1986" s="7"/>
    </row>
    <row r="1987" spans="1:12">
      <c r="A1987" s="87" t="s">
        <v>667</v>
      </c>
      <c r="B1987" s="88" t="s">
        <v>887</v>
      </c>
      <c r="C1987" s="91"/>
      <c r="D1987" s="73"/>
      <c r="E1987" s="74"/>
      <c r="F1987" s="93"/>
      <c r="H1987" s="7"/>
      <c r="I1987" s="7"/>
      <c r="J1987" s="7"/>
      <c r="K1987" s="7"/>
      <c r="L1987" s="7"/>
    </row>
    <row r="1988" spans="1:12" ht="41.4">
      <c r="A1988" s="89" t="s">
        <v>5376</v>
      </c>
      <c r="B1988" s="361" t="s">
        <v>1866</v>
      </c>
      <c r="C1988" s="91"/>
      <c r="D1988" s="73"/>
      <c r="E1988" s="74"/>
      <c r="F1988" s="93"/>
      <c r="H1988" s="7"/>
      <c r="I1988" s="7"/>
      <c r="J1988" s="7"/>
      <c r="K1988" s="7"/>
      <c r="L1988" s="7"/>
    </row>
    <row r="1989" spans="1:12">
      <c r="A1989" s="89" t="s">
        <v>48</v>
      </c>
      <c r="B1989" s="90" t="s">
        <v>888</v>
      </c>
      <c r="C1989" s="91" t="s">
        <v>670</v>
      </c>
      <c r="D1989" s="92">
        <v>1</v>
      </c>
      <c r="E1989" s="74">
        <v>2000</v>
      </c>
      <c r="F1989" s="93">
        <f>IF(OR(OR(E1989=0,E1989=" "),OR(D1989=0,D1989=" "))," ",D1989*E1989)</f>
        <v>2000</v>
      </c>
      <c r="H1989" s="7"/>
      <c r="I1989" s="7"/>
      <c r="J1989" s="7"/>
      <c r="K1989" s="7"/>
      <c r="L1989" s="7"/>
    </row>
    <row r="1990" spans="1:12">
      <c r="A1990" s="89"/>
      <c r="B1990" s="90"/>
      <c r="C1990" s="91"/>
      <c r="D1990" s="92"/>
      <c r="E1990" s="74"/>
      <c r="F1990" s="93"/>
      <c r="H1990" s="7"/>
      <c r="I1990" s="7"/>
      <c r="J1990" s="7"/>
      <c r="K1990" s="7"/>
      <c r="L1990" s="7"/>
    </row>
    <row r="1991" spans="1:12">
      <c r="A1991" s="98"/>
      <c r="B1991" s="99"/>
      <c r="C1991" s="100"/>
      <c r="D1991" s="101"/>
      <c r="E1991" s="100"/>
      <c r="F1991" s="102"/>
      <c r="H1991" s="7"/>
      <c r="I1991" s="7"/>
      <c r="J1991" s="7"/>
      <c r="K1991" s="7"/>
      <c r="L1991" s="7"/>
    </row>
    <row r="1992" spans="1:12">
      <c r="A1992" s="103" t="str">
        <f>A1719</f>
        <v>B.12.</v>
      </c>
      <c r="B1992" s="104" t="str">
        <f>CONCATENATE(B1719," ", "UKUPNO:")</f>
        <v>RAZNI OBRTNIČKI RADOVI UKUPNO:</v>
      </c>
      <c r="D1992" s="73"/>
      <c r="E1992" s="74"/>
      <c r="F1992" s="663">
        <f>SUM(F1722:F1991)</f>
        <v>77104.5</v>
      </c>
      <c r="H1992" s="7"/>
      <c r="I1992" s="7"/>
      <c r="J1992" s="7"/>
      <c r="K1992" s="7"/>
      <c r="L1992" s="7"/>
    </row>
    <row r="1993" spans="1:12">
      <c r="A1993" s="70"/>
      <c r="B1993" s="71"/>
      <c r="C1993" s="72"/>
      <c r="D1993" s="73"/>
      <c r="E1993" s="74"/>
      <c r="F1993" s="75"/>
      <c r="H1993" s="7"/>
      <c r="I1993" s="7"/>
      <c r="J1993" s="7"/>
      <c r="K1993" s="7"/>
      <c r="L1993" s="7"/>
    </row>
    <row r="1994" spans="1:12">
      <c r="A1994" s="70"/>
      <c r="B1994" s="71"/>
      <c r="C1994" s="72"/>
      <c r="D1994" s="73"/>
      <c r="E1994" s="74"/>
      <c r="F1994" s="75"/>
      <c r="H1994" s="7"/>
      <c r="I1994" s="7"/>
      <c r="J1994" s="7"/>
      <c r="K1994" s="7"/>
      <c r="L1994" s="7"/>
    </row>
    <row r="1995" spans="1:12">
      <c r="A1995" s="70"/>
      <c r="B1995" s="71"/>
      <c r="C1995" s="72"/>
      <c r="D1995" s="73"/>
      <c r="E1995" s="74"/>
      <c r="F1995" s="75"/>
      <c r="H1995" s="7"/>
      <c r="I1995" s="7"/>
      <c r="J1995" s="7"/>
      <c r="K1995" s="7"/>
      <c r="L1995" s="7"/>
    </row>
    <row r="1996" spans="1:12" ht="15.6">
      <c r="A1996" s="247" t="s">
        <v>8</v>
      </c>
      <c r="B1996" s="244" t="s">
        <v>889</v>
      </c>
      <c r="C1996" s="243"/>
      <c r="D1996" s="243"/>
      <c r="E1996" s="243"/>
      <c r="F1996" s="243"/>
      <c r="G1996" s="7"/>
      <c r="H1996" s="7"/>
      <c r="I1996" s="7"/>
      <c r="J1996" s="7"/>
      <c r="K1996" s="7"/>
      <c r="L1996" s="7"/>
    </row>
    <row r="1997" spans="1:12">
      <c r="A1997" s="9"/>
      <c r="B1997" s="7"/>
      <c r="C1997" s="7"/>
      <c r="D1997" s="7"/>
      <c r="E1997" s="7"/>
      <c r="F1997" s="7"/>
      <c r="G1997" s="7"/>
      <c r="H1997" s="7"/>
      <c r="I1997" s="7"/>
      <c r="J1997" s="7"/>
      <c r="K1997" s="7"/>
      <c r="L1997" s="7"/>
    </row>
    <row r="1998" spans="1:12">
      <c r="A1998" s="484"/>
      <c r="B1998" s="13" t="s">
        <v>1239</v>
      </c>
      <c r="C1998" s="13"/>
      <c r="D1998" s="13"/>
      <c r="E1998" s="13"/>
      <c r="F1998" s="13"/>
      <c r="G1998" s="7"/>
      <c r="H1998" s="7"/>
      <c r="I1998" s="7"/>
      <c r="J1998" s="7"/>
      <c r="K1998" s="7"/>
      <c r="L1998" s="7"/>
    </row>
    <row r="1999" spans="1:12">
      <c r="A1999" s="9"/>
      <c r="B1999" s="7"/>
      <c r="C1999" s="7"/>
      <c r="D1999" s="7"/>
      <c r="E1999" s="7"/>
      <c r="F1999" s="7"/>
      <c r="G1999" s="7"/>
      <c r="H1999" s="7"/>
      <c r="I1999" s="7"/>
      <c r="J1999" s="7"/>
      <c r="K1999" s="7"/>
      <c r="L1999" s="7"/>
    </row>
    <row r="2000" spans="1:12">
      <c r="A2000" s="485"/>
      <c r="B2000" s="21"/>
      <c r="C2000" s="10"/>
      <c r="D2000" s="10"/>
      <c r="E2000" s="10"/>
      <c r="F2000" s="117"/>
      <c r="G2000" s="7"/>
      <c r="H2000" s="7"/>
      <c r="I2000" s="7"/>
      <c r="J2000" s="7"/>
      <c r="K2000" s="7"/>
      <c r="L2000" s="7"/>
    </row>
    <row r="2001" spans="1:12">
      <c r="A2001" s="242" t="str">
        <f>A7</f>
        <v>A.</v>
      </c>
      <c r="B2001" s="241" t="str">
        <f>B7</f>
        <v>GRAĐEVINSKI RADOVI</v>
      </c>
      <c r="C2001" s="241"/>
      <c r="D2001" s="241"/>
      <c r="E2001" s="241"/>
      <c r="F2001" s="662">
        <f>SUM(F2002:F2012)</f>
        <v>1471198.45</v>
      </c>
      <c r="G2001" s="7"/>
      <c r="H2001" s="7"/>
      <c r="I2001" s="7"/>
      <c r="J2001" s="7"/>
      <c r="K2001" s="7"/>
      <c r="L2001" s="7"/>
    </row>
    <row r="2002" spans="1:12">
      <c r="A2002" s="9" t="str">
        <f>A15</f>
        <v>A.1.</v>
      </c>
      <c r="B2002" s="14" t="str">
        <f>B15</f>
        <v>PRIPREMNI RADOVI</v>
      </c>
      <c r="C2002" s="10"/>
      <c r="D2002" s="10"/>
      <c r="E2002" s="10"/>
      <c r="F2002" s="661">
        <f>F80</f>
        <v>43207</v>
      </c>
      <c r="G2002" s="7"/>
      <c r="H2002" s="7"/>
      <c r="I2002" s="7"/>
      <c r="J2002" s="7"/>
      <c r="K2002" s="7"/>
      <c r="L2002" s="7"/>
    </row>
    <row r="2003" spans="1:12">
      <c r="A2003" s="9" t="str">
        <f>A83</f>
        <v>A.2.</v>
      </c>
      <c r="B2003" s="14" t="str">
        <f>B83</f>
        <v>PRIJENOSI I TRANSPORTI</v>
      </c>
      <c r="C2003" s="10"/>
      <c r="D2003" s="10"/>
      <c r="E2003" s="10"/>
      <c r="F2003" s="661">
        <f>F90</f>
        <v>22410</v>
      </c>
      <c r="G2003" s="7"/>
      <c r="H2003" s="7"/>
      <c r="I2003" s="7"/>
      <c r="J2003" s="7"/>
      <c r="K2003" s="7"/>
      <c r="L2003" s="7"/>
    </row>
    <row r="2004" spans="1:12">
      <c r="A2004" s="9" t="str">
        <f>A93</f>
        <v>A.3.</v>
      </c>
      <c r="B2004" s="14" t="str">
        <f>B93</f>
        <v>ZEMLJANI RADOVI</v>
      </c>
      <c r="C2004" s="10"/>
      <c r="D2004" s="10"/>
      <c r="E2004" s="10"/>
      <c r="F2004" s="661">
        <f>F175</f>
        <v>182703.5</v>
      </c>
      <c r="G2004" s="7"/>
      <c r="H2004" s="7"/>
      <c r="I2004" s="7"/>
      <c r="J2004" s="7"/>
      <c r="K2004" s="7"/>
      <c r="L2004" s="7"/>
    </row>
    <row r="2005" spans="1:12">
      <c r="A2005" s="9" t="str">
        <f>A178</f>
        <v>A.4.</v>
      </c>
      <c r="B2005" s="14" t="str">
        <f>B178</f>
        <v>BETONSKI RADOVI</v>
      </c>
      <c r="C2005" s="10"/>
      <c r="D2005" s="10"/>
      <c r="E2005" s="10"/>
      <c r="F2005" s="661">
        <f>F218</f>
        <v>20933</v>
      </c>
      <c r="G2005" s="7"/>
      <c r="H2005" s="7"/>
      <c r="I2005" s="7"/>
      <c r="J2005" s="7"/>
      <c r="K2005" s="7"/>
      <c r="L2005" s="7"/>
    </row>
    <row r="2006" spans="1:12">
      <c r="A2006" s="9" t="str">
        <f>A221</f>
        <v>A.5.</v>
      </c>
      <c r="B2006" s="14" t="str">
        <f>B221</f>
        <v>BETONSKI I ARMIRANOBETONSKI RADOVI</v>
      </c>
      <c r="C2006" s="10"/>
      <c r="D2006" s="10"/>
      <c r="E2006" s="10"/>
      <c r="F2006" s="661">
        <f>F370</f>
        <v>540264.75</v>
      </c>
      <c r="G2006" s="7"/>
      <c r="H2006" s="7"/>
      <c r="I2006" s="7"/>
      <c r="J2006" s="7"/>
      <c r="K2006" s="7"/>
      <c r="L2006" s="7"/>
    </row>
    <row r="2007" spans="1:12">
      <c r="A2007" s="9" t="str">
        <f>A373</f>
        <v>A.6.</v>
      </c>
      <c r="B2007" s="14" t="str">
        <f>B373</f>
        <v>ARMIRAČKI RADOVI</v>
      </c>
      <c r="C2007" s="10"/>
      <c r="D2007" s="10"/>
      <c r="E2007" s="10"/>
      <c r="F2007" s="661">
        <f>F390</f>
        <v>173453.19999999998</v>
      </c>
      <c r="G2007" s="7"/>
      <c r="H2007" s="7"/>
      <c r="I2007" s="7"/>
      <c r="J2007" s="7"/>
      <c r="K2007" s="7"/>
      <c r="L2007" s="7"/>
    </row>
    <row r="2008" spans="1:12">
      <c r="A2008" s="9" t="str">
        <f>A393</f>
        <v>A.7.</v>
      </c>
      <c r="B2008" s="14" t="str">
        <f>B393</f>
        <v>ZIDARSKI RADOVI</v>
      </c>
      <c r="C2008" s="10"/>
      <c r="D2008" s="10"/>
      <c r="E2008" s="10"/>
      <c r="F2008" s="661">
        <f>F504</f>
        <v>171727.5</v>
      </c>
      <c r="G2008" s="7"/>
      <c r="H2008" s="7"/>
      <c r="I2008" s="7"/>
      <c r="J2008" s="7"/>
      <c r="K2008" s="7"/>
      <c r="L2008" s="7"/>
    </row>
    <row r="2009" spans="1:12">
      <c r="A2009" s="9" t="str">
        <f>A507</f>
        <v>A.8.</v>
      </c>
      <c r="B2009" s="14" t="str">
        <f>B507</f>
        <v>FASADERSKI RADOVI</v>
      </c>
      <c r="C2009" s="10"/>
      <c r="D2009" s="10"/>
      <c r="E2009" s="10"/>
      <c r="F2009" s="661">
        <f>F603</f>
        <v>129049.5</v>
      </c>
      <c r="G2009" s="7"/>
      <c r="H2009" s="7"/>
      <c r="I2009" s="7"/>
      <c r="J2009" s="7"/>
      <c r="K2009" s="7"/>
      <c r="L2009" s="7"/>
    </row>
    <row r="2010" spans="1:12">
      <c r="A2010" s="9" t="str">
        <f>A606</f>
        <v>A.9.</v>
      </c>
      <c r="B2010" s="14" t="str">
        <f>B606</f>
        <v>ASFALTERSKI RADOVI</v>
      </c>
      <c r="C2010" s="10"/>
      <c r="D2010" s="10"/>
      <c r="E2010" s="10"/>
      <c r="F2010" s="661">
        <f>F641</f>
        <v>26014</v>
      </c>
      <c r="G2010" s="7"/>
      <c r="H2010" s="7"/>
      <c r="I2010" s="7"/>
      <c r="J2010" s="7"/>
      <c r="K2010" s="7"/>
      <c r="L2010" s="7"/>
    </row>
    <row r="2011" spans="1:12">
      <c r="A2011" s="9" t="str">
        <f>A644</f>
        <v>A.10.</v>
      </c>
      <c r="B2011" s="14" t="str">
        <f>B644</f>
        <v>TESARSKI RADOVI</v>
      </c>
      <c r="C2011" s="10"/>
      <c r="D2011" s="10"/>
      <c r="E2011" s="10"/>
      <c r="F2011" s="661">
        <f>F664</f>
        <v>151300</v>
      </c>
      <c r="G2011" s="7"/>
      <c r="H2011" s="7"/>
      <c r="I2011" s="7"/>
      <c r="J2011" s="7"/>
      <c r="K2011" s="7"/>
      <c r="L2011" s="7"/>
    </row>
    <row r="2012" spans="1:12">
      <c r="A2012" s="9" t="str">
        <f>A667</f>
        <v>A.11.</v>
      </c>
      <c r="B2012" s="14" t="str">
        <f>B667</f>
        <v>ČELIČNA KONSTRUKCIJA</v>
      </c>
      <c r="C2012" s="10"/>
      <c r="D2012" s="10"/>
      <c r="E2012" s="10"/>
      <c r="F2012" s="661">
        <f>F699</f>
        <v>10136</v>
      </c>
      <c r="G2012" s="7"/>
      <c r="H2012" s="7"/>
      <c r="I2012" s="7"/>
      <c r="J2012" s="7"/>
      <c r="K2012" s="7"/>
      <c r="L2012" s="7"/>
    </row>
    <row r="2013" spans="1:12">
      <c r="A2013" s="242" t="str">
        <f>A704</f>
        <v>B.</v>
      </c>
      <c r="B2013" s="245" t="str">
        <f>B704</f>
        <v>OBRTNIČKI RADOVI</v>
      </c>
      <c r="C2013" s="241"/>
      <c r="D2013" s="241"/>
      <c r="E2013" s="241"/>
      <c r="F2013" s="662">
        <f>SUM(F2014:F2025)</f>
        <v>1209053.57</v>
      </c>
      <c r="G2013" s="117"/>
      <c r="H2013" s="7"/>
      <c r="I2013" s="7"/>
      <c r="J2013" s="7"/>
      <c r="K2013" s="7"/>
      <c r="L2013" s="7"/>
    </row>
    <row r="2014" spans="1:12">
      <c r="A2014" s="9" t="str">
        <f>A706</f>
        <v>B.1.</v>
      </c>
      <c r="B2014" s="14" t="str">
        <f>B706</f>
        <v>HIDROIZOLACIJE</v>
      </c>
      <c r="C2014" s="10"/>
      <c r="D2014" s="10"/>
      <c r="E2014" s="10"/>
      <c r="F2014" s="661">
        <f>F810</f>
        <v>117717.21</v>
      </c>
      <c r="H2014" s="7"/>
      <c r="I2014" s="7"/>
      <c r="J2014" s="7"/>
      <c r="K2014" s="7"/>
      <c r="L2014" s="7"/>
    </row>
    <row r="2015" spans="1:12">
      <c r="A2015" s="9" t="str">
        <f>A813</f>
        <v>B.2.</v>
      </c>
      <c r="B2015" s="14" t="str">
        <f>B813</f>
        <v>TERMOIZOLACIJE</v>
      </c>
      <c r="C2015" s="10"/>
      <c r="D2015" s="10"/>
      <c r="E2015" s="10"/>
      <c r="F2015" s="661">
        <f>F897</f>
        <v>56413</v>
      </c>
      <c r="H2015" s="7"/>
      <c r="I2015" s="7"/>
      <c r="J2015" s="7"/>
      <c r="K2015" s="7"/>
      <c r="L2015" s="7"/>
    </row>
    <row r="2016" spans="1:12">
      <c r="A2016" s="9" t="str">
        <f>A900</f>
        <v>B.3.</v>
      </c>
      <c r="B2016" s="14" t="str">
        <f>B900</f>
        <v>LIMARSKI RADOVI</v>
      </c>
      <c r="C2016" s="10"/>
      <c r="D2016" s="10"/>
      <c r="E2016" s="10"/>
      <c r="F2016" s="661">
        <f>F963</f>
        <v>207853</v>
      </c>
      <c r="H2016" s="7"/>
      <c r="I2016" s="7"/>
      <c r="J2016" s="7"/>
      <c r="K2016" s="7"/>
      <c r="L2016" s="7"/>
    </row>
    <row r="2017" spans="1:12">
      <c r="A2017" s="9" t="str">
        <f>A966</f>
        <v>B.4.</v>
      </c>
      <c r="B2017" s="14" t="str">
        <f>B966</f>
        <v>STOLARSKI RADOVI</v>
      </c>
      <c r="C2017" s="10"/>
      <c r="D2017" s="10"/>
      <c r="E2017" s="10"/>
      <c r="F2017" s="661">
        <f>F1043</f>
        <v>36490</v>
      </c>
      <c r="H2017" s="7"/>
      <c r="I2017" s="7"/>
      <c r="J2017" s="7"/>
      <c r="K2017" s="7"/>
      <c r="L2017" s="7"/>
    </row>
    <row r="2018" spans="1:12">
      <c r="A2018" s="9" t="str">
        <f>A1046</f>
        <v>B.5.</v>
      </c>
      <c r="B2018" s="14" t="str">
        <f>B1046</f>
        <v>BRAVARSKI RADOVI - ALUMINIJSKA BRAVARIJA I PVC STOLARIJA</v>
      </c>
      <c r="C2018" s="10"/>
      <c r="D2018" s="10"/>
      <c r="E2018" s="10"/>
      <c r="F2018" s="661">
        <f>F1170</f>
        <v>181158.36</v>
      </c>
      <c r="H2018" s="7"/>
      <c r="I2018" s="7"/>
      <c r="J2018" s="7"/>
      <c r="K2018" s="7"/>
      <c r="L2018" s="7"/>
    </row>
    <row r="2019" spans="1:12">
      <c r="A2019" s="9" t="str">
        <f>A1173</f>
        <v>B.6.</v>
      </c>
      <c r="B2019" s="14" t="str">
        <f>B1173</f>
        <v>BRAVARSKI RADOVI - PROTUPOŽARNA</v>
      </c>
      <c r="C2019" s="10"/>
      <c r="D2019" s="10"/>
      <c r="E2019" s="10"/>
      <c r="F2019" s="661">
        <f>F1215</f>
        <v>39900</v>
      </c>
      <c r="H2019" s="7"/>
      <c r="I2019" s="7"/>
      <c r="J2019" s="7"/>
      <c r="K2019" s="7"/>
      <c r="L2019" s="7"/>
    </row>
    <row r="2020" spans="1:12">
      <c r="A2020" s="9" t="str">
        <f>A1218</f>
        <v>B.7.</v>
      </c>
      <c r="B2020" s="14" t="str">
        <f>B1218</f>
        <v xml:space="preserve">BRAVARSKI RADOVI </v>
      </c>
      <c r="C2020" s="10"/>
      <c r="D2020" s="10"/>
      <c r="E2020" s="10"/>
      <c r="F2020" s="661">
        <f>F1402</f>
        <v>140355</v>
      </c>
      <c r="H2020" s="7"/>
      <c r="I2020" s="7"/>
      <c r="J2020" s="7"/>
      <c r="K2020" s="7"/>
      <c r="L2020" s="7"/>
    </row>
    <row r="2021" spans="1:12">
      <c r="A2021" s="9" t="str">
        <f>A1407</f>
        <v>B.8.</v>
      </c>
      <c r="B2021" s="14" t="str">
        <f>B1407</f>
        <v>SOBOSLIKARSKI RADOVI</v>
      </c>
      <c r="C2021" s="10"/>
      <c r="D2021" s="10"/>
      <c r="E2021" s="10"/>
      <c r="F2021" s="661">
        <f>F1425</f>
        <v>48684</v>
      </c>
      <c r="H2021" s="7"/>
      <c r="I2021" s="7"/>
      <c r="J2021" s="7"/>
      <c r="K2021" s="7"/>
      <c r="L2021" s="7"/>
    </row>
    <row r="2022" spans="1:12">
      <c r="A2022" s="9" t="str">
        <f>A1428</f>
        <v>B.9.</v>
      </c>
      <c r="B2022" s="14" t="str">
        <f>B1428</f>
        <v>KERAMIČARSKI RADOVI</v>
      </c>
      <c r="C2022" s="10"/>
      <c r="D2022" s="10"/>
      <c r="E2022" s="10"/>
      <c r="F2022" s="661">
        <f>F1505</f>
        <v>48490</v>
      </c>
      <c r="H2022" s="7"/>
      <c r="I2022" s="7"/>
      <c r="J2022" s="7"/>
      <c r="K2022" s="7"/>
      <c r="L2022" s="7"/>
    </row>
    <row r="2023" spans="1:12">
      <c r="A2023" s="9" t="str">
        <f>A1508</f>
        <v>B.10.</v>
      </c>
      <c r="B2023" s="14" t="str">
        <f>B1508</f>
        <v>PODOPOLAGAČKI RADOVI</v>
      </c>
      <c r="C2023" s="10"/>
      <c r="D2023" s="10"/>
      <c r="E2023" s="10"/>
      <c r="F2023" s="661">
        <f>F1591</f>
        <v>135520</v>
      </c>
      <c r="H2023" s="7"/>
      <c r="I2023" s="7"/>
      <c r="J2023" s="7"/>
      <c r="K2023" s="7"/>
      <c r="L2023" s="7"/>
    </row>
    <row r="2024" spans="1:12">
      <c r="A2024" s="9" t="str">
        <f>A1594</f>
        <v>B.11.</v>
      </c>
      <c r="B2024" s="14" t="str">
        <f>B1594</f>
        <v>GIPSARSKI RADOVI</v>
      </c>
      <c r="C2024" s="10"/>
      <c r="D2024" s="10"/>
      <c r="E2024" s="10"/>
      <c r="F2024" s="661">
        <f>F1716</f>
        <v>119368.5</v>
      </c>
      <c r="H2024" s="7"/>
      <c r="I2024" s="7"/>
      <c r="J2024" s="7"/>
      <c r="K2024" s="7"/>
      <c r="L2024" s="7"/>
    </row>
    <row r="2025" spans="1:12">
      <c r="A2025" s="9" t="str">
        <f>A1719</f>
        <v>B.12.</v>
      </c>
      <c r="B2025" s="14" t="str">
        <f>B1719</f>
        <v>RAZNI OBRTNIČKI RADOVI</v>
      </c>
      <c r="C2025" s="10"/>
      <c r="D2025" s="10"/>
      <c r="E2025" s="10"/>
      <c r="F2025" s="661">
        <f>F1992</f>
        <v>77104.5</v>
      </c>
      <c r="H2025" s="7"/>
      <c r="I2025" s="7"/>
      <c r="J2025" s="7"/>
      <c r="K2025" s="7"/>
      <c r="L2025" s="7"/>
    </row>
    <row r="2026" spans="1:12" ht="15.6">
      <c r="A2026" s="239" t="s">
        <v>8</v>
      </c>
      <c r="B2026" s="240" t="s">
        <v>2133</v>
      </c>
      <c r="C2026" s="241"/>
      <c r="D2026" s="241"/>
      <c r="E2026" s="242"/>
      <c r="F2026" s="662">
        <f>F2001+F2013</f>
        <v>2680252.02</v>
      </c>
      <c r="G2026" s="661"/>
      <c r="H2026" s="7"/>
      <c r="I2026" s="7"/>
      <c r="J2026" s="7"/>
      <c r="K2026" s="7"/>
      <c r="L2026" s="7"/>
    </row>
    <row r="2027" spans="1:12">
      <c r="A2027" s="70"/>
      <c r="B2027" s="71"/>
      <c r="C2027" s="72"/>
      <c r="D2027" s="73"/>
      <c r="E2027" s="74"/>
      <c r="F2027" s="75"/>
      <c r="G2027" s="7"/>
      <c r="H2027" s="7"/>
      <c r="I2027" s="7"/>
      <c r="J2027" s="7"/>
      <c r="K2027" s="7"/>
      <c r="L2027" s="7"/>
    </row>
    <row r="2028" spans="1:12">
      <c r="A2028" s="70"/>
      <c r="B2028" s="71"/>
      <c r="C2028" s="72"/>
      <c r="D2028" s="73"/>
      <c r="E2028" s="74"/>
      <c r="F2028" s="75"/>
      <c r="G2028" s="7"/>
      <c r="H2028" s="7"/>
      <c r="I2028" s="7"/>
      <c r="J2028" s="7"/>
      <c r="K2028" s="7"/>
      <c r="L2028" s="7"/>
    </row>
    <row r="2029" spans="1:12">
      <c r="A2029" s="70"/>
      <c r="B2029" s="71"/>
      <c r="C2029" s="72"/>
      <c r="D2029" s="73"/>
      <c r="E2029" s="74"/>
      <c r="F2029" s="75"/>
      <c r="G2029" s="7"/>
      <c r="H2029" s="7"/>
      <c r="I2029" s="7"/>
      <c r="J2029" s="7"/>
      <c r="K2029" s="7"/>
      <c r="L2029" s="7"/>
    </row>
    <row r="2030" spans="1:12">
      <c r="A2030" s="70"/>
      <c r="B2030" s="71"/>
      <c r="C2030" s="72"/>
      <c r="D2030" s="73"/>
      <c r="E2030" s="74"/>
      <c r="F2030" s="75"/>
      <c r="G2030" s="7"/>
      <c r="H2030" s="7"/>
      <c r="I2030" s="7"/>
      <c r="J2030" s="7"/>
      <c r="K2030" s="7"/>
      <c r="L2030" s="7"/>
    </row>
    <row r="2031" spans="1:12">
      <c r="A2031" s="70"/>
      <c r="B2031" s="71"/>
      <c r="C2031" s="72"/>
      <c r="D2031" s="73"/>
      <c r="E2031" s="74"/>
      <c r="F2031" s="75"/>
      <c r="G2031" s="7"/>
      <c r="H2031" s="7"/>
      <c r="I2031" s="7"/>
      <c r="J2031" s="7"/>
      <c r="K2031" s="7"/>
      <c r="L2031" s="7"/>
    </row>
    <row r="2032" spans="1:12">
      <c r="A2032" s="70"/>
      <c r="B2032" s="71"/>
      <c r="C2032" s="72"/>
      <c r="D2032" s="73"/>
      <c r="E2032" s="74"/>
      <c r="F2032" s="75"/>
      <c r="G2032" s="7"/>
      <c r="H2032" s="7"/>
      <c r="I2032" s="7"/>
      <c r="J2032" s="7"/>
      <c r="K2032" s="7"/>
      <c r="L2032" s="7"/>
    </row>
    <row r="2033" spans="2:12">
      <c r="H2033" s="7"/>
      <c r="I2033" s="7"/>
      <c r="J2033" s="7"/>
      <c r="K2033" s="7"/>
      <c r="L2033" s="7"/>
    </row>
    <row r="2034" spans="2:12">
      <c r="B2034" s="72"/>
    </row>
  </sheetData>
  <mergeCells count="1">
    <mergeCell ref="A1:F1"/>
  </mergeCells>
  <phoneticPr fontId="165" type="noConversion"/>
  <printOptions horizontalCentered="1"/>
  <pageMargins left="0.78740157480314965" right="0.39370078740157483" top="0.39370078740157483" bottom="1.1811023622047245" header="0.39370078740157483" footer="0.59055118110236227"/>
  <pageSetup paperSize="9" scale="98" orientation="portrait" r:id="rId1"/>
  <headerFooter alignWithMargins="0">
    <oddFooter>&amp;L&amp;"-,Uobičajeno"&amp;9&amp;A&amp;C&amp;"-,Uobičajeno"&amp;9DJEČJI VRTIĆ LEKENIK&amp;R&amp;"-,Uobičajeno"str.: &amp;"-,Podebljano"&amp;P/&amp;N</oddFooter>
  </headerFooter>
  <rowBreaks count="137" manualBreakCount="137">
    <brk id="14" max="5" man="1"/>
    <brk id="25" max="5" man="1"/>
    <brk id="37" max="5" man="1"/>
    <brk id="65" max="5" man="1"/>
    <brk id="92" max="5" man="1"/>
    <brk id="101" max="5" man="1"/>
    <brk id="109" max="5" man="1"/>
    <brk id="120" max="5" man="1"/>
    <brk id="127" max="5" man="1"/>
    <brk id="137" max="5" man="1"/>
    <brk id="177" max="5" man="1"/>
    <brk id="192" max="5" man="1"/>
    <brk id="204" max="5" man="1"/>
    <brk id="220" max="5" man="1"/>
    <brk id="230" max="5" man="1"/>
    <brk id="256" max="5" man="1"/>
    <brk id="266" max="5" man="1"/>
    <brk id="274" max="5" man="1"/>
    <brk id="283" max="5" man="1"/>
    <brk id="292" max="5" man="1"/>
    <brk id="300" max="5" man="1"/>
    <brk id="309" max="5" man="1"/>
    <brk id="319" max="5" man="1"/>
    <brk id="329" max="5" man="1"/>
    <brk id="340" max="5" man="1"/>
    <brk id="350" max="5" man="1"/>
    <brk id="384" max="5" man="1"/>
    <brk id="392" max="5" man="1"/>
    <brk id="427" max="5" man="1"/>
    <brk id="442" max="5" man="1"/>
    <brk id="453" max="5" man="1"/>
    <brk id="467" max="5" man="1"/>
    <brk id="492" max="5" man="1"/>
    <brk id="506" max="5" man="1"/>
    <brk id="522" max="5" man="1"/>
    <brk id="527" max="5" man="1"/>
    <brk id="539" max="5" man="1"/>
    <brk id="564" max="5" man="1"/>
    <brk id="571" max="5" man="1"/>
    <brk id="576" max="5" man="1"/>
    <brk id="584" max="5" man="1"/>
    <brk id="591" max="5" man="1"/>
    <brk id="596" max="5" man="1"/>
    <brk id="605" max="5" man="1"/>
    <brk id="623" max="5" man="1"/>
    <brk id="643" max="5" man="1"/>
    <brk id="654" max="5" man="1"/>
    <brk id="703" max="5" man="1"/>
    <brk id="721" max="5" man="1"/>
    <brk id="733" max="5" man="1"/>
    <brk id="753" max="5" man="1"/>
    <brk id="766" max="5" man="1"/>
    <brk id="783" max="5" man="1"/>
    <brk id="812" max="5" man="1"/>
    <brk id="833" max="5" man="1"/>
    <brk id="841" max="5" man="1"/>
    <brk id="861" max="5" man="1"/>
    <brk id="881" max="5" man="1"/>
    <brk id="899" max="5" man="1"/>
    <brk id="908" max="5" man="1"/>
    <brk id="920" max="5" man="1"/>
    <brk id="931" max="5" man="1"/>
    <brk id="943" max="5" man="1"/>
    <brk id="958" max="5" man="1"/>
    <brk id="965" max="5" man="1"/>
    <brk id="974" max="5" man="1"/>
    <brk id="980" max="5" man="1"/>
    <brk id="997" max="5" man="1"/>
    <brk id="1017" max="5" man="1"/>
    <brk id="1026" max="5" man="1"/>
    <brk id="1034" max="5" man="1"/>
    <brk id="1045" max="5" man="1"/>
    <brk id="1073" max="5" man="1"/>
    <brk id="1120" max="5" man="1"/>
    <brk id="1126" max="5" man="1"/>
    <brk id="1131" max="5" man="1"/>
    <brk id="1136" max="5" man="1"/>
    <brk id="1172" max="5" man="1"/>
    <brk id="1193" max="5" man="1"/>
    <brk id="1217" max="5" man="1"/>
    <brk id="1237" max="5" man="1"/>
    <brk id="1245" max="5" man="1"/>
    <brk id="1254" max="5" man="1"/>
    <brk id="1262" max="5" man="1"/>
    <brk id="1272" max="5" man="1"/>
    <brk id="1296" max="5" man="1"/>
    <brk id="1306" max="5" man="1"/>
    <brk id="1315" max="5" man="1"/>
    <brk id="1324" max="5" man="1"/>
    <brk id="1334" max="5" man="1"/>
    <brk id="1353" max="5" man="1"/>
    <brk id="1360" max="5" man="1"/>
    <brk id="1366" max="5" man="1"/>
    <brk id="1373" max="5" man="1"/>
    <brk id="1379" max="5" man="1"/>
    <brk id="1386" max="5" man="1"/>
    <brk id="1397" max="5" man="1"/>
    <brk id="1406" max="5" man="1"/>
    <brk id="1427" max="5" man="1"/>
    <brk id="1462" max="5" man="1"/>
    <brk id="1493" max="5" man="1"/>
    <brk id="1507" max="5" man="1"/>
    <brk id="1531" max="5" man="1"/>
    <brk id="1545" max="5" man="1"/>
    <brk id="1552" max="5" man="1"/>
    <brk id="1565" max="5" man="1"/>
    <brk id="1574" max="5" man="1"/>
    <brk id="1593" max="5" man="1"/>
    <brk id="1632" max="5" man="1"/>
    <brk id="1645" max="5" man="1"/>
    <brk id="1655" max="5" man="1"/>
    <brk id="1684" max="5" man="1"/>
    <brk id="1692" max="5" man="1"/>
    <brk id="1701" max="5" man="1"/>
    <brk id="1718" max="5" man="1"/>
    <brk id="1732" max="5" man="1"/>
    <brk id="1735" max="5" man="1"/>
    <brk id="1757" max="5" man="1"/>
    <brk id="1774" max="5" man="1"/>
    <brk id="1797" max="5" man="1"/>
    <brk id="1803" max="5" man="1"/>
    <brk id="1813" max="5" man="1"/>
    <brk id="1818" max="5" man="1"/>
    <brk id="1844" max="5" man="1"/>
    <brk id="1859" max="5" man="1"/>
    <brk id="1870" max="5" man="1"/>
    <brk id="1880" max="5" man="1"/>
    <brk id="1890" max="5" man="1"/>
    <brk id="1900" max="5" man="1"/>
    <brk id="1911" max="5" man="1"/>
    <brk id="1921" max="5" man="1"/>
    <brk id="1935" max="5" man="1"/>
    <brk id="1952" max="5" man="1"/>
    <brk id="1964" max="5" man="1"/>
    <brk id="1974" max="5" man="1"/>
    <brk id="1981" max="5" man="1"/>
    <brk id="1995" max="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List3"/>
  <dimension ref="A1:AG110"/>
  <sheetViews>
    <sheetView view="pageBreakPreview" topLeftCell="A86" zoomScale="70" zoomScaleNormal="100" zoomScaleSheetLayoutView="70" workbookViewId="0">
      <selection activeCell="D95" sqref="D95"/>
    </sheetView>
  </sheetViews>
  <sheetFormatPr defaultColWidth="9.109375" defaultRowHeight="13.8"/>
  <cols>
    <col min="1" max="1" width="6.6640625" style="183" customWidth="1"/>
    <col min="2" max="2" width="40.6640625" style="167" customWidth="1"/>
    <col min="3" max="3" width="5.6640625" style="168" customWidth="1"/>
    <col min="4" max="4" width="10.6640625" style="184" customWidth="1"/>
    <col min="5" max="5" width="12.6640625" style="169" customWidth="1"/>
    <col min="6" max="6" width="16.6640625" style="169" customWidth="1"/>
    <col min="7" max="7" width="9.33203125" style="122" customWidth="1"/>
    <col min="8" max="8" width="9.33203125" style="123" customWidth="1"/>
    <col min="9" max="9" width="9" style="124" customWidth="1"/>
    <col min="10" max="10" width="12.109375" style="125" customWidth="1"/>
    <col min="11" max="16384" width="9.109375" style="126"/>
  </cols>
  <sheetData>
    <row r="1" spans="1:33" ht="30" customHeight="1">
      <c r="A1" s="935" t="s">
        <v>2134</v>
      </c>
      <c r="B1" s="936"/>
      <c r="C1" s="936"/>
      <c r="D1" s="936"/>
      <c r="E1" s="936"/>
      <c r="F1" s="936"/>
    </row>
    <row r="2" spans="1:33" ht="15" customHeight="1">
      <c r="A2" s="127" t="s">
        <v>658</v>
      </c>
      <c r="B2" s="128" t="s">
        <v>890</v>
      </c>
      <c r="C2" s="127" t="s">
        <v>659</v>
      </c>
      <c r="D2" s="129" t="s">
        <v>660</v>
      </c>
      <c r="E2" s="130" t="s">
        <v>891</v>
      </c>
      <c r="F2" s="130" t="s">
        <v>661</v>
      </c>
    </row>
    <row r="3" spans="1:33" ht="15" customHeight="1">
      <c r="A3" s="127">
        <v>1</v>
      </c>
      <c r="B3" s="128" t="s">
        <v>892</v>
      </c>
      <c r="C3" s="127">
        <v>3</v>
      </c>
      <c r="D3" s="127">
        <v>4</v>
      </c>
      <c r="E3" s="127">
        <v>5</v>
      </c>
      <c r="F3" s="130" t="s">
        <v>662</v>
      </c>
    </row>
    <row r="4" spans="1:33" ht="15" customHeight="1">
      <c r="A4" s="131"/>
      <c r="B4" s="132"/>
      <c r="C4" s="133"/>
      <c r="D4" s="134"/>
      <c r="E4" s="135"/>
      <c r="F4" s="135"/>
    </row>
    <row r="5" spans="1:33" s="139" customFormat="1" ht="18.75" customHeight="1">
      <c r="A5" s="213" t="s">
        <v>9</v>
      </c>
      <c r="B5" s="937" t="s">
        <v>1930</v>
      </c>
      <c r="C5" s="937"/>
      <c r="D5" s="136"/>
      <c r="E5" s="137"/>
      <c r="F5" s="138"/>
      <c r="G5" s="640"/>
      <c r="H5" s="641"/>
      <c r="I5" s="554"/>
      <c r="J5" s="642"/>
      <c r="K5" s="554"/>
      <c r="L5" s="643"/>
      <c r="M5" s="554"/>
      <c r="N5" s="554"/>
      <c r="O5" s="554"/>
      <c r="P5" s="554"/>
      <c r="Q5" s="554"/>
      <c r="R5" s="554"/>
      <c r="S5" s="554"/>
      <c r="T5" s="554"/>
      <c r="U5" s="554"/>
      <c r="V5" s="554"/>
      <c r="W5" s="554"/>
      <c r="X5" s="554"/>
      <c r="Y5" s="554"/>
      <c r="Z5" s="554"/>
      <c r="AA5" s="554"/>
      <c r="AB5" s="554"/>
      <c r="AC5" s="554"/>
      <c r="AD5" s="554"/>
      <c r="AE5" s="554"/>
      <c r="AF5" s="554"/>
      <c r="AG5" s="554"/>
    </row>
    <row r="6" spans="1:33" s="139" customFormat="1">
      <c r="A6" s="552"/>
      <c r="B6" s="548"/>
      <c r="C6" s="548"/>
      <c r="D6" s="553"/>
      <c r="E6" s="144"/>
      <c r="F6" s="143"/>
      <c r="G6" s="640"/>
      <c r="H6" s="641"/>
      <c r="I6" s="554"/>
      <c r="J6" s="642"/>
      <c r="K6" s="554"/>
      <c r="L6" s="643"/>
      <c r="M6" s="554"/>
      <c r="N6" s="554"/>
      <c r="O6" s="554"/>
      <c r="P6" s="554"/>
      <c r="Q6" s="554"/>
      <c r="R6" s="554"/>
      <c r="S6" s="554"/>
      <c r="T6" s="554"/>
      <c r="U6" s="554"/>
      <c r="V6" s="554"/>
      <c r="W6" s="554"/>
      <c r="X6" s="554"/>
      <c r="Y6" s="554"/>
      <c r="Z6" s="554"/>
      <c r="AA6" s="554"/>
      <c r="AB6" s="554"/>
      <c r="AC6" s="554"/>
      <c r="AD6" s="554"/>
      <c r="AE6" s="554"/>
      <c r="AF6" s="554"/>
      <c r="AG6" s="554"/>
    </row>
    <row r="7" spans="1:33" s="149" customFormat="1">
      <c r="A7" s="140"/>
      <c r="B7" s="141"/>
      <c r="C7" s="142"/>
      <c r="D7" s="143"/>
      <c r="E7" s="144"/>
      <c r="F7" s="143"/>
      <c r="G7" s="145"/>
      <c r="H7" s="146"/>
      <c r="I7" s="147"/>
      <c r="J7" s="148"/>
      <c r="L7" s="162"/>
    </row>
    <row r="8" spans="1:33" s="157" customFormat="1" ht="13.5" customHeight="1">
      <c r="A8" s="150"/>
      <c r="B8" s="151" t="s">
        <v>893</v>
      </c>
      <c r="C8" s="152"/>
      <c r="D8" s="144"/>
      <c r="E8" s="144"/>
      <c r="F8" s="144"/>
      <c r="G8" s="153"/>
      <c r="H8" s="154"/>
      <c r="I8" s="155"/>
      <c r="J8" s="156"/>
    </row>
    <row r="9" spans="1:33" s="157" customFormat="1" ht="204.75" customHeight="1">
      <c r="A9" s="150"/>
      <c r="B9" s="158" t="s">
        <v>2046</v>
      </c>
      <c r="C9" s="152"/>
      <c r="D9" s="144"/>
      <c r="E9" s="144"/>
      <c r="F9" s="144"/>
      <c r="G9" s="153"/>
      <c r="H9" s="154"/>
      <c r="I9" s="155"/>
      <c r="J9" s="156"/>
      <c r="M9" s="144"/>
    </row>
    <row r="10" spans="1:33" s="157" customFormat="1" ht="262.2">
      <c r="A10" s="254"/>
      <c r="B10" s="158" t="s">
        <v>1931</v>
      </c>
      <c r="C10" s="152"/>
      <c r="D10" s="144"/>
      <c r="E10" s="144"/>
      <c r="F10" s="144"/>
      <c r="G10" s="153"/>
      <c r="H10" s="154"/>
      <c r="I10" s="155"/>
      <c r="J10" s="156"/>
      <c r="M10" s="144"/>
      <c r="N10" s="667"/>
    </row>
    <row r="11" spans="1:33" s="157" customFormat="1">
      <c r="A11" s="254"/>
      <c r="B11" s="151" t="s">
        <v>894</v>
      </c>
      <c r="C11" s="152"/>
      <c r="D11" s="144"/>
      <c r="E11" s="144"/>
      <c r="F11" s="144"/>
      <c r="G11" s="153"/>
      <c r="H11" s="154"/>
      <c r="I11" s="155"/>
      <c r="J11" s="156"/>
      <c r="M11" s="144"/>
      <c r="N11" s="667"/>
    </row>
    <row r="12" spans="1:33" s="157" customFormat="1" ht="151.80000000000001">
      <c r="A12" s="254"/>
      <c r="B12" s="159" t="s">
        <v>1037</v>
      </c>
      <c r="C12" s="152"/>
      <c r="D12" s="144"/>
      <c r="E12" s="144"/>
      <c r="F12" s="144"/>
      <c r="G12" s="153"/>
      <c r="H12" s="154"/>
      <c r="I12" s="155"/>
      <c r="J12" s="156"/>
      <c r="M12" s="144"/>
      <c r="N12" s="667"/>
    </row>
    <row r="13" spans="1:33" s="149" customFormat="1">
      <c r="A13" s="266"/>
      <c r="B13" s="141"/>
      <c r="C13" s="142"/>
      <c r="D13" s="143"/>
      <c r="E13" s="144"/>
      <c r="F13" s="143"/>
      <c r="G13" s="145"/>
      <c r="H13" s="146"/>
      <c r="I13" s="147"/>
      <c r="J13" s="148"/>
      <c r="L13" s="162"/>
      <c r="M13" s="144"/>
      <c r="N13" s="668"/>
    </row>
    <row r="14" spans="1:33" s="149" customFormat="1">
      <c r="A14" s="266"/>
      <c r="B14" s="141"/>
      <c r="C14" s="142"/>
      <c r="D14" s="143"/>
      <c r="E14" s="144"/>
      <c r="F14" s="143"/>
      <c r="G14" s="145"/>
      <c r="H14" s="146"/>
      <c r="I14" s="147"/>
      <c r="J14" s="148"/>
      <c r="L14" s="162"/>
      <c r="M14" s="144"/>
      <c r="N14" s="668"/>
    </row>
    <row r="15" spans="1:33" s="149" customFormat="1">
      <c r="A15" s="267" t="s">
        <v>8</v>
      </c>
      <c r="B15" s="250" t="s">
        <v>104</v>
      </c>
      <c r="C15" s="251"/>
      <c r="D15" s="252"/>
      <c r="E15" s="165"/>
      <c r="F15" s="252"/>
      <c r="G15" s="145"/>
      <c r="H15" s="146"/>
      <c r="I15" s="147"/>
      <c r="J15" s="148"/>
      <c r="L15" s="579"/>
      <c r="M15" s="144"/>
      <c r="N15" s="668"/>
    </row>
    <row r="16" spans="1:33" s="157" customFormat="1">
      <c r="A16" s="254"/>
      <c r="B16" s="159"/>
      <c r="C16" s="152"/>
      <c r="D16" s="144"/>
      <c r="E16" s="144"/>
      <c r="F16" s="144"/>
      <c r="G16" s="153"/>
      <c r="H16" s="154"/>
      <c r="I16" s="155"/>
      <c r="J16" s="156"/>
      <c r="M16" s="144"/>
      <c r="N16" s="667"/>
    </row>
    <row r="17" spans="1:14" s="157" customFormat="1" ht="110.4">
      <c r="A17" s="254" t="s">
        <v>1077</v>
      </c>
      <c r="B17" s="160" t="s">
        <v>1036</v>
      </c>
      <c r="C17" s="152"/>
      <c r="D17" s="144"/>
      <c r="E17" s="144"/>
      <c r="F17" s="144"/>
      <c r="G17" s="153"/>
      <c r="H17" s="161"/>
      <c r="I17" s="155"/>
      <c r="J17" s="156"/>
      <c r="L17" s="162"/>
      <c r="M17" s="144"/>
      <c r="N17" s="667"/>
    </row>
    <row r="18" spans="1:14" s="157" customFormat="1">
      <c r="A18" s="254"/>
      <c r="B18" s="160" t="s">
        <v>895</v>
      </c>
      <c r="C18" s="152"/>
      <c r="D18" s="144"/>
      <c r="E18" s="144"/>
      <c r="F18" s="144"/>
      <c r="G18" s="153"/>
      <c r="H18" s="161"/>
      <c r="I18" s="155"/>
      <c r="J18" s="156"/>
      <c r="L18" s="162"/>
      <c r="M18" s="144"/>
      <c r="N18" s="667"/>
    </row>
    <row r="19" spans="1:14" s="157" customFormat="1">
      <c r="A19" s="254" t="s">
        <v>48</v>
      </c>
      <c r="B19" s="160" t="s">
        <v>896</v>
      </c>
      <c r="C19" s="152" t="s">
        <v>675</v>
      </c>
      <c r="D19" s="144">
        <v>3970</v>
      </c>
      <c r="E19" s="144">
        <v>1</v>
      </c>
      <c r="F19" s="144">
        <f>IF((D19*E19)=0,"",(D19*E19))</f>
        <v>3970</v>
      </c>
      <c r="G19" s="153"/>
      <c r="H19" s="161"/>
      <c r="I19" s="161"/>
      <c r="J19" s="156"/>
      <c r="L19" s="162"/>
      <c r="M19" s="144"/>
      <c r="N19" s="667"/>
    </row>
    <row r="20" spans="1:14" s="157" customFormat="1">
      <c r="A20" s="254"/>
      <c r="B20" s="163"/>
      <c r="C20" s="152"/>
      <c r="D20" s="144"/>
      <c r="E20" s="144"/>
      <c r="F20" s="144"/>
      <c r="G20" s="164"/>
      <c r="H20" s="154"/>
      <c r="I20" s="155"/>
      <c r="J20" s="156"/>
      <c r="M20" s="144"/>
      <c r="N20" s="667"/>
    </row>
    <row r="21" spans="1:14" s="157" customFormat="1">
      <c r="A21" s="255" t="s">
        <v>8</v>
      </c>
      <c r="B21" s="256" t="s">
        <v>1121</v>
      </c>
      <c r="C21" s="257"/>
      <c r="D21" s="258"/>
      <c r="E21" s="259"/>
      <c r="F21" s="669">
        <f>SUM(F17:F20)</f>
        <v>3970</v>
      </c>
      <c r="G21" s="411"/>
      <c r="H21" s="196"/>
      <c r="I21" s="197"/>
      <c r="J21" s="198"/>
      <c r="M21" s="144"/>
      <c r="N21" s="667"/>
    </row>
    <row r="22" spans="1:14">
      <c r="A22" s="268"/>
      <c r="D22" s="169"/>
      <c r="G22" s="170"/>
      <c r="M22" s="169"/>
      <c r="N22" s="667"/>
    </row>
    <row r="23" spans="1:14">
      <c r="A23" s="268"/>
      <c r="D23" s="169"/>
      <c r="G23" s="170"/>
      <c r="M23" s="169"/>
      <c r="N23" s="667"/>
    </row>
    <row r="24" spans="1:14" s="149" customFormat="1" ht="12.75" customHeight="1">
      <c r="A24" s="267" t="s">
        <v>9</v>
      </c>
      <c r="B24" s="938" t="s">
        <v>120</v>
      </c>
      <c r="C24" s="939"/>
      <c r="D24" s="252"/>
      <c r="E24" s="165"/>
      <c r="F24" s="252"/>
      <c r="G24" s="164"/>
      <c r="H24" s="171"/>
      <c r="I24" s="172"/>
      <c r="J24" s="148"/>
      <c r="M24" s="144"/>
      <c r="N24" s="667"/>
    </row>
    <row r="25" spans="1:14" s="176" customFormat="1">
      <c r="A25" s="254"/>
      <c r="B25" s="159"/>
      <c r="C25" s="173"/>
      <c r="D25" s="144"/>
      <c r="E25" s="144"/>
      <c r="F25" s="144"/>
      <c r="G25" s="164"/>
      <c r="H25" s="174"/>
      <c r="I25" s="175"/>
      <c r="J25" s="125"/>
      <c r="L25" s="177"/>
      <c r="M25" s="144"/>
      <c r="N25" s="667"/>
    </row>
    <row r="26" spans="1:14" s="176" customFormat="1" ht="193.2">
      <c r="A26" s="254" t="s">
        <v>1078</v>
      </c>
      <c r="B26" s="414" t="s">
        <v>3586</v>
      </c>
      <c r="C26" s="152"/>
      <c r="D26" s="144"/>
      <c r="E26" s="144"/>
      <c r="F26" s="144"/>
      <c r="G26" s="164"/>
      <c r="H26" s="174"/>
      <c r="I26" s="175"/>
      <c r="J26" s="125"/>
      <c r="L26" s="177"/>
      <c r="M26" s="144"/>
      <c r="N26" s="667"/>
    </row>
    <row r="27" spans="1:14" s="176" customFormat="1" ht="27.6">
      <c r="A27" s="254"/>
      <c r="B27" s="159" t="s">
        <v>3587</v>
      </c>
      <c r="C27" s="152"/>
      <c r="D27" s="144"/>
      <c r="E27" s="144"/>
      <c r="F27" s="144"/>
      <c r="G27" s="164"/>
      <c r="H27" s="174"/>
      <c r="I27" s="175"/>
      <c r="J27" s="125"/>
      <c r="L27" s="177"/>
      <c r="M27" s="144"/>
      <c r="N27" s="667"/>
    </row>
    <row r="28" spans="1:14" s="176" customFormat="1" ht="41.4">
      <c r="A28" s="254"/>
      <c r="B28" s="159" t="s">
        <v>897</v>
      </c>
      <c r="C28" s="152"/>
      <c r="D28" s="144"/>
      <c r="E28" s="144"/>
      <c r="F28" s="144"/>
      <c r="G28" s="164"/>
      <c r="H28" s="174"/>
      <c r="I28" s="175"/>
      <c r="J28" s="125"/>
      <c r="L28" s="177"/>
      <c r="M28" s="144"/>
      <c r="N28" s="667"/>
    </row>
    <row r="29" spans="1:14" s="176" customFormat="1" ht="27.6">
      <c r="A29" s="254" t="s">
        <v>48</v>
      </c>
      <c r="B29" s="159" t="s">
        <v>3588</v>
      </c>
      <c r="C29" s="152" t="s">
        <v>675</v>
      </c>
      <c r="D29" s="144">
        <v>2759</v>
      </c>
      <c r="E29" s="144">
        <v>2</v>
      </c>
      <c r="F29" s="144">
        <f>IF((D29*E29)=0,"",(D29*E29))</f>
        <v>5518</v>
      </c>
      <c r="G29" s="164"/>
      <c r="H29" s="164"/>
      <c r="I29" s="164"/>
      <c r="J29" s="125"/>
      <c r="L29" s="177"/>
      <c r="M29" s="144"/>
      <c r="N29" s="667"/>
    </row>
    <row r="30" spans="1:14" s="176" customFormat="1">
      <c r="A30" s="254"/>
      <c r="B30" s="159"/>
      <c r="C30" s="152"/>
      <c r="D30" s="144"/>
      <c r="E30" s="144"/>
      <c r="F30" s="144"/>
      <c r="G30" s="164"/>
      <c r="H30" s="178"/>
      <c r="I30" s="175"/>
      <c r="J30" s="125"/>
      <c r="L30" s="177"/>
      <c r="M30" s="144"/>
      <c r="N30" s="667"/>
    </row>
    <row r="31" spans="1:14" s="176" customFormat="1">
      <c r="A31" s="254"/>
      <c r="B31" s="159"/>
      <c r="C31" s="152"/>
      <c r="D31" s="144"/>
      <c r="E31" s="144"/>
      <c r="F31" s="144"/>
      <c r="G31" s="164"/>
      <c r="H31" s="174"/>
      <c r="I31" s="175"/>
      <c r="J31" s="125"/>
      <c r="L31" s="177"/>
      <c r="M31" s="144"/>
      <c r="N31" s="667"/>
    </row>
    <row r="32" spans="1:14" s="157" customFormat="1">
      <c r="A32" s="255" t="s">
        <v>9</v>
      </c>
      <c r="B32" s="256" t="s">
        <v>1122</v>
      </c>
      <c r="C32" s="257"/>
      <c r="D32" s="258"/>
      <c r="E32" s="259"/>
      <c r="F32" s="669">
        <f>SUM(F26:F31)</f>
        <v>5518</v>
      </c>
      <c r="G32" s="411"/>
      <c r="H32" s="196"/>
      <c r="I32" s="197"/>
      <c r="J32" s="198"/>
      <c r="M32" s="144"/>
      <c r="N32" s="667"/>
    </row>
    <row r="33" spans="1:14" s="176" customFormat="1">
      <c r="A33" s="268"/>
      <c r="B33" s="159"/>
      <c r="C33" s="179"/>
      <c r="D33" s="169"/>
      <c r="E33" s="169"/>
      <c r="F33" s="169"/>
      <c r="G33" s="184"/>
      <c r="H33" s="174"/>
      <c r="I33" s="175"/>
      <c r="J33" s="125"/>
      <c r="L33" s="177"/>
      <c r="M33" s="169"/>
      <c r="N33" s="667"/>
    </row>
    <row r="34" spans="1:14" s="176" customFormat="1">
      <c r="A34" s="268"/>
      <c r="B34" s="159"/>
      <c r="C34" s="179"/>
      <c r="D34" s="169"/>
      <c r="E34" s="169"/>
      <c r="F34" s="169"/>
      <c r="G34" s="184"/>
      <c r="H34" s="174"/>
      <c r="I34" s="175"/>
      <c r="J34" s="125"/>
      <c r="L34" s="177"/>
      <c r="M34" s="169"/>
      <c r="N34" s="667"/>
    </row>
    <row r="35" spans="1:14" s="149" customFormat="1">
      <c r="A35" s="267" t="s">
        <v>10</v>
      </c>
      <c r="B35" s="253" t="s">
        <v>898</v>
      </c>
      <c r="C35" s="251"/>
      <c r="D35" s="252"/>
      <c r="E35" s="165"/>
      <c r="F35" s="252"/>
      <c r="G35" s="153"/>
      <c r="H35" s="171"/>
      <c r="I35" s="172"/>
      <c r="J35" s="148"/>
      <c r="M35" s="144"/>
      <c r="N35" s="667"/>
    </row>
    <row r="36" spans="1:14" s="149" customFormat="1">
      <c r="A36" s="269"/>
      <c r="B36" s="180"/>
      <c r="C36" s="142"/>
      <c r="D36" s="143"/>
      <c r="E36" s="144"/>
      <c r="F36" s="143"/>
      <c r="G36" s="153"/>
      <c r="H36" s="171"/>
      <c r="I36" s="172"/>
      <c r="J36" s="148"/>
      <c r="M36" s="144"/>
      <c r="N36" s="667"/>
    </row>
    <row r="37" spans="1:14" s="149" customFormat="1">
      <c r="A37" s="270" t="s">
        <v>667</v>
      </c>
      <c r="B37" s="88" t="s">
        <v>899</v>
      </c>
      <c r="C37" s="142"/>
      <c r="D37" s="143"/>
      <c r="E37" s="144"/>
      <c r="F37" s="143"/>
      <c r="G37" s="153"/>
      <c r="H37" s="171"/>
      <c r="I37" s="172"/>
      <c r="J37" s="148"/>
      <c r="M37" s="144"/>
      <c r="N37" s="667"/>
    </row>
    <row r="38" spans="1:14" s="157" customFormat="1">
      <c r="A38" s="270"/>
      <c r="B38" s="88"/>
      <c r="C38" s="173"/>
      <c r="D38" s="144"/>
      <c r="E38" s="144"/>
      <c r="F38" s="144"/>
      <c r="G38" s="153"/>
      <c r="H38" s="154"/>
      <c r="I38" s="155"/>
      <c r="J38" s="156"/>
      <c r="L38" s="162"/>
      <c r="M38" s="144"/>
      <c r="N38" s="667"/>
    </row>
    <row r="39" spans="1:14" s="157" customFormat="1" ht="151.80000000000001">
      <c r="A39" s="266" t="s">
        <v>1084</v>
      </c>
      <c r="B39" s="274" t="s">
        <v>1961</v>
      </c>
      <c r="C39" s="173"/>
      <c r="D39" s="144"/>
      <c r="E39" s="144"/>
      <c r="F39" s="144"/>
      <c r="G39" s="412"/>
      <c r="H39" s="154"/>
      <c r="I39" s="155"/>
      <c r="J39" s="156"/>
      <c r="L39" s="162"/>
      <c r="M39" s="144"/>
      <c r="N39" s="667"/>
    </row>
    <row r="40" spans="1:14" s="157" customFormat="1" ht="27.6">
      <c r="A40" s="254" t="s">
        <v>48</v>
      </c>
      <c r="B40" s="181" t="s">
        <v>1947</v>
      </c>
      <c r="C40" s="152" t="s">
        <v>649</v>
      </c>
      <c r="D40" s="185">
        <v>8</v>
      </c>
      <c r="E40" s="144">
        <v>70</v>
      </c>
      <c r="F40" s="144">
        <f t="shared" ref="F40:F45" si="0">IF((D40*E40)=0,"",(D40*E40))</f>
        <v>560</v>
      </c>
      <c r="G40" s="153"/>
      <c r="H40" s="154"/>
      <c r="I40" s="155"/>
      <c r="J40" s="156"/>
      <c r="L40" s="162"/>
      <c r="M40" s="144"/>
      <c r="N40" s="667"/>
    </row>
    <row r="41" spans="1:14" s="157" customFormat="1" ht="27.6">
      <c r="A41" s="254" t="s">
        <v>49</v>
      </c>
      <c r="B41" s="181" t="s">
        <v>1946</v>
      </c>
      <c r="C41" s="152" t="s">
        <v>649</v>
      </c>
      <c r="D41" s="185">
        <v>12</v>
      </c>
      <c r="E41" s="144">
        <v>70</v>
      </c>
      <c r="F41" s="144">
        <f t="shared" si="0"/>
        <v>840</v>
      </c>
      <c r="G41" s="153"/>
      <c r="H41" s="154"/>
      <c r="I41" s="155"/>
      <c r="J41" s="156"/>
      <c r="L41" s="162"/>
      <c r="M41" s="144"/>
      <c r="N41" s="667"/>
    </row>
    <row r="42" spans="1:14" s="157" customFormat="1" ht="27.6">
      <c r="A42" s="254" t="s">
        <v>51</v>
      </c>
      <c r="B42" s="181" t="s">
        <v>1942</v>
      </c>
      <c r="C42" s="152" t="s">
        <v>649</v>
      </c>
      <c r="D42" s="185">
        <v>9</v>
      </c>
      <c r="E42" s="144">
        <v>70</v>
      </c>
      <c r="F42" s="144">
        <f t="shared" si="0"/>
        <v>630</v>
      </c>
      <c r="G42" s="153"/>
      <c r="H42" s="154"/>
      <c r="I42" s="155"/>
      <c r="J42" s="156"/>
      <c r="L42" s="162"/>
      <c r="M42" s="144"/>
      <c r="N42" s="667"/>
    </row>
    <row r="43" spans="1:14" s="157" customFormat="1" ht="27.6">
      <c r="A43" s="254" t="s">
        <v>53</v>
      </c>
      <c r="B43" s="413" t="s">
        <v>1945</v>
      </c>
      <c r="C43" s="152" t="s">
        <v>649</v>
      </c>
      <c r="D43" s="185">
        <v>4</v>
      </c>
      <c r="E43" s="144">
        <v>70</v>
      </c>
      <c r="F43" s="144">
        <f t="shared" si="0"/>
        <v>280</v>
      </c>
      <c r="G43" s="153"/>
      <c r="H43" s="154"/>
      <c r="I43" s="155"/>
      <c r="J43" s="156"/>
      <c r="L43" s="162"/>
      <c r="M43" s="144"/>
      <c r="N43" s="667"/>
    </row>
    <row r="44" spans="1:14" s="157" customFormat="1" ht="27.6">
      <c r="A44" s="254" t="s">
        <v>698</v>
      </c>
      <c r="B44" s="413" t="s">
        <v>1944</v>
      </c>
      <c r="C44" s="152" t="s">
        <v>649</v>
      </c>
      <c r="D44" s="185">
        <v>2</v>
      </c>
      <c r="E44" s="144">
        <v>70</v>
      </c>
      <c r="F44" s="144">
        <f t="shared" si="0"/>
        <v>140</v>
      </c>
      <c r="G44" s="153"/>
      <c r="H44" s="154"/>
      <c r="I44" s="155"/>
      <c r="J44" s="156"/>
      <c r="L44" s="162"/>
      <c r="M44" s="144"/>
      <c r="N44" s="667"/>
    </row>
    <row r="45" spans="1:14" s="157" customFormat="1" ht="27.6">
      <c r="A45" s="254" t="s">
        <v>699</v>
      </c>
      <c r="B45" s="414" t="s">
        <v>1943</v>
      </c>
      <c r="C45" s="152" t="s">
        <v>649</v>
      </c>
      <c r="D45" s="185">
        <v>2</v>
      </c>
      <c r="E45" s="144">
        <v>70</v>
      </c>
      <c r="F45" s="144">
        <f t="shared" si="0"/>
        <v>140</v>
      </c>
      <c r="G45" s="153"/>
      <c r="H45" s="154"/>
      <c r="I45" s="155"/>
      <c r="J45" s="156"/>
      <c r="L45" s="162"/>
      <c r="M45" s="144"/>
      <c r="N45" s="667"/>
    </row>
    <row r="46" spans="1:14" s="157" customFormat="1">
      <c r="A46" s="254"/>
      <c r="B46" s="159"/>
      <c r="C46" s="152"/>
      <c r="D46" s="185"/>
      <c r="E46" s="144"/>
      <c r="F46" s="144"/>
      <c r="G46" s="153"/>
      <c r="H46" s="154"/>
      <c r="I46" s="155"/>
      <c r="J46" s="156"/>
      <c r="L46" s="162"/>
      <c r="M46" s="144"/>
      <c r="N46" s="667"/>
    </row>
    <row r="47" spans="1:14" s="157" customFormat="1" ht="193.2">
      <c r="A47" s="254" t="s">
        <v>1948</v>
      </c>
      <c r="B47" s="414" t="s">
        <v>1962</v>
      </c>
      <c r="C47" s="152"/>
      <c r="D47" s="185"/>
      <c r="E47" s="144"/>
      <c r="F47" s="144" t="str">
        <f>IF((D47*E47)=0,"",(D47*E47))</f>
        <v/>
      </c>
      <c r="G47" s="153"/>
      <c r="H47" s="154"/>
      <c r="I47" s="155"/>
      <c r="J47" s="156"/>
      <c r="L47" s="162"/>
      <c r="M47" s="144"/>
      <c r="N47" s="667"/>
    </row>
    <row r="48" spans="1:14" s="157" customFormat="1">
      <c r="A48" s="254" t="s">
        <v>48</v>
      </c>
      <c r="B48" s="181" t="s">
        <v>900</v>
      </c>
      <c r="C48" s="152" t="s">
        <v>649</v>
      </c>
      <c r="D48" s="185">
        <v>37</v>
      </c>
      <c r="E48" s="144">
        <v>80</v>
      </c>
      <c r="F48" s="144">
        <f>IF((D48*E48)=0,"",(D48*E48))</f>
        <v>2960</v>
      </c>
      <c r="G48" s="153"/>
      <c r="H48" s="154"/>
      <c r="I48" s="155"/>
      <c r="J48" s="156"/>
      <c r="L48" s="162"/>
      <c r="M48" s="144"/>
      <c r="N48" s="667"/>
    </row>
    <row r="49" spans="1:14" s="157" customFormat="1">
      <c r="A49" s="254"/>
      <c r="B49" s="159"/>
      <c r="C49" s="152"/>
      <c r="D49" s="185"/>
      <c r="E49" s="144"/>
      <c r="F49" s="144"/>
      <c r="G49" s="153"/>
      <c r="H49" s="154"/>
      <c r="I49" s="155"/>
      <c r="J49" s="156"/>
      <c r="L49" s="162"/>
      <c r="M49" s="144"/>
      <c r="N49" s="667"/>
    </row>
    <row r="50" spans="1:14" s="157" customFormat="1">
      <c r="A50" s="270" t="s">
        <v>667</v>
      </c>
      <c r="B50" s="88" t="s">
        <v>903</v>
      </c>
      <c r="C50" s="142"/>
      <c r="D50" s="186"/>
      <c r="E50" s="144"/>
      <c r="F50" s="143"/>
      <c r="G50" s="153"/>
      <c r="H50" s="171"/>
      <c r="I50" s="155"/>
      <c r="J50" s="156"/>
      <c r="L50" s="162"/>
      <c r="M50" s="144"/>
      <c r="N50" s="667"/>
    </row>
    <row r="51" spans="1:14" s="157" customFormat="1">
      <c r="A51" s="269"/>
      <c r="B51" s="187" t="s">
        <v>904</v>
      </c>
      <c r="C51" s="188"/>
      <c r="D51" s="189"/>
      <c r="E51" s="190"/>
      <c r="F51" s="191"/>
      <c r="G51" s="153"/>
      <c r="H51" s="171"/>
      <c r="I51" s="155"/>
      <c r="J51" s="156"/>
      <c r="L51" s="162"/>
      <c r="M51" s="190"/>
      <c r="N51" s="667"/>
    </row>
    <row r="52" spans="1:14" s="157" customFormat="1" ht="69">
      <c r="A52" s="269"/>
      <c r="B52" s="187" t="s">
        <v>905</v>
      </c>
      <c r="C52" s="142"/>
      <c r="D52" s="186"/>
      <c r="E52" s="144"/>
      <c r="F52" s="143"/>
      <c r="G52" s="153"/>
      <c r="H52" s="171"/>
      <c r="I52" s="155"/>
      <c r="J52" s="156"/>
      <c r="L52" s="162"/>
      <c r="M52" s="144"/>
      <c r="N52" s="667"/>
    </row>
    <row r="53" spans="1:14" s="157" customFormat="1">
      <c r="A53" s="254"/>
      <c r="B53" s="159"/>
      <c r="C53" s="152"/>
      <c r="D53" s="185"/>
      <c r="E53" s="144"/>
      <c r="F53" s="144"/>
      <c r="G53" s="153"/>
      <c r="H53" s="154"/>
      <c r="I53" s="155"/>
      <c r="J53" s="156"/>
      <c r="L53" s="162"/>
      <c r="M53" s="144"/>
      <c r="N53" s="667"/>
    </row>
    <row r="54" spans="1:14" s="157" customFormat="1" ht="138">
      <c r="A54" s="254" t="s">
        <v>1949</v>
      </c>
      <c r="B54" s="275" t="s">
        <v>1963</v>
      </c>
      <c r="C54" s="152"/>
      <c r="D54" s="185"/>
      <c r="E54" s="144"/>
      <c r="F54" s="144"/>
      <c r="G54" s="153"/>
      <c r="H54" s="154"/>
      <c r="I54" s="155"/>
      <c r="J54" s="156"/>
      <c r="L54" s="162"/>
      <c r="M54" s="144"/>
      <c r="N54" s="667"/>
    </row>
    <row r="55" spans="1:14" s="157" customFormat="1">
      <c r="A55" s="254" t="s">
        <v>48</v>
      </c>
      <c r="B55" s="159" t="s">
        <v>1932</v>
      </c>
      <c r="C55" s="152" t="s">
        <v>649</v>
      </c>
      <c r="D55" s="185">
        <v>1</v>
      </c>
      <c r="E55" s="144">
        <v>100</v>
      </c>
      <c r="F55" s="144">
        <f>IF((D55*E55)=0,"",(D55*E55))</f>
        <v>100</v>
      </c>
      <c r="G55" s="153"/>
      <c r="H55" s="154"/>
      <c r="I55" s="155"/>
      <c r="J55" s="156"/>
      <c r="L55" s="162"/>
      <c r="M55" s="144"/>
      <c r="N55" s="667"/>
    </row>
    <row r="56" spans="1:14" s="157" customFormat="1" ht="27.6">
      <c r="A56" s="254" t="s">
        <v>49</v>
      </c>
      <c r="B56" s="159" t="s">
        <v>1934</v>
      </c>
      <c r="C56" s="152" t="s">
        <v>649</v>
      </c>
      <c r="D56" s="185">
        <v>2</v>
      </c>
      <c r="E56" s="144">
        <v>100</v>
      </c>
      <c r="F56" s="144">
        <f>IF((D56*E56)=0,"",(D56*E56))</f>
        <v>200</v>
      </c>
      <c r="G56" s="153"/>
      <c r="H56" s="154"/>
      <c r="I56" s="155"/>
      <c r="J56" s="156"/>
      <c r="L56" s="162"/>
      <c r="M56" s="144"/>
      <c r="N56" s="667"/>
    </row>
    <row r="57" spans="1:14" s="157" customFormat="1">
      <c r="A57" s="254" t="s">
        <v>51</v>
      </c>
      <c r="B57" s="159" t="s">
        <v>1935</v>
      </c>
      <c r="C57" s="152" t="s">
        <v>649</v>
      </c>
      <c r="D57" s="185">
        <v>2</v>
      </c>
      <c r="E57" s="144">
        <v>100</v>
      </c>
      <c r="F57" s="144">
        <f>IF((D57*E57)=0,"",(D57*E57))</f>
        <v>200</v>
      </c>
      <c r="G57" s="153"/>
      <c r="H57" s="154"/>
      <c r="I57" s="155"/>
      <c r="J57" s="156"/>
      <c r="L57" s="162"/>
      <c r="M57" s="144"/>
      <c r="N57" s="667"/>
    </row>
    <row r="58" spans="1:14" s="157" customFormat="1">
      <c r="A58" s="254"/>
      <c r="B58" s="159"/>
      <c r="C58" s="152"/>
      <c r="D58" s="185"/>
      <c r="E58" s="144"/>
      <c r="F58" s="144"/>
      <c r="G58" s="153"/>
      <c r="H58" s="154"/>
      <c r="I58" s="155"/>
      <c r="J58" s="156"/>
      <c r="L58" s="162"/>
      <c r="M58" s="144"/>
      <c r="N58" s="667"/>
    </row>
    <row r="59" spans="1:14" s="157" customFormat="1" ht="179.4">
      <c r="A59" s="254" t="s">
        <v>1950</v>
      </c>
      <c r="B59" s="275" t="s">
        <v>1964</v>
      </c>
      <c r="C59" s="152"/>
      <c r="D59" s="185"/>
      <c r="E59" s="144"/>
      <c r="F59" s="144" t="str">
        <f>IF((D59*E59)=0,"",(D59*E59))</f>
        <v/>
      </c>
      <c r="G59" s="153"/>
      <c r="H59" s="154"/>
      <c r="I59" s="155"/>
      <c r="J59" s="156"/>
      <c r="L59" s="162"/>
      <c r="M59" s="144"/>
      <c r="N59" s="667"/>
    </row>
    <row r="60" spans="1:14" s="157" customFormat="1">
      <c r="A60" s="254" t="s">
        <v>48</v>
      </c>
      <c r="B60" s="159" t="s">
        <v>906</v>
      </c>
      <c r="C60" s="152" t="s">
        <v>649</v>
      </c>
      <c r="D60" s="185">
        <v>5</v>
      </c>
      <c r="E60" s="144">
        <v>80</v>
      </c>
      <c r="F60" s="144">
        <f>IF((D60*E60)=0,"",(D60*E60))</f>
        <v>400</v>
      </c>
      <c r="G60" s="153"/>
      <c r="H60" s="154"/>
      <c r="I60" s="155"/>
      <c r="J60" s="156"/>
      <c r="L60" s="162"/>
      <c r="M60" s="144"/>
      <c r="N60" s="667"/>
    </row>
    <row r="61" spans="1:14" s="157" customFormat="1">
      <c r="A61" s="254"/>
      <c r="B61" s="159"/>
      <c r="C61" s="152"/>
      <c r="D61" s="185"/>
      <c r="E61" s="144"/>
      <c r="F61" s="144"/>
      <c r="G61" s="153"/>
      <c r="H61" s="154"/>
      <c r="I61" s="155"/>
      <c r="J61" s="156"/>
      <c r="L61" s="162"/>
      <c r="M61" s="144"/>
      <c r="N61" s="667"/>
    </row>
    <row r="62" spans="1:14" s="149" customFormat="1">
      <c r="A62" s="270" t="s">
        <v>667</v>
      </c>
      <c r="B62" s="88" t="s">
        <v>901</v>
      </c>
      <c r="C62" s="142"/>
      <c r="D62" s="186"/>
      <c r="E62" s="144"/>
      <c r="F62" s="143"/>
      <c r="G62" s="153"/>
      <c r="H62" s="171"/>
      <c r="I62" s="172"/>
      <c r="J62" s="148"/>
      <c r="M62" s="144"/>
      <c r="N62" s="667"/>
    </row>
    <row r="63" spans="1:14" s="157" customFormat="1">
      <c r="A63" s="254"/>
      <c r="B63" s="159"/>
      <c r="C63" s="152"/>
      <c r="D63" s="185"/>
      <c r="E63" s="144"/>
      <c r="F63" s="144"/>
      <c r="G63" s="153"/>
      <c r="H63" s="154"/>
      <c r="I63" s="155"/>
      <c r="J63" s="156"/>
      <c r="L63" s="162"/>
      <c r="M63" s="144"/>
      <c r="N63" s="667"/>
    </row>
    <row r="64" spans="1:14" s="157" customFormat="1" ht="124.2">
      <c r="A64" s="254" t="s">
        <v>1951</v>
      </c>
      <c r="B64" s="275" t="s">
        <v>1965</v>
      </c>
      <c r="C64" s="152"/>
      <c r="D64" s="185"/>
      <c r="E64" s="144"/>
      <c r="F64" s="144"/>
      <c r="G64" s="153"/>
      <c r="H64" s="154"/>
      <c r="I64" s="155"/>
      <c r="J64" s="156"/>
      <c r="L64" s="162"/>
      <c r="M64" s="144"/>
      <c r="N64" s="667"/>
    </row>
    <row r="65" spans="1:14" s="157" customFormat="1">
      <c r="A65" s="254" t="s">
        <v>48</v>
      </c>
      <c r="B65" s="418" t="s">
        <v>1933</v>
      </c>
      <c r="C65" s="152" t="s">
        <v>649</v>
      </c>
      <c r="D65" s="185">
        <v>131</v>
      </c>
      <c r="E65" s="144">
        <v>25</v>
      </c>
      <c r="F65" s="144">
        <f>IF((D65*E65)=0,"",(D65*E65))</f>
        <v>3275</v>
      </c>
      <c r="G65" s="153"/>
      <c r="H65" s="154"/>
      <c r="I65" s="155"/>
      <c r="J65" s="156"/>
      <c r="L65" s="162"/>
      <c r="M65" s="144"/>
      <c r="N65" s="667"/>
    </row>
    <row r="66" spans="1:14" s="157" customFormat="1">
      <c r="A66" s="254"/>
      <c r="B66" s="159"/>
      <c r="C66" s="173"/>
      <c r="D66" s="185"/>
      <c r="E66" s="144"/>
      <c r="F66" s="144"/>
      <c r="G66" s="153"/>
      <c r="H66" s="154"/>
      <c r="I66" s="155"/>
      <c r="J66" s="156"/>
      <c r="L66" s="162"/>
      <c r="M66" s="144"/>
      <c r="N66" s="667"/>
    </row>
    <row r="67" spans="1:14" s="157" customFormat="1" ht="179.4">
      <c r="A67" s="254" t="s">
        <v>1952</v>
      </c>
      <c r="B67" s="414" t="s">
        <v>1966</v>
      </c>
      <c r="C67" s="152"/>
      <c r="D67" s="185"/>
      <c r="E67" s="144"/>
      <c r="F67" s="144" t="str">
        <f>IF((D67*E67)=0,"",(D67*E67))</f>
        <v/>
      </c>
      <c r="G67" s="153"/>
      <c r="H67" s="154"/>
      <c r="I67" s="155"/>
      <c r="J67" s="156"/>
      <c r="L67" s="162"/>
      <c r="M67" s="144"/>
      <c r="N67" s="667"/>
    </row>
    <row r="68" spans="1:14" s="157" customFormat="1">
      <c r="A68" s="254" t="s">
        <v>48</v>
      </c>
      <c r="B68" s="181" t="s">
        <v>902</v>
      </c>
      <c r="C68" s="152" t="s">
        <v>649</v>
      </c>
      <c r="D68" s="185">
        <v>131</v>
      </c>
      <c r="E68" s="144">
        <v>30</v>
      </c>
      <c r="F68" s="144">
        <f>IF((D68*E68)=0,"",(D68*E68))</f>
        <v>3930</v>
      </c>
      <c r="G68" s="153"/>
      <c r="H68" s="154"/>
      <c r="I68" s="155"/>
      <c r="J68" s="156"/>
      <c r="L68" s="162"/>
      <c r="M68" s="144"/>
      <c r="N68" s="667"/>
    </row>
    <row r="69" spans="1:14" s="157" customFormat="1">
      <c r="A69" s="254"/>
      <c r="B69" s="159"/>
      <c r="C69" s="152"/>
      <c r="D69" s="185"/>
      <c r="E69" s="144"/>
      <c r="F69" s="144"/>
      <c r="G69" s="153"/>
      <c r="H69" s="154"/>
      <c r="I69" s="155"/>
      <c r="J69" s="156"/>
      <c r="L69" s="162"/>
      <c r="M69" s="144"/>
      <c r="N69" s="667"/>
    </row>
    <row r="70" spans="1:14" s="149" customFormat="1">
      <c r="A70" s="270" t="s">
        <v>667</v>
      </c>
      <c r="B70" s="88" t="s">
        <v>1939</v>
      </c>
      <c r="C70" s="142"/>
      <c r="D70" s="186"/>
      <c r="E70" s="144"/>
      <c r="F70" s="143"/>
      <c r="I70" s="172"/>
      <c r="J70" s="148"/>
      <c r="M70" s="144"/>
      <c r="N70" s="667"/>
    </row>
    <row r="71" spans="1:14" s="149" customFormat="1">
      <c r="A71" s="254"/>
      <c r="B71" s="159"/>
      <c r="C71" s="152"/>
      <c r="D71" s="185"/>
      <c r="E71" s="144"/>
      <c r="F71" s="144"/>
      <c r="I71" s="172"/>
      <c r="J71" s="148"/>
      <c r="M71" s="144"/>
      <c r="N71" s="667"/>
    </row>
    <row r="72" spans="1:14" s="149" customFormat="1" ht="124.2">
      <c r="A72" s="254" t="s">
        <v>1953</v>
      </c>
      <c r="B72" s="275" t="s">
        <v>1965</v>
      </c>
      <c r="C72" s="152"/>
      <c r="D72" s="185"/>
      <c r="E72" s="144"/>
      <c r="F72" s="144"/>
      <c r="I72" s="172"/>
      <c r="J72" s="148"/>
      <c r="M72" s="144"/>
      <c r="N72" s="667"/>
    </row>
    <row r="73" spans="1:14" s="149" customFormat="1">
      <c r="A73" s="254" t="s">
        <v>48</v>
      </c>
      <c r="B73" s="418" t="s">
        <v>1940</v>
      </c>
      <c r="C73" s="152" t="s">
        <v>649</v>
      </c>
      <c r="D73" s="185">
        <v>65</v>
      </c>
      <c r="E73" s="144">
        <v>30</v>
      </c>
      <c r="F73" s="144">
        <f>IF((D73*E73)=0,"",(D73*E73))</f>
        <v>1950</v>
      </c>
      <c r="G73" s="415"/>
      <c r="H73" s="415"/>
      <c r="I73" s="416"/>
      <c r="J73" s="148"/>
      <c r="M73" s="144"/>
      <c r="N73" s="667"/>
    </row>
    <row r="74" spans="1:14" s="149" customFormat="1">
      <c r="A74" s="254" t="s">
        <v>49</v>
      </c>
      <c r="B74" s="418" t="s">
        <v>1941</v>
      </c>
      <c r="C74" s="152" t="s">
        <v>649</v>
      </c>
      <c r="D74" s="185">
        <v>495</v>
      </c>
      <c r="E74" s="144">
        <v>15</v>
      </c>
      <c r="F74" s="144">
        <f>IF((D74*E74)=0,"",(D74*E74))</f>
        <v>7425</v>
      </c>
      <c r="G74" s="415"/>
      <c r="H74" s="415"/>
      <c r="I74" s="416"/>
      <c r="J74" s="148"/>
      <c r="M74" s="144"/>
      <c r="N74" s="667"/>
    </row>
    <row r="75" spans="1:14" s="149" customFormat="1">
      <c r="A75" s="254"/>
      <c r="B75" s="159"/>
      <c r="C75" s="173"/>
      <c r="D75" s="185"/>
      <c r="E75" s="144"/>
      <c r="F75" s="144"/>
      <c r="I75" s="172"/>
      <c r="J75" s="148"/>
      <c r="M75" s="144"/>
      <c r="N75" s="667"/>
    </row>
    <row r="76" spans="1:14" s="149" customFormat="1" ht="193.2">
      <c r="A76" s="254" t="s">
        <v>1954</v>
      </c>
      <c r="B76" s="414" t="s">
        <v>1967</v>
      </c>
      <c r="C76" s="152"/>
      <c r="D76" s="185"/>
      <c r="E76" s="144"/>
      <c r="F76" s="144" t="str">
        <f>IF((D76*E76)=0,"",(D76*E76))</f>
        <v/>
      </c>
      <c r="I76" s="172"/>
      <c r="J76" s="148"/>
      <c r="M76" s="144"/>
      <c r="N76" s="667"/>
    </row>
    <row r="77" spans="1:14" s="149" customFormat="1">
      <c r="A77" s="254" t="s">
        <v>48</v>
      </c>
      <c r="B77" s="181" t="s">
        <v>902</v>
      </c>
      <c r="C77" s="152" t="s">
        <v>649</v>
      </c>
      <c r="D77" s="185">
        <v>560</v>
      </c>
      <c r="E77" s="144">
        <v>5</v>
      </c>
      <c r="F77" s="144">
        <f>IF((D77*E77)=0,"",(D77*E77))</f>
        <v>2800</v>
      </c>
      <c r="G77" s="417"/>
      <c r="H77" s="154"/>
      <c r="I77" s="172"/>
      <c r="J77" s="148"/>
      <c r="M77" s="144"/>
      <c r="N77" s="667"/>
    </row>
    <row r="78" spans="1:14" s="157" customFormat="1">
      <c r="I78" s="155"/>
      <c r="J78" s="156"/>
      <c r="L78" s="162"/>
      <c r="N78" s="667"/>
    </row>
    <row r="79" spans="1:14" s="149" customFormat="1">
      <c r="A79" s="270" t="s">
        <v>667</v>
      </c>
      <c r="B79" s="88" t="s">
        <v>907</v>
      </c>
      <c r="C79" s="142"/>
      <c r="D79" s="143"/>
      <c r="E79" s="144"/>
      <c r="F79" s="143"/>
      <c r="G79" s="153"/>
      <c r="H79" s="171"/>
      <c r="I79" s="172"/>
      <c r="J79" s="148"/>
      <c r="M79" s="144"/>
      <c r="N79" s="667"/>
    </row>
    <row r="80" spans="1:14" s="157" customFormat="1">
      <c r="A80" s="254"/>
      <c r="B80" s="159"/>
      <c r="C80" s="152"/>
      <c r="D80" s="144"/>
      <c r="E80" s="144"/>
      <c r="F80" s="144"/>
      <c r="G80" s="153"/>
      <c r="H80" s="154"/>
      <c r="I80" s="155"/>
      <c r="J80" s="156"/>
      <c r="L80" s="162"/>
      <c r="M80" s="144"/>
      <c r="N80" s="667"/>
    </row>
    <row r="81" spans="1:33" s="157" customFormat="1" ht="138">
      <c r="A81" s="254" t="s">
        <v>1955</v>
      </c>
      <c r="B81" s="275" t="s">
        <v>1968</v>
      </c>
      <c r="C81" s="152"/>
      <c r="D81" s="144"/>
      <c r="E81" s="144"/>
      <c r="F81" s="144" t="str">
        <f>IF((D81*E81)=0,"",(D81*E81))</f>
        <v/>
      </c>
      <c r="G81" s="153"/>
      <c r="H81" s="153"/>
      <c r="I81" s="155"/>
      <c r="J81" s="156"/>
      <c r="L81" s="162"/>
      <c r="M81" s="144"/>
      <c r="N81" s="667"/>
    </row>
    <row r="82" spans="1:33" s="157" customFormat="1" ht="27.6">
      <c r="A82" s="254" t="s">
        <v>48</v>
      </c>
      <c r="B82" s="181" t="s">
        <v>1937</v>
      </c>
      <c r="C82" s="152" t="s">
        <v>675</v>
      </c>
      <c r="D82" s="144">
        <v>2759</v>
      </c>
      <c r="E82" s="144">
        <v>1.5</v>
      </c>
      <c r="F82" s="144">
        <f>IF((D82*E82)=0,"",(D82*E82))</f>
        <v>4138.5</v>
      </c>
      <c r="G82" s="153"/>
      <c r="H82" s="154"/>
      <c r="I82" s="144"/>
      <c r="J82" s="156"/>
      <c r="L82" s="162"/>
      <c r="M82" s="144"/>
      <c r="N82" s="667"/>
    </row>
    <row r="83" spans="1:33" s="157" customFormat="1" ht="27.6">
      <c r="A83" s="254" t="s">
        <v>49</v>
      </c>
      <c r="B83" s="181" t="s">
        <v>1936</v>
      </c>
      <c r="C83" s="152" t="s">
        <v>675</v>
      </c>
      <c r="D83" s="144">
        <v>720</v>
      </c>
      <c r="E83" s="144">
        <v>2</v>
      </c>
      <c r="F83" s="144">
        <f>IF((D83*E83)=0,"",(D83*E83))</f>
        <v>1440</v>
      </c>
      <c r="G83" s="153"/>
      <c r="H83" s="154"/>
      <c r="I83" s="155"/>
      <c r="J83" s="156"/>
      <c r="L83" s="162"/>
      <c r="M83" s="144"/>
      <c r="N83" s="667"/>
    </row>
    <row r="84" spans="1:33" s="157" customFormat="1" ht="41.4">
      <c r="A84" s="254" t="s">
        <v>51</v>
      </c>
      <c r="B84" s="181" t="s">
        <v>1938</v>
      </c>
      <c r="C84" s="152" t="s">
        <v>675</v>
      </c>
      <c r="D84" s="144">
        <v>95</v>
      </c>
      <c r="E84" s="144">
        <v>5</v>
      </c>
      <c r="F84" s="144">
        <f>IF((D84*E84)=0,"",(D84*E84))</f>
        <v>475</v>
      </c>
      <c r="G84" s="153"/>
      <c r="H84" s="154"/>
      <c r="I84" s="155"/>
      <c r="J84" s="156"/>
      <c r="L84" s="162"/>
      <c r="M84" s="144"/>
      <c r="N84" s="667"/>
    </row>
    <row r="85" spans="1:33" s="157" customFormat="1">
      <c r="A85" s="254"/>
      <c r="B85" s="159"/>
      <c r="C85" s="152"/>
      <c r="D85" s="144"/>
      <c r="E85" s="144"/>
      <c r="F85" s="144"/>
      <c r="G85" s="153"/>
      <c r="H85" s="154"/>
      <c r="I85" s="155"/>
      <c r="J85" s="156"/>
      <c r="L85" s="162"/>
      <c r="M85" s="144"/>
      <c r="N85" s="667"/>
    </row>
    <row r="86" spans="1:33" s="157" customFormat="1" ht="151.80000000000001">
      <c r="A86" s="254" t="s">
        <v>1956</v>
      </c>
      <c r="B86" s="275" t="s">
        <v>1969</v>
      </c>
      <c r="C86" s="152"/>
      <c r="D86" s="144"/>
      <c r="E86" s="144"/>
      <c r="F86" s="144"/>
      <c r="G86" s="153"/>
      <c r="H86" s="154"/>
      <c r="I86" s="155"/>
      <c r="J86" s="156"/>
      <c r="L86" s="162"/>
      <c r="M86" s="144"/>
      <c r="N86" s="667"/>
    </row>
    <row r="87" spans="1:33" s="157" customFormat="1">
      <c r="A87" s="254" t="s">
        <v>48</v>
      </c>
      <c r="B87" s="181" t="s">
        <v>908</v>
      </c>
      <c r="C87" s="152" t="s">
        <v>645</v>
      </c>
      <c r="D87" s="144">
        <v>1430</v>
      </c>
      <c r="E87" s="144">
        <v>0.1</v>
      </c>
      <c r="F87" s="144">
        <f>IF((D87*E87)=0,"",(D87*E87))</f>
        <v>143</v>
      </c>
      <c r="G87" s="153"/>
      <c r="H87" s="154"/>
      <c r="I87" s="155"/>
      <c r="J87" s="156"/>
      <c r="L87" s="162"/>
      <c r="M87" s="144"/>
      <c r="N87" s="667"/>
    </row>
    <row r="88" spans="1:33" s="157" customFormat="1">
      <c r="A88" s="254"/>
      <c r="B88" s="159"/>
      <c r="C88" s="152"/>
      <c r="D88" s="144"/>
      <c r="E88" s="144"/>
      <c r="F88" s="144"/>
      <c r="G88" s="153"/>
      <c r="H88" s="154"/>
      <c r="I88" s="155"/>
      <c r="J88" s="156"/>
      <c r="L88" s="162"/>
      <c r="M88" s="144"/>
      <c r="N88" s="667"/>
    </row>
    <row r="89" spans="1:33" s="157" customFormat="1" ht="41.4">
      <c r="A89" s="254" t="s">
        <v>1957</v>
      </c>
      <c r="B89" s="414" t="s">
        <v>5441</v>
      </c>
      <c r="C89" s="152"/>
      <c r="D89" s="144"/>
      <c r="E89" s="144"/>
      <c r="F89" s="144"/>
      <c r="G89" s="153"/>
      <c r="H89" s="154"/>
      <c r="I89" s="155"/>
      <c r="J89" s="156"/>
      <c r="L89" s="162"/>
      <c r="M89" s="144"/>
      <c r="N89" s="667"/>
    </row>
    <row r="90" spans="1:33" s="157" customFormat="1" ht="27.6">
      <c r="A90" s="254" t="s">
        <v>48</v>
      </c>
      <c r="B90" s="159" t="s">
        <v>909</v>
      </c>
      <c r="C90" s="152" t="s">
        <v>675</v>
      </c>
      <c r="D90" s="144">
        <v>3574</v>
      </c>
      <c r="E90" s="144">
        <v>2.5</v>
      </c>
      <c r="F90" s="144">
        <f>IF((D90*E90)=0,"",(D90*E90))</f>
        <v>8935</v>
      </c>
      <c r="G90" s="153"/>
      <c r="H90" s="154"/>
      <c r="I90" s="155"/>
      <c r="J90" s="156"/>
      <c r="L90" s="162"/>
      <c r="M90" s="144"/>
      <c r="N90" s="667"/>
    </row>
    <row r="91" spans="1:33" s="157" customFormat="1">
      <c r="A91" s="254"/>
      <c r="B91" s="159"/>
      <c r="C91" s="152"/>
      <c r="D91" s="144"/>
      <c r="E91" s="144"/>
      <c r="F91" s="144"/>
      <c r="G91" s="153"/>
      <c r="H91" s="154"/>
      <c r="I91" s="155"/>
      <c r="J91" s="156"/>
      <c r="L91" s="162"/>
      <c r="M91" s="144"/>
      <c r="N91" s="667"/>
    </row>
    <row r="92" spans="1:33" s="166" customFormat="1">
      <c r="A92" s="255" t="s">
        <v>10</v>
      </c>
      <c r="B92" s="256" t="s">
        <v>1123</v>
      </c>
      <c r="C92" s="257"/>
      <c r="D92" s="258"/>
      <c r="E92" s="259"/>
      <c r="F92" s="669">
        <f>SUM(F38:F91)</f>
        <v>40961.5</v>
      </c>
      <c r="G92" s="195"/>
      <c r="H92" s="196"/>
      <c r="I92" s="197"/>
      <c r="J92" s="198"/>
      <c r="K92" s="157"/>
      <c r="L92" s="157"/>
      <c r="M92" s="144"/>
      <c r="N92" s="667"/>
      <c r="O92" s="157"/>
      <c r="P92" s="157"/>
      <c r="Q92" s="157"/>
      <c r="R92" s="157"/>
      <c r="S92" s="157"/>
      <c r="T92" s="157"/>
      <c r="U92" s="157"/>
      <c r="V92" s="157"/>
      <c r="W92" s="157"/>
      <c r="X92" s="157"/>
      <c r="Y92" s="157"/>
      <c r="Z92" s="157"/>
      <c r="AA92" s="157"/>
      <c r="AB92" s="157"/>
      <c r="AC92" s="157"/>
      <c r="AD92" s="157"/>
      <c r="AE92" s="157"/>
      <c r="AF92" s="157"/>
      <c r="AG92" s="157"/>
    </row>
    <row r="93" spans="1:33" s="157" customFormat="1">
      <c r="A93" s="254"/>
      <c r="B93" s="182"/>
      <c r="C93" s="152"/>
      <c r="D93" s="144"/>
      <c r="E93" s="144"/>
      <c r="F93" s="144"/>
      <c r="G93" s="153"/>
      <c r="H93" s="154"/>
      <c r="I93" s="155"/>
      <c r="J93" s="156"/>
      <c r="M93" s="144"/>
      <c r="N93" s="667"/>
    </row>
    <row r="94" spans="1:33" s="157" customFormat="1">
      <c r="A94" s="254"/>
      <c r="B94" s="159"/>
      <c r="C94" s="152"/>
      <c r="D94" s="144"/>
      <c r="E94" s="144"/>
      <c r="F94" s="144"/>
      <c r="G94" s="153"/>
      <c r="H94" s="154"/>
      <c r="I94" s="155"/>
      <c r="J94" s="156"/>
      <c r="L94" s="162"/>
      <c r="N94" s="667"/>
    </row>
    <row r="95" spans="1:33" s="166" customFormat="1">
      <c r="A95" s="255"/>
      <c r="B95" s="256"/>
      <c r="C95" s="257"/>
      <c r="D95" s="258"/>
      <c r="E95" s="259"/>
      <c r="F95" s="669"/>
      <c r="G95" s="195"/>
      <c r="H95" s="196"/>
      <c r="I95" s="197"/>
      <c r="J95" s="198"/>
      <c r="K95" s="157"/>
      <c r="L95" s="157"/>
      <c r="M95" s="157"/>
      <c r="N95" s="667"/>
      <c r="O95" s="157"/>
      <c r="P95" s="157"/>
      <c r="Q95" s="157"/>
      <c r="R95" s="157"/>
      <c r="S95" s="157"/>
      <c r="T95" s="157"/>
      <c r="U95" s="157"/>
      <c r="V95" s="157"/>
      <c r="W95" s="157"/>
      <c r="X95" s="157"/>
      <c r="Y95" s="157"/>
      <c r="Z95" s="157"/>
      <c r="AA95" s="157"/>
      <c r="AB95" s="157"/>
      <c r="AC95" s="157"/>
      <c r="AD95" s="157"/>
      <c r="AE95" s="157"/>
      <c r="AF95" s="157"/>
      <c r="AG95" s="157"/>
    </row>
    <row r="96" spans="1:33" s="157" customFormat="1">
      <c r="A96" s="150"/>
      <c r="B96" s="159"/>
      <c r="C96" s="152"/>
      <c r="D96" s="144"/>
      <c r="E96" s="144"/>
      <c r="F96" s="144"/>
      <c r="G96" s="153"/>
      <c r="H96" s="154"/>
      <c r="I96" s="155"/>
      <c r="J96" s="156"/>
      <c r="L96" s="162"/>
    </row>
    <row r="97" spans="1:33" s="157" customFormat="1">
      <c r="A97" s="150"/>
      <c r="B97" s="192"/>
      <c r="C97" s="193"/>
      <c r="D97" s="194"/>
      <c r="E97" s="144"/>
      <c r="F97" s="194"/>
      <c r="G97" s="195"/>
      <c r="H97" s="196"/>
      <c r="I97" s="197"/>
      <c r="J97" s="198"/>
    </row>
    <row r="98" spans="1:33" s="201" customFormat="1" ht="15.6">
      <c r="A98" s="248" t="s">
        <v>9</v>
      </c>
      <c r="B98" s="238" t="s">
        <v>910</v>
      </c>
      <c r="C98" s="199"/>
      <c r="D98" s="200"/>
      <c r="E98" s="200"/>
      <c r="F98" s="200"/>
      <c r="G98" s="184"/>
      <c r="H98" s="174"/>
      <c r="I98" s="175"/>
      <c r="J98" s="125"/>
      <c r="K98" s="176"/>
      <c r="L98" s="176"/>
      <c r="M98" s="176"/>
      <c r="N98" s="176"/>
      <c r="O98" s="176"/>
      <c r="P98" s="176"/>
      <c r="Q98" s="176"/>
      <c r="R98" s="176"/>
      <c r="S98" s="176"/>
      <c r="T98" s="176"/>
      <c r="U98" s="176"/>
      <c r="V98" s="176"/>
      <c r="W98" s="176"/>
      <c r="X98" s="176"/>
      <c r="Y98" s="176"/>
      <c r="Z98" s="176"/>
      <c r="AA98" s="176"/>
      <c r="AB98" s="176"/>
      <c r="AC98" s="176"/>
      <c r="AD98" s="176"/>
      <c r="AE98" s="176"/>
      <c r="AF98" s="176"/>
      <c r="AG98" s="176"/>
    </row>
    <row r="99" spans="1:33" s="176" customFormat="1" ht="12.75" customHeight="1">
      <c r="A99" s="202"/>
      <c r="B99" s="203"/>
      <c r="C99" s="168"/>
      <c r="D99" s="169"/>
      <c r="E99" s="169"/>
      <c r="F99" s="169"/>
      <c r="G99" s="184"/>
      <c r="H99" s="174"/>
      <c r="I99" s="175"/>
      <c r="J99" s="125"/>
    </row>
    <row r="100" spans="1:33" s="208" customFormat="1" ht="12.75" customHeight="1">
      <c r="A100" s="265" t="s">
        <v>8</v>
      </c>
      <c r="B100" s="940" t="s">
        <v>104</v>
      </c>
      <c r="C100" s="941"/>
      <c r="D100" s="204"/>
      <c r="E100" s="169"/>
      <c r="F100" s="670">
        <f>F21</f>
        <v>3970</v>
      </c>
      <c r="G100" s="184"/>
      <c r="H100" s="206"/>
      <c r="I100" s="207"/>
      <c r="J100" s="148"/>
    </row>
    <row r="101" spans="1:33" s="208" customFormat="1">
      <c r="A101" s="271"/>
      <c r="B101" s="272"/>
      <c r="C101" s="273"/>
      <c r="D101" s="204"/>
      <c r="E101" s="169"/>
      <c r="F101" s="143"/>
      <c r="G101" s="184"/>
      <c r="H101" s="206"/>
      <c r="I101" s="207"/>
      <c r="J101" s="148"/>
    </row>
    <row r="102" spans="1:33" s="209" customFormat="1" ht="12.75" customHeight="1">
      <c r="A102" s="265" t="s">
        <v>9</v>
      </c>
      <c r="B102" s="942" t="s">
        <v>120</v>
      </c>
      <c r="C102" s="941"/>
      <c r="D102" s="204"/>
      <c r="E102" s="169"/>
      <c r="F102" s="670">
        <f>F32</f>
        <v>5518</v>
      </c>
      <c r="G102" s="184"/>
      <c r="H102" s="206"/>
      <c r="I102" s="207"/>
      <c r="J102" s="148"/>
    </row>
    <row r="103" spans="1:33" s="209" customFormat="1">
      <c r="A103" s="265"/>
      <c r="B103" s="272"/>
      <c r="C103" s="273"/>
      <c r="D103" s="204"/>
      <c r="E103" s="169"/>
      <c r="F103" s="143"/>
      <c r="G103" s="184"/>
      <c r="H103" s="206"/>
      <c r="I103" s="207"/>
      <c r="J103" s="148"/>
    </row>
    <row r="104" spans="1:33" s="209" customFormat="1">
      <c r="A104" s="265" t="s">
        <v>10</v>
      </c>
      <c r="B104" s="274" t="s">
        <v>898</v>
      </c>
      <c r="C104" s="273"/>
      <c r="D104" s="204"/>
      <c r="E104" s="169"/>
      <c r="F104" s="670">
        <f>F92</f>
        <v>40961.5</v>
      </c>
      <c r="G104" s="184"/>
      <c r="H104" s="206"/>
      <c r="I104" s="207"/>
      <c r="J104" s="148"/>
    </row>
    <row r="105" spans="1:33" s="209" customFormat="1">
      <c r="A105" s="265"/>
      <c r="B105" s="272"/>
      <c r="C105" s="273"/>
      <c r="D105" s="210"/>
      <c r="E105" s="169"/>
      <c r="F105" s="143"/>
      <c r="G105" s="184"/>
      <c r="H105" s="206"/>
      <c r="I105" s="207"/>
      <c r="J105" s="148"/>
    </row>
    <row r="106" spans="1:33" s="209" customFormat="1" ht="15.75" customHeight="1">
      <c r="A106" s="237" t="s">
        <v>9</v>
      </c>
      <c r="B106" s="211" t="s">
        <v>2131</v>
      </c>
      <c r="C106" s="212"/>
      <c r="D106" s="212"/>
      <c r="E106" s="212"/>
      <c r="F106" s="671">
        <f>SUM(F100:F105)</f>
        <v>50449.5</v>
      </c>
      <c r="G106" s="184"/>
      <c r="H106" s="206"/>
      <c r="I106" s="207"/>
      <c r="J106" s="148"/>
    </row>
    <row r="107" spans="1:33" s="176" customFormat="1">
      <c r="A107" s="183"/>
      <c r="B107" s="159"/>
      <c r="C107" s="168"/>
      <c r="D107" s="184"/>
      <c r="E107" s="169"/>
      <c r="F107" s="169"/>
      <c r="G107" s="184"/>
      <c r="H107" s="174"/>
      <c r="I107" s="175"/>
      <c r="J107" s="125"/>
    </row>
    <row r="108" spans="1:33" s="176" customFormat="1">
      <c r="A108" s="183"/>
      <c r="B108" s="159"/>
      <c r="C108" s="168"/>
      <c r="D108" s="184"/>
      <c r="E108" s="169"/>
      <c r="F108" s="169"/>
      <c r="G108" s="184"/>
      <c r="H108" s="174"/>
      <c r="I108" s="175"/>
      <c r="J108" s="125"/>
    </row>
    <row r="109" spans="1:33" s="176" customFormat="1">
      <c r="A109" s="183"/>
      <c r="B109" s="159"/>
      <c r="C109" s="168"/>
      <c r="D109" s="184"/>
      <c r="E109" s="169"/>
      <c r="F109" s="169"/>
      <c r="G109" s="184"/>
      <c r="H109" s="174"/>
      <c r="I109" s="175"/>
      <c r="J109" s="125"/>
    </row>
    <row r="110" spans="1:33" s="176" customFormat="1">
      <c r="A110" s="183"/>
      <c r="B110" s="159"/>
      <c r="C110" s="168"/>
      <c r="D110" s="184"/>
      <c r="E110" s="169"/>
      <c r="F110" s="169"/>
      <c r="G110" s="184"/>
      <c r="H110" s="174"/>
      <c r="I110" s="175"/>
      <c r="J110" s="125"/>
    </row>
  </sheetData>
  <mergeCells count="5">
    <mergeCell ref="A1:F1"/>
    <mergeCell ref="B5:C5"/>
    <mergeCell ref="B24:C24"/>
    <mergeCell ref="B100:C100"/>
    <mergeCell ref="B102:C102"/>
  </mergeCells>
  <pageMargins left="0.78740157480314965" right="0.39370078740157483" top="0.39370078740157483" bottom="1.1811023622047245" header="0.39370078740157483" footer="0.59055118110236227"/>
  <pageSetup paperSize="9" scale="92" orientation="portrait" r:id="rId1"/>
  <headerFooter alignWithMargins="0">
    <oddFooter>&amp;L&amp;"-,Uobičajeno"&amp;9&amp;A&amp;C&amp;"-,Uobičajeno"&amp;9DJEČJI VRTIĆ LEKENIK&amp;R&amp;"-,Uobičajeno"str.: &amp;"-,Podebljano"&amp;P/&amp;N</oddFooter>
  </headerFooter>
  <rowBreaks count="2" manualBreakCount="2">
    <brk id="14" max="5" man="1"/>
    <brk id="34" max="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77"/>
  <sheetViews>
    <sheetView view="pageBreakPreview" topLeftCell="C454" zoomScale="115" zoomScaleNormal="100" zoomScaleSheetLayoutView="115" workbookViewId="0">
      <selection activeCell="E452" sqref="E1:E1048576"/>
    </sheetView>
  </sheetViews>
  <sheetFormatPr defaultColWidth="9.109375" defaultRowHeight="13.8"/>
  <cols>
    <col min="1" max="1" width="6.6640625" style="379" customWidth="1"/>
    <col min="2" max="2" width="40.6640625" style="429" customWidth="1"/>
    <col min="3" max="3" width="5.6640625" style="424" customWidth="1"/>
    <col min="4" max="4" width="10.6640625" style="425" customWidth="1"/>
    <col min="5" max="5" width="12.6640625" style="447" customWidth="1"/>
    <col min="6" max="6" width="16.6640625" style="425" customWidth="1"/>
    <col min="7" max="7" width="23.33203125" style="430" customWidth="1"/>
    <col min="8" max="16384" width="9.109375" style="430"/>
  </cols>
  <sheetData>
    <row r="1" spans="1:6" ht="30" customHeight="1">
      <c r="A1" s="943" t="s">
        <v>2134</v>
      </c>
      <c r="B1" s="943"/>
      <c r="C1" s="943"/>
      <c r="D1" s="943"/>
      <c r="E1" s="943"/>
      <c r="F1" s="943"/>
    </row>
    <row r="2" spans="1:6" ht="15" customHeight="1">
      <c r="A2" s="431" t="s">
        <v>658</v>
      </c>
      <c r="B2" s="432" t="s">
        <v>890</v>
      </c>
      <c r="C2" s="431" t="s">
        <v>659</v>
      </c>
      <c r="D2" s="433" t="s">
        <v>660</v>
      </c>
      <c r="E2" s="433" t="s">
        <v>891</v>
      </c>
      <c r="F2" s="434" t="s">
        <v>661</v>
      </c>
    </row>
    <row r="3" spans="1:6" ht="15" customHeight="1">
      <c r="A3" s="431">
        <v>1</v>
      </c>
      <c r="B3" s="432" t="s">
        <v>892</v>
      </c>
      <c r="C3" s="431">
        <v>3</v>
      </c>
      <c r="D3" s="431">
        <v>4</v>
      </c>
      <c r="E3" s="433">
        <v>5</v>
      </c>
      <c r="F3" s="434" t="s">
        <v>662</v>
      </c>
    </row>
    <row r="4" spans="1:6" ht="15" customHeight="1">
      <c r="A4" s="435"/>
      <c r="B4" s="370"/>
      <c r="C4" s="436"/>
      <c r="D4" s="437"/>
      <c r="E4" s="428"/>
      <c r="F4" s="428"/>
    </row>
    <row r="5" spans="1:6" ht="18">
      <c r="A5" s="438" t="s">
        <v>10</v>
      </c>
      <c r="B5" s="439" t="s">
        <v>2047</v>
      </c>
      <c r="C5" s="436"/>
      <c r="D5" s="437"/>
      <c r="E5" s="428"/>
      <c r="F5" s="428"/>
    </row>
    <row r="6" spans="1:6">
      <c r="A6" s="435"/>
      <c r="B6" s="440"/>
      <c r="C6" s="436"/>
      <c r="D6" s="437"/>
      <c r="E6" s="428"/>
      <c r="F6" s="428"/>
    </row>
    <row r="7" spans="1:6">
      <c r="A7" s="435"/>
      <c r="B7" s="370"/>
      <c r="C7" s="436"/>
      <c r="D7" s="437"/>
      <c r="E7" s="428"/>
      <c r="F7" s="428"/>
    </row>
    <row r="8" spans="1:6">
      <c r="A8" s="441" t="s">
        <v>8</v>
      </c>
      <c r="B8" s="442" t="s">
        <v>104</v>
      </c>
      <c r="C8" s="443"/>
      <c r="D8" s="444"/>
      <c r="E8" s="445"/>
      <c r="F8" s="444"/>
    </row>
    <row r="9" spans="1:6">
      <c r="E9" s="426"/>
    </row>
    <row r="10" spans="1:6" ht="41.4">
      <c r="A10" s="380" t="s">
        <v>1077</v>
      </c>
      <c r="B10" s="446" t="s">
        <v>2125</v>
      </c>
      <c r="E10" s="426"/>
    </row>
    <row r="11" spans="1:6">
      <c r="A11" s="366"/>
      <c r="B11" s="429" t="s">
        <v>911</v>
      </c>
      <c r="C11" s="427" t="s">
        <v>697</v>
      </c>
      <c r="D11" s="447">
        <v>615</v>
      </c>
      <c r="E11" s="426">
        <v>2</v>
      </c>
      <c r="F11" s="428">
        <f>IF((D11*E11)=0,"",(D11*E11))</f>
        <v>1230</v>
      </c>
    </row>
    <row r="12" spans="1:6">
      <c r="A12" s="366"/>
      <c r="C12" s="427"/>
      <c r="D12" s="447"/>
      <c r="E12" s="426"/>
      <c r="F12" s="448"/>
    </row>
    <row r="13" spans="1:6">
      <c r="A13" s="441"/>
      <c r="B13" s="449"/>
      <c r="C13" s="450"/>
      <c r="D13" s="451"/>
      <c r="E13" s="452"/>
      <c r="F13" s="451"/>
    </row>
    <row r="14" spans="1:6">
      <c r="A14" s="366" t="s">
        <v>8</v>
      </c>
      <c r="B14" s="440" t="s">
        <v>912</v>
      </c>
      <c r="C14" s="453"/>
      <c r="D14" s="454"/>
      <c r="E14" s="455"/>
      <c r="F14" s="740">
        <f>SUM(F10:F13)</f>
        <v>1230</v>
      </c>
    </row>
    <row r="15" spans="1:6">
      <c r="A15" s="366"/>
      <c r="E15" s="426"/>
    </row>
    <row r="16" spans="1:6">
      <c r="A16" s="366"/>
      <c r="E16" s="426"/>
    </row>
    <row r="17" spans="1:6">
      <c r="A17" s="441" t="s">
        <v>9</v>
      </c>
      <c r="B17" s="442" t="s">
        <v>120</v>
      </c>
      <c r="C17" s="443"/>
      <c r="D17" s="444"/>
      <c r="E17" s="445"/>
      <c r="F17" s="444"/>
    </row>
    <row r="18" spans="1:6">
      <c r="A18" s="366"/>
      <c r="E18" s="426"/>
    </row>
    <row r="19" spans="1:6" ht="96.6">
      <c r="A19" s="380" t="s">
        <v>1078</v>
      </c>
      <c r="B19" s="446" t="s">
        <v>3591</v>
      </c>
      <c r="E19" s="426"/>
    </row>
    <row r="20" spans="1:6" ht="41.4">
      <c r="A20" s="366"/>
      <c r="B20" s="446" t="s">
        <v>3589</v>
      </c>
      <c r="C20" s="427" t="s">
        <v>681</v>
      </c>
      <c r="D20" s="447">
        <v>466</v>
      </c>
      <c r="E20" s="426">
        <v>20</v>
      </c>
      <c r="F20" s="428">
        <f>IF((D20*E20)=0,"",(D20*E20))</f>
        <v>9320</v>
      </c>
    </row>
    <row r="21" spans="1:6">
      <c r="A21" s="380"/>
      <c r="B21" s="446"/>
      <c r="C21" s="427"/>
      <c r="D21" s="447"/>
      <c r="E21" s="426"/>
    </row>
    <row r="22" spans="1:6" ht="82.8">
      <c r="A22" s="380" t="s">
        <v>1079</v>
      </c>
      <c r="B22" s="446" t="s">
        <v>3590</v>
      </c>
      <c r="E22" s="426"/>
    </row>
    <row r="23" spans="1:6" ht="41.4">
      <c r="A23" s="366"/>
      <c r="B23" s="446" t="s">
        <v>3589</v>
      </c>
      <c r="C23" s="427" t="s">
        <v>681</v>
      </c>
      <c r="D23" s="447">
        <v>403</v>
      </c>
      <c r="E23" s="426">
        <v>20</v>
      </c>
      <c r="F23" s="428">
        <f>IF((D23*E23)=0,"",(D23*E23))</f>
        <v>8060</v>
      </c>
    </row>
    <row r="24" spans="1:6">
      <c r="A24" s="380"/>
      <c r="B24" s="446"/>
      <c r="C24" s="427"/>
      <c r="D24" s="447"/>
      <c r="E24" s="426"/>
    </row>
    <row r="25" spans="1:6" ht="82.8">
      <c r="A25" s="380" t="s">
        <v>1080</v>
      </c>
      <c r="B25" s="446" t="s">
        <v>3592</v>
      </c>
      <c r="E25" s="426"/>
    </row>
    <row r="26" spans="1:6" ht="41.4">
      <c r="A26" s="366"/>
      <c r="B26" s="446" t="s">
        <v>3589</v>
      </c>
      <c r="C26" s="427" t="s">
        <v>681</v>
      </c>
      <c r="D26" s="447">
        <v>59</v>
      </c>
      <c r="E26" s="426">
        <v>20</v>
      </c>
      <c r="F26" s="428">
        <f>IF((D26*E26)=0,"",(D26*E26))</f>
        <v>1180</v>
      </c>
    </row>
    <row r="27" spans="1:6">
      <c r="A27" s="380"/>
      <c r="B27" s="446"/>
      <c r="C27" s="427"/>
      <c r="D27" s="447"/>
      <c r="E27" s="426"/>
    </row>
    <row r="28" spans="1:6" ht="69">
      <c r="A28" s="380" t="s">
        <v>1081</v>
      </c>
      <c r="B28" s="446" t="s">
        <v>4008</v>
      </c>
      <c r="C28" s="427" t="s">
        <v>681</v>
      </c>
      <c r="D28" s="447">
        <v>75</v>
      </c>
      <c r="E28" s="426">
        <v>50</v>
      </c>
      <c r="F28" s="428">
        <f>IF((D28*E28)=0,"",(D28*E28))</f>
        <v>3750</v>
      </c>
    </row>
    <row r="29" spans="1:6">
      <c r="A29" s="380"/>
      <c r="B29" s="446"/>
      <c r="C29" s="427"/>
      <c r="D29" s="447"/>
      <c r="E29" s="426"/>
      <c r="F29" s="448"/>
    </row>
    <row r="30" spans="1:6" ht="82.8">
      <c r="A30" s="380" t="s">
        <v>1082</v>
      </c>
      <c r="B30" s="446" t="s">
        <v>4007</v>
      </c>
      <c r="C30" s="427" t="s">
        <v>681</v>
      </c>
      <c r="D30" s="447">
        <v>24</v>
      </c>
      <c r="E30" s="426">
        <v>50</v>
      </c>
      <c r="F30" s="428">
        <f>IF((D30*E30)=0,"",(D30*E30))</f>
        <v>1200</v>
      </c>
    </row>
    <row r="31" spans="1:6">
      <c r="A31" s="380"/>
      <c r="B31" s="446"/>
      <c r="C31" s="427"/>
      <c r="D31" s="447"/>
      <c r="E31" s="426"/>
      <c r="F31" s="448"/>
    </row>
    <row r="32" spans="1:6" ht="27.6">
      <c r="A32" s="380" t="s">
        <v>1083</v>
      </c>
      <c r="B32" s="446" t="s">
        <v>2096</v>
      </c>
      <c r="C32" s="427" t="s">
        <v>675</v>
      </c>
      <c r="D32" s="447">
        <v>509</v>
      </c>
      <c r="E32" s="426">
        <v>1</v>
      </c>
      <c r="F32" s="428">
        <f>IF((D32*E32)=0,"",(D32*E32))</f>
        <v>509</v>
      </c>
    </row>
    <row r="33" spans="1:6">
      <c r="A33" s="366"/>
      <c r="E33" s="426"/>
    </row>
    <row r="34" spans="1:6" ht="41.4">
      <c r="A34" s="380" t="s">
        <v>2040</v>
      </c>
      <c r="B34" s="446" t="s">
        <v>2097</v>
      </c>
      <c r="E34" s="426"/>
    </row>
    <row r="35" spans="1:6" ht="55.2">
      <c r="A35" s="366"/>
      <c r="B35" s="446" t="s">
        <v>913</v>
      </c>
      <c r="C35" s="427" t="s">
        <v>681</v>
      </c>
      <c r="D35" s="447">
        <v>57</v>
      </c>
      <c r="E35" s="426">
        <v>45</v>
      </c>
      <c r="F35" s="428">
        <f>IF((D35*E35)=0,"",(D35*E35))</f>
        <v>2565</v>
      </c>
    </row>
    <row r="36" spans="1:6">
      <c r="A36" s="366"/>
      <c r="B36" s="446"/>
      <c r="E36" s="426"/>
    </row>
    <row r="37" spans="1:6" ht="69">
      <c r="A37" s="380" t="s">
        <v>2041</v>
      </c>
      <c r="B37" s="446" t="s">
        <v>2098</v>
      </c>
      <c r="C37" s="427"/>
      <c r="E37" s="426"/>
    </row>
    <row r="38" spans="1:6" ht="41.4">
      <c r="A38" s="366"/>
      <c r="B38" s="446" t="s">
        <v>914</v>
      </c>
      <c r="C38" s="427" t="s">
        <v>681</v>
      </c>
      <c r="D38" s="447">
        <v>188</v>
      </c>
      <c r="E38" s="426">
        <v>45</v>
      </c>
      <c r="F38" s="428">
        <f>IF((D38*E38)=0,"",(D38*E38))</f>
        <v>8460</v>
      </c>
    </row>
    <row r="39" spans="1:6">
      <c r="A39" s="366"/>
      <c r="E39" s="426"/>
    </row>
    <row r="40" spans="1:6" ht="41.4">
      <c r="A40" s="380" t="s">
        <v>3595</v>
      </c>
      <c r="B40" s="446" t="s">
        <v>2099</v>
      </c>
      <c r="C40" s="427" t="s">
        <v>681</v>
      </c>
      <c r="D40" s="447">
        <v>256</v>
      </c>
      <c r="E40" s="426">
        <v>15</v>
      </c>
      <c r="F40" s="428">
        <f>IF((D40*E40)=0,"",(D40*E40))</f>
        <v>3840</v>
      </c>
    </row>
    <row r="41" spans="1:6">
      <c r="A41" s="366"/>
      <c r="B41" s="446"/>
      <c r="C41" s="427"/>
      <c r="E41" s="426"/>
    </row>
    <row r="42" spans="1:6" ht="41.4">
      <c r="A42" s="380" t="s">
        <v>3596</v>
      </c>
      <c r="B42" s="446" t="s">
        <v>3593</v>
      </c>
      <c r="C42" s="427" t="s">
        <v>681</v>
      </c>
      <c r="D42" s="447">
        <v>219</v>
      </c>
      <c r="E42" s="426">
        <v>20</v>
      </c>
      <c r="F42" s="428">
        <f>IF((D42*E42)=0,"",(D42*E42))</f>
        <v>4380</v>
      </c>
    </row>
    <row r="43" spans="1:6">
      <c r="A43" s="366"/>
      <c r="B43" s="446"/>
      <c r="C43" s="427"/>
      <c r="E43" s="426"/>
    </row>
    <row r="44" spans="1:6" ht="41.4">
      <c r="A44" s="380" t="s">
        <v>3597</v>
      </c>
      <c r="B44" s="446" t="s">
        <v>3594</v>
      </c>
      <c r="C44" s="427" t="s">
        <v>681</v>
      </c>
      <c r="D44" s="447">
        <v>42</v>
      </c>
      <c r="E44" s="426">
        <v>20</v>
      </c>
      <c r="F44" s="428">
        <f>IF((D44*E44)=0,"",(D44*E44))</f>
        <v>840</v>
      </c>
    </row>
    <row r="45" spans="1:6">
      <c r="A45" s="366"/>
      <c r="B45" s="446"/>
      <c r="C45" s="427"/>
      <c r="E45" s="426"/>
    </row>
    <row r="46" spans="1:6" ht="69">
      <c r="A46" s="380" t="s">
        <v>2045</v>
      </c>
      <c r="B46" s="446" t="s">
        <v>3241</v>
      </c>
      <c r="C46" s="427" t="s">
        <v>681</v>
      </c>
      <c r="D46" s="447">
        <v>486</v>
      </c>
      <c r="E46" s="426">
        <v>15</v>
      </c>
      <c r="F46" s="428">
        <f>IF((D46*E46)=0,"",(D46*E46))</f>
        <v>7290</v>
      </c>
    </row>
    <row r="47" spans="1:6">
      <c r="A47" s="441"/>
      <c r="B47" s="449"/>
      <c r="C47" s="450"/>
      <c r="D47" s="451"/>
      <c r="E47" s="452"/>
      <c r="F47" s="451"/>
    </row>
    <row r="48" spans="1:6">
      <c r="A48" s="366" t="s">
        <v>9</v>
      </c>
      <c r="B48" s="440" t="s">
        <v>915</v>
      </c>
      <c r="C48" s="453"/>
      <c r="D48" s="454"/>
      <c r="E48" s="455"/>
      <c r="F48" s="740">
        <f>SUM(F19:F47)</f>
        <v>51394</v>
      </c>
    </row>
    <row r="49" spans="1:6">
      <c r="A49" s="366"/>
      <c r="E49" s="426"/>
    </row>
    <row r="50" spans="1:6">
      <c r="A50" s="366"/>
      <c r="E50" s="426"/>
    </row>
    <row r="51" spans="1:6">
      <c r="A51" s="441" t="s">
        <v>10</v>
      </c>
      <c r="B51" s="442" t="s">
        <v>171</v>
      </c>
      <c r="C51" s="443"/>
      <c r="D51" s="444"/>
      <c r="E51" s="445"/>
      <c r="F51" s="444"/>
    </row>
    <row r="52" spans="1:6">
      <c r="A52" s="366"/>
      <c r="E52" s="426"/>
    </row>
    <row r="53" spans="1:6" ht="82.8">
      <c r="A53" s="380" t="s">
        <v>1084</v>
      </c>
      <c r="B53" s="446" t="s">
        <v>2100</v>
      </c>
      <c r="E53" s="426"/>
    </row>
    <row r="54" spans="1:6">
      <c r="A54" s="366"/>
      <c r="B54" s="446" t="s">
        <v>916</v>
      </c>
      <c r="E54" s="426"/>
    </row>
    <row r="55" spans="1:6" ht="41.4">
      <c r="A55" s="366"/>
      <c r="B55" s="446" t="s">
        <v>917</v>
      </c>
      <c r="C55" s="427" t="s">
        <v>675</v>
      </c>
      <c r="D55" s="447">
        <v>619</v>
      </c>
      <c r="E55" s="426">
        <v>1</v>
      </c>
      <c r="F55" s="428">
        <f>IF((D55*E55)=0,"",(D55*E55))</f>
        <v>619</v>
      </c>
    </row>
    <row r="56" spans="1:6">
      <c r="A56" s="441"/>
      <c r="B56" s="449"/>
      <c r="C56" s="450"/>
      <c r="D56" s="451"/>
      <c r="E56" s="452"/>
      <c r="F56" s="451"/>
    </row>
    <row r="57" spans="1:6">
      <c r="A57" s="366" t="s">
        <v>10</v>
      </c>
      <c r="B57" s="440" t="s">
        <v>918</v>
      </c>
      <c r="C57" s="453"/>
      <c r="D57" s="454"/>
      <c r="E57" s="455"/>
      <c r="F57" s="740">
        <f>SUM(F53:F56)</f>
        <v>619</v>
      </c>
    </row>
    <row r="58" spans="1:6">
      <c r="A58" s="366"/>
      <c r="E58" s="426"/>
    </row>
    <row r="59" spans="1:6">
      <c r="A59" s="366"/>
      <c r="E59" s="426"/>
    </row>
    <row r="60" spans="1:6">
      <c r="A60" s="441" t="s">
        <v>11</v>
      </c>
      <c r="B60" s="442" t="s">
        <v>224</v>
      </c>
      <c r="C60" s="443"/>
      <c r="D60" s="444"/>
      <c r="E60" s="445"/>
      <c r="F60" s="444"/>
    </row>
    <row r="61" spans="1:6">
      <c r="A61" s="366"/>
      <c r="E61" s="426"/>
    </row>
    <row r="62" spans="1:6" ht="82.8">
      <c r="A62" s="380" t="s">
        <v>1085</v>
      </c>
      <c r="B62" s="446" t="s">
        <v>3598</v>
      </c>
      <c r="E62" s="426"/>
    </row>
    <row r="63" spans="1:6" ht="82.8">
      <c r="A63" s="366"/>
      <c r="B63" s="446" t="s">
        <v>928</v>
      </c>
      <c r="E63" s="426"/>
    </row>
    <row r="64" spans="1:6" ht="165.6">
      <c r="A64" s="366"/>
      <c r="B64" s="446" t="s">
        <v>2094</v>
      </c>
      <c r="E64" s="426"/>
    </row>
    <row r="65" spans="1:6" ht="96.6">
      <c r="A65" s="366"/>
      <c r="B65" s="446" t="s">
        <v>2093</v>
      </c>
      <c r="E65" s="426"/>
    </row>
    <row r="66" spans="1:6" ht="82.8">
      <c r="A66" s="366"/>
      <c r="B66" s="446" t="s">
        <v>2095</v>
      </c>
      <c r="E66" s="426"/>
    </row>
    <row r="67" spans="1:6" ht="27.6">
      <c r="A67" s="366"/>
      <c r="B67" s="446" t="s">
        <v>5183</v>
      </c>
      <c r="E67" s="426"/>
    </row>
    <row r="68" spans="1:6" ht="55.2">
      <c r="A68" s="366"/>
      <c r="B68" s="446" t="s">
        <v>5184</v>
      </c>
      <c r="E68" s="426"/>
    </row>
    <row r="69" spans="1:6" ht="69">
      <c r="A69" s="366"/>
      <c r="B69" s="446" t="s">
        <v>3237</v>
      </c>
      <c r="E69" s="426"/>
    </row>
    <row r="70" spans="1:6">
      <c r="A70" s="366"/>
      <c r="B70" s="446" t="s">
        <v>3240</v>
      </c>
      <c r="C70" s="427" t="s">
        <v>649</v>
      </c>
      <c r="D70" s="425">
        <v>1</v>
      </c>
      <c r="E70" s="426">
        <v>20000</v>
      </c>
      <c r="F70" s="428">
        <f>IF((D70*E70)=0,"",(D70*E70))</f>
        <v>20000</v>
      </c>
    </row>
    <row r="71" spans="1:6">
      <c r="A71" s="366"/>
      <c r="E71" s="426"/>
    </row>
    <row r="72" spans="1:6" ht="55.2">
      <c r="A72" s="380" t="s">
        <v>1086</v>
      </c>
      <c r="B72" s="446" t="s">
        <v>2101</v>
      </c>
      <c r="E72" s="426"/>
    </row>
    <row r="73" spans="1:6" ht="27.6">
      <c r="A73" s="366"/>
      <c r="B73" s="446" t="s">
        <v>919</v>
      </c>
      <c r="E73" s="426"/>
    </row>
    <row r="74" spans="1:6" ht="96.6">
      <c r="A74" s="366"/>
      <c r="B74" s="446" t="s">
        <v>3167</v>
      </c>
      <c r="E74" s="426"/>
    </row>
    <row r="75" spans="1:6" ht="165.6">
      <c r="A75" s="366"/>
      <c r="B75" s="446" t="s">
        <v>920</v>
      </c>
      <c r="E75" s="426"/>
    </row>
    <row r="76" spans="1:6" ht="82.8">
      <c r="A76" s="366"/>
      <c r="B76" s="446" t="s">
        <v>921</v>
      </c>
      <c r="E76" s="426"/>
    </row>
    <row r="77" spans="1:6" ht="69">
      <c r="A77" s="366"/>
      <c r="B77" s="446" t="s">
        <v>927</v>
      </c>
      <c r="E77" s="426"/>
    </row>
    <row r="78" spans="1:6" ht="27.6">
      <c r="A78" s="366"/>
      <c r="B78" s="446" t="s">
        <v>922</v>
      </c>
      <c r="E78" s="426"/>
    </row>
    <row r="79" spans="1:6" ht="41.4">
      <c r="A79" s="366"/>
      <c r="B79" s="446" t="s">
        <v>4009</v>
      </c>
      <c r="E79" s="426"/>
    </row>
    <row r="80" spans="1:6" ht="69">
      <c r="A80" s="366"/>
      <c r="B80" s="446" t="s">
        <v>3238</v>
      </c>
      <c r="E80" s="426"/>
    </row>
    <row r="81" spans="1:6">
      <c r="A81" s="366"/>
      <c r="B81" s="446" t="s">
        <v>3239</v>
      </c>
      <c r="C81" s="427" t="s">
        <v>649</v>
      </c>
      <c r="D81" s="425">
        <v>1</v>
      </c>
      <c r="E81" s="426">
        <v>10000</v>
      </c>
      <c r="F81" s="428">
        <f>IF((D81*E81)=0,"",(D81*E81))</f>
        <v>10000</v>
      </c>
    </row>
    <row r="82" spans="1:6">
      <c r="A82" s="366"/>
      <c r="B82" s="446"/>
      <c r="C82" s="427"/>
      <c r="E82" s="426"/>
      <c r="F82" s="448"/>
    </row>
    <row r="83" spans="1:6" ht="55.2">
      <c r="A83" s="380" t="s">
        <v>1087</v>
      </c>
      <c r="B83" s="446" t="s">
        <v>2102</v>
      </c>
      <c r="E83" s="426"/>
    </row>
    <row r="84" spans="1:6" ht="41.4">
      <c r="A84" s="366"/>
      <c r="B84" s="446" t="s">
        <v>924</v>
      </c>
      <c r="E84" s="426"/>
    </row>
    <row r="85" spans="1:6" ht="82.8">
      <c r="A85" s="366"/>
      <c r="B85" s="446" t="s">
        <v>3168</v>
      </c>
      <c r="E85" s="426"/>
    </row>
    <row r="86" spans="1:6" ht="165.6">
      <c r="A86" s="366"/>
      <c r="B86" s="446" t="s">
        <v>925</v>
      </c>
      <c r="E86" s="426"/>
    </row>
    <row r="87" spans="1:6" ht="96.6">
      <c r="A87" s="366"/>
      <c r="B87" s="446" t="s">
        <v>926</v>
      </c>
      <c r="E87" s="426"/>
    </row>
    <row r="88" spans="1:6" ht="69">
      <c r="A88" s="366"/>
      <c r="B88" s="446" t="s">
        <v>927</v>
      </c>
      <c r="E88" s="426"/>
    </row>
    <row r="89" spans="1:6" ht="27.6">
      <c r="A89" s="366"/>
      <c r="B89" s="446" t="s">
        <v>922</v>
      </c>
      <c r="E89" s="426"/>
    </row>
    <row r="90" spans="1:6" ht="41.4">
      <c r="A90" s="366"/>
      <c r="B90" s="446" t="s">
        <v>4009</v>
      </c>
      <c r="E90" s="426"/>
    </row>
    <row r="91" spans="1:6" ht="69">
      <c r="A91" s="366"/>
      <c r="B91" s="446" t="s">
        <v>3237</v>
      </c>
      <c r="E91" s="426"/>
    </row>
    <row r="92" spans="1:6">
      <c r="A92" s="366"/>
      <c r="B92" s="446" t="s">
        <v>923</v>
      </c>
      <c r="E92" s="426"/>
    </row>
    <row r="93" spans="1:6" ht="27.6">
      <c r="A93" s="366"/>
      <c r="B93" s="446" t="s">
        <v>3599</v>
      </c>
      <c r="C93" s="427" t="s">
        <v>649</v>
      </c>
      <c r="D93" s="425">
        <v>20</v>
      </c>
      <c r="E93" s="426">
        <v>800</v>
      </c>
      <c r="F93" s="428">
        <f>IF((D93*E93)=0,"",(D93*E93))</f>
        <v>16000</v>
      </c>
    </row>
    <row r="94" spans="1:6">
      <c r="A94" s="366"/>
      <c r="B94" s="446"/>
      <c r="C94" s="427"/>
      <c r="E94" s="426"/>
      <c r="F94" s="428"/>
    </row>
    <row r="95" spans="1:6" ht="138">
      <c r="A95" s="380" t="s">
        <v>1087</v>
      </c>
      <c r="B95" s="658" t="s">
        <v>5657</v>
      </c>
      <c r="C95" s="427"/>
      <c r="E95" s="426"/>
      <c r="F95" s="428"/>
    </row>
    <row r="96" spans="1:6" ht="96.6">
      <c r="A96" s="366"/>
      <c r="B96" s="446" t="s">
        <v>3603</v>
      </c>
      <c r="C96" s="427"/>
      <c r="E96" s="426"/>
      <c r="F96" s="428"/>
    </row>
    <row r="97" spans="1:6" ht="27.6">
      <c r="A97" s="366"/>
      <c r="B97" s="446" t="s">
        <v>3602</v>
      </c>
      <c r="C97" s="427"/>
      <c r="E97" s="426"/>
      <c r="F97" s="428"/>
    </row>
    <row r="98" spans="1:6">
      <c r="A98" s="366" t="s">
        <v>48</v>
      </c>
      <c r="B98" s="429" t="s">
        <v>3600</v>
      </c>
      <c r="C98" s="427" t="s">
        <v>681</v>
      </c>
      <c r="D98" s="447">
        <v>0.5</v>
      </c>
      <c r="E98" s="426">
        <v>500</v>
      </c>
      <c r="F98" s="428">
        <f>IF((D98*E98)=0,"",(D98*E98))</f>
        <v>250</v>
      </c>
    </row>
    <row r="99" spans="1:6">
      <c r="A99" s="366" t="s">
        <v>49</v>
      </c>
      <c r="B99" s="429" t="s">
        <v>3601</v>
      </c>
      <c r="C99" s="427" t="s">
        <v>645</v>
      </c>
      <c r="D99" s="447">
        <v>50</v>
      </c>
      <c r="E99" s="426">
        <v>3</v>
      </c>
      <c r="F99" s="428">
        <f>IF((D99*E99)=0,"",(D99*E99))</f>
        <v>150</v>
      </c>
    </row>
    <row r="100" spans="1:6">
      <c r="A100" s="441"/>
      <c r="B100" s="449"/>
      <c r="C100" s="450"/>
      <c r="D100" s="451"/>
      <c r="E100" s="452"/>
      <c r="F100" s="451"/>
    </row>
    <row r="101" spans="1:6">
      <c r="A101" s="366" t="s">
        <v>11</v>
      </c>
      <c r="B101" s="440" t="s">
        <v>929</v>
      </c>
      <c r="C101" s="453"/>
      <c r="D101" s="454"/>
      <c r="E101" s="455"/>
      <c r="F101" s="740">
        <f>SUM(F62:F100)</f>
        <v>46400</v>
      </c>
    </row>
    <row r="102" spans="1:6">
      <c r="A102" s="366"/>
      <c r="B102" s="457"/>
      <c r="E102" s="426"/>
    </row>
    <row r="103" spans="1:6">
      <c r="A103" s="366"/>
      <c r="E103" s="426"/>
    </row>
    <row r="104" spans="1:6">
      <c r="A104" s="441" t="s">
        <v>12</v>
      </c>
      <c r="B104" s="442" t="s">
        <v>3612</v>
      </c>
      <c r="C104" s="443"/>
      <c r="D104" s="444"/>
      <c r="E104" s="445"/>
      <c r="F104" s="444"/>
    </row>
    <row r="105" spans="1:6">
      <c r="A105" s="366"/>
      <c r="E105" s="426"/>
    </row>
    <row r="106" spans="1:6" ht="82.8">
      <c r="A106" s="380" t="s">
        <v>1088</v>
      </c>
      <c r="B106" s="658" t="s">
        <v>4010</v>
      </c>
      <c r="C106" s="427"/>
      <c r="D106" s="447"/>
      <c r="E106" s="426"/>
      <c r="F106" s="428"/>
    </row>
    <row r="107" spans="1:6">
      <c r="A107" s="380"/>
      <c r="B107" s="658" t="s">
        <v>3605</v>
      </c>
      <c r="C107" s="427" t="s">
        <v>670</v>
      </c>
      <c r="D107" s="447">
        <v>1</v>
      </c>
      <c r="E107" s="426">
        <v>500</v>
      </c>
      <c r="F107" s="428">
        <f>IF((D107*E107)=0,"",(D107*E107))</f>
        <v>500</v>
      </c>
    </row>
    <row r="108" spans="1:6">
      <c r="A108" s="366"/>
      <c r="E108" s="426"/>
    </row>
    <row r="109" spans="1:6" ht="69">
      <c r="A109" s="380" t="s">
        <v>1089</v>
      </c>
      <c r="B109" s="658" t="s">
        <v>3604</v>
      </c>
      <c r="C109" s="427"/>
      <c r="D109" s="447"/>
      <c r="E109" s="426"/>
      <c r="F109" s="428"/>
    </row>
    <row r="110" spans="1:6">
      <c r="A110" s="366"/>
      <c r="B110" s="429" t="s">
        <v>3605</v>
      </c>
      <c r="C110" s="427" t="s">
        <v>670</v>
      </c>
      <c r="D110" s="447">
        <v>1</v>
      </c>
      <c r="E110" s="426">
        <v>500</v>
      </c>
      <c r="F110" s="428">
        <f>IF((D110*E110)=0,"",(D110*E110))</f>
        <v>500</v>
      </c>
    </row>
    <row r="111" spans="1:6">
      <c r="A111" s="366"/>
      <c r="E111" s="426"/>
    </row>
    <row r="112" spans="1:6" ht="55.2">
      <c r="A112" s="380" t="s">
        <v>1090</v>
      </c>
      <c r="B112" s="446" t="s">
        <v>5201</v>
      </c>
      <c r="E112" s="426"/>
    </row>
    <row r="113" spans="1:6">
      <c r="A113" s="366" t="s">
        <v>48</v>
      </c>
      <c r="B113" s="429" t="s">
        <v>2107</v>
      </c>
      <c r="C113" s="427" t="s">
        <v>697</v>
      </c>
      <c r="D113" s="447">
        <v>4</v>
      </c>
      <c r="E113" s="426">
        <v>20</v>
      </c>
      <c r="F113" s="428">
        <f>IF((D113*E113)=0,"",(D113*E113))</f>
        <v>80</v>
      </c>
    </row>
    <row r="114" spans="1:6">
      <c r="A114" s="366" t="s">
        <v>49</v>
      </c>
      <c r="B114" s="429" t="s">
        <v>930</v>
      </c>
      <c r="C114" s="427" t="s">
        <v>697</v>
      </c>
      <c r="D114" s="447">
        <v>116</v>
      </c>
      <c r="E114" s="426">
        <v>28</v>
      </c>
      <c r="F114" s="428">
        <f>IF((D114*E114)=0,"",(D114*E114))</f>
        <v>3248</v>
      </c>
    </row>
    <row r="115" spans="1:6">
      <c r="A115" s="366" t="s">
        <v>51</v>
      </c>
      <c r="B115" s="429" t="s">
        <v>931</v>
      </c>
      <c r="C115" s="427" t="s">
        <v>697</v>
      </c>
      <c r="D115" s="447">
        <v>11</v>
      </c>
      <c r="E115" s="426">
        <v>45</v>
      </c>
      <c r="F115" s="428">
        <f t="shared" ref="F115:F116" si="0">IF((D115*E115)=0,"",(D115*E115))</f>
        <v>495</v>
      </c>
    </row>
    <row r="116" spans="1:6">
      <c r="A116" s="366" t="s">
        <v>53</v>
      </c>
      <c r="B116" s="429" t="s">
        <v>2108</v>
      </c>
      <c r="C116" s="427" t="s">
        <v>697</v>
      </c>
      <c r="D116" s="447">
        <v>225</v>
      </c>
      <c r="E116" s="426">
        <v>55</v>
      </c>
      <c r="F116" s="428">
        <f t="shared" si="0"/>
        <v>12375</v>
      </c>
    </row>
    <row r="117" spans="1:6">
      <c r="A117" s="366"/>
      <c r="C117" s="427"/>
      <c r="D117" s="447"/>
      <c r="E117" s="426"/>
      <c r="F117" s="428"/>
    </row>
    <row r="118" spans="1:6" ht="69">
      <c r="A118" s="380" t="s">
        <v>1091</v>
      </c>
      <c r="B118" s="446" t="s">
        <v>5202</v>
      </c>
      <c r="C118" s="480"/>
      <c r="D118" s="480"/>
      <c r="E118" s="426"/>
      <c r="F118" s="428"/>
    </row>
    <row r="119" spans="1:6">
      <c r="A119" s="366" t="s">
        <v>48</v>
      </c>
      <c r="B119" s="446" t="s">
        <v>3606</v>
      </c>
      <c r="C119" s="427" t="s">
        <v>649</v>
      </c>
      <c r="D119" s="425">
        <v>1</v>
      </c>
      <c r="E119" s="426">
        <v>15</v>
      </c>
      <c r="F119" s="428">
        <f>IF((D119*E119)=0,"",(D119*E119))</f>
        <v>15</v>
      </c>
    </row>
    <row r="120" spans="1:6">
      <c r="A120" s="366" t="s">
        <v>49</v>
      </c>
      <c r="B120" s="446" t="s">
        <v>2104</v>
      </c>
      <c r="C120" s="427" t="s">
        <v>649</v>
      </c>
      <c r="D120" s="425">
        <v>8</v>
      </c>
      <c r="E120" s="426">
        <v>16</v>
      </c>
      <c r="F120" s="428">
        <f t="shared" ref="F120:F122" si="1">IF((D120*E120)=0,"",(D120*E120))</f>
        <v>128</v>
      </c>
    </row>
    <row r="121" spans="1:6">
      <c r="A121" s="366" t="s">
        <v>51</v>
      </c>
      <c r="B121" s="446" t="s">
        <v>2105</v>
      </c>
      <c r="C121" s="427" t="s">
        <v>649</v>
      </c>
      <c r="D121" s="425">
        <v>3</v>
      </c>
      <c r="E121" s="426">
        <v>25</v>
      </c>
      <c r="F121" s="428">
        <f t="shared" si="1"/>
        <v>75</v>
      </c>
    </row>
    <row r="122" spans="1:6">
      <c r="A122" s="366" t="s">
        <v>53</v>
      </c>
      <c r="B122" s="446" t="s">
        <v>2106</v>
      </c>
      <c r="C122" s="427" t="s">
        <v>649</v>
      </c>
      <c r="D122" s="425">
        <v>8</v>
      </c>
      <c r="E122" s="426">
        <v>80</v>
      </c>
      <c r="F122" s="428">
        <f t="shared" si="1"/>
        <v>640</v>
      </c>
    </row>
    <row r="123" spans="1:6">
      <c r="A123" s="366"/>
      <c r="E123" s="426"/>
    </row>
    <row r="124" spans="1:6" ht="110.4">
      <c r="A124" s="380" t="s">
        <v>1092</v>
      </c>
      <c r="B124" s="446" t="s">
        <v>5203</v>
      </c>
      <c r="E124" s="426"/>
    </row>
    <row r="125" spans="1:6">
      <c r="A125" s="366" t="s">
        <v>48</v>
      </c>
      <c r="B125" s="446" t="s">
        <v>932</v>
      </c>
      <c r="C125" s="427" t="s">
        <v>649</v>
      </c>
      <c r="D125" s="425">
        <v>11</v>
      </c>
      <c r="E125" s="426">
        <v>65</v>
      </c>
      <c r="F125" s="428">
        <f>IF((D125*E125)=0,"",(D125*E125))</f>
        <v>715</v>
      </c>
    </row>
    <row r="126" spans="1:6">
      <c r="A126" s="366" t="s">
        <v>49</v>
      </c>
      <c r="B126" s="446" t="s">
        <v>933</v>
      </c>
      <c r="C126" s="427" t="s">
        <v>649</v>
      </c>
      <c r="D126" s="425">
        <v>1</v>
      </c>
      <c r="E126" s="426">
        <v>68</v>
      </c>
      <c r="F126" s="428">
        <f>IF((D126*E126)=0,"",(D126*E126))</f>
        <v>68</v>
      </c>
    </row>
    <row r="127" spans="1:6">
      <c r="A127" s="366" t="s">
        <v>51</v>
      </c>
      <c r="B127" s="446" t="s">
        <v>2109</v>
      </c>
      <c r="C127" s="427" t="s">
        <v>649</v>
      </c>
      <c r="D127" s="425">
        <v>24</v>
      </c>
      <c r="E127" s="426">
        <v>80</v>
      </c>
      <c r="F127" s="428">
        <f>IF((D127*E127)=0,"",(D127*E127))</f>
        <v>1920</v>
      </c>
    </row>
    <row r="128" spans="1:6">
      <c r="A128" s="366"/>
      <c r="E128" s="426"/>
    </row>
    <row r="129" spans="1:6" ht="248.4">
      <c r="A129" s="380" t="s">
        <v>3610</v>
      </c>
      <c r="B129" s="481" t="s">
        <v>3607</v>
      </c>
      <c r="C129" s="427"/>
      <c r="D129" s="447"/>
      <c r="E129" s="426"/>
      <c r="F129" s="428"/>
    </row>
    <row r="130" spans="1:6">
      <c r="A130" s="366" t="s">
        <v>48</v>
      </c>
      <c r="B130" s="446" t="s">
        <v>3608</v>
      </c>
      <c r="C130" s="427" t="s">
        <v>697</v>
      </c>
      <c r="D130" s="447">
        <v>14</v>
      </c>
      <c r="E130" s="426">
        <v>250</v>
      </c>
      <c r="F130" s="428">
        <f t="shared" ref="F130:F131" si="2">IF((D130*E130)=0,"",(D130*E130))</f>
        <v>3500</v>
      </c>
    </row>
    <row r="131" spans="1:6">
      <c r="A131" s="366" t="s">
        <v>49</v>
      </c>
      <c r="B131" s="446" t="s">
        <v>3609</v>
      </c>
      <c r="C131" s="427" t="s">
        <v>697</v>
      </c>
      <c r="D131" s="447">
        <v>10.5</v>
      </c>
      <c r="E131" s="426">
        <v>280</v>
      </c>
      <c r="F131" s="428">
        <f t="shared" si="2"/>
        <v>2940</v>
      </c>
    </row>
    <row r="132" spans="1:6">
      <c r="A132" s="380"/>
      <c r="B132" s="446"/>
      <c r="C132" s="427"/>
      <c r="E132" s="426"/>
    </row>
    <row r="133" spans="1:6" ht="69">
      <c r="A133" s="380" t="s">
        <v>3611</v>
      </c>
      <c r="B133" s="446" t="s">
        <v>4011</v>
      </c>
      <c r="C133" s="427" t="s">
        <v>697</v>
      </c>
      <c r="D133" s="447">
        <v>380.5</v>
      </c>
      <c r="E133" s="426">
        <v>2</v>
      </c>
      <c r="F133" s="428">
        <f>IF((D133*E133)=0,"",(D133*E133))</f>
        <v>761</v>
      </c>
    </row>
    <row r="134" spans="1:6">
      <c r="A134" s="441"/>
      <c r="B134" s="449"/>
      <c r="C134" s="450"/>
      <c r="D134" s="451"/>
      <c r="E134" s="452"/>
      <c r="F134" s="451"/>
    </row>
    <row r="135" spans="1:6">
      <c r="A135" s="366" t="s">
        <v>12</v>
      </c>
      <c r="B135" s="440" t="s">
        <v>3613</v>
      </c>
      <c r="E135" s="426"/>
      <c r="F135" s="740">
        <f>SUM(F106:F134)</f>
        <v>27960</v>
      </c>
    </row>
    <row r="136" spans="1:6">
      <c r="A136" s="366"/>
      <c r="E136" s="426"/>
    </row>
    <row r="137" spans="1:6">
      <c r="A137" s="366"/>
      <c r="E137" s="426"/>
    </row>
    <row r="138" spans="1:6">
      <c r="A138" s="441" t="s">
        <v>13</v>
      </c>
      <c r="B138" s="442" t="s">
        <v>3614</v>
      </c>
      <c r="C138" s="443"/>
      <c r="D138" s="444"/>
      <c r="E138" s="445"/>
      <c r="F138" s="444"/>
    </row>
    <row r="139" spans="1:6">
      <c r="A139" s="366"/>
      <c r="E139" s="426"/>
    </row>
    <row r="140" spans="1:6" ht="55.2">
      <c r="A140" s="380" t="s">
        <v>1093</v>
      </c>
      <c r="B140" s="446" t="s">
        <v>5201</v>
      </c>
      <c r="E140" s="426"/>
    </row>
    <row r="141" spans="1:6">
      <c r="A141" s="366" t="s">
        <v>48</v>
      </c>
      <c r="B141" s="429" t="s">
        <v>2107</v>
      </c>
      <c r="C141" s="427" t="s">
        <v>697</v>
      </c>
      <c r="D141" s="447">
        <v>7</v>
      </c>
      <c r="E141" s="426">
        <v>20</v>
      </c>
      <c r="F141" s="428">
        <f>IF((D141*E141)=0,"",(D141*E141))</f>
        <v>140</v>
      </c>
    </row>
    <row r="142" spans="1:6">
      <c r="A142" s="366" t="s">
        <v>49</v>
      </c>
      <c r="B142" s="429" t="s">
        <v>930</v>
      </c>
      <c r="C142" s="427" t="s">
        <v>697</v>
      </c>
      <c r="D142" s="447">
        <v>104</v>
      </c>
      <c r="E142" s="426">
        <v>28</v>
      </c>
      <c r="F142" s="428">
        <f>IF((D142*E142)=0,"",(D142*E142))</f>
        <v>2912</v>
      </c>
    </row>
    <row r="143" spans="1:6">
      <c r="A143" s="366" t="s">
        <v>51</v>
      </c>
      <c r="B143" s="429" t="s">
        <v>931</v>
      </c>
      <c r="C143" s="427" t="s">
        <v>697</v>
      </c>
      <c r="D143" s="447">
        <v>127</v>
      </c>
      <c r="E143" s="426">
        <v>40</v>
      </c>
      <c r="F143" s="428">
        <f t="shared" ref="F143" si="3">IF((D143*E143)=0,"",(D143*E143))</f>
        <v>5080</v>
      </c>
    </row>
    <row r="144" spans="1:6">
      <c r="A144" s="366"/>
      <c r="C144" s="427"/>
      <c r="D144" s="447"/>
      <c r="E144" s="426"/>
      <c r="F144" s="428"/>
    </row>
    <row r="145" spans="1:6" ht="69">
      <c r="A145" s="380" t="s">
        <v>1094</v>
      </c>
      <c r="B145" s="446" t="s">
        <v>5202</v>
      </c>
      <c r="C145" s="480"/>
      <c r="D145" s="480"/>
      <c r="E145" s="426"/>
      <c r="F145" s="428"/>
    </row>
    <row r="146" spans="1:6">
      <c r="A146" s="366" t="s">
        <v>48</v>
      </c>
      <c r="B146" s="446" t="s">
        <v>3606</v>
      </c>
      <c r="C146" s="427" t="s">
        <v>649</v>
      </c>
      <c r="D146" s="425">
        <v>1</v>
      </c>
      <c r="E146" s="426">
        <v>15</v>
      </c>
      <c r="F146" s="428">
        <f>IF((D146*E146)=0,"",(D146*E146))</f>
        <v>15</v>
      </c>
    </row>
    <row r="147" spans="1:6">
      <c r="A147" s="366" t="s">
        <v>49</v>
      </c>
      <c r="B147" s="446" t="s">
        <v>2103</v>
      </c>
      <c r="C147" s="427" t="s">
        <v>649</v>
      </c>
      <c r="D147" s="425">
        <v>1</v>
      </c>
      <c r="E147" s="426">
        <v>10</v>
      </c>
      <c r="F147" s="428">
        <f t="shared" ref="F147" si="4">IF((D147*E147)=0,"",(D147*E147))</f>
        <v>10</v>
      </c>
    </row>
    <row r="148" spans="1:6">
      <c r="A148" s="366" t="s">
        <v>51</v>
      </c>
      <c r="B148" s="446" t="s">
        <v>2104</v>
      </c>
      <c r="C148" s="427" t="s">
        <v>649</v>
      </c>
      <c r="D148" s="425">
        <v>6</v>
      </c>
      <c r="E148" s="426">
        <v>18</v>
      </c>
      <c r="F148" s="428">
        <f t="shared" ref="F148:F152" si="5">IF((D148*E148)=0,"",(D148*E148))</f>
        <v>108</v>
      </c>
    </row>
    <row r="149" spans="1:6">
      <c r="A149" s="366" t="s">
        <v>53</v>
      </c>
      <c r="B149" s="446" t="s">
        <v>3615</v>
      </c>
      <c r="C149" s="427" t="s">
        <v>649</v>
      </c>
      <c r="D149" s="425">
        <v>2</v>
      </c>
      <c r="E149" s="426">
        <v>20</v>
      </c>
      <c r="F149" s="428">
        <f t="shared" ref="F149" si="6">IF((D149*E149)=0,"",(D149*E149))</f>
        <v>40</v>
      </c>
    </row>
    <row r="150" spans="1:6">
      <c r="A150" s="366" t="s">
        <v>698</v>
      </c>
      <c r="B150" s="446" t="s">
        <v>2105</v>
      </c>
      <c r="C150" s="427" t="s">
        <v>649</v>
      </c>
      <c r="D150" s="425">
        <v>3</v>
      </c>
      <c r="E150" s="426">
        <v>25</v>
      </c>
      <c r="F150" s="428">
        <f t="shared" si="5"/>
        <v>75</v>
      </c>
    </row>
    <row r="151" spans="1:6">
      <c r="A151" s="366" t="s">
        <v>699</v>
      </c>
      <c r="B151" s="446" t="s">
        <v>3616</v>
      </c>
      <c r="C151" s="427" t="s">
        <v>649</v>
      </c>
      <c r="D151" s="425">
        <v>2</v>
      </c>
      <c r="E151" s="426">
        <v>27</v>
      </c>
      <c r="F151" s="428">
        <f t="shared" ref="F151" si="7">IF((D151*E151)=0,"",(D151*E151))</f>
        <v>54</v>
      </c>
    </row>
    <row r="152" spans="1:6">
      <c r="A152" s="366" t="s">
        <v>745</v>
      </c>
      <c r="B152" s="446" t="s">
        <v>2106</v>
      </c>
      <c r="C152" s="427" t="s">
        <v>649</v>
      </c>
      <c r="D152" s="425">
        <v>2</v>
      </c>
      <c r="E152" s="426">
        <v>80</v>
      </c>
      <c r="F152" s="428">
        <f t="shared" si="5"/>
        <v>160</v>
      </c>
    </row>
    <row r="153" spans="1:6">
      <c r="A153" s="366"/>
      <c r="E153" s="426"/>
    </row>
    <row r="154" spans="1:6" ht="110.4">
      <c r="A154" s="380" t="s">
        <v>1095</v>
      </c>
      <c r="B154" s="446" t="s">
        <v>5203</v>
      </c>
      <c r="E154" s="426"/>
    </row>
    <row r="155" spans="1:6">
      <c r="A155" s="366" t="s">
        <v>48</v>
      </c>
      <c r="B155" s="446" t="s">
        <v>932</v>
      </c>
      <c r="C155" s="427" t="s">
        <v>649</v>
      </c>
      <c r="D155" s="425">
        <v>10</v>
      </c>
      <c r="E155" s="426">
        <v>65</v>
      </c>
      <c r="F155" s="428">
        <f>IF((D155*E155)=0,"",(D155*E155))</f>
        <v>650</v>
      </c>
    </row>
    <row r="156" spans="1:6">
      <c r="A156" s="366" t="s">
        <v>49</v>
      </c>
      <c r="B156" s="446" t="s">
        <v>933</v>
      </c>
      <c r="C156" s="427" t="s">
        <v>649</v>
      </c>
      <c r="D156" s="425">
        <v>14</v>
      </c>
      <c r="E156" s="426">
        <v>68</v>
      </c>
      <c r="F156" s="428">
        <f>IF((D156*E156)=0,"",(D156*E156))</f>
        <v>952</v>
      </c>
    </row>
    <row r="157" spans="1:6">
      <c r="A157" s="366"/>
      <c r="E157" s="426"/>
    </row>
    <row r="158" spans="1:6" ht="372.6">
      <c r="A158" s="380" t="s">
        <v>1096</v>
      </c>
      <c r="B158" s="659" t="s">
        <v>5658</v>
      </c>
      <c r="C158" s="427"/>
      <c r="D158" s="447"/>
      <c r="E158" s="426"/>
      <c r="F158" s="428"/>
    </row>
    <row r="159" spans="1:6">
      <c r="A159" s="366"/>
      <c r="B159" s="446" t="s">
        <v>3617</v>
      </c>
      <c r="C159" s="427" t="s">
        <v>649</v>
      </c>
      <c r="D159" s="447">
        <v>1</v>
      </c>
      <c r="E159" s="426">
        <v>2650</v>
      </c>
      <c r="F159" s="428">
        <f t="shared" ref="F159" si="8">IF((D159*E159)=0,"",(D159*E159))</f>
        <v>2650</v>
      </c>
    </row>
    <row r="160" spans="1:6">
      <c r="A160" s="380"/>
      <c r="B160" s="446"/>
      <c r="C160" s="427"/>
      <c r="E160" s="426"/>
    </row>
    <row r="161" spans="1:6" ht="41.4">
      <c r="A161" s="380" t="s">
        <v>1097</v>
      </c>
      <c r="B161" s="446" t="s">
        <v>3618</v>
      </c>
      <c r="C161" s="427" t="s">
        <v>697</v>
      </c>
      <c r="D161" s="447">
        <v>238</v>
      </c>
      <c r="E161" s="426">
        <v>2</v>
      </c>
      <c r="F161" s="428">
        <f>IF((D161*E161)=0,"",(D161*E161))</f>
        <v>476</v>
      </c>
    </row>
    <row r="162" spans="1:6">
      <c r="A162" s="441"/>
      <c r="B162" s="449"/>
      <c r="C162" s="450"/>
      <c r="D162" s="451"/>
      <c r="E162" s="452"/>
      <c r="F162" s="451"/>
    </row>
    <row r="163" spans="1:6">
      <c r="A163" s="366" t="s">
        <v>13</v>
      </c>
      <c r="B163" s="440" t="s">
        <v>3619</v>
      </c>
      <c r="E163" s="426"/>
      <c r="F163" s="740">
        <f>SUM(F140:F162)</f>
        <v>13322</v>
      </c>
    </row>
    <row r="164" spans="1:6">
      <c r="A164" s="366"/>
      <c r="E164" s="426"/>
    </row>
    <row r="165" spans="1:6">
      <c r="A165" s="366"/>
      <c r="E165" s="426"/>
    </row>
    <row r="166" spans="1:6">
      <c r="A166" s="441" t="s">
        <v>14</v>
      </c>
      <c r="B166" s="442" t="s">
        <v>934</v>
      </c>
      <c r="C166" s="443"/>
      <c r="D166" s="444"/>
      <c r="E166" s="445"/>
      <c r="F166" s="444"/>
    </row>
    <row r="167" spans="1:6">
      <c r="A167" s="366"/>
      <c r="E167" s="426"/>
    </row>
    <row r="168" spans="1:6" ht="138">
      <c r="A168" s="380" t="s">
        <v>1043</v>
      </c>
      <c r="B168" s="446" t="s">
        <v>5204</v>
      </c>
      <c r="C168" s="424" t="s">
        <v>670</v>
      </c>
      <c r="D168" s="425">
        <v>1</v>
      </c>
      <c r="E168" s="426">
        <v>1500</v>
      </c>
      <c r="F168" s="428">
        <f>IF((D168*E168)=0,"",(D168*E168))</f>
        <v>1500</v>
      </c>
    </row>
    <row r="169" spans="1:6">
      <c r="A169" s="366"/>
      <c r="E169" s="426"/>
    </row>
    <row r="170" spans="1:6" ht="55.2">
      <c r="A170" s="380" t="s">
        <v>1099</v>
      </c>
      <c r="B170" s="446" t="s">
        <v>3634</v>
      </c>
      <c r="E170" s="426"/>
      <c r="F170" s="428"/>
    </row>
    <row r="171" spans="1:6" ht="27.6">
      <c r="A171" s="380"/>
      <c r="B171" s="446" t="s">
        <v>3620</v>
      </c>
      <c r="E171" s="426"/>
      <c r="F171" s="428"/>
    </row>
    <row r="172" spans="1:6">
      <c r="A172" s="380"/>
      <c r="B172" s="446" t="s">
        <v>3621</v>
      </c>
      <c r="E172" s="426"/>
      <c r="F172" s="428"/>
    </row>
    <row r="173" spans="1:6">
      <c r="A173" s="380"/>
      <c r="B173" s="446" t="s">
        <v>3622</v>
      </c>
      <c r="E173" s="426"/>
      <c r="F173" s="428"/>
    </row>
    <row r="174" spans="1:6">
      <c r="A174" s="380"/>
      <c r="B174" s="446" t="s">
        <v>3623</v>
      </c>
      <c r="E174" s="426"/>
      <c r="F174" s="428"/>
    </row>
    <row r="175" spans="1:6">
      <c r="A175" s="380"/>
      <c r="B175" s="446" t="s">
        <v>3624</v>
      </c>
      <c r="E175" s="426"/>
      <c r="F175" s="428"/>
    </row>
    <row r="176" spans="1:6">
      <c r="A176" s="380"/>
      <c r="B176" s="446" t="s">
        <v>3625</v>
      </c>
      <c r="E176" s="426"/>
      <c r="F176" s="428"/>
    </row>
    <row r="177" spans="1:6">
      <c r="A177" s="380"/>
      <c r="B177" s="446" t="s">
        <v>3626</v>
      </c>
      <c r="E177" s="426"/>
      <c r="F177" s="428"/>
    </row>
    <row r="178" spans="1:6">
      <c r="A178" s="380"/>
      <c r="B178" s="446" t="s">
        <v>3627</v>
      </c>
      <c r="E178" s="426"/>
      <c r="F178" s="428"/>
    </row>
    <row r="179" spans="1:6">
      <c r="A179" s="380"/>
      <c r="B179" s="446" t="s">
        <v>3628</v>
      </c>
      <c r="E179" s="426"/>
      <c r="F179" s="428"/>
    </row>
    <row r="180" spans="1:6">
      <c r="A180" s="380"/>
      <c r="B180" s="446" t="s">
        <v>3629</v>
      </c>
      <c r="E180" s="426"/>
      <c r="F180" s="428"/>
    </row>
    <row r="181" spans="1:6">
      <c r="A181" s="380"/>
      <c r="B181" s="446" t="s">
        <v>3630</v>
      </c>
      <c r="E181" s="426"/>
      <c r="F181" s="428"/>
    </row>
    <row r="182" spans="1:6">
      <c r="A182" s="380"/>
      <c r="B182" s="446" t="s">
        <v>3631</v>
      </c>
      <c r="E182" s="426"/>
      <c r="F182" s="428"/>
    </row>
    <row r="183" spans="1:6" ht="27.6">
      <c r="A183" s="380"/>
      <c r="B183" s="446" t="s">
        <v>3632</v>
      </c>
      <c r="E183" s="426"/>
      <c r="F183" s="428"/>
    </row>
    <row r="184" spans="1:6" ht="27.6">
      <c r="A184" s="380"/>
      <c r="B184" s="446" t="s">
        <v>3633</v>
      </c>
      <c r="E184" s="426"/>
      <c r="F184" s="428"/>
    </row>
    <row r="185" spans="1:6" ht="27.6">
      <c r="A185" s="380"/>
      <c r="B185" s="446" t="s">
        <v>3636</v>
      </c>
      <c r="E185" s="426"/>
      <c r="F185" s="428"/>
    </row>
    <row r="186" spans="1:6" ht="27.6">
      <c r="A186" s="380"/>
      <c r="B186" s="446" t="s">
        <v>3635</v>
      </c>
      <c r="C186" s="424" t="s">
        <v>670</v>
      </c>
      <c r="D186" s="425">
        <v>1</v>
      </c>
      <c r="E186" s="426">
        <v>3000</v>
      </c>
      <c r="F186" s="428">
        <f>IF((D186*E186)=0,"",(D186*E186))</f>
        <v>3000</v>
      </c>
    </row>
    <row r="187" spans="1:6">
      <c r="A187" s="366"/>
      <c r="E187" s="426"/>
    </row>
    <row r="188" spans="1:6" ht="138">
      <c r="A188" s="380" t="s">
        <v>1100</v>
      </c>
      <c r="B188" s="446" t="s">
        <v>5205</v>
      </c>
      <c r="E188" s="426"/>
    </row>
    <row r="189" spans="1:6" ht="30.75" customHeight="1">
      <c r="A189" s="380"/>
      <c r="B189" s="446" t="s">
        <v>935</v>
      </c>
      <c r="E189" s="426"/>
    </row>
    <row r="190" spans="1:6">
      <c r="A190" s="366" t="s">
        <v>48</v>
      </c>
      <c r="B190" s="429" t="s">
        <v>2110</v>
      </c>
      <c r="C190" s="427" t="s">
        <v>697</v>
      </c>
      <c r="D190" s="447">
        <v>17</v>
      </c>
      <c r="E190" s="426">
        <v>18</v>
      </c>
      <c r="F190" s="428">
        <f>IF((D190*E190)=0,"",(D190*E190))</f>
        <v>306</v>
      </c>
    </row>
    <row r="191" spans="1:6">
      <c r="A191" s="366" t="s">
        <v>49</v>
      </c>
      <c r="B191" s="429" t="s">
        <v>2111</v>
      </c>
      <c r="C191" s="427" t="s">
        <v>697</v>
      </c>
      <c r="D191" s="447">
        <v>17</v>
      </c>
      <c r="E191" s="426">
        <v>25</v>
      </c>
      <c r="F191" s="428">
        <f>IF((D191*E191)=0,"",(D191*E191))</f>
        <v>425</v>
      </c>
    </row>
    <row r="192" spans="1:6">
      <c r="A192" s="380"/>
      <c r="B192" s="446"/>
      <c r="E192" s="426"/>
    </row>
    <row r="193" spans="1:7" ht="41.4">
      <c r="A193" s="380" t="s">
        <v>1101</v>
      </c>
      <c r="B193" s="446" t="s">
        <v>3637</v>
      </c>
      <c r="E193" s="426"/>
      <c r="G193" s="875"/>
    </row>
    <row r="194" spans="1:7">
      <c r="A194" s="380"/>
      <c r="B194" s="429" t="s">
        <v>2112</v>
      </c>
      <c r="C194" s="427" t="s">
        <v>649</v>
      </c>
      <c r="D194" s="425">
        <v>1</v>
      </c>
      <c r="E194" s="426">
        <v>60</v>
      </c>
      <c r="F194" s="428">
        <f>IF((D194*E194)=0,"",(D194*E194))</f>
        <v>60</v>
      </c>
    </row>
    <row r="195" spans="1:7">
      <c r="A195" s="366"/>
      <c r="E195" s="426"/>
    </row>
    <row r="196" spans="1:7" ht="55.2">
      <c r="A196" s="380" t="s">
        <v>1102</v>
      </c>
      <c r="B196" s="446" t="s">
        <v>3638</v>
      </c>
      <c r="E196" s="426"/>
      <c r="G196" s="875"/>
    </row>
    <row r="197" spans="1:7">
      <c r="A197" s="380"/>
      <c r="B197" s="429" t="s">
        <v>936</v>
      </c>
      <c r="C197" s="427" t="s">
        <v>649</v>
      </c>
      <c r="D197" s="425">
        <v>1</v>
      </c>
      <c r="E197" s="426">
        <v>80</v>
      </c>
      <c r="F197" s="428">
        <f>IF((D197*E197)=0,"",(D197*E197))</f>
        <v>80</v>
      </c>
    </row>
    <row r="198" spans="1:7">
      <c r="A198" s="366"/>
      <c r="B198" s="446"/>
      <c r="C198" s="427"/>
      <c r="D198" s="447"/>
      <c r="E198" s="426"/>
    </row>
    <row r="199" spans="1:7" ht="138">
      <c r="A199" s="380" t="s">
        <v>1103</v>
      </c>
      <c r="B199" s="446" t="s">
        <v>937</v>
      </c>
      <c r="C199" s="427" t="s">
        <v>697</v>
      </c>
      <c r="D199" s="447">
        <v>34</v>
      </c>
      <c r="E199" s="426">
        <v>2</v>
      </c>
      <c r="F199" s="428">
        <f>IF((D199*E199)=0,"",(D199*E199))</f>
        <v>68</v>
      </c>
    </row>
    <row r="200" spans="1:7">
      <c r="A200" s="366"/>
      <c r="E200" s="426"/>
    </row>
    <row r="201" spans="1:7">
      <c r="A201" s="380" t="s">
        <v>1104</v>
      </c>
      <c r="B201" s="446" t="s">
        <v>938</v>
      </c>
      <c r="C201" s="427" t="s">
        <v>697</v>
      </c>
      <c r="D201" s="447">
        <v>34</v>
      </c>
      <c r="E201" s="426">
        <v>2</v>
      </c>
      <c r="F201" s="428">
        <f>IF((D201*E201)=0,"",(D201*E201))</f>
        <v>68</v>
      </c>
    </row>
    <row r="202" spans="1:7">
      <c r="A202" s="441"/>
      <c r="B202" s="449"/>
      <c r="C202" s="450"/>
      <c r="D202" s="451"/>
      <c r="E202" s="452"/>
      <c r="F202" s="451"/>
    </row>
    <row r="203" spans="1:7">
      <c r="A203" s="366" t="s">
        <v>14</v>
      </c>
      <c r="B203" s="440" t="s">
        <v>939</v>
      </c>
      <c r="E203" s="426"/>
      <c r="F203" s="740">
        <f>SUM(F168:F202)</f>
        <v>5507</v>
      </c>
    </row>
    <row r="204" spans="1:7">
      <c r="A204" s="366"/>
      <c r="E204" s="426"/>
    </row>
    <row r="205" spans="1:7">
      <c r="A205" s="441" t="s">
        <v>682</v>
      </c>
      <c r="B205" s="442" t="s">
        <v>940</v>
      </c>
      <c r="C205" s="443"/>
      <c r="D205" s="444"/>
      <c r="E205" s="445"/>
      <c r="F205" s="444"/>
    </row>
    <row r="206" spans="1:7">
      <c r="A206" s="366"/>
      <c r="E206" s="426"/>
    </row>
    <row r="207" spans="1:7" ht="138">
      <c r="A207" s="380" t="s">
        <v>1106</v>
      </c>
      <c r="B207" s="446" t="s">
        <v>5206</v>
      </c>
      <c r="E207" s="426"/>
    </row>
    <row r="208" spans="1:7">
      <c r="A208" s="366" t="s">
        <v>48</v>
      </c>
      <c r="B208" s="446" t="s">
        <v>941</v>
      </c>
      <c r="C208" s="427" t="s">
        <v>697</v>
      </c>
      <c r="D208" s="447">
        <v>138</v>
      </c>
      <c r="E208" s="426">
        <v>6</v>
      </c>
      <c r="F208" s="428">
        <f>IF((D208*E208)=0,"",(D208*E208))</f>
        <v>828</v>
      </c>
    </row>
    <row r="209" spans="1:6">
      <c r="A209" s="366" t="s">
        <v>49</v>
      </c>
      <c r="B209" s="446" t="s">
        <v>945</v>
      </c>
      <c r="C209" s="427" t="s">
        <v>697</v>
      </c>
      <c r="D209" s="447">
        <v>15</v>
      </c>
      <c r="E209" s="426">
        <v>8</v>
      </c>
      <c r="F209" s="428">
        <f>IF((D209*E209)=0,"",(D209*E209))</f>
        <v>120</v>
      </c>
    </row>
    <row r="210" spans="1:6">
      <c r="A210" s="366" t="s">
        <v>51</v>
      </c>
      <c r="B210" s="446" t="s">
        <v>942</v>
      </c>
      <c r="C210" s="427" t="s">
        <v>697</v>
      </c>
      <c r="D210" s="447">
        <v>8</v>
      </c>
      <c r="E210" s="426">
        <v>10</v>
      </c>
      <c r="F210" s="428">
        <f>IF((D210*E210)=0,"",(D210*E210))</f>
        <v>80</v>
      </c>
    </row>
    <row r="211" spans="1:6">
      <c r="A211" s="366"/>
      <c r="E211" s="426"/>
    </row>
    <row r="212" spans="1:6" ht="234.6">
      <c r="A212" s="380" t="s">
        <v>1107</v>
      </c>
      <c r="B212" s="446" t="s">
        <v>5207</v>
      </c>
      <c r="E212" s="426"/>
    </row>
    <row r="213" spans="1:6">
      <c r="A213" s="366" t="s">
        <v>48</v>
      </c>
      <c r="B213" s="446" t="s">
        <v>944</v>
      </c>
      <c r="C213" s="427" t="s">
        <v>697</v>
      </c>
      <c r="D213" s="447">
        <v>23</v>
      </c>
      <c r="E213" s="426">
        <v>15</v>
      </c>
      <c r="F213" s="428">
        <f>IF((D213*E213)=0,"",(D213*E213))</f>
        <v>345</v>
      </c>
    </row>
    <row r="214" spans="1:6">
      <c r="A214" s="366" t="s">
        <v>49</v>
      </c>
      <c r="B214" s="446" t="s">
        <v>943</v>
      </c>
      <c r="C214" s="427" t="s">
        <v>697</v>
      </c>
      <c r="D214" s="447">
        <v>140</v>
      </c>
      <c r="E214" s="426">
        <v>24</v>
      </c>
      <c r="F214" s="428">
        <f>IF((D214*E214)=0,"",(D214*E214))</f>
        <v>3360</v>
      </c>
    </row>
    <row r="215" spans="1:6">
      <c r="A215" s="366"/>
      <c r="E215" s="426"/>
    </row>
    <row r="216" spans="1:6" ht="124.2">
      <c r="A216" s="380" t="s">
        <v>1108</v>
      </c>
      <c r="B216" s="446" t="s">
        <v>5208</v>
      </c>
      <c r="E216" s="426"/>
    </row>
    <row r="217" spans="1:6">
      <c r="A217" s="366" t="s">
        <v>48</v>
      </c>
      <c r="B217" s="446" t="s">
        <v>945</v>
      </c>
      <c r="C217" s="427" t="s">
        <v>649</v>
      </c>
      <c r="D217" s="458">
        <v>3</v>
      </c>
      <c r="E217" s="426">
        <v>25</v>
      </c>
      <c r="F217" s="428">
        <f>IF((D217*E217)=0,"",(D217*E217))</f>
        <v>75</v>
      </c>
    </row>
    <row r="218" spans="1:6">
      <c r="A218" s="366" t="s">
        <v>49</v>
      </c>
      <c r="B218" s="446" t="s">
        <v>942</v>
      </c>
      <c r="C218" s="427" t="s">
        <v>649</v>
      </c>
      <c r="D218" s="425">
        <v>18</v>
      </c>
      <c r="E218" s="426">
        <v>30</v>
      </c>
      <c r="F218" s="428">
        <f>IF((D218*E218)=0,"",(D218*E218))</f>
        <v>540</v>
      </c>
    </row>
    <row r="219" spans="1:6">
      <c r="A219" s="380"/>
      <c r="B219" s="446"/>
      <c r="C219" s="427"/>
      <c r="D219" s="447"/>
      <c r="E219" s="426"/>
    </row>
    <row r="220" spans="1:6" ht="55.2">
      <c r="A220" s="380" t="s">
        <v>1109</v>
      </c>
      <c r="B220" s="446" t="s">
        <v>2115</v>
      </c>
      <c r="C220" s="427" t="s">
        <v>649</v>
      </c>
      <c r="D220" s="425">
        <v>21</v>
      </c>
      <c r="E220" s="426">
        <v>30</v>
      </c>
      <c r="F220" s="428">
        <f>IF((D220*E220)=0,"",(D220*E220))</f>
        <v>630</v>
      </c>
    </row>
    <row r="221" spans="1:6">
      <c r="A221" s="366"/>
      <c r="E221" s="426"/>
    </row>
    <row r="222" spans="1:6" ht="41.4">
      <c r="A222" s="380" t="s">
        <v>3644</v>
      </c>
      <c r="B222" s="446" t="s">
        <v>2116</v>
      </c>
      <c r="E222" s="426"/>
    </row>
    <row r="223" spans="1:6">
      <c r="A223" s="366"/>
      <c r="B223" s="446" t="s">
        <v>942</v>
      </c>
      <c r="C223" s="427" t="s">
        <v>649</v>
      </c>
      <c r="D223" s="425">
        <v>6</v>
      </c>
      <c r="E223" s="426">
        <v>35</v>
      </c>
      <c r="F223" s="428">
        <f>IF((D223*E223)=0,"",(D223*E223))</f>
        <v>210</v>
      </c>
    </row>
    <row r="224" spans="1:6">
      <c r="A224" s="366"/>
      <c r="E224" s="426"/>
    </row>
    <row r="225" spans="1:6" ht="55.2">
      <c r="A225" s="380" t="s">
        <v>3645</v>
      </c>
      <c r="B225" s="446" t="s">
        <v>2117</v>
      </c>
      <c r="E225" s="426"/>
    </row>
    <row r="226" spans="1:6">
      <c r="A226" s="366" t="s">
        <v>48</v>
      </c>
      <c r="B226" s="446" t="s">
        <v>945</v>
      </c>
      <c r="C226" s="427" t="s">
        <v>649</v>
      </c>
      <c r="D226" s="425">
        <v>3</v>
      </c>
      <c r="E226" s="426">
        <v>80</v>
      </c>
      <c r="F226" s="428">
        <f>IF((D226*E226)=0,"",(D226*E226))</f>
        <v>240</v>
      </c>
    </row>
    <row r="227" spans="1:6">
      <c r="A227" s="366" t="s">
        <v>49</v>
      </c>
      <c r="B227" s="446" t="s">
        <v>942</v>
      </c>
      <c r="C227" s="427" t="s">
        <v>649</v>
      </c>
      <c r="D227" s="425">
        <v>4</v>
      </c>
      <c r="E227" s="426">
        <v>110</v>
      </c>
      <c r="F227" s="428">
        <f>IF((D227*E227)=0,"",(D227*E227))</f>
        <v>440</v>
      </c>
    </row>
    <row r="228" spans="1:6">
      <c r="A228" s="366"/>
      <c r="E228" s="426"/>
    </row>
    <row r="229" spans="1:6" ht="82.8">
      <c r="A229" s="380" t="s">
        <v>3646</v>
      </c>
      <c r="B229" s="446" t="s">
        <v>2118</v>
      </c>
      <c r="E229" s="426"/>
    </row>
    <row r="230" spans="1:6">
      <c r="A230" s="366"/>
      <c r="B230" s="446" t="s">
        <v>946</v>
      </c>
      <c r="C230" s="427" t="s">
        <v>649</v>
      </c>
      <c r="D230" s="425">
        <v>9</v>
      </c>
      <c r="E230" s="426">
        <v>110</v>
      </c>
      <c r="F230" s="428">
        <f>IF((D230*E230)=0,"",(D230*E230))</f>
        <v>990</v>
      </c>
    </row>
    <row r="231" spans="1:6">
      <c r="A231" s="366"/>
      <c r="B231" s="446"/>
      <c r="C231" s="427"/>
      <c r="E231" s="426"/>
      <c r="F231" s="428"/>
    </row>
    <row r="232" spans="1:6" ht="69">
      <c r="A232" s="380" t="s">
        <v>3647</v>
      </c>
      <c r="B232" s="446" t="s">
        <v>2119</v>
      </c>
      <c r="E232" s="426"/>
    </row>
    <row r="233" spans="1:6">
      <c r="A233" s="366"/>
      <c r="B233" s="446" t="s">
        <v>2113</v>
      </c>
      <c r="C233" s="427" t="s">
        <v>649</v>
      </c>
      <c r="D233" s="425">
        <v>12</v>
      </c>
      <c r="E233" s="426">
        <v>118</v>
      </c>
      <c r="F233" s="428">
        <f>IF((D233*E233)=0,"",(D233*E233))</f>
        <v>1416</v>
      </c>
    </row>
    <row r="234" spans="1:6">
      <c r="A234" s="366"/>
      <c r="B234" s="446"/>
      <c r="E234" s="917"/>
    </row>
    <row r="235" spans="1:6" ht="27.6">
      <c r="A235" s="380" t="s">
        <v>3648</v>
      </c>
      <c r="B235" s="446" t="s">
        <v>3639</v>
      </c>
      <c r="E235" s="426"/>
    </row>
    <row r="236" spans="1:6">
      <c r="A236" s="366"/>
      <c r="B236" s="446" t="s">
        <v>3640</v>
      </c>
      <c r="C236" s="427" t="s">
        <v>649</v>
      </c>
      <c r="D236" s="425">
        <v>10</v>
      </c>
      <c r="E236" s="426">
        <v>55</v>
      </c>
      <c r="F236" s="428">
        <f>IF((D236*E236)=0,"",(D236*E236))</f>
        <v>550</v>
      </c>
    </row>
    <row r="237" spans="1:6">
      <c r="A237" s="366"/>
      <c r="B237" s="446"/>
      <c r="E237" s="917"/>
    </row>
    <row r="238" spans="1:6" ht="41.4">
      <c r="A238" s="380" t="s">
        <v>3649</v>
      </c>
      <c r="B238" s="457" t="s">
        <v>2127</v>
      </c>
      <c r="E238" s="917"/>
    </row>
    <row r="239" spans="1:6" ht="179.4">
      <c r="A239" s="366"/>
      <c r="B239" s="446" t="s">
        <v>5209</v>
      </c>
      <c r="E239" s="917"/>
    </row>
    <row r="240" spans="1:6" ht="96.6">
      <c r="A240" s="366"/>
      <c r="B240" s="446" t="s">
        <v>5210</v>
      </c>
      <c r="E240" s="917"/>
    </row>
    <row r="241" spans="1:6" ht="41.4">
      <c r="A241" s="366"/>
      <c r="B241" s="446" t="s">
        <v>5211</v>
      </c>
      <c r="E241" s="917"/>
    </row>
    <row r="242" spans="1:6">
      <c r="A242" s="366"/>
      <c r="B242" s="446" t="s">
        <v>2126</v>
      </c>
      <c r="E242" s="917"/>
    </row>
    <row r="243" spans="1:6">
      <c r="A243" s="366"/>
      <c r="B243" s="446" t="s">
        <v>2128</v>
      </c>
      <c r="C243" s="427" t="s">
        <v>649</v>
      </c>
      <c r="D243" s="425">
        <v>5</v>
      </c>
      <c r="E243" s="426">
        <v>350</v>
      </c>
      <c r="F243" s="428">
        <f>IF((D243*E243)=0,"",(D243*E243))</f>
        <v>1750</v>
      </c>
    </row>
    <row r="244" spans="1:6">
      <c r="A244" s="366"/>
      <c r="B244" s="446"/>
      <c r="E244" s="917"/>
    </row>
    <row r="245" spans="1:6" ht="55.2">
      <c r="A245" s="380" t="s">
        <v>3650</v>
      </c>
      <c r="B245" s="457" t="s">
        <v>3641</v>
      </c>
      <c r="E245" s="917"/>
    </row>
    <row r="246" spans="1:6" ht="248.4">
      <c r="A246" s="380"/>
      <c r="B246" s="446" t="s">
        <v>5212</v>
      </c>
      <c r="E246" s="917"/>
    </row>
    <row r="247" spans="1:6" ht="69">
      <c r="A247" s="380"/>
      <c r="B247" s="446" t="s">
        <v>4012</v>
      </c>
      <c r="E247" s="917"/>
    </row>
    <row r="248" spans="1:6" ht="41.4">
      <c r="A248" s="380"/>
      <c r="B248" s="446" t="s">
        <v>5211</v>
      </c>
      <c r="E248" s="917"/>
    </row>
    <row r="249" spans="1:6">
      <c r="A249" s="366"/>
      <c r="B249" s="446" t="s">
        <v>2126</v>
      </c>
      <c r="E249" s="917"/>
    </row>
    <row r="250" spans="1:6">
      <c r="A250" s="366"/>
      <c r="B250" s="446" t="s">
        <v>3642</v>
      </c>
      <c r="C250" s="427" t="s">
        <v>649</v>
      </c>
      <c r="D250" s="425">
        <v>1</v>
      </c>
      <c r="E250" s="426">
        <v>1256</v>
      </c>
      <c r="F250" s="428">
        <f>IF((D250*E250)=0,"",(D250*E250))</f>
        <v>1256</v>
      </c>
    </row>
    <row r="251" spans="1:6">
      <c r="A251" s="366"/>
      <c r="B251" s="446"/>
      <c r="E251" s="917"/>
    </row>
    <row r="252" spans="1:6" ht="41.4">
      <c r="A252" s="380" t="s">
        <v>3651</v>
      </c>
      <c r="B252" s="446" t="s">
        <v>3643</v>
      </c>
      <c r="C252" s="427" t="s">
        <v>697</v>
      </c>
      <c r="D252" s="447">
        <v>324</v>
      </c>
      <c r="E252" s="426">
        <v>1</v>
      </c>
      <c r="F252" s="428">
        <f>IF((D252*E252)=0,"",(D252*E252))</f>
        <v>324</v>
      </c>
    </row>
    <row r="253" spans="1:6">
      <c r="A253" s="441"/>
      <c r="B253" s="449"/>
      <c r="C253" s="450"/>
      <c r="D253" s="451"/>
      <c r="E253" s="452"/>
      <c r="F253" s="451"/>
    </row>
    <row r="254" spans="1:6">
      <c r="A254" s="380" t="s">
        <v>682</v>
      </c>
      <c r="B254" s="440" t="s">
        <v>947</v>
      </c>
      <c r="E254" s="426"/>
      <c r="F254" s="741">
        <f>SUM(F207:F253)</f>
        <v>13154</v>
      </c>
    </row>
    <row r="255" spans="1:6">
      <c r="A255" s="380"/>
      <c r="B255" s="457"/>
      <c r="E255" s="426"/>
      <c r="F255" s="459"/>
    </row>
    <row r="256" spans="1:6">
      <c r="A256" s="366"/>
      <c r="E256" s="426"/>
    </row>
    <row r="257" spans="1:6">
      <c r="A257" s="441" t="s">
        <v>686</v>
      </c>
      <c r="B257" s="442" t="s">
        <v>948</v>
      </c>
      <c r="C257" s="443"/>
      <c r="D257" s="444"/>
      <c r="E257" s="445"/>
      <c r="F257" s="444"/>
    </row>
    <row r="258" spans="1:6">
      <c r="A258" s="366"/>
      <c r="E258" s="426"/>
    </row>
    <row r="259" spans="1:6" ht="138">
      <c r="A259" s="380" t="s">
        <v>1110</v>
      </c>
      <c r="B259" s="446" t="s">
        <v>3652</v>
      </c>
      <c r="E259" s="426"/>
    </row>
    <row r="260" spans="1:6">
      <c r="A260" s="366" t="s">
        <v>48</v>
      </c>
      <c r="B260" s="446" t="s">
        <v>942</v>
      </c>
      <c r="C260" s="427" t="s">
        <v>697</v>
      </c>
      <c r="D260" s="447">
        <v>110</v>
      </c>
      <c r="E260" s="426">
        <v>40</v>
      </c>
      <c r="F260" s="428">
        <f>IF((D260*E260)=0,"",(D260*E260))</f>
        <v>4400</v>
      </c>
    </row>
    <row r="261" spans="1:6">
      <c r="A261" s="366" t="s">
        <v>49</v>
      </c>
      <c r="B261" s="446" t="s">
        <v>945</v>
      </c>
      <c r="C261" s="427" t="s">
        <v>697</v>
      </c>
      <c r="D261" s="447">
        <v>30</v>
      </c>
      <c r="E261" s="426">
        <v>28</v>
      </c>
      <c r="F261" s="428">
        <f>IF((D261*E261)=0,"",(D261*E261))</f>
        <v>840</v>
      </c>
    </row>
    <row r="262" spans="1:6">
      <c r="A262" s="366" t="s">
        <v>51</v>
      </c>
      <c r="B262" s="446" t="s">
        <v>941</v>
      </c>
      <c r="C262" s="427" t="s">
        <v>697</v>
      </c>
      <c r="D262" s="447">
        <v>11</v>
      </c>
      <c r="E262" s="426">
        <v>25</v>
      </c>
      <c r="F262" s="428">
        <f>IF((D262*E262)=0,"",(D262*E262))</f>
        <v>275</v>
      </c>
    </row>
    <row r="263" spans="1:6">
      <c r="A263" s="366"/>
      <c r="E263" s="426"/>
    </row>
    <row r="264" spans="1:6" ht="151.80000000000001">
      <c r="A264" s="380" t="s">
        <v>1111</v>
      </c>
      <c r="B264" s="481" t="s">
        <v>3685</v>
      </c>
      <c r="E264" s="426"/>
    </row>
    <row r="265" spans="1:6" ht="41.4">
      <c r="A265" s="380"/>
      <c r="B265" s="446" t="s">
        <v>1165</v>
      </c>
      <c r="E265" s="426"/>
    </row>
    <row r="266" spans="1:6">
      <c r="A266" s="366"/>
      <c r="B266" s="446" t="s">
        <v>3683</v>
      </c>
      <c r="C266" s="427" t="s">
        <v>670</v>
      </c>
      <c r="D266" s="425">
        <v>1</v>
      </c>
      <c r="E266" s="426">
        <v>380</v>
      </c>
      <c r="F266" s="428">
        <f>IF((D266*E266)=0,"",(D266*E266))</f>
        <v>380</v>
      </c>
    </row>
    <row r="267" spans="1:6">
      <c r="A267" s="366"/>
      <c r="E267" s="426"/>
    </row>
    <row r="268" spans="1:6" ht="165.6">
      <c r="A268" s="380" t="s">
        <v>1112</v>
      </c>
      <c r="B268" s="481" t="s">
        <v>4014</v>
      </c>
      <c r="E268" s="426"/>
    </row>
    <row r="269" spans="1:6" ht="69">
      <c r="A269" s="380"/>
      <c r="B269" s="446" t="s">
        <v>4013</v>
      </c>
      <c r="E269" s="426"/>
    </row>
    <row r="270" spans="1:6">
      <c r="A270" s="366"/>
      <c r="B270" s="446" t="s">
        <v>2074</v>
      </c>
      <c r="C270" s="427" t="s">
        <v>670</v>
      </c>
      <c r="D270" s="425">
        <v>1</v>
      </c>
      <c r="E270" s="426">
        <v>389</v>
      </c>
      <c r="F270" s="428">
        <f>IF((D270*E270)=0,"",(D270*E270))</f>
        <v>389</v>
      </c>
    </row>
    <row r="271" spans="1:6">
      <c r="A271" s="366"/>
      <c r="E271" s="426"/>
    </row>
    <row r="272" spans="1:6" ht="193.2">
      <c r="A272" s="380" t="s">
        <v>1113</v>
      </c>
      <c r="B272" s="481" t="s">
        <v>3690</v>
      </c>
      <c r="E272" s="426"/>
    </row>
    <row r="273" spans="1:7" ht="69">
      <c r="A273" s="380"/>
      <c r="B273" s="446" t="s">
        <v>4013</v>
      </c>
      <c r="E273" s="426"/>
    </row>
    <row r="274" spans="1:7">
      <c r="A274" s="366"/>
      <c r="B274" s="446" t="s">
        <v>3684</v>
      </c>
      <c r="C274" s="427" t="s">
        <v>670</v>
      </c>
      <c r="D274" s="425">
        <v>6</v>
      </c>
      <c r="E274" s="426">
        <v>280</v>
      </c>
      <c r="F274" s="428">
        <f>IF((D274*E274)=0,"",(D274*E274))</f>
        <v>1680</v>
      </c>
    </row>
    <row r="275" spans="1:7">
      <c r="A275" s="366"/>
      <c r="E275" s="426"/>
    </row>
    <row r="276" spans="1:7" ht="193.2">
      <c r="A276" s="380" t="s">
        <v>3687</v>
      </c>
      <c r="B276" s="481" t="s">
        <v>3689</v>
      </c>
      <c r="E276" s="426"/>
    </row>
    <row r="277" spans="1:7" ht="69">
      <c r="A277" s="380"/>
      <c r="B277" s="446" t="s">
        <v>4013</v>
      </c>
      <c r="E277" s="426"/>
    </row>
    <row r="278" spans="1:7">
      <c r="A278" s="366"/>
      <c r="B278" s="446" t="s">
        <v>3683</v>
      </c>
      <c r="C278" s="427" t="s">
        <v>670</v>
      </c>
      <c r="D278" s="425">
        <v>1</v>
      </c>
      <c r="E278" s="426">
        <v>298</v>
      </c>
      <c r="F278" s="428">
        <f>IF((D278*E278)=0,"",(D278*E278))</f>
        <v>298</v>
      </c>
    </row>
    <row r="279" spans="1:7">
      <c r="A279" s="366"/>
      <c r="E279" s="426"/>
    </row>
    <row r="280" spans="1:7" ht="193.2">
      <c r="A280" s="380" t="s">
        <v>3688</v>
      </c>
      <c r="B280" s="481" t="s">
        <v>3686</v>
      </c>
      <c r="E280" s="426"/>
    </row>
    <row r="281" spans="1:7" ht="69">
      <c r="A281" s="380"/>
      <c r="B281" s="446" t="s">
        <v>4013</v>
      </c>
      <c r="E281" s="426"/>
    </row>
    <row r="282" spans="1:7">
      <c r="A282" s="366"/>
      <c r="B282" s="446" t="s">
        <v>2074</v>
      </c>
      <c r="C282" s="427" t="s">
        <v>670</v>
      </c>
      <c r="D282" s="425">
        <v>1</v>
      </c>
      <c r="E282" s="426">
        <v>580</v>
      </c>
      <c r="F282" s="428">
        <f>IF((D282*E282)=0,"",(D282*E282))</f>
        <v>580</v>
      </c>
    </row>
    <row r="283" spans="1:7">
      <c r="A283" s="366"/>
      <c r="E283" s="426"/>
    </row>
    <row r="284" spans="1:7" ht="110.4">
      <c r="A284" s="366" t="s">
        <v>3681</v>
      </c>
      <c r="B284" s="446" t="s">
        <v>2120</v>
      </c>
      <c r="C284" s="430"/>
      <c r="D284" s="430"/>
      <c r="E284" s="456"/>
      <c r="F284" s="430"/>
      <c r="G284" s="477"/>
    </row>
    <row r="285" spans="1:7">
      <c r="A285" s="366"/>
      <c r="B285" s="446" t="s">
        <v>2121</v>
      </c>
      <c r="C285" s="427" t="s">
        <v>649</v>
      </c>
      <c r="D285" s="447">
        <v>19</v>
      </c>
      <c r="E285" s="426">
        <v>254</v>
      </c>
      <c r="F285" s="428">
        <f>IF((D285*E285)=0,"",(D285*E285))</f>
        <v>4826</v>
      </c>
    </row>
    <row r="286" spans="1:7">
      <c r="A286" s="366"/>
      <c r="E286" s="426"/>
    </row>
    <row r="287" spans="1:7" ht="69">
      <c r="A287" s="380" t="s">
        <v>3682</v>
      </c>
      <c r="B287" s="446" t="s">
        <v>4015</v>
      </c>
      <c r="C287" s="427" t="s">
        <v>697</v>
      </c>
      <c r="D287" s="447">
        <v>140</v>
      </c>
      <c r="E287" s="426">
        <v>2</v>
      </c>
      <c r="F287" s="428">
        <f>IF((D287*E287)=0,"",(D287*E287))</f>
        <v>280</v>
      </c>
    </row>
    <row r="288" spans="1:7">
      <c r="A288" s="441"/>
      <c r="B288" s="440"/>
      <c r="C288" s="450"/>
      <c r="D288" s="451"/>
      <c r="E288" s="452"/>
      <c r="F288" s="451"/>
    </row>
    <row r="289" spans="1:6">
      <c r="A289" s="944" t="s">
        <v>686</v>
      </c>
      <c r="B289" s="460" t="s">
        <v>949</v>
      </c>
      <c r="E289" s="426"/>
      <c r="F289" s="742">
        <f>SUM(F259:F287)</f>
        <v>13948</v>
      </c>
    </row>
    <row r="290" spans="1:6" ht="15" customHeight="1">
      <c r="A290" s="945"/>
      <c r="B290" s="461"/>
      <c r="E290" s="426"/>
      <c r="F290" s="448"/>
    </row>
    <row r="291" spans="1:6">
      <c r="A291" s="366"/>
      <c r="E291" s="426"/>
    </row>
    <row r="292" spans="1:6">
      <c r="A292" s="366"/>
      <c r="E292" s="426"/>
    </row>
    <row r="293" spans="1:6">
      <c r="A293" s="441" t="s">
        <v>702</v>
      </c>
      <c r="B293" s="442" t="s">
        <v>950</v>
      </c>
      <c r="C293" s="443"/>
      <c r="D293" s="444"/>
      <c r="E293" s="445"/>
      <c r="F293" s="444"/>
    </row>
    <row r="294" spans="1:6">
      <c r="A294" s="366"/>
      <c r="B294" s="440"/>
      <c r="C294" s="453"/>
      <c r="D294" s="454"/>
      <c r="E294" s="455"/>
      <c r="F294" s="454"/>
    </row>
    <row r="295" spans="1:6" ht="179.4">
      <c r="A295" s="380" t="s">
        <v>1114</v>
      </c>
      <c r="B295" s="446" t="s">
        <v>5213</v>
      </c>
      <c r="E295" s="426"/>
    </row>
    <row r="296" spans="1:6" ht="110.4">
      <c r="A296" s="380"/>
      <c r="B296" s="658" t="s">
        <v>3653</v>
      </c>
      <c r="E296" s="426"/>
    </row>
    <row r="297" spans="1:6" ht="41.4">
      <c r="A297" s="380"/>
      <c r="B297" s="446" t="s">
        <v>3654</v>
      </c>
      <c r="E297" s="426"/>
    </row>
    <row r="298" spans="1:6">
      <c r="A298" s="366" t="s">
        <v>48</v>
      </c>
      <c r="B298" s="429" t="s">
        <v>3655</v>
      </c>
      <c r="C298" s="427" t="s">
        <v>697</v>
      </c>
      <c r="D298" s="447">
        <v>510</v>
      </c>
      <c r="E298" s="426">
        <v>28</v>
      </c>
      <c r="F298" s="428">
        <f>IF((D298*E298)=0,"",(D298*E298))</f>
        <v>14280</v>
      </c>
    </row>
    <row r="299" spans="1:6">
      <c r="A299" s="366" t="s">
        <v>49</v>
      </c>
      <c r="B299" s="429" t="s">
        <v>3656</v>
      </c>
      <c r="C299" s="427" t="s">
        <v>697</v>
      </c>
      <c r="D299" s="447">
        <v>200</v>
      </c>
      <c r="E299" s="426">
        <v>35</v>
      </c>
      <c r="F299" s="428">
        <f>IF((D299*E299)=0,"",(D299*E299))</f>
        <v>7000</v>
      </c>
    </row>
    <row r="300" spans="1:6">
      <c r="A300" s="366"/>
      <c r="E300" s="426"/>
      <c r="F300" s="448"/>
    </row>
    <row r="301" spans="1:6" ht="179.4">
      <c r="A301" s="380" t="s">
        <v>1115</v>
      </c>
      <c r="B301" s="446" t="s">
        <v>5214</v>
      </c>
      <c r="E301" s="426"/>
    </row>
    <row r="302" spans="1:6" ht="110.4">
      <c r="A302" s="380"/>
      <c r="B302" s="658" t="s">
        <v>3653</v>
      </c>
      <c r="E302" s="426"/>
    </row>
    <row r="303" spans="1:6" ht="55.2">
      <c r="A303" s="380"/>
      <c r="B303" s="446" t="s">
        <v>4016</v>
      </c>
      <c r="E303" s="426"/>
    </row>
    <row r="304" spans="1:6">
      <c r="A304" s="366" t="s">
        <v>48</v>
      </c>
      <c r="B304" s="429" t="s">
        <v>3656</v>
      </c>
      <c r="C304" s="427" t="s">
        <v>697</v>
      </c>
      <c r="D304" s="447">
        <v>50</v>
      </c>
      <c r="E304" s="426">
        <v>35</v>
      </c>
      <c r="F304" s="428">
        <f>IF((D304*E304)=0,"",(D304*E304))</f>
        <v>1750</v>
      </c>
    </row>
    <row r="305" spans="1:7">
      <c r="A305" s="366" t="s">
        <v>49</v>
      </c>
      <c r="B305" s="429" t="s">
        <v>3657</v>
      </c>
      <c r="C305" s="427" t="s">
        <v>697</v>
      </c>
      <c r="D305" s="447">
        <v>140</v>
      </c>
      <c r="E305" s="426">
        <v>38</v>
      </c>
      <c r="F305" s="428">
        <f>IF((D305*E305)=0,"",(D305*E305))</f>
        <v>5320</v>
      </c>
    </row>
    <row r="306" spans="1:7">
      <c r="A306" s="366" t="s">
        <v>51</v>
      </c>
      <c r="B306" s="429" t="s">
        <v>3658</v>
      </c>
      <c r="C306" s="427" t="s">
        <v>697</v>
      </c>
      <c r="D306" s="447">
        <v>57</v>
      </c>
      <c r="E306" s="426">
        <v>40</v>
      </c>
      <c r="F306" s="428">
        <f>IF((D306*E306)=0,"",(D306*E306))</f>
        <v>2280</v>
      </c>
    </row>
    <row r="307" spans="1:7">
      <c r="A307" s="366" t="s">
        <v>53</v>
      </c>
      <c r="B307" s="429" t="s">
        <v>3659</v>
      </c>
      <c r="C307" s="427" t="s">
        <v>697</v>
      </c>
      <c r="D307" s="447">
        <v>125</v>
      </c>
      <c r="E307" s="426">
        <v>55</v>
      </c>
      <c r="F307" s="428">
        <f>IF((D307*E307)=0,"",(D307*E307))</f>
        <v>6875</v>
      </c>
    </row>
    <row r="308" spans="1:7">
      <c r="A308" s="366"/>
      <c r="E308" s="426"/>
      <c r="F308" s="448"/>
    </row>
    <row r="309" spans="1:7" ht="96.6">
      <c r="A309" s="380" t="s">
        <v>1116</v>
      </c>
      <c r="B309" s="658" t="s">
        <v>3660</v>
      </c>
      <c r="E309" s="426"/>
      <c r="G309" s="875"/>
    </row>
    <row r="310" spans="1:7">
      <c r="A310" s="366" t="s">
        <v>48</v>
      </c>
      <c r="B310" s="429" t="s">
        <v>951</v>
      </c>
      <c r="C310" s="427" t="s">
        <v>649</v>
      </c>
      <c r="D310" s="425">
        <v>20</v>
      </c>
      <c r="E310" s="426">
        <v>30</v>
      </c>
      <c r="F310" s="428">
        <f>IF((D310*E310)=0,"",(D310*E310))</f>
        <v>600</v>
      </c>
    </row>
    <row r="311" spans="1:7">
      <c r="A311" s="366" t="s">
        <v>49</v>
      </c>
      <c r="B311" s="429" t="s">
        <v>952</v>
      </c>
      <c r="C311" s="427" t="s">
        <v>649</v>
      </c>
      <c r="D311" s="425">
        <v>27</v>
      </c>
      <c r="E311" s="426">
        <v>35</v>
      </c>
      <c r="F311" s="428">
        <f t="shared" ref="F311:F318" si="9">IF((D311*E311)=0,"",(D311*E311))</f>
        <v>945</v>
      </c>
    </row>
    <row r="312" spans="1:7">
      <c r="A312" s="366" t="s">
        <v>51</v>
      </c>
      <c r="B312" s="429" t="s">
        <v>953</v>
      </c>
      <c r="C312" s="427" t="s">
        <v>649</v>
      </c>
      <c r="D312" s="425">
        <v>4</v>
      </c>
      <c r="E312" s="426">
        <v>40</v>
      </c>
      <c r="F312" s="428">
        <f t="shared" si="9"/>
        <v>160</v>
      </c>
    </row>
    <row r="313" spans="1:7">
      <c r="A313" s="366" t="s">
        <v>53</v>
      </c>
      <c r="B313" s="429" t="s">
        <v>954</v>
      </c>
      <c r="C313" s="427" t="s">
        <v>649</v>
      </c>
      <c r="D313" s="425">
        <v>1</v>
      </c>
      <c r="E313" s="426">
        <v>50</v>
      </c>
      <c r="F313" s="428">
        <f t="shared" si="9"/>
        <v>50</v>
      </c>
    </row>
    <row r="314" spans="1:7">
      <c r="A314" s="366" t="s">
        <v>698</v>
      </c>
      <c r="B314" s="429" t="s">
        <v>955</v>
      </c>
      <c r="C314" s="427" t="s">
        <v>649</v>
      </c>
      <c r="D314" s="425">
        <v>2</v>
      </c>
      <c r="E314" s="426">
        <v>55</v>
      </c>
      <c r="F314" s="428">
        <f t="shared" ref="F314" si="10">IF((D314*E314)=0,"",(D314*E314))</f>
        <v>110</v>
      </c>
    </row>
    <row r="315" spans="1:7">
      <c r="A315" s="366"/>
      <c r="E315" s="426"/>
      <c r="F315" s="448"/>
    </row>
    <row r="316" spans="1:7" ht="138">
      <c r="A316" s="380" t="s">
        <v>3661</v>
      </c>
      <c r="B316" s="446" t="s">
        <v>2124</v>
      </c>
      <c r="C316" s="427" t="s">
        <v>697</v>
      </c>
      <c r="D316" s="447">
        <v>1082</v>
      </c>
      <c r="E316" s="426">
        <v>0.5</v>
      </c>
      <c r="F316" s="428">
        <f t="shared" si="9"/>
        <v>541</v>
      </c>
    </row>
    <row r="317" spans="1:7">
      <c r="A317" s="366"/>
      <c r="D317" s="447"/>
      <c r="E317" s="426"/>
    </row>
    <row r="318" spans="1:7" ht="82.8">
      <c r="A318" s="380" t="s">
        <v>3662</v>
      </c>
      <c r="B318" s="446" t="s">
        <v>4017</v>
      </c>
      <c r="C318" s="427" t="s">
        <v>697</v>
      </c>
      <c r="D318" s="447">
        <v>1082</v>
      </c>
      <c r="E318" s="426">
        <v>0.8</v>
      </c>
      <c r="F318" s="428">
        <f t="shared" si="9"/>
        <v>865.6</v>
      </c>
    </row>
    <row r="319" spans="1:7">
      <c r="A319" s="380"/>
      <c r="B319" s="446"/>
      <c r="C319" s="427"/>
      <c r="D319" s="447"/>
      <c r="E319" s="426"/>
      <c r="F319" s="428"/>
    </row>
    <row r="320" spans="1:7" ht="41.4">
      <c r="A320" s="380" t="s">
        <v>3663</v>
      </c>
      <c r="B320" s="658" t="s">
        <v>4018</v>
      </c>
      <c r="C320" s="427" t="s">
        <v>670</v>
      </c>
      <c r="D320" s="425">
        <v>1</v>
      </c>
      <c r="E320" s="426">
        <v>1550</v>
      </c>
      <c r="F320" s="428">
        <f t="shared" ref="F320" si="11">IF((D320*E320)=0,"",(D320*E320))</f>
        <v>1550</v>
      </c>
    </row>
    <row r="321" spans="1:6">
      <c r="A321" s="380"/>
      <c r="B321" s="446"/>
      <c r="C321" s="427"/>
      <c r="D321" s="447"/>
      <c r="E321" s="426"/>
      <c r="F321" s="428"/>
    </row>
    <row r="322" spans="1:6">
      <c r="A322" s="441"/>
      <c r="B322" s="449"/>
      <c r="C322" s="450"/>
      <c r="D322" s="451"/>
      <c r="E322" s="452"/>
      <c r="F322" s="451"/>
    </row>
    <row r="323" spans="1:6" ht="15.75" customHeight="1">
      <c r="A323" s="366" t="s">
        <v>702</v>
      </c>
      <c r="B323" s="460" t="s">
        <v>956</v>
      </c>
      <c r="E323" s="426"/>
      <c r="F323" s="740">
        <f>SUM(F295:F322)</f>
        <v>42326.6</v>
      </c>
    </row>
    <row r="324" spans="1:6" ht="15" customHeight="1">
      <c r="A324" s="366"/>
      <c r="B324" s="462"/>
      <c r="E324" s="426"/>
    </row>
    <row r="325" spans="1:6">
      <c r="A325" s="366"/>
      <c r="E325" s="426"/>
    </row>
    <row r="326" spans="1:6">
      <c r="A326" s="441" t="s">
        <v>704</v>
      </c>
      <c r="B326" s="442" t="s">
        <v>957</v>
      </c>
      <c r="C326" s="443"/>
      <c r="D326" s="444"/>
      <c r="E326" s="445"/>
      <c r="F326" s="444"/>
    </row>
    <row r="327" spans="1:6">
      <c r="A327" s="366"/>
      <c r="E327" s="426"/>
    </row>
    <row r="328" spans="1:6" ht="138">
      <c r="A328" s="380" t="s">
        <v>1117</v>
      </c>
      <c r="B328" s="446" t="s">
        <v>5215</v>
      </c>
      <c r="E328" s="426"/>
    </row>
    <row r="329" spans="1:6">
      <c r="A329" s="366"/>
      <c r="B329" s="446" t="s">
        <v>958</v>
      </c>
      <c r="C329" s="427" t="s">
        <v>697</v>
      </c>
      <c r="D329" s="447">
        <v>150</v>
      </c>
      <c r="E329" s="426">
        <v>60</v>
      </c>
      <c r="F329" s="428">
        <f>IF((D329*E329)=0,"",(D329*E329))</f>
        <v>9000</v>
      </c>
    </row>
    <row r="330" spans="1:6">
      <c r="A330" s="366"/>
      <c r="E330" s="426"/>
    </row>
    <row r="331" spans="1:6" ht="27.6">
      <c r="A331" s="380" t="s">
        <v>1118</v>
      </c>
      <c r="B331" s="446" t="s">
        <v>2073</v>
      </c>
      <c r="E331" s="426"/>
    </row>
    <row r="332" spans="1:6" ht="69">
      <c r="A332" s="366"/>
      <c r="B332" s="446" t="s">
        <v>5056</v>
      </c>
      <c r="E332" s="426"/>
    </row>
    <row r="333" spans="1:6" ht="27.6">
      <c r="A333" s="366"/>
      <c r="B333" s="446" t="s">
        <v>959</v>
      </c>
      <c r="E333" s="426"/>
    </row>
    <row r="334" spans="1:6">
      <c r="A334" s="366"/>
      <c r="B334" s="446" t="s">
        <v>960</v>
      </c>
      <c r="E334" s="426"/>
    </row>
    <row r="335" spans="1:6">
      <c r="A335" s="366"/>
      <c r="B335" s="446" t="s">
        <v>961</v>
      </c>
      <c r="E335" s="426"/>
    </row>
    <row r="336" spans="1:6">
      <c r="A336" s="366"/>
      <c r="B336" s="446" t="s">
        <v>962</v>
      </c>
      <c r="E336" s="426"/>
    </row>
    <row r="337" spans="1:6" ht="110.4">
      <c r="A337" s="366"/>
      <c r="B337" s="446" t="s">
        <v>5216</v>
      </c>
      <c r="C337" s="427" t="s">
        <v>670</v>
      </c>
      <c r="D337" s="425">
        <v>7</v>
      </c>
      <c r="E337" s="426">
        <v>289</v>
      </c>
      <c r="F337" s="428">
        <f>IF((D337*E337)=0,"",(D337*E337))</f>
        <v>2023</v>
      </c>
    </row>
    <row r="338" spans="1:6">
      <c r="A338" s="366"/>
      <c r="E338" s="426"/>
    </row>
    <row r="339" spans="1:6" ht="138">
      <c r="A339" s="380" t="s">
        <v>1119</v>
      </c>
      <c r="B339" s="446" t="s">
        <v>2123</v>
      </c>
      <c r="C339" s="427" t="s">
        <v>697</v>
      </c>
      <c r="D339" s="447">
        <v>150</v>
      </c>
      <c r="E339" s="426">
        <v>3</v>
      </c>
      <c r="F339" s="428">
        <f>IF((D339*E339)=0,"",(D339*E339))</f>
        <v>450</v>
      </c>
    </row>
    <row r="340" spans="1:6">
      <c r="A340" s="441"/>
      <c r="B340" s="449"/>
      <c r="C340" s="450"/>
      <c r="D340" s="451"/>
      <c r="E340" s="452"/>
      <c r="F340" s="451"/>
    </row>
    <row r="341" spans="1:6">
      <c r="A341" s="366" t="s">
        <v>704</v>
      </c>
      <c r="B341" s="440" t="s">
        <v>963</v>
      </c>
      <c r="E341" s="426"/>
      <c r="F341" s="740">
        <f>SUM(F328:F340)</f>
        <v>11473</v>
      </c>
    </row>
    <row r="342" spans="1:6">
      <c r="A342" s="366"/>
      <c r="B342" s="457"/>
      <c r="E342" s="426"/>
    </row>
    <row r="343" spans="1:6">
      <c r="A343" s="366"/>
      <c r="E343" s="426"/>
    </row>
    <row r="344" spans="1:6">
      <c r="A344" s="441" t="s">
        <v>695</v>
      </c>
      <c r="B344" s="442" t="s">
        <v>964</v>
      </c>
      <c r="C344" s="443"/>
      <c r="D344" s="444"/>
      <c r="E344" s="445"/>
      <c r="F344" s="444"/>
    </row>
    <row r="345" spans="1:6">
      <c r="A345" s="366"/>
      <c r="B345" s="440"/>
      <c r="C345" s="453"/>
      <c r="D345" s="454"/>
      <c r="E345" s="455"/>
      <c r="F345" s="454"/>
    </row>
    <row r="346" spans="1:6" ht="69">
      <c r="A346" s="366"/>
      <c r="B346" s="483" t="s">
        <v>3227</v>
      </c>
      <c r="C346" s="633"/>
      <c r="D346" s="366"/>
      <c r="E346" s="634"/>
      <c r="F346" s="366"/>
    </row>
    <row r="347" spans="1:6" ht="96.6">
      <c r="A347" s="366"/>
      <c r="B347" s="483" t="s">
        <v>5453</v>
      </c>
      <c r="C347" s="633"/>
      <c r="D347" s="366"/>
      <c r="E347" s="634"/>
      <c r="F347" s="366"/>
    </row>
    <row r="348" spans="1:6">
      <c r="A348" s="366"/>
      <c r="C348" s="635"/>
      <c r="D348" s="379"/>
      <c r="E348" s="631"/>
      <c r="F348" s="379"/>
    </row>
    <row r="349" spans="1:6" ht="55.2">
      <c r="A349" s="366" t="s">
        <v>1120</v>
      </c>
      <c r="B349" s="482" t="s">
        <v>2060</v>
      </c>
      <c r="C349" s="635"/>
      <c r="D349" s="379"/>
      <c r="E349" s="631"/>
      <c r="F349" s="379"/>
    </row>
    <row r="350" spans="1:6" ht="165.6">
      <c r="A350" s="366"/>
      <c r="B350" s="482" t="s">
        <v>3665</v>
      </c>
      <c r="C350" s="635"/>
      <c r="D350" s="379"/>
      <c r="E350" s="631"/>
      <c r="F350" s="379"/>
    </row>
    <row r="351" spans="1:6" ht="193.2">
      <c r="A351" s="366"/>
      <c r="B351" s="482" t="s">
        <v>3992</v>
      </c>
      <c r="C351" s="635"/>
      <c r="D351" s="379"/>
      <c r="E351" s="631"/>
      <c r="F351" s="379"/>
    </row>
    <row r="352" spans="1:6" ht="82.8">
      <c r="A352" s="366"/>
      <c r="B352" s="482" t="s">
        <v>965</v>
      </c>
      <c r="C352" s="635"/>
      <c r="D352" s="379"/>
      <c r="E352" s="631"/>
      <c r="F352" s="379"/>
    </row>
    <row r="353" spans="1:6" ht="55.2">
      <c r="A353" s="366" t="s">
        <v>48</v>
      </c>
      <c r="B353" s="446" t="s">
        <v>4019</v>
      </c>
      <c r="C353" s="630" t="s">
        <v>670</v>
      </c>
      <c r="D353" s="379">
        <v>27</v>
      </c>
      <c r="E353" s="631">
        <v>85</v>
      </c>
      <c r="F353" s="632">
        <f t="shared" ref="F353:F358" si="12">IF((D353*E353)=0,"",(D353*E353))</f>
        <v>2295</v>
      </c>
    </row>
    <row r="354" spans="1:6">
      <c r="A354" s="366" t="s">
        <v>49</v>
      </c>
      <c r="B354" s="429" t="s">
        <v>966</v>
      </c>
      <c r="C354" s="630" t="s">
        <v>670</v>
      </c>
      <c r="D354" s="379">
        <v>27</v>
      </c>
      <c r="E354" s="631">
        <v>80</v>
      </c>
      <c r="F354" s="632">
        <f t="shared" si="12"/>
        <v>2160</v>
      </c>
    </row>
    <row r="355" spans="1:6">
      <c r="A355" s="366" t="s">
        <v>51</v>
      </c>
      <c r="B355" s="429" t="s">
        <v>3991</v>
      </c>
      <c r="C355" s="630" t="s">
        <v>670</v>
      </c>
      <c r="D355" s="379">
        <v>27</v>
      </c>
      <c r="E355" s="631">
        <v>60</v>
      </c>
      <c r="F355" s="632">
        <f t="shared" si="12"/>
        <v>1620</v>
      </c>
    </row>
    <row r="356" spans="1:6">
      <c r="A356" s="366" t="s">
        <v>53</v>
      </c>
      <c r="B356" s="429" t="s">
        <v>967</v>
      </c>
      <c r="C356" s="630" t="s">
        <v>670</v>
      </c>
      <c r="D356" s="379">
        <v>27</v>
      </c>
      <c r="E356" s="631">
        <v>50</v>
      </c>
      <c r="F356" s="632">
        <f t="shared" si="12"/>
        <v>1350</v>
      </c>
    </row>
    <row r="357" spans="1:6">
      <c r="A357" s="366" t="s">
        <v>698</v>
      </c>
      <c r="B357" s="429" t="s">
        <v>968</v>
      </c>
      <c r="C357" s="630" t="s">
        <v>649</v>
      </c>
      <c r="D357" s="379">
        <v>9</v>
      </c>
      <c r="E357" s="631">
        <v>30</v>
      </c>
      <c r="F357" s="632">
        <f t="shared" si="12"/>
        <v>270</v>
      </c>
    </row>
    <row r="358" spans="1:6">
      <c r="A358" s="366" t="s">
        <v>699</v>
      </c>
      <c r="B358" s="429" t="s">
        <v>3164</v>
      </c>
      <c r="C358" s="630" t="s">
        <v>670</v>
      </c>
      <c r="D358" s="379">
        <v>9</v>
      </c>
      <c r="E358" s="631">
        <v>40</v>
      </c>
      <c r="F358" s="632">
        <f t="shared" si="12"/>
        <v>360</v>
      </c>
    </row>
    <row r="359" spans="1:6">
      <c r="A359" s="366"/>
      <c r="B359" s="482"/>
      <c r="C359" s="635"/>
      <c r="D359" s="379"/>
      <c r="E359" s="631"/>
      <c r="F359" s="379"/>
    </row>
    <row r="360" spans="1:6" ht="55.2">
      <c r="A360" s="366" t="s">
        <v>3672</v>
      </c>
      <c r="B360" s="482" t="s">
        <v>3666</v>
      </c>
      <c r="C360" s="635"/>
      <c r="D360" s="379"/>
      <c r="E360" s="631"/>
      <c r="F360" s="379"/>
    </row>
    <row r="361" spans="1:6" ht="358.8">
      <c r="A361" s="366"/>
      <c r="B361" s="482" t="s">
        <v>3165</v>
      </c>
      <c r="C361" s="635"/>
      <c r="D361" s="379"/>
      <c r="E361" s="631"/>
      <c r="F361" s="379"/>
    </row>
    <row r="362" spans="1:6" ht="110.4">
      <c r="A362" s="366"/>
      <c r="B362" s="482" t="s">
        <v>2055</v>
      </c>
      <c r="C362" s="635"/>
      <c r="D362" s="379"/>
      <c r="E362" s="631"/>
      <c r="F362" s="379"/>
    </row>
    <row r="363" spans="1:6" ht="27.6">
      <c r="A363" s="366" t="s">
        <v>48</v>
      </c>
      <c r="B363" s="482" t="s">
        <v>3162</v>
      </c>
      <c r="C363" s="630" t="s">
        <v>670</v>
      </c>
      <c r="D363" s="379">
        <v>2</v>
      </c>
      <c r="E363" s="631">
        <v>89</v>
      </c>
      <c r="F363" s="632">
        <f t="shared" ref="F363:F369" si="13">IF((D363*E363)=0,"",(D363*E363))</f>
        <v>178</v>
      </c>
    </row>
    <row r="364" spans="1:6" ht="27.6">
      <c r="A364" s="366" t="s">
        <v>49</v>
      </c>
      <c r="B364" s="482" t="s">
        <v>3163</v>
      </c>
      <c r="C364" s="630" t="s">
        <v>670</v>
      </c>
      <c r="D364" s="379">
        <v>7</v>
      </c>
      <c r="E364" s="631">
        <v>85</v>
      </c>
      <c r="F364" s="632">
        <f t="shared" si="13"/>
        <v>595</v>
      </c>
    </row>
    <row r="365" spans="1:6">
      <c r="A365" s="366" t="s">
        <v>51</v>
      </c>
      <c r="B365" s="429" t="s">
        <v>966</v>
      </c>
      <c r="C365" s="630" t="s">
        <v>670</v>
      </c>
      <c r="D365" s="379">
        <v>9</v>
      </c>
      <c r="E365" s="631">
        <v>80</v>
      </c>
      <c r="F365" s="632">
        <f t="shared" si="13"/>
        <v>720</v>
      </c>
    </row>
    <row r="366" spans="1:6">
      <c r="A366" s="366" t="s">
        <v>53</v>
      </c>
      <c r="B366" s="429" t="s">
        <v>2054</v>
      </c>
      <c r="C366" s="630" t="s">
        <v>670</v>
      </c>
      <c r="D366" s="379">
        <v>9</v>
      </c>
      <c r="E366" s="631">
        <v>60</v>
      </c>
      <c r="F366" s="632">
        <f t="shared" si="13"/>
        <v>540</v>
      </c>
    </row>
    <row r="367" spans="1:6">
      <c r="A367" s="366" t="s">
        <v>698</v>
      </c>
      <c r="B367" s="429" t="s">
        <v>967</v>
      </c>
      <c r="C367" s="630" t="s">
        <v>670</v>
      </c>
      <c r="D367" s="379">
        <v>9</v>
      </c>
      <c r="E367" s="631">
        <v>50</v>
      </c>
      <c r="F367" s="632">
        <f t="shared" si="13"/>
        <v>450</v>
      </c>
    </row>
    <row r="368" spans="1:6">
      <c r="A368" s="366" t="s">
        <v>699</v>
      </c>
      <c r="B368" s="429" t="s">
        <v>968</v>
      </c>
      <c r="C368" s="630" t="s">
        <v>649</v>
      </c>
      <c r="D368" s="379">
        <v>9</v>
      </c>
      <c r="E368" s="631">
        <v>30</v>
      </c>
      <c r="F368" s="632">
        <f t="shared" si="13"/>
        <v>270</v>
      </c>
    </row>
    <row r="369" spans="1:6">
      <c r="A369" s="366" t="s">
        <v>745</v>
      </c>
      <c r="B369" s="429" t="s">
        <v>3164</v>
      </c>
      <c r="C369" s="630" t="s">
        <v>670</v>
      </c>
      <c r="D369" s="379">
        <v>9</v>
      </c>
      <c r="E369" s="631">
        <v>40</v>
      </c>
      <c r="F369" s="632">
        <f t="shared" si="13"/>
        <v>360</v>
      </c>
    </row>
    <row r="370" spans="1:6">
      <c r="A370" s="366"/>
      <c r="B370" s="446"/>
      <c r="C370" s="630"/>
      <c r="D370" s="379"/>
      <c r="E370" s="631"/>
      <c r="F370" s="636"/>
    </row>
    <row r="371" spans="1:6" ht="55.2">
      <c r="A371" s="366" t="s">
        <v>3673</v>
      </c>
      <c r="B371" s="482" t="s">
        <v>2062</v>
      </c>
      <c r="C371" s="635"/>
      <c r="D371" s="379"/>
      <c r="E371" s="631"/>
      <c r="F371" s="379"/>
    </row>
    <row r="372" spans="1:6" ht="262.2">
      <c r="A372" s="366"/>
      <c r="B372" s="482" t="s">
        <v>3170</v>
      </c>
      <c r="C372" s="635"/>
      <c r="D372" s="379"/>
      <c r="E372" s="631"/>
      <c r="F372" s="379"/>
    </row>
    <row r="373" spans="1:6" ht="124.2">
      <c r="A373" s="366"/>
      <c r="B373" s="482" t="s">
        <v>3169</v>
      </c>
      <c r="C373" s="635"/>
      <c r="D373" s="379"/>
      <c r="E373" s="631"/>
      <c r="F373" s="379"/>
    </row>
    <row r="374" spans="1:6" ht="96.6">
      <c r="A374" s="366"/>
      <c r="B374" s="482" t="s">
        <v>970</v>
      </c>
      <c r="C374" s="635"/>
      <c r="D374" s="379"/>
      <c r="E374" s="631"/>
      <c r="F374" s="379"/>
    </row>
    <row r="375" spans="1:6" ht="27.6">
      <c r="A375" s="366" t="s">
        <v>48</v>
      </c>
      <c r="B375" s="482" t="s">
        <v>2056</v>
      </c>
      <c r="C375" s="630" t="s">
        <v>670</v>
      </c>
      <c r="D375" s="379">
        <v>1</v>
      </c>
      <c r="E375" s="631">
        <v>230</v>
      </c>
      <c r="F375" s="632">
        <f t="shared" ref="F375:F380" si="14">IF((D375*E375)=0,"",(D375*E375))</f>
        <v>230</v>
      </c>
    </row>
    <row r="376" spans="1:6">
      <c r="A376" s="366" t="s">
        <v>49</v>
      </c>
      <c r="B376" s="429" t="s">
        <v>971</v>
      </c>
      <c r="C376" s="630" t="s">
        <v>670</v>
      </c>
      <c r="D376" s="379">
        <v>1</v>
      </c>
      <c r="E376" s="631">
        <v>135</v>
      </c>
      <c r="F376" s="632">
        <f t="shared" si="14"/>
        <v>135</v>
      </c>
    </row>
    <row r="377" spans="1:6">
      <c r="A377" s="366" t="s">
        <v>51</v>
      </c>
      <c r="B377" s="429" t="s">
        <v>972</v>
      </c>
      <c r="C377" s="630" t="s">
        <v>670</v>
      </c>
      <c r="D377" s="379">
        <v>1</v>
      </c>
      <c r="E377" s="631">
        <v>189</v>
      </c>
      <c r="F377" s="632">
        <f t="shared" si="14"/>
        <v>189</v>
      </c>
    </row>
    <row r="378" spans="1:6">
      <c r="A378" s="366" t="s">
        <v>53</v>
      </c>
      <c r="B378" s="429" t="s">
        <v>967</v>
      </c>
      <c r="C378" s="630" t="s">
        <v>670</v>
      </c>
      <c r="D378" s="379">
        <v>1</v>
      </c>
      <c r="E378" s="631">
        <v>60</v>
      </c>
      <c r="F378" s="632">
        <f t="shared" si="14"/>
        <v>60</v>
      </c>
    </row>
    <row r="379" spans="1:6">
      <c r="A379" s="366" t="s">
        <v>698</v>
      </c>
      <c r="B379" s="429" t="s">
        <v>968</v>
      </c>
      <c r="C379" s="630" t="s">
        <v>649</v>
      </c>
      <c r="D379" s="379">
        <v>1</v>
      </c>
      <c r="E379" s="631">
        <v>38</v>
      </c>
      <c r="F379" s="632">
        <f t="shared" si="14"/>
        <v>38</v>
      </c>
    </row>
    <row r="380" spans="1:6">
      <c r="A380" s="366" t="s">
        <v>699</v>
      </c>
      <c r="B380" s="429" t="s">
        <v>3164</v>
      </c>
      <c r="C380" s="630" t="s">
        <v>670</v>
      </c>
      <c r="D380" s="379">
        <v>1</v>
      </c>
      <c r="E380" s="631">
        <v>45</v>
      </c>
      <c r="F380" s="632">
        <f t="shared" si="14"/>
        <v>45</v>
      </c>
    </row>
    <row r="381" spans="1:6">
      <c r="A381" s="366"/>
      <c r="C381" s="630"/>
      <c r="D381" s="379"/>
      <c r="E381" s="631"/>
      <c r="F381" s="636"/>
    </row>
    <row r="382" spans="1:6" ht="69">
      <c r="A382" s="366" t="s">
        <v>3674</v>
      </c>
      <c r="B382" s="482" t="s">
        <v>2061</v>
      </c>
      <c r="C382" s="635"/>
      <c r="D382" s="379"/>
      <c r="E382" s="631"/>
      <c r="F382" s="379"/>
    </row>
    <row r="383" spans="1:6" ht="234.6">
      <c r="A383" s="366"/>
      <c r="B383" s="482" t="s">
        <v>3171</v>
      </c>
      <c r="C383" s="635"/>
      <c r="D383" s="379"/>
      <c r="E383" s="631"/>
      <c r="F383" s="379"/>
    </row>
    <row r="384" spans="1:6" ht="124.2">
      <c r="A384" s="366"/>
      <c r="B384" s="482" t="s">
        <v>3169</v>
      </c>
      <c r="C384" s="635"/>
      <c r="D384" s="379"/>
      <c r="E384" s="631"/>
      <c r="F384" s="379"/>
    </row>
    <row r="385" spans="1:6" ht="110.4">
      <c r="A385" s="366"/>
      <c r="B385" s="482" t="s">
        <v>2059</v>
      </c>
      <c r="C385" s="635"/>
      <c r="D385" s="379"/>
      <c r="E385" s="631"/>
      <c r="F385" s="379"/>
    </row>
    <row r="386" spans="1:6" ht="27.6">
      <c r="A386" s="366" t="s">
        <v>48</v>
      </c>
      <c r="B386" s="482" t="s">
        <v>2057</v>
      </c>
      <c r="C386" s="630" t="s">
        <v>670</v>
      </c>
      <c r="D386" s="379">
        <v>1</v>
      </c>
      <c r="E386" s="631">
        <v>226</v>
      </c>
      <c r="F386" s="632">
        <f t="shared" ref="F386:F391" si="15">IF((D386*E386)=0,"",(D386*E386))</f>
        <v>226</v>
      </c>
    </row>
    <row r="387" spans="1:6">
      <c r="A387" s="366" t="s">
        <v>49</v>
      </c>
      <c r="B387" s="429" t="s">
        <v>966</v>
      </c>
      <c r="C387" s="630" t="s">
        <v>670</v>
      </c>
      <c r="D387" s="379">
        <v>1</v>
      </c>
      <c r="E387" s="631">
        <v>88</v>
      </c>
      <c r="F387" s="632">
        <f t="shared" si="15"/>
        <v>88</v>
      </c>
    </row>
    <row r="388" spans="1:6">
      <c r="A388" s="366" t="s">
        <v>53</v>
      </c>
      <c r="B388" s="429" t="s">
        <v>2058</v>
      </c>
      <c r="C388" s="630" t="s">
        <v>670</v>
      </c>
      <c r="D388" s="379">
        <v>1</v>
      </c>
      <c r="E388" s="631">
        <v>60</v>
      </c>
      <c r="F388" s="632">
        <f t="shared" si="15"/>
        <v>60</v>
      </c>
    </row>
    <row r="389" spans="1:6">
      <c r="A389" s="366" t="s">
        <v>698</v>
      </c>
      <c r="B389" s="429" t="s">
        <v>967</v>
      </c>
      <c r="C389" s="630" t="s">
        <v>670</v>
      </c>
      <c r="D389" s="379">
        <v>1</v>
      </c>
      <c r="E389" s="631">
        <v>50</v>
      </c>
      <c r="F389" s="632">
        <f t="shared" si="15"/>
        <v>50</v>
      </c>
    </row>
    <row r="390" spans="1:6">
      <c r="A390" s="366" t="s">
        <v>699</v>
      </c>
      <c r="B390" s="429" t="s">
        <v>968</v>
      </c>
      <c r="C390" s="630" t="s">
        <v>649</v>
      </c>
      <c r="D390" s="379">
        <v>1</v>
      </c>
      <c r="E390" s="631">
        <v>30</v>
      </c>
      <c r="F390" s="632">
        <f t="shared" si="15"/>
        <v>30</v>
      </c>
    </row>
    <row r="391" spans="1:6">
      <c r="A391" s="366" t="s">
        <v>745</v>
      </c>
      <c r="B391" s="429" t="s">
        <v>3164</v>
      </c>
      <c r="C391" s="630" t="s">
        <v>670</v>
      </c>
      <c r="D391" s="379">
        <v>1</v>
      </c>
      <c r="E391" s="631">
        <v>40</v>
      </c>
      <c r="F391" s="632">
        <f t="shared" si="15"/>
        <v>40</v>
      </c>
    </row>
    <row r="392" spans="1:6">
      <c r="A392" s="366"/>
      <c r="C392" s="630"/>
      <c r="D392" s="379"/>
      <c r="E392" s="631"/>
      <c r="F392" s="636"/>
    </row>
    <row r="393" spans="1:6" ht="41.4">
      <c r="A393" s="366" t="s">
        <v>3675</v>
      </c>
      <c r="B393" s="482" t="s">
        <v>2063</v>
      </c>
      <c r="C393" s="635"/>
      <c r="D393" s="379"/>
      <c r="E393" s="631"/>
      <c r="F393" s="379"/>
    </row>
    <row r="394" spans="1:6" ht="400.2">
      <c r="A394" s="366"/>
      <c r="B394" s="482" t="s">
        <v>3997</v>
      </c>
      <c r="C394" s="635"/>
      <c r="D394" s="379"/>
      <c r="E394" s="631"/>
      <c r="F394" s="379"/>
    </row>
    <row r="395" spans="1:6" ht="96.6">
      <c r="A395" s="366"/>
      <c r="B395" s="482" t="s">
        <v>3172</v>
      </c>
      <c r="C395" s="635"/>
      <c r="D395" s="379"/>
      <c r="E395" s="631"/>
      <c r="F395" s="379"/>
    </row>
    <row r="396" spans="1:6" ht="41.4">
      <c r="A396" s="366" t="s">
        <v>48</v>
      </c>
      <c r="B396" s="482" t="s">
        <v>4000</v>
      </c>
      <c r="C396" s="630" t="s">
        <v>670</v>
      </c>
      <c r="D396" s="379">
        <v>13</v>
      </c>
      <c r="E396" s="631">
        <v>155</v>
      </c>
      <c r="F396" s="632">
        <f>IF((D396*E396)=0,"",(D396*E396))</f>
        <v>2015</v>
      </c>
    </row>
    <row r="397" spans="1:6" ht="27.6">
      <c r="A397" s="366" t="s">
        <v>49</v>
      </c>
      <c r="B397" s="482" t="s">
        <v>3667</v>
      </c>
      <c r="C397" s="630" t="s">
        <v>670</v>
      </c>
      <c r="D397" s="379">
        <v>13</v>
      </c>
      <c r="E397" s="631">
        <v>68</v>
      </c>
      <c r="F397" s="632">
        <f>IF((D397*E397)=0,"",(D397*E397))</f>
        <v>884</v>
      </c>
    </row>
    <row r="398" spans="1:6">
      <c r="A398" s="366" t="s">
        <v>51</v>
      </c>
      <c r="B398" s="482" t="s">
        <v>3166</v>
      </c>
      <c r="C398" s="630" t="s">
        <v>670</v>
      </c>
      <c r="D398" s="379">
        <v>13</v>
      </c>
      <c r="E398" s="631">
        <v>25</v>
      </c>
      <c r="F398" s="632">
        <f>IF((D398*E398)=0,"",(D398*E398))</f>
        <v>325</v>
      </c>
    </row>
    <row r="399" spans="1:6">
      <c r="A399" s="366" t="s">
        <v>53</v>
      </c>
      <c r="B399" s="429" t="s">
        <v>969</v>
      </c>
      <c r="C399" s="630" t="s">
        <v>670</v>
      </c>
      <c r="D399" s="379">
        <v>13</v>
      </c>
      <c r="E399" s="631">
        <v>40</v>
      </c>
      <c r="F399" s="632">
        <f>IF((D399*E399)=0,"",(D399*E399))</f>
        <v>520</v>
      </c>
    </row>
    <row r="400" spans="1:6">
      <c r="A400" s="366" t="s">
        <v>698</v>
      </c>
      <c r="B400" s="482" t="s">
        <v>968</v>
      </c>
      <c r="C400" s="630" t="s">
        <v>649</v>
      </c>
      <c r="D400" s="379">
        <v>13</v>
      </c>
      <c r="E400" s="631">
        <v>30</v>
      </c>
      <c r="F400" s="632">
        <f>IF((D400*E400)=0,"",(D400*E400))</f>
        <v>390</v>
      </c>
    </row>
    <row r="401" spans="1:6">
      <c r="A401" s="366"/>
      <c r="C401" s="635"/>
      <c r="D401" s="379"/>
      <c r="E401" s="631"/>
      <c r="F401" s="379"/>
    </row>
    <row r="402" spans="1:6" ht="55.2">
      <c r="A402" s="366" t="s">
        <v>3676</v>
      </c>
      <c r="B402" s="482" t="s">
        <v>2064</v>
      </c>
      <c r="C402" s="635"/>
      <c r="D402" s="379"/>
      <c r="E402" s="631"/>
      <c r="F402" s="379"/>
    </row>
    <row r="403" spans="1:6" ht="331.2">
      <c r="A403" s="366"/>
      <c r="B403" s="482" t="s">
        <v>3668</v>
      </c>
      <c r="C403" s="635"/>
      <c r="D403" s="379"/>
      <c r="E403" s="631"/>
      <c r="F403" s="379"/>
    </row>
    <row r="404" spans="1:6" ht="151.80000000000001">
      <c r="A404" s="366"/>
      <c r="B404" s="482" t="s">
        <v>2065</v>
      </c>
      <c r="C404" s="635"/>
      <c r="D404" s="379"/>
      <c r="E404" s="631"/>
      <c r="F404" s="379"/>
    </row>
    <row r="405" spans="1:6" ht="124.2">
      <c r="A405" s="366"/>
      <c r="B405" s="482" t="s">
        <v>4020</v>
      </c>
      <c r="C405" s="635"/>
      <c r="D405" s="379"/>
      <c r="E405" s="631"/>
      <c r="F405" s="379"/>
    </row>
    <row r="406" spans="1:6" ht="27.6">
      <c r="A406" s="366" t="s">
        <v>48</v>
      </c>
      <c r="B406" s="482" t="s">
        <v>3999</v>
      </c>
      <c r="C406" s="630" t="s">
        <v>670</v>
      </c>
      <c r="D406" s="379">
        <v>1</v>
      </c>
      <c r="E406" s="631">
        <v>238</v>
      </c>
      <c r="F406" s="632">
        <f t="shared" ref="F406:F411" si="16">IF((D406*E406)=0,"",(D406*E406))</f>
        <v>238</v>
      </c>
    </row>
    <row r="407" spans="1:6" ht="27.6">
      <c r="A407" s="366" t="s">
        <v>49</v>
      </c>
      <c r="B407" s="482" t="s">
        <v>3998</v>
      </c>
      <c r="C407" s="630" t="s">
        <v>670</v>
      </c>
      <c r="D407" s="379">
        <v>1</v>
      </c>
      <c r="E407" s="631">
        <v>865</v>
      </c>
      <c r="F407" s="632">
        <f t="shared" si="16"/>
        <v>865</v>
      </c>
    </row>
    <row r="408" spans="1:6">
      <c r="A408" s="366" t="s">
        <v>51</v>
      </c>
      <c r="B408" s="482" t="s">
        <v>974</v>
      </c>
      <c r="C408" s="630" t="s">
        <v>649</v>
      </c>
      <c r="D408" s="379">
        <v>1</v>
      </c>
      <c r="E408" s="631">
        <v>165</v>
      </c>
      <c r="F408" s="632">
        <f t="shared" si="16"/>
        <v>165</v>
      </c>
    </row>
    <row r="409" spans="1:6">
      <c r="A409" s="366" t="s">
        <v>53</v>
      </c>
      <c r="B409" s="482" t="s">
        <v>975</v>
      </c>
      <c r="C409" s="630" t="s">
        <v>649</v>
      </c>
      <c r="D409" s="379">
        <v>1</v>
      </c>
      <c r="E409" s="631">
        <v>144</v>
      </c>
      <c r="F409" s="632">
        <f t="shared" si="16"/>
        <v>144</v>
      </c>
    </row>
    <row r="410" spans="1:6">
      <c r="A410" s="366" t="s">
        <v>698</v>
      </c>
      <c r="B410" s="482" t="s">
        <v>973</v>
      </c>
      <c r="C410" s="630" t="s">
        <v>649</v>
      </c>
      <c r="D410" s="379">
        <v>1</v>
      </c>
      <c r="E410" s="631">
        <v>25</v>
      </c>
      <c r="F410" s="632">
        <f t="shared" si="16"/>
        <v>25</v>
      </c>
    </row>
    <row r="411" spans="1:6">
      <c r="A411" s="366" t="s">
        <v>699</v>
      </c>
      <c r="B411" s="482" t="s">
        <v>976</v>
      </c>
      <c r="C411" s="630" t="s">
        <v>649</v>
      </c>
      <c r="D411" s="379">
        <v>1</v>
      </c>
      <c r="E411" s="631">
        <v>30</v>
      </c>
      <c r="F411" s="632">
        <f t="shared" si="16"/>
        <v>30</v>
      </c>
    </row>
    <row r="412" spans="1:6">
      <c r="A412" s="366"/>
      <c r="C412" s="635"/>
      <c r="D412" s="379"/>
      <c r="E412" s="631"/>
      <c r="F412" s="379"/>
    </row>
    <row r="413" spans="1:6" ht="41.4">
      <c r="A413" s="366" t="s">
        <v>3677</v>
      </c>
      <c r="B413" s="482" t="s">
        <v>4006</v>
      </c>
      <c r="C413" s="635"/>
      <c r="D413" s="379"/>
      <c r="E413" s="631"/>
      <c r="F413" s="379"/>
    </row>
    <row r="414" spans="1:6" ht="372.6">
      <c r="A414" s="366"/>
      <c r="B414" s="482" t="s">
        <v>4003</v>
      </c>
      <c r="C414" s="635"/>
      <c r="D414" s="379"/>
      <c r="E414" s="631"/>
      <c r="F414" s="379"/>
    </row>
    <row r="415" spans="1:6" ht="82.8">
      <c r="A415" s="366"/>
      <c r="B415" s="482" t="s">
        <v>3995</v>
      </c>
      <c r="C415" s="635"/>
      <c r="D415" s="379"/>
      <c r="E415" s="631"/>
      <c r="F415" s="379"/>
    </row>
    <row r="416" spans="1:6" ht="27.6">
      <c r="A416" s="366" t="s">
        <v>48</v>
      </c>
      <c r="B416" s="482" t="s">
        <v>3996</v>
      </c>
      <c r="C416" s="630" t="s">
        <v>670</v>
      </c>
      <c r="D416" s="379">
        <v>2</v>
      </c>
      <c r="E416" s="631">
        <v>110</v>
      </c>
      <c r="F416" s="632">
        <f>IF((D416*E416)=0,"",(D416*E416))</f>
        <v>220</v>
      </c>
    </row>
    <row r="417" spans="1:6" ht="27.6">
      <c r="A417" s="366" t="s">
        <v>49</v>
      </c>
      <c r="B417" s="482" t="s">
        <v>3667</v>
      </c>
      <c r="C417" s="630" t="s">
        <v>670</v>
      </c>
      <c r="D417" s="379">
        <v>2</v>
      </c>
      <c r="E417" s="631">
        <v>68</v>
      </c>
      <c r="F417" s="632">
        <f>IF((D417*E417)=0,"",(D417*E417))</f>
        <v>136</v>
      </c>
    </row>
    <row r="418" spans="1:6">
      <c r="A418" s="366" t="s">
        <v>51</v>
      </c>
      <c r="B418" s="482" t="s">
        <v>3166</v>
      </c>
      <c r="C418" s="630" t="s">
        <v>670</v>
      </c>
      <c r="D418" s="379">
        <v>2</v>
      </c>
      <c r="E418" s="631">
        <v>25</v>
      </c>
      <c r="F418" s="632">
        <f>IF((D418*E418)=0,"",(D418*E418))</f>
        <v>50</v>
      </c>
    </row>
    <row r="419" spans="1:6">
      <c r="A419" s="366" t="s">
        <v>53</v>
      </c>
      <c r="B419" s="429" t="s">
        <v>969</v>
      </c>
      <c r="C419" s="630" t="s">
        <v>670</v>
      </c>
      <c r="D419" s="379">
        <v>2</v>
      </c>
      <c r="E419" s="631">
        <v>40</v>
      </c>
      <c r="F419" s="632">
        <f>IF((D419*E419)=0,"",(D419*E419))</f>
        <v>80</v>
      </c>
    </row>
    <row r="420" spans="1:6">
      <c r="A420" s="366" t="s">
        <v>698</v>
      </c>
      <c r="B420" s="482" t="s">
        <v>968</v>
      </c>
      <c r="C420" s="630" t="s">
        <v>649</v>
      </c>
      <c r="D420" s="379">
        <v>2</v>
      </c>
      <c r="E420" s="631">
        <v>30</v>
      </c>
      <c r="F420" s="632">
        <f>IF((D420*E420)=0,"",(D420*E420))</f>
        <v>60</v>
      </c>
    </row>
    <row r="421" spans="1:6">
      <c r="A421" s="366"/>
      <c r="C421" s="635"/>
      <c r="D421" s="379"/>
      <c r="E421" s="631"/>
      <c r="F421" s="379"/>
    </row>
    <row r="422" spans="1:6" ht="41.4">
      <c r="A422" s="366" t="s">
        <v>3678</v>
      </c>
      <c r="B422" s="482" t="s">
        <v>4006</v>
      </c>
      <c r="C422" s="635"/>
      <c r="D422" s="379"/>
      <c r="E422" s="631"/>
      <c r="F422" s="379"/>
    </row>
    <row r="423" spans="1:6" ht="409.6">
      <c r="A423" s="366"/>
      <c r="B423" s="482" t="s">
        <v>4001</v>
      </c>
      <c r="C423" s="635"/>
      <c r="D423" s="379"/>
      <c r="E423" s="631"/>
      <c r="F423" s="379"/>
    </row>
    <row r="424" spans="1:6" ht="82.8">
      <c r="A424" s="366"/>
      <c r="B424" s="482" t="s">
        <v>3995</v>
      </c>
      <c r="C424" s="635"/>
      <c r="D424" s="379"/>
      <c r="E424" s="631"/>
      <c r="F424" s="379"/>
    </row>
    <row r="425" spans="1:6" ht="27.6">
      <c r="A425" s="366" t="s">
        <v>48</v>
      </c>
      <c r="B425" s="482" t="s">
        <v>4021</v>
      </c>
      <c r="C425" s="630" t="s">
        <v>670</v>
      </c>
      <c r="D425" s="379">
        <v>5</v>
      </c>
      <c r="E425" s="631">
        <v>138</v>
      </c>
      <c r="F425" s="632">
        <f>IF((D425*E425)=0,"",(D425*E425))</f>
        <v>690</v>
      </c>
    </row>
    <row r="426" spans="1:6" ht="27.6">
      <c r="A426" s="366" t="s">
        <v>49</v>
      </c>
      <c r="B426" s="482" t="s">
        <v>4002</v>
      </c>
      <c r="C426" s="630" t="s">
        <v>670</v>
      </c>
      <c r="D426" s="379">
        <v>5</v>
      </c>
      <c r="E426" s="631">
        <v>189</v>
      </c>
      <c r="F426" s="632">
        <f>IF((D426*E426)=0,"",(D426*E426))</f>
        <v>945</v>
      </c>
    </row>
    <row r="427" spans="1:6">
      <c r="A427" s="366" t="s">
        <v>51</v>
      </c>
      <c r="B427" s="482" t="s">
        <v>3166</v>
      </c>
      <c r="C427" s="630" t="s">
        <v>670</v>
      </c>
      <c r="D427" s="379">
        <v>5</v>
      </c>
      <c r="E427" s="631">
        <v>25</v>
      </c>
      <c r="F427" s="632">
        <f>IF((D427*E427)=0,"",(D427*E427))</f>
        <v>125</v>
      </c>
    </row>
    <row r="428" spans="1:6">
      <c r="A428" s="366" t="s">
        <v>53</v>
      </c>
      <c r="B428" s="429" t="s">
        <v>969</v>
      </c>
      <c r="C428" s="630" t="s">
        <v>670</v>
      </c>
      <c r="D428" s="379">
        <v>5</v>
      </c>
      <c r="E428" s="631">
        <v>40</v>
      </c>
      <c r="F428" s="632">
        <f>IF((D428*E428)=0,"",(D428*E428))</f>
        <v>200</v>
      </c>
    </row>
    <row r="429" spans="1:6">
      <c r="A429" s="366" t="s">
        <v>698</v>
      </c>
      <c r="B429" s="482" t="s">
        <v>968</v>
      </c>
      <c r="C429" s="630" t="s">
        <v>649</v>
      </c>
      <c r="D429" s="379">
        <v>5</v>
      </c>
      <c r="E429" s="631">
        <v>30</v>
      </c>
      <c r="F429" s="632">
        <f>IF((D429*E429)=0,"",(D429*E429))</f>
        <v>150</v>
      </c>
    </row>
    <row r="430" spans="1:6">
      <c r="A430" s="366"/>
      <c r="C430" s="635"/>
      <c r="D430" s="379"/>
      <c r="E430" s="631"/>
      <c r="F430" s="379"/>
    </row>
    <row r="431" spans="1:6" ht="41.4">
      <c r="A431" s="366" t="s">
        <v>3679</v>
      </c>
      <c r="B431" s="482" t="s">
        <v>2066</v>
      </c>
      <c r="C431" s="635"/>
      <c r="D431" s="379"/>
      <c r="E431" s="631"/>
      <c r="F431" s="379"/>
    </row>
    <row r="432" spans="1:6" ht="82.8">
      <c r="A432" s="366"/>
      <c r="B432" s="482" t="s">
        <v>2067</v>
      </c>
      <c r="C432" s="635"/>
      <c r="D432" s="379"/>
      <c r="E432" s="631"/>
      <c r="F432" s="379"/>
    </row>
    <row r="433" spans="1:6" ht="96.6">
      <c r="A433" s="366"/>
      <c r="B433" s="482" t="s">
        <v>977</v>
      </c>
      <c r="C433" s="635"/>
      <c r="D433" s="379"/>
      <c r="E433" s="631"/>
      <c r="F433" s="379"/>
    </row>
    <row r="434" spans="1:6" ht="27.6">
      <c r="A434" s="366" t="s">
        <v>48</v>
      </c>
      <c r="B434" s="482" t="s">
        <v>2068</v>
      </c>
      <c r="C434" s="630" t="s">
        <v>670</v>
      </c>
      <c r="D434" s="379">
        <v>3</v>
      </c>
      <c r="E434" s="631">
        <v>380</v>
      </c>
      <c r="F434" s="632">
        <f>IF((D434*E434)=0,"",(D434*E434))</f>
        <v>1140</v>
      </c>
    </row>
    <row r="435" spans="1:6">
      <c r="A435" s="366"/>
      <c r="C435" s="635"/>
      <c r="D435" s="379"/>
      <c r="E435" s="631"/>
      <c r="F435" s="379"/>
    </row>
    <row r="436" spans="1:6" ht="41.4">
      <c r="A436" s="366" t="s">
        <v>3680</v>
      </c>
      <c r="B436" s="482" t="s">
        <v>2070</v>
      </c>
      <c r="C436" s="635"/>
      <c r="D436" s="379"/>
      <c r="E436" s="631"/>
      <c r="F436" s="379"/>
    </row>
    <row r="437" spans="1:6" ht="193.2">
      <c r="A437" s="366"/>
      <c r="B437" s="482" t="s">
        <v>3669</v>
      </c>
      <c r="C437" s="635"/>
      <c r="D437" s="379"/>
      <c r="E437" s="631"/>
      <c r="F437" s="379"/>
    </row>
    <row r="438" spans="1:6" ht="96.6">
      <c r="A438" s="366"/>
      <c r="B438" s="482" t="s">
        <v>978</v>
      </c>
      <c r="C438" s="635"/>
      <c r="D438" s="379"/>
      <c r="E438" s="631"/>
      <c r="F438" s="379"/>
    </row>
    <row r="439" spans="1:6">
      <c r="A439" s="366" t="s">
        <v>48</v>
      </c>
      <c r="B439" s="482" t="s">
        <v>3670</v>
      </c>
      <c r="C439" s="630" t="s">
        <v>670</v>
      </c>
      <c r="D439" s="379">
        <v>9</v>
      </c>
      <c r="E439" s="631">
        <v>256</v>
      </c>
      <c r="F439" s="632">
        <f>IF((D439*E439)=0,"",(D439*E439))</f>
        <v>2304</v>
      </c>
    </row>
    <row r="440" spans="1:6">
      <c r="A440" s="366" t="s">
        <v>49</v>
      </c>
      <c r="B440" s="482" t="s">
        <v>980</v>
      </c>
      <c r="C440" s="630" t="s">
        <v>670</v>
      </c>
      <c r="D440" s="379">
        <v>9</v>
      </c>
      <c r="E440" s="631">
        <v>165</v>
      </c>
      <c r="F440" s="632">
        <f>IF((D440*E440)=0,"",(D440*E440))</f>
        <v>1485</v>
      </c>
    </row>
    <row r="441" spans="1:6">
      <c r="A441" s="366" t="s">
        <v>51</v>
      </c>
      <c r="B441" s="482" t="s">
        <v>982</v>
      </c>
      <c r="C441" s="630" t="s">
        <v>670</v>
      </c>
      <c r="D441" s="379">
        <v>9</v>
      </c>
      <c r="E441" s="631">
        <v>30</v>
      </c>
      <c r="F441" s="632">
        <f>IF((D441*E441)=0,"",(D441*E441))</f>
        <v>270</v>
      </c>
    </row>
    <row r="442" spans="1:6">
      <c r="A442" s="366"/>
      <c r="C442" s="635"/>
      <c r="D442" s="379"/>
      <c r="E442" s="631"/>
      <c r="F442" s="379"/>
    </row>
    <row r="443" spans="1:6" ht="41.4">
      <c r="A443" s="366" t="s">
        <v>4004</v>
      </c>
      <c r="B443" s="482" t="s">
        <v>2069</v>
      </c>
      <c r="C443" s="635"/>
      <c r="D443" s="379"/>
      <c r="E443" s="631"/>
      <c r="F443" s="379"/>
    </row>
    <row r="444" spans="1:6" ht="220.8">
      <c r="A444" s="366"/>
      <c r="B444" s="482" t="s">
        <v>3671</v>
      </c>
      <c r="C444" s="635"/>
      <c r="D444" s="379"/>
      <c r="E444" s="631"/>
      <c r="F444" s="379"/>
    </row>
    <row r="445" spans="1:6" ht="96.6">
      <c r="A445" s="366"/>
      <c r="B445" s="482" t="s">
        <v>978</v>
      </c>
      <c r="C445" s="635"/>
      <c r="D445" s="379"/>
      <c r="E445" s="631"/>
      <c r="F445" s="379"/>
    </row>
    <row r="446" spans="1:6">
      <c r="A446" s="366" t="s">
        <v>48</v>
      </c>
      <c r="B446" s="482" t="s">
        <v>979</v>
      </c>
      <c r="C446" s="630" t="s">
        <v>670</v>
      </c>
      <c r="D446" s="379">
        <v>3</v>
      </c>
      <c r="E446" s="631">
        <v>268</v>
      </c>
      <c r="F446" s="632">
        <f>IF((D446*E446)=0,"",(D446*E446))</f>
        <v>804</v>
      </c>
    </row>
    <row r="447" spans="1:6">
      <c r="A447" s="366" t="s">
        <v>49</v>
      </c>
      <c r="B447" s="482" t="s">
        <v>980</v>
      </c>
      <c r="C447" s="630" t="s">
        <v>670</v>
      </c>
      <c r="D447" s="379">
        <v>3</v>
      </c>
      <c r="E447" s="631">
        <v>165</v>
      </c>
      <c r="F447" s="632">
        <f>IF((D447*E447)=0,"",(D447*E447))</f>
        <v>495</v>
      </c>
    </row>
    <row r="448" spans="1:6">
      <c r="A448" s="366" t="s">
        <v>51</v>
      </c>
      <c r="B448" s="482" t="s">
        <v>981</v>
      </c>
      <c r="C448" s="630" t="s">
        <v>670</v>
      </c>
      <c r="D448" s="379">
        <v>3</v>
      </c>
      <c r="E448" s="631">
        <v>45</v>
      </c>
      <c r="F448" s="632">
        <f>IF((D448*E448)=0,"",(D448*E448))</f>
        <v>135</v>
      </c>
    </row>
    <row r="449" spans="1:6">
      <c r="A449" s="366" t="s">
        <v>53</v>
      </c>
      <c r="B449" s="482" t="s">
        <v>982</v>
      </c>
      <c r="C449" s="630" t="s">
        <v>670</v>
      </c>
      <c r="D449" s="379">
        <v>3</v>
      </c>
      <c r="E449" s="631">
        <v>30</v>
      </c>
      <c r="F449" s="632">
        <f>IF((D449*E449)=0,"",(D449*E449))</f>
        <v>90</v>
      </c>
    </row>
    <row r="450" spans="1:6">
      <c r="A450" s="366"/>
      <c r="C450" s="635"/>
      <c r="D450" s="379"/>
      <c r="E450" s="631"/>
      <c r="F450" s="379"/>
    </row>
    <row r="451" spans="1:6" ht="41.4">
      <c r="A451" s="366" t="s">
        <v>4005</v>
      </c>
      <c r="B451" s="736" t="s">
        <v>3993</v>
      </c>
      <c r="C451" s="635"/>
      <c r="D451" s="379"/>
      <c r="E451" s="631"/>
      <c r="F451" s="379"/>
    </row>
    <row r="452" spans="1:6" ht="55.2">
      <c r="A452" s="366"/>
      <c r="B452" s="482" t="s">
        <v>3994</v>
      </c>
      <c r="C452" s="635"/>
      <c r="D452" s="379"/>
      <c r="E452" s="631"/>
      <c r="F452" s="379"/>
    </row>
    <row r="453" spans="1:6" ht="55.2">
      <c r="A453" s="366"/>
      <c r="B453" s="482" t="s">
        <v>2072</v>
      </c>
      <c r="C453" s="635"/>
      <c r="D453" s="379"/>
      <c r="E453" s="631"/>
      <c r="F453" s="379"/>
    </row>
    <row r="454" spans="1:6">
      <c r="A454" s="366" t="s">
        <v>48</v>
      </c>
      <c r="B454" s="482" t="s">
        <v>983</v>
      </c>
      <c r="C454" s="630" t="s">
        <v>670</v>
      </c>
      <c r="D454" s="379">
        <v>3</v>
      </c>
      <c r="E454" s="631">
        <v>180</v>
      </c>
      <c r="F454" s="632">
        <f>IF((D454*E454)=0,"",(D454*E454))</f>
        <v>540</v>
      </c>
    </row>
    <row r="455" spans="1:6">
      <c r="A455" s="366"/>
      <c r="C455" s="635"/>
      <c r="D455" s="379"/>
      <c r="E455" s="631"/>
      <c r="F455" s="379"/>
    </row>
    <row r="456" spans="1:6">
      <c r="A456" s="441"/>
      <c r="B456" s="449"/>
      <c r="C456" s="637"/>
      <c r="D456" s="638"/>
      <c r="E456" s="639"/>
      <c r="F456" s="638"/>
    </row>
    <row r="457" spans="1:6">
      <c r="A457" s="366" t="s">
        <v>695</v>
      </c>
      <c r="B457" s="440" t="s">
        <v>984</v>
      </c>
      <c r="C457" s="635"/>
      <c r="D457" s="379"/>
      <c r="E457" s="631"/>
      <c r="F457" s="740">
        <f>SUM(F349:F456)</f>
        <v>27879</v>
      </c>
    </row>
    <row r="458" spans="1:6">
      <c r="A458" s="366"/>
      <c r="B458" s="440"/>
      <c r="C458" s="635"/>
      <c r="D458" s="379"/>
      <c r="E458" s="631"/>
      <c r="F458" s="379"/>
    </row>
    <row r="459" spans="1:6">
      <c r="A459" s="366"/>
      <c r="B459" s="440"/>
      <c r="C459" s="635"/>
      <c r="D459" s="379"/>
      <c r="E459" s="631"/>
      <c r="F459" s="379"/>
    </row>
    <row r="461" spans="1:6" ht="15" customHeight="1" thickBot="1">
      <c r="A461" s="463" t="s">
        <v>10</v>
      </c>
      <c r="B461" s="464" t="s">
        <v>889</v>
      </c>
      <c r="C461" s="465"/>
      <c r="D461" s="466"/>
      <c r="E461" s="467"/>
      <c r="F461" s="466"/>
    </row>
    <row r="462" spans="1:6" ht="15" customHeight="1">
      <c r="B462" s="440"/>
      <c r="F462" s="459"/>
    </row>
    <row r="463" spans="1:6" ht="15" customHeight="1">
      <c r="A463" s="379" t="s">
        <v>8</v>
      </c>
      <c r="B463" s="429" t="s">
        <v>104</v>
      </c>
      <c r="F463" s="737">
        <f>F14</f>
        <v>1230</v>
      </c>
    </row>
    <row r="464" spans="1:6" ht="15" customHeight="1">
      <c r="A464" s="379" t="s">
        <v>9</v>
      </c>
      <c r="B464" s="429" t="s">
        <v>120</v>
      </c>
      <c r="F464" s="738">
        <f>F48</f>
        <v>51394</v>
      </c>
    </row>
    <row r="465" spans="1:7" ht="15" customHeight="1">
      <c r="A465" s="379" t="s">
        <v>10</v>
      </c>
      <c r="B465" s="429" t="s">
        <v>171</v>
      </c>
      <c r="F465" s="738">
        <f>F57</f>
        <v>619</v>
      </c>
    </row>
    <row r="466" spans="1:7" ht="15" customHeight="1">
      <c r="A466" s="379" t="s">
        <v>11</v>
      </c>
      <c r="B466" s="429" t="s">
        <v>224</v>
      </c>
      <c r="F466" s="738">
        <f>F101</f>
        <v>46400</v>
      </c>
    </row>
    <row r="467" spans="1:7" ht="15" customHeight="1">
      <c r="A467" s="379" t="s">
        <v>12</v>
      </c>
      <c r="B467" s="429" t="s">
        <v>3612</v>
      </c>
      <c r="F467" s="738">
        <f>F135</f>
        <v>27960</v>
      </c>
    </row>
    <row r="468" spans="1:7" ht="15" customHeight="1">
      <c r="A468" s="379" t="s">
        <v>13</v>
      </c>
      <c r="B468" s="429" t="s">
        <v>3614</v>
      </c>
      <c r="F468" s="738">
        <f>F163</f>
        <v>13322</v>
      </c>
    </row>
    <row r="469" spans="1:7" ht="15" customHeight="1">
      <c r="A469" s="379" t="s">
        <v>14</v>
      </c>
      <c r="B469" s="429" t="s">
        <v>934</v>
      </c>
      <c r="F469" s="738">
        <f>F203</f>
        <v>5507</v>
      </c>
    </row>
    <row r="470" spans="1:7" ht="15" customHeight="1">
      <c r="A470" s="379" t="s">
        <v>682</v>
      </c>
      <c r="B470" s="429" t="s">
        <v>3664</v>
      </c>
      <c r="F470" s="738">
        <f>F254</f>
        <v>13154</v>
      </c>
    </row>
    <row r="471" spans="1:7" ht="15" customHeight="1">
      <c r="A471" s="379" t="s">
        <v>686</v>
      </c>
      <c r="B471" s="429" t="s">
        <v>985</v>
      </c>
      <c r="F471" s="738">
        <f>F289</f>
        <v>13948</v>
      </c>
    </row>
    <row r="472" spans="1:7" ht="15" customHeight="1">
      <c r="A472" s="379" t="s">
        <v>702</v>
      </c>
      <c r="B472" s="429" t="s">
        <v>950</v>
      </c>
      <c r="F472" s="738">
        <f>F323</f>
        <v>42326.6</v>
      </c>
    </row>
    <row r="473" spans="1:7" ht="15" customHeight="1">
      <c r="A473" s="379" t="s">
        <v>704</v>
      </c>
      <c r="B473" s="429" t="s">
        <v>957</v>
      </c>
      <c r="F473" s="738">
        <f>F341</f>
        <v>11473</v>
      </c>
    </row>
    <row r="474" spans="1:7" ht="15" customHeight="1">
      <c r="A474" s="379" t="s">
        <v>695</v>
      </c>
      <c r="B474" s="429" t="s">
        <v>964</v>
      </c>
      <c r="F474" s="738">
        <f>F457</f>
        <v>27879</v>
      </c>
    </row>
    <row r="475" spans="1:7" ht="15" customHeight="1" thickBot="1">
      <c r="A475" s="468"/>
      <c r="B475" s="469"/>
      <c r="C475" s="470"/>
      <c r="D475" s="471"/>
      <c r="E475" s="472"/>
      <c r="F475" s="471"/>
    </row>
    <row r="476" spans="1:7" ht="15" customHeight="1"/>
    <row r="477" spans="1:7" ht="15" customHeight="1">
      <c r="A477" s="247" t="s">
        <v>10</v>
      </c>
      <c r="B477" s="473" t="s">
        <v>2130</v>
      </c>
      <c r="C477" s="474"/>
      <c r="D477" s="475"/>
      <c r="E477" s="476"/>
      <c r="F477" s="743">
        <f>SUM(F463:F474)</f>
        <v>255212.6</v>
      </c>
      <c r="G477" s="739"/>
    </row>
  </sheetData>
  <mergeCells count="2">
    <mergeCell ref="A1:F1"/>
    <mergeCell ref="A289:A290"/>
  </mergeCells>
  <pageMargins left="0.78740157480314965" right="0.39370078740157483" top="0.39370078740157483" bottom="1.1811023622047245" header="0.39370078740157483" footer="0.59055118110236227"/>
  <pageSetup paperSize="9" scale="98" fitToHeight="0" orientation="portrait" r:id="rId1"/>
  <headerFooter alignWithMargins="0">
    <oddFooter>&amp;L&amp;"-,Uobičajeno"&amp;9&amp;A&amp;C&amp;"-,Uobičajeno"&amp;9DJEČJI VRTIĆ LEKENIK&amp;R&amp;"-,Uobičajeno"str.: &amp;"-,Podebljano"&amp;P/&amp;N</oddFooter>
  </headerFooter>
  <rowBreaks count="21" manualBreakCount="21">
    <brk id="50" max="5" man="1"/>
    <brk id="59" max="5" man="1"/>
    <brk id="137" max="5" man="1"/>
    <brk id="169" max="5" man="1"/>
    <brk id="237" max="5" man="1"/>
    <brk id="244" max="5" man="1"/>
    <brk id="271" max="5" man="1"/>
    <brk id="292" max="5" man="1"/>
    <brk id="300" max="5" man="1"/>
    <brk id="343" max="5" man="1"/>
    <brk id="351" max="5" man="1"/>
    <brk id="359" max="5" man="1"/>
    <brk id="370" max="5" man="1"/>
    <brk id="381" max="5" man="1"/>
    <brk id="392" max="5" man="1"/>
    <brk id="401" max="5" man="1"/>
    <brk id="404" max="5" man="1"/>
    <brk id="412" max="5" man="1"/>
    <brk id="421" max="5" man="1"/>
    <brk id="430" max="5" man="1"/>
    <brk id="442" max="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23"/>
  <sheetViews>
    <sheetView view="pageBreakPreview" topLeftCell="A1001" zoomScale="85" zoomScaleNormal="100" zoomScaleSheetLayoutView="85" workbookViewId="0">
      <selection activeCell="E928" sqref="E928:E1003"/>
    </sheetView>
  </sheetViews>
  <sheetFormatPr defaultRowHeight="13.8"/>
  <cols>
    <col min="1" max="1" width="6.6640625" style="777" customWidth="1"/>
    <col min="2" max="2" width="40.6640625" style="835" customWidth="1"/>
    <col min="3" max="3" width="5.6640625" style="779" customWidth="1"/>
    <col min="4" max="4" width="10.6640625" style="789" customWidth="1"/>
    <col min="5" max="5" width="12.6640625" style="790" customWidth="1"/>
    <col min="6" max="6" width="16.6640625" style="791" customWidth="1"/>
    <col min="7" max="256" width="9.109375" style="118"/>
    <col min="257" max="257" width="6.44140625" style="118" bestFit="1" customWidth="1"/>
    <col min="258" max="258" width="49.5546875" style="118" customWidth="1"/>
    <col min="259" max="259" width="7.6640625" style="118" customWidth="1"/>
    <col min="260" max="260" width="9.44140625" style="118" customWidth="1"/>
    <col min="261" max="261" width="11.109375" style="118" customWidth="1"/>
    <col min="262" max="262" width="14.33203125" style="118" customWidth="1"/>
    <col min="263" max="512" width="9.109375" style="118"/>
    <col min="513" max="513" width="6.44140625" style="118" bestFit="1" customWidth="1"/>
    <col min="514" max="514" width="49.5546875" style="118" customWidth="1"/>
    <col min="515" max="515" width="7.6640625" style="118" customWidth="1"/>
    <col min="516" max="516" width="9.44140625" style="118" customWidth="1"/>
    <col min="517" max="517" width="11.109375" style="118" customWidth="1"/>
    <col min="518" max="518" width="14.33203125" style="118" customWidth="1"/>
    <col min="519" max="768" width="9.109375" style="118"/>
    <col min="769" max="769" width="6.44140625" style="118" bestFit="1" customWidth="1"/>
    <col min="770" max="770" width="49.5546875" style="118" customWidth="1"/>
    <col min="771" max="771" width="7.6640625" style="118" customWidth="1"/>
    <col min="772" max="772" width="9.44140625" style="118" customWidth="1"/>
    <col min="773" max="773" width="11.109375" style="118" customWidth="1"/>
    <col min="774" max="774" width="14.33203125" style="118" customWidth="1"/>
    <col min="775" max="1024" width="9.109375" style="118"/>
    <col min="1025" max="1025" width="6.44140625" style="118" bestFit="1" customWidth="1"/>
    <col min="1026" max="1026" width="49.5546875" style="118" customWidth="1"/>
    <col min="1027" max="1027" width="7.6640625" style="118" customWidth="1"/>
    <col min="1028" max="1028" width="9.44140625" style="118" customWidth="1"/>
    <col min="1029" max="1029" width="11.109375" style="118" customWidth="1"/>
    <col min="1030" max="1030" width="14.33203125" style="118" customWidth="1"/>
    <col min="1031" max="1280" width="9.109375" style="118"/>
    <col min="1281" max="1281" width="6.44140625" style="118" bestFit="1" customWidth="1"/>
    <col min="1282" max="1282" width="49.5546875" style="118" customWidth="1"/>
    <col min="1283" max="1283" width="7.6640625" style="118" customWidth="1"/>
    <col min="1284" max="1284" width="9.44140625" style="118" customWidth="1"/>
    <col min="1285" max="1285" width="11.109375" style="118" customWidth="1"/>
    <col min="1286" max="1286" width="14.33203125" style="118" customWidth="1"/>
    <col min="1287" max="1536" width="9.109375" style="118"/>
    <col min="1537" max="1537" width="6.44140625" style="118" bestFit="1" customWidth="1"/>
    <col min="1538" max="1538" width="49.5546875" style="118" customWidth="1"/>
    <col min="1539" max="1539" width="7.6640625" style="118" customWidth="1"/>
    <col min="1540" max="1540" width="9.44140625" style="118" customWidth="1"/>
    <col min="1541" max="1541" width="11.109375" style="118" customWidth="1"/>
    <col min="1542" max="1542" width="14.33203125" style="118" customWidth="1"/>
    <col min="1543" max="1792" width="9.109375" style="118"/>
    <col min="1793" max="1793" width="6.44140625" style="118" bestFit="1" customWidth="1"/>
    <col min="1794" max="1794" width="49.5546875" style="118" customWidth="1"/>
    <col min="1795" max="1795" width="7.6640625" style="118" customWidth="1"/>
    <col min="1796" max="1796" width="9.44140625" style="118" customWidth="1"/>
    <col min="1797" max="1797" width="11.109375" style="118" customWidth="1"/>
    <col min="1798" max="1798" width="14.33203125" style="118" customWidth="1"/>
    <col min="1799" max="2048" width="9.109375" style="118"/>
    <col min="2049" max="2049" width="6.44140625" style="118" bestFit="1" customWidth="1"/>
    <col min="2050" max="2050" width="49.5546875" style="118" customWidth="1"/>
    <col min="2051" max="2051" width="7.6640625" style="118" customWidth="1"/>
    <col min="2052" max="2052" width="9.44140625" style="118" customWidth="1"/>
    <col min="2053" max="2053" width="11.109375" style="118" customWidth="1"/>
    <col min="2054" max="2054" width="14.33203125" style="118" customWidth="1"/>
    <col min="2055" max="2304" width="9.109375" style="118"/>
    <col min="2305" max="2305" width="6.44140625" style="118" bestFit="1" customWidth="1"/>
    <col min="2306" max="2306" width="49.5546875" style="118" customWidth="1"/>
    <col min="2307" max="2307" width="7.6640625" style="118" customWidth="1"/>
    <col min="2308" max="2308" width="9.44140625" style="118" customWidth="1"/>
    <col min="2309" max="2309" width="11.109375" style="118" customWidth="1"/>
    <col min="2310" max="2310" width="14.33203125" style="118" customWidth="1"/>
    <col min="2311" max="2560" width="9.109375" style="118"/>
    <col min="2561" max="2561" width="6.44140625" style="118" bestFit="1" customWidth="1"/>
    <col min="2562" max="2562" width="49.5546875" style="118" customWidth="1"/>
    <col min="2563" max="2563" width="7.6640625" style="118" customWidth="1"/>
    <col min="2564" max="2564" width="9.44140625" style="118" customWidth="1"/>
    <col min="2565" max="2565" width="11.109375" style="118" customWidth="1"/>
    <col min="2566" max="2566" width="14.33203125" style="118" customWidth="1"/>
    <col min="2567" max="2816" width="9.109375" style="118"/>
    <col min="2817" max="2817" width="6.44140625" style="118" bestFit="1" customWidth="1"/>
    <col min="2818" max="2818" width="49.5546875" style="118" customWidth="1"/>
    <col min="2819" max="2819" width="7.6640625" style="118" customWidth="1"/>
    <col min="2820" max="2820" width="9.44140625" style="118" customWidth="1"/>
    <col min="2821" max="2821" width="11.109375" style="118" customWidth="1"/>
    <col min="2822" max="2822" width="14.33203125" style="118" customWidth="1"/>
    <col min="2823" max="3072" width="9.109375" style="118"/>
    <col min="3073" max="3073" width="6.44140625" style="118" bestFit="1" customWidth="1"/>
    <col min="3074" max="3074" width="49.5546875" style="118" customWidth="1"/>
    <col min="3075" max="3075" width="7.6640625" style="118" customWidth="1"/>
    <col min="3076" max="3076" width="9.44140625" style="118" customWidth="1"/>
    <col min="3077" max="3077" width="11.109375" style="118" customWidth="1"/>
    <col min="3078" max="3078" width="14.33203125" style="118" customWidth="1"/>
    <col min="3079" max="3328" width="9.109375" style="118"/>
    <col min="3329" max="3329" width="6.44140625" style="118" bestFit="1" customWidth="1"/>
    <col min="3330" max="3330" width="49.5546875" style="118" customWidth="1"/>
    <col min="3331" max="3331" width="7.6640625" style="118" customWidth="1"/>
    <col min="3332" max="3332" width="9.44140625" style="118" customWidth="1"/>
    <col min="3333" max="3333" width="11.109375" style="118" customWidth="1"/>
    <col min="3334" max="3334" width="14.33203125" style="118" customWidth="1"/>
    <col min="3335" max="3584" width="9.109375" style="118"/>
    <col min="3585" max="3585" width="6.44140625" style="118" bestFit="1" customWidth="1"/>
    <col min="3586" max="3586" width="49.5546875" style="118" customWidth="1"/>
    <col min="3587" max="3587" width="7.6640625" style="118" customWidth="1"/>
    <col min="3588" max="3588" width="9.44140625" style="118" customWidth="1"/>
    <col min="3589" max="3589" width="11.109375" style="118" customWidth="1"/>
    <col min="3590" max="3590" width="14.33203125" style="118" customWidth="1"/>
    <col min="3591" max="3840" width="9.109375" style="118"/>
    <col min="3841" max="3841" width="6.44140625" style="118" bestFit="1" customWidth="1"/>
    <col min="3842" max="3842" width="49.5546875" style="118" customWidth="1"/>
    <col min="3843" max="3843" width="7.6640625" style="118" customWidth="1"/>
    <col min="3844" max="3844" width="9.44140625" style="118" customWidth="1"/>
    <col min="3845" max="3845" width="11.109375" style="118" customWidth="1"/>
    <col min="3846" max="3846" width="14.33203125" style="118" customWidth="1"/>
    <col min="3847" max="4096" width="9.109375" style="118"/>
    <col min="4097" max="4097" width="6.44140625" style="118" bestFit="1" customWidth="1"/>
    <col min="4098" max="4098" width="49.5546875" style="118" customWidth="1"/>
    <col min="4099" max="4099" width="7.6640625" style="118" customWidth="1"/>
    <col min="4100" max="4100" width="9.44140625" style="118" customWidth="1"/>
    <col min="4101" max="4101" width="11.109375" style="118" customWidth="1"/>
    <col min="4102" max="4102" width="14.33203125" style="118" customWidth="1"/>
    <col min="4103" max="4352" width="9.109375" style="118"/>
    <col min="4353" max="4353" width="6.44140625" style="118" bestFit="1" customWidth="1"/>
    <col min="4354" max="4354" width="49.5546875" style="118" customWidth="1"/>
    <col min="4355" max="4355" width="7.6640625" style="118" customWidth="1"/>
    <col min="4356" max="4356" width="9.44140625" style="118" customWidth="1"/>
    <col min="4357" max="4357" width="11.109375" style="118" customWidth="1"/>
    <col min="4358" max="4358" width="14.33203125" style="118" customWidth="1"/>
    <col min="4359" max="4608" width="9.109375" style="118"/>
    <col min="4609" max="4609" width="6.44140625" style="118" bestFit="1" customWidth="1"/>
    <col min="4610" max="4610" width="49.5546875" style="118" customWidth="1"/>
    <col min="4611" max="4611" width="7.6640625" style="118" customWidth="1"/>
    <col min="4612" max="4612" width="9.44140625" style="118" customWidth="1"/>
    <col min="4613" max="4613" width="11.109375" style="118" customWidth="1"/>
    <col min="4614" max="4614" width="14.33203125" style="118" customWidth="1"/>
    <col min="4615" max="4864" width="9.109375" style="118"/>
    <col min="4865" max="4865" width="6.44140625" style="118" bestFit="1" customWidth="1"/>
    <col min="4866" max="4866" width="49.5546875" style="118" customWidth="1"/>
    <col min="4867" max="4867" width="7.6640625" style="118" customWidth="1"/>
    <col min="4868" max="4868" width="9.44140625" style="118" customWidth="1"/>
    <col min="4869" max="4869" width="11.109375" style="118" customWidth="1"/>
    <col min="4870" max="4870" width="14.33203125" style="118" customWidth="1"/>
    <col min="4871" max="5120" width="9.109375" style="118"/>
    <col min="5121" max="5121" width="6.44140625" style="118" bestFit="1" customWidth="1"/>
    <col min="5122" max="5122" width="49.5546875" style="118" customWidth="1"/>
    <col min="5123" max="5123" width="7.6640625" style="118" customWidth="1"/>
    <col min="5124" max="5124" width="9.44140625" style="118" customWidth="1"/>
    <col min="5125" max="5125" width="11.109375" style="118" customWidth="1"/>
    <col min="5126" max="5126" width="14.33203125" style="118" customWidth="1"/>
    <col min="5127" max="5376" width="9.109375" style="118"/>
    <col min="5377" max="5377" width="6.44140625" style="118" bestFit="1" customWidth="1"/>
    <col min="5378" max="5378" width="49.5546875" style="118" customWidth="1"/>
    <col min="5379" max="5379" width="7.6640625" style="118" customWidth="1"/>
    <col min="5380" max="5380" width="9.44140625" style="118" customWidth="1"/>
    <col min="5381" max="5381" width="11.109375" style="118" customWidth="1"/>
    <col min="5382" max="5382" width="14.33203125" style="118" customWidth="1"/>
    <col min="5383" max="5632" width="9.109375" style="118"/>
    <col min="5633" max="5633" width="6.44140625" style="118" bestFit="1" customWidth="1"/>
    <col min="5634" max="5634" width="49.5546875" style="118" customWidth="1"/>
    <col min="5635" max="5635" width="7.6640625" style="118" customWidth="1"/>
    <col min="5636" max="5636" width="9.44140625" style="118" customWidth="1"/>
    <col min="5637" max="5637" width="11.109375" style="118" customWidth="1"/>
    <col min="5638" max="5638" width="14.33203125" style="118" customWidth="1"/>
    <col min="5639" max="5888" width="9.109375" style="118"/>
    <col min="5889" max="5889" width="6.44140625" style="118" bestFit="1" customWidth="1"/>
    <col min="5890" max="5890" width="49.5546875" style="118" customWidth="1"/>
    <col min="5891" max="5891" width="7.6640625" style="118" customWidth="1"/>
    <col min="5892" max="5892" width="9.44140625" style="118" customWidth="1"/>
    <col min="5893" max="5893" width="11.109375" style="118" customWidth="1"/>
    <col min="5894" max="5894" width="14.33203125" style="118" customWidth="1"/>
    <col min="5895" max="6144" width="9.109375" style="118"/>
    <col min="6145" max="6145" width="6.44140625" style="118" bestFit="1" customWidth="1"/>
    <col min="6146" max="6146" width="49.5546875" style="118" customWidth="1"/>
    <col min="6147" max="6147" width="7.6640625" style="118" customWidth="1"/>
    <col min="6148" max="6148" width="9.44140625" style="118" customWidth="1"/>
    <col min="6149" max="6149" width="11.109375" style="118" customWidth="1"/>
    <col min="6150" max="6150" width="14.33203125" style="118" customWidth="1"/>
    <col min="6151" max="6400" width="9.109375" style="118"/>
    <col min="6401" max="6401" width="6.44140625" style="118" bestFit="1" customWidth="1"/>
    <col min="6402" max="6402" width="49.5546875" style="118" customWidth="1"/>
    <col min="6403" max="6403" width="7.6640625" style="118" customWidth="1"/>
    <col min="6404" max="6404" width="9.44140625" style="118" customWidth="1"/>
    <col min="6405" max="6405" width="11.109375" style="118" customWidth="1"/>
    <col min="6406" max="6406" width="14.33203125" style="118" customWidth="1"/>
    <col min="6407" max="6656" width="9.109375" style="118"/>
    <col min="6657" max="6657" width="6.44140625" style="118" bestFit="1" customWidth="1"/>
    <col min="6658" max="6658" width="49.5546875" style="118" customWidth="1"/>
    <col min="6659" max="6659" width="7.6640625" style="118" customWidth="1"/>
    <col min="6660" max="6660" width="9.44140625" style="118" customWidth="1"/>
    <col min="6661" max="6661" width="11.109375" style="118" customWidth="1"/>
    <col min="6662" max="6662" width="14.33203125" style="118" customWidth="1"/>
    <col min="6663" max="6912" width="9.109375" style="118"/>
    <col min="6913" max="6913" width="6.44140625" style="118" bestFit="1" customWidth="1"/>
    <col min="6914" max="6914" width="49.5546875" style="118" customWidth="1"/>
    <col min="6915" max="6915" width="7.6640625" style="118" customWidth="1"/>
    <col min="6916" max="6916" width="9.44140625" style="118" customWidth="1"/>
    <col min="6917" max="6917" width="11.109375" style="118" customWidth="1"/>
    <col min="6918" max="6918" width="14.33203125" style="118" customWidth="1"/>
    <col min="6919" max="7168" width="9.109375" style="118"/>
    <col min="7169" max="7169" width="6.44140625" style="118" bestFit="1" customWidth="1"/>
    <col min="7170" max="7170" width="49.5546875" style="118" customWidth="1"/>
    <col min="7171" max="7171" width="7.6640625" style="118" customWidth="1"/>
    <col min="7172" max="7172" width="9.44140625" style="118" customWidth="1"/>
    <col min="7173" max="7173" width="11.109375" style="118" customWidth="1"/>
    <col min="7174" max="7174" width="14.33203125" style="118" customWidth="1"/>
    <col min="7175" max="7424" width="9.109375" style="118"/>
    <col min="7425" max="7425" width="6.44140625" style="118" bestFit="1" customWidth="1"/>
    <col min="7426" max="7426" width="49.5546875" style="118" customWidth="1"/>
    <col min="7427" max="7427" width="7.6640625" style="118" customWidth="1"/>
    <col min="7428" max="7428" width="9.44140625" style="118" customWidth="1"/>
    <col min="7429" max="7429" width="11.109375" style="118" customWidth="1"/>
    <col min="7430" max="7430" width="14.33203125" style="118" customWidth="1"/>
    <col min="7431" max="7680" width="9.109375" style="118"/>
    <col min="7681" max="7681" width="6.44140625" style="118" bestFit="1" customWidth="1"/>
    <col min="7682" max="7682" width="49.5546875" style="118" customWidth="1"/>
    <col min="7683" max="7683" width="7.6640625" style="118" customWidth="1"/>
    <col min="7684" max="7684" width="9.44140625" style="118" customWidth="1"/>
    <col min="7685" max="7685" width="11.109375" style="118" customWidth="1"/>
    <col min="7686" max="7686" width="14.33203125" style="118" customWidth="1"/>
    <col min="7687" max="7936" width="9.109375" style="118"/>
    <col min="7937" max="7937" width="6.44140625" style="118" bestFit="1" customWidth="1"/>
    <col min="7938" max="7938" width="49.5546875" style="118" customWidth="1"/>
    <col min="7939" max="7939" width="7.6640625" style="118" customWidth="1"/>
    <col min="7940" max="7940" width="9.44140625" style="118" customWidth="1"/>
    <col min="7941" max="7941" width="11.109375" style="118" customWidth="1"/>
    <col min="7942" max="7942" width="14.33203125" style="118" customWidth="1"/>
    <col min="7943" max="8192" width="9.109375" style="118"/>
    <col min="8193" max="8193" width="6.44140625" style="118" bestFit="1" customWidth="1"/>
    <col min="8194" max="8194" width="49.5546875" style="118" customWidth="1"/>
    <col min="8195" max="8195" width="7.6640625" style="118" customWidth="1"/>
    <col min="8196" max="8196" width="9.44140625" style="118" customWidth="1"/>
    <col min="8197" max="8197" width="11.109375" style="118" customWidth="1"/>
    <col min="8198" max="8198" width="14.33203125" style="118" customWidth="1"/>
    <col min="8199" max="8448" width="9.109375" style="118"/>
    <col min="8449" max="8449" width="6.44140625" style="118" bestFit="1" customWidth="1"/>
    <col min="8450" max="8450" width="49.5546875" style="118" customWidth="1"/>
    <col min="8451" max="8451" width="7.6640625" style="118" customWidth="1"/>
    <col min="8452" max="8452" width="9.44140625" style="118" customWidth="1"/>
    <col min="8453" max="8453" width="11.109375" style="118" customWidth="1"/>
    <col min="8454" max="8454" width="14.33203125" style="118" customWidth="1"/>
    <col min="8455" max="8704" width="9.109375" style="118"/>
    <col min="8705" max="8705" width="6.44140625" style="118" bestFit="1" customWidth="1"/>
    <col min="8706" max="8706" width="49.5546875" style="118" customWidth="1"/>
    <col min="8707" max="8707" width="7.6640625" style="118" customWidth="1"/>
    <col min="8708" max="8708" width="9.44140625" style="118" customWidth="1"/>
    <col min="8709" max="8709" width="11.109375" style="118" customWidth="1"/>
    <col min="8710" max="8710" width="14.33203125" style="118" customWidth="1"/>
    <col min="8711" max="8960" width="9.109375" style="118"/>
    <col min="8961" max="8961" width="6.44140625" style="118" bestFit="1" customWidth="1"/>
    <col min="8962" max="8962" width="49.5546875" style="118" customWidth="1"/>
    <col min="8963" max="8963" width="7.6640625" style="118" customWidth="1"/>
    <col min="8964" max="8964" width="9.44140625" style="118" customWidth="1"/>
    <col min="8965" max="8965" width="11.109375" style="118" customWidth="1"/>
    <col min="8966" max="8966" width="14.33203125" style="118" customWidth="1"/>
    <col min="8967" max="9216" width="9.109375" style="118"/>
    <col min="9217" max="9217" width="6.44140625" style="118" bestFit="1" customWidth="1"/>
    <col min="9218" max="9218" width="49.5546875" style="118" customWidth="1"/>
    <col min="9219" max="9219" width="7.6640625" style="118" customWidth="1"/>
    <col min="9220" max="9220" width="9.44140625" style="118" customWidth="1"/>
    <col min="9221" max="9221" width="11.109375" style="118" customWidth="1"/>
    <col min="9222" max="9222" width="14.33203125" style="118" customWidth="1"/>
    <col min="9223" max="9472" width="9.109375" style="118"/>
    <col min="9473" max="9473" width="6.44140625" style="118" bestFit="1" customWidth="1"/>
    <col min="9474" max="9474" width="49.5546875" style="118" customWidth="1"/>
    <col min="9475" max="9475" width="7.6640625" style="118" customWidth="1"/>
    <col min="9476" max="9476" width="9.44140625" style="118" customWidth="1"/>
    <col min="9477" max="9477" width="11.109375" style="118" customWidth="1"/>
    <col min="9478" max="9478" width="14.33203125" style="118" customWidth="1"/>
    <col min="9479" max="9728" width="9.109375" style="118"/>
    <col min="9729" max="9729" width="6.44140625" style="118" bestFit="1" customWidth="1"/>
    <col min="9730" max="9730" width="49.5546875" style="118" customWidth="1"/>
    <col min="9731" max="9731" width="7.6640625" style="118" customWidth="1"/>
    <col min="9732" max="9732" width="9.44140625" style="118" customWidth="1"/>
    <col min="9733" max="9733" width="11.109375" style="118" customWidth="1"/>
    <col min="9734" max="9734" width="14.33203125" style="118" customWidth="1"/>
    <col min="9735" max="9984" width="9.109375" style="118"/>
    <col min="9985" max="9985" width="6.44140625" style="118" bestFit="1" customWidth="1"/>
    <col min="9986" max="9986" width="49.5546875" style="118" customWidth="1"/>
    <col min="9987" max="9987" width="7.6640625" style="118" customWidth="1"/>
    <col min="9988" max="9988" width="9.44140625" style="118" customWidth="1"/>
    <col min="9989" max="9989" width="11.109375" style="118" customWidth="1"/>
    <col min="9990" max="9990" width="14.33203125" style="118" customWidth="1"/>
    <col min="9991" max="10240" width="9.109375" style="118"/>
    <col min="10241" max="10241" width="6.44140625" style="118" bestFit="1" customWidth="1"/>
    <col min="10242" max="10242" width="49.5546875" style="118" customWidth="1"/>
    <col min="10243" max="10243" width="7.6640625" style="118" customWidth="1"/>
    <col min="10244" max="10244" width="9.44140625" style="118" customWidth="1"/>
    <col min="10245" max="10245" width="11.109375" style="118" customWidth="1"/>
    <col min="10246" max="10246" width="14.33203125" style="118" customWidth="1"/>
    <col min="10247" max="10496" width="9.109375" style="118"/>
    <col min="10497" max="10497" width="6.44140625" style="118" bestFit="1" customWidth="1"/>
    <col min="10498" max="10498" width="49.5546875" style="118" customWidth="1"/>
    <col min="10499" max="10499" width="7.6640625" style="118" customWidth="1"/>
    <col min="10500" max="10500" width="9.44140625" style="118" customWidth="1"/>
    <col min="10501" max="10501" width="11.109375" style="118" customWidth="1"/>
    <col min="10502" max="10502" width="14.33203125" style="118" customWidth="1"/>
    <col min="10503" max="10752" width="9.109375" style="118"/>
    <col min="10753" max="10753" width="6.44140625" style="118" bestFit="1" customWidth="1"/>
    <col min="10754" max="10754" width="49.5546875" style="118" customWidth="1"/>
    <col min="10755" max="10755" width="7.6640625" style="118" customWidth="1"/>
    <col min="10756" max="10756" width="9.44140625" style="118" customWidth="1"/>
    <col min="10757" max="10757" width="11.109375" style="118" customWidth="1"/>
    <col min="10758" max="10758" width="14.33203125" style="118" customWidth="1"/>
    <col min="10759" max="11008" width="9.109375" style="118"/>
    <col min="11009" max="11009" width="6.44140625" style="118" bestFit="1" customWidth="1"/>
    <col min="11010" max="11010" width="49.5546875" style="118" customWidth="1"/>
    <col min="11011" max="11011" width="7.6640625" style="118" customWidth="1"/>
    <col min="11012" max="11012" width="9.44140625" style="118" customWidth="1"/>
    <col min="11013" max="11013" width="11.109375" style="118" customWidth="1"/>
    <col min="11014" max="11014" width="14.33203125" style="118" customWidth="1"/>
    <col min="11015" max="11264" width="9.109375" style="118"/>
    <col min="11265" max="11265" width="6.44140625" style="118" bestFit="1" customWidth="1"/>
    <col min="11266" max="11266" width="49.5546875" style="118" customWidth="1"/>
    <col min="11267" max="11267" width="7.6640625" style="118" customWidth="1"/>
    <col min="11268" max="11268" width="9.44140625" style="118" customWidth="1"/>
    <col min="11269" max="11269" width="11.109375" style="118" customWidth="1"/>
    <col min="11270" max="11270" width="14.33203125" style="118" customWidth="1"/>
    <col min="11271" max="11520" width="9.109375" style="118"/>
    <col min="11521" max="11521" width="6.44140625" style="118" bestFit="1" customWidth="1"/>
    <col min="11522" max="11522" width="49.5546875" style="118" customWidth="1"/>
    <col min="11523" max="11523" width="7.6640625" style="118" customWidth="1"/>
    <col min="11524" max="11524" width="9.44140625" style="118" customWidth="1"/>
    <col min="11525" max="11525" width="11.109375" style="118" customWidth="1"/>
    <col min="11526" max="11526" width="14.33203125" style="118" customWidth="1"/>
    <col min="11527" max="11776" width="9.109375" style="118"/>
    <col min="11777" max="11777" width="6.44140625" style="118" bestFit="1" customWidth="1"/>
    <col min="11778" max="11778" width="49.5546875" style="118" customWidth="1"/>
    <col min="11779" max="11779" width="7.6640625" style="118" customWidth="1"/>
    <col min="11780" max="11780" width="9.44140625" style="118" customWidth="1"/>
    <col min="11781" max="11781" width="11.109375" style="118" customWidth="1"/>
    <col min="11782" max="11782" width="14.33203125" style="118" customWidth="1"/>
    <col min="11783" max="12032" width="9.109375" style="118"/>
    <col min="12033" max="12033" width="6.44140625" style="118" bestFit="1" customWidth="1"/>
    <col min="12034" max="12034" width="49.5546875" style="118" customWidth="1"/>
    <col min="12035" max="12035" width="7.6640625" style="118" customWidth="1"/>
    <col min="12036" max="12036" width="9.44140625" style="118" customWidth="1"/>
    <col min="12037" max="12037" width="11.109375" style="118" customWidth="1"/>
    <col min="12038" max="12038" width="14.33203125" style="118" customWidth="1"/>
    <col min="12039" max="12288" width="9.109375" style="118"/>
    <col min="12289" max="12289" width="6.44140625" style="118" bestFit="1" customWidth="1"/>
    <col min="12290" max="12290" width="49.5546875" style="118" customWidth="1"/>
    <col min="12291" max="12291" width="7.6640625" style="118" customWidth="1"/>
    <col min="12292" max="12292" width="9.44140625" style="118" customWidth="1"/>
    <col min="12293" max="12293" width="11.109375" style="118" customWidth="1"/>
    <col min="12294" max="12294" width="14.33203125" style="118" customWidth="1"/>
    <col min="12295" max="12544" width="9.109375" style="118"/>
    <col min="12545" max="12545" width="6.44140625" style="118" bestFit="1" customWidth="1"/>
    <col min="12546" max="12546" width="49.5546875" style="118" customWidth="1"/>
    <col min="12547" max="12547" width="7.6640625" style="118" customWidth="1"/>
    <col min="12548" max="12548" width="9.44140625" style="118" customWidth="1"/>
    <col min="12549" max="12549" width="11.109375" style="118" customWidth="1"/>
    <col min="12550" max="12550" width="14.33203125" style="118" customWidth="1"/>
    <col min="12551" max="12800" width="9.109375" style="118"/>
    <col min="12801" max="12801" width="6.44140625" style="118" bestFit="1" customWidth="1"/>
    <col min="12802" max="12802" width="49.5546875" style="118" customWidth="1"/>
    <col min="12803" max="12803" width="7.6640625" style="118" customWidth="1"/>
    <col min="12804" max="12804" width="9.44140625" style="118" customWidth="1"/>
    <col min="12805" max="12805" width="11.109375" style="118" customWidth="1"/>
    <col min="12806" max="12806" width="14.33203125" style="118" customWidth="1"/>
    <col min="12807" max="13056" width="9.109375" style="118"/>
    <col min="13057" max="13057" width="6.44140625" style="118" bestFit="1" customWidth="1"/>
    <col min="13058" max="13058" width="49.5546875" style="118" customWidth="1"/>
    <col min="13059" max="13059" width="7.6640625" style="118" customWidth="1"/>
    <col min="13060" max="13060" width="9.44140625" style="118" customWidth="1"/>
    <col min="13061" max="13061" width="11.109375" style="118" customWidth="1"/>
    <col min="13062" max="13062" width="14.33203125" style="118" customWidth="1"/>
    <col min="13063" max="13312" width="9.109375" style="118"/>
    <col min="13313" max="13313" width="6.44140625" style="118" bestFit="1" customWidth="1"/>
    <col min="13314" max="13314" width="49.5546875" style="118" customWidth="1"/>
    <col min="13315" max="13315" width="7.6640625" style="118" customWidth="1"/>
    <col min="13316" max="13316" width="9.44140625" style="118" customWidth="1"/>
    <col min="13317" max="13317" width="11.109375" style="118" customWidth="1"/>
    <col min="13318" max="13318" width="14.33203125" style="118" customWidth="1"/>
    <col min="13319" max="13568" width="9.109375" style="118"/>
    <col min="13569" max="13569" width="6.44140625" style="118" bestFit="1" customWidth="1"/>
    <col min="13570" max="13570" width="49.5546875" style="118" customWidth="1"/>
    <col min="13571" max="13571" width="7.6640625" style="118" customWidth="1"/>
    <col min="13572" max="13572" width="9.44140625" style="118" customWidth="1"/>
    <col min="13573" max="13573" width="11.109375" style="118" customWidth="1"/>
    <col min="13574" max="13574" width="14.33203125" style="118" customWidth="1"/>
    <col min="13575" max="13824" width="9.109375" style="118"/>
    <col min="13825" max="13825" width="6.44140625" style="118" bestFit="1" customWidth="1"/>
    <col min="13826" max="13826" width="49.5546875" style="118" customWidth="1"/>
    <col min="13827" max="13827" width="7.6640625" style="118" customWidth="1"/>
    <col min="13828" max="13828" width="9.44140625" style="118" customWidth="1"/>
    <col min="13829" max="13829" width="11.109375" style="118" customWidth="1"/>
    <col min="13830" max="13830" width="14.33203125" style="118" customWidth="1"/>
    <col min="13831" max="14080" width="9.109375" style="118"/>
    <col min="14081" max="14081" width="6.44140625" style="118" bestFit="1" customWidth="1"/>
    <col min="14082" max="14082" width="49.5546875" style="118" customWidth="1"/>
    <col min="14083" max="14083" width="7.6640625" style="118" customWidth="1"/>
    <col min="14084" max="14084" width="9.44140625" style="118" customWidth="1"/>
    <col min="14085" max="14085" width="11.109375" style="118" customWidth="1"/>
    <col min="14086" max="14086" width="14.33203125" style="118" customWidth="1"/>
    <col min="14087" max="14336" width="9.109375" style="118"/>
    <col min="14337" max="14337" width="6.44140625" style="118" bestFit="1" customWidth="1"/>
    <col min="14338" max="14338" width="49.5546875" style="118" customWidth="1"/>
    <col min="14339" max="14339" width="7.6640625" style="118" customWidth="1"/>
    <col min="14340" max="14340" width="9.44140625" style="118" customWidth="1"/>
    <col min="14341" max="14341" width="11.109375" style="118" customWidth="1"/>
    <col min="14342" max="14342" width="14.33203125" style="118" customWidth="1"/>
    <col min="14343" max="14592" width="9.109375" style="118"/>
    <col min="14593" max="14593" width="6.44140625" style="118" bestFit="1" customWidth="1"/>
    <col min="14594" max="14594" width="49.5546875" style="118" customWidth="1"/>
    <col min="14595" max="14595" width="7.6640625" style="118" customWidth="1"/>
    <col min="14596" max="14596" width="9.44140625" style="118" customWidth="1"/>
    <col min="14597" max="14597" width="11.109375" style="118" customWidth="1"/>
    <col min="14598" max="14598" width="14.33203125" style="118" customWidth="1"/>
    <col min="14599" max="14848" width="9.109375" style="118"/>
    <col min="14849" max="14849" width="6.44140625" style="118" bestFit="1" customWidth="1"/>
    <col min="14850" max="14850" width="49.5546875" style="118" customWidth="1"/>
    <col min="14851" max="14851" width="7.6640625" style="118" customWidth="1"/>
    <col min="14852" max="14852" width="9.44140625" style="118" customWidth="1"/>
    <col min="14853" max="14853" width="11.109375" style="118" customWidth="1"/>
    <col min="14854" max="14854" width="14.33203125" style="118" customWidth="1"/>
    <col min="14855" max="15104" width="9.109375" style="118"/>
    <col min="15105" max="15105" width="6.44140625" style="118" bestFit="1" customWidth="1"/>
    <col min="15106" max="15106" width="49.5546875" style="118" customWidth="1"/>
    <col min="15107" max="15107" width="7.6640625" style="118" customWidth="1"/>
    <col min="15108" max="15108" width="9.44140625" style="118" customWidth="1"/>
    <col min="15109" max="15109" width="11.109375" style="118" customWidth="1"/>
    <col min="15110" max="15110" width="14.33203125" style="118" customWidth="1"/>
    <col min="15111" max="15360" width="9.109375" style="118"/>
    <col min="15361" max="15361" width="6.44140625" style="118" bestFit="1" customWidth="1"/>
    <col min="15362" max="15362" width="49.5546875" style="118" customWidth="1"/>
    <col min="15363" max="15363" width="7.6640625" style="118" customWidth="1"/>
    <col min="15364" max="15364" width="9.44140625" style="118" customWidth="1"/>
    <col min="15365" max="15365" width="11.109375" style="118" customWidth="1"/>
    <col min="15366" max="15366" width="14.33203125" style="118" customWidth="1"/>
    <col min="15367" max="15616" width="9.109375" style="118"/>
    <col min="15617" max="15617" width="6.44140625" style="118" bestFit="1" customWidth="1"/>
    <col min="15618" max="15618" width="49.5546875" style="118" customWidth="1"/>
    <col min="15619" max="15619" width="7.6640625" style="118" customWidth="1"/>
    <col min="15620" max="15620" width="9.44140625" style="118" customWidth="1"/>
    <col min="15621" max="15621" width="11.109375" style="118" customWidth="1"/>
    <col min="15622" max="15622" width="14.33203125" style="118" customWidth="1"/>
    <col min="15623" max="15872" width="9.109375" style="118"/>
    <col min="15873" max="15873" width="6.44140625" style="118" bestFit="1" customWidth="1"/>
    <col min="15874" max="15874" width="49.5546875" style="118" customWidth="1"/>
    <col min="15875" max="15875" width="7.6640625" style="118" customWidth="1"/>
    <col min="15876" max="15876" width="9.44140625" style="118" customWidth="1"/>
    <col min="15877" max="15877" width="11.109375" style="118" customWidth="1"/>
    <col min="15878" max="15878" width="14.33203125" style="118" customWidth="1"/>
    <col min="15879" max="16128" width="9.109375" style="118"/>
    <col min="16129" max="16129" width="6.44140625" style="118" bestFit="1" customWidth="1"/>
    <col min="16130" max="16130" width="49.5546875" style="118" customWidth="1"/>
    <col min="16131" max="16131" width="7.6640625" style="118" customWidth="1"/>
    <col min="16132" max="16132" width="9.44140625" style="118" customWidth="1"/>
    <col min="16133" max="16133" width="11.109375" style="118" customWidth="1"/>
    <col min="16134" max="16134" width="14.33203125" style="118" customWidth="1"/>
    <col min="16135" max="16384" width="9.109375" style="118"/>
  </cols>
  <sheetData>
    <row r="1" spans="1:6" ht="30" customHeight="1">
      <c r="A1" s="935" t="s">
        <v>2134</v>
      </c>
      <c r="B1" s="936"/>
      <c r="C1" s="936"/>
      <c r="D1" s="936"/>
      <c r="E1" s="936"/>
      <c r="F1" s="936"/>
    </row>
    <row r="2" spans="1:6" ht="15" customHeight="1">
      <c r="A2" s="127" t="s">
        <v>658</v>
      </c>
      <c r="B2" s="128" t="s">
        <v>890</v>
      </c>
      <c r="C2" s="127" t="s">
        <v>659</v>
      </c>
      <c r="D2" s="129" t="s">
        <v>660</v>
      </c>
      <c r="E2" s="556" t="s">
        <v>891</v>
      </c>
      <c r="F2" s="556" t="s">
        <v>661</v>
      </c>
    </row>
    <row r="3" spans="1:6" ht="15" customHeight="1">
      <c r="A3" s="127">
        <v>1</v>
      </c>
      <c r="B3" s="128" t="s">
        <v>892</v>
      </c>
      <c r="C3" s="127">
        <v>3</v>
      </c>
      <c r="D3" s="127">
        <v>4</v>
      </c>
      <c r="E3" s="557">
        <v>5</v>
      </c>
      <c r="F3" s="556" t="s">
        <v>662</v>
      </c>
    </row>
    <row r="4" spans="1:6">
      <c r="A4" s="131"/>
      <c r="B4" s="132"/>
      <c r="C4" s="133"/>
      <c r="D4" s="134"/>
      <c r="E4" s="135"/>
      <c r="F4" s="135"/>
    </row>
    <row r="5" spans="1:6" ht="18">
      <c r="A5" s="491" t="s">
        <v>11</v>
      </c>
      <c r="B5" s="836" t="s">
        <v>2048</v>
      </c>
      <c r="C5" s="657"/>
      <c r="D5" s="492"/>
      <c r="E5" s="493"/>
      <c r="F5" s="825"/>
    </row>
    <row r="6" spans="1:6" ht="14.4">
      <c r="B6" s="837"/>
      <c r="F6" s="824"/>
    </row>
    <row r="7" spans="1:6">
      <c r="F7" s="824"/>
    </row>
    <row r="8" spans="1:6" ht="110.4">
      <c r="A8" s="776"/>
      <c r="B8" s="838" t="s">
        <v>5140</v>
      </c>
      <c r="C8" s="780"/>
      <c r="D8" s="792"/>
      <c r="E8" s="793"/>
      <c r="F8" s="826"/>
    </row>
    <row r="9" spans="1:6" ht="14.4">
      <c r="A9" s="776"/>
      <c r="B9" s="838"/>
      <c r="C9" s="780"/>
      <c r="D9" s="792"/>
      <c r="E9" s="793"/>
      <c r="F9" s="826"/>
    </row>
    <row r="10" spans="1:6" ht="96.6">
      <c r="A10" s="776"/>
      <c r="B10" s="835" t="s">
        <v>5141</v>
      </c>
      <c r="C10" s="780"/>
      <c r="D10" s="792"/>
      <c r="E10" s="793"/>
      <c r="F10" s="826"/>
    </row>
    <row r="11" spans="1:6" ht="14.4">
      <c r="A11" s="776"/>
      <c r="C11" s="780"/>
      <c r="D11" s="792"/>
      <c r="E11" s="793"/>
      <c r="F11" s="826"/>
    </row>
    <row r="12" spans="1:6" ht="96.6">
      <c r="A12" s="776"/>
      <c r="B12" s="835" t="s">
        <v>4656</v>
      </c>
      <c r="C12" s="780"/>
      <c r="D12" s="792"/>
      <c r="E12" s="793"/>
      <c r="F12" s="826"/>
    </row>
    <row r="13" spans="1:6" ht="14.4">
      <c r="A13" s="776"/>
      <c r="C13" s="780"/>
      <c r="D13" s="792"/>
      <c r="E13" s="793"/>
      <c r="F13" s="826"/>
    </row>
    <row r="14" spans="1:6" ht="96.6">
      <c r="A14" s="776"/>
      <c r="B14" s="835" t="s">
        <v>4657</v>
      </c>
      <c r="C14" s="780"/>
      <c r="D14" s="792"/>
      <c r="E14" s="793"/>
      <c r="F14" s="826"/>
    </row>
    <row r="15" spans="1:6" ht="14.4">
      <c r="A15" s="776"/>
      <c r="B15" s="838"/>
      <c r="C15" s="780"/>
      <c r="D15" s="792"/>
      <c r="E15" s="793"/>
      <c r="F15" s="826"/>
    </row>
    <row r="16" spans="1:6" s="774" customFormat="1">
      <c r="A16" s="912" t="s">
        <v>8</v>
      </c>
      <c r="B16" s="839" t="s">
        <v>4226</v>
      </c>
      <c r="C16" s="807"/>
      <c r="D16" s="808"/>
      <c r="E16" s="809"/>
      <c r="F16" s="827"/>
    </row>
    <row r="17" spans="1:6">
      <c r="C17" s="781"/>
      <c r="D17" s="794"/>
      <c r="F17" s="824"/>
    </row>
    <row r="18" spans="1:6" ht="27.6">
      <c r="A18" s="778" t="s">
        <v>1077</v>
      </c>
      <c r="B18" s="835" t="s">
        <v>4227</v>
      </c>
      <c r="D18" s="790"/>
      <c r="F18" s="824"/>
    </row>
    <row r="19" spans="1:6" ht="69">
      <c r="A19" s="778"/>
      <c r="B19" s="835" t="s">
        <v>4228</v>
      </c>
      <c r="D19" s="790"/>
      <c r="F19" s="824"/>
    </row>
    <row r="20" spans="1:6" ht="96.6">
      <c r="A20" s="778"/>
      <c r="B20" s="835" t="s">
        <v>4229</v>
      </c>
      <c r="D20" s="790"/>
      <c r="F20" s="824"/>
    </row>
    <row r="21" spans="1:6" ht="96.6">
      <c r="A21" s="778"/>
      <c r="B21" s="835" t="s">
        <v>4230</v>
      </c>
      <c r="D21" s="790"/>
      <c r="F21" s="824"/>
    </row>
    <row r="22" spans="1:6" ht="69">
      <c r="A22" s="778"/>
      <c r="B22" s="835" t="s">
        <v>4749</v>
      </c>
      <c r="D22" s="790"/>
      <c r="F22" s="824"/>
    </row>
    <row r="23" spans="1:6" ht="41.4">
      <c r="A23" s="778"/>
      <c r="B23" s="835" t="s">
        <v>4231</v>
      </c>
      <c r="D23" s="790"/>
      <c r="F23" s="824"/>
    </row>
    <row r="24" spans="1:6" ht="138">
      <c r="A24" s="778"/>
      <c r="B24" s="835" t="s">
        <v>4232</v>
      </c>
      <c r="D24" s="790"/>
      <c r="F24" s="824"/>
    </row>
    <row r="25" spans="1:6" ht="96.6">
      <c r="A25" s="778"/>
      <c r="B25" s="835" t="s">
        <v>4750</v>
      </c>
      <c r="D25" s="790"/>
      <c r="F25" s="824"/>
    </row>
    <row r="26" spans="1:6" ht="41.4">
      <c r="A26" s="778"/>
      <c r="B26" s="835" t="s">
        <v>4233</v>
      </c>
      <c r="D26" s="790"/>
      <c r="F26" s="824"/>
    </row>
    <row r="27" spans="1:6" ht="82.8">
      <c r="A27" s="778"/>
      <c r="B27" s="835" t="s">
        <v>4234</v>
      </c>
      <c r="D27" s="790"/>
      <c r="F27" s="824"/>
    </row>
    <row r="28" spans="1:6" ht="124.2">
      <c r="A28" s="778"/>
      <c r="B28" s="835" t="s">
        <v>5142</v>
      </c>
      <c r="D28" s="790"/>
      <c r="F28" s="824"/>
    </row>
    <row r="29" spans="1:6" ht="96.6">
      <c r="A29" s="778"/>
      <c r="B29" s="835" t="s">
        <v>4235</v>
      </c>
      <c r="D29" s="790"/>
      <c r="F29" s="824"/>
    </row>
    <row r="30" spans="1:6" ht="69">
      <c r="A30" s="778"/>
      <c r="B30" s="835" t="s">
        <v>4236</v>
      </c>
      <c r="D30" s="790"/>
      <c r="F30" s="824"/>
    </row>
    <row r="31" spans="1:6" ht="69">
      <c r="A31" s="778"/>
      <c r="B31" s="835" t="s">
        <v>4237</v>
      </c>
      <c r="D31" s="790"/>
      <c r="F31" s="824"/>
    </row>
    <row r="32" spans="1:6" ht="69">
      <c r="A32" s="778"/>
      <c r="B32" s="835" t="s">
        <v>4751</v>
      </c>
      <c r="D32" s="790"/>
      <c r="F32" s="824"/>
    </row>
    <row r="33" spans="1:6" ht="55.2">
      <c r="A33" s="778"/>
      <c r="B33" s="835" t="s">
        <v>4238</v>
      </c>
      <c r="D33" s="790"/>
      <c r="F33" s="824"/>
    </row>
    <row r="34" spans="1:6" ht="41.4">
      <c r="A34" s="778"/>
      <c r="B34" s="835" t="s">
        <v>4752</v>
      </c>
      <c r="D34" s="790"/>
      <c r="F34" s="824"/>
    </row>
    <row r="35" spans="1:6">
      <c r="A35" s="778"/>
      <c r="B35" s="835" t="s">
        <v>4239</v>
      </c>
      <c r="D35" s="790"/>
      <c r="F35" s="824"/>
    </row>
    <row r="36" spans="1:6" ht="55.2">
      <c r="A36" s="778"/>
      <c r="B36" s="835" t="s">
        <v>4240</v>
      </c>
      <c r="D36" s="790"/>
      <c r="F36" s="824"/>
    </row>
    <row r="37" spans="1:6" ht="27.6">
      <c r="A37" s="778"/>
      <c r="B37" s="835" t="s">
        <v>4241</v>
      </c>
      <c r="D37" s="790"/>
      <c r="F37" s="824"/>
    </row>
    <row r="38" spans="1:6">
      <c r="A38" s="778"/>
      <c r="B38" s="835" t="s">
        <v>4754</v>
      </c>
      <c r="D38" s="790"/>
      <c r="F38" s="824"/>
    </row>
    <row r="39" spans="1:6" ht="14.4">
      <c r="A39" s="778"/>
      <c r="B39" s="835" t="s">
        <v>4658</v>
      </c>
      <c r="D39" s="790"/>
      <c r="F39" s="824"/>
    </row>
    <row r="40" spans="1:6" ht="55.2">
      <c r="A40" s="778"/>
      <c r="B40" s="835" t="s">
        <v>4753</v>
      </c>
      <c r="D40" s="790"/>
      <c r="F40" s="824"/>
    </row>
    <row r="41" spans="1:6" ht="27.6">
      <c r="A41" s="778"/>
      <c r="B41" s="835" t="s">
        <v>4242</v>
      </c>
      <c r="D41" s="790"/>
      <c r="F41" s="824"/>
    </row>
    <row r="42" spans="1:6">
      <c r="A42" s="778"/>
      <c r="B42" s="835" t="s">
        <v>4243</v>
      </c>
      <c r="D42" s="790"/>
      <c r="F42" s="824"/>
    </row>
    <row r="43" spans="1:6">
      <c r="A43" s="778"/>
      <c r="B43" s="835" t="s">
        <v>4244</v>
      </c>
      <c r="D43" s="790"/>
      <c r="F43" s="824"/>
    </row>
    <row r="44" spans="1:6">
      <c r="A44" s="778"/>
      <c r="B44" s="835" t="s">
        <v>4245</v>
      </c>
      <c r="D44" s="790"/>
      <c r="F44" s="824"/>
    </row>
    <row r="45" spans="1:6">
      <c r="A45" s="778"/>
      <c r="B45" s="835" t="s">
        <v>4246</v>
      </c>
      <c r="D45" s="790"/>
      <c r="F45" s="824"/>
    </row>
    <row r="46" spans="1:6">
      <c r="A46" s="778"/>
      <c r="B46" s="835" t="s">
        <v>4247</v>
      </c>
      <c r="D46" s="790"/>
      <c r="F46" s="824"/>
    </row>
    <row r="47" spans="1:6">
      <c r="A47" s="778"/>
      <c r="B47" s="835" t="s">
        <v>4248</v>
      </c>
      <c r="D47" s="790"/>
      <c r="F47" s="824"/>
    </row>
    <row r="48" spans="1:6" ht="55.2">
      <c r="A48" s="778"/>
      <c r="B48" s="835" t="s">
        <v>4249</v>
      </c>
      <c r="D48" s="790"/>
      <c r="F48" s="824"/>
    </row>
    <row r="49" spans="1:6" ht="27.6">
      <c r="A49" s="778"/>
      <c r="B49" s="835" t="s">
        <v>4250</v>
      </c>
      <c r="D49" s="790"/>
      <c r="F49" s="824"/>
    </row>
    <row r="50" spans="1:6">
      <c r="A50" s="778"/>
      <c r="B50" s="835" t="s">
        <v>4251</v>
      </c>
      <c r="D50" s="790"/>
      <c r="F50" s="824"/>
    </row>
    <row r="51" spans="1:6" ht="41.4">
      <c r="A51" s="778"/>
      <c r="B51" s="835" t="s">
        <v>4252</v>
      </c>
      <c r="D51" s="790"/>
      <c r="F51" s="824"/>
    </row>
    <row r="52" spans="1:6" ht="27.6">
      <c r="A52" s="778"/>
      <c r="B52" s="835" t="s">
        <v>4253</v>
      </c>
      <c r="D52" s="790"/>
      <c r="F52" s="824"/>
    </row>
    <row r="53" spans="1:6">
      <c r="A53" s="778"/>
      <c r="B53" s="835" t="s">
        <v>4254</v>
      </c>
      <c r="D53" s="790"/>
      <c r="F53" s="824"/>
    </row>
    <row r="54" spans="1:6">
      <c r="A54" s="778"/>
      <c r="B54" s="835" t="s">
        <v>4255</v>
      </c>
      <c r="D54" s="790"/>
      <c r="F54" s="824"/>
    </row>
    <row r="55" spans="1:6">
      <c r="A55" s="778"/>
      <c r="B55" s="835" t="s">
        <v>4256</v>
      </c>
      <c r="D55" s="790"/>
      <c r="F55" s="824"/>
    </row>
    <row r="56" spans="1:6">
      <c r="A56" s="778"/>
      <c r="B56" s="835" t="s">
        <v>4257</v>
      </c>
      <c r="D56" s="790"/>
      <c r="F56" s="824"/>
    </row>
    <row r="57" spans="1:6">
      <c r="A57" s="778"/>
      <c r="B57" s="835" t="s">
        <v>4258</v>
      </c>
      <c r="D57" s="790"/>
      <c r="F57" s="824"/>
    </row>
    <row r="58" spans="1:6">
      <c r="A58" s="778"/>
      <c r="B58" s="835" t="s">
        <v>4259</v>
      </c>
      <c r="D58" s="790"/>
      <c r="F58" s="824"/>
    </row>
    <row r="59" spans="1:6" ht="27.6">
      <c r="A59" s="778"/>
      <c r="B59" s="835" t="s">
        <v>4260</v>
      </c>
      <c r="D59" s="790"/>
      <c r="F59" s="824"/>
    </row>
    <row r="60" spans="1:6" ht="27.6">
      <c r="A60" s="778"/>
      <c r="B60" s="835" t="s">
        <v>4261</v>
      </c>
      <c r="C60" s="781"/>
      <c r="D60" s="794"/>
      <c r="F60" s="824"/>
    </row>
    <row r="61" spans="1:6">
      <c r="A61" s="778"/>
      <c r="B61" s="835" t="s">
        <v>4262</v>
      </c>
      <c r="C61" s="781"/>
      <c r="D61" s="794"/>
      <c r="F61" s="824"/>
    </row>
    <row r="62" spans="1:6">
      <c r="A62" s="778"/>
      <c r="B62" s="835" t="s">
        <v>4263</v>
      </c>
      <c r="C62" s="781"/>
      <c r="D62" s="794"/>
      <c r="F62" s="824"/>
    </row>
    <row r="63" spans="1:6" ht="82.8">
      <c r="A63" s="778"/>
      <c r="B63" s="835" t="s">
        <v>4264</v>
      </c>
      <c r="C63" s="781"/>
      <c r="D63" s="794"/>
      <c r="F63" s="824"/>
    </row>
    <row r="64" spans="1:6" ht="41.4">
      <c r="A64" s="778"/>
      <c r="B64" s="835" t="s">
        <v>4756</v>
      </c>
      <c r="C64" s="781"/>
      <c r="D64" s="794"/>
      <c r="F64" s="824"/>
    </row>
    <row r="65" spans="1:6" ht="41.4">
      <c r="A65" s="778"/>
      <c r="B65" s="835" t="s">
        <v>4755</v>
      </c>
      <c r="C65" s="781"/>
      <c r="D65" s="794"/>
      <c r="F65" s="824"/>
    </row>
    <row r="66" spans="1:6">
      <c r="A66" s="778"/>
      <c r="B66" s="835" t="s">
        <v>4265</v>
      </c>
      <c r="C66" s="781"/>
      <c r="D66" s="794"/>
      <c r="F66" s="824"/>
    </row>
    <row r="67" spans="1:6">
      <c r="A67" s="778"/>
      <c r="B67" s="835" t="s">
        <v>4266</v>
      </c>
      <c r="C67" s="781"/>
      <c r="D67" s="794"/>
      <c r="F67" s="824"/>
    </row>
    <row r="68" spans="1:6">
      <c r="A68" s="778"/>
      <c r="B68" s="835" t="s">
        <v>4267</v>
      </c>
      <c r="C68" s="781"/>
      <c r="D68" s="794"/>
      <c r="F68" s="824"/>
    </row>
    <row r="69" spans="1:6">
      <c r="A69" s="778"/>
      <c r="B69" s="835" t="s">
        <v>4268</v>
      </c>
      <c r="C69" s="781"/>
      <c r="D69" s="794"/>
      <c r="F69" s="824"/>
    </row>
    <row r="70" spans="1:6" ht="55.2">
      <c r="A70" s="778"/>
      <c r="B70" s="835" t="s">
        <v>4269</v>
      </c>
      <c r="C70" s="781"/>
      <c r="D70" s="794"/>
      <c r="F70" s="824"/>
    </row>
    <row r="71" spans="1:6">
      <c r="A71" s="778"/>
      <c r="B71" s="835" t="s">
        <v>4270</v>
      </c>
      <c r="C71" s="781"/>
      <c r="D71" s="794"/>
      <c r="F71" s="824"/>
    </row>
    <row r="72" spans="1:6">
      <c r="A72" s="778"/>
      <c r="B72" s="835" t="s">
        <v>4271</v>
      </c>
      <c r="C72" s="781"/>
      <c r="D72" s="794"/>
      <c r="F72" s="824"/>
    </row>
    <row r="73" spans="1:6">
      <c r="A73" s="778"/>
      <c r="B73" s="835" t="s">
        <v>4272</v>
      </c>
      <c r="C73" s="781"/>
      <c r="D73" s="794"/>
      <c r="F73" s="824"/>
    </row>
    <row r="74" spans="1:6">
      <c r="A74" s="778"/>
      <c r="B74" s="835" t="s">
        <v>4273</v>
      </c>
      <c r="C74" s="781"/>
      <c r="D74" s="794"/>
      <c r="F74" s="824"/>
    </row>
    <row r="75" spans="1:6" ht="69">
      <c r="A75" s="778"/>
      <c r="B75" s="835" t="s">
        <v>4274</v>
      </c>
      <c r="D75" s="795"/>
      <c r="F75" s="824"/>
    </row>
    <row r="76" spans="1:6" ht="27.6">
      <c r="A76" s="778"/>
      <c r="B76" s="835" t="s">
        <v>4275</v>
      </c>
      <c r="C76" s="781"/>
      <c r="D76" s="794"/>
      <c r="F76" s="824"/>
    </row>
    <row r="77" spans="1:6">
      <c r="A77" s="778"/>
      <c r="B77" s="835" t="s">
        <v>4276</v>
      </c>
      <c r="C77" s="781"/>
      <c r="D77" s="794"/>
      <c r="F77" s="824"/>
    </row>
    <row r="78" spans="1:6">
      <c r="A78" s="778"/>
      <c r="B78" s="835" t="s">
        <v>4277</v>
      </c>
      <c r="C78" s="781"/>
      <c r="D78" s="794"/>
      <c r="F78" s="824"/>
    </row>
    <row r="79" spans="1:6">
      <c r="A79" s="778"/>
      <c r="B79" s="835" t="s">
        <v>4278</v>
      </c>
      <c r="D79" s="796"/>
      <c r="E79" s="796"/>
      <c r="F79" s="824"/>
    </row>
    <row r="80" spans="1:6" ht="41.4">
      <c r="A80" s="778"/>
      <c r="B80" s="835" t="s">
        <v>4757</v>
      </c>
      <c r="D80" s="796"/>
      <c r="E80" s="796"/>
      <c r="F80" s="824"/>
    </row>
    <row r="81" spans="1:6" ht="27.6">
      <c r="A81" s="778"/>
      <c r="B81" s="835" t="s">
        <v>4279</v>
      </c>
      <c r="D81" s="796"/>
      <c r="E81" s="796"/>
      <c r="F81" s="824"/>
    </row>
    <row r="82" spans="1:6" ht="27.6">
      <c r="A82" s="778"/>
      <c r="B82" s="835" t="s">
        <v>4280</v>
      </c>
      <c r="D82" s="796"/>
      <c r="E82" s="796"/>
      <c r="F82" s="824"/>
    </row>
    <row r="83" spans="1:6" ht="41.4">
      <c r="A83" s="778"/>
      <c r="B83" s="835" t="s">
        <v>5143</v>
      </c>
      <c r="D83" s="796"/>
      <c r="E83" s="796"/>
      <c r="F83" s="824"/>
    </row>
    <row r="84" spans="1:6">
      <c r="A84" s="778"/>
      <c r="B84" s="835" t="s">
        <v>4281</v>
      </c>
      <c r="D84" s="796"/>
      <c r="E84" s="796"/>
      <c r="F84" s="824"/>
    </row>
    <row r="85" spans="1:6">
      <c r="A85" s="778"/>
      <c r="B85" s="835" t="s">
        <v>4282</v>
      </c>
      <c r="D85" s="795"/>
      <c r="F85" s="824"/>
    </row>
    <row r="86" spans="1:6" ht="27.6">
      <c r="A86" s="778"/>
      <c r="B86" s="835" t="s">
        <v>4283</v>
      </c>
      <c r="C86" s="779" t="s">
        <v>649</v>
      </c>
      <c r="D86" s="795">
        <v>1</v>
      </c>
      <c r="E86" s="790">
        <v>70000</v>
      </c>
      <c r="F86" s="824">
        <f>D86*E86</f>
        <v>70000</v>
      </c>
    </row>
    <row r="87" spans="1:6">
      <c r="A87" s="778"/>
      <c r="D87" s="795"/>
      <c r="F87" s="824"/>
    </row>
    <row r="88" spans="1:6" ht="55.2">
      <c r="A88" s="778" t="s">
        <v>1972</v>
      </c>
      <c r="B88" s="835" t="s">
        <v>4758</v>
      </c>
      <c r="C88" s="779" t="s">
        <v>670</v>
      </c>
      <c r="D88" s="795">
        <v>1</v>
      </c>
      <c r="E88" s="790">
        <v>500</v>
      </c>
      <c r="F88" s="824">
        <f>D88*E88</f>
        <v>500</v>
      </c>
    </row>
    <row r="89" spans="1:6">
      <c r="A89" s="778"/>
      <c r="D89" s="795"/>
      <c r="F89" s="824"/>
    </row>
    <row r="90" spans="1:6" ht="69">
      <c r="A90" s="778" t="s">
        <v>1974</v>
      </c>
      <c r="B90" s="835" t="s">
        <v>5144</v>
      </c>
      <c r="D90" s="795"/>
      <c r="E90" s="918"/>
      <c r="F90" s="824"/>
    </row>
    <row r="91" spans="1:6">
      <c r="A91" s="778"/>
      <c r="B91" s="835" t="s">
        <v>4285</v>
      </c>
      <c r="C91" s="779" t="s">
        <v>649</v>
      </c>
      <c r="D91" s="795">
        <v>2</v>
      </c>
      <c r="E91" s="790">
        <v>59</v>
      </c>
      <c r="F91" s="824">
        <f>D91*E91</f>
        <v>118</v>
      </c>
    </row>
    <row r="92" spans="1:6">
      <c r="A92" s="778"/>
      <c r="C92" s="781"/>
      <c r="D92" s="794"/>
      <c r="F92" s="824"/>
    </row>
    <row r="93" spans="1:6" ht="82.8">
      <c r="A93" s="778" t="s">
        <v>1977</v>
      </c>
      <c r="B93" s="835" t="s">
        <v>4759</v>
      </c>
      <c r="C93" s="779" t="s">
        <v>670</v>
      </c>
      <c r="D93" s="795">
        <v>1</v>
      </c>
      <c r="E93" s="790">
        <v>200</v>
      </c>
      <c r="F93" s="824">
        <f>D93*E93</f>
        <v>200</v>
      </c>
    </row>
    <row r="94" spans="1:6">
      <c r="A94" s="778"/>
      <c r="D94" s="790"/>
      <c r="F94" s="824"/>
    </row>
    <row r="95" spans="1:6" ht="82.8">
      <c r="A95" s="778" t="s">
        <v>1980</v>
      </c>
      <c r="B95" s="835" t="s">
        <v>4286</v>
      </c>
      <c r="D95" s="790"/>
      <c r="F95" s="824"/>
    </row>
    <row r="96" spans="1:6" ht="151.80000000000001">
      <c r="A96" s="778"/>
      <c r="B96" s="835" t="s">
        <v>4287</v>
      </c>
      <c r="D96" s="790"/>
      <c r="F96" s="824"/>
    </row>
    <row r="97" spans="1:6" ht="82.8">
      <c r="A97" s="778"/>
      <c r="B97" s="835" t="s">
        <v>4288</v>
      </c>
      <c r="D97" s="790"/>
      <c r="F97" s="824"/>
    </row>
    <row r="98" spans="1:6" ht="179.4">
      <c r="A98" s="778"/>
      <c r="B98" s="835" t="s">
        <v>4289</v>
      </c>
      <c r="D98" s="790"/>
      <c r="F98" s="824"/>
    </row>
    <row r="99" spans="1:6" ht="27.6">
      <c r="A99" s="778"/>
      <c r="B99" s="835" t="s">
        <v>2384</v>
      </c>
      <c r="D99" s="790"/>
      <c r="F99" s="824"/>
    </row>
    <row r="100" spans="1:6" ht="27.6">
      <c r="A100" s="778"/>
      <c r="B100" s="835" t="s">
        <v>2385</v>
      </c>
      <c r="D100" s="790"/>
      <c r="F100" s="824"/>
    </row>
    <row r="101" spans="1:6">
      <c r="A101" s="778"/>
      <c r="B101" s="835" t="s">
        <v>2399</v>
      </c>
      <c r="D101" s="790"/>
      <c r="F101" s="824"/>
    </row>
    <row r="102" spans="1:6">
      <c r="A102" s="778"/>
      <c r="B102" s="835" t="s">
        <v>4290</v>
      </c>
      <c r="D102" s="790"/>
      <c r="F102" s="824"/>
    </row>
    <row r="103" spans="1:6">
      <c r="A103" s="778"/>
      <c r="B103" s="835" t="s">
        <v>2386</v>
      </c>
      <c r="D103" s="790"/>
      <c r="F103" s="824"/>
    </row>
    <row r="104" spans="1:6">
      <c r="A104" s="778"/>
      <c r="B104" s="835" t="s">
        <v>4291</v>
      </c>
      <c r="D104" s="790"/>
      <c r="F104" s="824"/>
    </row>
    <row r="105" spans="1:6">
      <c r="A105" s="778"/>
      <c r="B105" s="835" t="s">
        <v>4292</v>
      </c>
      <c r="D105" s="790"/>
      <c r="F105" s="824"/>
    </row>
    <row r="106" spans="1:6">
      <c r="A106" s="778"/>
      <c r="B106" s="835" t="s">
        <v>2387</v>
      </c>
      <c r="D106" s="790"/>
      <c r="F106" s="824"/>
    </row>
    <row r="107" spans="1:6">
      <c r="A107" s="778"/>
      <c r="B107" s="835" t="s">
        <v>2388</v>
      </c>
      <c r="D107" s="790"/>
      <c r="F107" s="824"/>
    </row>
    <row r="108" spans="1:6">
      <c r="A108" s="778"/>
      <c r="B108" s="835" t="s">
        <v>4293</v>
      </c>
      <c r="D108" s="790"/>
      <c r="F108" s="824"/>
    </row>
    <row r="109" spans="1:6">
      <c r="A109" s="778"/>
      <c r="B109" s="835" t="s">
        <v>4294</v>
      </c>
      <c r="D109" s="790"/>
      <c r="F109" s="824"/>
    </row>
    <row r="110" spans="1:6">
      <c r="A110" s="778"/>
      <c r="B110" s="835" t="s">
        <v>4295</v>
      </c>
      <c r="D110" s="790"/>
      <c r="F110" s="824"/>
    </row>
    <row r="111" spans="1:6">
      <c r="A111" s="778"/>
      <c r="B111" s="835" t="s">
        <v>2389</v>
      </c>
      <c r="D111" s="790"/>
      <c r="F111" s="824"/>
    </row>
    <row r="112" spans="1:6">
      <c r="A112" s="778"/>
      <c r="B112" s="835" t="s">
        <v>2390</v>
      </c>
      <c r="D112" s="790"/>
      <c r="F112" s="824"/>
    </row>
    <row r="113" spans="1:6">
      <c r="A113" s="778"/>
      <c r="B113" s="835" t="s">
        <v>2391</v>
      </c>
      <c r="D113" s="790"/>
      <c r="F113" s="824"/>
    </row>
    <row r="114" spans="1:6">
      <c r="A114" s="778"/>
      <c r="B114" s="835" t="s">
        <v>4296</v>
      </c>
      <c r="D114" s="790"/>
      <c r="F114" s="824"/>
    </row>
    <row r="115" spans="1:6">
      <c r="A115" s="778"/>
      <c r="B115" s="835" t="s">
        <v>4297</v>
      </c>
      <c r="D115" s="790"/>
      <c r="F115" s="824"/>
    </row>
    <row r="116" spans="1:6">
      <c r="A116" s="778"/>
      <c r="B116" s="835" t="s">
        <v>4298</v>
      </c>
      <c r="D116" s="790"/>
      <c r="F116" s="824"/>
    </row>
    <row r="117" spans="1:6">
      <c r="A117" s="778"/>
      <c r="B117" s="835" t="s">
        <v>4299</v>
      </c>
      <c r="D117" s="790"/>
      <c r="F117" s="824"/>
    </row>
    <row r="118" spans="1:6">
      <c r="A118" s="778"/>
      <c r="B118" s="835" t="s">
        <v>4300</v>
      </c>
      <c r="D118" s="790"/>
      <c r="F118" s="824"/>
    </row>
    <row r="119" spans="1:6" ht="27.6">
      <c r="A119" s="778"/>
      <c r="B119" s="835" t="s">
        <v>4301</v>
      </c>
      <c r="D119" s="790"/>
      <c r="F119" s="824"/>
    </row>
    <row r="120" spans="1:6" ht="41.4">
      <c r="A120" s="778"/>
      <c r="B120" s="835" t="s">
        <v>4760</v>
      </c>
      <c r="D120" s="790"/>
      <c r="F120" s="824"/>
    </row>
    <row r="121" spans="1:6">
      <c r="A121" s="778"/>
      <c r="B121" s="835" t="s">
        <v>4302</v>
      </c>
      <c r="D121" s="790"/>
      <c r="F121" s="824"/>
    </row>
    <row r="122" spans="1:6">
      <c r="A122" s="778"/>
      <c r="B122" s="835" t="s">
        <v>4303</v>
      </c>
      <c r="D122" s="790"/>
      <c r="F122" s="824"/>
    </row>
    <row r="123" spans="1:6">
      <c r="A123" s="778"/>
      <c r="B123" s="835" t="s">
        <v>4304</v>
      </c>
      <c r="C123" s="779" t="s">
        <v>649</v>
      </c>
      <c r="D123" s="795">
        <v>1</v>
      </c>
      <c r="E123" s="790">
        <v>12000</v>
      </c>
      <c r="F123" s="824">
        <f>D123*E123</f>
        <v>12000</v>
      </c>
    </row>
    <row r="124" spans="1:6">
      <c r="A124" s="778"/>
      <c r="D124" s="790"/>
      <c r="F124" s="824"/>
    </row>
    <row r="125" spans="1:6" ht="82.8">
      <c r="A125" s="778" t="s">
        <v>1981</v>
      </c>
      <c r="B125" s="835" t="s">
        <v>4761</v>
      </c>
      <c r="D125" s="790"/>
      <c r="F125" s="824"/>
    </row>
    <row r="126" spans="1:6" ht="110.4">
      <c r="A126" s="778"/>
      <c r="B126" s="835" t="s">
        <v>4305</v>
      </c>
      <c r="D126" s="790"/>
      <c r="F126" s="824"/>
    </row>
    <row r="127" spans="1:6">
      <c r="A127" s="778"/>
      <c r="B127" s="835" t="s">
        <v>4306</v>
      </c>
      <c r="D127" s="790"/>
      <c r="F127" s="824"/>
    </row>
    <row r="128" spans="1:6" ht="27.6">
      <c r="A128" s="778"/>
      <c r="B128" s="835" t="s">
        <v>4307</v>
      </c>
      <c r="D128" s="790"/>
      <c r="F128" s="824"/>
    </row>
    <row r="129" spans="1:6">
      <c r="A129" s="778"/>
      <c r="B129" s="835" t="s">
        <v>4308</v>
      </c>
      <c r="D129" s="790"/>
      <c r="F129" s="824"/>
    </row>
    <row r="130" spans="1:6">
      <c r="A130" s="778"/>
      <c r="B130" s="835" t="s">
        <v>2392</v>
      </c>
      <c r="D130" s="790"/>
      <c r="F130" s="824"/>
    </row>
    <row r="131" spans="1:6">
      <c r="A131" s="778"/>
      <c r="B131" s="835" t="s">
        <v>4309</v>
      </c>
      <c r="D131" s="790"/>
      <c r="F131" s="824"/>
    </row>
    <row r="132" spans="1:6">
      <c r="A132" s="778"/>
      <c r="B132" s="835" t="s">
        <v>2393</v>
      </c>
      <c r="D132" s="790"/>
      <c r="F132" s="824"/>
    </row>
    <row r="133" spans="1:6">
      <c r="A133" s="778"/>
      <c r="B133" s="835" t="s">
        <v>4310</v>
      </c>
      <c r="D133" s="790"/>
      <c r="F133" s="824"/>
    </row>
    <row r="134" spans="1:6">
      <c r="A134" s="778"/>
      <c r="B134" s="835" t="s">
        <v>4311</v>
      </c>
      <c r="D134" s="790"/>
      <c r="F134" s="824"/>
    </row>
    <row r="135" spans="1:6">
      <c r="A135" s="778"/>
      <c r="B135" s="835" t="s">
        <v>4312</v>
      </c>
      <c r="D135" s="790"/>
      <c r="F135" s="824"/>
    </row>
    <row r="136" spans="1:6">
      <c r="A136" s="778"/>
      <c r="B136" s="835" t="s">
        <v>4313</v>
      </c>
      <c r="D136" s="790"/>
      <c r="F136" s="824"/>
    </row>
    <row r="137" spans="1:6">
      <c r="A137" s="778"/>
      <c r="B137" s="835" t="s">
        <v>4314</v>
      </c>
      <c r="D137" s="790"/>
      <c r="F137" s="824"/>
    </row>
    <row r="138" spans="1:6" ht="27.6">
      <c r="A138" s="778"/>
      <c r="B138" s="835" t="s">
        <v>4315</v>
      </c>
      <c r="D138" s="790"/>
      <c r="F138" s="824"/>
    </row>
    <row r="139" spans="1:6">
      <c r="A139" s="778"/>
      <c r="B139" s="835" t="s">
        <v>4316</v>
      </c>
      <c r="D139" s="790"/>
      <c r="F139" s="824"/>
    </row>
    <row r="140" spans="1:6">
      <c r="A140" s="778"/>
      <c r="B140" s="835" t="s">
        <v>4317</v>
      </c>
      <c r="C140" s="779" t="s">
        <v>649</v>
      </c>
      <c r="D140" s="795">
        <v>1</v>
      </c>
      <c r="E140" s="790">
        <v>4000</v>
      </c>
      <c r="F140" s="824">
        <f>D140*E140</f>
        <v>4000</v>
      </c>
    </row>
    <row r="141" spans="1:6">
      <c r="A141" s="778"/>
      <c r="D141" s="790"/>
      <c r="F141" s="824"/>
    </row>
    <row r="142" spans="1:6" ht="82.8">
      <c r="A142" s="778" t="s">
        <v>1982</v>
      </c>
      <c r="B142" s="835" t="s">
        <v>4762</v>
      </c>
      <c r="D142" s="790"/>
      <c r="F142" s="824"/>
    </row>
    <row r="143" spans="1:6" ht="27.6">
      <c r="A143" s="778"/>
      <c r="B143" s="835" t="s">
        <v>4318</v>
      </c>
      <c r="D143" s="790"/>
      <c r="F143" s="824"/>
    </row>
    <row r="144" spans="1:6" ht="55.2">
      <c r="A144" s="778"/>
      <c r="B144" s="835" t="s">
        <v>2394</v>
      </c>
      <c r="C144" s="779" t="s">
        <v>649</v>
      </c>
      <c r="D144" s="795">
        <v>1</v>
      </c>
      <c r="E144" s="790">
        <v>300</v>
      </c>
      <c r="F144" s="824">
        <f>D144*E144</f>
        <v>300</v>
      </c>
    </row>
    <row r="145" spans="1:6">
      <c r="A145" s="778"/>
      <c r="D145" s="790"/>
      <c r="F145" s="824"/>
    </row>
    <row r="146" spans="1:6" ht="41.4">
      <c r="A146" s="778" t="s">
        <v>1983</v>
      </c>
      <c r="B146" s="835" t="s">
        <v>4284</v>
      </c>
      <c r="C146" s="779" t="s">
        <v>670</v>
      </c>
      <c r="D146" s="795">
        <v>1</v>
      </c>
      <c r="E146" s="790">
        <v>500</v>
      </c>
      <c r="F146" s="824">
        <f>D146*E146</f>
        <v>500</v>
      </c>
    </row>
    <row r="147" spans="1:6">
      <c r="A147" s="778"/>
      <c r="D147" s="790"/>
      <c r="F147" s="824"/>
    </row>
    <row r="148" spans="1:6" ht="96.6">
      <c r="A148" s="778" t="s">
        <v>1987</v>
      </c>
      <c r="B148" s="835" t="s">
        <v>4319</v>
      </c>
      <c r="C148" s="779" t="s">
        <v>670</v>
      </c>
      <c r="D148" s="795">
        <v>1</v>
      </c>
      <c r="E148" s="790">
        <v>600</v>
      </c>
      <c r="F148" s="824">
        <f>D148*E148</f>
        <v>600</v>
      </c>
    </row>
    <row r="149" spans="1:6">
      <c r="A149" s="778"/>
      <c r="D149" s="795"/>
      <c r="F149" s="824"/>
    </row>
    <row r="150" spans="1:6">
      <c r="A150" s="778" t="s">
        <v>1988</v>
      </c>
      <c r="B150" s="835" t="s">
        <v>4320</v>
      </c>
      <c r="D150" s="797"/>
      <c r="E150" s="791"/>
      <c r="F150" s="824"/>
    </row>
    <row r="151" spans="1:6">
      <c r="A151" s="778"/>
      <c r="B151" s="835" t="s">
        <v>4321</v>
      </c>
      <c r="C151" s="779" t="s">
        <v>645</v>
      </c>
      <c r="D151" s="797">
        <v>5</v>
      </c>
      <c r="E151" s="791">
        <v>150</v>
      </c>
      <c r="F151" s="824">
        <f>D151*E151</f>
        <v>750</v>
      </c>
    </row>
    <row r="152" spans="1:6">
      <c r="A152" s="778"/>
      <c r="D152" s="790"/>
      <c r="F152" s="824"/>
    </row>
    <row r="153" spans="1:6">
      <c r="A153" s="778" t="s">
        <v>1990</v>
      </c>
      <c r="B153" s="835" t="s">
        <v>4322</v>
      </c>
      <c r="D153" s="797"/>
      <c r="E153" s="791"/>
      <c r="F153" s="824"/>
    </row>
    <row r="154" spans="1:6" ht="55.2">
      <c r="A154" s="778"/>
      <c r="B154" s="835" t="s">
        <v>4323</v>
      </c>
      <c r="D154" s="797"/>
      <c r="E154" s="791"/>
      <c r="F154" s="824"/>
    </row>
    <row r="155" spans="1:6" ht="27.6">
      <c r="A155" s="778"/>
      <c r="B155" s="835" t="s">
        <v>4324</v>
      </c>
      <c r="D155" s="797"/>
      <c r="E155" s="791"/>
      <c r="F155" s="824"/>
    </row>
    <row r="156" spans="1:6">
      <c r="A156" s="778"/>
      <c r="B156" s="835" t="s">
        <v>2395</v>
      </c>
      <c r="D156" s="797"/>
      <c r="E156" s="791"/>
      <c r="F156" s="824"/>
    </row>
    <row r="157" spans="1:6">
      <c r="A157" s="778"/>
      <c r="B157" s="835" t="s">
        <v>4325</v>
      </c>
      <c r="D157" s="797"/>
      <c r="E157" s="791"/>
      <c r="F157" s="824"/>
    </row>
    <row r="158" spans="1:6">
      <c r="A158" s="778"/>
      <c r="B158" s="835" t="s">
        <v>4326</v>
      </c>
      <c r="D158" s="797"/>
      <c r="E158" s="791"/>
      <c r="F158" s="824"/>
    </row>
    <row r="159" spans="1:6">
      <c r="A159" s="778"/>
      <c r="B159" s="835" t="s">
        <v>4327</v>
      </c>
      <c r="D159" s="797"/>
      <c r="E159" s="791"/>
      <c r="F159" s="824"/>
    </row>
    <row r="160" spans="1:6">
      <c r="A160" s="778"/>
      <c r="B160" s="835" t="s">
        <v>4328</v>
      </c>
      <c r="D160" s="797"/>
      <c r="E160" s="791"/>
      <c r="F160" s="824"/>
    </row>
    <row r="161" spans="1:6">
      <c r="A161" s="778"/>
      <c r="B161" s="835" t="s">
        <v>4329</v>
      </c>
      <c r="D161" s="797"/>
      <c r="E161" s="791"/>
      <c r="F161" s="824"/>
    </row>
    <row r="162" spans="1:6">
      <c r="A162" s="778"/>
      <c r="B162" s="835" t="s">
        <v>4330</v>
      </c>
      <c r="C162" s="779" t="s">
        <v>649</v>
      </c>
      <c r="D162" s="797">
        <v>2</v>
      </c>
      <c r="E162" s="791">
        <v>2000</v>
      </c>
      <c r="F162" s="824">
        <f>D162*E162</f>
        <v>4000</v>
      </c>
    </row>
    <row r="163" spans="1:6">
      <c r="A163" s="778"/>
      <c r="D163" s="791"/>
      <c r="F163" s="824"/>
    </row>
    <row r="164" spans="1:6" ht="165.6">
      <c r="A164" s="778" t="s">
        <v>1991</v>
      </c>
      <c r="B164" s="835" t="s">
        <v>4331</v>
      </c>
      <c r="C164" s="779" t="s">
        <v>649</v>
      </c>
      <c r="D164" s="797">
        <v>1</v>
      </c>
      <c r="E164" s="791">
        <v>800</v>
      </c>
      <c r="F164" s="824">
        <f>D164*E164</f>
        <v>800</v>
      </c>
    </row>
    <row r="165" spans="1:6">
      <c r="A165" s="778"/>
      <c r="D165" s="795"/>
      <c r="F165" s="824"/>
    </row>
    <row r="166" spans="1:6" ht="151.80000000000001">
      <c r="A166" s="778" t="s">
        <v>1992</v>
      </c>
      <c r="B166" s="835" t="s">
        <v>4332</v>
      </c>
      <c r="C166" s="779" t="s">
        <v>649</v>
      </c>
      <c r="D166" s="797">
        <v>1</v>
      </c>
      <c r="E166" s="791">
        <v>800</v>
      </c>
      <c r="F166" s="824">
        <f>D166*E166</f>
        <v>800</v>
      </c>
    </row>
    <row r="167" spans="1:6">
      <c r="A167" s="778"/>
      <c r="D167" s="797"/>
      <c r="E167" s="791"/>
      <c r="F167" s="824"/>
    </row>
    <row r="168" spans="1:6" ht="124.2">
      <c r="A168" s="778" t="s">
        <v>1993</v>
      </c>
      <c r="B168" s="835" t="s">
        <v>5145</v>
      </c>
      <c r="D168" s="797"/>
      <c r="E168" s="791"/>
      <c r="F168" s="824"/>
    </row>
    <row r="169" spans="1:6">
      <c r="A169" s="778"/>
      <c r="B169" s="835" t="s">
        <v>4333</v>
      </c>
      <c r="D169" s="797"/>
      <c r="E169" s="791"/>
      <c r="F169" s="824"/>
    </row>
    <row r="170" spans="1:6">
      <c r="A170" s="778"/>
      <c r="B170" s="835" t="s">
        <v>4334</v>
      </c>
      <c r="D170" s="797"/>
      <c r="E170" s="791"/>
      <c r="F170" s="824"/>
    </row>
    <row r="171" spans="1:6">
      <c r="A171" s="778"/>
      <c r="B171" s="835" t="s">
        <v>4335</v>
      </c>
      <c r="D171" s="797"/>
      <c r="E171" s="791"/>
      <c r="F171" s="824"/>
    </row>
    <row r="172" spans="1:6" ht="27.6">
      <c r="A172" s="778"/>
      <c r="B172" s="835" t="s">
        <v>4336</v>
      </c>
      <c r="D172" s="797"/>
      <c r="E172" s="791"/>
      <c r="F172" s="824"/>
    </row>
    <row r="173" spans="1:6">
      <c r="A173" s="778"/>
      <c r="B173" s="835" t="s">
        <v>4337</v>
      </c>
      <c r="D173" s="797"/>
      <c r="E173" s="791"/>
      <c r="F173" s="824"/>
    </row>
    <row r="174" spans="1:6">
      <c r="A174" s="778"/>
      <c r="B174" s="835" t="s">
        <v>4338</v>
      </c>
      <c r="D174" s="797"/>
      <c r="E174" s="791"/>
      <c r="F174" s="824"/>
    </row>
    <row r="175" spans="1:6">
      <c r="A175" s="778"/>
      <c r="B175" s="835" t="s">
        <v>4339</v>
      </c>
      <c r="D175" s="797"/>
      <c r="E175" s="791"/>
      <c r="F175" s="824"/>
    </row>
    <row r="176" spans="1:6">
      <c r="A176" s="778"/>
      <c r="B176" s="835" t="s">
        <v>4340</v>
      </c>
      <c r="D176" s="797"/>
      <c r="E176" s="791"/>
      <c r="F176" s="824"/>
    </row>
    <row r="177" spans="1:6">
      <c r="A177" s="778"/>
      <c r="B177" s="835" t="s">
        <v>4341</v>
      </c>
      <c r="D177" s="797"/>
      <c r="E177" s="791"/>
      <c r="F177" s="824"/>
    </row>
    <row r="178" spans="1:6">
      <c r="A178" s="778"/>
      <c r="B178" s="835" t="s">
        <v>4342</v>
      </c>
      <c r="D178" s="797"/>
      <c r="E178" s="791"/>
      <c r="F178" s="824"/>
    </row>
    <row r="179" spans="1:6">
      <c r="A179" s="778"/>
      <c r="B179" s="835" t="s">
        <v>4343</v>
      </c>
      <c r="D179" s="797"/>
      <c r="E179" s="791"/>
      <c r="F179" s="824"/>
    </row>
    <row r="180" spans="1:6" ht="27.6">
      <c r="A180" s="778"/>
      <c r="B180" s="835" t="s">
        <v>4344</v>
      </c>
      <c r="D180" s="797"/>
      <c r="E180" s="791"/>
      <c r="F180" s="824"/>
    </row>
    <row r="181" spans="1:6">
      <c r="A181" s="778"/>
      <c r="B181" s="835" t="s">
        <v>4345</v>
      </c>
      <c r="D181" s="797"/>
      <c r="E181" s="791"/>
      <c r="F181" s="824"/>
    </row>
    <row r="182" spans="1:6" ht="27.6">
      <c r="A182" s="778"/>
      <c r="B182" s="835" t="s">
        <v>4346</v>
      </c>
      <c r="D182" s="795"/>
      <c r="F182" s="824"/>
    </row>
    <row r="183" spans="1:6">
      <c r="A183" s="778"/>
      <c r="B183" s="835" t="s">
        <v>4347</v>
      </c>
      <c r="D183" s="795"/>
      <c r="F183" s="824"/>
    </row>
    <row r="184" spans="1:6" ht="27.6">
      <c r="A184" s="778"/>
      <c r="B184" s="835" t="s">
        <v>4348</v>
      </c>
      <c r="D184" s="795"/>
      <c r="F184" s="824"/>
    </row>
    <row r="185" spans="1:6" ht="27.6">
      <c r="A185" s="778"/>
      <c r="B185" s="835" t="s">
        <v>4349</v>
      </c>
      <c r="D185" s="795"/>
      <c r="F185" s="824"/>
    </row>
    <row r="186" spans="1:6">
      <c r="A186" s="778"/>
      <c r="B186" s="835" t="s">
        <v>4350</v>
      </c>
      <c r="D186" s="795"/>
      <c r="F186" s="824"/>
    </row>
    <row r="187" spans="1:6" ht="27.6">
      <c r="A187" s="778"/>
      <c r="B187" s="835" t="s">
        <v>4351</v>
      </c>
      <c r="D187" s="791"/>
      <c r="F187" s="824"/>
    </row>
    <row r="188" spans="1:6">
      <c r="A188" s="778"/>
      <c r="B188" s="835" t="s">
        <v>4352</v>
      </c>
      <c r="D188" s="791"/>
      <c r="F188" s="824"/>
    </row>
    <row r="189" spans="1:6" ht="27.6">
      <c r="A189" s="778"/>
      <c r="B189" s="835" t="s">
        <v>4348</v>
      </c>
      <c r="D189" s="795"/>
      <c r="F189" s="824"/>
    </row>
    <row r="190" spans="1:6">
      <c r="A190" s="778"/>
      <c r="B190" s="835" t="s">
        <v>4353</v>
      </c>
      <c r="C190" s="779" t="s">
        <v>649</v>
      </c>
      <c r="D190" s="795">
        <v>1</v>
      </c>
      <c r="E190" s="790">
        <v>3000</v>
      </c>
      <c r="F190" s="824">
        <f>D190*E190</f>
        <v>3000</v>
      </c>
    </row>
    <row r="191" spans="1:6">
      <c r="A191" s="778"/>
      <c r="D191" s="790"/>
      <c r="F191" s="824"/>
    </row>
    <row r="192" spans="1:6">
      <c r="A192" s="778" t="s">
        <v>1994</v>
      </c>
      <c r="B192" s="835" t="s">
        <v>4354</v>
      </c>
      <c r="D192" s="791"/>
      <c r="F192" s="824"/>
    </row>
    <row r="193" spans="1:6">
      <c r="A193" s="778"/>
      <c r="B193" s="835" t="s">
        <v>4355</v>
      </c>
      <c r="D193" s="791"/>
      <c r="F193" s="824"/>
    </row>
    <row r="194" spans="1:6">
      <c r="A194" s="778"/>
      <c r="B194" s="835" t="s">
        <v>4356</v>
      </c>
      <c r="D194" s="791"/>
      <c r="F194" s="824"/>
    </row>
    <row r="195" spans="1:6" ht="27.6">
      <c r="A195" s="778"/>
      <c r="B195" s="835" t="s">
        <v>4357</v>
      </c>
      <c r="D195" s="791"/>
      <c r="F195" s="824"/>
    </row>
    <row r="196" spans="1:6">
      <c r="A196" s="778"/>
      <c r="B196" s="835" t="s">
        <v>4358</v>
      </c>
      <c r="C196" s="779" t="s">
        <v>649</v>
      </c>
      <c r="D196" s="795">
        <v>1</v>
      </c>
      <c r="E196" s="790">
        <v>500</v>
      </c>
      <c r="F196" s="824">
        <f>D196*E196</f>
        <v>500</v>
      </c>
    </row>
    <row r="197" spans="1:6">
      <c r="A197" s="778"/>
      <c r="D197" s="791"/>
      <c r="F197" s="824"/>
    </row>
    <row r="198" spans="1:6">
      <c r="A198" s="778" t="s">
        <v>1995</v>
      </c>
      <c r="B198" s="835" t="s">
        <v>4359</v>
      </c>
      <c r="D198" s="791"/>
      <c r="F198" s="824"/>
    </row>
    <row r="199" spans="1:6">
      <c r="A199" s="778"/>
      <c r="B199" s="835" t="s">
        <v>4360</v>
      </c>
      <c r="D199" s="791"/>
      <c r="F199" s="824"/>
    </row>
    <row r="200" spans="1:6">
      <c r="A200" s="778"/>
      <c r="B200" s="835" t="s">
        <v>4361</v>
      </c>
      <c r="D200" s="791"/>
      <c r="F200" s="824"/>
    </row>
    <row r="201" spans="1:6" ht="27.6">
      <c r="A201" s="778"/>
      <c r="B201" s="835" t="s">
        <v>4362</v>
      </c>
      <c r="C201" s="779" t="s">
        <v>649</v>
      </c>
      <c r="D201" s="795">
        <v>1</v>
      </c>
      <c r="E201" s="790">
        <v>50</v>
      </c>
      <c r="F201" s="824">
        <f>D201*E201</f>
        <v>50</v>
      </c>
    </row>
    <row r="202" spans="1:6">
      <c r="A202" s="778"/>
      <c r="D202" s="795"/>
      <c r="F202" s="824"/>
    </row>
    <row r="203" spans="1:6" ht="96.6">
      <c r="A203" s="778" t="s">
        <v>1996</v>
      </c>
      <c r="B203" s="835" t="s">
        <v>4363</v>
      </c>
      <c r="D203" s="791"/>
      <c r="F203" s="824"/>
    </row>
    <row r="204" spans="1:6" ht="138">
      <c r="A204" s="778"/>
      <c r="B204" s="835" t="s">
        <v>4763</v>
      </c>
      <c r="D204" s="791"/>
      <c r="F204" s="824"/>
    </row>
    <row r="205" spans="1:6">
      <c r="A205" s="778"/>
      <c r="B205" s="835" t="s">
        <v>4364</v>
      </c>
      <c r="D205" s="791"/>
      <c r="F205" s="824"/>
    </row>
    <row r="206" spans="1:6">
      <c r="A206" s="778"/>
      <c r="B206" s="835" t="s">
        <v>4365</v>
      </c>
      <c r="D206" s="791"/>
      <c r="F206" s="824"/>
    </row>
    <row r="207" spans="1:6">
      <c r="A207" s="778"/>
      <c r="B207" s="835" t="s">
        <v>4366</v>
      </c>
      <c r="D207" s="791"/>
      <c r="F207" s="824"/>
    </row>
    <row r="208" spans="1:6">
      <c r="A208" s="778"/>
      <c r="B208" s="835" t="s">
        <v>4367</v>
      </c>
      <c r="D208" s="791"/>
      <c r="F208" s="824"/>
    </row>
    <row r="209" spans="1:6">
      <c r="A209" s="778"/>
      <c r="B209" s="835" t="s">
        <v>4368</v>
      </c>
      <c r="D209" s="791"/>
      <c r="F209" s="824"/>
    </row>
    <row r="210" spans="1:6">
      <c r="A210" s="778"/>
      <c r="B210" s="835" t="s">
        <v>4369</v>
      </c>
      <c r="D210" s="791"/>
      <c r="F210" s="824"/>
    </row>
    <row r="211" spans="1:6" ht="27.6">
      <c r="A211" s="778"/>
      <c r="B211" s="835" t="s">
        <v>4370</v>
      </c>
      <c r="C211" s="779" t="s">
        <v>649</v>
      </c>
      <c r="D211" s="795">
        <v>1</v>
      </c>
      <c r="E211" s="790">
        <v>1200</v>
      </c>
      <c r="F211" s="824">
        <f>D211*E211</f>
        <v>1200</v>
      </c>
    </row>
    <row r="212" spans="1:6" ht="96.6">
      <c r="A212" s="778"/>
      <c r="B212" s="835" t="s">
        <v>4860</v>
      </c>
      <c r="D212" s="795"/>
      <c r="F212" s="824"/>
    </row>
    <row r="213" spans="1:6">
      <c r="A213" s="778"/>
      <c r="D213" s="791"/>
      <c r="F213" s="824"/>
    </row>
    <row r="214" spans="1:6" ht="179.4">
      <c r="A214" s="778" t="s">
        <v>1997</v>
      </c>
      <c r="B214" s="840" t="s">
        <v>4659</v>
      </c>
      <c r="C214" s="779" t="s">
        <v>649</v>
      </c>
      <c r="D214" s="795">
        <v>1</v>
      </c>
      <c r="E214" s="790">
        <v>1500</v>
      </c>
      <c r="F214" s="824">
        <f>D214*E214</f>
        <v>1500</v>
      </c>
    </row>
    <row r="215" spans="1:6">
      <c r="A215" s="778"/>
      <c r="D215" s="791"/>
      <c r="F215" s="824"/>
    </row>
    <row r="216" spans="1:6" ht="110.4">
      <c r="A216" s="778" t="s">
        <v>1998</v>
      </c>
      <c r="B216" s="840" t="s">
        <v>4371</v>
      </c>
      <c r="C216" s="779" t="s">
        <v>649</v>
      </c>
      <c r="D216" s="795">
        <v>1</v>
      </c>
      <c r="E216" s="790">
        <v>300</v>
      </c>
      <c r="F216" s="824">
        <f>D216*E216</f>
        <v>300</v>
      </c>
    </row>
    <row r="217" spans="1:6">
      <c r="A217" s="778"/>
      <c r="B217" s="840"/>
      <c r="D217" s="795"/>
      <c r="F217" s="824"/>
    </row>
    <row r="218" spans="1:6" ht="55.2">
      <c r="A218" s="778" t="s">
        <v>1999</v>
      </c>
      <c r="B218" s="840" t="s">
        <v>4764</v>
      </c>
      <c r="C218" s="779" t="s">
        <v>649</v>
      </c>
      <c r="D218" s="795">
        <v>1</v>
      </c>
      <c r="E218" s="790">
        <v>100</v>
      </c>
      <c r="F218" s="824">
        <f>D218*E218</f>
        <v>100</v>
      </c>
    </row>
    <row r="219" spans="1:6">
      <c r="A219" s="778"/>
      <c r="D219" s="791"/>
      <c r="F219" s="824"/>
    </row>
    <row r="220" spans="1:6" ht="110.4">
      <c r="A220" s="778" t="s">
        <v>2000</v>
      </c>
      <c r="B220" s="840" t="s">
        <v>4372</v>
      </c>
      <c r="C220" s="779" t="s">
        <v>649</v>
      </c>
      <c r="D220" s="795">
        <v>1</v>
      </c>
      <c r="E220" s="790">
        <v>400</v>
      </c>
      <c r="F220" s="824">
        <f>D220*E220</f>
        <v>400</v>
      </c>
    </row>
    <row r="221" spans="1:6">
      <c r="A221" s="778"/>
      <c r="D221" s="791"/>
      <c r="F221" s="824"/>
    </row>
    <row r="222" spans="1:6" ht="55.2">
      <c r="A222" s="778" t="s">
        <v>2001</v>
      </c>
      <c r="B222" s="840" t="s">
        <v>4765</v>
      </c>
      <c r="C222" s="779" t="s">
        <v>649</v>
      </c>
      <c r="D222" s="795">
        <v>1</v>
      </c>
      <c r="E222" s="790">
        <v>150</v>
      </c>
      <c r="F222" s="824">
        <f>D222*E222</f>
        <v>150</v>
      </c>
    </row>
    <row r="223" spans="1:6">
      <c r="A223" s="778"/>
      <c r="B223" s="840"/>
      <c r="D223" s="795"/>
      <c r="F223" s="824"/>
    </row>
    <row r="224" spans="1:6" ht="110.4">
      <c r="A224" s="778" t="s">
        <v>2002</v>
      </c>
      <c r="B224" s="840" t="s">
        <v>4373</v>
      </c>
      <c r="C224" s="779" t="s">
        <v>649</v>
      </c>
      <c r="D224" s="795">
        <v>1</v>
      </c>
      <c r="E224" s="790">
        <v>500</v>
      </c>
      <c r="F224" s="824">
        <f>D224*E224</f>
        <v>500</v>
      </c>
    </row>
    <row r="225" spans="1:6">
      <c r="A225" s="778"/>
      <c r="B225" s="840"/>
      <c r="D225" s="795"/>
      <c r="F225" s="824"/>
    </row>
    <row r="226" spans="1:6" ht="55.2">
      <c r="A226" s="778" t="s">
        <v>2003</v>
      </c>
      <c r="B226" s="840" t="s">
        <v>4766</v>
      </c>
      <c r="C226" s="779" t="s">
        <v>649</v>
      </c>
      <c r="D226" s="795">
        <v>1</v>
      </c>
      <c r="E226" s="790">
        <v>150</v>
      </c>
      <c r="F226" s="824">
        <f>D226*E226</f>
        <v>150</v>
      </c>
    </row>
    <row r="227" spans="1:6">
      <c r="A227" s="778"/>
      <c r="D227" s="790"/>
      <c r="F227" s="824"/>
    </row>
    <row r="228" spans="1:6" ht="165.6">
      <c r="A228" s="778" t="s">
        <v>2004</v>
      </c>
      <c r="B228" s="840" t="s">
        <v>4688</v>
      </c>
      <c r="C228" s="779" t="s">
        <v>649</v>
      </c>
      <c r="D228" s="795">
        <v>1</v>
      </c>
      <c r="E228" s="790">
        <v>800</v>
      </c>
      <c r="F228" s="824">
        <f>D228*E228</f>
        <v>800</v>
      </c>
    </row>
    <row r="229" spans="1:6">
      <c r="A229" s="778"/>
      <c r="B229" s="840"/>
      <c r="D229" s="795"/>
      <c r="F229" s="824"/>
    </row>
    <row r="230" spans="1:6" ht="41.4">
      <c r="A230" s="778" t="s">
        <v>2005</v>
      </c>
      <c r="B230" s="840" t="s">
        <v>4767</v>
      </c>
      <c r="C230" s="779" t="s">
        <v>649</v>
      </c>
      <c r="D230" s="795">
        <v>1</v>
      </c>
      <c r="E230" s="790">
        <v>500</v>
      </c>
      <c r="F230" s="824">
        <f>D230*E230</f>
        <v>500</v>
      </c>
    </row>
    <row r="231" spans="1:6">
      <c r="A231" s="778"/>
      <c r="D231" s="790"/>
      <c r="F231" s="824"/>
    </row>
    <row r="232" spans="1:6" ht="110.4">
      <c r="A232" s="778" t="s">
        <v>2006</v>
      </c>
      <c r="B232" s="835" t="s">
        <v>4768</v>
      </c>
      <c r="D232" s="791"/>
      <c r="F232" s="824"/>
    </row>
    <row r="233" spans="1:6">
      <c r="A233" s="778"/>
      <c r="B233" s="835" t="s">
        <v>4374</v>
      </c>
      <c r="D233" s="791"/>
      <c r="F233" s="824"/>
    </row>
    <row r="234" spans="1:6" ht="15.6">
      <c r="A234" s="778"/>
      <c r="B234" s="841" t="s">
        <v>4660</v>
      </c>
      <c r="D234" s="791"/>
      <c r="F234" s="824"/>
    </row>
    <row r="235" spans="1:6">
      <c r="A235" s="778"/>
      <c r="B235" s="841" t="s">
        <v>4375</v>
      </c>
      <c r="D235" s="791"/>
      <c r="F235" s="824"/>
    </row>
    <row r="236" spans="1:6">
      <c r="A236" s="778"/>
      <c r="B236" s="841" t="s">
        <v>4376</v>
      </c>
      <c r="D236" s="791"/>
      <c r="F236" s="824"/>
    </row>
    <row r="237" spans="1:6">
      <c r="A237" s="778"/>
      <c r="B237" s="841" t="s">
        <v>4377</v>
      </c>
      <c r="C237" s="779" t="s">
        <v>670</v>
      </c>
      <c r="D237" s="795">
        <v>1</v>
      </c>
      <c r="E237" s="790">
        <v>2000</v>
      </c>
      <c r="F237" s="824">
        <f>D237*E237</f>
        <v>2000</v>
      </c>
    </row>
    <row r="238" spans="1:6">
      <c r="A238" s="778"/>
      <c r="B238" s="841"/>
      <c r="D238" s="795"/>
      <c r="F238" s="824"/>
    </row>
    <row r="239" spans="1:6" ht="110.4">
      <c r="A239" s="778" t="s">
        <v>2007</v>
      </c>
      <c r="B239" s="835" t="s">
        <v>4768</v>
      </c>
      <c r="D239" s="791"/>
      <c r="F239" s="824"/>
    </row>
    <row r="240" spans="1:6">
      <c r="A240" s="778"/>
      <c r="B240" s="835" t="s">
        <v>4378</v>
      </c>
      <c r="D240" s="791"/>
      <c r="F240" s="824"/>
    </row>
    <row r="241" spans="1:6" ht="15.6">
      <c r="A241" s="778"/>
      <c r="B241" s="841" t="s">
        <v>4661</v>
      </c>
      <c r="D241" s="791"/>
      <c r="F241" s="824"/>
    </row>
    <row r="242" spans="1:6">
      <c r="A242" s="778"/>
      <c r="B242" s="841" t="s">
        <v>4379</v>
      </c>
      <c r="D242" s="791"/>
      <c r="F242" s="824"/>
    </row>
    <row r="243" spans="1:6">
      <c r="A243" s="778"/>
      <c r="B243" s="841" t="s">
        <v>4376</v>
      </c>
      <c r="D243" s="791"/>
      <c r="F243" s="824"/>
    </row>
    <row r="244" spans="1:6">
      <c r="A244" s="778"/>
      <c r="B244" s="841" t="s">
        <v>4377</v>
      </c>
      <c r="C244" s="779" t="s">
        <v>670</v>
      </c>
      <c r="D244" s="795">
        <v>1</v>
      </c>
      <c r="E244" s="790">
        <v>1500</v>
      </c>
      <c r="F244" s="824">
        <f>D244*E244</f>
        <v>1500</v>
      </c>
    </row>
    <row r="245" spans="1:6">
      <c r="A245" s="778"/>
      <c r="B245" s="841"/>
      <c r="D245" s="795"/>
      <c r="F245" s="824"/>
    </row>
    <row r="246" spans="1:6" ht="110.4">
      <c r="A246" s="778" t="s">
        <v>2008</v>
      </c>
      <c r="B246" s="835" t="s">
        <v>4768</v>
      </c>
      <c r="D246" s="791"/>
      <c r="F246" s="824"/>
    </row>
    <row r="247" spans="1:6">
      <c r="A247" s="778"/>
      <c r="B247" s="835" t="s">
        <v>4380</v>
      </c>
      <c r="D247" s="791"/>
      <c r="F247" s="824"/>
    </row>
    <row r="248" spans="1:6" ht="15.6">
      <c r="A248" s="778"/>
      <c r="B248" s="841" t="s">
        <v>4662</v>
      </c>
      <c r="D248" s="791"/>
      <c r="F248" s="824"/>
    </row>
    <row r="249" spans="1:6">
      <c r="A249" s="778"/>
      <c r="B249" s="841" t="s">
        <v>4379</v>
      </c>
      <c r="D249" s="791"/>
      <c r="F249" s="824"/>
    </row>
    <row r="250" spans="1:6">
      <c r="A250" s="778"/>
      <c r="B250" s="841" t="s">
        <v>4376</v>
      </c>
      <c r="D250" s="791"/>
      <c r="F250" s="824"/>
    </row>
    <row r="251" spans="1:6">
      <c r="A251" s="778"/>
      <c r="B251" s="841" t="s">
        <v>4377</v>
      </c>
      <c r="C251" s="779" t="s">
        <v>670</v>
      </c>
      <c r="D251" s="795">
        <v>1</v>
      </c>
      <c r="E251" s="790">
        <v>2000</v>
      </c>
      <c r="F251" s="824">
        <f>D251*E251</f>
        <v>2000</v>
      </c>
    </row>
    <row r="252" spans="1:6">
      <c r="A252" s="778"/>
      <c r="B252" s="841"/>
      <c r="D252" s="795"/>
      <c r="F252" s="824"/>
    </row>
    <row r="253" spans="1:6" ht="110.4">
      <c r="A253" s="778" t="s">
        <v>2009</v>
      </c>
      <c r="B253" s="835" t="s">
        <v>4768</v>
      </c>
      <c r="D253" s="791"/>
      <c r="F253" s="824"/>
    </row>
    <row r="254" spans="1:6">
      <c r="A254" s="778"/>
      <c r="B254" s="835" t="s">
        <v>4381</v>
      </c>
      <c r="D254" s="791"/>
      <c r="F254" s="824"/>
    </row>
    <row r="255" spans="1:6" ht="15.6">
      <c r="A255" s="778"/>
      <c r="B255" s="841" t="s">
        <v>4663</v>
      </c>
      <c r="D255" s="791"/>
      <c r="F255" s="824"/>
    </row>
    <row r="256" spans="1:6">
      <c r="A256" s="778"/>
      <c r="B256" s="841" t="s">
        <v>4382</v>
      </c>
      <c r="D256" s="791"/>
      <c r="F256" s="824"/>
    </row>
    <row r="257" spans="1:6">
      <c r="A257" s="778"/>
      <c r="B257" s="841" t="s">
        <v>4376</v>
      </c>
      <c r="D257" s="791"/>
      <c r="F257" s="824"/>
    </row>
    <row r="258" spans="1:6">
      <c r="A258" s="778"/>
      <c r="B258" s="841" t="s">
        <v>4377</v>
      </c>
      <c r="C258" s="779" t="s">
        <v>670</v>
      </c>
      <c r="D258" s="795">
        <v>1</v>
      </c>
      <c r="E258" s="790">
        <v>1000</v>
      </c>
      <c r="F258" s="824">
        <f>D258*E258</f>
        <v>1000</v>
      </c>
    </row>
    <row r="259" spans="1:6">
      <c r="A259" s="778"/>
      <c r="B259" s="841"/>
      <c r="D259" s="795"/>
      <c r="F259" s="824"/>
    </row>
    <row r="260" spans="1:6" ht="96.6">
      <c r="A260" s="778" t="s">
        <v>2010</v>
      </c>
      <c r="B260" s="835" t="s">
        <v>4769</v>
      </c>
      <c r="D260" s="791"/>
      <c r="F260" s="824"/>
    </row>
    <row r="261" spans="1:6">
      <c r="A261" s="778"/>
      <c r="B261" s="835" t="s">
        <v>4383</v>
      </c>
      <c r="D261" s="791"/>
      <c r="F261" s="824"/>
    </row>
    <row r="262" spans="1:6" ht="15.6">
      <c r="A262" s="778"/>
      <c r="B262" s="841" t="s">
        <v>4664</v>
      </c>
      <c r="D262" s="791"/>
      <c r="F262" s="824"/>
    </row>
    <row r="263" spans="1:6">
      <c r="A263" s="778"/>
      <c r="B263" s="841" t="s">
        <v>4382</v>
      </c>
      <c r="D263" s="791"/>
      <c r="F263" s="824"/>
    </row>
    <row r="264" spans="1:6">
      <c r="A264" s="778"/>
      <c r="B264" s="841" t="s">
        <v>4376</v>
      </c>
      <c r="D264" s="791"/>
      <c r="F264" s="824"/>
    </row>
    <row r="265" spans="1:6">
      <c r="A265" s="778"/>
      <c r="B265" s="841" t="s">
        <v>4377</v>
      </c>
      <c r="C265" s="779" t="s">
        <v>670</v>
      </c>
      <c r="D265" s="795">
        <v>1</v>
      </c>
      <c r="E265" s="790">
        <v>800</v>
      </c>
      <c r="F265" s="824">
        <f>D265*E265</f>
        <v>800</v>
      </c>
    </row>
    <row r="266" spans="1:6">
      <c r="A266" s="778"/>
      <c r="B266" s="841"/>
      <c r="D266" s="795"/>
      <c r="F266" s="824"/>
    </row>
    <row r="267" spans="1:6" ht="96.6">
      <c r="A267" s="778" t="s">
        <v>2011</v>
      </c>
      <c r="B267" s="835" t="s">
        <v>4384</v>
      </c>
      <c r="D267" s="791"/>
      <c r="F267" s="824"/>
    </row>
    <row r="268" spans="1:6">
      <c r="A268" s="778"/>
      <c r="B268" s="835" t="s">
        <v>4385</v>
      </c>
      <c r="D268" s="791"/>
      <c r="F268" s="824"/>
    </row>
    <row r="269" spans="1:6" ht="15.6">
      <c r="A269" s="778"/>
      <c r="B269" s="841" t="s">
        <v>4665</v>
      </c>
      <c r="D269" s="791"/>
      <c r="F269" s="824"/>
    </row>
    <row r="270" spans="1:6">
      <c r="A270" s="778"/>
      <c r="B270" s="841" t="s">
        <v>4386</v>
      </c>
      <c r="D270" s="791"/>
      <c r="F270" s="824"/>
    </row>
    <row r="271" spans="1:6">
      <c r="A271" s="778"/>
      <c r="B271" s="841" t="s">
        <v>4376</v>
      </c>
      <c r="D271" s="791"/>
      <c r="F271" s="824"/>
    </row>
    <row r="272" spans="1:6">
      <c r="A272" s="778"/>
      <c r="B272" s="841" t="s">
        <v>4377</v>
      </c>
      <c r="C272" s="779" t="s">
        <v>670</v>
      </c>
      <c r="D272" s="795">
        <v>1</v>
      </c>
      <c r="E272" s="790">
        <v>800</v>
      </c>
      <c r="F272" s="824">
        <f>D272*E272</f>
        <v>800</v>
      </c>
    </row>
    <row r="273" spans="1:6">
      <c r="A273" s="778"/>
      <c r="B273" s="841"/>
      <c r="D273" s="795"/>
      <c r="F273" s="824"/>
    </row>
    <row r="274" spans="1:6" ht="179.4">
      <c r="A274" s="778" t="s">
        <v>2012</v>
      </c>
      <c r="B274" s="835" t="s">
        <v>4387</v>
      </c>
      <c r="D274" s="797"/>
      <c r="E274" s="791"/>
      <c r="F274" s="824"/>
    </row>
    <row r="275" spans="1:6">
      <c r="A275" s="778"/>
      <c r="B275" s="835" t="s">
        <v>4388</v>
      </c>
      <c r="D275" s="797"/>
      <c r="E275" s="791"/>
      <c r="F275" s="824"/>
    </row>
    <row r="276" spans="1:6">
      <c r="A276" s="778"/>
      <c r="B276" s="835" t="s">
        <v>4389</v>
      </c>
      <c r="D276" s="797"/>
      <c r="E276" s="791"/>
      <c r="F276" s="824"/>
    </row>
    <row r="277" spans="1:6">
      <c r="A277" s="778"/>
      <c r="B277" s="835" t="s">
        <v>4390</v>
      </c>
      <c r="D277" s="797"/>
      <c r="E277" s="791"/>
      <c r="F277" s="824"/>
    </row>
    <row r="278" spans="1:6">
      <c r="A278" s="778"/>
      <c r="B278" s="835" t="s">
        <v>4391</v>
      </c>
      <c r="D278" s="797"/>
      <c r="E278" s="791"/>
      <c r="F278" s="824"/>
    </row>
    <row r="279" spans="1:6">
      <c r="A279" s="778"/>
      <c r="B279" s="835" t="s">
        <v>4392</v>
      </c>
      <c r="D279" s="797"/>
      <c r="E279" s="791"/>
      <c r="F279" s="824"/>
    </row>
    <row r="280" spans="1:6">
      <c r="A280" s="778"/>
      <c r="B280" s="835" t="s">
        <v>4393</v>
      </c>
      <c r="C280" s="779" t="s">
        <v>697</v>
      </c>
      <c r="D280" s="797">
        <v>80</v>
      </c>
      <c r="E280" s="791">
        <v>10</v>
      </c>
      <c r="F280" s="824">
        <f>D280*E280</f>
        <v>800</v>
      </c>
    </row>
    <row r="281" spans="1:6">
      <c r="A281" s="778"/>
      <c r="D281" s="790"/>
      <c r="F281" s="824"/>
    </row>
    <row r="282" spans="1:6" s="775" customFormat="1" ht="207">
      <c r="A282" s="778" t="s">
        <v>2014</v>
      </c>
      <c r="B282" s="835" t="s">
        <v>4394</v>
      </c>
      <c r="C282" s="779"/>
      <c r="D282" s="797"/>
      <c r="E282" s="790"/>
      <c r="F282" s="828"/>
    </row>
    <row r="283" spans="1:6" s="775" customFormat="1">
      <c r="A283" s="778" t="s">
        <v>48</v>
      </c>
      <c r="B283" s="841" t="s">
        <v>4285</v>
      </c>
      <c r="C283" s="779" t="s">
        <v>649</v>
      </c>
      <c r="D283" s="797">
        <v>1</v>
      </c>
      <c r="E283" s="791">
        <v>150</v>
      </c>
      <c r="F283" s="824">
        <f>D283*E283</f>
        <v>150</v>
      </c>
    </row>
    <row r="284" spans="1:6" s="775" customFormat="1">
      <c r="A284" s="778" t="s">
        <v>49</v>
      </c>
      <c r="B284" s="841" t="s">
        <v>4395</v>
      </c>
      <c r="C284" s="779" t="s">
        <v>649</v>
      </c>
      <c r="D284" s="797">
        <v>1</v>
      </c>
      <c r="E284" s="791">
        <v>130</v>
      </c>
      <c r="F284" s="824">
        <f>D284*E284</f>
        <v>130</v>
      </c>
    </row>
    <row r="285" spans="1:6" s="775" customFormat="1">
      <c r="A285" s="778" t="s">
        <v>51</v>
      </c>
      <c r="B285" s="841" t="s">
        <v>4396</v>
      </c>
      <c r="C285" s="779" t="s">
        <v>649</v>
      </c>
      <c r="D285" s="797">
        <v>1</v>
      </c>
      <c r="E285" s="791">
        <v>100</v>
      </c>
      <c r="F285" s="824">
        <f>D285*E285</f>
        <v>100</v>
      </c>
    </row>
    <row r="286" spans="1:6" s="775" customFormat="1">
      <c r="A286" s="778" t="s">
        <v>53</v>
      </c>
      <c r="B286" s="841" t="s">
        <v>4397</v>
      </c>
      <c r="C286" s="779" t="s">
        <v>649</v>
      </c>
      <c r="D286" s="797">
        <v>2</v>
      </c>
      <c r="E286" s="791">
        <v>80</v>
      </c>
      <c r="F286" s="824">
        <f>D286*E286</f>
        <v>160</v>
      </c>
    </row>
    <row r="287" spans="1:6" s="775" customFormat="1">
      <c r="A287" s="778" t="s">
        <v>698</v>
      </c>
      <c r="B287" s="841" t="s">
        <v>4398</v>
      </c>
      <c r="C287" s="779" t="s">
        <v>649</v>
      </c>
      <c r="D287" s="797">
        <v>2</v>
      </c>
      <c r="E287" s="791">
        <v>60</v>
      </c>
      <c r="F287" s="824">
        <f>D287*E287</f>
        <v>120</v>
      </c>
    </row>
    <row r="288" spans="1:6" s="775" customFormat="1">
      <c r="A288" s="778"/>
      <c r="B288" s="841"/>
      <c r="C288" s="779"/>
      <c r="D288" s="797"/>
      <c r="E288" s="791"/>
      <c r="F288" s="824"/>
    </row>
    <row r="289" spans="1:6" s="775" customFormat="1" ht="55.2">
      <c r="A289" s="778" t="s">
        <v>2015</v>
      </c>
      <c r="B289" s="835" t="s">
        <v>4770</v>
      </c>
      <c r="C289" s="779"/>
      <c r="D289" s="798"/>
      <c r="E289" s="799"/>
      <c r="F289" s="824"/>
    </row>
    <row r="290" spans="1:6" s="775" customFormat="1">
      <c r="A290" s="778" t="s">
        <v>48</v>
      </c>
      <c r="B290" s="835" t="s">
        <v>4399</v>
      </c>
      <c r="C290" s="782" t="s">
        <v>649</v>
      </c>
      <c r="D290" s="797">
        <v>1</v>
      </c>
      <c r="E290" s="800">
        <v>50</v>
      </c>
      <c r="F290" s="829">
        <f>E290*D290</f>
        <v>50</v>
      </c>
    </row>
    <row r="291" spans="1:6" s="775" customFormat="1">
      <c r="A291" s="778" t="s">
        <v>49</v>
      </c>
      <c r="B291" s="835" t="s">
        <v>4400</v>
      </c>
      <c r="C291" s="782" t="s">
        <v>649</v>
      </c>
      <c r="D291" s="797">
        <v>2</v>
      </c>
      <c r="E291" s="800">
        <v>40</v>
      </c>
      <c r="F291" s="829">
        <f>E291*D291</f>
        <v>80</v>
      </c>
    </row>
    <row r="292" spans="1:6" s="775" customFormat="1">
      <c r="A292" s="778" t="s">
        <v>51</v>
      </c>
      <c r="B292" s="835" t="s">
        <v>4401</v>
      </c>
      <c r="C292" s="782" t="s">
        <v>649</v>
      </c>
      <c r="D292" s="797">
        <v>2</v>
      </c>
      <c r="E292" s="800">
        <v>30</v>
      </c>
      <c r="F292" s="829">
        <f>E292*D292</f>
        <v>60</v>
      </c>
    </row>
    <row r="293" spans="1:6" s="775" customFormat="1">
      <c r="A293" s="778"/>
      <c r="B293" s="838"/>
      <c r="C293" s="783"/>
      <c r="D293" s="791"/>
      <c r="E293" s="790"/>
      <c r="F293" s="824"/>
    </row>
    <row r="294" spans="1:6" s="775" customFormat="1" ht="27.6">
      <c r="A294" s="778" t="s">
        <v>2016</v>
      </c>
      <c r="B294" s="913" t="s">
        <v>4402</v>
      </c>
      <c r="C294" s="783"/>
      <c r="D294" s="790"/>
      <c r="E294" s="790"/>
      <c r="F294" s="824"/>
    </row>
    <row r="295" spans="1:6" s="775" customFormat="1" ht="41.4">
      <c r="A295" s="778"/>
      <c r="B295" s="913" t="s">
        <v>4771</v>
      </c>
      <c r="C295" s="783"/>
      <c r="D295" s="790"/>
      <c r="E295" s="790"/>
      <c r="F295" s="824"/>
    </row>
    <row r="296" spans="1:6" s="775" customFormat="1" ht="41.4">
      <c r="A296" s="778"/>
      <c r="B296" s="913" t="s">
        <v>4403</v>
      </c>
      <c r="C296" s="783"/>
      <c r="D296" s="790"/>
      <c r="E296" s="790"/>
      <c r="F296" s="824"/>
    </row>
    <row r="297" spans="1:6" s="775" customFormat="1" ht="69">
      <c r="A297" s="778"/>
      <c r="B297" s="913" t="s">
        <v>4772</v>
      </c>
      <c r="C297" s="783"/>
      <c r="D297" s="790"/>
      <c r="E297" s="790"/>
      <c r="F297" s="824"/>
    </row>
    <row r="298" spans="1:6" s="775" customFormat="1" ht="82.8">
      <c r="A298" s="778"/>
      <c r="B298" s="913" t="s">
        <v>4773</v>
      </c>
      <c r="C298" s="783"/>
      <c r="D298" s="790"/>
      <c r="E298" s="790"/>
      <c r="F298" s="824"/>
    </row>
    <row r="299" spans="1:6" s="775" customFormat="1" ht="27.6">
      <c r="A299" s="778"/>
      <c r="B299" s="913" t="s">
        <v>4404</v>
      </c>
      <c r="C299" s="783"/>
      <c r="D299" s="790"/>
      <c r="E299" s="790"/>
      <c r="F299" s="824"/>
    </row>
    <row r="300" spans="1:6" s="775" customFormat="1" ht="41.4">
      <c r="A300" s="778"/>
      <c r="B300" s="913" t="s">
        <v>4405</v>
      </c>
      <c r="C300" s="783"/>
      <c r="D300" s="790"/>
      <c r="E300" s="790"/>
      <c r="F300" s="824"/>
    </row>
    <row r="301" spans="1:6" s="775" customFormat="1" ht="27.6">
      <c r="A301" s="778"/>
      <c r="B301" s="913" t="s">
        <v>4406</v>
      </c>
      <c r="C301" s="783"/>
      <c r="D301" s="790"/>
      <c r="E301" s="790"/>
      <c r="F301" s="824"/>
    </row>
    <row r="302" spans="1:6" s="775" customFormat="1" ht="41.4">
      <c r="A302" s="778"/>
      <c r="B302" s="913" t="s">
        <v>5146</v>
      </c>
      <c r="C302" s="783"/>
      <c r="D302" s="790"/>
      <c r="E302" s="790"/>
      <c r="F302" s="824"/>
    </row>
    <row r="303" spans="1:6" s="775" customFormat="1" ht="27.6">
      <c r="A303" s="778"/>
      <c r="B303" s="913" t="s">
        <v>4407</v>
      </c>
      <c r="C303" s="783"/>
      <c r="D303" s="790"/>
      <c r="E303" s="790"/>
      <c r="F303" s="824"/>
    </row>
    <row r="304" spans="1:6" s="775" customFormat="1" ht="27.6">
      <c r="A304" s="778"/>
      <c r="B304" s="913" t="s">
        <v>4408</v>
      </c>
      <c r="C304" s="783"/>
      <c r="D304" s="790"/>
      <c r="E304" s="790"/>
      <c r="F304" s="824"/>
    </row>
    <row r="305" spans="1:6" s="775" customFormat="1">
      <c r="A305" s="778" t="s">
        <v>48</v>
      </c>
      <c r="B305" s="841" t="s">
        <v>4285</v>
      </c>
      <c r="C305" s="779" t="s">
        <v>649</v>
      </c>
      <c r="D305" s="797">
        <v>1</v>
      </c>
      <c r="E305" s="791">
        <v>800</v>
      </c>
      <c r="F305" s="824">
        <f>D305*E305</f>
        <v>800</v>
      </c>
    </row>
    <row r="306" spans="1:6" s="775" customFormat="1">
      <c r="A306" s="778" t="s">
        <v>49</v>
      </c>
      <c r="B306" s="841" t="s">
        <v>4396</v>
      </c>
      <c r="C306" s="779" t="s">
        <v>649</v>
      </c>
      <c r="D306" s="797">
        <v>1</v>
      </c>
      <c r="E306" s="791">
        <v>500</v>
      </c>
      <c r="F306" s="824">
        <f>D306*E306</f>
        <v>500</v>
      </c>
    </row>
    <row r="307" spans="1:6" s="775" customFormat="1">
      <c r="A307" s="778"/>
      <c r="B307" s="835"/>
      <c r="C307" s="783"/>
      <c r="D307" s="790"/>
      <c r="E307" s="790"/>
      <c r="F307" s="824"/>
    </row>
    <row r="308" spans="1:6" s="775" customFormat="1" ht="69">
      <c r="A308" s="778" t="s">
        <v>2018</v>
      </c>
      <c r="B308" s="835" t="s">
        <v>4774</v>
      </c>
      <c r="C308" s="779"/>
      <c r="D308" s="795"/>
      <c r="E308" s="791"/>
      <c r="F308" s="824"/>
    </row>
    <row r="309" spans="1:6" s="775" customFormat="1">
      <c r="A309" s="778" t="s">
        <v>48</v>
      </c>
      <c r="B309" s="841" t="s">
        <v>4285</v>
      </c>
      <c r="C309" s="779" t="s">
        <v>649</v>
      </c>
      <c r="D309" s="801">
        <v>2</v>
      </c>
      <c r="E309" s="791">
        <v>800</v>
      </c>
      <c r="F309" s="824">
        <f>D309*E309</f>
        <v>1600</v>
      </c>
    </row>
    <row r="310" spans="1:6" s="775" customFormat="1">
      <c r="A310" s="778" t="s">
        <v>49</v>
      </c>
      <c r="B310" s="841" t="s">
        <v>4395</v>
      </c>
      <c r="C310" s="779" t="s">
        <v>649</v>
      </c>
      <c r="D310" s="801">
        <v>1</v>
      </c>
      <c r="E310" s="791">
        <v>500</v>
      </c>
      <c r="F310" s="824">
        <f>D310*E310</f>
        <v>500</v>
      </c>
    </row>
    <row r="311" spans="1:6" s="775" customFormat="1">
      <c r="A311" s="778"/>
      <c r="B311" s="835"/>
      <c r="C311" s="779"/>
      <c r="D311" s="790"/>
      <c r="E311" s="790"/>
      <c r="F311" s="824"/>
    </row>
    <row r="312" spans="1:6" s="775" customFormat="1" ht="27.6">
      <c r="A312" s="778" t="s">
        <v>2019</v>
      </c>
      <c r="B312" s="835" t="s">
        <v>4409</v>
      </c>
      <c r="C312" s="783"/>
      <c r="D312" s="790"/>
      <c r="E312" s="790"/>
      <c r="F312" s="824"/>
    </row>
    <row r="313" spans="1:6" s="775" customFormat="1">
      <c r="A313" s="778" t="s">
        <v>48</v>
      </c>
      <c r="B313" s="841" t="s">
        <v>4396</v>
      </c>
      <c r="C313" s="779" t="s">
        <v>649</v>
      </c>
      <c r="D313" s="801">
        <v>2</v>
      </c>
      <c r="E313" s="791">
        <v>80</v>
      </c>
      <c r="F313" s="824">
        <f>D313*E313</f>
        <v>160</v>
      </c>
    </row>
    <row r="314" spans="1:6" s="775" customFormat="1">
      <c r="A314" s="778" t="s">
        <v>49</v>
      </c>
      <c r="B314" s="841" t="s">
        <v>4397</v>
      </c>
      <c r="C314" s="779" t="s">
        <v>649</v>
      </c>
      <c r="D314" s="801">
        <v>3</v>
      </c>
      <c r="E314" s="791">
        <v>40</v>
      </c>
      <c r="F314" s="824">
        <f>D314*E314</f>
        <v>120</v>
      </c>
    </row>
    <row r="315" spans="1:6" s="775" customFormat="1">
      <c r="A315" s="778" t="s">
        <v>51</v>
      </c>
      <c r="B315" s="841" t="s">
        <v>4398</v>
      </c>
      <c r="C315" s="779" t="s">
        <v>649</v>
      </c>
      <c r="D315" s="801">
        <v>2</v>
      </c>
      <c r="E315" s="791">
        <v>30</v>
      </c>
      <c r="F315" s="824">
        <f>D315*E315</f>
        <v>60</v>
      </c>
    </row>
    <row r="316" spans="1:6" s="775" customFormat="1">
      <c r="A316" s="778"/>
      <c r="B316" s="841"/>
      <c r="C316" s="779"/>
      <c r="D316" s="801"/>
      <c r="E316" s="791"/>
      <c r="F316" s="824"/>
    </row>
    <row r="317" spans="1:6" s="775" customFormat="1" ht="55.2">
      <c r="A317" s="778" t="s">
        <v>2021</v>
      </c>
      <c r="B317" s="835" t="s">
        <v>4775</v>
      </c>
      <c r="C317" s="779"/>
      <c r="D317" s="795"/>
      <c r="E317" s="791"/>
      <c r="F317" s="824"/>
    </row>
    <row r="318" spans="1:6" s="775" customFormat="1">
      <c r="A318" s="778" t="s">
        <v>48</v>
      </c>
      <c r="B318" s="841" t="s">
        <v>4285</v>
      </c>
      <c r="C318" s="779" t="s">
        <v>649</v>
      </c>
      <c r="D318" s="801">
        <v>1</v>
      </c>
      <c r="E318" s="791">
        <v>80</v>
      </c>
      <c r="F318" s="824">
        <f>D318*E318</f>
        <v>80</v>
      </c>
    </row>
    <row r="319" spans="1:6" s="775" customFormat="1">
      <c r="A319" s="778" t="s">
        <v>49</v>
      </c>
      <c r="B319" s="841" t="s">
        <v>4395</v>
      </c>
      <c r="C319" s="779" t="s">
        <v>649</v>
      </c>
      <c r="D319" s="801">
        <v>1</v>
      </c>
      <c r="E319" s="791">
        <v>70</v>
      </c>
      <c r="F319" s="824">
        <f>D319*E319</f>
        <v>70</v>
      </c>
    </row>
    <row r="320" spans="1:6" s="775" customFormat="1">
      <c r="A320" s="778"/>
      <c r="B320" s="835"/>
      <c r="C320" s="779"/>
      <c r="D320" s="790"/>
      <c r="E320" s="790"/>
      <c r="F320" s="824"/>
    </row>
    <row r="321" spans="1:6" s="775" customFormat="1" ht="55.2">
      <c r="A321" s="778" t="s">
        <v>2023</v>
      </c>
      <c r="B321" s="835" t="s">
        <v>4776</v>
      </c>
      <c r="C321" s="783"/>
      <c r="D321" s="790"/>
      <c r="E321" s="790"/>
      <c r="F321" s="824"/>
    </row>
    <row r="322" spans="1:6" s="775" customFormat="1">
      <c r="A322" s="778" t="s">
        <v>48</v>
      </c>
      <c r="B322" s="841" t="s">
        <v>4396</v>
      </c>
      <c r="C322" s="779" t="s">
        <v>649</v>
      </c>
      <c r="D322" s="801">
        <v>2</v>
      </c>
      <c r="E322" s="791">
        <v>40</v>
      </c>
      <c r="F322" s="824">
        <f>D322*E322</f>
        <v>80</v>
      </c>
    </row>
    <row r="323" spans="1:6" s="775" customFormat="1">
      <c r="A323" s="778" t="s">
        <v>49</v>
      </c>
      <c r="B323" s="841" t="s">
        <v>4397</v>
      </c>
      <c r="C323" s="779" t="s">
        <v>649</v>
      </c>
      <c r="D323" s="801">
        <v>4</v>
      </c>
      <c r="E323" s="791">
        <v>30</v>
      </c>
      <c r="F323" s="824">
        <f>D323*E323</f>
        <v>120</v>
      </c>
    </row>
    <row r="324" spans="1:6" s="775" customFormat="1">
      <c r="A324" s="778" t="s">
        <v>51</v>
      </c>
      <c r="B324" s="841" t="s">
        <v>4398</v>
      </c>
      <c r="C324" s="779" t="s">
        <v>649</v>
      </c>
      <c r="D324" s="801">
        <v>2</v>
      </c>
      <c r="E324" s="791">
        <v>20</v>
      </c>
      <c r="F324" s="824">
        <f>D324*E324</f>
        <v>40</v>
      </c>
    </row>
    <row r="325" spans="1:6" s="775" customFormat="1">
      <c r="A325" s="778"/>
      <c r="B325" s="841"/>
      <c r="C325" s="779"/>
      <c r="D325" s="801"/>
      <c r="E325" s="791"/>
      <c r="F325" s="824"/>
    </row>
    <row r="326" spans="1:6" s="775" customFormat="1" ht="69">
      <c r="A326" s="778" t="s">
        <v>2025</v>
      </c>
      <c r="B326" s="835" t="s">
        <v>4777</v>
      </c>
      <c r="C326" s="779"/>
      <c r="D326" s="795"/>
      <c r="E326" s="791"/>
      <c r="F326" s="824"/>
    </row>
    <row r="327" spans="1:6" s="775" customFormat="1">
      <c r="A327" s="778" t="s">
        <v>48</v>
      </c>
      <c r="B327" s="841" t="s">
        <v>4285</v>
      </c>
      <c r="C327" s="779" t="s">
        <v>649</v>
      </c>
      <c r="D327" s="801">
        <v>10</v>
      </c>
      <c r="E327" s="791">
        <v>150</v>
      </c>
      <c r="F327" s="824">
        <f>D327*E327</f>
        <v>1500</v>
      </c>
    </row>
    <row r="328" spans="1:6" s="775" customFormat="1">
      <c r="A328" s="778" t="s">
        <v>49</v>
      </c>
      <c r="B328" s="841" t="s">
        <v>4395</v>
      </c>
      <c r="C328" s="779" t="s">
        <v>649</v>
      </c>
      <c r="D328" s="801">
        <v>4</v>
      </c>
      <c r="E328" s="791">
        <v>130</v>
      </c>
      <c r="F328" s="824">
        <f>D328*E328</f>
        <v>520</v>
      </c>
    </row>
    <row r="329" spans="1:6" s="775" customFormat="1">
      <c r="A329" s="778" t="s">
        <v>51</v>
      </c>
      <c r="B329" s="841" t="s">
        <v>4396</v>
      </c>
      <c r="C329" s="779" t="s">
        <v>649</v>
      </c>
      <c r="D329" s="801">
        <v>12</v>
      </c>
      <c r="E329" s="791">
        <v>80</v>
      </c>
      <c r="F329" s="824">
        <f>D329*E329</f>
        <v>960</v>
      </c>
    </row>
    <row r="330" spans="1:6" s="775" customFormat="1">
      <c r="A330" s="778"/>
      <c r="B330" s="841"/>
      <c r="C330" s="779"/>
      <c r="D330" s="801"/>
      <c r="E330" s="791"/>
      <c r="F330" s="824"/>
    </row>
    <row r="331" spans="1:6" s="775" customFormat="1" ht="41.4">
      <c r="A331" s="778" t="s">
        <v>2026</v>
      </c>
      <c r="B331" s="835" t="s">
        <v>4410</v>
      </c>
      <c r="C331" s="779"/>
      <c r="D331" s="801"/>
      <c r="E331" s="791"/>
      <c r="F331" s="824"/>
    </row>
    <row r="332" spans="1:6" s="775" customFormat="1">
      <c r="A332" s="778" t="s">
        <v>48</v>
      </c>
      <c r="B332" s="841" t="s">
        <v>4411</v>
      </c>
      <c r="C332" s="779" t="s">
        <v>649</v>
      </c>
      <c r="D332" s="801">
        <v>12</v>
      </c>
      <c r="E332" s="791">
        <v>40</v>
      </c>
      <c r="F332" s="824">
        <f>D332*E332</f>
        <v>480</v>
      </c>
    </row>
    <row r="333" spans="1:6" s="775" customFormat="1">
      <c r="A333" s="778" t="s">
        <v>49</v>
      </c>
      <c r="B333" s="841" t="s">
        <v>4412</v>
      </c>
      <c r="C333" s="779" t="s">
        <v>649</v>
      </c>
      <c r="D333" s="801">
        <v>10</v>
      </c>
      <c r="E333" s="791">
        <v>30</v>
      </c>
      <c r="F333" s="824">
        <f>D333*E333</f>
        <v>300</v>
      </c>
    </row>
    <row r="334" spans="1:6" s="775" customFormat="1">
      <c r="A334" s="778"/>
      <c r="B334" s="841"/>
      <c r="C334" s="779"/>
      <c r="D334" s="801"/>
      <c r="E334" s="791"/>
      <c r="F334" s="824"/>
    </row>
    <row r="335" spans="1:6" s="775" customFormat="1" ht="55.2">
      <c r="A335" s="778" t="s">
        <v>2027</v>
      </c>
      <c r="B335" s="835" t="s">
        <v>4778</v>
      </c>
      <c r="C335" s="779"/>
      <c r="D335" s="797"/>
      <c r="E335" s="790"/>
      <c r="F335" s="828"/>
    </row>
    <row r="336" spans="1:6" s="775" customFormat="1">
      <c r="A336" s="778"/>
      <c r="B336" s="835" t="s">
        <v>4413</v>
      </c>
      <c r="C336" s="779" t="s">
        <v>670</v>
      </c>
      <c r="D336" s="797">
        <v>1</v>
      </c>
      <c r="E336" s="791">
        <v>200</v>
      </c>
      <c r="F336" s="824">
        <f>D336*E336</f>
        <v>200</v>
      </c>
    </row>
    <row r="337" spans="1:6" s="775" customFormat="1">
      <c r="A337" s="778"/>
      <c r="B337" s="835"/>
      <c r="C337" s="783"/>
      <c r="D337" s="790"/>
      <c r="E337" s="790"/>
      <c r="F337" s="824"/>
    </row>
    <row r="338" spans="1:6" s="775" customFormat="1" ht="82.8">
      <c r="A338" s="778" t="s">
        <v>2029</v>
      </c>
      <c r="B338" s="835" t="s">
        <v>4779</v>
      </c>
      <c r="C338" s="779" t="s">
        <v>670</v>
      </c>
      <c r="D338" s="797">
        <v>10</v>
      </c>
      <c r="E338" s="791">
        <v>150</v>
      </c>
      <c r="F338" s="824">
        <f>D338*E338</f>
        <v>1500</v>
      </c>
    </row>
    <row r="339" spans="1:6" s="775" customFormat="1">
      <c r="A339" s="778"/>
      <c r="B339" s="835"/>
      <c r="C339" s="783"/>
      <c r="D339" s="790"/>
      <c r="E339" s="790"/>
      <c r="F339" s="824"/>
    </row>
    <row r="340" spans="1:6" s="775" customFormat="1" ht="41.4">
      <c r="A340" s="778" t="s">
        <v>2030</v>
      </c>
      <c r="B340" s="835" t="s">
        <v>4414</v>
      </c>
      <c r="C340" s="779"/>
      <c r="D340" s="797"/>
      <c r="E340" s="790"/>
      <c r="F340" s="828"/>
    </row>
    <row r="341" spans="1:6" s="775" customFormat="1">
      <c r="A341" s="778"/>
      <c r="B341" s="835" t="s">
        <v>4415</v>
      </c>
      <c r="C341" s="779" t="s">
        <v>649</v>
      </c>
      <c r="D341" s="797">
        <v>10</v>
      </c>
      <c r="E341" s="791">
        <v>50</v>
      </c>
      <c r="F341" s="824">
        <f>D341*E341</f>
        <v>500</v>
      </c>
    </row>
    <row r="342" spans="1:6" s="775" customFormat="1">
      <c r="A342" s="778"/>
      <c r="B342" s="835"/>
      <c r="C342" s="779"/>
      <c r="D342" s="790"/>
      <c r="E342" s="790"/>
      <c r="F342" s="824"/>
    </row>
    <row r="343" spans="1:6" s="775" customFormat="1" ht="55.2">
      <c r="A343" s="778" t="s">
        <v>2032</v>
      </c>
      <c r="B343" s="835" t="s">
        <v>4780</v>
      </c>
      <c r="C343" s="779"/>
      <c r="D343" s="797"/>
      <c r="E343" s="790"/>
      <c r="F343" s="828"/>
    </row>
    <row r="344" spans="1:6" s="775" customFormat="1">
      <c r="A344" s="778" t="s">
        <v>48</v>
      </c>
      <c r="B344" s="835" t="s">
        <v>4416</v>
      </c>
      <c r="C344" s="779" t="s">
        <v>649</v>
      </c>
      <c r="D344" s="797">
        <v>14</v>
      </c>
      <c r="E344" s="791">
        <v>30</v>
      </c>
      <c r="F344" s="824">
        <f>D344*E344</f>
        <v>420</v>
      </c>
    </row>
    <row r="345" spans="1:6" s="775" customFormat="1">
      <c r="A345" s="778" t="s">
        <v>49</v>
      </c>
      <c r="B345" s="835" t="s">
        <v>4417</v>
      </c>
      <c r="C345" s="779" t="s">
        <v>649</v>
      </c>
      <c r="D345" s="797">
        <v>14</v>
      </c>
      <c r="E345" s="791">
        <v>15</v>
      </c>
      <c r="F345" s="824">
        <f>D345*E345</f>
        <v>210</v>
      </c>
    </row>
    <row r="346" spans="1:6" s="775" customFormat="1">
      <c r="A346" s="778"/>
      <c r="B346" s="835"/>
      <c r="C346" s="779"/>
      <c r="D346" s="791"/>
      <c r="E346" s="790"/>
      <c r="F346" s="824"/>
    </row>
    <row r="347" spans="1:6" s="775" customFormat="1" ht="55.2">
      <c r="A347" s="778" t="s">
        <v>2037</v>
      </c>
      <c r="B347" s="835" t="s">
        <v>4781</v>
      </c>
      <c r="C347" s="779"/>
      <c r="D347" s="797"/>
      <c r="E347" s="790"/>
      <c r="F347" s="828"/>
    </row>
    <row r="348" spans="1:6" s="775" customFormat="1" ht="15">
      <c r="A348" s="778"/>
      <c r="B348" s="835" t="s">
        <v>4666</v>
      </c>
      <c r="C348" s="779" t="s">
        <v>649</v>
      </c>
      <c r="D348" s="797">
        <v>14</v>
      </c>
      <c r="E348" s="791">
        <v>30</v>
      </c>
      <c r="F348" s="824">
        <f>D348*E348</f>
        <v>420</v>
      </c>
    </row>
    <row r="349" spans="1:6" s="775" customFormat="1">
      <c r="A349" s="778"/>
      <c r="B349" s="835"/>
      <c r="C349" s="779"/>
      <c r="D349" s="797"/>
      <c r="E349" s="791"/>
      <c r="F349" s="824"/>
    </row>
    <row r="350" spans="1:6" s="775" customFormat="1" ht="96.6">
      <c r="A350" s="778" t="s">
        <v>2038</v>
      </c>
      <c r="B350" s="835" t="s">
        <v>4782</v>
      </c>
      <c r="C350" s="779"/>
      <c r="D350" s="797"/>
      <c r="E350" s="791"/>
      <c r="F350" s="824"/>
    </row>
    <row r="351" spans="1:6" s="775" customFormat="1">
      <c r="A351" s="778" t="s">
        <v>48</v>
      </c>
      <c r="B351" s="835" t="s">
        <v>4418</v>
      </c>
      <c r="C351" s="779" t="s">
        <v>697</v>
      </c>
      <c r="D351" s="797">
        <v>55</v>
      </c>
      <c r="E351" s="791">
        <v>15</v>
      </c>
      <c r="F351" s="824">
        <f>D351*E351</f>
        <v>825</v>
      </c>
    </row>
    <row r="352" spans="1:6" s="775" customFormat="1">
      <c r="A352" s="778" t="s">
        <v>49</v>
      </c>
      <c r="B352" s="835" t="s">
        <v>4419</v>
      </c>
      <c r="C352" s="779" t="s">
        <v>697</v>
      </c>
      <c r="D352" s="797">
        <v>55</v>
      </c>
      <c r="E352" s="791">
        <v>30</v>
      </c>
      <c r="F352" s="824">
        <f>D352*E352</f>
        <v>1650</v>
      </c>
    </row>
    <row r="353" spans="1:6" s="775" customFormat="1">
      <c r="A353" s="778"/>
      <c r="B353" s="835"/>
      <c r="C353" s="779"/>
      <c r="D353" s="797"/>
      <c r="E353" s="791"/>
      <c r="F353" s="824"/>
    </row>
    <row r="354" spans="1:6" s="775" customFormat="1" ht="41.4">
      <c r="A354" s="778" t="s">
        <v>2053</v>
      </c>
      <c r="B354" s="835" t="s">
        <v>4420</v>
      </c>
      <c r="C354" s="779"/>
      <c r="D354" s="797"/>
      <c r="E354" s="790"/>
      <c r="F354" s="828"/>
    </row>
    <row r="355" spans="1:6" s="775" customFormat="1" ht="55.2">
      <c r="A355" s="778"/>
      <c r="B355" s="835" t="s">
        <v>4783</v>
      </c>
      <c r="C355" s="779"/>
      <c r="D355" s="797"/>
      <c r="E355" s="790"/>
      <c r="F355" s="828"/>
    </row>
    <row r="356" spans="1:6" s="775" customFormat="1">
      <c r="A356" s="778" t="s">
        <v>48</v>
      </c>
      <c r="B356" s="841" t="s">
        <v>4667</v>
      </c>
      <c r="C356" s="779" t="s">
        <v>697</v>
      </c>
      <c r="D356" s="797">
        <v>30</v>
      </c>
      <c r="E356" s="791">
        <v>20</v>
      </c>
      <c r="F356" s="824">
        <f t="shared" ref="F356:F362" si="0">D356*E356</f>
        <v>600</v>
      </c>
    </row>
    <row r="357" spans="1:6" s="775" customFormat="1">
      <c r="A357" s="778" t="s">
        <v>49</v>
      </c>
      <c r="B357" s="841" t="s">
        <v>4668</v>
      </c>
      <c r="C357" s="779" t="s">
        <v>697</v>
      </c>
      <c r="D357" s="797">
        <v>18</v>
      </c>
      <c r="E357" s="791">
        <v>30</v>
      </c>
      <c r="F357" s="824">
        <f>D357*E357</f>
        <v>540</v>
      </c>
    </row>
    <row r="358" spans="1:6" s="775" customFormat="1">
      <c r="A358" s="778" t="s">
        <v>51</v>
      </c>
      <c r="B358" s="841" t="s">
        <v>4669</v>
      </c>
      <c r="C358" s="779" t="s">
        <v>697</v>
      </c>
      <c r="D358" s="797">
        <v>78</v>
      </c>
      <c r="E358" s="791">
        <v>40</v>
      </c>
      <c r="F358" s="824">
        <f>D358*E358</f>
        <v>3120</v>
      </c>
    </row>
    <row r="359" spans="1:6" s="775" customFormat="1">
      <c r="A359" s="778" t="s">
        <v>53</v>
      </c>
      <c r="B359" s="841" t="s">
        <v>4670</v>
      </c>
      <c r="C359" s="779" t="s">
        <v>697</v>
      </c>
      <c r="D359" s="797">
        <v>30</v>
      </c>
      <c r="E359" s="791">
        <v>50</v>
      </c>
      <c r="F359" s="824">
        <f t="shared" si="0"/>
        <v>1500</v>
      </c>
    </row>
    <row r="360" spans="1:6" s="775" customFormat="1">
      <c r="A360" s="778" t="s">
        <v>698</v>
      </c>
      <c r="B360" s="841" t="s">
        <v>4671</v>
      </c>
      <c r="C360" s="779" t="s">
        <v>697</v>
      </c>
      <c r="D360" s="797">
        <v>12</v>
      </c>
      <c r="E360" s="791">
        <v>60</v>
      </c>
      <c r="F360" s="824">
        <f t="shared" si="0"/>
        <v>720</v>
      </c>
    </row>
    <row r="361" spans="1:6" s="775" customFormat="1">
      <c r="A361" s="778" t="s">
        <v>699</v>
      </c>
      <c r="B361" s="841" t="s">
        <v>4672</v>
      </c>
      <c r="C361" s="779" t="s">
        <v>697</v>
      </c>
      <c r="D361" s="797">
        <v>30</v>
      </c>
      <c r="E361" s="791">
        <v>70</v>
      </c>
      <c r="F361" s="824">
        <f t="shared" si="0"/>
        <v>2100</v>
      </c>
    </row>
    <row r="362" spans="1:6" s="775" customFormat="1">
      <c r="A362" s="778" t="s">
        <v>745</v>
      </c>
      <c r="B362" s="841" t="s">
        <v>4673</v>
      </c>
      <c r="C362" s="779" t="s">
        <v>697</v>
      </c>
      <c r="D362" s="797">
        <v>120</v>
      </c>
      <c r="E362" s="791">
        <v>80</v>
      </c>
      <c r="F362" s="824">
        <f t="shared" si="0"/>
        <v>9600</v>
      </c>
    </row>
    <row r="363" spans="1:6" s="775" customFormat="1">
      <c r="A363" s="778"/>
      <c r="B363" s="835"/>
      <c r="C363" s="779"/>
      <c r="D363" s="797"/>
      <c r="E363" s="791"/>
      <c r="F363" s="824"/>
    </row>
    <row r="364" spans="1:6" s="775" customFormat="1" ht="55.2">
      <c r="A364" s="778" t="s">
        <v>2374</v>
      </c>
      <c r="B364" s="835" t="s">
        <v>4784</v>
      </c>
      <c r="C364" s="779"/>
      <c r="D364" s="795"/>
      <c r="E364" s="791"/>
      <c r="F364" s="824"/>
    </row>
    <row r="365" spans="1:6" s="775" customFormat="1" ht="55.2">
      <c r="A365" s="778"/>
      <c r="B365" s="835" t="s">
        <v>4785</v>
      </c>
      <c r="C365" s="779"/>
      <c r="D365" s="795"/>
      <c r="E365" s="791"/>
      <c r="F365" s="824"/>
    </row>
    <row r="366" spans="1:6" s="775" customFormat="1">
      <c r="A366" s="778"/>
      <c r="B366" s="835" t="s">
        <v>4421</v>
      </c>
      <c r="C366" s="779" t="s">
        <v>697</v>
      </c>
      <c r="D366" s="795">
        <v>18</v>
      </c>
      <c r="E366" s="791">
        <v>30</v>
      </c>
      <c r="F366" s="824">
        <f>D366*E366</f>
        <v>540</v>
      </c>
    </row>
    <row r="367" spans="1:6" s="775" customFormat="1">
      <c r="A367" s="778"/>
      <c r="B367" s="835"/>
      <c r="C367" s="779"/>
      <c r="D367" s="795"/>
      <c r="E367" s="791"/>
      <c r="F367" s="824"/>
    </row>
    <row r="368" spans="1:6" s="775" customFormat="1" ht="55.2">
      <c r="A368" s="778" t="s">
        <v>2379</v>
      </c>
      <c r="B368" s="835" t="s">
        <v>5147</v>
      </c>
      <c r="C368" s="779"/>
      <c r="D368" s="797"/>
      <c r="E368" s="790"/>
      <c r="F368" s="828"/>
    </row>
    <row r="369" spans="1:6" s="775" customFormat="1">
      <c r="A369" s="778" t="s">
        <v>48</v>
      </c>
      <c r="B369" s="841" t="s">
        <v>4674</v>
      </c>
      <c r="C369" s="779" t="s">
        <v>697</v>
      </c>
      <c r="D369" s="797">
        <v>350</v>
      </c>
      <c r="E369" s="791">
        <v>8</v>
      </c>
      <c r="F369" s="824">
        <f>D369*E369</f>
        <v>2800</v>
      </c>
    </row>
    <row r="370" spans="1:6" s="775" customFormat="1">
      <c r="A370" s="778" t="s">
        <v>49</v>
      </c>
      <c r="B370" s="841" t="s">
        <v>4422</v>
      </c>
      <c r="C370" s="779" t="s">
        <v>675</v>
      </c>
      <c r="D370" s="797">
        <v>20</v>
      </c>
      <c r="E370" s="791">
        <v>20</v>
      </c>
      <c r="F370" s="824">
        <f>D370*E370</f>
        <v>400</v>
      </c>
    </row>
    <row r="371" spans="1:6" s="775" customFormat="1">
      <c r="A371" s="778"/>
      <c r="B371" s="835"/>
      <c r="C371" s="779"/>
      <c r="D371" s="797"/>
      <c r="E371" s="791"/>
      <c r="F371" s="824"/>
    </row>
    <row r="372" spans="1:6" s="775" customFormat="1" ht="165.6">
      <c r="A372" s="778" t="s">
        <v>4689</v>
      </c>
      <c r="B372" s="835" t="s">
        <v>4423</v>
      </c>
      <c r="C372" s="779"/>
      <c r="D372" s="797"/>
      <c r="E372" s="791"/>
      <c r="F372" s="824"/>
    </row>
    <row r="373" spans="1:6" s="775" customFormat="1">
      <c r="A373" s="778" t="s">
        <v>48</v>
      </c>
      <c r="B373" s="841" t="s">
        <v>4673</v>
      </c>
      <c r="C373" s="779" t="s">
        <v>697</v>
      </c>
      <c r="D373" s="797">
        <v>80</v>
      </c>
      <c r="E373" s="791">
        <v>15</v>
      </c>
      <c r="F373" s="824">
        <f>D373*E373</f>
        <v>1200</v>
      </c>
    </row>
    <row r="374" spans="1:6" s="775" customFormat="1">
      <c r="A374" s="778" t="s">
        <v>49</v>
      </c>
      <c r="B374" s="835" t="s">
        <v>4424</v>
      </c>
      <c r="C374" s="779" t="s">
        <v>675</v>
      </c>
      <c r="D374" s="795">
        <v>15</v>
      </c>
      <c r="E374" s="800">
        <v>30</v>
      </c>
      <c r="F374" s="829">
        <f>E374*D374</f>
        <v>450</v>
      </c>
    </row>
    <row r="375" spans="1:6" s="775" customFormat="1">
      <c r="A375" s="778"/>
      <c r="B375" s="835"/>
      <c r="C375" s="779"/>
      <c r="D375" s="797"/>
      <c r="E375" s="791"/>
      <c r="F375" s="824"/>
    </row>
    <row r="376" spans="1:6" s="775" customFormat="1" ht="179.4">
      <c r="A376" s="778" t="s">
        <v>4690</v>
      </c>
      <c r="B376" s="835" t="s">
        <v>4425</v>
      </c>
      <c r="C376" s="779"/>
      <c r="D376" s="797"/>
      <c r="E376" s="791"/>
      <c r="F376" s="824"/>
    </row>
    <row r="377" spans="1:6" s="775" customFormat="1">
      <c r="A377" s="778" t="s">
        <v>48</v>
      </c>
      <c r="B377" s="841" t="s">
        <v>4667</v>
      </c>
      <c r="C377" s="779" t="s">
        <v>697</v>
      </c>
      <c r="D377" s="797">
        <v>30</v>
      </c>
      <c r="E377" s="791">
        <v>5</v>
      </c>
      <c r="F377" s="824">
        <f t="shared" ref="F377:F383" si="1">D377*E377</f>
        <v>150</v>
      </c>
    </row>
    <row r="378" spans="1:6" s="775" customFormat="1">
      <c r="A378" s="778" t="s">
        <v>49</v>
      </c>
      <c r="B378" s="841" t="s">
        <v>4668</v>
      </c>
      <c r="C378" s="779" t="s">
        <v>697</v>
      </c>
      <c r="D378" s="797">
        <v>18</v>
      </c>
      <c r="E378" s="791">
        <v>7</v>
      </c>
      <c r="F378" s="824">
        <f t="shared" si="1"/>
        <v>126</v>
      </c>
    </row>
    <row r="379" spans="1:6" s="775" customFormat="1">
      <c r="A379" s="778" t="s">
        <v>51</v>
      </c>
      <c r="B379" s="841" t="s">
        <v>4669</v>
      </c>
      <c r="C379" s="779" t="s">
        <v>697</v>
      </c>
      <c r="D379" s="797">
        <v>96</v>
      </c>
      <c r="E379" s="791">
        <v>9</v>
      </c>
      <c r="F379" s="824">
        <f t="shared" si="1"/>
        <v>864</v>
      </c>
    </row>
    <row r="380" spans="1:6" s="775" customFormat="1">
      <c r="A380" s="778" t="s">
        <v>53</v>
      </c>
      <c r="B380" s="841" t="s">
        <v>4670</v>
      </c>
      <c r="C380" s="779" t="s">
        <v>697</v>
      </c>
      <c r="D380" s="797">
        <v>30</v>
      </c>
      <c r="E380" s="791">
        <v>11</v>
      </c>
      <c r="F380" s="824">
        <f t="shared" si="1"/>
        <v>330</v>
      </c>
    </row>
    <row r="381" spans="1:6" s="775" customFormat="1">
      <c r="A381" s="778" t="s">
        <v>698</v>
      </c>
      <c r="B381" s="841" t="s">
        <v>4671</v>
      </c>
      <c r="C381" s="779" t="s">
        <v>697</v>
      </c>
      <c r="D381" s="797">
        <v>12</v>
      </c>
      <c r="E381" s="791">
        <v>13</v>
      </c>
      <c r="F381" s="824">
        <f t="shared" si="1"/>
        <v>156</v>
      </c>
    </row>
    <row r="382" spans="1:6" s="775" customFormat="1">
      <c r="A382" s="778" t="s">
        <v>699</v>
      </c>
      <c r="B382" s="841" t="s">
        <v>4672</v>
      </c>
      <c r="C382" s="779" t="s">
        <v>697</v>
      </c>
      <c r="D382" s="797">
        <v>30</v>
      </c>
      <c r="E382" s="791">
        <v>15</v>
      </c>
      <c r="F382" s="824">
        <f t="shared" si="1"/>
        <v>450</v>
      </c>
    </row>
    <row r="383" spans="1:6" s="775" customFormat="1">
      <c r="A383" s="778" t="s">
        <v>745</v>
      </c>
      <c r="B383" s="841" t="s">
        <v>4673</v>
      </c>
      <c r="C383" s="779" t="s">
        <v>697</v>
      </c>
      <c r="D383" s="797">
        <v>120</v>
      </c>
      <c r="E383" s="791">
        <v>17</v>
      </c>
      <c r="F383" s="824">
        <f t="shared" si="1"/>
        <v>2040</v>
      </c>
    </row>
    <row r="384" spans="1:6" s="775" customFormat="1">
      <c r="A384" s="778" t="s">
        <v>803</v>
      </c>
      <c r="B384" s="835" t="s">
        <v>4426</v>
      </c>
      <c r="C384" s="779" t="s">
        <v>675</v>
      </c>
      <c r="D384" s="795">
        <v>20</v>
      </c>
      <c r="E384" s="800">
        <v>20</v>
      </c>
      <c r="F384" s="829">
        <f>E384*D384</f>
        <v>400</v>
      </c>
    </row>
    <row r="385" spans="1:6" s="775" customFormat="1">
      <c r="A385" s="778"/>
      <c r="B385" s="835"/>
      <c r="C385" s="779"/>
      <c r="D385" s="797"/>
      <c r="E385" s="791"/>
      <c r="F385" s="824"/>
    </row>
    <row r="386" spans="1:6" s="775" customFormat="1" ht="96.6">
      <c r="A386" s="778" t="s">
        <v>4691</v>
      </c>
      <c r="B386" s="835" t="s">
        <v>4427</v>
      </c>
      <c r="C386" s="779" t="s">
        <v>645</v>
      </c>
      <c r="D386" s="797">
        <v>120</v>
      </c>
      <c r="E386" s="791">
        <v>7</v>
      </c>
      <c r="F386" s="824">
        <f>D386*E386</f>
        <v>840</v>
      </c>
    </row>
    <row r="387" spans="1:6" s="775" customFormat="1">
      <c r="A387" s="778"/>
      <c r="B387" s="835"/>
      <c r="C387" s="779"/>
      <c r="D387" s="797"/>
      <c r="E387" s="791"/>
      <c r="F387" s="824"/>
    </row>
    <row r="388" spans="1:6" s="775" customFormat="1" ht="55.2">
      <c r="A388" s="778" t="s">
        <v>4692</v>
      </c>
      <c r="B388" s="835" t="s">
        <v>4428</v>
      </c>
      <c r="C388" s="779" t="s">
        <v>670</v>
      </c>
      <c r="D388" s="797">
        <v>1</v>
      </c>
      <c r="E388" s="791">
        <v>500</v>
      </c>
      <c r="F388" s="824">
        <f>D388*E388</f>
        <v>500</v>
      </c>
    </row>
    <row r="389" spans="1:6" s="775" customFormat="1">
      <c r="A389" s="778"/>
      <c r="B389" s="835"/>
      <c r="C389" s="779"/>
      <c r="D389" s="797"/>
      <c r="E389" s="791"/>
      <c r="F389" s="824"/>
    </row>
    <row r="390" spans="1:6" s="775" customFormat="1" ht="124.2">
      <c r="A390" s="778" t="s">
        <v>4693</v>
      </c>
      <c r="B390" s="841" t="s">
        <v>4429</v>
      </c>
      <c r="C390" s="779" t="s">
        <v>670</v>
      </c>
      <c r="D390" s="797">
        <v>1</v>
      </c>
      <c r="E390" s="791">
        <v>5000</v>
      </c>
      <c r="F390" s="824">
        <f>D390*E390</f>
        <v>5000</v>
      </c>
    </row>
    <row r="391" spans="1:6" s="775" customFormat="1">
      <c r="A391" s="778"/>
      <c r="B391" s="835"/>
      <c r="C391" s="779"/>
      <c r="D391" s="797"/>
      <c r="E391" s="791"/>
      <c r="F391" s="824"/>
    </row>
    <row r="392" spans="1:6" s="775" customFormat="1" ht="124.2">
      <c r="A392" s="778" t="s">
        <v>4694</v>
      </c>
      <c r="B392" s="841" t="s">
        <v>5660</v>
      </c>
      <c r="C392" s="779" t="s">
        <v>649</v>
      </c>
      <c r="D392" s="797">
        <v>11</v>
      </c>
      <c r="E392" s="791">
        <v>100</v>
      </c>
      <c r="F392" s="824">
        <f>D392*E392</f>
        <v>1100</v>
      </c>
    </row>
    <row r="393" spans="1:6" s="775" customFormat="1">
      <c r="A393" s="778"/>
      <c r="B393" s="841"/>
      <c r="C393" s="779"/>
      <c r="D393" s="797"/>
      <c r="E393" s="791"/>
      <c r="F393" s="824"/>
    </row>
    <row r="394" spans="1:6" s="775" customFormat="1" ht="55.2">
      <c r="A394" s="778" t="s">
        <v>4695</v>
      </c>
      <c r="B394" s="835" t="s">
        <v>4786</v>
      </c>
      <c r="C394" s="779" t="s">
        <v>670</v>
      </c>
      <c r="D394" s="797">
        <v>1</v>
      </c>
      <c r="E394" s="791">
        <v>500</v>
      </c>
      <c r="F394" s="824">
        <f>D394*E394</f>
        <v>500</v>
      </c>
    </row>
    <row r="395" spans="1:6" s="775" customFormat="1">
      <c r="A395" s="778"/>
      <c r="B395" s="841"/>
      <c r="C395" s="779"/>
      <c r="D395" s="797"/>
      <c r="E395" s="791"/>
      <c r="F395" s="824"/>
    </row>
    <row r="396" spans="1:6" s="775" customFormat="1" ht="27.6">
      <c r="A396" s="778" t="s">
        <v>4696</v>
      </c>
      <c r="B396" s="835" t="s">
        <v>4430</v>
      </c>
      <c r="C396" s="779" t="s">
        <v>670</v>
      </c>
      <c r="D396" s="797">
        <v>1</v>
      </c>
      <c r="E396" s="791">
        <v>150</v>
      </c>
      <c r="F396" s="824">
        <f>D396*E396</f>
        <v>150</v>
      </c>
    </row>
    <row r="397" spans="1:6" s="775" customFormat="1">
      <c r="A397" s="778"/>
      <c r="B397" s="841"/>
      <c r="C397" s="779"/>
      <c r="D397" s="797"/>
      <c r="E397" s="791"/>
      <c r="F397" s="824"/>
    </row>
    <row r="398" spans="1:6" s="775" customFormat="1" ht="55.2">
      <c r="A398" s="778" t="s">
        <v>4697</v>
      </c>
      <c r="B398" s="835" t="s">
        <v>4787</v>
      </c>
      <c r="C398" s="779" t="s">
        <v>670</v>
      </c>
      <c r="D398" s="797">
        <v>1</v>
      </c>
      <c r="E398" s="791">
        <v>100</v>
      </c>
      <c r="F398" s="824">
        <f>D398*E398</f>
        <v>100</v>
      </c>
    </row>
    <row r="399" spans="1:6" s="775" customFormat="1">
      <c r="A399" s="778"/>
      <c r="B399" s="835"/>
      <c r="C399" s="779"/>
      <c r="D399" s="797"/>
      <c r="E399" s="791"/>
      <c r="F399" s="824"/>
    </row>
    <row r="400" spans="1:6" s="775" customFormat="1" ht="248.4">
      <c r="A400" s="778" t="s">
        <v>4698</v>
      </c>
      <c r="B400" s="835" t="s">
        <v>5667</v>
      </c>
      <c r="C400" s="779" t="s">
        <v>670</v>
      </c>
      <c r="D400" s="797">
        <v>1</v>
      </c>
      <c r="E400" s="791">
        <v>1500</v>
      </c>
      <c r="F400" s="824">
        <f>D400*E400</f>
        <v>1500</v>
      </c>
    </row>
    <row r="401" spans="1:6" s="775" customFormat="1">
      <c r="A401" s="778"/>
      <c r="B401" s="835"/>
      <c r="C401" s="779"/>
      <c r="D401" s="790"/>
      <c r="E401" s="790"/>
      <c r="F401" s="824"/>
    </row>
    <row r="402" spans="1:6" s="775" customFormat="1">
      <c r="A402" s="811" t="s">
        <v>8</v>
      </c>
      <c r="B402" s="842" t="s">
        <v>4681</v>
      </c>
      <c r="C402" s="812"/>
      <c r="D402" s="813"/>
      <c r="E402" s="813"/>
      <c r="F402" s="823">
        <f>SUM(F17:F401)</f>
        <v>164859</v>
      </c>
    </row>
    <row r="403" spans="1:6" s="775" customFormat="1">
      <c r="A403" s="778"/>
      <c r="B403" s="844"/>
      <c r="C403" s="779"/>
      <c r="D403" s="790"/>
      <c r="E403" s="790"/>
      <c r="F403" s="863"/>
    </row>
    <row r="404" spans="1:6" s="775" customFormat="1">
      <c r="A404" s="778"/>
      <c r="B404" s="844"/>
      <c r="C404" s="779"/>
      <c r="D404" s="790"/>
      <c r="E404" s="790"/>
      <c r="F404" s="824"/>
    </row>
    <row r="405" spans="1:6" s="775" customFormat="1">
      <c r="A405" s="912" t="s">
        <v>9</v>
      </c>
      <c r="B405" s="839" t="s">
        <v>4431</v>
      </c>
      <c r="C405" s="810"/>
      <c r="D405" s="809"/>
      <c r="E405" s="809"/>
      <c r="F405" s="830"/>
    </row>
    <row r="406" spans="1:6" s="775" customFormat="1">
      <c r="A406" s="777"/>
      <c r="B406" s="835"/>
      <c r="C406" s="779"/>
      <c r="D406" s="790"/>
      <c r="E406" s="790"/>
      <c r="F406" s="824"/>
    </row>
    <row r="407" spans="1:6" s="775" customFormat="1">
      <c r="A407" s="777"/>
      <c r="B407" s="843" t="s">
        <v>4432</v>
      </c>
      <c r="C407" s="779"/>
      <c r="D407" s="790"/>
      <c r="E407" s="790"/>
      <c r="F407" s="824"/>
    </row>
    <row r="408" spans="1:6" s="775" customFormat="1">
      <c r="A408" s="777"/>
      <c r="B408" s="835"/>
      <c r="C408" s="779"/>
      <c r="D408" s="790"/>
      <c r="E408" s="790"/>
      <c r="F408" s="824"/>
    </row>
    <row r="409" spans="1:6" s="775" customFormat="1" ht="207">
      <c r="A409" s="778" t="s">
        <v>1078</v>
      </c>
      <c r="B409" s="835" t="s">
        <v>4742</v>
      </c>
      <c r="C409" s="779" t="s">
        <v>697</v>
      </c>
      <c r="D409" s="791">
        <v>9600</v>
      </c>
      <c r="E409" s="790">
        <v>1.8</v>
      </c>
      <c r="F409" s="824">
        <f>D409*E409</f>
        <v>17280</v>
      </c>
    </row>
    <row r="410" spans="1:6" s="775" customFormat="1">
      <c r="A410" s="778"/>
      <c r="B410" s="835"/>
      <c r="C410" s="779"/>
      <c r="D410" s="791"/>
      <c r="E410" s="790"/>
      <c r="F410" s="824"/>
    </row>
    <row r="411" spans="1:6" s="775" customFormat="1" ht="220.8">
      <c r="A411" s="778" t="s">
        <v>1079</v>
      </c>
      <c r="B411" s="835" t="s">
        <v>4864</v>
      </c>
      <c r="C411" s="779" t="s">
        <v>675</v>
      </c>
      <c r="D411" s="791">
        <v>1390</v>
      </c>
      <c r="E411" s="790">
        <v>8</v>
      </c>
      <c r="F411" s="824">
        <f>D411*E411</f>
        <v>11120</v>
      </c>
    </row>
    <row r="412" spans="1:6" s="775" customFormat="1">
      <c r="A412" s="778"/>
      <c r="B412" s="835"/>
      <c r="C412" s="779"/>
      <c r="D412" s="791"/>
      <c r="E412" s="790"/>
      <c r="F412" s="824"/>
    </row>
    <row r="413" spans="1:6" s="775" customFormat="1" ht="41.4">
      <c r="A413" s="778" t="s">
        <v>1080</v>
      </c>
      <c r="B413" s="835" t="s">
        <v>4686</v>
      </c>
      <c r="C413" s="779" t="s">
        <v>649</v>
      </c>
      <c r="D413" s="795">
        <v>28800</v>
      </c>
      <c r="E413" s="790">
        <v>0.15</v>
      </c>
      <c r="F413" s="824">
        <f>D413*E413</f>
        <v>4320</v>
      </c>
    </row>
    <row r="414" spans="1:6" s="775" customFormat="1">
      <c r="A414" s="778"/>
      <c r="B414" s="835"/>
      <c r="C414" s="779"/>
      <c r="D414" s="791"/>
      <c r="E414" s="790"/>
      <c r="F414" s="824"/>
    </row>
    <row r="415" spans="1:6" s="775" customFormat="1" ht="110.4">
      <c r="A415" s="778" t="s">
        <v>1081</v>
      </c>
      <c r="B415" s="835" t="s">
        <v>4788</v>
      </c>
      <c r="C415" s="779" t="s">
        <v>697</v>
      </c>
      <c r="D415" s="791">
        <v>1075</v>
      </c>
      <c r="E415" s="790">
        <v>0.7</v>
      </c>
      <c r="F415" s="824">
        <f>D415*E415</f>
        <v>752.5</v>
      </c>
    </row>
    <row r="416" spans="1:6" s="775" customFormat="1">
      <c r="A416" s="778"/>
      <c r="B416" s="835"/>
      <c r="C416" s="779"/>
      <c r="D416" s="791"/>
      <c r="E416" s="790"/>
      <c r="F416" s="824"/>
    </row>
    <row r="417" spans="1:6" s="775" customFormat="1" ht="96.6">
      <c r="A417" s="778" t="s">
        <v>1082</v>
      </c>
      <c r="B417" s="835" t="s">
        <v>4789</v>
      </c>
      <c r="C417" s="779" t="s">
        <v>649</v>
      </c>
      <c r="D417" s="795">
        <v>11</v>
      </c>
      <c r="E417" s="790">
        <v>8</v>
      </c>
      <c r="F417" s="824">
        <f>D417*E417</f>
        <v>88</v>
      </c>
    </row>
    <row r="418" spans="1:6" s="775" customFormat="1">
      <c r="A418" s="778"/>
      <c r="B418" s="835"/>
      <c r="C418" s="779"/>
      <c r="D418" s="791"/>
      <c r="E418" s="790"/>
      <c r="F418" s="824"/>
    </row>
    <row r="419" spans="1:6" s="775" customFormat="1" ht="409.6">
      <c r="A419" s="778" t="s">
        <v>1083</v>
      </c>
      <c r="B419" s="835" t="s">
        <v>4687</v>
      </c>
      <c r="C419" s="779" t="s">
        <v>649</v>
      </c>
      <c r="D419" s="795">
        <v>4</v>
      </c>
      <c r="E419" s="790">
        <v>150</v>
      </c>
      <c r="F419" s="824">
        <f>D419*E419</f>
        <v>600</v>
      </c>
    </row>
    <row r="420" spans="1:6" s="775" customFormat="1">
      <c r="A420" s="778"/>
      <c r="B420" s="835"/>
      <c r="C420" s="779"/>
      <c r="D420" s="791"/>
      <c r="E420" s="790"/>
      <c r="F420" s="824"/>
    </row>
    <row r="421" spans="1:6" s="775" customFormat="1" ht="409.6">
      <c r="A421" s="778" t="s">
        <v>2040</v>
      </c>
      <c r="B421" s="835" t="s">
        <v>4743</v>
      </c>
      <c r="C421" s="779" t="s">
        <v>649</v>
      </c>
      <c r="D421" s="795">
        <v>4</v>
      </c>
      <c r="E421" s="790">
        <v>220</v>
      </c>
      <c r="F421" s="824">
        <f>D421*E421</f>
        <v>880</v>
      </c>
    </row>
    <row r="422" spans="1:6" s="775" customFormat="1">
      <c r="A422" s="778"/>
      <c r="B422" s="835"/>
      <c r="C422" s="779"/>
      <c r="D422" s="795"/>
      <c r="E422" s="790"/>
      <c r="F422" s="824"/>
    </row>
    <row r="423" spans="1:6" s="775" customFormat="1" ht="409.6">
      <c r="A423" s="778" t="s">
        <v>2041</v>
      </c>
      <c r="B423" s="835" t="s">
        <v>4744</v>
      </c>
      <c r="C423" s="779" t="s">
        <v>649</v>
      </c>
      <c r="D423" s="795">
        <v>1</v>
      </c>
      <c r="E423" s="790">
        <v>300</v>
      </c>
      <c r="F423" s="824">
        <f>D423*E423</f>
        <v>300</v>
      </c>
    </row>
    <row r="424" spans="1:6" s="775" customFormat="1">
      <c r="A424" s="778"/>
      <c r="B424" s="835"/>
      <c r="C424" s="779"/>
      <c r="D424" s="795"/>
      <c r="E424" s="790"/>
      <c r="F424" s="824"/>
    </row>
    <row r="425" spans="1:6" s="775" customFormat="1" ht="409.6">
      <c r="A425" s="778" t="s">
        <v>2042</v>
      </c>
      <c r="B425" s="835" t="s">
        <v>4745</v>
      </c>
      <c r="C425" s="779" t="s">
        <v>649</v>
      </c>
      <c r="D425" s="795">
        <v>4</v>
      </c>
      <c r="E425" s="790">
        <v>350</v>
      </c>
      <c r="F425" s="824">
        <f>D425*E425</f>
        <v>1400</v>
      </c>
    </row>
    <row r="426" spans="1:6" s="775" customFormat="1">
      <c r="A426" s="778"/>
      <c r="B426" s="835"/>
      <c r="C426" s="779"/>
      <c r="D426" s="795"/>
      <c r="E426" s="790"/>
      <c r="F426" s="824"/>
    </row>
    <row r="427" spans="1:6" s="775" customFormat="1" ht="409.6">
      <c r="A427" s="778" t="s">
        <v>2043</v>
      </c>
      <c r="B427" s="835" t="s">
        <v>4746</v>
      </c>
      <c r="C427" s="779" t="s">
        <v>649</v>
      </c>
      <c r="D427" s="795">
        <v>2</v>
      </c>
      <c r="E427" s="790">
        <v>370</v>
      </c>
      <c r="F427" s="824">
        <f>D427*E427</f>
        <v>740</v>
      </c>
    </row>
    <row r="428" spans="1:6" s="775" customFormat="1">
      <c r="A428" s="778"/>
      <c r="B428" s="835"/>
      <c r="C428" s="779"/>
      <c r="D428" s="795"/>
      <c r="E428" s="790"/>
      <c r="F428" s="824"/>
    </row>
    <row r="429" spans="1:6" s="775" customFormat="1">
      <c r="A429" s="778" t="s">
        <v>2044</v>
      </c>
      <c r="B429" s="835" t="s">
        <v>4433</v>
      </c>
      <c r="C429" s="779" t="s">
        <v>4434</v>
      </c>
      <c r="D429" s="795">
        <v>15</v>
      </c>
      <c r="E429" s="790">
        <v>40</v>
      </c>
      <c r="F429" s="824">
        <f>D429*E429</f>
        <v>600</v>
      </c>
    </row>
    <row r="430" spans="1:6" s="775" customFormat="1">
      <c r="A430" s="778"/>
      <c r="B430" s="835"/>
      <c r="C430" s="779"/>
      <c r="D430" s="791"/>
      <c r="E430" s="790"/>
      <c r="F430" s="824"/>
    </row>
    <row r="431" spans="1:6" s="775" customFormat="1" ht="55.2">
      <c r="A431" s="778" t="s">
        <v>2045</v>
      </c>
      <c r="B431" s="835" t="s">
        <v>4435</v>
      </c>
      <c r="C431" s="779" t="s">
        <v>649</v>
      </c>
      <c r="D431" s="795">
        <v>246</v>
      </c>
      <c r="E431" s="790">
        <v>5</v>
      </c>
      <c r="F431" s="824">
        <f>D431*E431</f>
        <v>1230</v>
      </c>
    </row>
    <row r="432" spans="1:6" s="775" customFormat="1">
      <c r="A432" s="778"/>
      <c r="B432" s="835"/>
      <c r="C432" s="779"/>
      <c r="D432" s="791"/>
      <c r="E432" s="790"/>
      <c r="F432" s="824"/>
    </row>
    <row r="433" spans="1:6" s="775" customFormat="1" ht="124.2">
      <c r="A433" s="778" t="s">
        <v>4699</v>
      </c>
      <c r="B433" s="835" t="s">
        <v>5049</v>
      </c>
      <c r="C433" s="779" t="s">
        <v>649</v>
      </c>
      <c r="D433" s="795">
        <v>9</v>
      </c>
      <c r="E433" s="790">
        <v>150</v>
      </c>
      <c r="F433" s="824">
        <f>D433*E433</f>
        <v>1350</v>
      </c>
    </row>
    <row r="434" spans="1:6" s="775" customFormat="1">
      <c r="A434" s="778"/>
      <c r="B434" s="835"/>
      <c r="C434" s="779"/>
      <c r="D434" s="791"/>
      <c r="E434" s="790"/>
      <c r="F434" s="824"/>
    </row>
    <row r="435" spans="1:6" s="775" customFormat="1" ht="124.2">
      <c r="A435" s="778" t="s">
        <v>4700</v>
      </c>
      <c r="B435" s="835" t="s">
        <v>5050</v>
      </c>
      <c r="C435" s="779" t="s">
        <v>649</v>
      </c>
      <c r="D435" s="795">
        <v>6</v>
      </c>
      <c r="E435" s="790">
        <v>180</v>
      </c>
      <c r="F435" s="824">
        <f>D435*E435</f>
        <v>1080</v>
      </c>
    </row>
    <row r="436" spans="1:6" s="775" customFormat="1">
      <c r="A436" s="778"/>
      <c r="B436" s="835"/>
      <c r="C436" s="779"/>
      <c r="D436" s="791"/>
      <c r="E436" s="790"/>
      <c r="F436" s="824"/>
    </row>
    <row r="437" spans="1:6" s="775" customFormat="1">
      <c r="A437" s="778" t="s">
        <v>4701</v>
      </c>
      <c r="B437" s="835" t="s">
        <v>4436</v>
      </c>
      <c r="C437" s="779" t="s">
        <v>649</v>
      </c>
      <c r="D437" s="795">
        <v>123</v>
      </c>
      <c r="E437" s="790">
        <v>25</v>
      </c>
      <c r="F437" s="824">
        <f>D437*E437</f>
        <v>3075</v>
      </c>
    </row>
    <row r="438" spans="1:6" s="775" customFormat="1">
      <c r="A438" s="778"/>
      <c r="B438" s="835"/>
      <c r="C438" s="779"/>
      <c r="D438" s="791"/>
      <c r="E438" s="790"/>
      <c r="F438" s="824"/>
    </row>
    <row r="439" spans="1:6" s="775" customFormat="1" ht="69">
      <c r="A439" s="778" t="s">
        <v>4702</v>
      </c>
      <c r="B439" s="835" t="s">
        <v>5148</v>
      </c>
      <c r="C439" s="779" t="s">
        <v>649</v>
      </c>
      <c r="D439" s="795">
        <v>15</v>
      </c>
      <c r="E439" s="790">
        <v>80</v>
      </c>
      <c r="F439" s="824">
        <f>D439*E439</f>
        <v>1200</v>
      </c>
    </row>
    <row r="440" spans="1:6" s="775" customFormat="1">
      <c r="A440" s="778"/>
      <c r="B440" s="835"/>
      <c r="C440" s="779"/>
      <c r="D440" s="791"/>
      <c r="E440" s="790"/>
      <c r="F440" s="824"/>
    </row>
    <row r="441" spans="1:6" s="775" customFormat="1" ht="151.80000000000001">
      <c r="A441" s="778" t="s">
        <v>4703</v>
      </c>
      <c r="B441" s="835" t="s">
        <v>4790</v>
      </c>
      <c r="C441" s="779" t="s">
        <v>649</v>
      </c>
      <c r="D441" s="795">
        <v>49</v>
      </c>
      <c r="E441" s="790">
        <v>150</v>
      </c>
      <c r="F441" s="824">
        <f>D441*E441</f>
        <v>7350</v>
      </c>
    </row>
    <row r="442" spans="1:6" s="775" customFormat="1">
      <c r="A442" s="778"/>
      <c r="B442" s="835"/>
      <c r="C442" s="779"/>
      <c r="D442" s="795"/>
      <c r="E442" s="790"/>
      <c r="F442" s="824"/>
    </row>
    <row r="443" spans="1:6" s="775" customFormat="1">
      <c r="A443" s="778"/>
      <c r="B443" s="843" t="s">
        <v>4437</v>
      </c>
      <c r="C443" s="779"/>
      <c r="D443" s="795"/>
      <c r="E443" s="790"/>
      <c r="F443" s="824"/>
    </row>
    <row r="444" spans="1:6" s="775" customFormat="1">
      <c r="A444" s="778"/>
      <c r="B444" s="835"/>
      <c r="C444" s="779"/>
      <c r="D444" s="795"/>
      <c r="E444" s="790"/>
      <c r="F444" s="824"/>
    </row>
    <row r="445" spans="1:6" s="775" customFormat="1">
      <c r="A445" s="778" t="s">
        <v>4704</v>
      </c>
      <c r="B445" s="835" t="s">
        <v>4438</v>
      </c>
      <c r="C445" s="779"/>
      <c r="D445" s="795"/>
      <c r="E445" s="790"/>
      <c r="F445" s="824"/>
    </row>
    <row r="446" spans="1:6" s="775" customFormat="1" ht="41.4">
      <c r="A446" s="778"/>
      <c r="B446" s="835" t="s">
        <v>4439</v>
      </c>
      <c r="C446" s="779"/>
      <c r="D446" s="795"/>
      <c r="E446" s="790"/>
      <c r="F446" s="824"/>
    </row>
    <row r="447" spans="1:6" s="775" customFormat="1" ht="41.4">
      <c r="A447" s="778"/>
      <c r="B447" s="835" t="s">
        <v>5149</v>
      </c>
      <c r="C447" s="779"/>
      <c r="D447" s="795"/>
      <c r="E447" s="790"/>
      <c r="F447" s="824"/>
    </row>
    <row r="448" spans="1:6" s="775" customFormat="1" ht="27.6">
      <c r="A448" s="778"/>
      <c r="B448" s="835" t="s">
        <v>4441</v>
      </c>
      <c r="C448" s="779"/>
      <c r="D448" s="795"/>
      <c r="E448" s="790"/>
      <c r="F448" s="824"/>
    </row>
    <row r="449" spans="1:6" s="775" customFormat="1" ht="27.6">
      <c r="A449" s="778"/>
      <c r="B449" s="835" t="s">
        <v>4442</v>
      </c>
      <c r="C449" s="779"/>
      <c r="D449" s="795"/>
      <c r="E449" s="790"/>
      <c r="F449" s="824"/>
    </row>
    <row r="450" spans="1:6" s="775" customFormat="1">
      <c r="A450" s="778"/>
      <c r="B450" s="835" t="s">
        <v>4443</v>
      </c>
      <c r="C450" s="779"/>
      <c r="D450" s="795"/>
      <c r="E450" s="790"/>
      <c r="F450" s="824"/>
    </row>
    <row r="451" spans="1:6" s="775" customFormat="1">
      <c r="A451" s="778"/>
      <c r="B451" s="835" t="s">
        <v>4444</v>
      </c>
      <c r="C451" s="779"/>
      <c r="D451" s="795"/>
      <c r="E451" s="790"/>
      <c r="F451" s="824"/>
    </row>
    <row r="452" spans="1:6" s="775" customFormat="1">
      <c r="A452" s="778"/>
      <c r="B452" s="835" t="s">
        <v>4445</v>
      </c>
      <c r="C452" s="779"/>
      <c r="D452" s="795"/>
      <c r="E452" s="790"/>
      <c r="F452" s="824"/>
    </row>
    <row r="453" spans="1:6" s="775" customFormat="1" ht="27.6">
      <c r="A453" s="778"/>
      <c r="B453" s="835" t="s">
        <v>4446</v>
      </c>
      <c r="C453" s="779"/>
      <c r="D453" s="795"/>
      <c r="E453" s="790"/>
      <c r="F453" s="824"/>
    </row>
    <row r="454" spans="1:6" s="775" customFormat="1" ht="27.6">
      <c r="A454" s="778"/>
      <c r="B454" s="835" t="s">
        <v>4447</v>
      </c>
      <c r="C454" s="779"/>
      <c r="D454" s="795"/>
      <c r="E454" s="790"/>
      <c r="F454" s="824"/>
    </row>
    <row r="455" spans="1:6" s="775" customFormat="1">
      <c r="A455" s="778"/>
      <c r="B455" s="835" t="s">
        <v>4448</v>
      </c>
      <c r="C455" s="779"/>
      <c r="D455" s="795"/>
      <c r="E455" s="790"/>
      <c r="F455" s="824"/>
    </row>
    <row r="456" spans="1:6" s="775" customFormat="1">
      <c r="A456" s="778"/>
      <c r="B456" s="835" t="s">
        <v>4449</v>
      </c>
      <c r="C456" s="779"/>
      <c r="D456" s="795"/>
      <c r="E456" s="790"/>
      <c r="F456" s="824"/>
    </row>
    <row r="457" spans="1:6" s="775" customFormat="1" ht="27.6">
      <c r="A457" s="778"/>
      <c r="B457" s="835" t="s">
        <v>4450</v>
      </c>
      <c r="C457" s="779"/>
      <c r="D457" s="795"/>
      <c r="E457" s="790"/>
      <c r="F457" s="824"/>
    </row>
    <row r="458" spans="1:6" s="775" customFormat="1">
      <c r="A458" s="778"/>
      <c r="B458" s="835" t="s">
        <v>4451</v>
      </c>
      <c r="C458" s="779"/>
      <c r="D458" s="795"/>
      <c r="E458" s="790"/>
      <c r="F458" s="824"/>
    </row>
    <row r="459" spans="1:6" s="775" customFormat="1">
      <c r="A459" s="778"/>
      <c r="B459" s="835" t="s">
        <v>4452</v>
      </c>
      <c r="C459" s="779"/>
      <c r="D459" s="795"/>
      <c r="E459" s="790"/>
      <c r="F459" s="824"/>
    </row>
    <row r="460" spans="1:6" s="775" customFormat="1">
      <c r="A460" s="778"/>
      <c r="B460" s="835" t="s">
        <v>4453</v>
      </c>
      <c r="C460" s="779"/>
      <c r="D460" s="795"/>
      <c r="E460" s="790"/>
      <c r="F460" s="824"/>
    </row>
    <row r="461" spans="1:6" s="775" customFormat="1">
      <c r="A461" s="778"/>
      <c r="B461" s="835" t="s">
        <v>4454</v>
      </c>
      <c r="C461" s="779"/>
      <c r="D461" s="795"/>
      <c r="E461" s="790"/>
      <c r="F461" s="824"/>
    </row>
    <row r="462" spans="1:6" s="775" customFormat="1">
      <c r="A462" s="778"/>
      <c r="B462" s="835" t="s">
        <v>4455</v>
      </c>
      <c r="C462" s="779"/>
      <c r="D462" s="795"/>
      <c r="E462" s="790"/>
      <c r="F462" s="824"/>
    </row>
    <row r="463" spans="1:6" s="775" customFormat="1">
      <c r="A463" s="778"/>
      <c r="B463" s="835" t="s">
        <v>4456</v>
      </c>
      <c r="C463" s="779" t="s">
        <v>649</v>
      </c>
      <c r="D463" s="795">
        <v>9</v>
      </c>
      <c r="E463" s="790">
        <v>800</v>
      </c>
      <c r="F463" s="824">
        <f>D463*E463</f>
        <v>7200</v>
      </c>
    </row>
    <row r="464" spans="1:6" s="775" customFormat="1">
      <c r="A464" s="778"/>
      <c r="B464" s="835"/>
      <c r="C464" s="779"/>
      <c r="D464" s="795"/>
      <c r="E464" s="790"/>
      <c r="F464" s="824"/>
    </row>
    <row r="465" spans="1:6" s="775" customFormat="1">
      <c r="A465" s="778" t="s">
        <v>4705</v>
      </c>
      <c r="B465" s="835" t="s">
        <v>4457</v>
      </c>
      <c r="C465" s="779"/>
      <c r="D465" s="795"/>
      <c r="E465" s="790"/>
      <c r="F465" s="824"/>
    </row>
    <row r="466" spans="1:6" s="775" customFormat="1">
      <c r="A466" s="778"/>
      <c r="B466" s="835" t="s">
        <v>4458</v>
      </c>
      <c r="C466" s="779"/>
      <c r="D466" s="795"/>
      <c r="E466" s="790"/>
      <c r="F466" s="824"/>
    </row>
    <row r="467" spans="1:6" s="775" customFormat="1">
      <c r="A467" s="778"/>
      <c r="B467" s="835" t="s">
        <v>4459</v>
      </c>
      <c r="C467" s="779"/>
      <c r="D467" s="795"/>
      <c r="E467" s="790"/>
      <c r="F467" s="824"/>
    </row>
    <row r="468" spans="1:6" s="775" customFormat="1">
      <c r="A468" s="778"/>
      <c r="B468" s="835" t="s">
        <v>4460</v>
      </c>
      <c r="C468" s="779"/>
      <c r="D468" s="795"/>
      <c r="E468" s="790"/>
      <c r="F468" s="824"/>
    </row>
    <row r="469" spans="1:6" s="775" customFormat="1" ht="27.6">
      <c r="A469" s="778"/>
      <c r="B469" s="835" t="s">
        <v>4461</v>
      </c>
      <c r="C469" s="779"/>
      <c r="D469" s="795"/>
      <c r="E469" s="790"/>
      <c r="F469" s="824"/>
    </row>
    <row r="470" spans="1:6" s="775" customFormat="1">
      <c r="A470" s="778"/>
      <c r="B470" s="835" t="s">
        <v>4462</v>
      </c>
      <c r="C470" s="779"/>
      <c r="D470" s="795"/>
      <c r="E470" s="790"/>
      <c r="F470" s="824"/>
    </row>
    <row r="471" spans="1:6" s="775" customFormat="1">
      <c r="A471" s="778"/>
      <c r="B471" s="835" t="s">
        <v>4463</v>
      </c>
      <c r="C471" s="779"/>
      <c r="D471" s="795"/>
      <c r="E471" s="790"/>
      <c r="F471" s="824"/>
    </row>
    <row r="472" spans="1:6" s="775" customFormat="1" ht="27.6">
      <c r="A472" s="778"/>
      <c r="B472" s="835" t="s">
        <v>4464</v>
      </c>
      <c r="C472" s="779"/>
      <c r="D472" s="795"/>
      <c r="E472" s="790"/>
      <c r="F472" s="824"/>
    </row>
    <row r="473" spans="1:6" s="775" customFormat="1">
      <c r="A473" s="778"/>
      <c r="B473" s="835" t="s">
        <v>4465</v>
      </c>
      <c r="C473" s="779"/>
      <c r="D473" s="795"/>
      <c r="E473" s="790"/>
      <c r="F473" s="824"/>
    </row>
    <row r="474" spans="1:6" s="775" customFormat="1">
      <c r="A474" s="778"/>
      <c r="B474" s="835" t="s">
        <v>4466</v>
      </c>
      <c r="C474" s="779"/>
      <c r="D474" s="795"/>
      <c r="E474" s="790"/>
      <c r="F474" s="824"/>
    </row>
    <row r="475" spans="1:6" s="775" customFormat="1">
      <c r="A475" s="778"/>
      <c r="B475" s="835" t="s">
        <v>4467</v>
      </c>
      <c r="C475" s="779"/>
      <c r="D475" s="795"/>
      <c r="E475" s="790"/>
      <c r="F475" s="824"/>
    </row>
    <row r="476" spans="1:6" s="775" customFormat="1">
      <c r="A476" s="778"/>
      <c r="B476" s="835" t="s">
        <v>4468</v>
      </c>
      <c r="C476" s="779"/>
      <c r="D476" s="795"/>
      <c r="E476" s="790"/>
      <c r="F476" s="824"/>
    </row>
    <row r="477" spans="1:6" s="775" customFormat="1">
      <c r="A477" s="778"/>
      <c r="B477" s="835" t="s">
        <v>4469</v>
      </c>
      <c r="C477" s="779"/>
      <c r="D477" s="795"/>
      <c r="E477" s="790"/>
      <c r="F477" s="824"/>
    </row>
    <row r="478" spans="1:6" s="775" customFormat="1">
      <c r="A478" s="778"/>
      <c r="B478" s="835" t="s">
        <v>4470</v>
      </c>
      <c r="C478" s="779" t="s">
        <v>649</v>
      </c>
      <c r="D478" s="795">
        <v>2</v>
      </c>
      <c r="E478" s="790">
        <v>1200</v>
      </c>
      <c r="F478" s="824">
        <f>D478*E478</f>
        <v>2400</v>
      </c>
    </row>
    <row r="479" spans="1:6" s="775" customFormat="1">
      <c r="A479" s="778"/>
      <c r="B479" s="835"/>
      <c r="C479" s="779"/>
      <c r="D479" s="795"/>
      <c r="E479" s="790"/>
      <c r="F479" s="824"/>
    </row>
    <row r="480" spans="1:6" s="775" customFormat="1">
      <c r="A480" s="778" t="s">
        <v>4706</v>
      </c>
      <c r="B480" s="835" t="s">
        <v>4457</v>
      </c>
      <c r="C480" s="779"/>
      <c r="D480" s="795"/>
      <c r="E480" s="790"/>
      <c r="F480" s="824"/>
    </row>
    <row r="481" spans="1:6" s="775" customFormat="1">
      <c r="A481" s="778"/>
      <c r="B481" s="835" t="s">
        <v>4471</v>
      </c>
      <c r="C481" s="779"/>
      <c r="D481" s="795"/>
      <c r="E481" s="790"/>
      <c r="F481" s="824"/>
    </row>
    <row r="482" spans="1:6" s="775" customFormat="1">
      <c r="A482" s="778"/>
      <c r="B482" s="835" t="s">
        <v>4472</v>
      </c>
      <c r="C482" s="779"/>
      <c r="D482" s="795"/>
      <c r="E482" s="790"/>
      <c r="F482" s="824"/>
    </row>
    <row r="483" spans="1:6" s="775" customFormat="1">
      <c r="A483" s="778"/>
      <c r="B483" s="835" t="s">
        <v>4473</v>
      </c>
      <c r="C483" s="779"/>
      <c r="D483" s="795"/>
      <c r="E483" s="790"/>
      <c r="F483" s="824"/>
    </row>
    <row r="484" spans="1:6" s="775" customFormat="1" ht="27.6">
      <c r="A484" s="778"/>
      <c r="B484" s="835" t="s">
        <v>4474</v>
      </c>
      <c r="C484" s="779"/>
      <c r="D484" s="795"/>
      <c r="E484" s="790"/>
      <c r="F484" s="824"/>
    </row>
    <row r="485" spans="1:6" s="775" customFormat="1">
      <c r="A485" s="778"/>
      <c r="B485" s="835" t="s">
        <v>4475</v>
      </c>
      <c r="C485" s="779"/>
      <c r="D485" s="795"/>
      <c r="E485" s="790"/>
      <c r="F485" s="824"/>
    </row>
    <row r="486" spans="1:6" s="775" customFormat="1">
      <c r="A486" s="778"/>
      <c r="B486" s="835" t="s">
        <v>4476</v>
      </c>
      <c r="C486" s="779"/>
      <c r="D486" s="795"/>
      <c r="E486" s="790"/>
      <c r="F486" s="824"/>
    </row>
    <row r="487" spans="1:6" s="775" customFormat="1" ht="27.6">
      <c r="A487" s="778"/>
      <c r="B487" s="835" t="s">
        <v>4477</v>
      </c>
      <c r="C487" s="779"/>
      <c r="D487" s="795"/>
      <c r="E487" s="790"/>
      <c r="F487" s="824"/>
    </row>
    <row r="488" spans="1:6" s="775" customFormat="1">
      <c r="A488" s="778"/>
      <c r="B488" s="835" t="s">
        <v>4478</v>
      </c>
      <c r="C488" s="779"/>
      <c r="D488" s="795"/>
      <c r="E488" s="790"/>
      <c r="F488" s="824"/>
    </row>
    <row r="489" spans="1:6" s="775" customFormat="1">
      <c r="A489" s="778"/>
      <c r="B489" s="835" t="s">
        <v>4479</v>
      </c>
      <c r="C489" s="779"/>
      <c r="D489" s="795"/>
      <c r="E489" s="790"/>
      <c r="F489" s="824"/>
    </row>
    <row r="490" spans="1:6" s="775" customFormat="1">
      <c r="A490" s="778"/>
      <c r="B490" s="835" t="s">
        <v>4480</v>
      </c>
      <c r="C490" s="779"/>
      <c r="D490" s="795"/>
      <c r="E490" s="790"/>
      <c r="F490" s="824"/>
    </row>
    <row r="491" spans="1:6" s="775" customFormat="1">
      <c r="A491" s="778"/>
      <c r="B491" s="835" t="s">
        <v>4481</v>
      </c>
      <c r="C491" s="779"/>
      <c r="D491" s="795"/>
      <c r="E491" s="790"/>
      <c r="F491" s="824"/>
    </row>
    <row r="492" spans="1:6" s="775" customFormat="1">
      <c r="A492" s="778"/>
      <c r="B492" s="835" t="s">
        <v>4482</v>
      </c>
      <c r="C492" s="779"/>
      <c r="D492" s="795"/>
      <c r="E492" s="790"/>
      <c r="F492" s="824"/>
    </row>
    <row r="493" spans="1:6" s="775" customFormat="1">
      <c r="A493" s="778"/>
      <c r="B493" s="835" t="s">
        <v>4483</v>
      </c>
      <c r="C493" s="779"/>
      <c r="D493" s="795"/>
      <c r="E493" s="790"/>
      <c r="F493" s="824"/>
    </row>
    <row r="494" spans="1:6" s="775" customFormat="1">
      <c r="A494" s="778"/>
      <c r="B494" s="835" t="s">
        <v>4484</v>
      </c>
      <c r="C494" s="779" t="s">
        <v>649</v>
      </c>
      <c r="D494" s="795">
        <v>2</v>
      </c>
      <c r="E494" s="790">
        <v>800</v>
      </c>
      <c r="F494" s="824">
        <f>D494*E494</f>
        <v>1600</v>
      </c>
    </row>
    <row r="495" spans="1:6" s="775" customFormat="1">
      <c r="A495" s="778"/>
      <c r="B495" s="835"/>
      <c r="C495" s="779"/>
      <c r="D495" s="795"/>
      <c r="E495" s="790"/>
      <c r="F495" s="824"/>
    </row>
    <row r="496" spans="1:6" s="775" customFormat="1">
      <c r="A496" s="778" t="s">
        <v>4707</v>
      </c>
      <c r="B496" s="835" t="s">
        <v>4457</v>
      </c>
      <c r="C496" s="779"/>
      <c r="D496" s="795"/>
      <c r="E496" s="790"/>
      <c r="F496" s="824"/>
    </row>
    <row r="497" spans="1:6" s="775" customFormat="1">
      <c r="A497" s="778"/>
      <c r="B497" s="835" t="s">
        <v>4485</v>
      </c>
      <c r="C497" s="779"/>
      <c r="D497" s="795"/>
      <c r="E497" s="790"/>
      <c r="F497" s="824"/>
    </row>
    <row r="498" spans="1:6" s="775" customFormat="1">
      <c r="A498" s="778"/>
      <c r="B498" s="835" t="s">
        <v>4486</v>
      </c>
      <c r="C498" s="779"/>
      <c r="D498" s="795"/>
      <c r="E498" s="790"/>
      <c r="F498" s="824"/>
    </row>
    <row r="499" spans="1:6" s="775" customFormat="1">
      <c r="A499" s="778"/>
      <c r="B499" s="835" t="s">
        <v>4487</v>
      </c>
      <c r="C499" s="779"/>
      <c r="D499" s="795"/>
      <c r="E499" s="790"/>
      <c r="F499" s="824"/>
    </row>
    <row r="500" spans="1:6" s="775" customFormat="1" ht="27.6">
      <c r="A500" s="778"/>
      <c r="B500" s="835" t="s">
        <v>4488</v>
      </c>
      <c r="C500" s="779"/>
      <c r="D500" s="795"/>
      <c r="E500" s="790"/>
      <c r="F500" s="824"/>
    </row>
    <row r="501" spans="1:6" s="775" customFormat="1">
      <c r="A501" s="778"/>
      <c r="B501" s="835" t="s">
        <v>4489</v>
      </c>
      <c r="C501" s="779"/>
      <c r="D501" s="795"/>
      <c r="E501" s="790"/>
      <c r="F501" s="824"/>
    </row>
    <row r="502" spans="1:6" s="775" customFormat="1">
      <c r="A502" s="778"/>
      <c r="B502" s="835" t="s">
        <v>4490</v>
      </c>
      <c r="C502" s="779"/>
      <c r="D502" s="795"/>
      <c r="E502" s="790"/>
      <c r="F502" s="824"/>
    </row>
    <row r="503" spans="1:6" s="775" customFormat="1" ht="27.6">
      <c r="A503" s="778"/>
      <c r="B503" s="835" t="s">
        <v>4491</v>
      </c>
      <c r="C503" s="779"/>
      <c r="D503" s="795"/>
      <c r="E503" s="790"/>
      <c r="F503" s="824"/>
    </row>
    <row r="504" spans="1:6" s="775" customFormat="1">
      <c r="A504" s="778"/>
      <c r="B504" s="835" t="s">
        <v>4492</v>
      </c>
      <c r="C504" s="779"/>
      <c r="D504" s="795"/>
      <c r="E504" s="790"/>
      <c r="F504" s="824"/>
    </row>
    <row r="505" spans="1:6" s="775" customFormat="1">
      <c r="A505" s="778"/>
      <c r="B505" s="835" t="s">
        <v>4493</v>
      </c>
      <c r="C505" s="779"/>
      <c r="D505" s="795"/>
      <c r="E505" s="790"/>
      <c r="F505" s="824"/>
    </row>
    <row r="506" spans="1:6" s="775" customFormat="1">
      <c r="A506" s="778"/>
      <c r="B506" s="835" t="s">
        <v>4494</v>
      </c>
      <c r="C506" s="779"/>
      <c r="D506" s="795"/>
      <c r="E506" s="790"/>
      <c r="F506" s="824"/>
    </row>
    <row r="507" spans="1:6" s="775" customFormat="1">
      <c r="A507" s="778"/>
      <c r="B507" s="835" t="s">
        <v>4495</v>
      </c>
      <c r="C507" s="779"/>
      <c r="D507" s="795"/>
      <c r="E507" s="790"/>
      <c r="F507" s="824"/>
    </row>
    <row r="508" spans="1:6" s="775" customFormat="1">
      <c r="A508" s="778"/>
      <c r="B508" s="835" t="s">
        <v>4482</v>
      </c>
      <c r="C508" s="779"/>
      <c r="D508" s="795"/>
      <c r="E508" s="790"/>
      <c r="F508" s="824"/>
    </row>
    <row r="509" spans="1:6" s="775" customFormat="1">
      <c r="A509" s="778"/>
      <c r="B509" s="835" t="s">
        <v>4483</v>
      </c>
      <c r="C509" s="779"/>
      <c r="D509" s="795"/>
      <c r="E509" s="790"/>
      <c r="F509" s="824"/>
    </row>
    <row r="510" spans="1:6" s="775" customFormat="1">
      <c r="A510" s="778"/>
      <c r="B510" s="835" t="s">
        <v>4484</v>
      </c>
      <c r="C510" s="779" t="s">
        <v>649</v>
      </c>
      <c r="D510" s="795">
        <v>5</v>
      </c>
      <c r="E510" s="790">
        <v>800</v>
      </c>
      <c r="F510" s="824">
        <f>D510*E510</f>
        <v>4000</v>
      </c>
    </row>
    <row r="511" spans="1:6" s="775" customFormat="1">
      <c r="A511" s="778"/>
      <c r="B511" s="835"/>
      <c r="C511" s="779"/>
      <c r="D511" s="795"/>
      <c r="E511" s="790"/>
      <c r="F511" s="824"/>
    </row>
    <row r="512" spans="1:6" s="775" customFormat="1">
      <c r="A512" s="778" t="s">
        <v>4708</v>
      </c>
      <c r="B512" s="835" t="s">
        <v>4496</v>
      </c>
      <c r="C512" s="779"/>
      <c r="D512" s="795"/>
      <c r="E512" s="790"/>
      <c r="F512" s="824"/>
    </row>
    <row r="513" spans="1:6" s="775" customFormat="1" ht="55.2">
      <c r="A513" s="778"/>
      <c r="B513" s="835" t="s">
        <v>5150</v>
      </c>
      <c r="C513" s="779"/>
      <c r="D513" s="795"/>
      <c r="E513" s="790"/>
      <c r="F513" s="824"/>
    </row>
    <row r="514" spans="1:6" s="775" customFormat="1" ht="27.6">
      <c r="A514" s="778"/>
      <c r="B514" s="835" t="s">
        <v>4440</v>
      </c>
      <c r="C514" s="779"/>
      <c r="D514" s="795"/>
      <c r="E514" s="790"/>
      <c r="F514" s="824"/>
    </row>
    <row r="515" spans="1:6" s="775" customFormat="1" ht="27.6">
      <c r="A515" s="778"/>
      <c r="B515" s="835" t="s">
        <v>4441</v>
      </c>
      <c r="C515" s="779"/>
      <c r="D515" s="795"/>
      <c r="E515" s="790"/>
      <c r="F515" s="824"/>
    </row>
    <row r="516" spans="1:6" s="775" customFormat="1" ht="27.6">
      <c r="A516" s="778"/>
      <c r="B516" s="835" t="s">
        <v>4442</v>
      </c>
      <c r="C516" s="779"/>
      <c r="D516" s="795"/>
      <c r="E516" s="790"/>
      <c r="F516" s="824"/>
    </row>
    <row r="517" spans="1:6" s="775" customFormat="1">
      <c r="A517" s="778"/>
      <c r="B517" s="835" t="s">
        <v>4443</v>
      </c>
      <c r="C517" s="779"/>
      <c r="D517" s="795"/>
      <c r="E517" s="790"/>
      <c r="F517" s="824"/>
    </row>
    <row r="518" spans="1:6" s="775" customFormat="1">
      <c r="A518" s="778"/>
      <c r="B518" s="835" t="s">
        <v>4444</v>
      </c>
      <c r="C518" s="779"/>
      <c r="D518" s="795"/>
      <c r="E518" s="790"/>
      <c r="F518" s="824"/>
    </row>
    <row r="519" spans="1:6" s="775" customFormat="1">
      <c r="A519" s="778"/>
      <c r="B519" s="835" t="s">
        <v>4445</v>
      </c>
      <c r="C519" s="779"/>
      <c r="D519" s="795"/>
      <c r="E519" s="790"/>
      <c r="F519" s="824"/>
    </row>
    <row r="520" spans="1:6" s="775" customFormat="1" ht="27.6">
      <c r="A520" s="778"/>
      <c r="B520" s="835" t="s">
        <v>4446</v>
      </c>
      <c r="C520" s="779"/>
      <c r="D520" s="795"/>
      <c r="E520" s="790"/>
      <c r="F520" s="824"/>
    </row>
    <row r="521" spans="1:6" s="775" customFormat="1" ht="27.6">
      <c r="A521" s="778"/>
      <c r="B521" s="835" t="s">
        <v>4447</v>
      </c>
      <c r="C521" s="779"/>
      <c r="D521" s="795"/>
      <c r="E521" s="790"/>
      <c r="F521" s="824"/>
    </row>
    <row r="522" spans="1:6" s="775" customFormat="1">
      <c r="A522" s="778"/>
      <c r="B522" s="835" t="s">
        <v>4448</v>
      </c>
      <c r="C522" s="779"/>
      <c r="D522" s="795"/>
      <c r="E522" s="790"/>
      <c r="F522" s="824"/>
    </row>
    <row r="523" spans="1:6" s="775" customFormat="1">
      <c r="A523" s="778"/>
      <c r="B523" s="835" t="s">
        <v>4449</v>
      </c>
      <c r="C523" s="779"/>
      <c r="D523" s="795"/>
      <c r="E523" s="790"/>
      <c r="F523" s="824"/>
    </row>
    <row r="524" spans="1:6" s="775" customFormat="1" ht="27.6">
      <c r="A524" s="778"/>
      <c r="B524" s="835" t="s">
        <v>4450</v>
      </c>
      <c r="C524" s="779"/>
      <c r="D524" s="795"/>
      <c r="E524" s="790"/>
      <c r="F524" s="824"/>
    </row>
    <row r="525" spans="1:6" s="775" customFormat="1">
      <c r="A525" s="778"/>
      <c r="B525" s="835" t="s">
        <v>4451</v>
      </c>
      <c r="C525" s="779"/>
      <c r="D525" s="795"/>
      <c r="E525" s="790"/>
      <c r="F525" s="824"/>
    </row>
    <row r="526" spans="1:6" s="775" customFormat="1">
      <c r="A526" s="778"/>
      <c r="B526" s="835" t="s">
        <v>4452</v>
      </c>
      <c r="C526" s="779"/>
      <c r="D526" s="795"/>
      <c r="E526" s="790"/>
      <c r="F526" s="824"/>
    </row>
    <row r="527" spans="1:6" s="775" customFormat="1">
      <c r="A527" s="778"/>
      <c r="B527" s="835" t="s">
        <v>4453</v>
      </c>
      <c r="C527" s="779"/>
      <c r="D527" s="795"/>
      <c r="E527" s="790"/>
      <c r="F527" s="824"/>
    </row>
    <row r="528" spans="1:6" s="775" customFormat="1">
      <c r="A528" s="778"/>
      <c r="B528" s="835" t="s">
        <v>4454</v>
      </c>
      <c r="C528" s="779"/>
      <c r="D528" s="795"/>
      <c r="E528" s="790"/>
      <c r="F528" s="824"/>
    </row>
    <row r="529" spans="1:6" s="775" customFormat="1">
      <c r="A529" s="778"/>
      <c r="B529" s="835" t="s">
        <v>4455</v>
      </c>
      <c r="C529" s="779"/>
      <c r="D529" s="795"/>
      <c r="E529" s="790"/>
      <c r="F529" s="824"/>
    </row>
    <row r="530" spans="1:6" s="775" customFormat="1">
      <c r="A530" s="778"/>
      <c r="B530" s="835" t="s">
        <v>4456</v>
      </c>
      <c r="C530" s="779" t="s">
        <v>649</v>
      </c>
      <c r="D530" s="795">
        <v>1</v>
      </c>
      <c r="E530" s="790">
        <v>500</v>
      </c>
      <c r="F530" s="824">
        <f>D530*E530</f>
        <v>500</v>
      </c>
    </row>
    <row r="531" spans="1:6" s="775" customFormat="1">
      <c r="A531" s="778"/>
      <c r="B531" s="835"/>
      <c r="C531" s="779"/>
      <c r="D531" s="795"/>
      <c r="E531" s="790"/>
      <c r="F531" s="824"/>
    </row>
    <row r="532" spans="1:6" s="775" customFormat="1" ht="207">
      <c r="A532" s="778" t="s">
        <v>4709</v>
      </c>
      <c r="B532" s="835" t="s">
        <v>4497</v>
      </c>
      <c r="C532" s="779"/>
      <c r="D532" s="795"/>
      <c r="E532" s="790"/>
      <c r="F532" s="824"/>
    </row>
    <row r="533" spans="1:6" s="775" customFormat="1">
      <c r="A533" s="778" t="s">
        <v>48</v>
      </c>
      <c r="B533" s="835" t="s">
        <v>4498</v>
      </c>
      <c r="C533" s="782" t="s">
        <v>649</v>
      </c>
      <c r="D533" s="802">
        <v>8</v>
      </c>
      <c r="E533" s="800">
        <v>50</v>
      </c>
      <c r="F533" s="829">
        <f>E533*D533</f>
        <v>400</v>
      </c>
    </row>
    <row r="534" spans="1:6" s="775" customFormat="1">
      <c r="A534" s="778" t="s">
        <v>49</v>
      </c>
      <c r="B534" s="835" t="s">
        <v>4499</v>
      </c>
      <c r="C534" s="782" t="s">
        <v>649</v>
      </c>
      <c r="D534" s="802">
        <v>15</v>
      </c>
      <c r="E534" s="800">
        <v>80</v>
      </c>
      <c r="F534" s="829">
        <f>E534*D534</f>
        <v>1200</v>
      </c>
    </row>
    <row r="535" spans="1:6" s="775" customFormat="1">
      <c r="A535" s="778" t="s">
        <v>51</v>
      </c>
      <c r="B535" s="835" t="s">
        <v>4500</v>
      </c>
      <c r="C535" s="782" t="s">
        <v>649</v>
      </c>
      <c r="D535" s="802">
        <v>15</v>
      </c>
      <c r="E535" s="800">
        <v>120</v>
      </c>
      <c r="F535" s="829">
        <f>E535*D535</f>
        <v>1800</v>
      </c>
    </row>
    <row r="536" spans="1:6" s="775" customFormat="1">
      <c r="A536" s="778"/>
      <c r="B536" s="835"/>
      <c r="C536" s="779"/>
      <c r="D536" s="795"/>
      <c r="E536" s="790"/>
      <c r="F536" s="824"/>
    </row>
    <row r="537" spans="1:6" s="775" customFormat="1" ht="82.8">
      <c r="A537" s="778" t="s">
        <v>4710</v>
      </c>
      <c r="B537" s="835" t="s">
        <v>4501</v>
      </c>
      <c r="C537" s="782" t="s">
        <v>649</v>
      </c>
      <c r="D537" s="802">
        <v>38</v>
      </c>
      <c r="E537" s="800">
        <v>50</v>
      </c>
      <c r="F537" s="829">
        <f>E537*D537</f>
        <v>1900</v>
      </c>
    </row>
    <row r="538" spans="1:6" s="775" customFormat="1">
      <c r="A538" s="778"/>
      <c r="B538" s="835"/>
      <c r="C538" s="779"/>
      <c r="D538" s="795"/>
      <c r="E538" s="790"/>
      <c r="F538" s="824"/>
    </row>
    <row r="539" spans="1:6" s="775" customFormat="1" ht="55.2">
      <c r="A539" s="778" t="s">
        <v>4711</v>
      </c>
      <c r="B539" s="835" t="s">
        <v>5151</v>
      </c>
      <c r="C539" s="779"/>
      <c r="D539" s="798"/>
      <c r="E539" s="799"/>
      <c r="F539" s="824"/>
    </row>
    <row r="540" spans="1:6" s="775" customFormat="1">
      <c r="A540" s="778" t="s">
        <v>48</v>
      </c>
      <c r="B540" s="835" t="s">
        <v>4502</v>
      </c>
      <c r="C540" s="782" t="s">
        <v>649</v>
      </c>
      <c r="D540" s="802">
        <v>8</v>
      </c>
      <c r="E540" s="800">
        <v>20</v>
      </c>
      <c r="F540" s="829">
        <f>E540*D540</f>
        <v>160</v>
      </c>
    </row>
    <row r="541" spans="1:6" s="775" customFormat="1">
      <c r="A541" s="778" t="s">
        <v>49</v>
      </c>
      <c r="B541" s="835" t="s">
        <v>2398</v>
      </c>
      <c r="C541" s="782" t="s">
        <v>649</v>
      </c>
      <c r="D541" s="802">
        <v>15</v>
      </c>
      <c r="E541" s="800">
        <v>30</v>
      </c>
      <c r="F541" s="829">
        <f>E541*D541</f>
        <v>450</v>
      </c>
    </row>
    <row r="542" spans="1:6" s="775" customFormat="1">
      <c r="A542" s="778" t="s">
        <v>51</v>
      </c>
      <c r="B542" s="835" t="s">
        <v>2383</v>
      </c>
      <c r="C542" s="782" t="s">
        <v>649</v>
      </c>
      <c r="D542" s="802">
        <v>15</v>
      </c>
      <c r="E542" s="800">
        <v>40</v>
      </c>
      <c r="F542" s="829">
        <f>E542*D542</f>
        <v>600</v>
      </c>
    </row>
    <row r="543" spans="1:6" s="775" customFormat="1">
      <c r="A543" s="778"/>
      <c r="B543" s="835"/>
      <c r="C543" s="782"/>
      <c r="D543" s="802"/>
      <c r="E543" s="800"/>
      <c r="F543" s="829"/>
    </row>
    <row r="544" spans="1:6" s="775" customFormat="1" ht="41.4">
      <c r="A544" s="778" t="s">
        <v>4712</v>
      </c>
      <c r="B544" s="835" t="s">
        <v>4503</v>
      </c>
      <c r="C544" s="779"/>
      <c r="D544" s="795"/>
      <c r="E544" s="790"/>
      <c r="F544" s="824"/>
    </row>
    <row r="545" spans="1:6" s="775" customFormat="1">
      <c r="A545" s="778" t="s">
        <v>48</v>
      </c>
      <c r="B545" s="835" t="s">
        <v>4502</v>
      </c>
      <c r="C545" s="782" t="s">
        <v>649</v>
      </c>
      <c r="D545" s="802">
        <v>24</v>
      </c>
      <c r="E545" s="800">
        <v>20</v>
      </c>
      <c r="F545" s="829">
        <f>E545*D545</f>
        <v>480</v>
      </c>
    </row>
    <row r="546" spans="1:6" s="775" customFormat="1">
      <c r="A546" s="778" t="s">
        <v>49</v>
      </c>
      <c r="B546" s="835" t="s">
        <v>2398</v>
      </c>
      <c r="C546" s="782" t="s">
        <v>649</v>
      </c>
      <c r="D546" s="802">
        <v>45</v>
      </c>
      <c r="E546" s="800">
        <v>30</v>
      </c>
      <c r="F546" s="829">
        <f>E546*D546</f>
        <v>1350</v>
      </c>
    </row>
    <row r="547" spans="1:6" s="775" customFormat="1">
      <c r="A547" s="778" t="s">
        <v>51</v>
      </c>
      <c r="B547" s="835" t="s">
        <v>2383</v>
      </c>
      <c r="C547" s="782" t="s">
        <v>649</v>
      </c>
      <c r="D547" s="802">
        <v>45</v>
      </c>
      <c r="E547" s="800">
        <v>40</v>
      </c>
      <c r="F547" s="829">
        <f>E547*D547</f>
        <v>1800</v>
      </c>
    </row>
    <row r="548" spans="1:6" s="775" customFormat="1">
      <c r="A548" s="778"/>
      <c r="B548" s="835"/>
      <c r="C548" s="779"/>
      <c r="D548" s="795"/>
      <c r="E548" s="790"/>
      <c r="F548" s="824"/>
    </row>
    <row r="549" spans="1:6" s="775" customFormat="1" ht="27.6">
      <c r="A549" s="778" t="s">
        <v>4713</v>
      </c>
      <c r="B549" s="835" t="s">
        <v>4409</v>
      </c>
      <c r="C549" s="782"/>
      <c r="D549" s="802"/>
      <c r="E549" s="800"/>
      <c r="F549" s="829"/>
    </row>
    <row r="550" spans="1:6" s="775" customFormat="1">
      <c r="A550" s="778" t="s">
        <v>48</v>
      </c>
      <c r="B550" s="835" t="s">
        <v>4502</v>
      </c>
      <c r="C550" s="782" t="s">
        <v>649</v>
      </c>
      <c r="D550" s="802">
        <v>24</v>
      </c>
      <c r="E550" s="800">
        <v>20</v>
      </c>
      <c r="F550" s="829">
        <f>E550*D550</f>
        <v>480</v>
      </c>
    </row>
    <row r="551" spans="1:6" s="775" customFormat="1">
      <c r="A551" s="778" t="s">
        <v>49</v>
      </c>
      <c r="B551" s="835" t="s">
        <v>2398</v>
      </c>
      <c r="C551" s="782" t="s">
        <v>649</v>
      </c>
      <c r="D551" s="802">
        <v>45</v>
      </c>
      <c r="E551" s="800">
        <v>30</v>
      </c>
      <c r="F551" s="829">
        <f>E551*D551</f>
        <v>1350</v>
      </c>
    </row>
    <row r="552" spans="1:6" s="775" customFormat="1">
      <c r="A552" s="778" t="s">
        <v>51</v>
      </c>
      <c r="B552" s="835" t="s">
        <v>2383</v>
      </c>
      <c r="C552" s="782" t="s">
        <v>649</v>
      </c>
      <c r="D552" s="802">
        <v>45</v>
      </c>
      <c r="E552" s="800">
        <v>40</v>
      </c>
      <c r="F552" s="829">
        <f>E552*D552</f>
        <v>1800</v>
      </c>
    </row>
    <row r="553" spans="1:6" s="775" customFormat="1">
      <c r="A553" s="778"/>
      <c r="B553" s="835"/>
      <c r="C553" s="779"/>
      <c r="D553" s="795"/>
      <c r="E553" s="790"/>
      <c r="F553" s="824"/>
    </row>
    <row r="554" spans="1:6" s="775" customFormat="1" ht="27.6">
      <c r="A554" s="778" t="s">
        <v>4714</v>
      </c>
      <c r="B554" s="835" t="s">
        <v>5152</v>
      </c>
      <c r="C554" s="779"/>
      <c r="D554" s="795"/>
      <c r="E554" s="790"/>
      <c r="F554" s="824"/>
    </row>
    <row r="555" spans="1:6" s="775" customFormat="1">
      <c r="A555" s="778" t="s">
        <v>48</v>
      </c>
      <c r="B555" s="835" t="s">
        <v>4504</v>
      </c>
      <c r="C555" s="779" t="s">
        <v>697</v>
      </c>
      <c r="D555" s="802">
        <v>75</v>
      </c>
      <c r="E555" s="800">
        <v>30</v>
      </c>
      <c r="F555" s="829">
        <f t="shared" ref="F555:F560" si="2">E555*D555</f>
        <v>2250</v>
      </c>
    </row>
    <row r="556" spans="1:6" s="775" customFormat="1">
      <c r="A556" s="778" t="s">
        <v>49</v>
      </c>
      <c r="B556" s="835" t="s">
        <v>4505</v>
      </c>
      <c r="C556" s="779" t="s">
        <v>697</v>
      </c>
      <c r="D556" s="802">
        <v>85</v>
      </c>
      <c r="E556" s="800">
        <v>40</v>
      </c>
      <c r="F556" s="829">
        <f t="shared" si="2"/>
        <v>3400</v>
      </c>
    </row>
    <row r="557" spans="1:6" s="775" customFormat="1">
      <c r="A557" s="778" t="s">
        <v>51</v>
      </c>
      <c r="B557" s="835" t="s">
        <v>4506</v>
      </c>
      <c r="C557" s="779" t="s">
        <v>697</v>
      </c>
      <c r="D557" s="802">
        <v>125</v>
      </c>
      <c r="E557" s="800">
        <v>50</v>
      </c>
      <c r="F557" s="829">
        <f t="shared" si="2"/>
        <v>6250</v>
      </c>
    </row>
    <row r="558" spans="1:6" s="775" customFormat="1">
      <c r="A558" s="778" t="s">
        <v>53</v>
      </c>
      <c r="B558" s="835" t="s">
        <v>4507</v>
      </c>
      <c r="C558" s="779" t="s">
        <v>697</v>
      </c>
      <c r="D558" s="802">
        <v>175</v>
      </c>
      <c r="E558" s="800">
        <v>60</v>
      </c>
      <c r="F558" s="829">
        <f t="shared" si="2"/>
        <v>10500</v>
      </c>
    </row>
    <row r="559" spans="1:6" s="775" customFormat="1">
      <c r="A559" s="778" t="s">
        <v>698</v>
      </c>
      <c r="B559" s="835" t="s">
        <v>4508</v>
      </c>
      <c r="C559" s="779" t="s">
        <v>697</v>
      </c>
      <c r="D559" s="802">
        <v>135</v>
      </c>
      <c r="E559" s="800">
        <v>70</v>
      </c>
      <c r="F559" s="829">
        <f t="shared" si="2"/>
        <v>9450</v>
      </c>
    </row>
    <row r="560" spans="1:6" s="775" customFormat="1">
      <c r="A560" s="778" t="s">
        <v>699</v>
      </c>
      <c r="B560" s="835" t="s">
        <v>4509</v>
      </c>
      <c r="C560" s="779" t="s">
        <v>697</v>
      </c>
      <c r="D560" s="802">
        <v>155</v>
      </c>
      <c r="E560" s="800">
        <v>80</v>
      </c>
      <c r="F560" s="829">
        <f t="shared" si="2"/>
        <v>12400</v>
      </c>
    </row>
    <row r="561" spans="1:6" s="775" customFormat="1">
      <c r="A561" s="778"/>
      <c r="B561" s="835"/>
      <c r="C561" s="779"/>
      <c r="D561" s="795"/>
      <c r="E561" s="790"/>
      <c r="F561" s="824"/>
    </row>
    <row r="562" spans="1:6" s="775" customFormat="1" ht="179.4">
      <c r="A562" s="778" t="s">
        <v>4715</v>
      </c>
      <c r="B562" s="835" t="s">
        <v>4510</v>
      </c>
      <c r="C562" s="779"/>
      <c r="D562" s="797"/>
      <c r="E562" s="791"/>
      <c r="F562" s="824"/>
    </row>
    <row r="563" spans="1:6" s="775" customFormat="1">
      <c r="A563" s="778" t="s">
        <v>48</v>
      </c>
      <c r="B563" s="835" t="s">
        <v>4511</v>
      </c>
      <c r="C563" s="779" t="s">
        <v>697</v>
      </c>
      <c r="D563" s="802">
        <v>75</v>
      </c>
      <c r="E563" s="800">
        <v>3</v>
      </c>
      <c r="F563" s="829">
        <f t="shared" ref="F563:F568" si="3">E563*D563</f>
        <v>225</v>
      </c>
    </row>
    <row r="564" spans="1:6" s="775" customFormat="1">
      <c r="A564" s="778" t="s">
        <v>49</v>
      </c>
      <c r="B564" s="835" t="s">
        <v>4512</v>
      </c>
      <c r="C564" s="779" t="s">
        <v>697</v>
      </c>
      <c r="D564" s="802">
        <v>85</v>
      </c>
      <c r="E564" s="800">
        <v>4</v>
      </c>
      <c r="F564" s="829">
        <f t="shared" si="3"/>
        <v>340</v>
      </c>
    </row>
    <row r="565" spans="1:6" s="775" customFormat="1">
      <c r="A565" s="778" t="s">
        <v>51</v>
      </c>
      <c r="B565" s="835" t="s">
        <v>4513</v>
      </c>
      <c r="C565" s="779" t="s">
        <v>697</v>
      </c>
      <c r="D565" s="802">
        <v>125</v>
      </c>
      <c r="E565" s="800">
        <v>5</v>
      </c>
      <c r="F565" s="829">
        <f t="shared" si="3"/>
        <v>625</v>
      </c>
    </row>
    <row r="566" spans="1:6" s="775" customFormat="1">
      <c r="A566" s="778" t="s">
        <v>53</v>
      </c>
      <c r="B566" s="835" t="s">
        <v>4514</v>
      </c>
      <c r="C566" s="779" t="s">
        <v>697</v>
      </c>
      <c r="D566" s="802">
        <v>175</v>
      </c>
      <c r="E566" s="800">
        <v>6</v>
      </c>
      <c r="F566" s="829">
        <f t="shared" si="3"/>
        <v>1050</v>
      </c>
    </row>
    <row r="567" spans="1:6" s="775" customFormat="1">
      <c r="A567" s="778" t="s">
        <v>698</v>
      </c>
      <c r="B567" s="835" t="s">
        <v>4515</v>
      </c>
      <c r="C567" s="779" t="s">
        <v>697</v>
      </c>
      <c r="D567" s="802">
        <v>135</v>
      </c>
      <c r="E567" s="800">
        <v>7</v>
      </c>
      <c r="F567" s="829">
        <f t="shared" si="3"/>
        <v>945</v>
      </c>
    </row>
    <row r="568" spans="1:6" s="775" customFormat="1">
      <c r="A568" s="778" t="s">
        <v>699</v>
      </c>
      <c r="B568" s="835" t="s">
        <v>4516</v>
      </c>
      <c r="C568" s="779" t="s">
        <v>697</v>
      </c>
      <c r="D568" s="802">
        <v>155</v>
      </c>
      <c r="E568" s="800">
        <v>8</v>
      </c>
      <c r="F568" s="829">
        <f t="shared" si="3"/>
        <v>1240</v>
      </c>
    </row>
    <row r="569" spans="1:6" s="775" customFormat="1">
      <c r="A569" s="778"/>
      <c r="B569" s="835"/>
      <c r="C569" s="779"/>
      <c r="D569" s="795"/>
      <c r="E569" s="800"/>
      <c r="F569" s="829"/>
    </row>
    <row r="570" spans="1:6" s="775" customFormat="1" ht="96.6">
      <c r="A570" s="778" t="s">
        <v>4716</v>
      </c>
      <c r="B570" s="835" t="s">
        <v>5193</v>
      </c>
      <c r="C570" s="779" t="s">
        <v>649</v>
      </c>
      <c r="D570" s="795">
        <v>96</v>
      </c>
      <c r="E570" s="800">
        <v>30</v>
      </c>
      <c r="F570" s="829">
        <f>E570*D570</f>
        <v>2880</v>
      </c>
    </row>
    <row r="571" spans="1:6" s="775" customFormat="1">
      <c r="A571" s="778"/>
      <c r="B571" s="835"/>
      <c r="C571" s="779"/>
      <c r="D571" s="795"/>
      <c r="E571" s="800"/>
      <c r="F571" s="829"/>
    </row>
    <row r="572" spans="1:6" s="775" customFormat="1" ht="55.2">
      <c r="A572" s="778" t="s">
        <v>4717</v>
      </c>
      <c r="B572" s="835" t="s">
        <v>4517</v>
      </c>
      <c r="C572" s="779"/>
      <c r="D572" s="795"/>
      <c r="E572" s="790"/>
      <c r="F572" s="824"/>
    </row>
    <row r="573" spans="1:6" s="775" customFormat="1">
      <c r="A573" s="778" t="s">
        <v>48</v>
      </c>
      <c r="B573" s="835" t="s">
        <v>5669</v>
      </c>
      <c r="C573" s="779" t="s">
        <v>697</v>
      </c>
      <c r="D573" s="802">
        <v>250</v>
      </c>
      <c r="E573" s="800">
        <v>20</v>
      </c>
      <c r="F573" s="829">
        <f>E573*D573</f>
        <v>5000</v>
      </c>
    </row>
    <row r="574" spans="1:6" s="775" customFormat="1">
      <c r="A574" s="778" t="s">
        <v>49</v>
      </c>
      <c r="B574" s="835" t="s">
        <v>5670</v>
      </c>
      <c r="C574" s="779" t="s">
        <v>697</v>
      </c>
      <c r="D574" s="802">
        <v>160</v>
      </c>
      <c r="E574" s="800">
        <v>30</v>
      </c>
      <c r="F574" s="829">
        <f>E574*D574</f>
        <v>4800</v>
      </c>
    </row>
    <row r="575" spans="1:6" s="775" customFormat="1">
      <c r="A575" s="778" t="s">
        <v>51</v>
      </c>
      <c r="B575" s="835" t="s">
        <v>5671</v>
      </c>
      <c r="C575" s="779" t="s">
        <v>697</v>
      </c>
      <c r="D575" s="802">
        <v>90</v>
      </c>
      <c r="E575" s="800">
        <v>40</v>
      </c>
      <c r="F575" s="829">
        <f>E575*D575</f>
        <v>3600</v>
      </c>
    </row>
    <row r="576" spans="1:6" s="775" customFormat="1">
      <c r="A576" s="778"/>
      <c r="B576" s="835"/>
      <c r="C576" s="779"/>
      <c r="D576" s="802"/>
      <c r="E576" s="800"/>
      <c r="F576" s="829"/>
    </row>
    <row r="577" spans="1:6" s="775" customFormat="1" ht="220.8">
      <c r="A577" s="778" t="s">
        <v>4718</v>
      </c>
      <c r="B577" s="835" t="s">
        <v>5194</v>
      </c>
      <c r="C577" s="779"/>
      <c r="D577" s="802"/>
      <c r="E577" s="800"/>
      <c r="F577" s="829"/>
    </row>
    <row r="578" spans="1:6" s="775" customFormat="1" ht="27.6">
      <c r="A578" s="778"/>
      <c r="B578" s="835" t="s">
        <v>4518</v>
      </c>
      <c r="C578" s="779"/>
      <c r="D578" s="802"/>
      <c r="E578" s="800"/>
      <c r="F578" s="829"/>
    </row>
    <row r="579" spans="1:6" s="775" customFormat="1">
      <c r="A579" s="778" t="s">
        <v>48</v>
      </c>
      <c r="B579" s="835" t="s">
        <v>5669</v>
      </c>
      <c r="C579" s="779" t="s">
        <v>697</v>
      </c>
      <c r="D579" s="802">
        <v>250</v>
      </c>
      <c r="E579" s="800">
        <v>3</v>
      </c>
      <c r="F579" s="829">
        <f>E579*D579</f>
        <v>750</v>
      </c>
    </row>
    <row r="580" spans="1:6" s="775" customFormat="1">
      <c r="A580" s="778" t="s">
        <v>49</v>
      </c>
      <c r="B580" s="835" t="s">
        <v>5670</v>
      </c>
      <c r="C580" s="779" t="s">
        <v>697</v>
      </c>
      <c r="D580" s="802">
        <v>160</v>
      </c>
      <c r="E580" s="800">
        <v>5</v>
      </c>
      <c r="F580" s="829">
        <f>E580*D580</f>
        <v>800</v>
      </c>
    </row>
    <row r="581" spans="1:6" s="775" customFormat="1">
      <c r="A581" s="778" t="s">
        <v>51</v>
      </c>
      <c r="B581" s="835" t="s">
        <v>5671</v>
      </c>
      <c r="C581" s="779" t="s">
        <v>697</v>
      </c>
      <c r="D581" s="802">
        <v>90</v>
      </c>
      <c r="E581" s="800">
        <v>7</v>
      </c>
      <c r="F581" s="829">
        <f>E581*D581</f>
        <v>630</v>
      </c>
    </row>
    <row r="582" spans="1:6" s="775" customFormat="1">
      <c r="A582" s="778"/>
      <c r="B582" s="835"/>
      <c r="C582" s="779"/>
      <c r="D582" s="795"/>
      <c r="E582" s="790"/>
      <c r="F582" s="824"/>
    </row>
    <row r="583" spans="1:6" s="775" customFormat="1">
      <c r="A583" s="778" t="s">
        <v>4719</v>
      </c>
      <c r="B583" s="835" t="s">
        <v>4519</v>
      </c>
      <c r="C583" s="779"/>
      <c r="D583" s="795"/>
      <c r="E583" s="790"/>
      <c r="F583" s="824"/>
    </row>
    <row r="584" spans="1:6" s="775" customFormat="1">
      <c r="A584" s="778"/>
      <c r="B584" s="835" t="s">
        <v>4397</v>
      </c>
      <c r="C584" s="779" t="s">
        <v>649</v>
      </c>
      <c r="D584" s="795">
        <v>10</v>
      </c>
      <c r="E584" s="800">
        <v>100</v>
      </c>
      <c r="F584" s="829">
        <f>E584*D584</f>
        <v>1000</v>
      </c>
    </row>
    <row r="585" spans="1:6" s="775" customFormat="1">
      <c r="A585" s="778"/>
      <c r="B585" s="835"/>
      <c r="C585" s="779"/>
      <c r="D585" s="795"/>
      <c r="E585" s="790"/>
      <c r="F585" s="824"/>
    </row>
    <row r="586" spans="1:6" s="775" customFormat="1" ht="55.2">
      <c r="A586" s="778" t="s">
        <v>4720</v>
      </c>
      <c r="B586" s="835" t="s">
        <v>4520</v>
      </c>
      <c r="C586" s="779"/>
      <c r="D586" s="795"/>
      <c r="E586" s="790"/>
      <c r="F586" s="824"/>
    </row>
    <row r="587" spans="1:6" s="775" customFormat="1">
      <c r="A587" s="778"/>
      <c r="B587" s="841" t="s">
        <v>4521</v>
      </c>
      <c r="C587" s="779" t="s">
        <v>649</v>
      </c>
      <c r="D587" s="795">
        <v>26</v>
      </c>
      <c r="E587" s="800">
        <v>25</v>
      </c>
      <c r="F587" s="829">
        <f>E587*D587</f>
        <v>650</v>
      </c>
    </row>
    <row r="588" spans="1:6" s="775" customFormat="1">
      <c r="A588" s="778"/>
      <c r="B588" s="835"/>
      <c r="C588" s="779"/>
      <c r="D588" s="795"/>
      <c r="E588" s="790"/>
      <c r="F588" s="824"/>
    </row>
    <row r="589" spans="1:6" s="775" customFormat="1" ht="55.2">
      <c r="A589" s="778" t="s">
        <v>4721</v>
      </c>
      <c r="B589" s="835" t="s">
        <v>4791</v>
      </c>
      <c r="C589" s="782"/>
      <c r="D589" s="802"/>
      <c r="E589" s="800"/>
      <c r="F589" s="829"/>
    </row>
    <row r="590" spans="1:6" s="775" customFormat="1">
      <c r="A590" s="778"/>
      <c r="B590" s="835" t="s">
        <v>4502</v>
      </c>
      <c r="C590" s="782" t="s">
        <v>670</v>
      </c>
      <c r="D590" s="802">
        <v>52</v>
      </c>
      <c r="E590" s="800">
        <v>25</v>
      </c>
      <c r="F590" s="829">
        <f>E590*D590</f>
        <v>1300</v>
      </c>
    </row>
    <row r="591" spans="1:6" s="775" customFormat="1">
      <c r="A591" s="778"/>
      <c r="B591" s="835"/>
      <c r="C591" s="782"/>
      <c r="D591" s="802"/>
      <c r="E591" s="800"/>
      <c r="F591" s="829"/>
    </row>
    <row r="592" spans="1:6" s="775" customFormat="1" ht="41.4">
      <c r="A592" s="778" t="s">
        <v>4722</v>
      </c>
      <c r="B592" s="835" t="s">
        <v>4414</v>
      </c>
      <c r="C592" s="782"/>
      <c r="D592" s="802"/>
      <c r="E592" s="800"/>
      <c r="F592" s="829"/>
    </row>
    <row r="593" spans="1:6" s="775" customFormat="1">
      <c r="A593" s="778"/>
      <c r="B593" s="835" t="s">
        <v>4502</v>
      </c>
      <c r="C593" s="782" t="s">
        <v>670</v>
      </c>
      <c r="D593" s="802">
        <v>52</v>
      </c>
      <c r="E593" s="800">
        <v>35</v>
      </c>
      <c r="F593" s="829">
        <f>E593*D593</f>
        <v>1820</v>
      </c>
    </row>
    <row r="594" spans="1:6" s="775" customFormat="1">
      <c r="A594" s="778"/>
      <c r="B594" s="835"/>
      <c r="C594" s="782"/>
      <c r="D594" s="802"/>
      <c r="E594" s="800"/>
      <c r="F594" s="829"/>
    </row>
    <row r="595" spans="1:6" s="775" customFormat="1" ht="165.6">
      <c r="A595" s="778" t="s">
        <v>4723</v>
      </c>
      <c r="B595" s="835" t="s">
        <v>5051</v>
      </c>
      <c r="C595" s="784"/>
      <c r="D595" s="803"/>
      <c r="E595" s="804"/>
      <c r="F595" s="831"/>
    </row>
    <row r="596" spans="1:6" s="775" customFormat="1">
      <c r="A596" s="778"/>
      <c r="B596" s="835" t="s">
        <v>4522</v>
      </c>
      <c r="C596" s="779" t="s">
        <v>649</v>
      </c>
      <c r="D596" s="795">
        <v>18</v>
      </c>
      <c r="E596" s="800">
        <v>50</v>
      </c>
      <c r="F596" s="829">
        <f>E596*D596</f>
        <v>900</v>
      </c>
    </row>
    <row r="597" spans="1:6" s="775" customFormat="1">
      <c r="A597" s="778"/>
      <c r="B597" s="835"/>
      <c r="C597" s="782"/>
      <c r="D597" s="802"/>
      <c r="E597" s="800"/>
      <c r="F597" s="829"/>
    </row>
    <row r="598" spans="1:6" s="775" customFormat="1" ht="124.2">
      <c r="A598" s="778" t="s">
        <v>4724</v>
      </c>
      <c r="B598" s="835" t="s">
        <v>5195</v>
      </c>
      <c r="C598" s="779" t="s">
        <v>675</v>
      </c>
      <c r="D598" s="795">
        <v>190</v>
      </c>
      <c r="E598" s="800">
        <v>30</v>
      </c>
      <c r="F598" s="829">
        <f>E598*D598</f>
        <v>5700</v>
      </c>
    </row>
    <row r="599" spans="1:6" s="775" customFormat="1">
      <c r="A599" s="778"/>
      <c r="B599" s="835"/>
      <c r="C599" s="782"/>
      <c r="D599" s="802"/>
      <c r="E599" s="800"/>
      <c r="F599" s="829"/>
    </row>
    <row r="600" spans="1:6" s="775" customFormat="1" ht="27.6">
      <c r="A600" s="778" t="s">
        <v>4725</v>
      </c>
      <c r="B600" s="835" t="s">
        <v>4523</v>
      </c>
      <c r="C600" s="779" t="s">
        <v>649</v>
      </c>
      <c r="D600" s="795">
        <v>30</v>
      </c>
      <c r="E600" s="800">
        <v>50</v>
      </c>
      <c r="F600" s="829">
        <f>E600*D600</f>
        <v>1500</v>
      </c>
    </row>
    <row r="601" spans="1:6" s="775" customFormat="1">
      <c r="A601" s="778"/>
      <c r="B601" s="835"/>
      <c r="C601" s="779"/>
      <c r="D601" s="795"/>
      <c r="E601" s="800"/>
      <c r="F601" s="829"/>
    </row>
    <row r="602" spans="1:6" s="775" customFormat="1">
      <c r="A602" s="778" t="s">
        <v>4726</v>
      </c>
      <c r="B602" s="835" t="s">
        <v>4524</v>
      </c>
      <c r="C602" s="779" t="s">
        <v>649</v>
      </c>
      <c r="D602" s="795">
        <v>19</v>
      </c>
      <c r="E602" s="800">
        <v>10</v>
      </c>
      <c r="F602" s="829">
        <f>E602*D602</f>
        <v>190</v>
      </c>
    </row>
    <row r="603" spans="1:6" s="775" customFormat="1">
      <c r="A603" s="778"/>
      <c r="B603" s="835"/>
      <c r="C603" s="782"/>
      <c r="D603" s="802"/>
      <c r="E603" s="800"/>
      <c r="F603" s="829"/>
    </row>
    <row r="604" spans="1:6" s="775" customFormat="1" ht="96.6">
      <c r="A604" s="778" t="s">
        <v>4727</v>
      </c>
      <c r="B604" s="835" t="s">
        <v>4427</v>
      </c>
      <c r="C604" s="779" t="s">
        <v>645</v>
      </c>
      <c r="D604" s="795">
        <v>200</v>
      </c>
      <c r="E604" s="800">
        <v>7</v>
      </c>
      <c r="F604" s="829">
        <f>D604*E604</f>
        <v>1400</v>
      </c>
    </row>
    <row r="605" spans="1:6" s="775" customFormat="1">
      <c r="A605" s="778"/>
      <c r="B605" s="835"/>
      <c r="C605" s="782"/>
      <c r="D605" s="802"/>
      <c r="E605" s="800"/>
      <c r="F605" s="829"/>
    </row>
    <row r="606" spans="1:6" s="775" customFormat="1" ht="82.8">
      <c r="A606" s="778" t="s">
        <v>4728</v>
      </c>
      <c r="B606" s="835" t="s">
        <v>4792</v>
      </c>
      <c r="C606" s="779" t="s">
        <v>670</v>
      </c>
      <c r="D606" s="795">
        <v>1</v>
      </c>
      <c r="E606" s="791">
        <v>1000</v>
      </c>
      <c r="F606" s="824">
        <f>D606*E606</f>
        <v>1000</v>
      </c>
    </row>
    <row r="607" spans="1:6" s="775" customFormat="1">
      <c r="A607" s="778"/>
      <c r="B607" s="835"/>
      <c r="C607" s="782"/>
      <c r="D607" s="802"/>
      <c r="E607" s="800"/>
      <c r="F607" s="829"/>
    </row>
    <row r="608" spans="1:6" s="775" customFormat="1" ht="124.2">
      <c r="A608" s="778" t="s">
        <v>4729</v>
      </c>
      <c r="B608" s="841" t="s">
        <v>4429</v>
      </c>
      <c r="C608" s="779" t="s">
        <v>670</v>
      </c>
      <c r="D608" s="795">
        <v>1</v>
      </c>
      <c r="E608" s="800">
        <v>2000</v>
      </c>
      <c r="F608" s="829">
        <f>D608*E608</f>
        <v>2000</v>
      </c>
    </row>
    <row r="609" spans="1:6" s="775" customFormat="1">
      <c r="A609" s="778"/>
      <c r="B609" s="841"/>
      <c r="C609" s="779"/>
      <c r="D609" s="795"/>
      <c r="E609" s="800"/>
      <c r="F609" s="829"/>
    </row>
    <row r="610" spans="1:6" s="775" customFormat="1" ht="124.2">
      <c r="A610" s="778" t="s">
        <v>4730</v>
      </c>
      <c r="B610" s="841" t="s">
        <v>5664</v>
      </c>
      <c r="C610" s="779" t="s">
        <v>649</v>
      </c>
      <c r="D610" s="795">
        <v>11</v>
      </c>
      <c r="E610" s="800">
        <v>100</v>
      </c>
      <c r="F610" s="829">
        <f>D610*E610</f>
        <v>1100</v>
      </c>
    </row>
    <row r="611" spans="1:6" s="775" customFormat="1">
      <c r="A611" s="778"/>
      <c r="B611" s="841"/>
      <c r="C611" s="779"/>
      <c r="D611" s="795"/>
      <c r="E611" s="800"/>
      <c r="F611" s="829"/>
    </row>
    <row r="612" spans="1:6" s="775" customFormat="1" ht="41.4">
      <c r="A612" s="778" t="s">
        <v>4731</v>
      </c>
      <c r="B612" s="835" t="s">
        <v>4525</v>
      </c>
      <c r="C612" s="779" t="s">
        <v>670</v>
      </c>
      <c r="D612" s="795">
        <v>1</v>
      </c>
      <c r="E612" s="791">
        <v>500</v>
      </c>
      <c r="F612" s="824">
        <f>D612*E612</f>
        <v>500</v>
      </c>
    </row>
    <row r="613" spans="1:6" s="775" customFormat="1">
      <c r="A613" s="778"/>
      <c r="B613" s="835"/>
      <c r="C613" s="779"/>
      <c r="D613" s="795"/>
      <c r="E613" s="791"/>
      <c r="F613" s="824"/>
    </row>
    <row r="614" spans="1:6" s="775" customFormat="1" ht="96.6">
      <c r="A614" s="778" t="s">
        <v>4732</v>
      </c>
      <c r="B614" s="835" t="s">
        <v>4793</v>
      </c>
      <c r="C614" s="779" t="s">
        <v>670</v>
      </c>
      <c r="D614" s="795">
        <v>1</v>
      </c>
      <c r="E614" s="791">
        <v>300</v>
      </c>
      <c r="F614" s="824">
        <f>D614*E614</f>
        <v>300</v>
      </c>
    </row>
    <row r="615" spans="1:6" s="775" customFormat="1">
      <c r="A615" s="778"/>
      <c r="B615" s="835"/>
      <c r="C615" s="779"/>
      <c r="D615" s="795"/>
      <c r="E615" s="791"/>
      <c r="F615" s="824"/>
    </row>
    <row r="616" spans="1:6" s="775" customFormat="1">
      <c r="A616" s="778"/>
      <c r="B616" s="835"/>
      <c r="C616" s="779"/>
      <c r="D616" s="791"/>
      <c r="E616" s="790"/>
      <c r="F616" s="824"/>
    </row>
    <row r="617" spans="1:6" s="775" customFormat="1">
      <c r="A617" s="811" t="s">
        <v>9</v>
      </c>
      <c r="B617" s="842" t="s">
        <v>4682</v>
      </c>
      <c r="C617" s="812"/>
      <c r="D617" s="813"/>
      <c r="E617" s="813"/>
      <c r="F617" s="823">
        <f>SUM(F409:F616)</f>
        <v>169330.5</v>
      </c>
    </row>
    <row r="618" spans="1:6" s="775" customFormat="1">
      <c r="A618" s="778"/>
      <c r="B618" s="844"/>
      <c r="C618" s="779"/>
      <c r="D618" s="790"/>
      <c r="E618" s="790"/>
      <c r="F618" s="863"/>
    </row>
    <row r="619" spans="1:6" s="775" customFormat="1">
      <c r="A619" s="778"/>
      <c r="B619" s="844"/>
      <c r="C619" s="779"/>
      <c r="D619" s="790"/>
      <c r="E619" s="790"/>
      <c r="F619" s="824"/>
    </row>
    <row r="620" spans="1:6" s="775" customFormat="1">
      <c r="A620" s="912" t="s">
        <v>10</v>
      </c>
      <c r="B620" s="839" t="s">
        <v>4526</v>
      </c>
      <c r="C620" s="807"/>
      <c r="D620" s="808"/>
      <c r="E620" s="809"/>
      <c r="F620" s="830"/>
    </row>
    <row r="621" spans="1:6" s="775" customFormat="1">
      <c r="A621" s="777"/>
      <c r="B621" s="835"/>
      <c r="C621" s="779"/>
      <c r="D621" s="790"/>
      <c r="E621" s="790"/>
      <c r="F621" s="824"/>
    </row>
    <row r="622" spans="1:6" s="775" customFormat="1">
      <c r="A622" s="778" t="s">
        <v>1084</v>
      </c>
      <c r="B622" s="835" t="s">
        <v>4527</v>
      </c>
      <c r="C622" s="779"/>
      <c r="D622" s="790"/>
      <c r="E622" s="864"/>
      <c r="F622" s="824"/>
    </row>
    <row r="623" spans="1:6" s="775" customFormat="1" ht="69">
      <c r="A623" s="778"/>
      <c r="B623" s="835" t="s">
        <v>4794</v>
      </c>
      <c r="C623" s="779"/>
      <c r="D623" s="790"/>
      <c r="E623" s="864"/>
      <c r="F623" s="824"/>
    </row>
    <row r="624" spans="1:6" s="775" customFormat="1" ht="69">
      <c r="A624" s="778"/>
      <c r="B624" s="835" t="s">
        <v>4528</v>
      </c>
      <c r="C624" s="779"/>
      <c r="D624" s="790"/>
      <c r="E624" s="864"/>
      <c r="F624" s="824"/>
    </row>
    <row r="625" spans="1:6" s="775" customFormat="1" ht="41.4">
      <c r="A625" s="778"/>
      <c r="B625" s="835" t="s">
        <v>4529</v>
      </c>
      <c r="C625" s="779"/>
      <c r="D625" s="790"/>
      <c r="E625" s="864"/>
      <c r="F625" s="824"/>
    </row>
    <row r="626" spans="1:6" s="775" customFormat="1" ht="27.6">
      <c r="A626" s="778"/>
      <c r="B626" s="835" t="s">
        <v>4530</v>
      </c>
      <c r="C626" s="779"/>
      <c r="D626" s="790"/>
      <c r="E626" s="864"/>
      <c r="F626" s="824"/>
    </row>
    <row r="627" spans="1:6" s="775" customFormat="1">
      <c r="A627" s="778"/>
      <c r="B627" s="835" t="s">
        <v>4531</v>
      </c>
      <c r="C627" s="779"/>
      <c r="D627" s="790"/>
      <c r="E627" s="864"/>
      <c r="F627" s="824"/>
    </row>
    <row r="628" spans="1:6" s="775" customFormat="1">
      <c r="A628" s="778"/>
      <c r="B628" s="835" t="s">
        <v>4532</v>
      </c>
      <c r="C628" s="779"/>
      <c r="D628" s="790"/>
      <c r="E628" s="864"/>
      <c r="F628" s="824"/>
    </row>
    <row r="629" spans="1:6" s="775" customFormat="1" ht="27.6">
      <c r="A629" s="778"/>
      <c r="B629" s="835" t="s">
        <v>4533</v>
      </c>
      <c r="C629" s="779"/>
      <c r="D629" s="790"/>
      <c r="E629" s="864"/>
      <c r="F629" s="824"/>
    </row>
    <row r="630" spans="1:6" s="775" customFormat="1" ht="112.2">
      <c r="A630" s="778"/>
      <c r="B630" s="835" t="s">
        <v>4675</v>
      </c>
      <c r="C630" s="779"/>
      <c r="D630" s="790"/>
      <c r="E630" s="864"/>
      <c r="F630" s="824"/>
    </row>
    <row r="631" spans="1:6" s="775" customFormat="1" ht="69">
      <c r="A631" s="778"/>
      <c r="B631" s="835" t="s">
        <v>4534</v>
      </c>
      <c r="C631" s="779"/>
      <c r="D631" s="790"/>
      <c r="E631" s="864"/>
      <c r="F631" s="824"/>
    </row>
    <row r="632" spans="1:6" s="775" customFormat="1" ht="41.4">
      <c r="A632" s="778"/>
      <c r="B632" s="835" t="s">
        <v>4535</v>
      </c>
      <c r="C632" s="779"/>
      <c r="D632" s="790"/>
      <c r="E632" s="864"/>
      <c r="F632" s="824"/>
    </row>
    <row r="633" spans="1:6" s="775" customFormat="1" ht="41.4">
      <c r="A633" s="778"/>
      <c r="B633" s="835" t="s">
        <v>4536</v>
      </c>
      <c r="C633" s="779"/>
      <c r="D633" s="790"/>
      <c r="E633" s="864"/>
      <c r="F633" s="824"/>
    </row>
    <row r="634" spans="1:6" s="775" customFormat="1" ht="55.2">
      <c r="A634" s="778"/>
      <c r="B634" s="835" t="s">
        <v>4537</v>
      </c>
      <c r="C634" s="779"/>
      <c r="D634" s="790"/>
      <c r="E634" s="864"/>
      <c r="F634" s="824"/>
    </row>
    <row r="635" spans="1:6" s="775" customFormat="1">
      <c r="A635" s="778"/>
      <c r="B635" s="835" t="s">
        <v>4538</v>
      </c>
      <c r="C635" s="779"/>
      <c r="D635" s="790"/>
      <c r="E635" s="864"/>
      <c r="F635" s="824"/>
    </row>
    <row r="636" spans="1:6" s="775" customFormat="1">
      <c r="A636" s="778"/>
      <c r="B636" s="835" t="s">
        <v>4539</v>
      </c>
      <c r="C636" s="779"/>
      <c r="D636" s="790"/>
      <c r="E636" s="864"/>
      <c r="F636" s="824"/>
    </row>
    <row r="637" spans="1:6" s="775" customFormat="1">
      <c r="A637" s="778"/>
      <c r="B637" s="835" t="s">
        <v>4540</v>
      </c>
      <c r="C637" s="779"/>
      <c r="D637" s="790"/>
      <c r="E637" s="864"/>
      <c r="F637" s="824"/>
    </row>
    <row r="638" spans="1:6" s="775" customFormat="1" ht="27.6">
      <c r="A638" s="778"/>
      <c r="B638" s="835" t="s">
        <v>4541</v>
      </c>
      <c r="C638" s="779"/>
      <c r="D638" s="790"/>
      <c r="E638" s="864"/>
      <c r="F638" s="824"/>
    </row>
    <row r="639" spans="1:6" s="775" customFormat="1">
      <c r="A639" s="778"/>
      <c r="B639" s="835" t="s">
        <v>4542</v>
      </c>
      <c r="C639" s="779"/>
      <c r="D639" s="790"/>
      <c r="E639" s="864"/>
      <c r="F639" s="824"/>
    </row>
    <row r="640" spans="1:6" s="775" customFormat="1">
      <c r="A640" s="778"/>
      <c r="B640" s="835" t="s">
        <v>4543</v>
      </c>
      <c r="C640" s="779"/>
      <c r="D640" s="790"/>
      <c r="E640" s="864"/>
      <c r="F640" s="824"/>
    </row>
    <row r="641" spans="1:6" s="775" customFormat="1">
      <c r="A641" s="778"/>
      <c r="B641" s="835" t="s">
        <v>4544</v>
      </c>
      <c r="C641" s="779"/>
      <c r="D641" s="790"/>
      <c r="E641" s="864"/>
      <c r="F641" s="824"/>
    </row>
    <row r="642" spans="1:6" s="775" customFormat="1" ht="27.6">
      <c r="A642" s="778"/>
      <c r="B642" s="835" t="s">
        <v>4545</v>
      </c>
      <c r="C642" s="779"/>
      <c r="D642" s="790"/>
      <c r="E642" s="864"/>
      <c r="F642" s="824"/>
    </row>
    <row r="643" spans="1:6" s="775" customFormat="1">
      <c r="A643" s="778"/>
      <c r="B643" s="835" t="s">
        <v>4546</v>
      </c>
      <c r="C643" s="779"/>
      <c r="D643" s="790"/>
      <c r="E643" s="864"/>
      <c r="F643" s="824"/>
    </row>
    <row r="644" spans="1:6" s="775" customFormat="1">
      <c r="A644" s="778"/>
      <c r="B644" s="835" t="s">
        <v>4547</v>
      </c>
      <c r="C644" s="779"/>
      <c r="D644" s="790"/>
      <c r="E644" s="864"/>
      <c r="F644" s="824"/>
    </row>
    <row r="645" spans="1:6" s="775" customFormat="1">
      <c r="A645" s="778"/>
      <c r="B645" s="835" t="s">
        <v>4548</v>
      </c>
      <c r="C645" s="779"/>
      <c r="D645" s="790"/>
      <c r="E645" s="864"/>
      <c r="F645" s="824"/>
    </row>
    <row r="646" spans="1:6" s="775" customFormat="1">
      <c r="A646" s="778"/>
      <c r="B646" s="835" t="s">
        <v>4549</v>
      </c>
      <c r="C646" s="779"/>
      <c r="D646" s="790"/>
      <c r="E646" s="864"/>
      <c r="F646" s="824"/>
    </row>
    <row r="647" spans="1:6" s="775" customFormat="1">
      <c r="A647" s="778"/>
      <c r="B647" s="835" t="s">
        <v>4550</v>
      </c>
      <c r="C647" s="779"/>
      <c r="D647" s="790"/>
      <c r="E647" s="864"/>
      <c r="F647" s="824"/>
    </row>
    <row r="648" spans="1:6" s="775" customFormat="1" ht="27.6">
      <c r="A648" s="778"/>
      <c r="B648" s="835" t="s">
        <v>4551</v>
      </c>
      <c r="C648" s="779"/>
      <c r="D648" s="790"/>
      <c r="E648" s="864"/>
      <c r="F648" s="824"/>
    </row>
    <row r="649" spans="1:6" s="775" customFormat="1">
      <c r="A649" s="778"/>
      <c r="B649" s="835" t="s">
        <v>4552</v>
      </c>
      <c r="C649" s="779"/>
      <c r="D649" s="790"/>
      <c r="E649" s="864"/>
      <c r="F649" s="824"/>
    </row>
    <row r="650" spans="1:6" s="775" customFormat="1">
      <c r="A650" s="778"/>
      <c r="B650" s="835" t="s">
        <v>4553</v>
      </c>
      <c r="C650" s="779"/>
      <c r="D650" s="790"/>
      <c r="E650" s="864"/>
      <c r="F650" s="824"/>
    </row>
    <row r="651" spans="1:6" s="775" customFormat="1">
      <c r="A651" s="778"/>
      <c r="B651" s="835" t="s">
        <v>4554</v>
      </c>
      <c r="C651" s="779"/>
      <c r="D651" s="790"/>
      <c r="E651" s="864"/>
      <c r="F651" s="824"/>
    </row>
    <row r="652" spans="1:6" s="775" customFormat="1">
      <c r="A652" s="778"/>
      <c r="B652" s="835" t="s">
        <v>4555</v>
      </c>
      <c r="C652" s="779"/>
      <c r="D652" s="790"/>
      <c r="E652" s="864"/>
      <c r="F652" s="824"/>
    </row>
    <row r="653" spans="1:6" s="775" customFormat="1" ht="27.6">
      <c r="A653" s="778"/>
      <c r="B653" s="835" t="s">
        <v>4556</v>
      </c>
      <c r="C653" s="779"/>
      <c r="D653" s="790"/>
      <c r="E653" s="864"/>
      <c r="F653" s="824"/>
    </row>
    <row r="654" spans="1:6" s="775" customFormat="1" ht="27.6">
      <c r="A654" s="778"/>
      <c r="B654" s="835" t="s">
        <v>4557</v>
      </c>
      <c r="C654" s="779"/>
      <c r="D654" s="790"/>
      <c r="E654" s="864"/>
      <c r="F654" s="824"/>
    </row>
    <row r="655" spans="1:6" s="775" customFormat="1">
      <c r="A655" s="778"/>
      <c r="B655" s="835" t="s">
        <v>4558</v>
      </c>
      <c r="C655" s="779"/>
      <c r="D655" s="790"/>
      <c r="E655" s="864"/>
      <c r="F655" s="824"/>
    </row>
    <row r="656" spans="1:6" s="775" customFormat="1" ht="27.6">
      <c r="A656" s="778"/>
      <c r="B656" s="835" t="s">
        <v>4275</v>
      </c>
      <c r="C656" s="779"/>
      <c r="D656" s="790"/>
      <c r="E656" s="864"/>
      <c r="F656" s="824"/>
    </row>
    <row r="657" spans="1:6" s="775" customFormat="1">
      <c r="A657" s="778"/>
      <c r="B657" s="835" t="s">
        <v>4559</v>
      </c>
      <c r="C657" s="779"/>
      <c r="D657" s="790"/>
      <c r="E657" s="864"/>
      <c r="F657" s="824"/>
    </row>
    <row r="658" spans="1:6" s="775" customFormat="1">
      <c r="A658" s="778"/>
      <c r="B658" s="835" t="s">
        <v>4560</v>
      </c>
      <c r="C658" s="779"/>
      <c r="D658" s="790"/>
      <c r="E658" s="864"/>
      <c r="F658" s="824"/>
    </row>
    <row r="659" spans="1:6" s="775" customFormat="1">
      <c r="A659" s="778"/>
      <c r="B659" s="835" t="s">
        <v>4561</v>
      </c>
      <c r="C659" s="779"/>
      <c r="D659" s="790"/>
      <c r="E659" s="864"/>
      <c r="F659" s="824"/>
    </row>
    <row r="660" spans="1:6" s="775" customFormat="1">
      <c r="A660" s="778"/>
      <c r="B660" s="835" t="s">
        <v>4562</v>
      </c>
      <c r="C660" s="779"/>
      <c r="D660" s="790"/>
      <c r="E660" s="864"/>
      <c r="F660" s="824"/>
    </row>
    <row r="661" spans="1:6" s="775" customFormat="1">
      <c r="A661" s="778"/>
      <c r="B661" s="835" t="s">
        <v>4563</v>
      </c>
      <c r="C661" s="779"/>
      <c r="D661" s="790"/>
      <c r="E661" s="864"/>
      <c r="F661" s="824"/>
    </row>
    <row r="662" spans="1:6" s="775" customFormat="1">
      <c r="A662" s="778"/>
      <c r="B662" s="835" t="s">
        <v>5717</v>
      </c>
      <c r="C662" s="779" t="s">
        <v>670</v>
      </c>
      <c r="D662" s="795">
        <v>6</v>
      </c>
      <c r="E662" s="864">
        <v>1500</v>
      </c>
      <c r="F662" s="824">
        <f>D662*E662</f>
        <v>9000</v>
      </c>
    </row>
    <row r="663" spans="1:6" s="775" customFormat="1">
      <c r="A663" s="778"/>
      <c r="B663" s="844"/>
      <c r="C663" s="779"/>
      <c r="D663" s="790"/>
      <c r="E663" s="864"/>
      <c r="F663" s="824"/>
    </row>
    <row r="664" spans="1:6" s="775" customFormat="1" ht="69">
      <c r="A664" s="778" t="s">
        <v>1948</v>
      </c>
      <c r="B664" s="835" t="s">
        <v>4795</v>
      </c>
      <c r="C664" s="779"/>
      <c r="D664" s="790"/>
      <c r="E664" s="864"/>
      <c r="F664" s="824"/>
    </row>
    <row r="665" spans="1:6" s="775" customFormat="1" ht="151.80000000000001">
      <c r="A665" s="778"/>
      <c r="B665" s="835" t="s">
        <v>4564</v>
      </c>
      <c r="C665" s="779"/>
      <c r="D665" s="790"/>
      <c r="E665" s="864"/>
      <c r="F665" s="824"/>
    </row>
    <row r="666" spans="1:6" s="775" customFormat="1" ht="409.6">
      <c r="A666" s="778"/>
      <c r="B666" s="835" t="s">
        <v>4796</v>
      </c>
      <c r="C666" s="779"/>
      <c r="D666" s="790"/>
      <c r="E666" s="864"/>
      <c r="F666" s="824"/>
    </row>
    <row r="667" spans="1:6" s="775" customFormat="1" ht="110.4">
      <c r="A667" s="778"/>
      <c r="B667" s="835" t="s">
        <v>4565</v>
      </c>
      <c r="C667" s="779"/>
      <c r="D667" s="790"/>
      <c r="E667" s="864"/>
      <c r="F667" s="824"/>
    </row>
    <row r="668" spans="1:6" s="775" customFormat="1">
      <c r="A668" s="778"/>
      <c r="B668" s="835" t="s">
        <v>4248</v>
      </c>
      <c r="C668" s="779"/>
      <c r="D668" s="790"/>
      <c r="E668" s="864"/>
      <c r="F668" s="824"/>
    </row>
    <row r="669" spans="1:6" s="775" customFormat="1" ht="27.6">
      <c r="A669" s="778"/>
      <c r="B669" s="835" t="s">
        <v>4566</v>
      </c>
      <c r="C669" s="779"/>
      <c r="D669" s="790"/>
      <c r="E669" s="864"/>
      <c r="F669" s="824"/>
    </row>
    <row r="670" spans="1:6" s="775" customFormat="1">
      <c r="A670" s="778"/>
      <c r="B670" s="835" t="s">
        <v>4567</v>
      </c>
      <c r="C670" s="779"/>
      <c r="D670" s="790"/>
      <c r="E670" s="864"/>
      <c r="F670" s="824"/>
    </row>
    <row r="671" spans="1:6" s="775" customFormat="1">
      <c r="A671" s="778"/>
      <c r="B671" s="835" t="s">
        <v>4568</v>
      </c>
      <c r="C671" s="779"/>
      <c r="D671" s="790"/>
      <c r="E671" s="864"/>
      <c r="F671" s="824"/>
    </row>
    <row r="672" spans="1:6" s="775" customFormat="1">
      <c r="A672" s="778"/>
      <c r="B672" s="835" t="s">
        <v>4569</v>
      </c>
      <c r="C672" s="779"/>
      <c r="D672" s="790"/>
      <c r="E672" s="864"/>
      <c r="F672" s="824"/>
    </row>
    <row r="673" spans="1:6" s="775" customFormat="1">
      <c r="A673" s="778"/>
      <c r="B673" s="835" t="s">
        <v>4570</v>
      </c>
      <c r="C673" s="779"/>
      <c r="D673" s="790"/>
      <c r="E673" s="864"/>
      <c r="F673" s="824"/>
    </row>
    <row r="674" spans="1:6" s="775" customFormat="1">
      <c r="A674" s="778"/>
      <c r="B674" s="835" t="s">
        <v>4571</v>
      </c>
      <c r="C674" s="779"/>
      <c r="D674" s="790"/>
      <c r="E674" s="864"/>
      <c r="F674" s="824"/>
    </row>
    <row r="675" spans="1:6" s="775" customFormat="1">
      <c r="A675" s="778"/>
      <c r="B675" s="835" t="s">
        <v>4572</v>
      </c>
      <c r="C675" s="779"/>
      <c r="D675" s="790"/>
      <c r="E675" s="864"/>
      <c r="F675" s="824"/>
    </row>
    <row r="676" spans="1:6" s="775" customFormat="1" ht="27.6">
      <c r="A676" s="778"/>
      <c r="B676" s="835" t="s">
        <v>4573</v>
      </c>
      <c r="C676" s="779"/>
      <c r="D676" s="790"/>
      <c r="E676" s="864"/>
      <c r="F676" s="824"/>
    </row>
    <row r="677" spans="1:6" s="775" customFormat="1" ht="27.6">
      <c r="A677" s="778"/>
      <c r="B677" s="835" t="s">
        <v>4574</v>
      </c>
      <c r="C677" s="779"/>
      <c r="D677" s="790"/>
      <c r="E677" s="864"/>
      <c r="F677" s="824"/>
    </row>
    <row r="678" spans="1:6" s="775" customFormat="1">
      <c r="A678" s="778"/>
      <c r="B678" s="835" t="s">
        <v>4575</v>
      </c>
      <c r="C678" s="779"/>
      <c r="D678" s="790"/>
      <c r="E678" s="864"/>
      <c r="F678" s="824"/>
    </row>
    <row r="679" spans="1:6" s="775" customFormat="1">
      <c r="A679" s="778"/>
      <c r="B679" s="835" t="s">
        <v>4576</v>
      </c>
      <c r="C679" s="779"/>
      <c r="D679" s="790"/>
      <c r="E679" s="864"/>
      <c r="F679" s="824"/>
    </row>
    <row r="680" spans="1:6" s="775" customFormat="1">
      <c r="A680" s="778"/>
      <c r="B680" s="835" t="s">
        <v>4577</v>
      </c>
      <c r="C680" s="779"/>
      <c r="D680" s="790"/>
      <c r="E680" s="864"/>
      <c r="F680" s="824"/>
    </row>
    <row r="681" spans="1:6" s="775" customFormat="1">
      <c r="A681" s="778"/>
      <c r="B681" s="835" t="s">
        <v>4578</v>
      </c>
      <c r="C681" s="779"/>
      <c r="D681" s="790"/>
      <c r="E681" s="864"/>
      <c r="F681" s="824"/>
    </row>
    <row r="682" spans="1:6" s="775" customFormat="1" ht="27.6">
      <c r="A682" s="778"/>
      <c r="B682" s="835" t="s">
        <v>4579</v>
      </c>
      <c r="C682" s="779"/>
      <c r="D682" s="790"/>
      <c r="E682" s="864"/>
      <c r="F682" s="824"/>
    </row>
    <row r="683" spans="1:6" s="775" customFormat="1">
      <c r="A683" s="778"/>
      <c r="B683" s="835" t="s">
        <v>4580</v>
      </c>
      <c r="C683" s="779"/>
      <c r="D683" s="790"/>
      <c r="E683" s="864"/>
      <c r="F683" s="824"/>
    </row>
    <row r="684" spans="1:6" s="775" customFormat="1">
      <c r="A684" s="778"/>
      <c r="B684" s="835" t="s">
        <v>4581</v>
      </c>
      <c r="C684" s="779"/>
      <c r="D684" s="790"/>
      <c r="E684" s="864"/>
      <c r="F684" s="824"/>
    </row>
    <row r="685" spans="1:6" s="775" customFormat="1" ht="27.6">
      <c r="A685" s="778"/>
      <c r="B685" s="835" t="s">
        <v>4556</v>
      </c>
      <c r="C685" s="779"/>
      <c r="D685" s="790"/>
      <c r="E685" s="864"/>
      <c r="F685" s="824"/>
    </row>
    <row r="686" spans="1:6" s="775" customFormat="1" ht="27.6">
      <c r="A686" s="778"/>
      <c r="B686" s="835" t="s">
        <v>4557</v>
      </c>
      <c r="C686" s="779"/>
      <c r="D686" s="790"/>
      <c r="E686" s="864"/>
      <c r="F686" s="824"/>
    </row>
    <row r="687" spans="1:6" s="775" customFormat="1">
      <c r="A687" s="778"/>
      <c r="B687" s="835" t="s">
        <v>4582</v>
      </c>
      <c r="C687" s="779"/>
      <c r="D687" s="790"/>
      <c r="E687" s="864"/>
      <c r="F687" s="824"/>
    </row>
    <row r="688" spans="1:6" s="775" customFormat="1">
      <c r="A688" s="778"/>
      <c r="B688" s="835" t="s">
        <v>5716</v>
      </c>
      <c r="C688" s="779" t="s">
        <v>670</v>
      </c>
      <c r="D688" s="795">
        <v>1</v>
      </c>
      <c r="E688" s="864">
        <v>10000</v>
      </c>
      <c r="F688" s="824">
        <f>D688*E688</f>
        <v>10000</v>
      </c>
    </row>
    <row r="689" spans="1:6" s="775" customFormat="1">
      <c r="A689" s="778"/>
      <c r="B689" s="835"/>
      <c r="C689" s="779"/>
      <c r="D689" s="790"/>
      <c r="E689" s="865"/>
      <c r="F689" s="824"/>
    </row>
    <row r="690" spans="1:6" s="775" customFormat="1" ht="55.2">
      <c r="A690" s="778" t="s">
        <v>1949</v>
      </c>
      <c r="B690" s="835" t="s">
        <v>5181</v>
      </c>
      <c r="C690" s="779" t="s">
        <v>649</v>
      </c>
      <c r="D690" s="795">
        <v>1</v>
      </c>
      <c r="E690" s="864">
        <v>1500</v>
      </c>
      <c r="F690" s="824">
        <f>D690*E690</f>
        <v>1500</v>
      </c>
    </row>
    <row r="691" spans="1:6" s="775" customFormat="1" ht="207">
      <c r="A691" s="778"/>
      <c r="B691" s="835" t="s">
        <v>5182</v>
      </c>
      <c r="C691" s="779"/>
      <c r="D691" s="795"/>
      <c r="E691" s="864"/>
      <c r="F691" s="824"/>
    </row>
    <row r="692" spans="1:6" s="775" customFormat="1" ht="27.6">
      <c r="A692" s="778"/>
      <c r="B692" s="838" t="s">
        <v>4583</v>
      </c>
      <c r="C692" s="779"/>
      <c r="D692" s="790"/>
      <c r="E692" s="865"/>
      <c r="F692" s="824"/>
    </row>
    <row r="693" spans="1:6" s="775" customFormat="1">
      <c r="A693" s="778"/>
      <c r="B693" s="838"/>
      <c r="C693" s="779"/>
      <c r="D693" s="790"/>
      <c r="E693" s="865"/>
      <c r="F693" s="824"/>
    </row>
    <row r="694" spans="1:6" s="775" customFormat="1" ht="193.2">
      <c r="A694" s="778" t="s">
        <v>1950</v>
      </c>
      <c r="B694" s="835" t="s">
        <v>5661</v>
      </c>
      <c r="C694" s="779" t="s">
        <v>649</v>
      </c>
      <c r="D694" s="795">
        <v>5</v>
      </c>
      <c r="E694" s="864">
        <v>300</v>
      </c>
      <c r="F694" s="824">
        <f>D694*E694</f>
        <v>1500</v>
      </c>
    </row>
    <row r="695" spans="1:6" s="775" customFormat="1">
      <c r="A695" s="778"/>
      <c r="B695" s="838"/>
      <c r="C695" s="779"/>
      <c r="D695" s="790"/>
      <c r="E695" s="865"/>
      <c r="F695" s="824"/>
    </row>
    <row r="696" spans="1:6" s="775" customFormat="1" ht="193.2">
      <c r="A696" s="778" t="s">
        <v>1951</v>
      </c>
      <c r="B696" s="835" t="s">
        <v>5662</v>
      </c>
      <c r="C696" s="779" t="s">
        <v>649</v>
      </c>
      <c r="D696" s="795">
        <v>11</v>
      </c>
      <c r="E696" s="864">
        <v>300</v>
      </c>
      <c r="F696" s="824">
        <f>D696*E696</f>
        <v>3300</v>
      </c>
    </row>
    <row r="697" spans="1:6" s="775" customFormat="1">
      <c r="A697" s="778"/>
      <c r="B697" s="835"/>
      <c r="C697" s="779"/>
      <c r="D697" s="790"/>
      <c r="E697" s="865"/>
      <c r="F697" s="824"/>
    </row>
    <row r="698" spans="1:6" s="775" customFormat="1" ht="55.2">
      <c r="A698" s="778" t="s">
        <v>1952</v>
      </c>
      <c r="B698" s="835" t="s">
        <v>4584</v>
      </c>
      <c r="C698" s="779"/>
      <c r="D698" s="795"/>
      <c r="E698" s="864"/>
      <c r="F698" s="824"/>
    </row>
    <row r="699" spans="1:6" s="775" customFormat="1">
      <c r="A699" s="778"/>
      <c r="B699" s="835" t="s">
        <v>2402</v>
      </c>
      <c r="C699" s="779" t="s">
        <v>649</v>
      </c>
      <c r="D699" s="795">
        <v>15</v>
      </c>
      <c r="E699" s="864">
        <v>100</v>
      </c>
      <c r="F699" s="824">
        <f>D699*E699</f>
        <v>1500</v>
      </c>
    </row>
    <row r="700" spans="1:6" s="775" customFormat="1">
      <c r="A700" s="778"/>
      <c r="B700" s="835"/>
      <c r="C700" s="779"/>
      <c r="D700" s="795"/>
      <c r="E700" s="864"/>
      <c r="F700" s="824"/>
    </row>
    <row r="701" spans="1:6" s="775" customFormat="1" ht="55.2">
      <c r="A701" s="778" t="s">
        <v>1953</v>
      </c>
      <c r="B701" s="835" t="s">
        <v>4585</v>
      </c>
      <c r="C701" s="779"/>
      <c r="D701" s="791"/>
      <c r="E701" s="864"/>
      <c r="F701" s="824"/>
    </row>
    <row r="702" spans="1:6" s="775" customFormat="1">
      <c r="A702" s="778"/>
      <c r="B702" s="835" t="s">
        <v>2408</v>
      </c>
      <c r="C702" s="779" t="s">
        <v>649</v>
      </c>
      <c r="D702" s="795">
        <v>12</v>
      </c>
      <c r="E702" s="864">
        <v>300</v>
      </c>
      <c r="F702" s="824">
        <f>D702*E702</f>
        <v>3600</v>
      </c>
    </row>
    <row r="703" spans="1:6" s="775" customFormat="1">
      <c r="A703" s="778"/>
      <c r="B703" s="835"/>
      <c r="C703" s="779"/>
      <c r="D703" s="790"/>
      <c r="E703" s="864"/>
      <c r="F703" s="824"/>
    </row>
    <row r="704" spans="1:6" s="775" customFormat="1" ht="55.2">
      <c r="A704" s="778" t="s">
        <v>1954</v>
      </c>
      <c r="B704" s="835" t="s">
        <v>4586</v>
      </c>
      <c r="C704" s="779"/>
      <c r="D704" s="791"/>
      <c r="E704" s="864"/>
      <c r="F704" s="824"/>
    </row>
    <row r="705" spans="1:6" s="775" customFormat="1">
      <c r="A705" s="778" t="s">
        <v>48</v>
      </c>
      <c r="B705" s="835" t="s">
        <v>4587</v>
      </c>
      <c r="C705" s="779" t="s">
        <v>649</v>
      </c>
      <c r="D705" s="797">
        <v>1</v>
      </c>
      <c r="E705" s="864">
        <v>300</v>
      </c>
      <c r="F705" s="824">
        <f>D705*E705</f>
        <v>300</v>
      </c>
    </row>
    <row r="706" spans="1:6" s="775" customFormat="1">
      <c r="A706" s="778" t="s">
        <v>49</v>
      </c>
      <c r="B706" s="835" t="s">
        <v>4588</v>
      </c>
      <c r="C706" s="779" t="s">
        <v>649</v>
      </c>
      <c r="D706" s="797">
        <v>1</v>
      </c>
      <c r="E706" s="864">
        <v>300</v>
      </c>
      <c r="F706" s="824">
        <f>D706*E706</f>
        <v>300</v>
      </c>
    </row>
    <row r="707" spans="1:6" s="775" customFormat="1">
      <c r="A707" s="778"/>
      <c r="B707" s="835"/>
      <c r="C707" s="779"/>
      <c r="D707" s="797"/>
      <c r="E707" s="864"/>
      <c r="F707" s="824"/>
    </row>
    <row r="708" spans="1:6" s="775" customFormat="1" ht="193.2">
      <c r="A708" s="778" t="s">
        <v>1955</v>
      </c>
      <c r="B708" s="845" t="s">
        <v>4808</v>
      </c>
      <c r="C708" s="785"/>
      <c r="D708" s="833"/>
      <c r="E708" s="864"/>
      <c r="F708" s="824"/>
    </row>
    <row r="709" spans="1:6" s="775" customFormat="1" ht="110.4">
      <c r="A709" s="778"/>
      <c r="B709" s="845" t="s">
        <v>5044</v>
      </c>
      <c r="C709" s="785"/>
      <c r="D709" s="833"/>
      <c r="E709" s="864"/>
      <c r="F709" s="824"/>
    </row>
    <row r="710" spans="1:6" s="775" customFormat="1">
      <c r="A710" s="778" t="s">
        <v>48</v>
      </c>
      <c r="B710" s="845" t="s">
        <v>4589</v>
      </c>
      <c r="C710" s="779" t="s">
        <v>649</v>
      </c>
      <c r="D710" s="797">
        <v>1</v>
      </c>
      <c r="E710" s="864">
        <v>100</v>
      </c>
      <c r="F710" s="824">
        <f t="shared" ref="F710:F715" si="4">D710*E710</f>
        <v>100</v>
      </c>
    </row>
    <row r="711" spans="1:6" s="775" customFormat="1">
      <c r="A711" s="778" t="s">
        <v>49</v>
      </c>
      <c r="B711" s="845" t="s">
        <v>4589</v>
      </c>
      <c r="C711" s="779" t="s">
        <v>649</v>
      </c>
      <c r="D711" s="797">
        <v>11</v>
      </c>
      <c r="E711" s="864">
        <v>100</v>
      </c>
      <c r="F711" s="824">
        <f t="shared" si="4"/>
        <v>1100</v>
      </c>
    </row>
    <row r="712" spans="1:6" s="775" customFormat="1">
      <c r="A712" s="778" t="s">
        <v>51</v>
      </c>
      <c r="B712" s="846" t="s">
        <v>4590</v>
      </c>
      <c r="C712" s="779" t="s">
        <v>649</v>
      </c>
      <c r="D712" s="797">
        <v>2</v>
      </c>
      <c r="E712" s="864">
        <v>100</v>
      </c>
      <c r="F712" s="824">
        <f t="shared" si="4"/>
        <v>200</v>
      </c>
    </row>
    <row r="713" spans="1:6" s="775" customFormat="1">
      <c r="A713" s="778" t="s">
        <v>53</v>
      </c>
      <c r="B713" s="846" t="s">
        <v>4591</v>
      </c>
      <c r="C713" s="779" t="s">
        <v>649</v>
      </c>
      <c r="D713" s="797">
        <v>2</v>
      </c>
      <c r="E713" s="864">
        <v>100</v>
      </c>
      <c r="F713" s="824">
        <f t="shared" si="4"/>
        <v>200</v>
      </c>
    </row>
    <row r="714" spans="1:6" s="775" customFormat="1">
      <c r="A714" s="778" t="s">
        <v>698</v>
      </c>
      <c r="B714" s="846" t="s">
        <v>4943</v>
      </c>
      <c r="C714" s="779" t="s">
        <v>649</v>
      </c>
      <c r="D714" s="797">
        <v>6</v>
      </c>
      <c r="E714" s="864">
        <v>80</v>
      </c>
      <c r="F714" s="824">
        <f t="shared" si="4"/>
        <v>480</v>
      </c>
    </row>
    <row r="715" spans="1:6" s="775" customFormat="1">
      <c r="A715" s="778" t="s">
        <v>699</v>
      </c>
      <c r="B715" s="846" t="s">
        <v>4810</v>
      </c>
      <c r="C715" s="779" t="s">
        <v>649</v>
      </c>
      <c r="D715" s="797">
        <v>1</v>
      </c>
      <c r="E715" s="790">
        <v>120</v>
      </c>
      <c r="F715" s="824">
        <f t="shared" si="4"/>
        <v>120</v>
      </c>
    </row>
    <row r="716" spans="1:6" s="775" customFormat="1">
      <c r="A716" s="778"/>
      <c r="B716" s="844"/>
      <c r="C716" s="779"/>
      <c r="D716" s="797"/>
      <c r="E716" s="790"/>
      <c r="F716" s="824"/>
    </row>
    <row r="717" spans="1:6" s="775" customFormat="1" ht="193.2">
      <c r="A717" s="778" t="s">
        <v>1956</v>
      </c>
      <c r="B717" s="845" t="s">
        <v>4809</v>
      </c>
      <c r="C717" s="779"/>
      <c r="D717" s="797"/>
      <c r="E717" s="790"/>
      <c r="F717" s="824"/>
    </row>
    <row r="718" spans="1:6" s="775" customFormat="1" ht="69">
      <c r="A718" s="778"/>
      <c r="B718" s="845" t="s">
        <v>5045</v>
      </c>
      <c r="C718" s="779"/>
      <c r="D718" s="797"/>
      <c r="E718" s="790"/>
      <c r="F718" s="824"/>
    </row>
    <row r="719" spans="1:6" s="775" customFormat="1">
      <c r="A719" s="778"/>
      <c r="B719" s="835" t="s">
        <v>2402</v>
      </c>
      <c r="C719" s="779" t="s">
        <v>649</v>
      </c>
      <c r="D719" s="795">
        <v>13</v>
      </c>
      <c r="E719" s="790">
        <v>30</v>
      </c>
      <c r="F719" s="824">
        <f>D719*E719</f>
        <v>390</v>
      </c>
    </row>
    <row r="720" spans="1:6" s="775" customFormat="1">
      <c r="A720" s="778"/>
      <c r="B720" s="835"/>
      <c r="C720" s="779"/>
      <c r="D720" s="791"/>
      <c r="E720" s="790"/>
      <c r="F720" s="824"/>
    </row>
    <row r="721" spans="1:6" s="775" customFormat="1" ht="165.6">
      <c r="A721" s="778" t="s">
        <v>1957</v>
      </c>
      <c r="B721" s="835" t="s">
        <v>4987</v>
      </c>
      <c r="C721" s="784"/>
      <c r="D721" s="803"/>
      <c r="E721" s="804"/>
      <c r="F721" s="831"/>
    </row>
    <row r="722" spans="1:6" s="775" customFormat="1">
      <c r="A722" s="778" t="s">
        <v>48</v>
      </c>
      <c r="B722" s="835" t="s">
        <v>4522</v>
      </c>
      <c r="C722" s="779" t="s">
        <v>649</v>
      </c>
      <c r="D722" s="795">
        <v>18</v>
      </c>
      <c r="E722" s="800">
        <v>100</v>
      </c>
      <c r="F722" s="829">
        <f>E722*D722</f>
        <v>1800</v>
      </c>
    </row>
    <row r="723" spans="1:6" s="775" customFormat="1">
      <c r="A723" s="778" t="s">
        <v>49</v>
      </c>
      <c r="B723" s="835" t="s">
        <v>4592</v>
      </c>
      <c r="C723" s="779" t="s">
        <v>649</v>
      </c>
      <c r="D723" s="795">
        <v>1</v>
      </c>
      <c r="E723" s="800">
        <v>100</v>
      </c>
      <c r="F723" s="829">
        <f>E723*D723</f>
        <v>100</v>
      </c>
    </row>
    <row r="724" spans="1:6" s="775" customFormat="1">
      <c r="A724" s="778" t="s">
        <v>51</v>
      </c>
      <c r="B724" s="835" t="s">
        <v>4593</v>
      </c>
      <c r="C724" s="779" t="s">
        <v>649</v>
      </c>
      <c r="D724" s="795">
        <v>1</v>
      </c>
      <c r="E724" s="800">
        <v>100</v>
      </c>
      <c r="F724" s="829">
        <f>E724*D724</f>
        <v>100</v>
      </c>
    </row>
    <row r="725" spans="1:6" s="775" customFormat="1">
      <c r="A725" s="778"/>
      <c r="B725" s="835"/>
      <c r="C725" s="779"/>
      <c r="D725" s="795"/>
      <c r="E725" s="800"/>
      <c r="F725" s="829"/>
    </row>
    <row r="726" spans="1:6" s="775" customFormat="1" ht="124.2">
      <c r="A726" s="778" t="s">
        <v>1958</v>
      </c>
      <c r="B726" s="835" t="s">
        <v>5052</v>
      </c>
      <c r="C726" s="779"/>
      <c r="D726" s="795"/>
      <c r="E726" s="800"/>
      <c r="F726" s="829"/>
    </row>
    <row r="727" spans="1:6" s="775" customFormat="1">
      <c r="A727" s="778"/>
      <c r="B727" s="835" t="s">
        <v>2401</v>
      </c>
      <c r="C727" s="779" t="s">
        <v>649</v>
      </c>
      <c r="D727" s="795">
        <v>11</v>
      </c>
      <c r="E727" s="800">
        <v>30</v>
      </c>
      <c r="F727" s="829">
        <f>E727*D727</f>
        <v>330</v>
      </c>
    </row>
    <row r="728" spans="1:6" s="775" customFormat="1">
      <c r="A728" s="778"/>
      <c r="B728" s="835"/>
      <c r="C728" s="779"/>
      <c r="D728" s="795"/>
      <c r="E728" s="800"/>
      <c r="F728" s="829"/>
    </row>
    <row r="729" spans="1:6" s="775" customFormat="1" ht="138">
      <c r="A729" s="778" t="s">
        <v>1959</v>
      </c>
      <c r="B729" s="835" t="s">
        <v>4797</v>
      </c>
      <c r="C729" s="779" t="s">
        <v>645</v>
      </c>
      <c r="D729" s="795">
        <v>1450</v>
      </c>
      <c r="E729" s="800">
        <v>8</v>
      </c>
      <c r="F729" s="829">
        <f>E729*D729</f>
        <v>11600</v>
      </c>
    </row>
    <row r="730" spans="1:6" s="775" customFormat="1">
      <c r="A730" s="778"/>
      <c r="B730" s="835"/>
      <c r="C730" s="779"/>
      <c r="D730" s="795"/>
      <c r="E730" s="800"/>
      <c r="F730" s="829"/>
    </row>
    <row r="731" spans="1:6" s="775" customFormat="1" ht="96.6">
      <c r="A731" s="778" t="s">
        <v>1960</v>
      </c>
      <c r="B731" s="835" t="s">
        <v>5325</v>
      </c>
      <c r="C731" s="779"/>
      <c r="D731" s="795"/>
      <c r="E731" s="800"/>
      <c r="F731" s="829"/>
    </row>
    <row r="732" spans="1:6" s="775" customFormat="1" ht="55.2">
      <c r="A732" s="778"/>
      <c r="B732" s="835" t="s">
        <v>4594</v>
      </c>
      <c r="C732" s="779"/>
      <c r="D732" s="795"/>
      <c r="E732" s="800"/>
      <c r="F732" s="829"/>
    </row>
    <row r="733" spans="1:6" s="775" customFormat="1">
      <c r="A733" s="778" t="s">
        <v>48</v>
      </c>
      <c r="B733" s="835" t="s">
        <v>4595</v>
      </c>
      <c r="C733" s="779" t="s">
        <v>697</v>
      </c>
      <c r="D733" s="795">
        <v>18</v>
      </c>
      <c r="E733" s="800">
        <v>20</v>
      </c>
      <c r="F733" s="829">
        <f>E733*D733</f>
        <v>360</v>
      </c>
    </row>
    <row r="734" spans="1:6" s="775" customFormat="1">
      <c r="A734" s="778" t="s">
        <v>49</v>
      </c>
      <c r="B734" s="835" t="s">
        <v>4596</v>
      </c>
      <c r="C734" s="779" t="s">
        <v>697</v>
      </c>
      <c r="D734" s="795">
        <v>48</v>
      </c>
      <c r="E734" s="800">
        <v>30</v>
      </c>
      <c r="F734" s="829">
        <f>E734*D734</f>
        <v>1440</v>
      </c>
    </row>
    <row r="735" spans="1:6" s="775" customFormat="1">
      <c r="A735" s="778" t="s">
        <v>51</v>
      </c>
      <c r="B735" s="835" t="s">
        <v>4597</v>
      </c>
      <c r="C735" s="779" t="s">
        <v>697</v>
      </c>
      <c r="D735" s="795">
        <v>60</v>
      </c>
      <c r="E735" s="800">
        <v>40</v>
      </c>
      <c r="F735" s="829">
        <f>E735*D735</f>
        <v>2400</v>
      </c>
    </row>
    <row r="736" spans="1:6" s="775" customFormat="1">
      <c r="A736" s="778"/>
      <c r="B736" s="835"/>
      <c r="C736" s="779"/>
      <c r="D736" s="795"/>
      <c r="E736" s="800"/>
      <c r="F736" s="829"/>
    </row>
    <row r="737" spans="1:6" s="775" customFormat="1" ht="110.4">
      <c r="A737" s="778" t="s">
        <v>2264</v>
      </c>
      <c r="B737" s="841" t="s">
        <v>5196</v>
      </c>
      <c r="C737" s="779"/>
      <c r="D737" s="795"/>
      <c r="E737" s="800"/>
      <c r="F737" s="829"/>
    </row>
    <row r="738" spans="1:6" s="775" customFormat="1">
      <c r="A738" s="778" t="s">
        <v>48</v>
      </c>
      <c r="B738" s="835" t="s">
        <v>4596</v>
      </c>
      <c r="C738" s="779" t="s">
        <v>697</v>
      </c>
      <c r="D738" s="795">
        <v>5</v>
      </c>
      <c r="E738" s="800">
        <v>50</v>
      </c>
      <c r="F738" s="829">
        <f>E738*D738</f>
        <v>250</v>
      </c>
    </row>
    <row r="739" spans="1:6" s="775" customFormat="1">
      <c r="A739" s="778" t="s">
        <v>49</v>
      </c>
      <c r="B739" s="835" t="s">
        <v>4597</v>
      </c>
      <c r="C739" s="779" t="s">
        <v>697</v>
      </c>
      <c r="D739" s="795">
        <v>10</v>
      </c>
      <c r="E739" s="800">
        <v>50</v>
      </c>
      <c r="F739" s="829">
        <f>E739*D739</f>
        <v>500</v>
      </c>
    </row>
    <row r="740" spans="1:6" s="775" customFormat="1">
      <c r="A740" s="778"/>
      <c r="B740" s="835"/>
      <c r="C740" s="779"/>
      <c r="D740" s="795"/>
      <c r="E740" s="800"/>
      <c r="F740" s="829"/>
    </row>
    <row r="741" spans="1:6" s="775" customFormat="1" ht="165.6">
      <c r="A741" s="778" t="s">
        <v>2265</v>
      </c>
      <c r="B741" s="835" t="s">
        <v>4598</v>
      </c>
      <c r="C741" s="779"/>
      <c r="D741" s="795"/>
      <c r="E741" s="800"/>
      <c r="F741" s="829"/>
    </row>
    <row r="742" spans="1:6" s="775" customFormat="1">
      <c r="A742" s="778"/>
      <c r="B742" s="835" t="s">
        <v>4599</v>
      </c>
      <c r="C742" s="779" t="s">
        <v>675</v>
      </c>
      <c r="D742" s="795">
        <v>210</v>
      </c>
      <c r="E742" s="800">
        <v>15</v>
      </c>
      <c r="F742" s="829">
        <f>E742*D742</f>
        <v>3150</v>
      </c>
    </row>
    <row r="743" spans="1:6" s="775" customFormat="1">
      <c r="A743" s="778"/>
      <c r="B743" s="835"/>
      <c r="C743" s="782"/>
      <c r="D743" s="802"/>
      <c r="E743" s="800"/>
      <c r="F743" s="829"/>
    </row>
    <row r="744" spans="1:6" s="775" customFormat="1" ht="41.4">
      <c r="A744" s="778" t="s">
        <v>2396</v>
      </c>
      <c r="B744" s="835" t="s">
        <v>4600</v>
      </c>
      <c r="C744" s="779" t="s">
        <v>649</v>
      </c>
      <c r="D744" s="795">
        <v>14</v>
      </c>
      <c r="E744" s="800">
        <v>50</v>
      </c>
      <c r="F744" s="829">
        <f>E744*D744</f>
        <v>700</v>
      </c>
    </row>
    <row r="745" spans="1:6" s="775" customFormat="1">
      <c r="A745" s="778"/>
      <c r="B745" s="835"/>
      <c r="C745" s="779"/>
      <c r="D745" s="795"/>
      <c r="E745" s="790"/>
      <c r="F745" s="824"/>
    </row>
    <row r="746" spans="1:6" s="775" customFormat="1" ht="27.6">
      <c r="A746" s="778" t="s">
        <v>2397</v>
      </c>
      <c r="B746" s="835" t="s">
        <v>4601</v>
      </c>
      <c r="C746" s="779" t="s">
        <v>649</v>
      </c>
      <c r="D746" s="795">
        <v>35</v>
      </c>
      <c r="E746" s="800">
        <v>10</v>
      </c>
      <c r="F746" s="829">
        <f>E746*D746</f>
        <v>350</v>
      </c>
    </row>
    <row r="747" spans="1:6" s="775" customFormat="1">
      <c r="A747" s="778"/>
      <c r="B747" s="835"/>
      <c r="C747" s="782"/>
      <c r="D747" s="802"/>
      <c r="E747" s="800"/>
      <c r="F747" s="829"/>
    </row>
    <row r="748" spans="1:6" s="775" customFormat="1" ht="96.6">
      <c r="A748" s="778" t="s">
        <v>3882</v>
      </c>
      <c r="B748" s="835" t="s">
        <v>4427</v>
      </c>
      <c r="C748" s="779" t="s">
        <v>645</v>
      </c>
      <c r="D748" s="795">
        <v>300</v>
      </c>
      <c r="E748" s="800">
        <v>7</v>
      </c>
      <c r="F748" s="829">
        <f>D748*E748</f>
        <v>2100</v>
      </c>
    </row>
    <row r="749" spans="1:6" s="775" customFormat="1">
      <c r="A749" s="778"/>
      <c r="B749" s="835"/>
      <c r="C749" s="782"/>
      <c r="D749" s="802"/>
      <c r="E749" s="800"/>
      <c r="F749" s="829"/>
    </row>
    <row r="750" spans="1:6" s="775" customFormat="1" ht="82.8">
      <c r="A750" s="778" t="s">
        <v>3884</v>
      </c>
      <c r="B750" s="835" t="s">
        <v>4792</v>
      </c>
      <c r="C750" s="779" t="s">
        <v>670</v>
      </c>
      <c r="D750" s="795">
        <v>1</v>
      </c>
      <c r="E750" s="791">
        <v>1500</v>
      </c>
      <c r="F750" s="824">
        <f>D750*E750</f>
        <v>1500</v>
      </c>
    </row>
    <row r="751" spans="1:6" s="775" customFormat="1">
      <c r="A751" s="778"/>
      <c r="B751" s="835"/>
      <c r="C751" s="782"/>
      <c r="D751" s="802"/>
      <c r="E751" s="800"/>
      <c r="F751" s="829"/>
    </row>
    <row r="752" spans="1:6" s="775" customFormat="1" ht="124.2">
      <c r="A752" s="778" t="s">
        <v>4733</v>
      </c>
      <c r="B752" s="841" t="s">
        <v>4429</v>
      </c>
      <c r="C752" s="779" t="s">
        <v>670</v>
      </c>
      <c r="D752" s="795">
        <v>1</v>
      </c>
      <c r="E752" s="800">
        <v>5000</v>
      </c>
      <c r="F752" s="829">
        <f>D752*E752</f>
        <v>5000</v>
      </c>
    </row>
    <row r="753" spans="1:6" s="775" customFormat="1">
      <c r="A753" s="778"/>
      <c r="B753" s="841"/>
      <c r="C753" s="779"/>
      <c r="D753" s="795"/>
      <c r="E753" s="800"/>
      <c r="F753" s="829"/>
    </row>
    <row r="754" spans="1:6" s="775" customFormat="1" ht="124.2">
      <c r="A754" s="778" t="s">
        <v>4734</v>
      </c>
      <c r="B754" s="841" t="s">
        <v>5663</v>
      </c>
      <c r="C754" s="779" t="s">
        <v>649</v>
      </c>
      <c r="D754" s="795">
        <v>11</v>
      </c>
      <c r="E754" s="800">
        <v>100</v>
      </c>
      <c r="F754" s="829">
        <f>D754*E754</f>
        <v>1100</v>
      </c>
    </row>
    <row r="755" spans="1:6" s="775" customFormat="1">
      <c r="A755" s="778"/>
      <c r="B755" s="841"/>
      <c r="C755" s="779"/>
      <c r="D755" s="795"/>
      <c r="E755" s="800"/>
      <c r="F755" s="829"/>
    </row>
    <row r="756" spans="1:6" s="775" customFormat="1" ht="41.4">
      <c r="A756" s="778" t="s">
        <v>4735</v>
      </c>
      <c r="B756" s="835" t="s">
        <v>4525</v>
      </c>
      <c r="C756" s="779" t="s">
        <v>670</v>
      </c>
      <c r="D756" s="795">
        <v>1</v>
      </c>
      <c r="E756" s="791">
        <v>300</v>
      </c>
      <c r="F756" s="824">
        <f>D756*E756</f>
        <v>300</v>
      </c>
    </row>
    <row r="757" spans="1:6" s="775" customFormat="1">
      <c r="A757" s="778"/>
      <c r="B757" s="835"/>
      <c r="C757" s="779"/>
      <c r="D757" s="795"/>
      <c r="E757" s="791"/>
      <c r="F757" s="824"/>
    </row>
    <row r="758" spans="1:6" s="775" customFormat="1" ht="82.8">
      <c r="A758" s="778" t="s">
        <v>4736</v>
      </c>
      <c r="B758" s="835" t="s">
        <v>4798</v>
      </c>
      <c r="C758" s="779" t="s">
        <v>670</v>
      </c>
      <c r="D758" s="795">
        <v>1</v>
      </c>
      <c r="E758" s="791">
        <v>1500</v>
      </c>
      <c r="F758" s="824">
        <f>D758*E758</f>
        <v>1500</v>
      </c>
    </row>
    <row r="759" spans="1:6" s="775" customFormat="1">
      <c r="A759" s="778"/>
      <c r="B759" s="913"/>
      <c r="C759" s="779"/>
      <c r="D759" s="791"/>
      <c r="E759" s="790"/>
      <c r="F759" s="824"/>
    </row>
    <row r="760" spans="1:6" s="775" customFormat="1">
      <c r="A760" s="811" t="s">
        <v>10</v>
      </c>
      <c r="B760" s="842" t="s">
        <v>4683</v>
      </c>
      <c r="C760" s="812"/>
      <c r="D760" s="813"/>
      <c r="E760" s="813"/>
      <c r="F760" s="823">
        <f>SUM(F622:F759)</f>
        <v>68170</v>
      </c>
    </row>
    <row r="761" spans="1:6" s="775" customFormat="1">
      <c r="A761" s="778"/>
      <c r="B761" s="844"/>
      <c r="C761" s="779"/>
      <c r="D761" s="790"/>
      <c r="E761" s="790"/>
      <c r="F761" s="863"/>
    </row>
    <row r="762" spans="1:6" s="775" customFormat="1">
      <c r="A762" s="778"/>
      <c r="B762" s="844"/>
      <c r="C762" s="779"/>
      <c r="D762" s="790"/>
      <c r="E762" s="790"/>
      <c r="F762" s="824"/>
    </row>
    <row r="763" spans="1:6" s="775" customFormat="1">
      <c r="A763" s="912" t="s">
        <v>11</v>
      </c>
      <c r="B763" s="839" t="s">
        <v>4602</v>
      </c>
      <c r="C763" s="807"/>
      <c r="D763" s="808"/>
      <c r="E763" s="809"/>
      <c r="F763" s="830"/>
    </row>
    <row r="764" spans="1:6" s="775" customFormat="1">
      <c r="A764" s="777"/>
      <c r="B764" s="835"/>
      <c r="C764" s="779"/>
      <c r="D764" s="790"/>
      <c r="E764" s="790"/>
      <c r="F764" s="824"/>
    </row>
    <row r="765" spans="1:6" s="775" customFormat="1" ht="55.2">
      <c r="A765" s="778" t="s">
        <v>1085</v>
      </c>
      <c r="B765" s="835" t="s">
        <v>4747</v>
      </c>
      <c r="C765" s="779"/>
      <c r="D765" s="790"/>
      <c r="E765" s="790"/>
      <c r="F765" s="824"/>
    </row>
    <row r="766" spans="1:6" s="775" customFormat="1" ht="15">
      <c r="A766" s="778"/>
      <c r="B766" s="835" t="s">
        <v>4676</v>
      </c>
      <c r="C766" s="779"/>
      <c r="D766" s="790"/>
      <c r="E766" s="790"/>
      <c r="F766" s="824"/>
    </row>
    <row r="767" spans="1:6" s="775" customFormat="1" ht="15">
      <c r="A767" s="778"/>
      <c r="B767" s="835" t="s">
        <v>4677</v>
      </c>
      <c r="C767" s="779"/>
      <c r="D767" s="790"/>
      <c r="E767" s="790"/>
      <c r="F767" s="824"/>
    </row>
    <row r="768" spans="1:6" s="775" customFormat="1" ht="15">
      <c r="A768" s="778"/>
      <c r="B768" s="835" t="s">
        <v>4678</v>
      </c>
      <c r="C768" s="779"/>
      <c r="D768" s="790"/>
      <c r="E768" s="790"/>
      <c r="F768" s="824"/>
    </row>
    <row r="769" spans="1:6" s="775" customFormat="1">
      <c r="A769" s="778"/>
      <c r="B769" s="835" t="s">
        <v>4603</v>
      </c>
      <c r="C769" s="779"/>
      <c r="D769" s="795"/>
      <c r="E769" s="790"/>
      <c r="F769" s="824"/>
    </row>
    <row r="770" spans="1:6" s="775" customFormat="1">
      <c r="A770" s="778"/>
      <c r="B770" s="835" t="s">
        <v>4604</v>
      </c>
      <c r="C770" s="779"/>
      <c r="D770" s="790"/>
      <c r="E770" s="790"/>
      <c r="F770" s="824"/>
    </row>
    <row r="771" spans="1:6" s="775" customFormat="1">
      <c r="A771" s="778"/>
      <c r="B771" s="835" t="s">
        <v>4605</v>
      </c>
      <c r="C771" s="779" t="s">
        <v>649</v>
      </c>
      <c r="D771" s="795">
        <v>1</v>
      </c>
      <c r="E771" s="790">
        <v>1500</v>
      </c>
      <c r="F771" s="824">
        <f>D771*E771</f>
        <v>1500</v>
      </c>
    </row>
    <row r="772" spans="1:6" s="775" customFormat="1">
      <c r="A772" s="778"/>
      <c r="B772" s="835"/>
      <c r="C772" s="779"/>
      <c r="D772" s="790"/>
      <c r="E772" s="790"/>
      <c r="F772" s="824"/>
    </row>
    <row r="773" spans="1:6" s="775" customFormat="1" ht="96.6">
      <c r="A773" s="778" t="s">
        <v>1086</v>
      </c>
      <c r="B773" s="835" t="s">
        <v>4748</v>
      </c>
      <c r="C773" s="779"/>
      <c r="D773" s="790"/>
      <c r="E773" s="790"/>
      <c r="F773" s="824"/>
    </row>
    <row r="774" spans="1:6" s="775" customFormat="1" ht="15">
      <c r="A774" s="778"/>
      <c r="B774" s="835" t="s">
        <v>4679</v>
      </c>
      <c r="C774" s="779"/>
      <c r="D774" s="790"/>
      <c r="E774" s="790"/>
      <c r="F774" s="824"/>
    </row>
    <row r="775" spans="1:6" s="775" customFormat="1" ht="15">
      <c r="A775" s="778"/>
      <c r="B775" s="835" t="s">
        <v>4677</v>
      </c>
      <c r="C775" s="779"/>
      <c r="D775" s="790"/>
      <c r="E775" s="790"/>
      <c r="F775" s="824"/>
    </row>
    <row r="776" spans="1:6" s="775" customFormat="1" ht="15">
      <c r="A776" s="778"/>
      <c r="B776" s="835" t="s">
        <v>4680</v>
      </c>
      <c r="C776" s="779"/>
      <c r="D776" s="790"/>
      <c r="E776" s="790"/>
      <c r="F776" s="824"/>
    </row>
    <row r="777" spans="1:6" s="775" customFormat="1">
      <c r="A777" s="778"/>
      <c r="B777" s="835" t="s">
        <v>4603</v>
      </c>
      <c r="C777" s="779"/>
      <c r="D777" s="790"/>
      <c r="E777" s="790"/>
      <c r="F777" s="824"/>
    </row>
    <row r="778" spans="1:6" s="775" customFormat="1">
      <c r="A778" s="778"/>
      <c r="B778" s="835" t="s">
        <v>4606</v>
      </c>
      <c r="C778" s="779"/>
      <c r="D778" s="790"/>
      <c r="E778" s="790"/>
      <c r="F778" s="824"/>
    </row>
    <row r="779" spans="1:6" s="775" customFormat="1">
      <c r="A779" s="778"/>
      <c r="B779" s="835" t="s">
        <v>4607</v>
      </c>
      <c r="C779" s="779" t="s">
        <v>649</v>
      </c>
      <c r="D779" s="795">
        <v>1</v>
      </c>
      <c r="E779" s="790">
        <v>1500</v>
      </c>
      <c r="F779" s="824">
        <f>D779*E779</f>
        <v>1500</v>
      </c>
    </row>
    <row r="780" spans="1:6" s="775" customFormat="1">
      <c r="A780" s="778"/>
      <c r="B780" s="835"/>
      <c r="C780" s="779"/>
      <c r="D780" s="790"/>
      <c r="E780" s="791"/>
      <c r="F780" s="824"/>
    </row>
    <row r="781" spans="1:6" s="775" customFormat="1" ht="234.6">
      <c r="A781" s="778" t="s">
        <v>1087</v>
      </c>
      <c r="B781" s="835" t="s">
        <v>4608</v>
      </c>
      <c r="C781" s="779"/>
      <c r="D781" s="790"/>
      <c r="E781" s="791"/>
      <c r="F781" s="824"/>
    </row>
    <row r="782" spans="1:6" s="775" customFormat="1" ht="165.6">
      <c r="A782" s="778"/>
      <c r="B782" s="835" t="s">
        <v>4609</v>
      </c>
      <c r="C782" s="779"/>
      <c r="D782" s="795"/>
      <c r="E782" s="790"/>
      <c r="F782" s="824"/>
    </row>
    <row r="783" spans="1:6" s="775" customFormat="1" ht="69">
      <c r="A783" s="778"/>
      <c r="B783" s="835" t="s">
        <v>4799</v>
      </c>
      <c r="C783" s="779" t="s">
        <v>649</v>
      </c>
      <c r="D783" s="795">
        <v>2</v>
      </c>
      <c r="E783" s="790">
        <v>1500</v>
      </c>
      <c r="F783" s="824">
        <f>D783*E783</f>
        <v>3000</v>
      </c>
    </row>
    <row r="784" spans="1:6" s="775" customFormat="1">
      <c r="A784" s="778"/>
      <c r="B784" s="835"/>
      <c r="C784" s="779"/>
      <c r="D784" s="795"/>
      <c r="E784" s="790"/>
      <c r="F784" s="824"/>
    </row>
    <row r="785" spans="1:6" s="775" customFormat="1" ht="372.6">
      <c r="A785" s="778" t="s">
        <v>2269</v>
      </c>
      <c r="B785" s="835" t="s">
        <v>5197</v>
      </c>
      <c r="C785" s="779"/>
      <c r="D785" s="795"/>
      <c r="E785" s="790"/>
      <c r="F785" s="824"/>
    </row>
    <row r="786" spans="1:6" s="775" customFormat="1">
      <c r="A786" s="778"/>
      <c r="B786" s="835" t="s">
        <v>4610</v>
      </c>
      <c r="C786" s="779"/>
      <c r="D786" s="795"/>
      <c r="E786" s="790"/>
      <c r="F786" s="824"/>
    </row>
    <row r="787" spans="1:6" s="775" customFormat="1" ht="15">
      <c r="A787" s="778"/>
      <c r="B787" s="835" t="s">
        <v>5710</v>
      </c>
      <c r="C787" s="779" t="s">
        <v>649</v>
      </c>
      <c r="D787" s="795">
        <v>1</v>
      </c>
      <c r="E787" s="790">
        <v>3500</v>
      </c>
      <c r="F787" s="824">
        <f>D787*E787</f>
        <v>3500</v>
      </c>
    </row>
    <row r="788" spans="1:6" s="775" customFormat="1">
      <c r="A788" s="778"/>
      <c r="B788" s="835"/>
      <c r="C788" s="779"/>
      <c r="D788" s="795"/>
      <c r="E788" s="790"/>
      <c r="F788" s="824"/>
    </row>
    <row r="789" spans="1:6" s="775" customFormat="1" ht="220.8">
      <c r="A789" s="778" t="s">
        <v>2270</v>
      </c>
      <c r="B789" s="835" t="s">
        <v>5198</v>
      </c>
      <c r="C789" s="779"/>
      <c r="D789" s="795"/>
      <c r="E789" s="790"/>
      <c r="F789" s="824"/>
    </row>
    <row r="790" spans="1:6" s="775" customFormat="1">
      <c r="A790" s="778"/>
      <c r="B790" s="835" t="s">
        <v>4861</v>
      </c>
      <c r="C790" s="779"/>
      <c r="D790" s="795"/>
      <c r="E790" s="790"/>
      <c r="F790" s="824"/>
    </row>
    <row r="791" spans="1:6" s="775" customFormat="1">
      <c r="A791" s="778"/>
      <c r="B791" s="835" t="s">
        <v>4862</v>
      </c>
      <c r="C791" s="779" t="s">
        <v>649</v>
      </c>
      <c r="D791" s="795">
        <v>1</v>
      </c>
      <c r="E791" s="790">
        <v>1500</v>
      </c>
      <c r="F791" s="824">
        <f>D791*E791</f>
        <v>1500</v>
      </c>
    </row>
    <row r="792" spans="1:6" s="775" customFormat="1">
      <c r="A792" s="778"/>
      <c r="B792" s="835"/>
      <c r="C792" s="779"/>
      <c r="D792" s="795"/>
      <c r="E792" s="790"/>
      <c r="F792" s="824"/>
    </row>
    <row r="793" spans="1:6" s="775" customFormat="1" ht="234.6">
      <c r="A793" s="778" t="s">
        <v>2271</v>
      </c>
      <c r="B793" s="835" t="s">
        <v>5199</v>
      </c>
      <c r="C793" s="779"/>
      <c r="D793" s="795"/>
      <c r="E793" s="790"/>
      <c r="F793" s="824"/>
    </row>
    <row r="794" spans="1:6" s="775" customFormat="1">
      <c r="A794" s="778"/>
      <c r="B794" s="835" t="s">
        <v>4863</v>
      </c>
      <c r="C794" s="779"/>
      <c r="D794" s="795"/>
      <c r="E794" s="790"/>
      <c r="F794" s="824"/>
    </row>
    <row r="795" spans="1:6" s="775" customFormat="1">
      <c r="A795" s="778"/>
      <c r="B795" s="835" t="s">
        <v>4862</v>
      </c>
      <c r="C795" s="779" t="s">
        <v>649</v>
      </c>
      <c r="D795" s="795">
        <v>1</v>
      </c>
      <c r="E795" s="790">
        <v>2000</v>
      </c>
      <c r="F795" s="824">
        <f>D795*E795</f>
        <v>2000</v>
      </c>
    </row>
    <row r="796" spans="1:6" s="775" customFormat="1">
      <c r="A796" s="778"/>
      <c r="B796" s="835"/>
      <c r="C796" s="779"/>
      <c r="D796" s="795"/>
      <c r="E796" s="790"/>
      <c r="F796" s="824"/>
    </row>
    <row r="797" spans="1:6" s="775" customFormat="1" ht="110.4">
      <c r="A797" s="778" t="s">
        <v>2272</v>
      </c>
      <c r="B797" s="835" t="s">
        <v>4611</v>
      </c>
      <c r="C797" s="779"/>
      <c r="D797" s="795"/>
      <c r="E797" s="790"/>
      <c r="F797" s="824"/>
    </row>
    <row r="798" spans="1:6" s="775" customFormat="1">
      <c r="A798" s="778"/>
      <c r="B798" s="835" t="s">
        <v>4612</v>
      </c>
      <c r="C798" s="779"/>
      <c r="D798" s="795"/>
      <c r="E798" s="790"/>
      <c r="F798" s="824"/>
    </row>
    <row r="799" spans="1:6" s="775" customFormat="1" ht="27.6">
      <c r="A799" s="778"/>
      <c r="B799" s="835" t="s">
        <v>4613</v>
      </c>
      <c r="C799" s="779"/>
      <c r="D799" s="795"/>
      <c r="E799" s="790"/>
      <c r="F799" s="824"/>
    </row>
    <row r="800" spans="1:6" s="775" customFormat="1" ht="110.4">
      <c r="A800" s="778"/>
      <c r="B800" s="835" t="s">
        <v>5454</v>
      </c>
      <c r="C800" s="779"/>
      <c r="D800" s="795"/>
      <c r="E800" s="790"/>
      <c r="F800" s="824"/>
    </row>
    <row r="801" spans="1:6" s="775" customFormat="1" ht="27.6">
      <c r="A801" s="778"/>
      <c r="B801" s="835" t="s">
        <v>4614</v>
      </c>
      <c r="C801" s="779"/>
      <c r="D801" s="795"/>
      <c r="E801" s="790"/>
      <c r="F801" s="824"/>
    </row>
    <row r="802" spans="1:6" s="775" customFormat="1" ht="27.6">
      <c r="A802" s="778"/>
      <c r="B802" s="835" t="s">
        <v>4615</v>
      </c>
      <c r="C802" s="779"/>
      <c r="D802" s="795"/>
      <c r="E802" s="790"/>
      <c r="F802" s="824"/>
    </row>
    <row r="803" spans="1:6" s="775" customFormat="1" ht="27.6">
      <c r="A803" s="778"/>
      <c r="B803" s="835" t="s">
        <v>4616</v>
      </c>
      <c r="C803" s="779"/>
      <c r="D803" s="795"/>
      <c r="E803" s="790"/>
      <c r="F803" s="824"/>
    </row>
    <row r="804" spans="1:6" s="775" customFormat="1" ht="82.8">
      <c r="A804" s="778"/>
      <c r="B804" s="835" t="s">
        <v>4617</v>
      </c>
      <c r="C804" s="779" t="s">
        <v>670</v>
      </c>
      <c r="D804" s="795">
        <v>1</v>
      </c>
      <c r="E804" s="790">
        <v>1500</v>
      </c>
      <c r="F804" s="824">
        <f>D804*E804</f>
        <v>1500</v>
      </c>
    </row>
    <row r="805" spans="1:6" s="775" customFormat="1">
      <c r="A805" s="778"/>
      <c r="B805" s="835"/>
      <c r="C805" s="779"/>
      <c r="D805" s="795"/>
      <c r="E805" s="790"/>
      <c r="F805" s="824"/>
    </row>
    <row r="806" spans="1:6" s="775" customFormat="1" ht="82.8">
      <c r="A806" s="778" t="s">
        <v>2273</v>
      </c>
      <c r="B806" s="835" t="s">
        <v>4800</v>
      </c>
      <c r="C806" s="779"/>
      <c r="D806" s="795"/>
      <c r="E806" s="790"/>
      <c r="F806" s="824"/>
    </row>
    <row r="807" spans="1:6" s="775" customFormat="1">
      <c r="A807" s="778"/>
      <c r="B807" s="835" t="s">
        <v>4618</v>
      </c>
      <c r="C807" s="779" t="s">
        <v>649</v>
      </c>
      <c r="D807" s="795">
        <v>1</v>
      </c>
      <c r="E807" s="790">
        <v>800</v>
      </c>
      <c r="F807" s="824">
        <f>D807*E807</f>
        <v>800</v>
      </c>
    </row>
    <row r="808" spans="1:6" s="775" customFormat="1">
      <c r="A808" s="778"/>
      <c r="B808" s="835"/>
      <c r="C808" s="779"/>
      <c r="D808" s="795"/>
      <c r="E808" s="790"/>
      <c r="F808" s="824"/>
    </row>
    <row r="809" spans="1:6" s="775" customFormat="1" ht="82.8">
      <c r="A809" s="778" t="s">
        <v>2274</v>
      </c>
      <c r="B809" s="835" t="s">
        <v>4801</v>
      </c>
      <c r="C809" s="779"/>
      <c r="D809" s="795"/>
      <c r="E809" s="790"/>
      <c r="F809" s="824"/>
    </row>
    <row r="810" spans="1:6" s="775" customFormat="1">
      <c r="A810" s="778"/>
      <c r="B810" s="835" t="s">
        <v>4619</v>
      </c>
      <c r="C810" s="779" t="s">
        <v>649</v>
      </c>
      <c r="D810" s="795">
        <v>1</v>
      </c>
      <c r="E810" s="790">
        <v>800</v>
      </c>
      <c r="F810" s="824">
        <f>D810*E810</f>
        <v>800</v>
      </c>
    </row>
    <row r="811" spans="1:6" s="775" customFormat="1">
      <c r="A811" s="778"/>
      <c r="B811" s="835"/>
      <c r="C811" s="779"/>
      <c r="D811" s="795"/>
      <c r="E811" s="790"/>
      <c r="F811" s="824"/>
    </row>
    <row r="812" spans="1:6" s="775" customFormat="1" ht="165.6">
      <c r="A812" s="778" t="s">
        <v>2275</v>
      </c>
      <c r="B812" s="835" t="s">
        <v>4620</v>
      </c>
      <c r="C812" s="779"/>
      <c r="D812" s="795"/>
      <c r="E812" s="790"/>
      <c r="F812" s="824"/>
    </row>
    <row r="813" spans="1:6" s="775" customFormat="1">
      <c r="A813" s="778" t="s">
        <v>48</v>
      </c>
      <c r="B813" s="835" t="s">
        <v>4621</v>
      </c>
      <c r="C813" s="779" t="s">
        <v>649</v>
      </c>
      <c r="D813" s="795">
        <v>2</v>
      </c>
      <c r="E813" s="790">
        <v>350</v>
      </c>
      <c r="F813" s="824">
        <f>D813*E813</f>
        <v>700</v>
      </c>
    </row>
    <row r="814" spans="1:6" s="775" customFormat="1">
      <c r="A814" s="778" t="s">
        <v>49</v>
      </c>
      <c r="B814" s="835" t="s">
        <v>4622</v>
      </c>
      <c r="C814" s="779" t="s">
        <v>649</v>
      </c>
      <c r="D814" s="795">
        <v>1</v>
      </c>
      <c r="E814" s="790">
        <v>350</v>
      </c>
      <c r="F814" s="824">
        <f>D814*E814</f>
        <v>350</v>
      </c>
    </row>
    <row r="815" spans="1:6" s="775" customFormat="1">
      <c r="A815" s="778"/>
      <c r="B815" s="835"/>
      <c r="C815" s="779"/>
      <c r="D815" s="795"/>
      <c r="E815" s="790"/>
      <c r="F815" s="824"/>
    </row>
    <row r="816" spans="1:6" s="775" customFormat="1" ht="193.2">
      <c r="A816" s="778" t="s">
        <v>2276</v>
      </c>
      <c r="B816" s="845" t="s">
        <v>4808</v>
      </c>
      <c r="C816" s="779"/>
      <c r="D816" s="795"/>
      <c r="E816" s="790"/>
      <c r="F816" s="824"/>
    </row>
    <row r="817" spans="1:6" s="775" customFormat="1" ht="96.6">
      <c r="A817" s="778"/>
      <c r="B817" s="845" t="s">
        <v>5046</v>
      </c>
      <c r="C817" s="779"/>
      <c r="D817" s="795"/>
      <c r="E817" s="790"/>
      <c r="F817" s="824"/>
    </row>
    <row r="818" spans="1:6" s="775" customFormat="1">
      <c r="A818" s="778" t="s">
        <v>48</v>
      </c>
      <c r="B818" s="845" t="s">
        <v>4623</v>
      </c>
      <c r="C818" s="779" t="s">
        <v>649</v>
      </c>
      <c r="D818" s="795">
        <v>1</v>
      </c>
      <c r="E818" s="790">
        <v>50</v>
      </c>
      <c r="F818" s="824">
        <f>D818*E818</f>
        <v>50</v>
      </c>
    </row>
    <row r="819" spans="1:6" s="775" customFormat="1">
      <c r="A819" s="778" t="s">
        <v>49</v>
      </c>
      <c r="B819" s="845" t="s">
        <v>4624</v>
      </c>
      <c r="C819" s="779" t="s">
        <v>649</v>
      </c>
      <c r="D819" s="795">
        <v>1</v>
      </c>
      <c r="E819" s="790">
        <v>50</v>
      </c>
      <c r="F819" s="824">
        <f>D819*E819</f>
        <v>50</v>
      </c>
    </row>
    <row r="820" spans="1:6" s="775" customFormat="1">
      <c r="A820" s="778" t="s">
        <v>51</v>
      </c>
      <c r="B820" s="845" t="s">
        <v>4625</v>
      </c>
      <c r="C820" s="779" t="s">
        <v>649</v>
      </c>
      <c r="D820" s="795">
        <v>1</v>
      </c>
      <c r="E820" s="790">
        <v>80</v>
      </c>
      <c r="F820" s="824">
        <f>D820*E820</f>
        <v>80</v>
      </c>
    </row>
    <row r="821" spans="1:6" s="775" customFormat="1">
      <c r="A821" s="778"/>
      <c r="B821" s="835"/>
      <c r="C821" s="779"/>
      <c r="D821" s="795"/>
      <c r="E821" s="790"/>
      <c r="F821" s="824"/>
    </row>
    <row r="822" spans="1:6" s="775" customFormat="1" ht="234.6">
      <c r="A822" s="778" t="s">
        <v>2277</v>
      </c>
      <c r="B822" s="835" t="s">
        <v>5053</v>
      </c>
      <c r="C822" s="779"/>
      <c r="D822" s="795"/>
      <c r="E822" s="790"/>
      <c r="F822" s="824"/>
    </row>
    <row r="823" spans="1:6" s="775" customFormat="1">
      <c r="A823" s="778"/>
      <c r="B823" s="835" t="s">
        <v>4626</v>
      </c>
      <c r="C823" s="779" t="s">
        <v>649</v>
      </c>
      <c r="D823" s="795">
        <v>2</v>
      </c>
      <c r="E823" s="790">
        <v>50</v>
      </c>
      <c r="F823" s="824">
        <f>D823*E823</f>
        <v>100</v>
      </c>
    </row>
    <row r="824" spans="1:6" s="775" customFormat="1">
      <c r="A824" s="778"/>
      <c r="B824" s="835"/>
      <c r="C824" s="779"/>
      <c r="D824" s="795"/>
      <c r="E824" s="790"/>
      <c r="F824" s="824"/>
    </row>
    <row r="825" spans="1:6" s="775" customFormat="1" ht="151.80000000000001">
      <c r="A825" s="778" t="s">
        <v>2278</v>
      </c>
      <c r="B825" s="835" t="s">
        <v>5054</v>
      </c>
      <c r="C825" s="779"/>
      <c r="D825" s="795"/>
      <c r="E825" s="790"/>
      <c r="F825" s="824"/>
    </row>
    <row r="826" spans="1:6" s="775" customFormat="1">
      <c r="A826" s="778"/>
      <c r="B826" s="835" t="s">
        <v>4627</v>
      </c>
      <c r="C826" s="779" t="s">
        <v>649</v>
      </c>
      <c r="D826" s="795">
        <v>6</v>
      </c>
      <c r="E826" s="790">
        <v>50</v>
      </c>
      <c r="F826" s="824">
        <f>D826*E826</f>
        <v>300</v>
      </c>
    </row>
    <row r="827" spans="1:6" s="775" customFormat="1">
      <c r="A827" s="778"/>
      <c r="B827" s="835"/>
      <c r="C827" s="779"/>
      <c r="D827" s="795"/>
      <c r="E827" s="790"/>
      <c r="F827" s="824"/>
    </row>
    <row r="828" spans="1:6" s="775" customFormat="1" ht="138">
      <c r="A828" s="778" t="s">
        <v>2279</v>
      </c>
      <c r="B828" s="835" t="s">
        <v>4797</v>
      </c>
      <c r="C828" s="779" t="s">
        <v>645</v>
      </c>
      <c r="D828" s="795">
        <v>180</v>
      </c>
      <c r="E828" s="800">
        <v>7</v>
      </c>
      <c r="F828" s="829">
        <f>E828*D828</f>
        <v>1260</v>
      </c>
    </row>
    <row r="829" spans="1:6" s="775" customFormat="1">
      <c r="A829" s="778"/>
      <c r="B829" s="835"/>
      <c r="C829" s="779"/>
      <c r="D829" s="795"/>
      <c r="E829" s="800"/>
      <c r="F829" s="829"/>
    </row>
    <row r="830" spans="1:6" s="775" customFormat="1" ht="82.8">
      <c r="A830" s="778" t="s">
        <v>2282</v>
      </c>
      <c r="B830" s="835" t="s">
        <v>4628</v>
      </c>
      <c r="C830" s="779"/>
      <c r="D830" s="795"/>
      <c r="E830" s="800"/>
      <c r="F830" s="829"/>
    </row>
    <row r="831" spans="1:6" s="775" customFormat="1">
      <c r="A831" s="778"/>
      <c r="B831" s="835" t="s">
        <v>4629</v>
      </c>
      <c r="C831" s="779" t="s">
        <v>645</v>
      </c>
      <c r="D831" s="795">
        <v>250</v>
      </c>
      <c r="E831" s="800">
        <v>7</v>
      </c>
      <c r="F831" s="829">
        <f>E831*D831</f>
        <v>1750</v>
      </c>
    </row>
    <row r="832" spans="1:6" s="775" customFormat="1">
      <c r="A832" s="778"/>
      <c r="B832" s="835"/>
      <c r="C832" s="779"/>
      <c r="D832" s="795"/>
      <c r="E832" s="800"/>
      <c r="F832" s="829"/>
    </row>
    <row r="833" spans="1:6" s="775" customFormat="1" ht="96.6">
      <c r="A833" s="778" t="s">
        <v>2283</v>
      </c>
      <c r="B833" s="835" t="s">
        <v>5326</v>
      </c>
      <c r="C833" s="779"/>
      <c r="D833" s="795"/>
      <c r="E833" s="800"/>
      <c r="F833" s="829"/>
    </row>
    <row r="834" spans="1:6" s="775" customFormat="1" ht="55.2">
      <c r="A834" s="778"/>
      <c r="B834" s="835" t="s">
        <v>4594</v>
      </c>
      <c r="C834" s="779"/>
      <c r="D834" s="795"/>
      <c r="E834" s="800"/>
      <c r="F834" s="829"/>
    </row>
    <row r="835" spans="1:6" s="775" customFormat="1">
      <c r="A835" s="778" t="s">
        <v>48</v>
      </c>
      <c r="B835" s="835" t="s">
        <v>4596</v>
      </c>
      <c r="C835" s="779" t="s">
        <v>697</v>
      </c>
      <c r="D835" s="795">
        <v>6</v>
      </c>
      <c r="E835" s="800">
        <v>20</v>
      </c>
      <c r="F835" s="829">
        <f>E835*D835</f>
        <v>120</v>
      </c>
    </row>
    <row r="836" spans="1:6" s="775" customFormat="1">
      <c r="A836" s="778" t="s">
        <v>49</v>
      </c>
      <c r="B836" s="835" t="s">
        <v>4630</v>
      </c>
      <c r="C836" s="779" t="s">
        <v>697</v>
      </c>
      <c r="D836" s="795">
        <v>6</v>
      </c>
      <c r="E836" s="800">
        <v>25</v>
      </c>
      <c r="F836" s="829">
        <f>E836*D836</f>
        <v>150</v>
      </c>
    </row>
    <row r="837" spans="1:6" s="775" customFormat="1">
      <c r="A837" s="778" t="s">
        <v>51</v>
      </c>
      <c r="B837" s="835" t="s">
        <v>4631</v>
      </c>
      <c r="C837" s="779" t="s">
        <v>697</v>
      </c>
      <c r="D837" s="795">
        <v>12</v>
      </c>
      <c r="E837" s="800">
        <v>30</v>
      </c>
      <c r="F837" s="829">
        <f>E837*D837</f>
        <v>360</v>
      </c>
    </row>
    <row r="838" spans="1:6" s="775" customFormat="1">
      <c r="A838" s="778" t="s">
        <v>53</v>
      </c>
      <c r="B838" s="835" t="s">
        <v>4597</v>
      </c>
      <c r="C838" s="779" t="s">
        <v>697</v>
      </c>
      <c r="D838" s="795">
        <v>36</v>
      </c>
      <c r="E838" s="800">
        <v>35</v>
      </c>
      <c r="F838" s="829">
        <f>E838*D838</f>
        <v>1260</v>
      </c>
    </row>
    <row r="839" spans="1:6" s="775" customFormat="1">
      <c r="A839" s="778"/>
      <c r="B839" s="835"/>
      <c r="C839" s="779"/>
      <c r="D839" s="795"/>
      <c r="E839" s="800"/>
      <c r="F839" s="829"/>
    </row>
    <row r="840" spans="1:6" s="775" customFormat="1" ht="110.4">
      <c r="A840" s="778" t="s">
        <v>2284</v>
      </c>
      <c r="B840" s="841" t="s">
        <v>5200</v>
      </c>
      <c r="C840" s="779"/>
      <c r="D840" s="795"/>
      <c r="E840" s="800"/>
      <c r="F840" s="829"/>
    </row>
    <row r="841" spans="1:6" s="775" customFormat="1">
      <c r="A841" s="778" t="s">
        <v>48</v>
      </c>
      <c r="B841" s="835" t="s">
        <v>4630</v>
      </c>
      <c r="C841" s="779" t="s">
        <v>697</v>
      </c>
      <c r="D841" s="795">
        <v>2</v>
      </c>
      <c r="E841" s="800">
        <v>50</v>
      </c>
      <c r="F841" s="829">
        <f>E841*D841</f>
        <v>100</v>
      </c>
    </row>
    <row r="842" spans="1:6" s="775" customFormat="1">
      <c r="A842" s="778" t="s">
        <v>49</v>
      </c>
      <c r="B842" s="835" t="s">
        <v>4597</v>
      </c>
      <c r="C842" s="779" t="s">
        <v>697</v>
      </c>
      <c r="D842" s="795">
        <v>2</v>
      </c>
      <c r="E842" s="800">
        <v>50</v>
      </c>
      <c r="F842" s="829">
        <f>E842*D842</f>
        <v>100</v>
      </c>
    </row>
    <row r="843" spans="1:6" s="775" customFormat="1">
      <c r="A843" s="778"/>
      <c r="B843" s="835"/>
      <c r="C843" s="779"/>
      <c r="D843" s="795"/>
      <c r="E843" s="800"/>
      <c r="F843" s="829"/>
    </row>
    <row r="844" spans="1:6" s="775" customFormat="1" ht="165.6">
      <c r="A844" s="778" t="s">
        <v>2285</v>
      </c>
      <c r="B844" s="835" t="s">
        <v>4802</v>
      </c>
      <c r="C844" s="779"/>
      <c r="D844" s="795"/>
      <c r="E844" s="800"/>
      <c r="F844" s="829"/>
    </row>
    <row r="845" spans="1:6" s="775" customFormat="1">
      <c r="A845" s="778"/>
      <c r="B845" s="835" t="s">
        <v>4599</v>
      </c>
      <c r="C845" s="779" t="s">
        <v>675</v>
      </c>
      <c r="D845" s="795">
        <v>75</v>
      </c>
      <c r="E845" s="800">
        <v>15</v>
      </c>
      <c r="F845" s="829">
        <f>E845*D845</f>
        <v>1125</v>
      </c>
    </row>
    <row r="846" spans="1:6" s="775" customFormat="1">
      <c r="A846" s="778"/>
      <c r="B846" s="835"/>
      <c r="C846" s="779"/>
      <c r="D846" s="795"/>
      <c r="E846" s="800"/>
      <c r="F846" s="829"/>
    </row>
    <row r="847" spans="1:6" s="775" customFormat="1" ht="110.4">
      <c r="A847" s="778" t="s">
        <v>2286</v>
      </c>
      <c r="B847" s="835" t="s">
        <v>4632</v>
      </c>
      <c r="C847" s="779" t="s">
        <v>675</v>
      </c>
      <c r="D847" s="795">
        <v>20</v>
      </c>
      <c r="E847" s="800">
        <v>120</v>
      </c>
      <c r="F847" s="829">
        <f>E847*D847</f>
        <v>2400</v>
      </c>
    </row>
    <row r="848" spans="1:6" s="775" customFormat="1">
      <c r="A848" s="778"/>
      <c r="B848" s="835"/>
      <c r="C848" s="782"/>
      <c r="D848" s="802"/>
      <c r="E848" s="800"/>
      <c r="F848" s="829"/>
    </row>
    <row r="849" spans="1:6" s="775" customFormat="1">
      <c r="A849" s="778" t="s">
        <v>2288</v>
      </c>
      <c r="B849" s="835" t="s">
        <v>4633</v>
      </c>
      <c r="C849" s="779" t="s">
        <v>649</v>
      </c>
      <c r="D849" s="795">
        <v>8</v>
      </c>
      <c r="E849" s="800">
        <v>10</v>
      </c>
      <c r="F849" s="829">
        <f>E849*D849</f>
        <v>80</v>
      </c>
    </row>
    <row r="850" spans="1:6" s="775" customFormat="1">
      <c r="A850" s="778"/>
      <c r="B850" s="835"/>
      <c r="C850" s="782"/>
      <c r="D850" s="802"/>
      <c r="E850" s="800"/>
      <c r="F850" s="829"/>
    </row>
    <row r="851" spans="1:6" s="775" customFormat="1" ht="96.6">
      <c r="A851" s="778" t="s">
        <v>2290</v>
      </c>
      <c r="B851" s="835" t="s">
        <v>4427</v>
      </c>
      <c r="C851" s="779" t="s">
        <v>645</v>
      </c>
      <c r="D851" s="795">
        <v>300</v>
      </c>
      <c r="E851" s="800">
        <v>7</v>
      </c>
      <c r="F851" s="829">
        <f>D851*E851</f>
        <v>2100</v>
      </c>
    </row>
    <row r="852" spans="1:6" s="775" customFormat="1">
      <c r="A852" s="778"/>
      <c r="B852" s="835"/>
      <c r="C852" s="782"/>
      <c r="D852" s="802"/>
      <c r="E852" s="800"/>
      <c r="F852" s="829"/>
    </row>
    <row r="853" spans="1:6" s="775" customFormat="1" ht="82.8">
      <c r="A853" s="778" t="s">
        <v>3899</v>
      </c>
      <c r="B853" s="835" t="s">
        <v>4792</v>
      </c>
      <c r="C853" s="779" t="s">
        <v>670</v>
      </c>
      <c r="D853" s="795">
        <v>1</v>
      </c>
      <c r="E853" s="791">
        <v>1500</v>
      </c>
      <c r="F853" s="824">
        <f>D853*E853</f>
        <v>1500</v>
      </c>
    </row>
    <row r="854" spans="1:6" s="775" customFormat="1">
      <c r="A854" s="778"/>
      <c r="B854" s="835"/>
      <c r="C854" s="782"/>
      <c r="D854" s="802"/>
      <c r="E854" s="800"/>
      <c r="F854" s="829"/>
    </row>
    <row r="855" spans="1:6" s="775" customFormat="1" ht="124.2">
      <c r="A855" s="778" t="s">
        <v>3900</v>
      </c>
      <c r="B855" s="841" t="s">
        <v>4429</v>
      </c>
      <c r="C855" s="779" t="s">
        <v>670</v>
      </c>
      <c r="D855" s="795">
        <v>1</v>
      </c>
      <c r="E855" s="800">
        <v>5000</v>
      </c>
      <c r="F855" s="829">
        <f>D855*E855</f>
        <v>5000</v>
      </c>
    </row>
    <row r="856" spans="1:6" s="775" customFormat="1">
      <c r="A856" s="778"/>
      <c r="B856" s="841"/>
      <c r="C856" s="779"/>
      <c r="D856" s="795"/>
      <c r="E856" s="800"/>
      <c r="F856" s="829"/>
    </row>
    <row r="857" spans="1:6" s="775" customFormat="1" ht="124.2">
      <c r="A857" s="778" t="s">
        <v>4737</v>
      </c>
      <c r="B857" s="841" t="s">
        <v>5663</v>
      </c>
      <c r="C857" s="779" t="s">
        <v>649</v>
      </c>
      <c r="D857" s="795">
        <v>1</v>
      </c>
      <c r="E857" s="800">
        <v>200</v>
      </c>
      <c r="F857" s="829">
        <f>D857*E857</f>
        <v>200</v>
      </c>
    </row>
    <row r="858" spans="1:6" s="775" customFormat="1">
      <c r="A858" s="778"/>
      <c r="B858" s="841"/>
      <c r="C858" s="779"/>
      <c r="D858" s="795"/>
      <c r="E858" s="800"/>
      <c r="F858" s="829"/>
    </row>
    <row r="859" spans="1:6" s="775" customFormat="1" ht="41.4">
      <c r="A859" s="778" t="s">
        <v>4738</v>
      </c>
      <c r="B859" s="835" t="s">
        <v>4525</v>
      </c>
      <c r="C859" s="779" t="s">
        <v>670</v>
      </c>
      <c r="D859" s="795">
        <v>1</v>
      </c>
      <c r="E859" s="791">
        <v>200</v>
      </c>
      <c r="F859" s="824">
        <f>D859*E859</f>
        <v>200</v>
      </c>
    </row>
    <row r="860" spans="1:6" s="775" customFormat="1">
      <c r="A860" s="778"/>
      <c r="B860" s="835"/>
      <c r="C860" s="779"/>
      <c r="D860" s="795"/>
      <c r="E860" s="791"/>
      <c r="F860" s="824"/>
    </row>
    <row r="861" spans="1:6" s="775" customFormat="1" ht="82.8">
      <c r="A861" s="778" t="s">
        <v>4739</v>
      </c>
      <c r="B861" s="835" t="s">
        <v>4803</v>
      </c>
      <c r="C861" s="779" t="s">
        <v>670</v>
      </c>
      <c r="D861" s="795">
        <v>1</v>
      </c>
      <c r="E861" s="791">
        <v>500</v>
      </c>
      <c r="F861" s="824">
        <f>D861*E861</f>
        <v>500</v>
      </c>
    </row>
    <row r="862" spans="1:6" s="775" customFormat="1">
      <c r="A862" s="778"/>
      <c r="B862" s="913"/>
      <c r="C862" s="779"/>
      <c r="D862" s="791"/>
      <c r="E862" s="790"/>
      <c r="F862" s="824"/>
    </row>
    <row r="863" spans="1:6" s="775" customFormat="1" ht="27.6">
      <c r="A863" s="811" t="s">
        <v>11</v>
      </c>
      <c r="B863" s="842" t="s">
        <v>4684</v>
      </c>
      <c r="C863" s="812"/>
      <c r="D863" s="813"/>
      <c r="E863" s="813"/>
      <c r="F863" s="823">
        <f>SUM(F765:F862)</f>
        <v>35935</v>
      </c>
    </row>
    <row r="864" spans="1:6" s="775" customFormat="1">
      <c r="A864" s="778"/>
      <c r="B864" s="844"/>
      <c r="C864" s="779"/>
      <c r="D864" s="790"/>
      <c r="E864" s="790"/>
      <c r="F864" s="863"/>
    </row>
    <row r="865" spans="1:6" s="775" customFormat="1">
      <c r="A865" s="778"/>
      <c r="B865" s="844"/>
      <c r="C865" s="779"/>
      <c r="D865" s="790"/>
      <c r="E865" s="790"/>
      <c r="F865" s="824"/>
    </row>
    <row r="866" spans="1:6" s="775" customFormat="1">
      <c r="A866" s="912" t="s">
        <v>12</v>
      </c>
      <c r="B866" s="839" t="s">
        <v>4634</v>
      </c>
      <c r="C866" s="815"/>
      <c r="D866" s="809"/>
      <c r="E866" s="816"/>
      <c r="F866" s="830"/>
    </row>
    <row r="867" spans="1:6" s="775" customFormat="1">
      <c r="A867" s="778"/>
      <c r="B867" s="844"/>
      <c r="C867" s="779"/>
      <c r="D867" s="790"/>
      <c r="E867" s="790"/>
      <c r="F867" s="824"/>
    </row>
    <row r="868" spans="1:6" s="775" customFormat="1">
      <c r="A868" s="778" t="s">
        <v>1088</v>
      </c>
      <c r="B868" s="835" t="s">
        <v>4635</v>
      </c>
      <c r="C868" s="779"/>
      <c r="D868" s="795"/>
      <c r="E868" s="790"/>
      <c r="F868" s="824"/>
    </row>
    <row r="869" spans="1:6" s="775" customFormat="1" ht="69">
      <c r="A869" s="778"/>
      <c r="B869" s="835" t="s">
        <v>5456</v>
      </c>
      <c r="C869" s="779"/>
      <c r="D869" s="795"/>
      <c r="E869" s="791"/>
      <c r="F869" s="824"/>
    </row>
    <row r="870" spans="1:6" s="775" customFormat="1" ht="69">
      <c r="A870" s="778"/>
      <c r="B870" s="835" t="s">
        <v>5457</v>
      </c>
      <c r="C870" s="779"/>
      <c r="D870" s="795"/>
      <c r="E870" s="791"/>
      <c r="F870" s="824"/>
    </row>
    <row r="871" spans="1:6" s="775" customFormat="1" ht="69">
      <c r="A871" s="778"/>
      <c r="B871" s="835" t="s">
        <v>5458</v>
      </c>
      <c r="C871" s="779"/>
      <c r="D871" s="795"/>
      <c r="E871" s="791"/>
      <c r="F871" s="824"/>
    </row>
    <row r="872" spans="1:6" s="775" customFormat="1" ht="69">
      <c r="A872" s="778"/>
      <c r="B872" s="835" t="s">
        <v>5459</v>
      </c>
      <c r="C872" s="779"/>
      <c r="D872" s="795"/>
      <c r="E872" s="791"/>
      <c r="F872" s="824"/>
    </row>
    <row r="873" spans="1:6" s="775" customFormat="1" ht="69">
      <c r="A873" s="778"/>
      <c r="B873" s="835" t="s">
        <v>5460</v>
      </c>
      <c r="C873" s="779"/>
      <c r="D873" s="795"/>
      <c r="E873" s="791"/>
      <c r="F873" s="824"/>
    </row>
    <row r="874" spans="1:6" s="775" customFormat="1" ht="69">
      <c r="A874" s="778"/>
      <c r="B874" s="835" t="s">
        <v>5461</v>
      </c>
      <c r="C874" s="779"/>
      <c r="D874" s="795"/>
      <c r="E874" s="791"/>
      <c r="F874" s="824"/>
    </row>
    <row r="875" spans="1:6" s="775" customFormat="1" ht="69">
      <c r="A875" s="778"/>
      <c r="B875" s="841" t="s">
        <v>5462</v>
      </c>
      <c r="C875" s="779"/>
      <c r="D875" s="795"/>
      <c r="E875" s="791"/>
      <c r="F875" s="824"/>
    </row>
    <row r="876" spans="1:6" s="775" customFormat="1" ht="69">
      <c r="A876" s="778"/>
      <c r="B876" s="835" t="s">
        <v>5463</v>
      </c>
      <c r="C876" s="779"/>
      <c r="D876" s="795"/>
      <c r="E876" s="791"/>
      <c r="F876" s="824"/>
    </row>
    <row r="877" spans="1:6" s="775" customFormat="1" ht="69">
      <c r="A877" s="778"/>
      <c r="B877" s="914" t="s">
        <v>5464</v>
      </c>
      <c r="C877" s="817"/>
      <c r="D877" s="818"/>
      <c r="E877" s="791"/>
      <c r="F877" s="824"/>
    </row>
    <row r="878" spans="1:6" s="775" customFormat="1" ht="14.4">
      <c r="A878" s="778"/>
      <c r="B878" s="847"/>
      <c r="C878" s="779" t="s">
        <v>670</v>
      </c>
      <c r="D878" s="795">
        <v>1</v>
      </c>
      <c r="E878" s="791">
        <v>500</v>
      </c>
      <c r="F878" s="824">
        <f>D878*E878</f>
        <v>500</v>
      </c>
    </row>
    <row r="879" spans="1:6" s="775" customFormat="1" ht="14.4">
      <c r="A879" s="778"/>
      <c r="B879" s="847"/>
      <c r="C879" s="779"/>
      <c r="D879" s="795"/>
      <c r="E879" s="791"/>
      <c r="F879" s="824"/>
    </row>
    <row r="880" spans="1:6" s="775" customFormat="1">
      <c r="A880" s="778"/>
      <c r="B880" s="835"/>
      <c r="C880" s="779"/>
      <c r="D880" s="795"/>
      <c r="E880" s="790"/>
      <c r="F880" s="824"/>
    </row>
    <row r="881" spans="1:6" s="775" customFormat="1">
      <c r="A881" s="778" t="s">
        <v>1089</v>
      </c>
      <c r="B881" s="835" t="s">
        <v>4636</v>
      </c>
      <c r="C881" s="779"/>
      <c r="D881" s="795"/>
      <c r="E881" s="790"/>
      <c r="F881" s="824"/>
    </row>
    <row r="882" spans="1:6" s="775" customFormat="1" ht="69">
      <c r="A882" s="778"/>
      <c r="B882" s="835" t="s">
        <v>5465</v>
      </c>
      <c r="C882" s="779"/>
      <c r="D882" s="795"/>
      <c r="E882" s="790"/>
      <c r="F882" s="824"/>
    </row>
    <row r="883" spans="1:6" s="775" customFormat="1" ht="69">
      <c r="A883" s="778"/>
      <c r="B883" s="835" t="s">
        <v>5460</v>
      </c>
      <c r="C883" s="779"/>
      <c r="D883" s="795"/>
      <c r="E883" s="790"/>
      <c r="F883" s="824"/>
    </row>
    <row r="884" spans="1:6" s="775" customFormat="1" ht="82.8">
      <c r="A884" s="778"/>
      <c r="B884" s="835" t="s">
        <v>5466</v>
      </c>
      <c r="C884" s="779"/>
      <c r="D884" s="795"/>
      <c r="E884" s="790"/>
      <c r="F884" s="824"/>
    </row>
    <row r="885" spans="1:6" s="775" customFormat="1" ht="69">
      <c r="A885" s="778"/>
      <c r="B885" s="835" t="s">
        <v>5467</v>
      </c>
      <c r="C885" s="779"/>
      <c r="D885" s="795"/>
      <c r="E885" s="790"/>
      <c r="F885" s="824"/>
    </row>
    <row r="886" spans="1:6" s="775" customFormat="1" ht="69">
      <c r="A886" s="778"/>
      <c r="B886" s="914" t="s">
        <v>5468</v>
      </c>
      <c r="C886" s="817"/>
      <c r="D886" s="818"/>
      <c r="E886" s="790"/>
      <c r="F886" s="824"/>
    </row>
    <row r="887" spans="1:6" s="775" customFormat="1">
      <c r="A887" s="778"/>
      <c r="B887" s="835"/>
      <c r="C887" s="779" t="s">
        <v>670</v>
      </c>
      <c r="D887" s="795">
        <v>1</v>
      </c>
      <c r="E887" s="791">
        <v>500</v>
      </c>
      <c r="F887" s="824">
        <f>D887*E887</f>
        <v>500</v>
      </c>
    </row>
    <row r="888" spans="1:6" s="775" customFormat="1">
      <c r="A888" s="778"/>
      <c r="B888" s="835"/>
      <c r="C888" s="779"/>
      <c r="D888" s="795"/>
      <c r="E888" s="791"/>
      <c r="F888" s="824"/>
    </row>
    <row r="889" spans="1:6" s="775" customFormat="1">
      <c r="A889" s="778"/>
      <c r="B889" s="835"/>
      <c r="C889" s="779"/>
      <c r="D889" s="795"/>
      <c r="E889" s="790"/>
      <c r="F889" s="824"/>
    </row>
    <row r="890" spans="1:6" s="775" customFormat="1">
      <c r="A890" s="778" t="s">
        <v>1090</v>
      </c>
      <c r="B890" s="835" t="s">
        <v>4637</v>
      </c>
      <c r="C890" s="779"/>
      <c r="D890" s="795"/>
      <c r="E890" s="790"/>
      <c r="F890" s="824"/>
    </row>
    <row r="891" spans="1:6" s="775" customFormat="1" ht="69">
      <c r="A891" s="778"/>
      <c r="B891" s="835" t="s">
        <v>5459</v>
      </c>
      <c r="C891" s="779"/>
      <c r="D891" s="795"/>
      <c r="E891" s="790"/>
      <c r="F891" s="824"/>
    </row>
    <row r="892" spans="1:6" s="775" customFormat="1" ht="69">
      <c r="A892" s="778"/>
      <c r="B892" s="835" t="s">
        <v>5470</v>
      </c>
      <c r="C892" s="779"/>
      <c r="D892" s="795"/>
      <c r="E892" s="790"/>
      <c r="F892" s="824"/>
    </row>
    <row r="893" spans="1:6" s="775" customFormat="1" ht="69">
      <c r="A893" s="778"/>
      <c r="B893" s="835" t="s">
        <v>5471</v>
      </c>
      <c r="C893" s="779"/>
      <c r="D893" s="795"/>
      <c r="E893" s="790"/>
      <c r="F893" s="824"/>
    </row>
    <row r="894" spans="1:6" s="775" customFormat="1" ht="96.6">
      <c r="A894" s="778"/>
      <c r="B894" s="835" t="s">
        <v>5469</v>
      </c>
      <c r="C894" s="779"/>
      <c r="D894" s="795"/>
      <c r="E894" s="790"/>
      <c r="F894" s="824"/>
    </row>
    <row r="895" spans="1:6" s="775" customFormat="1" ht="69">
      <c r="A895" s="778"/>
      <c r="B895" s="835" t="s">
        <v>5472</v>
      </c>
      <c r="C895" s="779"/>
      <c r="D895" s="795"/>
      <c r="E895" s="790"/>
      <c r="F895" s="824"/>
    </row>
    <row r="896" spans="1:6" s="775" customFormat="1" ht="69">
      <c r="A896" s="778"/>
      <c r="B896" s="835" t="s">
        <v>5473</v>
      </c>
      <c r="C896" s="779"/>
      <c r="D896" s="795"/>
      <c r="E896" s="790"/>
      <c r="F896" s="824"/>
    </row>
    <row r="897" spans="1:6" s="775" customFormat="1" ht="69">
      <c r="A897" s="778"/>
      <c r="B897" s="835" t="s">
        <v>5474</v>
      </c>
      <c r="C897" s="779"/>
      <c r="D897" s="795"/>
      <c r="E897" s="790"/>
      <c r="F897" s="824"/>
    </row>
    <row r="898" spans="1:6" s="775" customFormat="1" ht="82.8">
      <c r="A898" s="778"/>
      <c r="B898" s="835" t="s">
        <v>5475</v>
      </c>
      <c r="C898" s="779"/>
      <c r="D898" s="795"/>
      <c r="E898" s="790"/>
      <c r="F898" s="824"/>
    </row>
    <row r="899" spans="1:6" s="775" customFormat="1" ht="82.8">
      <c r="A899" s="778"/>
      <c r="B899" s="914" t="s">
        <v>5476</v>
      </c>
      <c r="C899" s="817"/>
      <c r="D899" s="818"/>
      <c r="E899" s="790"/>
      <c r="F899" s="824"/>
    </row>
    <row r="900" spans="1:6" s="775" customFormat="1">
      <c r="A900" s="778"/>
      <c r="B900" s="835"/>
      <c r="C900" s="779" t="s">
        <v>670</v>
      </c>
      <c r="D900" s="795">
        <v>1</v>
      </c>
      <c r="E900" s="791">
        <v>1500</v>
      </c>
      <c r="F900" s="824">
        <f>D900*E900</f>
        <v>1500</v>
      </c>
    </row>
    <row r="901" spans="1:6" s="775" customFormat="1">
      <c r="A901" s="778"/>
      <c r="B901" s="835"/>
      <c r="C901" s="779"/>
      <c r="D901" s="795"/>
      <c r="E901" s="791"/>
      <c r="F901" s="824"/>
    </row>
    <row r="902" spans="1:6" s="775" customFormat="1">
      <c r="A902" s="778"/>
      <c r="B902" s="835"/>
      <c r="C902" s="779"/>
      <c r="D902" s="795"/>
      <c r="E902" s="790"/>
      <c r="F902" s="824"/>
    </row>
    <row r="903" spans="1:6" s="775" customFormat="1">
      <c r="A903" s="778" t="s">
        <v>1091</v>
      </c>
      <c r="B903" s="835" t="s">
        <v>4638</v>
      </c>
      <c r="C903" s="779"/>
      <c r="D903" s="795"/>
      <c r="E903" s="790"/>
      <c r="F903" s="824"/>
    </row>
    <row r="904" spans="1:6" s="775" customFormat="1" ht="69">
      <c r="A904" s="778"/>
      <c r="B904" s="835" t="s">
        <v>5459</v>
      </c>
      <c r="C904" s="779"/>
      <c r="D904" s="795"/>
      <c r="E904" s="790"/>
      <c r="F904" s="824"/>
    </row>
    <row r="905" spans="1:6" s="775" customFormat="1" ht="69">
      <c r="A905" s="778"/>
      <c r="B905" s="835" t="s">
        <v>5470</v>
      </c>
      <c r="C905" s="779"/>
      <c r="D905" s="795"/>
      <c r="E905" s="790"/>
      <c r="F905" s="824"/>
    </row>
    <row r="906" spans="1:6" s="775" customFormat="1" ht="69">
      <c r="A906" s="778"/>
      <c r="B906" s="835" t="s">
        <v>5471</v>
      </c>
      <c r="C906" s="779"/>
      <c r="D906" s="795"/>
      <c r="E906" s="790"/>
      <c r="F906" s="824"/>
    </row>
    <row r="907" spans="1:6" s="775" customFormat="1" ht="69">
      <c r="A907" s="778"/>
      <c r="B907" s="835" t="s">
        <v>5478</v>
      </c>
      <c r="C907" s="779"/>
      <c r="D907" s="795"/>
      <c r="E907" s="790"/>
      <c r="F907" s="824"/>
    </row>
    <row r="908" spans="1:6" s="775" customFormat="1" ht="69">
      <c r="A908" s="778"/>
      <c r="B908" s="914" t="s">
        <v>5477</v>
      </c>
      <c r="C908" s="817"/>
      <c r="D908" s="818"/>
      <c r="E908" s="790"/>
      <c r="F908" s="824"/>
    </row>
    <row r="909" spans="1:6" s="775" customFormat="1">
      <c r="A909" s="778"/>
      <c r="B909" s="835"/>
      <c r="C909" s="779" t="s">
        <v>670</v>
      </c>
      <c r="D909" s="795">
        <v>1</v>
      </c>
      <c r="E909" s="791">
        <v>500</v>
      </c>
      <c r="F909" s="824">
        <f>D909*E909</f>
        <v>500</v>
      </c>
    </row>
    <row r="910" spans="1:6" s="775" customFormat="1">
      <c r="A910" s="778"/>
      <c r="B910" s="835"/>
      <c r="C910" s="779"/>
      <c r="D910" s="795"/>
      <c r="E910" s="791"/>
      <c r="F910" s="824"/>
    </row>
    <row r="911" spans="1:6" s="775" customFormat="1">
      <c r="A911" s="778"/>
      <c r="B911" s="835"/>
      <c r="C911" s="779"/>
      <c r="D911" s="795"/>
      <c r="E911" s="790"/>
      <c r="F911" s="824"/>
    </row>
    <row r="912" spans="1:6" s="775" customFormat="1" ht="27.6">
      <c r="A912" s="778" t="s">
        <v>1092</v>
      </c>
      <c r="B912" s="835" t="s">
        <v>4639</v>
      </c>
      <c r="C912" s="779"/>
      <c r="D912" s="795"/>
      <c r="E912" s="790"/>
      <c r="F912" s="824"/>
    </row>
    <row r="913" spans="1:6" s="775" customFormat="1" ht="124.2">
      <c r="A913" s="778"/>
      <c r="B913" s="835" t="s">
        <v>5479</v>
      </c>
      <c r="C913" s="779"/>
      <c r="D913" s="795"/>
      <c r="E913" s="790"/>
      <c r="F913" s="824"/>
    </row>
    <row r="914" spans="1:6" s="775" customFormat="1" ht="96.6">
      <c r="A914" s="778"/>
      <c r="B914" s="835" t="s">
        <v>5480</v>
      </c>
      <c r="C914" s="779"/>
      <c r="D914" s="795"/>
      <c r="E914" s="790"/>
      <c r="F914" s="824"/>
    </row>
    <row r="915" spans="1:6" s="775" customFormat="1" ht="69">
      <c r="A915" s="778"/>
      <c r="B915" s="914" t="s">
        <v>5481</v>
      </c>
      <c r="C915" s="817"/>
      <c r="D915" s="818"/>
      <c r="E915" s="790"/>
      <c r="F915" s="824"/>
    </row>
    <row r="916" spans="1:6" s="775" customFormat="1">
      <c r="A916" s="778"/>
      <c r="B916" s="835"/>
      <c r="C916" s="779" t="s">
        <v>670</v>
      </c>
      <c r="D916" s="795">
        <v>1</v>
      </c>
      <c r="E916" s="791">
        <v>500</v>
      </c>
      <c r="F916" s="824">
        <f>D916*E916</f>
        <v>500</v>
      </c>
    </row>
    <row r="917" spans="1:6" s="775" customFormat="1">
      <c r="A917" s="778"/>
      <c r="B917" s="835"/>
      <c r="C917" s="779"/>
      <c r="D917" s="795"/>
      <c r="E917" s="791"/>
      <c r="F917" s="824"/>
    </row>
    <row r="918" spans="1:6" s="775" customFormat="1">
      <c r="A918" s="778"/>
      <c r="B918" s="835"/>
      <c r="C918" s="779"/>
      <c r="D918" s="795"/>
      <c r="E918" s="790"/>
      <c r="F918" s="824"/>
    </row>
    <row r="919" spans="1:6" s="775" customFormat="1">
      <c r="A919" s="778" t="s">
        <v>3610</v>
      </c>
      <c r="B919" s="835" t="s">
        <v>4640</v>
      </c>
      <c r="C919" s="779"/>
      <c r="D919" s="795"/>
      <c r="E919" s="790"/>
      <c r="F919" s="824"/>
    </row>
    <row r="920" spans="1:6" s="775" customFormat="1" ht="96.6">
      <c r="A920" s="778"/>
      <c r="B920" s="835" t="s">
        <v>5455</v>
      </c>
      <c r="C920" s="779"/>
      <c r="D920" s="795"/>
      <c r="E920" s="790"/>
      <c r="F920" s="824"/>
    </row>
    <row r="921" spans="1:6" s="775" customFormat="1" ht="82.8">
      <c r="A921" s="778"/>
      <c r="B921" s="835" t="s">
        <v>5482</v>
      </c>
      <c r="C921" s="779"/>
      <c r="D921" s="795"/>
      <c r="E921" s="790"/>
      <c r="F921" s="824"/>
    </row>
    <row r="922" spans="1:6" s="775" customFormat="1" ht="82.8">
      <c r="A922" s="778"/>
      <c r="B922" s="835" t="s">
        <v>5483</v>
      </c>
      <c r="C922" s="779"/>
      <c r="D922" s="795"/>
      <c r="E922" s="790"/>
      <c r="F922" s="824"/>
    </row>
    <row r="923" spans="1:6" s="775" customFormat="1" ht="69">
      <c r="A923" s="778"/>
      <c r="B923" s="835" t="s">
        <v>5484</v>
      </c>
      <c r="C923" s="779"/>
      <c r="D923" s="795"/>
      <c r="E923" s="790"/>
      <c r="F923" s="824"/>
    </row>
    <row r="924" spans="1:6" s="775" customFormat="1" ht="69">
      <c r="A924" s="778"/>
      <c r="B924" s="835" t="s">
        <v>5485</v>
      </c>
      <c r="C924" s="779"/>
      <c r="D924" s="795"/>
      <c r="E924" s="790"/>
      <c r="F924" s="824"/>
    </row>
    <row r="925" spans="1:6" s="775" customFormat="1" ht="82.8">
      <c r="A925" s="778"/>
      <c r="B925" s="835" t="s">
        <v>5486</v>
      </c>
      <c r="C925" s="779"/>
      <c r="D925" s="795"/>
      <c r="E925" s="790"/>
      <c r="F925" s="824"/>
    </row>
    <row r="926" spans="1:6" s="775" customFormat="1" ht="69">
      <c r="A926" s="778"/>
      <c r="B926" s="835" t="s">
        <v>5487</v>
      </c>
      <c r="C926" s="779"/>
      <c r="D926" s="795"/>
      <c r="E926" s="790"/>
      <c r="F926" s="824"/>
    </row>
    <row r="927" spans="1:6" s="775" customFormat="1" ht="69">
      <c r="A927" s="778"/>
      <c r="B927" s="914" t="s">
        <v>5488</v>
      </c>
      <c r="C927" s="817"/>
      <c r="D927" s="818"/>
      <c r="E927" s="790"/>
      <c r="F927" s="824"/>
    </row>
    <row r="928" spans="1:6" s="775" customFormat="1">
      <c r="A928" s="778"/>
      <c r="B928" s="835"/>
      <c r="C928" s="779" t="s">
        <v>670</v>
      </c>
      <c r="D928" s="795">
        <v>1</v>
      </c>
      <c r="E928" s="791">
        <v>2500</v>
      </c>
      <c r="F928" s="824">
        <f>D928*E928</f>
        <v>2500</v>
      </c>
    </row>
    <row r="929" spans="1:6" s="775" customFormat="1">
      <c r="A929" s="778"/>
      <c r="B929" s="835"/>
      <c r="C929" s="779"/>
      <c r="D929" s="795"/>
      <c r="E929" s="791"/>
      <c r="F929" s="824"/>
    </row>
    <row r="930" spans="1:6" s="775" customFormat="1">
      <c r="A930" s="778"/>
      <c r="B930" s="835"/>
      <c r="C930" s="779"/>
      <c r="D930" s="795"/>
      <c r="E930" s="790"/>
      <c r="F930" s="824"/>
    </row>
    <row r="931" spans="1:6" s="775" customFormat="1">
      <c r="A931" s="778" t="s">
        <v>3611</v>
      </c>
      <c r="B931" s="835" t="s">
        <v>4641</v>
      </c>
      <c r="C931" s="779"/>
      <c r="D931" s="795"/>
      <c r="E931" s="790"/>
      <c r="F931" s="824"/>
    </row>
    <row r="932" spans="1:6" s="775" customFormat="1" ht="69">
      <c r="A932" s="778"/>
      <c r="B932" s="835" t="s">
        <v>5489</v>
      </c>
      <c r="C932" s="779"/>
      <c r="D932" s="795"/>
      <c r="E932" s="790"/>
      <c r="F932" s="824"/>
    </row>
    <row r="933" spans="1:6" s="775" customFormat="1" ht="69">
      <c r="A933" s="778"/>
      <c r="B933" s="835" t="s">
        <v>5490</v>
      </c>
      <c r="C933" s="779"/>
      <c r="D933" s="795"/>
      <c r="E933" s="790"/>
      <c r="F933" s="824"/>
    </row>
    <row r="934" spans="1:6" s="775" customFormat="1" ht="82.8">
      <c r="A934" s="778"/>
      <c r="B934" s="914" t="s">
        <v>5491</v>
      </c>
      <c r="C934" s="817"/>
      <c r="D934" s="818"/>
      <c r="E934" s="790"/>
      <c r="F934" s="824"/>
    </row>
    <row r="935" spans="1:6" s="775" customFormat="1">
      <c r="A935" s="778"/>
      <c r="B935" s="835"/>
      <c r="C935" s="779" t="s">
        <v>670</v>
      </c>
      <c r="D935" s="795">
        <v>1</v>
      </c>
      <c r="E935" s="791">
        <v>1000</v>
      </c>
      <c r="F935" s="824">
        <f>D935*E935</f>
        <v>1000</v>
      </c>
    </row>
    <row r="936" spans="1:6" s="775" customFormat="1">
      <c r="A936" s="778"/>
      <c r="B936" s="835"/>
      <c r="C936" s="779"/>
      <c r="D936" s="795"/>
      <c r="E936" s="791"/>
      <c r="F936" s="824"/>
    </row>
    <row r="937" spans="1:6" s="775" customFormat="1">
      <c r="A937" s="778"/>
      <c r="B937" s="835"/>
      <c r="C937" s="779"/>
      <c r="D937" s="795"/>
      <c r="E937" s="790"/>
      <c r="F937" s="824"/>
    </row>
    <row r="938" spans="1:6" s="775" customFormat="1">
      <c r="A938" s="778" t="s">
        <v>4740</v>
      </c>
      <c r="B938" s="835" t="s">
        <v>4642</v>
      </c>
      <c r="C938" s="779"/>
      <c r="D938" s="795"/>
      <c r="E938" s="790"/>
      <c r="F938" s="824"/>
    </row>
    <row r="939" spans="1:6" s="775" customFormat="1" ht="165.6">
      <c r="A939" s="778"/>
      <c r="B939" s="835" t="s">
        <v>5492</v>
      </c>
      <c r="C939" s="779" t="s">
        <v>670</v>
      </c>
      <c r="D939" s="795">
        <v>1</v>
      </c>
      <c r="E939" s="791">
        <v>500</v>
      </c>
      <c r="F939" s="824">
        <f>D939*E939</f>
        <v>500</v>
      </c>
    </row>
    <row r="940" spans="1:6" s="775" customFormat="1">
      <c r="A940" s="778"/>
      <c r="B940" s="835"/>
      <c r="C940" s="779"/>
      <c r="D940" s="795"/>
      <c r="E940" s="791"/>
      <c r="F940" s="824"/>
    </row>
    <row r="941" spans="1:6" s="775" customFormat="1">
      <c r="A941" s="778"/>
      <c r="B941" s="835"/>
      <c r="C941" s="779"/>
      <c r="D941" s="795"/>
      <c r="E941" s="790"/>
      <c r="F941" s="824"/>
    </row>
    <row r="942" spans="1:6" s="775" customFormat="1">
      <c r="A942" s="778" t="s">
        <v>4741</v>
      </c>
      <c r="B942" s="835" t="s">
        <v>5153</v>
      </c>
      <c r="C942" s="779"/>
      <c r="D942" s="795"/>
      <c r="E942" s="790"/>
      <c r="F942" s="824"/>
    </row>
    <row r="943" spans="1:6" s="775" customFormat="1" ht="248.4">
      <c r="A943" s="778"/>
      <c r="B943" s="835" t="s">
        <v>5495</v>
      </c>
      <c r="C943" s="779"/>
      <c r="D943" s="795"/>
      <c r="E943" s="790"/>
      <c r="F943" s="824"/>
    </row>
    <row r="944" spans="1:6" s="775" customFormat="1" ht="124.2">
      <c r="A944" s="778"/>
      <c r="B944" s="835" t="s">
        <v>5494</v>
      </c>
      <c r="C944" s="779"/>
      <c r="D944" s="795"/>
      <c r="E944" s="790"/>
      <c r="F944" s="824"/>
    </row>
    <row r="945" spans="1:6" s="775" customFormat="1" ht="41.4">
      <c r="A945" s="778"/>
      <c r="B945" s="914" t="s">
        <v>5493</v>
      </c>
      <c r="C945" s="817"/>
      <c r="D945" s="818"/>
      <c r="E945" s="790"/>
      <c r="F945" s="824"/>
    </row>
    <row r="946" spans="1:6" s="775" customFormat="1">
      <c r="A946" s="778"/>
      <c r="B946" s="835"/>
      <c r="C946" s="779" t="s">
        <v>670</v>
      </c>
      <c r="D946" s="795">
        <v>1</v>
      </c>
      <c r="E946" s="791">
        <v>3500</v>
      </c>
      <c r="F946" s="824">
        <f>D946*E946</f>
        <v>3500</v>
      </c>
    </row>
    <row r="947" spans="1:6" s="775" customFormat="1">
      <c r="A947" s="778"/>
      <c r="B947" s="835"/>
      <c r="C947" s="779"/>
      <c r="D947" s="795"/>
      <c r="E947" s="791"/>
      <c r="F947" s="824"/>
    </row>
    <row r="948" spans="1:6" s="775" customFormat="1">
      <c r="A948" s="778"/>
      <c r="B948" s="835"/>
      <c r="C948" s="779"/>
      <c r="D948" s="795"/>
      <c r="E948" s="790"/>
      <c r="F948" s="824"/>
    </row>
    <row r="949" spans="1:6" s="775" customFormat="1" ht="55.2">
      <c r="A949" s="778" t="s">
        <v>2400</v>
      </c>
      <c r="B949" s="835" t="s">
        <v>4643</v>
      </c>
      <c r="C949" s="779" t="s">
        <v>670</v>
      </c>
      <c r="D949" s="795">
        <v>1</v>
      </c>
      <c r="E949" s="791">
        <v>1500</v>
      </c>
      <c r="F949" s="824">
        <f>D949*E949</f>
        <v>1500</v>
      </c>
    </row>
    <row r="950" spans="1:6" s="775" customFormat="1">
      <c r="A950" s="778"/>
      <c r="B950" s="835"/>
      <c r="C950" s="779"/>
      <c r="D950" s="795"/>
      <c r="E950" s="790"/>
      <c r="F950" s="824"/>
    </row>
    <row r="951" spans="1:6" s="775" customFormat="1" ht="96.6">
      <c r="A951" s="778" t="s">
        <v>2403</v>
      </c>
      <c r="B951" s="835" t="s">
        <v>4644</v>
      </c>
      <c r="C951" s="779" t="s">
        <v>670</v>
      </c>
      <c r="D951" s="795">
        <v>1</v>
      </c>
      <c r="E951" s="791">
        <v>2500</v>
      </c>
      <c r="F951" s="824">
        <f>D951*E951</f>
        <v>2500</v>
      </c>
    </row>
    <row r="952" spans="1:6" s="775" customFormat="1">
      <c r="A952" s="778"/>
      <c r="B952" s="835"/>
      <c r="C952" s="779"/>
      <c r="D952" s="795"/>
      <c r="E952" s="790"/>
      <c r="F952" s="824"/>
    </row>
    <row r="953" spans="1:6" s="775" customFormat="1">
      <c r="A953" s="778" t="s">
        <v>2404</v>
      </c>
      <c r="B953" s="835" t="s">
        <v>4645</v>
      </c>
      <c r="C953" s="779"/>
      <c r="D953" s="795"/>
      <c r="E953" s="790"/>
      <c r="F953" s="824"/>
    </row>
    <row r="954" spans="1:6" s="775" customFormat="1">
      <c r="A954" s="778"/>
      <c r="B954" s="835" t="s">
        <v>2409</v>
      </c>
      <c r="C954" s="779"/>
      <c r="D954" s="795"/>
      <c r="E954" s="790"/>
      <c r="F954" s="824"/>
    </row>
    <row r="955" spans="1:6" s="775" customFormat="1">
      <c r="A955" s="778"/>
      <c r="B955" s="835" t="s">
        <v>2410</v>
      </c>
      <c r="C955" s="779"/>
      <c r="D955" s="795"/>
      <c r="E955" s="790"/>
      <c r="F955" s="824"/>
    </row>
    <row r="956" spans="1:6" s="775" customFormat="1">
      <c r="A956" s="778"/>
      <c r="B956" s="835" t="s">
        <v>2411</v>
      </c>
      <c r="C956" s="779"/>
      <c r="D956" s="795"/>
      <c r="E956" s="790"/>
      <c r="F956" s="824"/>
    </row>
    <row r="957" spans="1:6" s="775" customFormat="1">
      <c r="A957" s="778"/>
      <c r="B957" s="835" t="s">
        <v>2412</v>
      </c>
      <c r="C957" s="779"/>
      <c r="D957" s="795"/>
      <c r="E957" s="790"/>
      <c r="F957" s="824"/>
    </row>
    <row r="958" spans="1:6" s="775" customFormat="1">
      <c r="A958" s="778"/>
      <c r="B958" s="835" t="s">
        <v>2413</v>
      </c>
      <c r="C958" s="779" t="s">
        <v>670</v>
      </c>
      <c r="D958" s="795">
        <v>1</v>
      </c>
      <c r="E958" s="791">
        <v>2500</v>
      </c>
      <c r="F958" s="824">
        <f>D958*E958</f>
        <v>2500</v>
      </c>
    </row>
    <row r="959" spans="1:6" s="775" customFormat="1">
      <c r="A959" s="778"/>
      <c r="B959" s="835"/>
      <c r="C959" s="779"/>
      <c r="D959" s="795"/>
      <c r="E959" s="790"/>
      <c r="F959" s="824"/>
    </row>
    <row r="960" spans="1:6" s="775" customFormat="1" ht="27.6">
      <c r="A960" s="778" t="s">
        <v>2405</v>
      </c>
      <c r="B960" s="835" t="s">
        <v>4646</v>
      </c>
      <c r="C960" s="779"/>
      <c r="D960" s="795"/>
      <c r="E960" s="790"/>
      <c r="F960" s="824"/>
    </row>
    <row r="961" spans="1:6" s="775" customFormat="1">
      <c r="A961" s="778"/>
      <c r="B961" s="835" t="s">
        <v>2414</v>
      </c>
      <c r="C961" s="779"/>
      <c r="D961" s="795"/>
      <c r="E961" s="790"/>
      <c r="F961" s="824"/>
    </row>
    <row r="962" spans="1:6" s="775" customFormat="1">
      <c r="A962" s="778"/>
      <c r="B962" s="835" t="s">
        <v>2411</v>
      </c>
      <c r="C962" s="779"/>
      <c r="D962" s="795"/>
      <c r="E962" s="790"/>
      <c r="F962" s="824"/>
    </row>
    <row r="963" spans="1:6" s="775" customFormat="1" ht="27.6">
      <c r="A963" s="778"/>
      <c r="B963" s="835" t="s">
        <v>2416</v>
      </c>
      <c r="C963" s="779"/>
      <c r="D963" s="795"/>
      <c r="E963" s="790"/>
      <c r="F963" s="824"/>
    </row>
    <row r="964" spans="1:6" s="775" customFormat="1" ht="27.6">
      <c r="A964" s="778"/>
      <c r="B964" s="835" t="s">
        <v>2415</v>
      </c>
      <c r="C964" s="779"/>
      <c r="D964" s="795"/>
      <c r="E964" s="790"/>
      <c r="F964" s="824"/>
    </row>
    <row r="965" spans="1:6" s="775" customFormat="1" ht="27.6">
      <c r="A965" s="778"/>
      <c r="B965" s="835" t="s">
        <v>4647</v>
      </c>
      <c r="C965" s="779"/>
      <c r="D965" s="795"/>
      <c r="E965" s="790"/>
      <c r="F965" s="824"/>
    </row>
    <row r="966" spans="1:6" s="775" customFormat="1">
      <c r="A966" s="778"/>
      <c r="B966" s="835" t="s">
        <v>4648</v>
      </c>
      <c r="C966" s="779"/>
      <c r="D966" s="795"/>
      <c r="E966" s="790"/>
      <c r="F966" s="824"/>
    </row>
    <row r="967" spans="1:6" s="775" customFormat="1">
      <c r="A967" s="778"/>
      <c r="B967" s="835" t="s">
        <v>2412</v>
      </c>
      <c r="C967" s="779"/>
      <c r="D967" s="795"/>
      <c r="E967" s="790"/>
      <c r="F967" s="824"/>
    </row>
    <row r="968" spans="1:6" s="775" customFormat="1">
      <c r="A968" s="778"/>
      <c r="B968" s="835" t="s">
        <v>4649</v>
      </c>
      <c r="C968" s="779"/>
      <c r="D968" s="795"/>
      <c r="E968" s="790"/>
      <c r="F968" s="824"/>
    </row>
    <row r="969" spans="1:6" s="775" customFormat="1">
      <c r="A969" s="778"/>
      <c r="B969" s="835" t="s">
        <v>2413</v>
      </c>
      <c r="C969" s="779" t="s">
        <v>670</v>
      </c>
      <c r="D969" s="795">
        <v>1</v>
      </c>
      <c r="E969" s="791">
        <v>2500</v>
      </c>
      <c r="F969" s="824">
        <f>D969*E969</f>
        <v>2500</v>
      </c>
    </row>
    <row r="970" spans="1:6" s="775" customFormat="1">
      <c r="A970" s="778"/>
      <c r="B970" s="835"/>
      <c r="C970" s="779"/>
      <c r="D970" s="795"/>
      <c r="E970" s="790"/>
      <c r="F970" s="824"/>
    </row>
    <row r="971" spans="1:6" s="775" customFormat="1" ht="96.6">
      <c r="A971" s="778" t="s">
        <v>2406</v>
      </c>
      <c r="B971" s="835" t="s">
        <v>4650</v>
      </c>
      <c r="C971" s="779"/>
      <c r="D971" s="795"/>
      <c r="E971" s="790"/>
      <c r="F971" s="824"/>
    </row>
    <row r="972" spans="1:6" s="775" customFormat="1" ht="27.6">
      <c r="A972" s="778"/>
      <c r="B972" s="835" t="s">
        <v>2417</v>
      </c>
      <c r="C972" s="779"/>
      <c r="D972" s="795"/>
      <c r="E972" s="790"/>
      <c r="F972" s="824"/>
    </row>
    <row r="973" spans="1:6" s="775" customFormat="1">
      <c r="A973" s="778"/>
      <c r="B973" s="835" t="s">
        <v>2418</v>
      </c>
      <c r="C973" s="779"/>
      <c r="D973" s="795"/>
      <c r="E973" s="790"/>
      <c r="F973" s="824"/>
    </row>
    <row r="974" spans="1:6" s="775" customFormat="1">
      <c r="A974" s="778"/>
      <c r="B974" s="835" t="s">
        <v>2419</v>
      </c>
      <c r="C974" s="779"/>
      <c r="D974" s="795"/>
      <c r="E974" s="790"/>
      <c r="F974" s="824"/>
    </row>
    <row r="975" spans="1:6" s="775" customFormat="1">
      <c r="A975" s="778"/>
      <c r="B975" s="835" t="s">
        <v>2420</v>
      </c>
      <c r="C975" s="779"/>
      <c r="D975" s="795"/>
      <c r="E975" s="790"/>
      <c r="F975" s="824"/>
    </row>
    <row r="976" spans="1:6" s="775" customFormat="1">
      <c r="A976" s="778"/>
      <c r="B976" s="835" t="s">
        <v>2421</v>
      </c>
      <c r="C976" s="779"/>
      <c r="D976" s="795"/>
      <c r="E976" s="790"/>
      <c r="F976" s="824"/>
    </row>
    <row r="977" spans="1:6" s="775" customFormat="1">
      <c r="A977" s="778"/>
      <c r="B977" s="835" t="s">
        <v>2422</v>
      </c>
      <c r="C977" s="779"/>
      <c r="D977" s="795"/>
      <c r="E977" s="790"/>
      <c r="F977" s="824"/>
    </row>
    <row r="978" spans="1:6" s="775" customFormat="1">
      <c r="A978" s="778"/>
      <c r="B978" s="835" t="s">
        <v>2412</v>
      </c>
      <c r="C978" s="779"/>
      <c r="D978" s="795"/>
      <c r="E978" s="790"/>
      <c r="F978" s="824"/>
    </row>
    <row r="979" spans="1:6" s="775" customFormat="1">
      <c r="A979" s="778"/>
      <c r="B979" s="835" t="s">
        <v>2413</v>
      </c>
      <c r="C979" s="779" t="s">
        <v>670</v>
      </c>
      <c r="D979" s="795">
        <v>1</v>
      </c>
      <c r="E979" s="791">
        <v>3500</v>
      </c>
      <c r="F979" s="824">
        <f>D979*E979</f>
        <v>3500</v>
      </c>
    </row>
    <row r="980" spans="1:6" s="775" customFormat="1">
      <c r="A980" s="778"/>
      <c r="B980" s="835"/>
      <c r="C980" s="779"/>
      <c r="D980" s="795"/>
      <c r="E980" s="790"/>
      <c r="F980" s="824"/>
    </row>
    <row r="981" spans="1:6" s="775" customFormat="1" ht="96.6">
      <c r="A981" s="778" t="s">
        <v>2407</v>
      </c>
      <c r="B981" s="835" t="s">
        <v>4651</v>
      </c>
      <c r="C981" s="779" t="s">
        <v>670</v>
      </c>
      <c r="D981" s="795">
        <v>1</v>
      </c>
      <c r="E981" s="791">
        <v>5000</v>
      </c>
      <c r="F981" s="824">
        <f>D981*E981</f>
        <v>5000</v>
      </c>
    </row>
    <row r="982" spans="1:6" s="775" customFormat="1" ht="14.4">
      <c r="A982" s="778"/>
      <c r="B982" s="848"/>
      <c r="C982" s="779"/>
      <c r="D982" s="806"/>
      <c r="E982" s="790"/>
      <c r="F982" s="824"/>
    </row>
    <row r="983" spans="1:6" s="775" customFormat="1">
      <c r="A983" s="811" t="s">
        <v>12</v>
      </c>
      <c r="B983" s="842" t="s">
        <v>4685</v>
      </c>
      <c r="C983" s="819"/>
      <c r="D983" s="820"/>
      <c r="E983" s="820"/>
      <c r="F983" s="823">
        <f>SUM(F868:F982)</f>
        <v>28500</v>
      </c>
    </row>
    <row r="984" spans="1:6" s="775" customFormat="1">
      <c r="A984" s="778"/>
      <c r="B984" s="844"/>
      <c r="C984" s="783"/>
      <c r="D984" s="805"/>
      <c r="E984" s="805"/>
      <c r="F984" s="863"/>
    </row>
    <row r="985" spans="1:6" s="775" customFormat="1">
      <c r="A985" s="778"/>
      <c r="B985" s="844"/>
      <c r="C985" s="779"/>
      <c r="D985" s="790"/>
      <c r="E985" s="790"/>
      <c r="F985" s="824"/>
    </row>
    <row r="986" spans="1:6" s="775" customFormat="1">
      <c r="A986" s="912" t="s">
        <v>13</v>
      </c>
      <c r="B986" s="839" t="s">
        <v>2423</v>
      </c>
      <c r="C986" s="815"/>
      <c r="D986" s="809"/>
      <c r="E986" s="816"/>
      <c r="F986" s="830"/>
    </row>
    <row r="987" spans="1:6" s="775" customFormat="1">
      <c r="A987" s="777"/>
      <c r="B987" s="835"/>
      <c r="C987" s="783"/>
      <c r="D987" s="790"/>
      <c r="E987" s="805"/>
      <c r="F987" s="824"/>
    </row>
    <row r="988" spans="1:6" s="775" customFormat="1" ht="41.4">
      <c r="A988" s="778" t="s">
        <v>1093</v>
      </c>
      <c r="B988" s="835" t="s">
        <v>4652</v>
      </c>
      <c r="C988" s="786" t="s">
        <v>670</v>
      </c>
      <c r="D988" s="795">
        <v>1</v>
      </c>
      <c r="E988" s="791">
        <v>1500</v>
      </c>
      <c r="F988" s="824">
        <f>D988*E988</f>
        <v>1500</v>
      </c>
    </row>
    <row r="989" spans="1:6" s="775" customFormat="1">
      <c r="A989" s="778"/>
      <c r="B989" s="835"/>
      <c r="C989" s="786"/>
      <c r="D989" s="795"/>
      <c r="E989" s="805"/>
      <c r="F989" s="824"/>
    </row>
    <row r="990" spans="1:6" s="775" customFormat="1" ht="82.8">
      <c r="A990" s="778" t="s">
        <v>1094</v>
      </c>
      <c r="B990" s="849" t="s">
        <v>4804</v>
      </c>
      <c r="C990" s="787" t="s">
        <v>670</v>
      </c>
      <c r="D990" s="832">
        <v>1</v>
      </c>
      <c r="E990" s="791">
        <v>500</v>
      </c>
      <c r="F990" s="824">
        <f>D990*E990</f>
        <v>500</v>
      </c>
    </row>
    <row r="991" spans="1:6" s="775" customFormat="1">
      <c r="A991" s="778"/>
      <c r="B991" s="835"/>
      <c r="C991" s="786"/>
      <c r="D991" s="795"/>
      <c r="E991" s="805"/>
      <c r="F991" s="824"/>
    </row>
    <row r="992" spans="1:6" s="775" customFormat="1" ht="69">
      <c r="A992" s="778" t="s">
        <v>1095</v>
      </c>
      <c r="B992" s="835" t="s">
        <v>4653</v>
      </c>
      <c r="C992" s="788" t="s">
        <v>670</v>
      </c>
      <c r="D992" s="797">
        <v>1</v>
      </c>
      <c r="E992" s="791">
        <v>1500</v>
      </c>
      <c r="F992" s="824">
        <f>D992*E992</f>
        <v>1500</v>
      </c>
    </row>
    <row r="993" spans="1:6" s="775" customFormat="1">
      <c r="A993" s="778"/>
      <c r="B993" s="835"/>
      <c r="C993" s="788"/>
      <c r="D993" s="797"/>
      <c r="E993" s="805"/>
      <c r="F993" s="824"/>
    </row>
    <row r="994" spans="1:6" s="775" customFormat="1" ht="41.4">
      <c r="A994" s="778" t="s">
        <v>1096</v>
      </c>
      <c r="B994" s="835" t="s">
        <v>4805</v>
      </c>
      <c r="C994" s="783" t="s">
        <v>670</v>
      </c>
      <c r="D994" s="795">
        <v>1</v>
      </c>
      <c r="E994" s="791">
        <v>5900</v>
      </c>
      <c r="F994" s="824">
        <f>D994*E994</f>
        <v>5900</v>
      </c>
    </row>
    <row r="995" spans="1:6" s="775" customFormat="1">
      <c r="A995" s="778"/>
      <c r="B995" s="835"/>
      <c r="C995" s="783"/>
      <c r="D995" s="795"/>
      <c r="E995" s="805"/>
      <c r="F995" s="824"/>
    </row>
    <row r="996" spans="1:6" s="775" customFormat="1" ht="55.2">
      <c r="A996" s="778" t="s">
        <v>1097</v>
      </c>
      <c r="B996" s="835" t="s">
        <v>4806</v>
      </c>
      <c r="C996" s="783" t="s">
        <v>670</v>
      </c>
      <c r="D996" s="795">
        <v>1</v>
      </c>
      <c r="E996" s="791">
        <v>1500</v>
      </c>
      <c r="F996" s="824">
        <f>D996*E996</f>
        <v>1500</v>
      </c>
    </row>
    <row r="997" spans="1:6" s="775" customFormat="1" ht="82.8">
      <c r="A997" s="778"/>
      <c r="B997" s="838" t="s">
        <v>4654</v>
      </c>
      <c r="C997" s="783"/>
      <c r="D997" s="795"/>
      <c r="E997" s="805"/>
      <c r="F997" s="824"/>
    </row>
    <row r="998" spans="1:6" s="775" customFormat="1">
      <c r="A998" s="778"/>
      <c r="B998" s="835"/>
      <c r="C998" s="783"/>
      <c r="D998" s="795"/>
      <c r="E998" s="805"/>
      <c r="F998" s="824"/>
    </row>
    <row r="999" spans="1:6" s="775" customFormat="1" ht="69">
      <c r="A999" s="778" t="s">
        <v>1098</v>
      </c>
      <c r="B999" s="835" t="s">
        <v>4655</v>
      </c>
      <c r="C999" s="783" t="s">
        <v>670</v>
      </c>
      <c r="D999" s="795">
        <v>1</v>
      </c>
      <c r="E999" s="791">
        <v>500</v>
      </c>
      <c r="F999" s="824">
        <f>D999*E999</f>
        <v>500</v>
      </c>
    </row>
    <row r="1000" spans="1:6" s="775" customFormat="1">
      <c r="A1000" s="778"/>
      <c r="B1000" s="844"/>
      <c r="C1000" s="783"/>
      <c r="D1000" s="797"/>
      <c r="E1000" s="805"/>
      <c r="F1000" s="824"/>
    </row>
    <row r="1001" spans="1:6" s="775" customFormat="1" ht="96.6">
      <c r="A1001" s="778" t="s">
        <v>2325</v>
      </c>
      <c r="B1001" s="835" t="s">
        <v>4841</v>
      </c>
      <c r="C1001" s="786" t="s">
        <v>670</v>
      </c>
      <c r="D1001" s="795">
        <v>1</v>
      </c>
      <c r="E1001" s="791">
        <v>2500</v>
      </c>
      <c r="F1001" s="824">
        <f>D1001*E1001</f>
        <v>2500</v>
      </c>
    </row>
    <row r="1002" spans="1:6" s="775" customFormat="1">
      <c r="A1002" s="778"/>
      <c r="B1002" s="835"/>
      <c r="C1002" s="786"/>
      <c r="D1002" s="795"/>
      <c r="E1002" s="805"/>
      <c r="F1002" s="824"/>
    </row>
    <row r="1003" spans="1:6" s="775" customFormat="1" ht="82.8">
      <c r="A1003" s="778" t="s">
        <v>2326</v>
      </c>
      <c r="B1003" s="835" t="s">
        <v>4807</v>
      </c>
      <c r="C1003" s="786" t="s">
        <v>670</v>
      </c>
      <c r="D1003" s="795">
        <v>1</v>
      </c>
      <c r="E1003" s="791">
        <v>500</v>
      </c>
      <c r="F1003" s="824">
        <f>D1003*E1003</f>
        <v>500</v>
      </c>
    </row>
    <row r="1004" spans="1:6" s="775" customFormat="1">
      <c r="A1004" s="778"/>
      <c r="B1004" s="844"/>
      <c r="C1004" s="783"/>
      <c r="D1004" s="805"/>
      <c r="E1004" s="805"/>
      <c r="F1004" s="824"/>
    </row>
    <row r="1005" spans="1:6" s="775" customFormat="1">
      <c r="A1005" s="811" t="s">
        <v>13</v>
      </c>
      <c r="B1005" s="842" t="s">
        <v>2424</v>
      </c>
      <c r="C1005" s="819"/>
      <c r="D1005" s="820"/>
      <c r="E1005" s="820"/>
      <c r="F1005" s="823">
        <f>SUM(F988:F1004)</f>
        <v>14400</v>
      </c>
    </row>
    <row r="1006" spans="1:6" s="775" customFormat="1">
      <c r="A1006" s="778"/>
      <c r="B1006" s="844"/>
      <c r="C1006" s="783"/>
      <c r="D1006" s="805"/>
      <c r="E1006" s="805"/>
      <c r="F1006" s="814"/>
    </row>
    <row r="1007" spans="1:6" s="775" customFormat="1">
      <c r="A1007" s="778"/>
      <c r="B1007" s="844"/>
      <c r="C1007" s="783"/>
      <c r="D1007" s="805"/>
      <c r="E1007" s="805"/>
      <c r="F1007" s="814"/>
    </row>
    <row r="1008" spans="1:6" s="775" customFormat="1">
      <c r="A1008" s="778"/>
      <c r="B1008" s="844"/>
      <c r="C1008" s="779"/>
      <c r="D1008" s="789"/>
      <c r="E1008" s="790"/>
      <c r="F1008" s="814"/>
    </row>
    <row r="1009" spans="1:6" ht="15.6">
      <c r="A1009" s="859" t="s">
        <v>11</v>
      </c>
      <c r="B1009" s="860" t="s">
        <v>889</v>
      </c>
      <c r="C1009" s="861"/>
      <c r="D1009" s="861"/>
      <c r="E1009" s="866"/>
      <c r="F1009" s="861"/>
    </row>
    <row r="1011" spans="1:6">
      <c r="A1011" s="796" t="str">
        <f>A16</f>
        <v>1.</v>
      </c>
      <c r="B1011" s="835" t="str">
        <f>B16</f>
        <v>ENERGETSKO POSTROJENJE</v>
      </c>
      <c r="D1011" s="821"/>
      <c r="E1011" s="821"/>
      <c r="F1011" s="822">
        <f>F402</f>
        <v>164859</v>
      </c>
    </row>
    <row r="1012" spans="1:6">
      <c r="A1012" s="796" t="str">
        <f>A405</f>
        <v>2.</v>
      </c>
      <c r="B1012" s="835" t="str">
        <f>B405</f>
        <v>TEMELJNO GRIJANJE I HLAĐENJE</v>
      </c>
      <c r="D1012" s="821"/>
      <c r="E1012" s="821"/>
      <c r="F1012" s="822">
        <f>F617</f>
        <v>169330.5</v>
      </c>
    </row>
    <row r="1013" spans="1:6">
      <c r="A1013" s="796" t="str">
        <f>A620</f>
        <v>3.</v>
      </c>
      <c r="B1013" s="835" t="str">
        <f>B620</f>
        <v>SUSTAV KOMFORNE VENTILACIJE</v>
      </c>
      <c r="D1013" s="821"/>
      <c r="E1013" s="821"/>
      <c r="F1013" s="822">
        <f>F760</f>
        <v>68170</v>
      </c>
    </row>
    <row r="1014" spans="1:6">
      <c r="A1014" s="796" t="str">
        <f>A763</f>
        <v>4.</v>
      </c>
      <c r="B1014" s="835" t="str">
        <f>B763</f>
        <v>SUSTAVI VENTILACIJE KUHINJE I PRAONICE</v>
      </c>
      <c r="D1014" s="821"/>
      <c r="E1014" s="821"/>
      <c r="F1014" s="822">
        <f>F863</f>
        <v>35935</v>
      </c>
    </row>
    <row r="1015" spans="1:6">
      <c r="A1015" s="796" t="str">
        <f>A866</f>
        <v>5.</v>
      </c>
      <c r="B1015" s="835" t="str">
        <f>B866</f>
        <v>AUTOMATSKA REGULACIJA</v>
      </c>
      <c r="D1015" s="821"/>
      <c r="E1015" s="821"/>
      <c r="F1015" s="822">
        <f>F983</f>
        <v>28500</v>
      </c>
    </row>
    <row r="1016" spans="1:6">
      <c r="A1016" s="796" t="str">
        <f>A986</f>
        <v>6.</v>
      </c>
      <c r="B1016" s="835" t="str">
        <f>B986</f>
        <v>ZAJEDNIČKE STAVKE</v>
      </c>
      <c r="D1016" s="821"/>
      <c r="E1016" s="821"/>
      <c r="F1016" s="822">
        <f>F1005</f>
        <v>14400</v>
      </c>
    </row>
    <row r="1018" spans="1:6" ht="15.6">
      <c r="A1018" s="859" t="s">
        <v>11</v>
      </c>
      <c r="B1018" s="860" t="s">
        <v>2425</v>
      </c>
      <c r="C1018" s="861"/>
      <c r="D1018" s="861"/>
      <c r="E1018" s="867"/>
      <c r="F1018" s="862">
        <f>SUM(F1011:F1016)</f>
        <v>481194.5</v>
      </c>
    </row>
    <row r="1022" spans="1:6" s="752" customFormat="1">
      <c r="A1022" s="777"/>
      <c r="B1022" s="835"/>
      <c r="C1022" s="779"/>
      <c r="D1022" s="789"/>
      <c r="E1022" s="790"/>
      <c r="F1022" s="791"/>
    </row>
    <row r="1023" spans="1:6" s="752" customFormat="1">
      <c r="A1023" s="777"/>
      <c r="B1023" s="835"/>
      <c r="C1023" s="779"/>
      <c r="D1023" s="789"/>
      <c r="E1023" s="790"/>
      <c r="F1023" s="791"/>
    </row>
  </sheetData>
  <sheetProtection selectLockedCells="1" selectUnlockedCells="1"/>
  <mergeCells count="1">
    <mergeCell ref="A1:F1"/>
  </mergeCells>
  <pageMargins left="0.78740157480314965" right="0.39370078740157483" top="0.39370078740157483" bottom="1.1811023622047245" header="0.39370078740157483" footer="0.59055118110236227"/>
  <pageSetup paperSize="9" scale="98" fitToHeight="0" orientation="portrait" useFirstPageNumber="1" r:id="rId1"/>
  <headerFooter alignWithMargins="0">
    <oddFooter>&amp;L&amp;"-,Uobičajeno"&amp;A&amp;C&amp;"-,Uobičajeno"DJEČJI VRTIĆ LEKENIK&amp;R&amp;"-,Uobičajeno"str.: &amp;"-,Podebljano"&amp;P/&amp;N</oddFooter>
  </headerFooter>
  <rowBreaks count="28" manualBreakCount="28">
    <brk id="15" max="5" man="1"/>
    <brk id="141" max="5" man="1"/>
    <brk id="167" max="5" man="1"/>
    <brk id="293" max="5" man="1"/>
    <brk id="316" max="5" man="1"/>
    <brk id="402" max="5" man="1"/>
    <brk id="442" max="5" man="1"/>
    <brk id="479" max="5" man="1"/>
    <brk id="511" max="5" man="1"/>
    <brk id="561" max="5" man="1"/>
    <brk id="576" max="5" man="1"/>
    <brk id="594" max="5" man="1"/>
    <brk id="619" max="5" man="1"/>
    <brk id="663" max="5" man="1"/>
    <brk id="689" max="5" man="1"/>
    <brk id="703" max="5" man="1"/>
    <brk id="716" max="5" man="1"/>
    <brk id="728" max="5" man="1"/>
    <brk id="740" max="5" man="1"/>
    <brk id="760" max="5" man="1"/>
    <brk id="796" max="5" man="1"/>
    <brk id="865" max="5" man="1"/>
    <brk id="880" max="5" man="1"/>
    <brk id="889" max="5" man="1"/>
    <brk id="902" max="5" man="1"/>
    <brk id="911" max="5" man="1"/>
    <brk id="937" max="5" man="1"/>
    <brk id="980" max="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786"/>
  <sheetViews>
    <sheetView view="pageBreakPreview" topLeftCell="A755" zoomScale="85" zoomScaleNormal="100" zoomScaleSheetLayoutView="85" workbookViewId="0">
      <selection activeCell="E770" sqref="E770"/>
    </sheetView>
  </sheetViews>
  <sheetFormatPr defaultColWidth="9.109375" defaultRowHeight="13.8"/>
  <cols>
    <col min="1" max="1" width="6.6640625" style="517" customWidth="1"/>
    <col min="2" max="2" width="40.6640625" style="523" customWidth="1"/>
    <col min="3" max="3" width="5.6640625" style="519" customWidth="1"/>
    <col min="4" max="4" width="10.6640625" style="522" customWidth="1"/>
    <col min="5" max="5" width="12.6640625" style="676" customWidth="1"/>
    <col min="6" max="6" width="16.6640625" style="676" customWidth="1"/>
    <col min="7" max="16384" width="9.109375" style="486"/>
  </cols>
  <sheetData>
    <row r="1" spans="1:10" ht="30" customHeight="1">
      <c r="A1" s="935" t="s">
        <v>2134</v>
      </c>
      <c r="B1" s="936"/>
      <c r="C1" s="936"/>
      <c r="D1" s="936"/>
      <c r="E1" s="936"/>
      <c r="F1" s="936"/>
    </row>
    <row r="2" spans="1:10" ht="15" customHeight="1">
      <c r="A2" s="127" t="s">
        <v>658</v>
      </c>
      <c r="B2" s="128" t="s">
        <v>890</v>
      </c>
      <c r="C2" s="127" t="s">
        <v>659</v>
      </c>
      <c r="D2" s="129" t="s">
        <v>660</v>
      </c>
      <c r="E2" s="672" t="s">
        <v>891</v>
      </c>
      <c r="F2" s="726" t="s">
        <v>661</v>
      </c>
    </row>
    <row r="3" spans="1:10" ht="15" customHeight="1">
      <c r="A3" s="127">
        <v>1</v>
      </c>
      <c r="B3" s="128" t="s">
        <v>892</v>
      </c>
      <c r="C3" s="127">
        <v>3</v>
      </c>
      <c r="D3" s="127">
        <v>4</v>
      </c>
      <c r="E3" s="127">
        <v>5</v>
      </c>
      <c r="F3" s="726" t="s">
        <v>662</v>
      </c>
    </row>
    <row r="4" spans="1:10" ht="15" customHeight="1">
      <c r="A4" s="131"/>
      <c r="B4" s="132"/>
      <c r="C4" s="133"/>
      <c r="D4" s="134"/>
      <c r="E4" s="673"/>
      <c r="F4" s="673"/>
    </row>
    <row r="5" spans="1:10" ht="18">
      <c r="A5" s="491" t="s">
        <v>12</v>
      </c>
      <c r="B5" s="657" t="s">
        <v>2049</v>
      </c>
      <c r="C5" s="657"/>
      <c r="D5" s="492"/>
      <c r="E5" s="674"/>
      <c r="F5" s="675"/>
    </row>
    <row r="7" spans="1:10" ht="15" customHeight="1">
      <c r="B7" s="518" t="s">
        <v>2135</v>
      </c>
    </row>
    <row r="8" spans="1:10" ht="35.1" customHeight="1">
      <c r="B8" s="946" t="s">
        <v>2136</v>
      </c>
      <c r="C8" s="946"/>
      <c r="D8" s="946"/>
      <c r="E8" s="946"/>
      <c r="F8" s="946"/>
    </row>
    <row r="9" spans="1:10" ht="99.9" customHeight="1">
      <c r="B9" s="946" t="s">
        <v>2137</v>
      </c>
      <c r="C9" s="946"/>
      <c r="D9" s="946"/>
      <c r="E9" s="946"/>
      <c r="F9" s="946"/>
    </row>
    <row r="10" spans="1:10" ht="39.9" customHeight="1">
      <c r="B10" s="946" t="s">
        <v>2138</v>
      </c>
      <c r="C10" s="946"/>
      <c r="D10" s="946"/>
      <c r="E10" s="946"/>
      <c r="F10" s="946"/>
    </row>
    <row r="11" spans="1:10" ht="114.9" customHeight="1">
      <c r="B11" s="946" t="s">
        <v>2139</v>
      </c>
      <c r="C11" s="946"/>
      <c r="D11" s="946"/>
      <c r="E11" s="946"/>
      <c r="F11" s="946"/>
    </row>
    <row r="12" spans="1:10" ht="39.9" customHeight="1">
      <c r="B12" s="946" t="s">
        <v>2140</v>
      </c>
      <c r="C12" s="946"/>
      <c r="D12" s="946"/>
      <c r="E12" s="946"/>
      <c r="F12" s="946"/>
    </row>
    <row r="13" spans="1:10" ht="99.75" customHeight="1">
      <c r="B13" s="946" t="s">
        <v>3820</v>
      </c>
      <c r="C13" s="946"/>
      <c r="D13" s="946"/>
      <c r="E13" s="946"/>
      <c r="F13" s="946"/>
      <c r="G13" s="946"/>
      <c r="H13" s="946"/>
      <c r="I13" s="946"/>
      <c r="J13" s="946"/>
    </row>
    <row r="14" spans="1:10" ht="106.5" customHeight="1">
      <c r="B14" s="946" t="s">
        <v>3821</v>
      </c>
      <c r="C14" s="946"/>
      <c r="D14" s="946"/>
      <c r="E14" s="946"/>
      <c r="F14" s="946"/>
      <c r="G14" s="946"/>
      <c r="H14" s="946"/>
      <c r="I14" s="946"/>
      <c r="J14" s="946"/>
    </row>
    <row r="15" spans="1:10" ht="99.75" customHeight="1">
      <c r="B15" s="946" t="s">
        <v>3822</v>
      </c>
      <c r="C15" s="946"/>
      <c r="D15" s="946"/>
      <c r="E15" s="946"/>
      <c r="F15" s="946"/>
      <c r="G15" s="946"/>
      <c r="H15" s="946"/>
      <c r="I15" s="946"/>
      <c r="J15" s="946"/>
    </row>
    <row r="16" spans="1:10" ht="99.9" customHeight="1">
      <c r="B16" s="946" t="s">
        <v>2141</v>
      </c>
      <c r="C16" s="946"/>
      <c r="D16" s="946"/>
      <c r="E16" s="946"/>
      <c r="F16" s="946"/>
    </row>
    <row r="17" spans="1:6" ht="80.099999999999994" customHeight="1">
      <c r="B17" s="946" t="s">
        <v>2358</v>
      </c>
      <c r="C17" s="946"/>
      <c r="D17" s="946"/>
      <c r="E17" s="946"/>
      <c r="F17" s="946"/>
    </row>
    <row r="18" spans="1:6" ht="99.9" customHeight="1">
      <c r="B18" s="946" t="s">
        <v>5711</v>
      </c>
      <c r="C18" s="946"/>
      <c r="D18" s="946"/>
      <c r="E18" s="946"/>
      <c r="F18" s="946"/>
    </row>
    <row r="19" spans="1:6" ht="60" customHeight="1">
      <c r="B19" s="946" t="s">
        <v>2142</v>
      </c>
      <c r="C19" s="946"/>
      <c r="D19" s="946"/>
      <c r="E19" s="946"/>
      <c r="F19" s="946"/>
    </row>
    <row r="20" spans="1:6" ht="60" customHeight="1">
      <c r="B20" s="946" t="s">
        <v>2142</v>
      </c>
      <c r="C20" s="946"/>
      <c r="D20" s="946"/>
      <c r="E20" s="946"/>
      <c r="F20" s="946"/>
    </row>
    <row r="21" spans="1:6" ht="50.1" customHeight="1">
      <c r="B21" s="946" t="s">
        <v>2143</v>
      </c>
      <c r="C21" s="946"/>
      <c r="D21" s="946"/>
      <c r="E21" s="946"/>
      <c r="F21" s="946"/>
    </row>
    <row r="22" spans="1:6" ht="35.1" customHeight="1">
      <c r="B22" s="946" t="s">
        <v>2357</v>
      </c>
      <c r="C22" s="946"/>
      <c r="D22" s="946"/>
      <c r="E22" s="946"/>
      <c r="F22" s="946"/>
    </row>
    <row r="23" spans="1:6">
      <c r="B23" s="947"/>
      <c r="C23" s="947"/>
      <c r="D23" s="947"/>
      <c r="E23" s="947"/>
      <c r="F23" s="947"/>
    </row>
    <row r="26" spans="1:6">
      <c r="A26" s="495" t="s">
        <v>8</v>
      </c>
      <c r="B26" s="496" t="s">
        <v>2144</v>
      </c>
      <c r="C26" s="497"/>
      <c r="D26" s="498"/>
      <c r="E26" s="677"/>
      <c r="F26" s="677"/>
    </row>
    <row r="27" spans="1:6">
      <c r="B27" s="518"/>
    </row>
    <row r="28" spans="1:6">
      <c r="B28" s="518"/>
    </row>
    <row r="29" spans="1:6" ht="55.2">
      <c r="A29" s="517" t="s">
        <v>1077</v>
      </c>
      <c r="B29" s="523" t="s">
        <v>3823</v>
      </c>
      <c r="C29" s="519" t="s">
        <v>670</v>
      </c>
      <c r="D29" s="522">
        <v>1</v>
      </c>
      <c r="E29" s="720">
        <v>1500</v>
      </c>
      <c r="F29" s="721">
        <f>IF(OR(OR(E29=0,E29=" "),OR(D29=0,D29=" "))," ",D29*E29)</f>
        <v>1500</v>
      </c>
    </row>
    <row r="30" spans="1:6">
      <c r="B30" s="518"/>
      <c r="E30" s="720"/>
      <c r="F30" s="720"/>
    </row>
    <row r="31" spans="1:6">
      <c r="B31" s="518" t="s">
        <v>2145</v>
      </c>
      <c r="E31" s="720"/>
      <c r="F31" s="720"/>
    </row>
    <row r="32" spans="1:6" ht="179.4">
      <c r="A32" s="517" t="s">
        <v>1972</v>
      </c>
      <c r="B32" s="523" t="s">
        <v>5055</v>
      </c>
      <c r="C32" s="519" t="s">
        <v>649</v>
      </c>
      <c r="D32" s="522">
        <v>1</v>
      </c>
      <c r="E32" s="720">
        <v>1406</v>
      </c>
      <c r="F32" s="721">
        <f>IF(OR(OR(E32=0,E32=" "),OR(D32=0,D32=" "))," ",D32*E32)</f>
        <v>1406</v>
      </c>
    </row>
    <row r="33" spans="1:10">
      <c r="E33" s="720"/>
      <c r="F33" s="720"/>
      <c r="J33" s="522"/>
    </row>
    <row r="34" spans="1:10">
      <c r="A34" s="517" t="s">
        <v>1974</v>
      </c>
      <c r="B34" s="518" t="s">
        <v>2146</v>
      </c>
      <c r="E34" s="720"/>
      <c r="F34" s="720"/>
      <c r="J34" s="522"/>
    </row>
    <row r="35" spans="1:10" ht="276">
      <c r="B35" s="904" t="s">
        <v>5497</v>
      </c>
      <c r="C35" s="678"/>
      <c r="E35" s="720"/>
      <c r="F35" s="720"/>
    </row>
    <row r="36" spans="1:10" ht="41.4">
      <c r="B36" s="904" t="s">
        <v>5496</v>
      </c>
      <c r="C36" s="678"/>
      <c r="E36" s="720"/>
      <c r="F36" s="720"/>
    </row>
    <row r="37" spans="1:10">
      <c r="B37" s="905" t="s">
        <v>2147</v>
      </c>
      <c r="C37" s="678"/>
      <c r="E37" s="720"/>
      <c r="F37" s="720"/>
    </row>
    <row r="38" spans="1:10" ht="69">
      <c r="A38" s="517" t="s">
        <v>267</v>
      </c>
      <c r="B38" s="906" t="s">
        <v>5498</v>
      </c>
      <c r="D38" s="907"/>
      <c r="E38" s="720"/>
      <c r="F38" s="720"/>
    </row>
    <row r="39" spans="1:10" ht="96.6">
      <c r="A39" s="517" t="s">
        <v>267</v>
      </c>
      <c r="B39" s="906" t="s">
        <v>5499</v>
      </c>
      <c r="D39" s="907"/>
      <c r="E39" s="720"/>
      <c r="F39" s="720"/>
    </row>
    <row r="40" spans="1:10">
      <c r="B40" s="906"/>
      <c r="D40" s="907"/>
      <c r="E40" s="720"/>
      <c r="F40" s="720"/>
    </row>
    <row r="41" spans="1:10" ht="138">
      <c r="A41" s="517" t="s">
        <v>267</v>
      </c>
      <c r="B41" s="906" t="s">
        <v>5502</v>
      </c>
      <c r="D41" s="907"/>
      <c r="E41" s="720"/>
      <c r="F41" s="720"/>
    </row>
    <row r="42" spans="1:10" ht="110.4">
      <c r="A42" s="517" t="s">
        <v>267</v>
      </c>
      <c r="B42" s="904" t="s">
        <v>5503</v>
      </c>
      <c r="E42" s="720"/>
      <c r="F42" s="720"/>
    </row>
    <row r="43" spans="1:10" ht="110.4">
      <c r="A43" s="517" t="s">
        <v>267</v>
      </c>
      <c r="B43" s="904" t="s">
        <v>5504</v>
      </c>
      <c r="E43" s="720"/>
      <c r="F43" s="720"/>
    </row>
    <row r="44" spans="1:10" ht="69">
      <c r="A44" s="517" t="s">
        <v>267</v>
      </c>
      <c r="B44" s="904" t="s">
        <v>5505</v>
      </c>
      <c r="E44" s="720"/>
      <c r="F44" s="720"/>
    </row>
    <row r="45" spans="1:10">
      <c r="B45" s="906"/>
      <c r="D45" s="907"/>
      <c r="E45" s="720"/>
      <c r="F45" s="720"/>
    </row>
    <row r="46" spans="1:10" ht="124.2">
      <c r="A46" s="517" t="s">
        <v>267</v>
      </c>
      <c r="B46" s="906" t="s">
        <v>5506</v>
      </c>
      <c r="E46" s="720"/>
      <c r="F46" s="908"/>
    </row>
    <row r="47" spans="1:10" ht="124.2">
      <c r="A47" s="517" t="s">
        <v>267</v>
      </c>
      <c r="B47" s="906" t="s">
        <v>5507</v>
      </c>
      <c r="E47" s="720"/>
      <c r="F47" s="720"/>
    </row>
    <row r="48" spans="1:10" ht="124.2">
      <c r="A48" s="517" t="s">
        <v>267</v>
      </c>
      <c r="B48" s="906" t="s">
        <v>5508</v>
      </c>
      <c r="E48" s="720"/>
      <c r="F48" s="720"/>
    </row>
    <row r="49" spans="1:6" ht="124.2">
      <c r="A49" s="517" t="s">
        <v>267</v>
      </c>
      <c r="B49" s="906" t="s">
        <v>5509</v>
      </c>
      <c r="E49" s="720"/>
      <c r="F49" s="720"/>
    </row>
    <row r="50" spans="1:6" ht="124.2">
      <c r="A50" s="517" t="s">
        <v>267</v>
      </c>
      <c r="B50" s="906" t="s">
        <v>5510</v>
      </c>
      <c r="E50" s="720"/>
      <c r="F50" s="720"/>
    </row>
    <row r="51" spans="1:6">
      <c r="B51" s="906"/>
      <c r="D51" s="907"/>
      <c r="E51" s="720"/>
      <c r="F51" s="720"/>
    </row>
    <row r="52" spans="1:6" ht="55.2">
      <c r="A52" s="517" t="s">
        <v>267</v>
      </c>
      <c r="B52" s="906" t="s">
        <v>5511</v>
      </c>
      <c r="D52" s="907"/>
      <c r="E52" s="720"/>
      <c r="F52" s="720"/>
    </row>
    <row r="53" spans="1:6" ht="110.4">
      <c r="A53" s="517" t="s">
        <v>267</v>
      </c>
      <c r="B53" s="904" t="s">
        <v>5512</v>
      </c>
      <c r="D53" s="907"/>
      <c r="E53" s="720"/>
      <c r="F53" s="720"/>
    </row>
    <row r="54" spans="1:6" ht="110.4">
      <c r="A54" s="517" t="s">
        <v>267</v>
      </c>
      <c r="B54" s="904" t="s">
        <v>5513</v>
      </c>
      <c r="D54" s="907"/>
      <c r="E54" s="720"/>
      <c r="F54" s="720"/>
    </row>
    <row r="55" spans="1:6" ht="110.4">
      <c r="A55" s="517" t="s">
        <v>267</v>
      </c>
      <c r="B55" s="904" t="s">
        <v>5514</v>
      </c>
      <c r="D55" s="907"/>
      <c r="E55" s="720"/>
      <c r="F55" s="720"/>
    </row>
    <row r="56" spans="1:6" ht="55.2">
      <c r="A56" s="517" t="s">
        <v>267</v>
      </c>
      <c r="B56" s="904" t="s">
        <v>5515</v>
      </c>
      <c r="D56" s="907"/>
      <c r="E56" s="722"/>
      <c r="F56" s="720"/>
    </row>
    <row r="57" spans="1:6" ht="69">
      <c r="A57" s="517" t="s">
        <v>267</v>
      </c>
      <c r="B57" s="904" t="s">
        <v>5516</v>
      </c>
      <c r="D57" s="907"/>
      <c r="E57" s="720"/>
      <c r="F57" s="720"/>
    </row>
    <row r="58" spans="1:6" ht="96.6">
      <c r="A58" s="517" t="s">
        <v>267</v>
      </c>
      <c r="B58" s="904" t="s">
        <v>5517</v>
      </c>
      <c r="E58" s="720"/>
      <c r="F58" s="720"/>
    </row>
    <row r="59" spans="1:6" ht="69">
      <c r="A59" s="517" t="s">
        <v>267</v>
      </c>
      <c r="B59" s="906" t="s">
        <v>5518</v>
      </c>
      <c r="D59" s="907"/>
      <c r="E59" s="720"/>
      <c r="F59" s="720"/>
    </row>
    <row r="60" spans="1:6">
      <c r="B60" s="906"/>
      <c r="D60" s="907"/>
      <c r="E60" s="722"/>
      <c r="F60" s="722"/>
    </row>
    <row r="61" spans="1:6" ht="165.6">
      <c r="A61" s="517" t="s">
        <v>267</v>
      </c>
      <c r="B61" s="909" t="s">
        <v>5501</v>
      </c>
      <c r="C61" s="528"/>
      <c r="D61" s="680"/>
      <c r="E61" s="723"/>
      <c r="F61" s="722"/>
    </row>
    <row r="62" spans="1:6">
      <c r="B62" s="682"/>
      <c r="C62" s="519" t="s">
        <v>670</v>
      </c>
      <c r="D62" s="522">
        <v>1</v>
      </c>
      <c r="E62" s="722">
        <v>12100</v>
      </c>
      <c r="F62" s="721">
        <f>IF(OR(OR(E62=0,E62=" "),OR(D62=0,D62=" "))," ",D62*E62)</f>
        <v>12100</v>
      </c>
    </row>
    <row r="63" spans="1:6">
      <c r="E63" s="722"/>
      <c r="F63" s="720"/>
    </row>
    <row r="64" spans="1:6">
      <c r="A64" s="517" t="s">
        <v>1977</v>
      </c>
      <c r="B64" s="518" t="s">
        <v>2148</v>
      </c>
      <c r="E64" s="722"/>
      <c r="F64" s="720"/>
    </row>
    <row r="65" spans="1:6" ht="234.6">
      <c r="B65" s="904" t="s">
        <v>5520</v>
      </c>
      <c r="E65" s="722"/>
      <c r="F65" s="722"/>
    </row>
    <row r="66" spans="1:6" ht="41.4">
      <c r="B66" s="904" t="s">
        <v>5519</v>
      </c>
      <c r="E66" s="722"/>
      <c r="F66" s="722"/>
    </row>
    <row r="67" spans="1:6" ht="69">
      <c r="A67" s="517" t="s">
        <v>267</v>
      </c>
      <c r="B67" s="906" t="s">
        <v>5521</v>
      </c>
      <c r="C67" s="683"/>
      <c r="D67" s="684"/>
      <c r="E67" s="722"/>
      <c r="F67" s="722"/>
    </row>
    <row r="68" spans="1:6" ht="96.6">
      <c r="A68" s="517" t="s">
        <v>267</v>
      </c>
      <c r="B68" s="906" t="s">
        <v>5522</v>
      </c>
      <c r="C68" s="683"/>
      <c r="D68" s="684"/>
      <c r="E68" s="722"/>
      <c r="F68" s="722"/>
    </row>
    <row r="69" spans="1:6">
      <c r="B69" s="905"/>
      <c r="E69" s="722"/>
      <c r="F69" s="722"/>
    </row>
    <row r="70" spans="1:6" ht="124.2">
      <c r="A70" s="517" t="s">
        <v>267</v>
      </c>
      <c r="B70" s="906" t="s">
        <v>5524</v>
      </c>
      <c r="C70" s="683"/>
      <c r="D70" s="684"/>
      <c r="E70" s="722"/>
      <c r="F70" s="722"/>
    </row>
    <row r="71" spans="1:6">
      <c r="B71" s="905"/>
      <c r="E71" s="722"/>
      <c r="F71" s="722"/>
    </row>
    <row r="72" spans="1:6" ht="55.2">
      <c r="A72" s="517" t="s">
        <v>267</v>
      </c>
      <c r="B72" s="904" t="s">
        <v>5511</v>
      </c>
      <c r="E72" s="722"/>
      <c r="F72" s="722"/>
    </row>
    <row r="73" spans="1:6" ht="110.4">
      <c r="A73" s="517" t="s">
        <v>267</v>
      </c>
      <c r="B73" s="904" t="s">
        <v>5525</v>
      </c>
      <c r="E73" s="722"/>
      <c r="F73" s="720"/>
    </row>
    <row r="74" spans="1:6" ht="110.4">
      <c r="A74" s="517" t="s">
        <v>267</v>
      </c>
      <c r="B74" s="904" t="s">
        <v>5513</v>
      </c>
      <c r="E74" s="722"/>
      <c r="F74" s="720"/>
    </row>
    <row r="75" spans="1:6" ht="69">
      <c r="A75" s="517" t="s">
        <v>267</v>
      </c>
      <c r="B75" s="904" t="s">
        <v>5526</v>
      </c>
      <c r="D75" s="907"/>
      <c r="E75" s="722"/>
      <c r="F75" s="720"/>
    </row>
    <row r="76" spans="1:6" ht="69">
      <c r="A76" s="517" t="s">
        <v>267</v>
      </c>
      <c r="B76" s="904" t="s">
        <v>5527</v>
      </c>
      <c r="D76" s="907"/>
      <c r="E76" s="722"/>
      <c r="F76" s="720"/>
    </row>
    <row r="77" spans="1:6">
      <c r="B77" s="906"/>
      <c r="C77" s="685"/>
      <c r="E77" s="722"/>
      <c r="F77" s="720"/>
    </row>
    <row r="78" spans="1:6" ht="165.6">
      <c r="A78" s="517" t="s">
        <v>267</v>
      </c>
      <c r="B78" s="909" t="s">
        <v>5501</v>
      </c>
      <c r="C78" s="686"/>
      <c r="D78" s="530"/>
      <c r="E78" s="723"/>
      <c r="F78" s="720"/>
    </row>
    <row r="79" spans="1:6">
      <c r="B79" s="682"/>
      <c r="C79" s="519" t="s">
        <v>670</v>
      </c>
      <c r="D79" s="522">
        <v>1</v>
      </c>
      <c r="E79" s="722">
        <v>3000</v>
      </c>
      <c r="F79" s="721">
        <f>IF(OR(OR(E79=0,E79=" "),OR(D79=0,D79=" "))," ",D79*E79)</f>
        <v>3000</v>
      </c>
    </row>
    <row r="80" spans="1:6">
      <c r="B80" s="682"/>
      <c r="E80" s="722"/>
      <c r="F80" s="720"/>
    </row>
    <row r="81" spans="1:6">
      <c r="A81" s="517" t="s">
        <v>1980</v>
      </c>
      <c r="B81" s="518" t="s">
        <v>2149</v>
      </c>
      <c r="E81" s="722"/>
      <c r="F81" s="720"/>
    </row>
    <row r="82" spans="1:6" ht="234.6">
      <c r="B82" s="904" t="s">
        <v>5529</v>
      </c>
      <c r="E82" s="722"/>
      <c r="F82" s="722"/>
    </row>
    <row r="83" spans="1:6" ht="55.2">
      <c r="B83" s="904" t="s">
        <v>5528</v>
      </c>
      <c r="E83" s="722"/>
      <c r="F83" s="722"/>
    </row>
    <row r="84" spans="1:6" ht="69">
      <c r="A84" s="517" t="s">
        <v>267</v>
      </c>
      <c r="B84" s="906" t="s">
        <v>5521</v>
      </c>
      <c r="C84" s="683"/>
      <c r="D84" s="684"/>
      <c r="E84" s="722"/>
      <c r="F84" s="722"/>
    </row>
    <row r="85" spans="1:6" ht="96.6">
      <c r="A85" s="517" t="s">
        <v>267</v>
      </c>
      <c r="B85" s="906" t="s">
        <v>5522</v>
      </c>
      <c r="C85" s="683"/>
      <c r="D85" s="684"/>
      <c r="E85" s="722"/>
      <c r="F85" s="722"/>
    </row>
    <row r="86" spans="1:6">
      <c r="B86" s="905"/>
      <c r="E86" s="722"/>
      <c r="F86" s="722"/>
    </row>
    <row r="87" spans="1:6" ht="124.2">
      <c r="A87" s="517" t="s">
        <v>267</v>
      </c>
      <c r="B87" s="906" t="s">
        <v>5536</v>
      </c>
      <c r="C87" s="683"/>
      <c r="D87" s="684"/>
      <c r="E87" s="722"/>
      <c r="F87" s="722"/>
    </row>
    <row r="88" spans="1:6">
      <c r="B88" s="905"/>
      <c r="E88" s="722"/>
      <c r="F88" s="722"/>
    </row>
    <row r="89" spans="1:6" ht="55.2">
      <c r="A89" s="517" t="s">
        <v>267</v>
      </c>
      <c r="B89" s="904" t="s">
        <v>5533</v>
      </c>
      <c r="E89" s="722"/>
      <c r="F89" s="722"/>
    </row>
    <row r="90" spans="1:6" ht="110.4">
      <c r="A90" s="517" t="s">
        <v>267</v>
      </c>
      <c r="B90" s="904" t="s">
        <v>5534</v>
      </c>
      <c r="E90" s="722"/>
      <c r="F90" s="722"/>
    </row>
    <row r="91" spans="1:6" ht="110.4">
      <c r="A91" s="517" t="s">
        <v>267</v>
      </c>
      <c r="B91" s="904" t="s">
        <v>5535</v>
      </c>
      <c r="E91" s="722"/>
      <c r="F91" s="722"/>
    </row>
    <row r="92" spans="1:6" ht="55.2">
      <c r="A92" s="517" t="s">
        <v>267</v>
      </c>
      <c r="B92" s="904" t="s">
        <v>5530</v>
      </c>
      <c r="D92" s="907"/>
      <c r="E92" s="722"/>
      <c r="F92" s="722"/>
    </row>
    <row r="93" spans="1:6" ht="69">
      <c r="A93" s="517" t="s">
        <v>267</v>
      </c>
      <c r="B93" s="904" t="s">
        <v>5532</v>
      </c>
      <c r="D93" s="907"/>
      <c r="E93" s="722"/>
      <c r="F93" s="722"/>
    </row>
    <row r="94" spans="1:6">
      <c r="B94" s="906"/>
      <c r="D94" s="684"/>
      <c r="E94" s="722"/>
      <c r="F94" s="722"/>
    </row>
    <row r="95" spans="1:6" ht="165.6">
      <c r="B95" s="909" t="s">
        <v>5501</v>
      </c>
      <c r="C95" s="686"/>
      <c r="D95" s="530"/>
      <c r="E95" s="723"/>
      <c r="F95" s="720"/>
    </row>
    <row r="96" spans="1:6">
      <c r="B96" s="682"/>
      <c r="C96" s="519" t="s">
        <v>670</v>
      </c>
      <c r="D96" s="522">
        <v>1</v>
      </c>
      <c r="E96" s="722">
        <v>2600</v>
      </c>
      <c r="F96" s="721">
        <f>IF(OR(OR(E96=0,E96=" "),OR(D96=0,D96=" "))," ",D96*E96)</f>
        <v>2600</v>
      </c>
    </row>
    <row r="97" spans="1:6">
      <c r="E97" s="722"/>
      <c r="F97" s="720"/>
    </row>
    <row r="98" spans="1:6">
      <c r="A98" s="517" t="s">
        <v>1981</v>
      </c>
      <c r="B98" s="518" t="s">
        <v>2150</v>
      </c>
      <c r="E98" s="722"/>
      <c r="F98" s="720"/>
    </row>
    <row r="99" spans="1:6" ht="234.6">
      <c r="B99" s="904" t="s">
        <v>5520</v>
      </c>
      <c r="E99" s="722"/>
      <c r="F99" s="722"/>
    </row>
    <row r="100" spans="1:6" ht="55.2">
      <c r="B100" s="904" t="s">
        <v>5528</v>
      </c>
      <c r="E100" s="722"/>
      <c r="F100" s="722"/>
    </row>
    <row r="101" spans="1:6" ht="69">
      <c r="A101" s="517" t="s">
        <v>267</v>
      </c>
      <c r="B101" s="906" t="s">
        <v>5521</v>
      </c>
      <c r="C101" s="683"/>
      <c r="D101" s="684"/>
      <c r="E101" s="722"/>
      <c r="F101" s="722"/>
    </row>
    <row r="102" spans="1:6" ht="96.6">
      <c r="A102" s="517" t="s">
        <v>267</v>
      </c>
      <c r="B102" s="906" t="s">
        <v>5522</v>
      </c>
      <c r="C102" s="683"/>
      <c r="D102" s="684"/>
      <c r="E102" s="722"/>
      <c r="F102" s="722"/>
    </row>
    <row r="103" spans="1:6">
      <c r="B103" s="905"/>
      <c r="E103" s="722"/>
      <c r="F103" s="722"/>
    </row>
    <row r="104" spans="1:6" ht="124.2">
      <c r="A104" s="517" t="s">
        <v>267</v>
      </c>
      <c r="B104" s="906" t="s">
        <v>5524</v>
      </c>
      <c r="C104" s="683"/>
      <c r="D104" s="684"/>
      <c r="E104" s="722"/>
      <c r="F104" s="722"/>
    </row>
    <row r="105" spans="1:6">
      <c r="B105" s="905"/>
      <c r="E105" s="722"/>
      <c r="F105" s="722"/>
    </row>
    <row r="106" spans="1:6" ht="55.2">
      <c r="A106" s="517" t="s">
        <v>267</v>
      </c>
      <c r="B106" s="904" t="s">
        <v>5511</v>
      </c>
      <c r="E106" s="722"/>
      <c r="F106" s="722"/>
    </row>
    <row r="107" spans="1:6" ht="110.4">
      <c r="A107" s="517" t="s">
        <v>267</v>
      </c>
      <c r="B107" s="904" t="s">
        <v>5512</v>
      </c>
      <c r="E107" s="722"/>
      <c r="F107" s="720"/>
    </row>
    <row r="108" spans="1:6" ht="110.4">
      <c r="A108" s="517" t="s">
        <v>267</v>
      </c>
      <c r="B108" s="904" t="s">
        <v>5513</v>
      </c>
      <c r="E108" s="722"/>
      <c r="F108" s="720"/>
    </row>
    <row r="109" spans="1:6" ht="110.4">
      <c r="A109" s="517" t="s">
        <v>267</v>
      </c>
      <c r="B109" s="904" t="s">
        <v>5537</v>
      </c>
      <c r="E109" s="722"/>
      <c r="F109" s="720"/>
    </row>
    <row r="110" spans="1:6" ht="110.4">
      <c r="A110" s="517" t="s">
        <v>267</v>
      </c>
      <c r="B110" s="904" t="s">
        <v>5538</v>
      </c>
      <c r="E110" s="722"/>
      <c r="F110" s="720"/>
    </row>
    <row r="111" spans="1:6" ht="69">
      <c r="A111" s="517" t="s">
        <v>267</v>
      </c>
      <c r="B111" s="904" t="s">
        <v>5526</v>
      </c>
      <c r="D111" s="907"/>
      <c r="E111" s="722"/>
      <c r="F111" s="720"/>
    </row>
    <row r="112" spans="1:6" ht="69">
      <c r="A112" s="517" t="s">
        <v>267</v>
      </c>
      <c r="B112" s="904" t="s">
        <v>5539</v>
      </c>
      <c r="D112" s="907"/>
      <c r="E112" s="722"/>
      <c r="F112" s="720"/>
    </row>
    <row r="113" spans="1:6">
      <c r="B113" s="906"/>
      <c r="C113" s="685"/>
      <c r="E113" s="722"/>
      <c r="F113" s="720"/>
    </row>
    <row r="114" spans="1:6" ht="165.6">
      <c r="A114" s="517" t="s">
        <v>267</v>
      </c>
      <c r="B114" s="909" t="s">
        <v>5501</v>
      </c>
      <c r="C114" s="686"/>
      <c r="D114" s="530"/>
      <c r="E114" s="723"/>
      <c r="F114" s="720"/>
    </row>
    <row r="115" spans="1:6">
      <c r="B115" s="682"/>
      <c r="C115" s="519" t="s">
        <v>670</v>
      </c>
      <c r="D115" s="522">
        <v>1</v>
      </c>
      <c r="E115" s="722">
        <v>3300</v>
      </c>
      <c r="F115" s="721">
        <f>IF(OR(OR(E115=0,E115=" "),OR(D115=0,D115=" "))," ",D115*E115)</f>
        <v>3300</v>
      </c>
    </row>
    <row r="116" spans="1:6">
      <c r="B116" s="682"/>
      <c r="E116" s="722"/>
      <c r="F116" s="720"/>
    </row>
    <row r="117" spans="1:6">
      <c r="A117" s="517" t="s">
        <v>1982</v>
      </c>
      <c r="B117" s="518" t="s">
        <v>2151</v>
      </c>
      <c r="E117" s="722"/>
      <c r="F117" s="720"/>
    </row>
    <row r="118" spans="1:6" ht="220.8">
      <c r="B118" s="904" t="s">
        <v>5540</v>
      </c>
      <c r="E118" s="722"/>
      <c r="F118" s="722"/>
    </row>
    <row r="119" spans="1:6" ht="55.2">
      <c r="B119" s="904" t="s">
        <v>5555</v>
      </c>
      <c r="E119" s="722"/>
      <c r="F119" s="722"/>
    </row>
    <row r="120" spans="1:6" ht="69">
      <c r="A120" s="517" t="s">
        <v>267</v>
      </c>
      <c r="B120" s="906" t="s">
        <v>5541</v>
      </c>
      <c r="D120" s="684"/>
      <c r="E120" s="722"/>
      <c r="F120" s="722"/>
    </row>
    <row r="121" spans="1:6" ht="96.6">
      <c r="A121" s="517" t="s">
        <v>267</v>
      </c>
      <c r="B121" s="906" t="s">
        <v>5542</v>
      </c>
      <c r="D121" s="684"/>
      <c r="E121" s="722"/>
      <c r="F121" s="722"/>
    </row>
    <row r="122" spans="1:6">
      <c r="B122" s="906"/>
      <c r="D122" s="684"/>
      <c r="E122" s="722"/>
      <c r="F122" s="722"/>
    </row>
    <row r="123" spans="1:6" ht="124.2">
      <c r="A123" s="517" t="s">
        <v>267</v>
      </c>
      <c r="B123" s="906" t="s">
        <v>5500</v>
      </c>
      <c r="D123" s="684"/>
      <c r="E123" s="722"/>
      <c r="F123" s="722"/>
    </row>
    <row r="124" spans="1:6" ht="110.4">
      <c r="A124" s="517" t="s">
        <v>267</v>
      </c>
      <c r="B124" s="904" t="s">
        <v>5503</v>
      </c>
      <c r="E124" s="722"/>
      <c r="F124" s="722"/>
    </row>
    <row r="125" spans="1:6" ht="69">
      <c r="A125" s="517" t="s">
        <v>267</v>
      </c>
      <c r="B125" s="904" t="s">
        <v>5505</v>
      </c>
      <c r="E125" s="722"/>
      <c r="F125" s="722"/>
    </row>
    <row r="126" spans="1:6">
      <c r="B126" s="904"/>
      <c r="E126" s="722"/>
      <c r="F126" s="722"/>
    </row>
    <row r="127" spans="1:6" ht="55.2">
      <c r="A127" s="517" t="s">
        <v>267</v>
      </c>
      <c r="B127" s="906" t="s">
        <v>5543</v>
      </c>
      <c r="D127" s="684"/>
      <c r="E127" s="722"/>
      <c r="F127" s="722"/>
    </row>
    <row r="128" spans="1:6" ht="55.2">
      <c r="A128" s="517" t="s">
        <v>267</v>
      </c>
      <c r="B128" s="906" t="s">
        <v>5544</v>
      </c>
      <c r="D128" s="684"/>
      <c r="E128" s="722"/>
      <c r="F128" s="722"/>
    </row>
    <row r="129" spans="1:6" ht="55.2">
      <c r="A129" s="517" t="s">
        <v>267</v>
      </c>
      <c r="B129" s="906" t="s">
        <v>5545</v>
      </c>
      <c r="D129" s="684"/>
      <c r="E129" s="722"/>
      <c r="F129" s="722"/>
    </row>
    <row r="130" spans="1:6" ht="55.2">
      <c r="A130" s="517" t="s">
        <v>267</v>
      </c>
      <c r="B130" s="906" t="s">
        <v>5546</v>
      </c>
      <c r="D130" s="684"/>
      <c r="E130" s="722"/>
      <c r="F130" s="722"/>
    </row>
    <row r="131" spans="1:6" ht="55.2">
      <c r="A131" s="517" t="s">
        <v>267</v>
      </c>
      <c r="B131" s="906" t="s">
        <v>5547</v>
      </c>
      <c r="D131" s="684"/>
      <c r="E131" s="722"/>
      <c r="F131" s="722"/>
    </row>
    <row r="132" spans="1:6" ht="110.4">
      <c r="A132" s="517" t="s">
        <v>267</v>
      </c>
      <c r="B132" s="904" t="s">
        <v>5548</v>
      </c>
      <c r="D132" s="684"/>
      <c r="E132" s="722"/>
      <c r="F132" s="722"/>
    </row>
    <row r="133" spans="1:6" ht="110.4">
      <c r="A133" s="517" t="s">
        <v>267</v>
      </c>
      <c r="B133" s="904" t="s">
        <v>5549</v>
      </c>
      <c r="D133" s="684"/>
      <c r="E133" s="722"/>
      <c r="F133" s="722"/>
    </row>
    <row r="134" spans="1:6" ht="110.4">
      <c r="A134" s="517" t="s">
        <v>267</v>
      </c>
      <c r="B134" s="904" t="s">
        <v>5550</v>
      </c>
      <c r="D134" s="684"/>
      <c r="E134" s="722"/>
      <c r="F134" s="722"/>
    </row>
    <row r="135" spans="1:6" ht="124.2">
      <c r="A135" s="517" t="s">
        <v>267</v>
      </c>
      <c r="B135" s="910" t="s">
        <v>5551</v>
      </c>
      <c r="D135" s="684"/>
      <c r="E135" s="722"/>
      <c r="F135" s="722"/>
    </row>
    <row r="136" spans="1:6" ht="124.2">
      <c r="A136" s="517" t="s">
        <v>267</v>
      </c>
      <c r="B136" s="910" t="s">
        <v>5552</v>
      </c>
      <c r="D136" s="684"/>
      <c r="E136" s="722"/>
      <c r="F136" s="722"/>
    </row>
    <row r="137" spans="1:6" ht="69">
      <c r="A137" s="517" t="s">
        <v>267</v>
      </c>
      <c r="B137" s="904" t="s">
        <v>5553</v>
      </c>
      <c r="D137" s="907"/>
      <c r="E137" s="722"/>
      <c r="F137" s="720"/>
    </row>
    <row r="138" spans="1:6" ht="69">
      <c r="A138" s="517" t="s">
        <v>267</v>
      </c>
      <c r="B138" s="904" t="s">
        <v>5554</v>
      </c>
      <c r="D138" s="907"/>
      <c r="E138" s="722"/>
      <c r="F138" s="720"/>
    </row>
    <row r="139" spans="1:6" ht="69">
      <c r="A139" s="517" t="s">
        <v>267</v>
      </c>
      <c r="B139" s="904" t="s">
        <v>5523</v>
      </c>
      <c r="D139" s="907"/>
      <c r="E139" s="722"/>
      <c r="F139" s="720"/>
    </row>
    <row r="140" spans="1:6">
      <c r="B140" s="904"/>
      <c r="D140" s="684"/>
      <c r="E140" s="722"/>
      <c r="F140" s="722"/>
    </row>
    <row r="141" spans="1:6" ht="165.6">
      <c r="B141" s="909" t="s">
        <v>5501</v>
      </c>
      <c r="C141" s="528"/>
      <c r="D141" s="530"/>
      <c r="E141" s="724"/>
      <c r="F141" s="725"/>
    </row>
    <row r="142" spans="1:6">
      <c r="B142" s="682"/>
      <c r="C142" s="519" t="s">
        <v>670</v>
      </c>
      <c r="D142" s="522">
        <v>1</v>
      </c>
      <c r="E142" s="722">
        <v>4000</v>
      </c>
      <c r="F142" s="721">
        <f>IF(OR(OR(E142=0,E142=" "),OR(D142=0,D142=" "))," ",D142*E142)</f>
        <v>4000</v>
      </c>
    </row>
    <row r="143" spans="1:6">
      <c r="B143" s="682"/>
      <c r="E143" s="722"/>
      <c r="F143" s="720"/>
    </row>
    <row r="144" spans="1:6">
      <c r="A144" s="517" t="s">
        <v>1988</v>
      </c>
      <c r="B144" s="518" t="s">
        <v>2152</v>
      </c>
      <c r="E144" s="722"/>
      <c r="F144" s="720"/>
    </row>
    <row r="145" spans="1:6" ht="248.4">
      <c r="B145" s="904" t="s">
        <v>5556</v>
      </c>
      <c r="E145" s="722"/>
      <c r="F145" s="722"/>
    </row>
    <row r="146" spans="1:6" ht="55.2">
      <c r="B146" s="904" t="s">
        <v>5528</v>
      </c>
      <c r="E146" s="722"/>
      <c r="F146" s="722"/>
    </row>
    <row r="147" spans="1:6" ht="69">
      <c r="A147" s="517" t="s">
        <v>267</v>
      </c>
      <c r="B147" s="906" t="s">
        <v>5521</v>
      </c>
      <c r="C147" s="683"/>
      <c r="D147" s="684"/>
      <c r="E147" s="722"/>
      <c r="F147" s="722"/>
    </row>
    <row r="148" spans="1:6" ht="96.6">
      <c r="A148" s="517" t="s">
        <v>267</v>
      </c>
      <c r="B148" s="906" t="s">
        <v>5522</v>
      </c>
      <c r="C148" s="683"/>
      <c r="D148" s="684"/>
      <c r="E148" s="722"/>
      <c r="F148" s="722"/>
    </row>
    <row r="149" spans="1:6">
      <c r="B149" s="905"/>
      <c r="E149" s="722"/>
      <c r="F149" s="722"/>
    </row>
    <row r="150" spans="1:6" ht="124.2">
      <c r="A150" s="517" t="s">
        <v>267</v>
      </c>
      <c r="B150" s="906" t="s">
        <v>5524</v>
      </c>
      <c r="C150" s="683"/>
      <c r="D150" s="684"/>
      <c r="E150" s="722"/>
      <c r="F150" s="722"/>
    </row>
    <row r="151" spans="1:6" ht="110.4">
      <c r="A151" s="517" t="s">
        <v>267</v>
      </c>
      <c r="B151" s="904" t="s">
        <v>5503</v>
      </c>
      <c r="E151" s="722"/>
      <c r="F151" s="722"/>
    </row>
    <row r="152" spans="1:6" ht="69">
      <c r="A152" s="517" t="s">
        <v>267</v>
      </c>
      <c r="B152" s="904" t="s">
        <v>5558</v>
      </c>
      <c r="E152" s="722"/>
      <c r="F152" s="722"/>
    </row>
    <row r="153" spans="1:6">
      <c r="B153" s="905"/>
      <c r="E153" s="722"/>
      <c r="F153" s="722"/>
    </row>
    <row r="154" spans="1:6" ht="55.2">
      <c r="A154" s="517" t="s">
        <v>267</v>
      </c>
      <c r="B154" s="904" t="s">
        <v>5559</v>
      </c>
      <c r="E154" s="722"/>
      <c r="F154" s="722"/>
    </row>
    <row r="155" spans="1:6" ht="55.2">
      <c r="A155" s="517" t="s">
        <v>267</v>
      </c>
      <c r="B155" s="904" t="s">
        <v>5531</v>
      </c>
      <c r="E155" s="722"/>
      <c r="F155" s="722"/>
    </row>
    <row r="156" spans="1:6" ht="55.2">
      <c r="A156" s="517" t="s">
        <v>267</v>
      </c>
      <c r="B156" s="904" t="s">
        <v>5560</v>
      </c>
      <c r="E156" s="722"/>
      <c r="F156" s="722"/>
    </row>
    <row r="157" spans="1:6" ht="110.4">
      <c r="A157" s="517" t="s">
        <v>267</v>
      </c>
      <c r="B157" s="904" t="s">
        <v>5561</v>
      </c>
      <c r="E157" s="722"/>
      <c r="F157" s="722"/>
    </row>
    <row r="158" spans="1:6" ht="110.4">
      <c r="A158" s="517" t="s">
        <v>267</v>
      </c>
      <c r="B158" s="904" t="s">
        <v>5562</v>
      </c>
      <c r="E158" s="722"/>
      <c r="F158" s="722"/>
    </row>
    <row r="159" spans="1:6" ht="110.4">
      <c r="A159" s="517" t="s">
        <v>267</v>
      </c>
      <c r="B159" s="904" t="s">
        <v>5563</v>
      </c>
      <c r="E159" s="722"/>
      <c r="F159" s="722"/>
    </row>
    <row r="160" spans="1:6" ht="110.4">
      <c r="A160" s="517" t="s">
        <v>267</v>
      </c>
      <c r="B160" s="904" t="s">
        <v>5564</v>
      </c>
      <c r="E160" s="722"/>
      <c r="F160" s="722"/>
    </row>
    <row r="161" spans="1:6" ht="124.2">
      <c r="A161" s="517" t="s">
        <v>267</v>
      </c>
      <c r="B161" s="910" t="s">
        <v>5565</v>
      </c>
      <c r="D161" s="684"/>
      <c r="E161" s="722"/>
      <c r="F161" s="722"/>
    </row>
    <row r="162" spans="1:6" ht="69">
      <c r="A162" s="517" t="s">
        <v>267</v>
      </c>
      <c r="B162" s="904" t="s">
        <v>5553</v>
      </c>
      <c r="D162" s="907"/>
      <c r="E162" s="722"/>
      <c r="F162" s="720"/>
    </row>
    <row r="163" spans="1:6" ht="69">
      <c r="A163" s="517" t="s">
        <v>267</v>
      </c>
      <c r="B163" s="904" t="s">
        <v>5554</v>
      </c>
      <c r="D163" s="907"/>
      <c r="E163" s="722"/>
      <c r="F163" s="720"/>
    </row>
    <row r="164" spans="1:6" ht="69">
      <c r="A164" s="517" t="s">
        <v>267</v>
      </c>
      <c r="B164" s="904" t="s">
        <v>5566</v>
      </c>
      <c r="D164" s="907"/>
      <c r="E164" s="722"/>
      <c r="F164" s="720"/>
    </row>
    <row r="165" spans="1:6">
      <c r="B165" s="906"/>
      <c r="D165" s="684"/>
      <c r="E165" s="722"/>
      <c r="F165" s="722"/>
    </row>
    <row r="166" spans="1:6" ht="151.80000000000001">
      <c r="A166" s="517" t="s">
        <v>267</v>
      </c>
      <c r="B166" s="909" t="s">
        <v>5557</v>
      </c>
      <c r="C166" s="686"/>
      <c r="D166" s="530"/>
      <c r="E166" s="723"/>
      <c r="F166" s="720"/>
    </row>
    <row r="167" spans="1:6">
      <c r="B167" s="682"/>
      <c r="C167" s="519" t="s">
        <v>670</v>
      </c>
      <c r="D167" s="522">
        <v>1</v>
      </c>
      <c r="E167" s="722">
        <v>2500</v>
      </c>
      <c r="F167" s="721">
        <f>IF(OR(OR(E167=0,E167=" "),OR(D167=0,D167=" "))," ",D167*E167)</f>
        <v>2500</v>
      </c>
    </row>
    <row r="168" spans="1:6">
      <c r="B168" s="682"/>
      <c r="E168" s="722"/>
      <c r="F168" s="721" t="str">
        <f t="shared" ref="F168:F169" si="0">IF(OR(OR(E168=0,E168=" "),OR(D168=0,D168=" "))," ",D168*E168)</f>
        <v xml:space="preserve"> </v>
      </c>
    </row>
    <row r="169" spans="1:6" ht="27.6">
      <c r="A169" s="517" t="s">
        <v>1990</v>
      </c>
      <c r="B169" s="523" t="s">
        <v>2153</v>
      </c>
      <c r="E169" s="720"/>
      <c r="F169" s="721" t="str">
        <f t="shared" si="0"/>
        <v xml:space="preserve"> </v>
      </c>
    </row>
    <row r="170" spans="1:6" ht="27.6">
      <c r="A170" s="517" t="s">
        <v>48</v>
      </c>
      <c r="B170" s="523" t="s">
        <v>3824</v>
      </c>
      <c r="C170" s="519" t="s">
        <v>697</v>
      </c>
      <c r="D170" s="522">
        <v>80</v>
      </c>
      <c r="E170" s="722">
        <v>4</v>
      </c>
      <c r="F170" s="721">
        <f>IF(OR(OR(E170=0,E170=" "),OR(D170=0,D170=" "))," ",D170*E170)</f>
        <v>320</v>
      </c>
    </row>
    <row r="171" spans="1:6" ht="27.6">
      <c r="A171" s="517" t="s">
        <v>49</v>
      </c>
      <c r="B171" s="523" t="s">
        <v>3825</v>
      </c>
      <c r="C171" s="519" t="s">
        <v>697</v>
      </c>
      <c r="D171" s="522">
        <v>140</v>
      </c>
      <c r="E171" s="722">
        <v>35</v>
      </c>
      <c r="F171" s="721">
        <f t="shared" ref="F171:F183" si="1">IF(OR(OR(E171=0,E171=" "),OR(D171=0,D171=" "))," ",D171*E171)</f>
        <v>4900</v>
      </c>
    </row>
    <row r="172" spans="1:6">
      <c r="A172" s="517" t="s">
        <v>51</v>
      </c>
      <c r="B172" s="523" t="s">
        <v>3826</v>
      </c>
      <c r="C172" s="519" t="s">
        <v>697</v>
      </c>
      <c r="D172" s="522">
        <v>75</v>
      </c>
      <c r="E172" s="722">
        <v>22</v>
      </c>
      <c r="F172" s="721">
        <f t="shared" si="1"/>
        <v>1650</v>
      </c>
    </row>
    <row r="173" spans="1:6">
      <c r="A173" s="517" t="s">
        <v>53</v>
      </c>
      <c r="B173" s="523" t="s">
        <v>3827</v>
      </c>
      <c r="C173" s="519" t="s">
        <v>697</v>
      </c>
      <c r="D173" s="522">
        <v>40</v>
      </c>
      <c r="E173" s="722">
        <v>14</v>
      </c>
      <c r="F173" s="721">
        <f t="shared" si="1"/>
        <v>560</v>
      </c>
    </row>
    <row r="174" spans="1:6">
      <c r="A174" s="517" t="s">
        <v>698</v>
      </c>
      <c r="B174" s="523" t="s">
        <v>3828</v>
      </c>
      <c r="C174" s="519" t="s">
        <v>697</v>
      </c>
      <c r="D174" s="522">
        <v>50</v>
      </c>
      <c r="E174" s="722">
        <v>22</v>
      </c>
      <c r="F174" s="721">
        <f t="shared" si="1"/>
        <v>1100</v>
      </c>
    </row>
    <row r="175" spans="1:6">
      <c r="A175" s="517" t="s">
        <v>699</v>
      </c>
      <c r="B175" s="523" t="s">
        <v>3829</v>
      </c>
      <c r="C175" s="519" t="s">
        <v>697</v>
      </c>
      <c r="D175" s="522">
        <v>15</v>
      </c>
      <c r="E175" s="722">
        <v>65</v>
      </c>
      <c r="F175" s="721">
        <f t="shared" si="1"/>
        <v>975</v>
      </c>
    </row>
    <row r="176" spans="1:6">
      <c r="A176" s="517" t="s">
        <v>745</v>
      </c>
      <c r="B176" s="523" t="s">
        <v>3830</v>
      </c>
      <c r="C176" s="519" t="s">
        <v>697</v>
      </c>
      <c r="D176" s="522">
        <v>20</v>
      </c>
      <c r="E176" s="722">
        <v>25</v>
      </c>
      <c r="F176" s="721">
        <f t="shared" si="1"/>
        <v>500</v>
      </c>
    </row>
    <row r="177" spans="1:6">
      <c r="A177" s="517" t="s">
        <v>803</v>
      </c>
      <c r="B177" s="523" t="s">
        <v>3831</v>
      </c>
      <c r="C177" s="519" t="s">
        <v>697</v>
      </c>
      <c r="D177" s="522">
        <v>50</v>
      </c>
      <c r="E177" s="722">
        <v>12</v>
      </c>
      <c r="F177" s="721">
        <f t="shared" si="1"/>
        <v>600</v>
      </c>
    </row>
    <row r="178" spans="1:6">
      <c r="E178" s="722"/>
      <c r="F178" s="720"/>
    </row>
    <row r="179" spans="1:6" ht="41.4">
      <c r="A179" s="517" t="s">
        <v>1991</v>
      </c>
      <c r="B179" s="523" t="s">
        <v>3254</v>
      </c>
      <c r="C179" s="519" t="s">
        <v>649</v>
      </c>
      <c r="D179" s="522">
        <v>10</v>
      </c>
      <c r="E179" s="722">
        <v>50</v>
      </c>
      <c r="F179" s="721">
        <f t="shared" si="1"/>
        <v>500</v>
      </c>
    </row>
    <row r="180" spans="1:6" ht="14.25" customHeight="1">
      <c r="E180" s="722"/>
      <c r="F180" s="720"/>
    </row>
    <row r="181" spans="1:6" ht="27.6">
      <c r="A181" s="517" t="s">
        <v>1992</v>
      </c>
      <c r="B181" s="523" t="s">
        <v>2154</v>
      </c>
      <c r="C181" s="519" t="s">
        <v>649</v>
      </c>
      <c r="D181" s="522">
        <v>2</v>
      </c>
      <c r="E181" s="722">
        <v>90</v>
      </c>
      <c r="F181" s="721">
        <f t="shared" si="1"/>
        <v>180</v>
      </c>
    </row>
    <row r="182" spans="1:6">
      <c r="E182" s="722"/>
      <c r="F182" s="720"/>
    </row>
    <row r="183" spans="1:6" ht="55.2">
      <c r="A183" s="517" t="s">
        <v>1993</v>
      </c>
      <c r="B183" s="523" t="s">
        <v>3228</v>
      </c>
      <c r="C183" s="519" t="s">
        <v>670</v>
      </c>
      <c r="D183" s="522">
        <v>1</v>
      </c>
      <c r="E183" s="720">
        <v>5000</v>
      </c>
      <c r="F183" s="721">
        <f t="shared" si="1"/>
        <v>5000</v>
      </c>
    </row>
    <row r="184" spans="1:6">
      <c r="E184" s="720"/>
      <c r="F184" s="720"/>
    </row>
    <row r="185" spans="1:6" ht="55.2">
      <c r="A185" s="689" t="s">
        <v>1994</v>
      </c>
      <c r="B185" s="523" t="s">
        <v>3229</v>
      </c>
      <c r="E185" s="722"/>
      <c r="F185" s="720"/>
    </row>
    <row r="186" spans="1:6">
      <c r="A186" s="517" t="s">
        <v>48</v>
      </c>
      <c r="B186" s="523" t="s">
        <v>2155</v>
      </c>
      <c r="C186" s="519" t="s">
        <v>649</v>
      </c>
      <c r="D186" s="522">
        <v>40</v>
      </c>
      <c r="E186" s="722">
        <v>25</v>
      </c>
      <c r="F186" s="721">
        <f t="shared" ref="F186:F188" si="2">IF(OR(OR(E186=0,E186=" "),OR(D186=0,D186=" "))," ",D186*E186)</f>
        <v>1000</v>
      </c>
    </row>
    <row r="187" spans="1:6">
      <c r="A187" s="517" t="s">
        <v>49</v>
      </c>
      <c r="B187" s="523" t="s">
        <v>2156</v>
      </c>
      <c r="C187" s="519" t="s">
        <v>649</v>
      </c>
      <c r="D187" s="522">
        <v>70</v>
      </c>
      <c r="E187" s="722">
        <v>26</v>
      </c>
      <c r="F187" s="721">
        <f t="shared" si="2"/>
        <v>1820</v>
      </c>
    </row>
    <row r="188" spans="1:6">
      <c r="A188" s="517" t="s">
        <v>51</v>
      </c>
      <c r="B188" s="523" t="s">
        <v>2157</v>
      </c>
      <c r="C188" s="519" t="s">
        <v>649</v>
      </c>
      <c r="D188" s="522">
        <v>50</v>
      </c>
      <c r="E188" s="722">
        <v>27</v>
      </c>
      <c r="F188" s="721">
        <f t="shared" si="2"/>
        <v>1350</v>
      </c>
    </row>
    <row r="189" spans="1:6">
      <c r="E189" s="722"/>
      <c r="F189" s="720"/>
    </row>
    <row r="190" spans="1:6">
      <c r="A190" s="517" t="s">
        <v>1995</v>
      </c>
      <c r="B190" s="523" t="s">
        <v>2158</v>
      </c>
      <c r="D190" s="690"/>
      <c r="E190" s="722"/>
      <c r="F190" s="725"/>
    </row>
    <row r="191" spans="1:6" ht="27.6">
      <c r="B191" s="523" t="s">
        <v>2159</v>
      </c>
      <c r="D191" s="690"/>
      <c r="E191" s="722"/>
      <c r="F191" s="725"/>
    </row>
    <row r="192" spans="1:6">
      <c r="A192" s="517" t="s">
        <v>267</v>
      </c>
      <c r="B192" s="523" t="s">
        <v>2160</v>
      </c>
      <c r="D192" s="690"/>
      <c r="E192" s="722"/>
      <c r="F192" s="725"/>
    </row>
    <row r="193" spans="1:6">
      <c r="A193" s="517" t="s">
        <v>267</v>
      </c>
      <c r="B193" s="523" t="s">
        <v>2161</v>
      </c>
      <c r="D193" s="690"/>
      <c r="E193" s="722"/>
      <c r="F193" s="725"/>
    </row>
    <row r="194" spans="1:6" ht="27.6">
      <c r="A194" s="517" t="s">
        <v>267</v>
      </c>
      <c r="B194" s="523" t="s">
        <v>2162</v>
      </c>
      <c r="D194" s="690"/>
      <c r="E194" s="722"/>
      <c r="F194" s="725"/>
    </row>
    <row r="195" spans="1:6" ht="41.4">
      <c r="A195" s="517" t="s">
        <v>267</v>
      </c>
      <c r="B195" s="527" t="s">
        <v>3255</v>
      </c>
      <c r="C195" s="528"/>
      <c r="D195" s="530"/>
      <c r="E195" s="722"/>
      <c r="F195" s="725"/>
    </row>
    <row r="196" spans="1:6">
      <c r="B196" s="523" t="s">
        <v>904</v>
      </c>
      <c r="C196" s="519" t="s">
        <v>670</v>
      </c>
      <c r="D196" s="522">
        <v>1</v>
      </c>
      <c r="E196" s="722">
        <v>1000</v>
      </c>
      <c r="F196" s="721">
        <f t="shared" ref="F196" si="3">IF(OR(OR(E196=0,E196=" "),OR(D196=0,D196=" "))," ",D196*E196)</f>
        <v>1000</v>
      </c>
    </row>
    <row r="197" spans="1:6" ht="41.4">
      <c r="B197" s="523" t="s">
        <v>3832</v>
      </c>
      <c r="D197" s="690"/>
      <c r="E197" s="722"/>
      <c r="F197" s="725"/>
    </row>
    <row r="198" spans="1:6">
      <c r="A198" s="506"/>
      <c r="B198" s="510"/>
      <c r="C198" s="508"/>
      <c r="D198" s="509"/>
      <c r="E198" s="722"/>
      <c r="F198" s="722"/>
    </row>
    <row r="199" spans="1:6">
      <c r="A199" s="517" t="s">
        <v>1996</v>
      </c>
      <c r="B199" s="523" t="s">
        <v>2163</v>
      </c>
      <c r="D199" s="690"/>
      <c r="E199" s="722"/>
      <c r="F199" s="725"/>
    </row>
    <row r="200" spans="1:6" ht="27.6">
      <c r="B200" s="523" t="s">
        <v>2164</v>
      </c>
      <c r="D200" s="690"/>
      <c r="E200" s="722"/>
      <c r="F200" s="725"/>
    </row>
    <row r="201" spans="1:6">
      <c r="A201" s="517" t="s">
        <v>267</v>
      </c>
      <c r="B201" s="523" t="s">
        <v>2160</v>
      </c>
      <c r="D201" s="690"/>
      <c r="E201" s="722"/>
      <c r="F201" s="725"/>
    </row>
    <row r="202" spans="1:6">
      <c r="A202" s="517" t="s">
        <v>267</v>
      </c>
      <c r="B202" s="523" t="s">
        <v>2161</v>
      </c>
      <c r="D202" s="690"/>
      <c r="E202" s="722"/>
      <c r="F202" s="725"/>
    </row>
    <row r="203" spans="1:6" ht="27.6">
      <c r="A203" s="517" t="s">
        <v>267</v>
      </c>
      <c r="B203" s="523" t="s">
        <v>2162</v>
      </c>
      <c r="D203" s="690"/>
      <c r="E203" s="722"/>
      <c r="F203" s="725"/>
    </row>
    <row r="204" spans="1:6" ht="41.4">
      <c r="A204" s="517" t="s">
        <v>267</v>
      </c>
      <c r="B204" s="527" t="s">
        <v>3255</v>
      </c>
      <c r="C204" s="528"/>
      <c r="D204" s="530"/>
      <c r="E204" s="722"/>
      <c r="F204" s="725"/>
    </row>
    <row r="205" spans="1:6">
      <c r="B205" s="523" t="s">
        <v>904</v>
      </c>
      <c r="C205" s="519" t="s">
        <v>670</v>
      </c>
      <c r="D205" s="522">
        <v>1</v>
      </c>
      <c r="E205" s="722">
        <v>1000</v>
      </c>
      <c r="F205" s="721">
        <f t="shared" ref="F205" si="4">IF(OR(OR(E205=0,E205=" "),OR(D205=0,D205=" "))," ",D205*E205)</f>
        <v>1000</v>
      </c>
    </row>
    <row r="206" spans="1:6" ht="41.4">
      <c r="B206" s="523" t="s">
        <v>2165</v>
      </c>
      <c r="D206" s="690"/>
      <c r="E206" s="722"/>
      <c r="F206" s="725"/>
    </row>
    <row r="207" spans="1:6">
      <c r="E207" s="720"/>
      <c r="F207" s="720"/>
    </row>
    <row r="208" spans="1:6">
      <c r="A208" s="526"/>
      <c r="B208" s="527"/>
      <c r="C208" s="528"/>
      <c r="D208" s="530"/>
      <c r="E208" s="681"/>
      <c r="F208" s="681"/>
    </row>
    <row r="209" spans="1:6" ht="27.6">
      <c r="A209" s="517" t="s">
        <v>8</v>
      </c>
      <c r="B209" s="518" t="s">
        <v>2166</v>
      </c>
      <c r="C209" s="531"/>
      <c r="D209" s="517"/>
      <c r="E209" s="691"/>
      <c r="F209" s="727">
        <f>SUM(F28:F206)</f>
        <v>52861</v>
      </c>
    </row>
    <row r="213" spans="1:6">
      <c r="A213" s="495" t="s">
        <v>9</v>
      </c>
      <c r="B213" s="496" t="s">
        <v>2167</v>
      </c>
      <c r="C213" s="497"/>
      <c r="D213" s="498"/>
      <c r="E213" s="677"/>
      <c r="F213" s="677"/>
    </row>
    <row r="215" spans="1:6" ht="41.4">
      <c r="B215" s="523" t="s">
        <v>4829</v>
      </c>
    </row>
    <row r="216" spans="1:6">
      <c r="A216" s="517" t="s">
        <v>2168</v>
      </c>
      <c r="B216" s="518" t="s">
        <v>2169</v>
      </c>
    </row>
    <row r="217" spans="1:6" ht="55.2">
      <c r="B217" s="523" t="s">
        <v>4828</v>
      </c>
    </row>
    <row r="218" spans="1:6">
      <c r="B218" s="518"/>
    </row>
    <row r="219" spans="1:6">
      <c r="A219" s="517" t="s">
        <v>2170</v>
      </c>
      <c r="B219" s="518" t="s">
        <v>3833</v>
      </c>
    </row>
    <row r="220" spans="1:6" ht="220.8">
      <c r="B220" s="692" t="s">
        <v>3834</v>
      </c>
      <c r="C220" s="519" t="s">
        <v>649</v>
      </c>
      <c r="D220" s="522">
        <v>63</v>
      </c>
      <c r="E220" s="720">
        <v>249</v>
      </c>
      <c r="F220" s="721">
        <f t="shared" ref="F220" si="5">IF(OR(OR(E220=0,E220=" "),OR(D220=0,D220=" "))," ",D220*E220)</f>
        <v>15687</v>
      </c>
    </row>
    <row r="221" spans="1:6">
      <c r="B221" s="518"/>
      <c r="E221" s="720"/>
      <c r="F221" s="720"/>
    </row>
    <row r="222" spans="1:6">
      <c r="A222" s="517" t="s">
        <v>2171</v>
      </c>
      <c r="B222" s="692" t="s">
        <v>3835</v>
      </c>
      <c r="C222" s="519" t="s">
        <v>649</v>
      </c>
      <c r="D222" s="522">
        <v>3</v>
      </c>
      <c r="E222" s="720">
        <v>59</v>
      </c>
      <c r="F222" s="721">
        <f t="shared" ref="F222" si="6">IF(OR(OR(E222=0,E222=" "),OR(D222=0,D222=" "))," ",D222*E222)</f>
        <v>177</v>
      </c>
    </row>
    <row r="223" spans="1:6">
      <c r="A223" s="486"/>
      <c r="B223" s="518"/>
      <c r="E223" s="720"/>
      <c r="F223" s="720"/>
    </row>
    <row r="224" spans="1:6">
      <c r="A224" s="517" t="s">
        <v>2172</v>
      </c>
      <c r="B224" s="523" t="s">
        <v>3836</v>
      </c>
      <c r="E224" s="720"/>
      <c r="F224" s="720"/>
    </row>
    <row r="225" spans="1:6" ht="193.2">
      <c r="B225" s="692" t="s">
        <v>3837</v>
      </c>
      <c r="C225" s="519" t="s">
        <v>649</v>
      </c>
      <c r="D225" s="522">
        <v>80</v>
      </c>
      <c r="E225" s="720">
        <v>84.75</v>
      </c>
      <c r="F225" s="721">
        <f t="shared" ref="F225" si="7">IF(OR(OR(E225=0,E225=" "),OR(D225=0,D225=" "))," ",D225*E225)</f>
        <v>6780</v>
      </c>
    </row>
    <row r="226" spans="1:6">
      <c r="E226" s="720"/>
      <c r="F226" s="720"/>
    </row>
    <row r="227" spans="1:6">
      <c r="A227" s="517" t="s">
        <v>2173</v>
      </c>
      <c r="B227" s="523" t="s">
        <v>3838</v>
      </c>
      <c r="E227" s="720"/>
      <c r="F227" s="720"/>
    </row>
    <row r="228" spans="1:6" ht="193.2">
      <c r="B228" s="692" t="s">
        <v>3839</v>
      </c>
      <c r="C228" s="519" t="s">
        <v>649</v>
      </c>
      <c r="D228" s="522">
        <v>11</v>
      </c>
      <c r="E228" s="720">
        <v>55.5</v>
      </c>
      <c r="F228" s="721">
        <f t="shared" ref="F228" si="8">IF(OR(OR(E228=0,E228=" "),OR(D228=0,D228=" "))," ",D228*E228)</f>
        <v>610.5</v>
      </c>
    </row>
    <row r="229" spans="1:6">
      <c r="E229" s="720"/>
      <c r="F229" s="720"/>
    </row>
    <row r="230" spans="1:6">
      <c r="A230" s="517" t="s">
        <v>2175</v>
      </c>
      <c r="B230" s="523" t="s">
        <v>2174</v>
      </c>
      <c r="E230" s="720"/>
      <c r="F230" s="720"/>
    </row>
    <row r="231" spans="1:6" ht="193.2">
      <c r="B231" s="692" t="s">
        <v>3840</v>
      </c>
      <c r="C231" s="519" t="s">
        <v>649</v>
      </c>
      <c r="D231" s="522">
        <v>42</v>
      </c>
      <c r="E231" s="720">
        <v>143.25</v>
      </c>
      <c r="F231" s="721">
        <f t="shared" ref="F231" si="9">IF(OR(OR(E231=0,E231=" "),OR(D231=0,D231=" "))," ",D231*E231)</f>
        <v>6016.5</v>
      </c>
    </row>
    <row r="232" spans="1:6">
      <c r="E232" s="720"/>
      <c r="F232" s="720"/>
    </row>
    <row r="233" spans="1:6">
      <c r="A233" s="517" t="s">
        <v>2177</v>
      </c>
      <c r="B233" s="523" t="s">
        <v>3841</v>
      </c>
      <c r="E233" s="720"/>
      <c r="F233" s="720"/>
    </row>
    <row r="234" spans="1:6" ht="193.2">
      <c r="B234" s="692" t="s">
        <v>3842</v>
      </c>
      <c r="C234" s="519" t="s">
        <v>649</v>
      </c>
      <c r="D234" s="522">
        <v>4</v>
      </c>
      <c r="E234" s="720">
        <v>157.5</v>
      </c>
      <c r="F234" s="721">
        <f t="shared" ref="F234" si="10">IF(OR(OR(E234=0,E234=" "),OR(D234=0,D234=" "))," ",D234*E234)</f>
        <v>630</v>
      </c>
    </row>
    <row r="235" spans="1:6">
      <c r="E235" s="720"/>
      <c r="F235" s="720"/>
    </row>
    <row r="236" spans="1:6">
      <c r="A236" s="517" t="s">
        <v>2179</v>
      </c>
      <c r="B236" s="523" t="s">
        <v>2176</v>
      </c>
      <c r="E236" s="720"/>
      <c r="F236" s="720"/>
    </row>
    <row r="237" spans="1:6" ht="207">
      <c r="B237" s="692" t="s">
        <v>3843</v>
      </c>
      <c r="C237" s="519" t="s">
        <v>649</v>
      </c>
      <c r="D237" s="522">
        <v>18</v>
      </c>
      <c r="E237" s="720">
        <v>110.5</v>
      </c>
      <c r="F237" s="721">
        <f t="shared" ref="F237" si="11">IF(OR(OR(E237=0,E237=" "),OR(D237=0,D237=" "))," ",D237*E237)</f>
        <v>1989</v>
      </c>
    </row>
    <row r="238" spans="1:6">
      <c r="E238" s="720"/>
      <c r="F238" s="720"/>
    </row>
    <row r="239" spans="1:6">
      <c r="A239" s="517" t="s">
        <v>2180</v>
      </c>
      <c r="B239" s="523" t="s">
        <v>3844</v>
      </c>
      <c r="E239" s="720"/>
      <c r="F239" s="720"/>
    </row>
    <row r="240" spans="1:6" ht="207">
      <c r="B240" s="692" t="s">
        <v>3845</v>
      </c>
      <c r="C240" s="519" t="s">
        <v>649</v>
      </c>
      <c r="D240" s="522">
        <v>8</v>
      </c>
      <c r="E240" s="720">
        <v>125</v>
      </c>
      <c r="F240" s="721">
        <f t="shared" ref="F240" si="12">IF(OR(OR(E240=0,E240=" "),OR(D240=0,D240=" "))," ",D240*E240)</f>
        <v>1000</v>
      </c>
    </row>
    <row r="241" spans="1:6">
      <c r="E241" s="720"/>
      <c r="F241" s="720"/>
    </row>
    <row r="242" spans="1:6">
      <c r="A242" s="517" t="s">
        <v>2181</v>
      </c>
      <c r="B242" s="523" t="s">
        <v>2178</v>
      </c>
      <c r="E242" s="720"/>
      <c r="F242" s="720"/>
    </row>
    <row r="243" spans="1:6" ht="165.6">
      <c r="B243" s="692" t="s">
        <v>4046</v>
      </c>
      <c r="C243" s="519" t="s">
        <v>649</v>
      </c>
      <c r="D243" s="522">
        <v>18</v>
      </c>
      <c r="E243" s="720">
        <v>145.5</v>
      </c>
      <c r="F243" s="721">
        <f t="shared" ref="F243" si="13">IF(OR(OR(E243=0,E243=" "),OR(D243=0,D243=" "))," ",D243*E243)</f>
        <v>2619</v>
      </c>
    </row>
    <row r="244" spans="1:6">
      <c r="E244" s="720"/>
      <c r="F244" s="720"/>
    </row>
    <row r="245" spans="1:6">
      <c r="A245" s="517" t="s">
        <v>2182</v>
      </c>
      <c r="B245" s="523" t="s">
        <v>3846</v>
      </c>
      <c r="E245" s="720"/>
      <c r="F245" s="720"/>
    </row>
    <row r="246" spans="1:6" ht="179.4">
      <c r="B246" s="692" t="s">
        <v>4047</v>
      </c>
      <c r="C246" s="519" t="s">
        <v>649</v>
      </c>
      <c r="D246" s="522">
        <v>20</v>
      </c>
      <c r="E246" s="720">
        <v>80.25</v>
      </c>
      <c r="F246" s="721">
        <f t="shared" ref="F246:F247" si="14">IF(OR(OR(E246=0,E246=" "),OR(D246=0,D246=" "))," ",D246*E246)</f>
        <v>1605</v>
      </c>
    </row>
    <row r="247" spans="1:6">
      <c r="B247" s="692" t="s">
        <v>3847</v>
      </c>
      <c r="C247" s="519" t="s">
        <v>649</v>
      </c>
      <c r="D247" s="522">
        <v>10</v>
      </c>
      <c r="E247" s="720">
        <v>9.5</v>
      </c>
      <c r="F247" s="721">
        <f t="shared" si="14"/>
        <v>95</v>
      </c>
    </row>
    <row r="248" spans="1:6">
      <c r="E248" s="720"/>
      <c r="F248" s="720"/>
    </row>
    <row r="249" spans="1:6">
      <c r="A249" s="517" t="s">
        <v>2184</v>
      </c>
      <c r="B249" s="523" t="s">
        <v>2183</v>
      </c>
      <c r="E249" s="720"/>
      <c r="F249" s="720"/>
    </row>
    <row r="250" spans="1:6" ht="151.80000000000001">
      <c r="B250" s="692" t="s">
        <v>4048</v>
      </c>
      <c r="C250" s="519" t="s">
        <v>649</v>
      </c>
      <c r="D250" s="522">
        <v>7</v>
      </c>
      <c r="E250" s="720">
        <v>79</v>
      </c>
      <c r="F250" s="721">
        <f t="shared" ref="F250" si="15">IF(OR(OR(E250=0,E250=" "),OR(D250=0,D250=" "))," ",D250*E250)</f>
        <v>553</v>
      </c>
    </row>
    <row r="251" spans="1:6">
      <c r="E251" s="720"/>
      <c r="F251" s="720"/>
    </row>
    <row r="252" spans="1:6">
      <c r="A252" s="517" t="s">
        <v>2185</v>
      </c>
      <c r="B252" s="523" t="s">
        <v>2186</v>
      </c>
      <c r="E252" s="720"/>
      <c r="F252" s="720"/>
    </row>
    <row r="253" spans="1:6" ht="138">
      <c r="A253" s="517" t="s">
        <v>48</v>
      </c>
      <c r="B253" s="692" t="s">
        <v>4049</v>
      </c>
      <c r="C253" s="519" t="s">
        <v>649</v>
      </c>
      <c r="D253" s="522">
        <v>6</v>
      </c>
      <c r="E253" s="720">
        <v>137</v>
      </c>
      <c r="F253" s="721">
        <f t="shared" ref="F253:F255" si="16">IF(OR(OR(E253=0,E253=" "),OR(D253=0,D253=" "))," ",D253*E253)</f>
        <v>822</v>
      </c>
    </row>
    <row r="254" spans="1:6" ht="69">
      <c r="A254" s="517" t="s">
        <v>49</v>
      </c>
      <c r="B254" s="692" t="s">
        <v>4050</v>
      </c>
      <c r="C254" s="519" t="s">
        <v>649</v>
      </c>
      <c r="D254" s="522">
        <v>6</v>
      </c>
      <c r="E254" s="720">
        <v>55</v>
      </c>
      <c r="F254" s="721">
        <f t="shared" si="16"/>
        <v>330</v>
      </c>
    </row>
    <row r="255" spans="1:6" ht="55.2">
      <c r="A255" s="517" t="s">
        <v>51</v>
      </c>
      <c r="B255" s="692" t="s">
        <v>4051</v>
      </c>
      <c r="C255" s="519" t="s">
        <v>649</v>
      </c>
      <c r="D255" s="522">
        <v>1</v>
      </c>
      <c r="E255" s="720">
        <v>75</v>
      </c>
      <c r="F255" s="721">
        <f t="shared" si="16"/>
        <v>75</v>
      </c>
    </row>
    <row r="256" spans="1:6">
      <c r="E256" s="720"/>
      <c r="F256" s="720"/>
    </row>
    <row r="257" spans="1:6">
      <c r="A257" s="517" t="s">
        <v>2187</v>
      </c>
      <c r="B257" s="523" t="s">
        <v>2188</v>
      </c>
      <c r="E257" s="720"/>
      <c r="F257" s="720"/>
    </row>
    <row r="258" spans="1:6" ht="124.2">
      <c r="B258" s="692" t="s">
        <v>4052</v>
      </c>
      <c r="C258" s="519" t="s">
        <v>649</v>
      </c>
      <c r="D258" s="522">
        <v>1</v>
      </c>
      <c r="E258" s="720">
        <v>101</v>
      </c>
      <c r="F258" s="721">
        <f t="shared" ref="F258" si="17">IF(OR(OR(E258=0,E258=" "),OR(D258=0,D258=" "))," ",D258*E258)</f>
        <v>101</v>
      </c>
    </row>
    <row r="259" spans="1:6">
      <c r="A259" s="486"/>
      <c r="E259" s="720"/>
      <c r="F259" s="720"/>
    </row>
    <row r="260" spans="1:6">
      <c r="A260" s="517" t="s">
        <v>2189</v>
      </c>
      <c r="B260" s="523" t="s">
        <v>2190</v>
      </c>
      <c r="E260" s="720"/>
      <c r="F260" s="720"/>
    </row>
    <row r="261" spans="1:6" ht="138">
      <c r="B261" s="692" t="s">
        <v>3848</v>
      </c>
      <c r="C261" s="519" t="s">
        <v>649</v>
      </c>
      <c r="D261" s="522">
        <v>2</v>
      </c>
      <c r="E261" s="720">
        <v>84.75</v>
      </c>
      <c r="F261" s="721">
        <f t="shared" ref="F261" si="18">IF(OR(OR(E261=0,E261=" "),OR(D261=0,D261=" "))," ",D261*E261)</f>
        <v>169.5</v>
      </c>
    </row>
    <row r="262" spans="1:6">
      <c r="A262" s="486"/>
      <c r="E262" s="720"/>
      <c r="F262" s="720"/>
    </row>
    <row r="263" spans="1:6">
      <c r="A263" s="517" t="s">
        <v>2191</v>
      </c>
      <c r="B263" s="523" t="s">
        <v>3849</v>
      </c>
      <c r="E263" s="720"/>
      <c r="F263" s="720"/>
    </row>
    <row r="264" spans="1:6" ht="138">
      <c r="B264" s="692" t="s">
        <v>3850</v>
      </c>
      <c r="C264" s="519" t="s">
        <v>649</v>
      </c>
      <c r="D264" s="522">
        <v>7</v>
      </c>
      <c r="E264" s="720">
        <v>90.75</v>
      </c>
      <c r="F264" s="721">
        <f t="shared" ref="F264" si="19">IF(OR(OR(E264=0,E264=" "),OR(D264=0,D264=" "))," ",D264*E264)</f>
        <v>635.25</v>
      </c>
    </row>
    <row r="265" spans="1:6">
      <c r="E265" s="720"/>
      <c r="F265" s="720"/>
    </row>
    <row r="266" spans="1:6">
      <c r="A266" s="517" t="s">
        <v>2193</v>
      </c>
      <c r="B266" s="523" t="s">
        <v>3851</v>
      </c>
      <c r="E266" s="720"/>
      <c r="F266" s="720"/>
    </row>
    <row r="267" spans="1:6" ht="165.6">
      <c r="B267" s="692" t="s">
        <v>3852</v>
      </c>
      <c r="C267" s="519" t="s">
        <v>649</v>
      </c>
      <c r="D267" s="522">
        <v>22</v>
      </c>
      <c r="E267" s="720">
        <v>85.5</v>
      </c>
      <c r="F267" s="721">
        <f t="shared" ref="F267" si="20">IF(OR(OR(E267=0,E267=" "),OR(D267=0,D267=" "))," ",D267*E267)</f>
        <v>1881</v>
      </c>
    </row>
    <row r="268" spans="1:6">
      <c r="B268" s="693"/>
      <c r="E268" s="720"/>
      <c r="F268" s="720"/>
    </row>
    <row r="269" spans="1:6">
      <c r="A269" s="517" t="s">
        <v>2194</v>
      </c>
      <c r="B269" s="523" t="s">
        <v>2192</v>
      </c>
      <c r="E269" s="720"/>
      <c r="F269" s="720"/>
    </row>
    <row r="270" spans="1:6" ht="165.6">
      <c r="B270" s="692" t="s">
        <v>3853</v>
      </c>
      <c r="C270" s="519" t="s">
        <v>649</v>
      </c>
      <c r="D270" s="522">
        <v>10</v>
      </c>
      <c r="E270" s="720">
        <v>110.25</v>
      </c>
      <c r="F270" s="721">
        <f t="shared" ref="F270" si="21">IF(OR(OR(E270=0,E270=" "),OR(D270=0,D270=" "))," ",D270*E270)</f>
        <v>1102.5</v>
      </c>
    </row>
    <row r="271" spans="1:6">
      <c r="B271" s="693"/>
      <c r="E271" s="720"/>
      <c r="F271" s="720"/>
    </row>
    <row r="272" spans="1:6">
      <c r="A272" s="517" t="s">
        <v>2195</v>
      </c>
      <c r="B272" s="523" t="s">
        <v>3854</v>
      </c>
      <c r="E272" s="720"/>
      <c r="F272" s="720"/>
    </row>
    <row r="273" spans="1:6" ht="165.6">
      <c r="B273" s="692" t="s">
        <v>5154</v>
      </c>
      <c r="C273" s="519" t="s">
        <v>649</v>
      </c>
      <c r="D273" s="522">
        <v>5</v>
      </c>
      <c r="E273" s="720">
        <v>97.5</v>
      </c>
      <c r="F273" s="721">
        <f t="shared" ref="F273" si="22">IF(OR(OR(E273=0,E273=" "),OR(D273=0,D273=" "))," ",D273*E273)</f>
        <v>487.5</v>
      </c>
    </row>
    <row r="274" spans="1:6">
      <c r="E274" s="720"/>
      <c r="F274" s="720"/>
    </row>
    <row r="275" spans="1:6">
      <c r="A275" s="517" t="s">
        <v>2197</v>
      </c>
      <c r="B275" s="523" t="s">
        <v>3855</v>
      </c>
      <c r="E275" s="720"/>
      <c r="F275" s="720"/>
    </row>
    <row r="276" spans="1:6" ht="179.4">
      <c r="B276" s="692" t="s">
        <v>3856</v>
      </c>
      <c r="C276" s="519" t="s">
        <v>649</v>
      </c>
      <c r="D276" s="522">
        <v>14</v>
      </c>
      <c r="E276" s="720">
        <v>91.5</v>
      </c>
      <c r="F276" s="721">
        <f t="shared" ref="F276" si="23">IF(OR(OR(E276=0,E276=" "),OR(D276=0,D276=" "))," ",D276*E276)</f>
        <v>1281</v>
      </c>
    </row>
    <row r="277" spans="1:6">
      <c r="E277" s="720"/>
      <c r="F277" s="720"/>
    </row>
    <row r="278" spans="1:6">
      <c r="A278" s="517" t="s">
        <v>3857</v>
      </c>
      <c r="B278" s="523" t="s">
        <v>3858</v>
      </c>
      <c r="E278" s="720"/>
      <c r="F278" s="720"/>
    </row>
    <row r="279" spans="1:6" ht="179.4">
      <c r="B279" s="692" t="s">
        <v>3859</v>
      </c>
      <c r="C279" s="519" t="s">
        <v>649</v>
      </c>
      <c r="D279" s="522">
        <v>35</v>
      </c>
      <c r="E279" s="720">
        <v>97.5</v>
      </c>
      <c r="F279" s="721">
        <f t="shared" ref="F279" si="24">IF(OR(OR(E279=0,E279=" "),OR(D279=0,D279=" "))," ",D279*E279)</f>
        <v>3412.5</v>
      </c>
    </row>
    <row r="280" spans="1:6">
      <c r="A280" s="486"/>
      <c r="E280" s="720"/>
      <c r="F280" s="720"/>
    </row>
    <row r="281" spans="1:6" ht="27.6">
      <c r="A281" s="517" t="s">
        <v>3860</v>
      </c>
      <c r="B281" s="692" t="s">
        <v>3861</v>
      </c>
      <c r="C281" s="519" t="s">
        <v>649</v>
      </c>
      <c r="D281" s="522">
        <v>16</v>
      </c>
      <c r="E281" s="720">
        <v>92.57</v>
      </c>
      <c r="F281" s="721">
        <f t="shared" ref="F281" si="25">IF(OR(OR(E281=0,E281=" "),OR(D281=0,D281=" "))," ",D281*E281)</f>
        <v>1481.12</v>
      </c>
    </row>
    <row r="282" spans="1:6">
      <c r="E282" s="720"/>
      <c r="F282" s="720"/>
    </row>
    <row r="283" spans="1:6" ht="207">
      <c r="A283" s="517" t="s">
        <v>3862</v>
      </c>
      <c r="B283" s="692" t="s">
        <v>3863</v>
      </c>
      <c r="C283" s="519" t="s">
        <v>649</v>
      </c>
      <c r="D283" s="522">
        <v>1</v>
      </c>
      <c r="E283" s="720">
        <v>1024</v>
      </c>
      <c r="F283" s="721">
        <f t="shared" ref="F283" si="26">IF(OR(OR(E283=0,E283=" "),OR(D283=0,D283=" "))," ",D283*E283)</f>
        <v>1024</v>
      </c>
    </row>
    <row r="284" spans="1:6">
      <c r="E284" s="720"/>
      <c r="F284" s="720"/>
    </row>
    <row r="285" spans="1:6" ht="55.2">
      <c r="A285" s="517" t="s">
        <v>3864</v>
      </c>
      <c r="B285" s="692" t="s">
        <v>2196</v>
      </c>
      <c r="C285" s="519" t="s">
        <v>649</v>
      </c>
      <c r="D285" s="522">
        <v>1</v>
      </c>
      <c r="E285" s="720">
        <v>1200</v>
      </c>
      <c r="F285" s="721">
        <f t="shared" ref="F285" si="27">IF(OR(OR(E285=0,E285=" "),OR(D285=0,D285=" "))," ",D285*E285)</f>
        <v>1200</v>
      </c>
    </row>
    <row r="286" spans="1:6">
      <c r="E286" s="720"/>
      <c r="F286" s="720"/>
    </row>
    <row r="287" spans="1:6" ht="69">
      <c r="A287" s="517" t="s">
        <v>3865</v>
      </c>
      <c r="B287" s="692" t="s">
        <v>2198</v>
      </c>
      <c r="C287" s="519" t="s">
        <v>649</v>
      </c>
      <c r="D287" s="522">
        <v>1</v>
      </c>
      <c r="E287" s="720">
        <v>2500</v>
      </c>
      <c r="F287" s="721">
        <f t="shared" ref="F287" si="28">IF(OR(OR(E287=0,E287=" "),OR(D287=0,D287=" "))," ",D287*E287)</f>
        <v>2500</v>
      </c>
    </row>
    <row r="288" spans="1:6">
      <c r="E288" s="720"/>
      <c r="F288" s="720"/>
    </row>
    <row r="289" spans="1:6">
      <c r="E289" s="722"/>
      <c r="F289" s="720"/>
    </row>
    <row r="290" spans="1:6">
      <c r="A290" s="517" t="s">
        <v>1079</v>
      </c>
      <c r="B290" s="518" t="s">
        <v>2199</v>
      </c>
      <c r="E290" s="720"/>
      <c r="F290" s="720"/>
    </row>
    <row r="291" spans="1:6" ht="55.2">
      <c r="B291" s="523" t="s">
        <v>3866</v>
      </c>
      <c r="E291" s="720"/>
      <c r="F291" s="720"/>
    </row>
    <row r="292" spans="1:6">
      <c r="E292" s="720"/>
      <c r="F292" s="720"/>
    </row>
    <row r="293" spans="1:6">
      <c r="A293" s="517" t="s">
        <v>2200</v>
      </c>
      <c r="B293" s="523" t="s">
        <v>2201</v>
      </c>
      <c r="E293" s="720"/>
      <c r="F293" s="720"/>
    </row>
    <row r="294" spans="1:6" ht="41.4">
      <c r="A294" s="517" t="s">
        <v>267</v>
      </c>
      <c r="B294" s="523" t="s">
        <v>5568</v>
      </c>
      <c r="E294" s="720"/>
      <c r="F294" s="720"/>
    </row>
    <row r="295" spans="1:6" ht="41.4">
      <c r="A295" s="517" t="s">
        <v>267</v>
      </c>
      <c r="B295" s="527" t="s">
        <v>5567</v>
      </c>
      <c r="C295" s="528"/>
      <c r="D295" s="530"/>
      <c r="E295" s="720"/>
      <c r="F295" s="720"/>
    </row>
    <row r="296" spans="1:6">
      <c r="B296" s="694" t="s">
        <v>2202</v>
      </c>
      <c r="C296" s="519" t="s">
        <v>649</v>
      </c>
      <c r="D296" s="522">
        <v>17</v>
      </c>
      <c r="E296" s="722">
        <v>12</v>
      </c>
      <c r="F296" s="721">
        <f t="shared" ref="F296" si="29">IF(OR(OR(E296=0,E296=" "),OR(D296=0,D296=" "))," ",D296*E296)</f>
        <v>204</v>
      </c>
    </row>
    <row r="297" spans="1:6">
      <c r="E297" s="720"/>
      <c r="F297" s="720"/>
    </row>
    <row r="298" spans="1:6">
      <c r="A298" s="517" t="s">
        <v>2203</v>
      </c>
      <c r="B298" s="523" t="s">
        <v>2201</v>
      </c>
      <c r="E298" s="720"/>
      <c r="F298" s="720"/>
    </row>
    <row r="299" spans="1:6" ht="41.4">
      <c r="A299" s="517" t="s">
        <v>267</v>
      </c>
      <c r="B299" s="523" t="s">
        <v>5569</v>
      </c>
      <c r="E299" s="720"/>
      <c r="F299" s="720"/>
    </row>
    <row r="300" spans="1:6" ht="41.4">
      <c r="A300" s="517" t="s">
        <v>267</v>
      </c>
      <c r="B300" s="527" t="s">
        <v>5567</v>
      </c>
      <c r="C300" s="528"/>
      <c r="D300" s="530"/>
      <c r="E300" s="720"/>
      <c r="F300" s="720"/>
    </row>
    <row r="301" spans="1:6">
      <c r="B301" s="694" t="s">
        <v>2202</v>
      </c>
      <c r="C301" s="519" t="s">
        <v>649</v>
      </c>
      <c r="D301" s="522">
        <v>8</v>
      </c>
      <c r="E301" s="722">
        <v>13</v>
      </c>
      <c r="F301" s="721">
        <f t="shared" ref="F301" si="30">IF(OR(OR(E301=0,E301=" "),OR(D301=0,D301=" "))," ",D301*E301)</f>
        <v>104</v>
      </c>
    </row>
    <row r="302" spans="1:6">
      <c r="E302" s="720"/>
      <c r="F302" s="720"/>
    </row>
    <row r="303" spans="1:6">
      <c r="A303" s="517" t="s">
        <v>2204</v>
      </c>
      <c r="B303" s="523" t="s">
        <v>2201</v>
      </c>
      <c r="E303" s="720"/>
      <c r="F303" s="720"/>
    </row>
    <row r="304" spans="1:6" ht="41.4">
      <c r="A304" s="517" t="s">
        <v>267</v>
      </c>
      <c r="B304" s="523" t="s">
        <v>5570</v>
      </c>
      <c r="E304" s="720"/>
      <c r="F304" s="720"/>
    </row>
    <row r="305" spans="1:6" ht="41.4">
      <c r="A305" s="517" t="s">
        <v>267</v>
      </c>
      <c r="B305" s="527" t="s">
        <v>5567</v>
      </c>
      <c r="C305" s="528"/>
      <c r="D305" s="530"/>
      <c r="E305" s="720"/>
      <c r="F305" s="720"/>
    </row>
    <row r="306" spans="1:6">
      <c r="B306" s="694" t="s">
        <v>2202</v>
      </c>
      <c r="C306" s="519" t="s">
        <v>649</v>
      </c>
      <c r="D306" s="522">
        <v>8</v>
      </c>
      <c r="E306" s="722">
        <v>26</v>
      </c>
      <c r="F306" s="721">
        <f t="shared" ref="F306" si="31">IF(OR(OR(E306=0,E306=" "),OR(D306=0,D306=" "))," ",D306*E306)</f>
        <v>208</v>
      </c>
    </row>
    <row r="307" spans="1:6">
      <c r="E307" s="720"/>
      <c r="F307" s="720"/>
    </row>
    <row r="308" spans="1:6">
      <c r="A308" s="517" t="s">
        <v>2205</v>
      </c>
      <c r="B308" s="523" t="s">
        <v>2201</v>
      </c>
      <c r="E308" s="720"/>
      <c r="F308" s="720"/>
    </row>
    <row r="309" spans="1:6" ht="41.4">
      <c r="A309" s="517" t="s">
        <v>267</v>
      </c>
      <c r="B309" s="523" t="s">
        <v>5572</v>
      </c>
      <c r="E309" s="720"/>
      <c r="F309" s="720"/>
    </row>
    <row r="310" spans="1:6" ht="41.4">
      <c r="A310" s="517" t="s">
        <v>267</v>
      </c>
      <c r="B310" s="527" t="s">
        <v>5571</v>
      </c>
      <c r="C310" s="528"/>
      <c r="D310" s="530"/>
      <c r="E310" s="720"/>
      <c r="F310" s="720"/>
    </row>
    <row r="311" spans="1:6">
      <c r="B311" s="694" t="s">
        <v>2202</v>
      </c>
      <c r="C311" s="519" t="s">
        <v>649</v>
      </c>
      <c r="D311" s="522">
        <v>1</v>
      </c>
      <c r="E311" s="722">
        <v>36</v>
      </c>
      <c r="F311" s="721">
        <f t="shared" ref="F311" si="32">IF(OR(OR(E311=0,E311=" "),OR(D311=0,D311=" "))," ",D311*E311)</f>
        <v>36</v>
      </c>
    </row>
    <row r="312" spans="1:6">
      <c r="E312" s="720"/>
      <c r="F312" s="720"/>
    </row>
    <row r="313" spans="1:6">
      <c r="A313" s="517" t="s">
        <v>2206</v>
      </c>
      <c r="B313" s="523" t="s">
        <v>2201</v>
      </c>
      <c r="E313" s="720"/>
      <c r="F313" s="720"/>
    </row>
    <row r="314" spans="1:6" ht="41.4">
      <c r="A314" s="517" t="s">
        <v>267</v>
      </c>
      <c r="B314" s="523" t="s">
        <v>5573</v>
      </c>
      <c r="E314" s="720"/>
      <c r="F314" s="720"/>
    </row>
    <row r="315" spans="1:6" ht="41.4">
      <c r="A315" s="517" t="s">
        <v>267</v>
      </c>
      <c r="B315" s="527" t="s">
        <v>5571</v>
      </c>
      <c r="C315" s="528"/>
      <c r="D315" s="530"/>
      <c r="E315" s="720"/>
      <c r="F315" s="720"/>
    </row>
    <row r="316" spans="1:6">
      <c r="B316" s="694" t="s">
        <v>2202</v>
      </c>
      <c r="C316" s="519" t="s">
        <v>649</v>
      </c>
      <c r="D316" s="522">
        <v>1</v>
      </c>
      <c r="E316" s="722">
        <v>39</v>
      </c>
      <c r="F316" s="721">
        <f t="shared" ref="F316" si="33">IF(OR(OR(E316=0,E316=" "),OR(D316=0,D316=" "))," ",D316*E316)</f>
        <v>39</v>
      </c>
    </row>
    <row r="317" spans="1:6">
      <c r="E317" s="720"/>
      <c r="F317" s="720"/>
    </row>
    <row r="318" spans="1:6">
      <c r="A318" s="517" t="s">
        <v>2207</v>
      </c>
      <c r="B318" s="523" t="s">
        <v>2201</v>
      </c>
      <c r="E318" s="720"/>
      <c r="F318" s="720"/>
    </row>
    <row r="319" spans="1:6" ht="41.4">
      <c r="A319" s="517" t="s">
        <v>267</v>
      </c>
      <c r="B319" s="523" t="s">
        <v>5574</v>
      </c>
      <c r="E319" s="720"/>
      <c r="F319" s="720"/>
    </row>
    <row r="320" spans="1:6" ht="41.4">
      <c r="A320" s="517" t="s">
        <v>267</v>
      </c>
      <c r="B320" s="527" t="s">
        <v>5575</v>
      </c>
      <c r="C320" s="528"/>
      <c r="D320" s="530"/>
      <c r="E320" s="720"/>
      <c r="F320" s="720"/>
    </row>
    <row r="321" spans="1:6">
      <c r="B321" s="694" t="s">
        <v>2202</v>
      </c>
      <c r="C321" s="519" t="s">
        <v>649</v>
      </c>
      <c r="D321" s="522">
        <v>2</v>
      </c>
      <c r="E321" s="722">
        <v>48</v>
      </c>
      <c r="F321" s="721">
        <f t="shared" ref="F321" si="34">IF(OR(OR(E321=0,E321=" "),OR(D321=0,D321=" "))," ",D321*E321)</f>
        <v>96</v>
      </c>
    </row>
    <row r="322" spans="1:6">
      <c r="E322" s="720"/>
      <c r="F322" s="720"/>
    </row>
    <row r="323" spans="1:6">
      <c r="A323" s="517" t="s">
        <v>2208</v>
      </c>
      <c r="B323" s="523" t="s">
        <v>2201</v>
      </c>
      <c r="E323" s="720"/>
      <c r="F323" s="720"/>
    </row>
    <row r="324" spans="1:6" ht="41.4">
      <c r="A324" s="517" t="s">
        <v>267</v>
      </c>
      <c r="B324" s="523" t="s">
        <v>5576</v>
      </c>
      <c r="E324" s="720"/>
      <c r="F324" s="720"/>
    </row>
    <row r="325" spans="1:6" ht="41.4">
      <c r="A325" s="517" t="s">
        <v>267</v>
      </c>
      <c r="B325" s="523" t="s">
        <v>5573</v>
      </c>
      <c r="E325" s="720"/>
      <c r="F325" s="720"/>
    </row>
    <row r="326" spans="1:6" ht="41.4">
      <c r="A326" s="517" t="s">
        <v>267</v>
      </c>
      <c r="B326" s="527" t="s">
        <v>5575</v>
      </c>
      <c r="C326" s="528"/>
      <c r="D326" s="530"/>
      <c r="E326" s="720"/>
      <c r="F326" s="720"/>
    </row>
    <row r="327" spans="1:6">
      <c r="B327" s="694" t="s">
        <v>2202</v>
      </c>
      <c r="C327" s="519" t="s">
        <v>649</v>
      </c>
      <c r="D327" s="522">
        <v>1</v>
      </c>
      <c r="E327" s="722">
        <v>24</v>
      </c>
      <c r="F327" s="721">
        <f t="shared" ref="F327" si="35">IF(OR(OR(E327=0,E327=" "),OR(D327=0,D327=" "))," ",D327*E327)</f>
        <v>24</v>
      </c>
    </row>
    <row r="328" spans="1:6">
      <c r="E328" s="720"/>
      <c r="F328" s="720"/>
    </row>
    <row r="329" spans="1:6">
      <c r="A329" s="517" t="s">
        <v>2209</v>
      </c>
      <c r="B329" s="523" t="s">
        <v>2201</v>
      </c>
      <c r="E329" s="919"/>
      <c r="F329" s="720"/>
    </row>
    <row r="330" spans="1:6" ht="69">
      <c r="A330" s="517" t="s">
        <v>267</v>
      </c>
      <c r="B330" s="523" t="s">
        <v>5577</v>
      </c>
      <c r="E330" s="720"/>
      <c r="F330" s="720"/>
    </row>
    <row r="331" spans="1:6" ht="41.4">
      <c r="A331" s="517" t="s">
        <v>267</v>
      </c>
      <c r="B331" s="527" t="s">
        <v>5567</v>
      </c>
      <c r="C331" s="528"/>
      <c r="D331" s="530"/>
      <c r="E331" s="720"/>
      <c r="F331" s="720"/>
    </row>
    <row r="332" spans="1:6">
      <c r="B332" s="694" t="s">
        <v>2202</v>
      </c>
      <c r="C332" s="519" t="s">
        <v>649</v>
      </c>
      <c r="D332" s="522">
        <v>10</v>
      </c>
      <c r="E332" s="720">
        <v>15</v>
      </c>
      <c r="F332" s="721">
        <f t="shared" ref="F332" si="36">IF(OR(OR(E332=0,E332=" "),OR(D332=0,D332=" "))," ",D332*E332)</f>
        <v>150</v>
      </c>
    </row>
    <row r="333" spans="1:6">
      <c r="A333" s="517" t="s">
        <v>2210</v>
      </c>
      <c r="B333" s="523" t="s">
        <v>2201</v>
      </c>
      <c r="E333" s="720"/>
      <c r="F333" s="720"/>
    </row>
    <row r="334" spans="1:6" ht="41.4">
      <c r="A334" s="517" t="s">
        <v>267</v>
      </c>
      <c r="B334" s="523" t="s">
        <v>5578</v>
      </c>
      <c r="E334" s="720"/>
      <c r="F334" s="720"/>
    </row>
    <row r="335" spans="1:6" ht="41.4">
      <c r="A335" s="517" t="s">
        <v>267</v>
      </c>
      <c r="B335" s="527" t="s">
        <v>5567</v>
      </c>
      <c r="C335" s="528"/>
      <c r="D335" s="530"/>
      <c r="E335" s="720"/>
      <c r="F335" s="720"/>
    </row>
    <row r="336" spans="1:6">
      <c r="B336" s="694" t="s">
        <v>2202</v>
      </c>
      <c r="C336" s="519" t="s">
        <v>649</v>
      </c>
      <c r="D336" s="522">
        <v>5</v>
      </c>
      <c r="E336" s="722">
        <v>13</v>
      </c>
      <c r="F336" s="721">
        <f t="shared" ref="F336" si="37">IF(OR(OR(E336=0,E336=" "),OR(D336=0,D336=" "))," ",D336*E336)</f>
        <v>65</v>
      </c>
    </row>
    <row r="337" spans="1:6">
      <c r="E337" s="720"/>
      <c r="F337" s="720"/>
    </row>
    <row r="338" spans="1:6">
      <c r="A338" s="517" t="s">
        <v>2211</v>
      </c>
      <c r="B338" s="523" t="s">
        <v>2201</v>
      </c>
      <c r="E338" s="720"/>
      <c r="F338" s="720"/>
    </row>
    <row r="339" spans="1:6" ht="41.4">
      <c r="A339" s="517" t="s">
        <v>267</v>
      </c>
      <c r="B339" s="523" t="s">
        <v>5579</v>
      </c>
      <c r="E339" s="720"/>
      <c r="F339" s="720"/>
    </row>
    <row r="340" spans="1:6" ht="41.4">
      <c r="A340" s="517" t="s">
        <v>267</v>
      </c>
      <c r="B340" s="527" t="s">
        <v>5567</v>
      </c>
      <c r="C340" s="528"/>
      <c r="D340" s="530"/>
      <c r="E340" s="720"/>
      <c r="F340" s="720"/>
    </row>
    <row r="341" spans="1:6">
      <c r="B341" s="694" t="s">
        <v>2202</v>
      </c>
      <c r="C341" s="519" t="s">
        <v>649</v>
      </c>
      <c r="D341" s="522">
        <v>23</v>
      </c>
      <c r="E341" s="722">
        <v>13</v>
      </c>
      <c r="F341" s="721">
        <f t="shared" ref="F341" si="38">IF(OR(OR(E341=0,E341=" "),OR(D341=0,D341=" "))," ",D341*E341)</f>
        <v>299</v>
      </c>
    </row>
    <row r="342" spans="1:6">
      <c r="E342" s="720"/>
      <c r="F342" s="720"/>
    </row>
    <row r="343" spans="1:6">
      <c r="A343" s="517" t="s">
        <v>2212</v>
      </c>
      <c r="B343" s="523" t="s">
        <v>2201</v>
      </c>
      <c r="E343" s="720"/>
      <c r="F343" s="720"/>
    </row>
    <row r="344" spans="1:6" ht="41.4">
      <c r="A344" s="517" t="s">
        <v>267</v>
      </c>
      <c r="B344" s="523" t="s">
        <v>5580</v>
      </c>
      <c r="E344" s="720"/>
      <c r="F344" s="720"/>
    </row>
    <row r="345" spans="1:6" ht="41.4">
      <c r="A345" s="517" t="s">
        <v>267</v>
      </c>
      <c r="B345" s="527" t="s">
        <v>5567</v>
      </c>
      <c r="C345" s="528"/>
      <c r="D345" s="530"/>
      <c r="E345" s="720"/>
      <c r="F345" s="720"/>
    </row>
    <row r="346" spans="1:6">
      <c r="B346" s="694" t="s">
        <v>2202</v>
      </c>
      <c r="C346" s="519" t="s">
        <v>649</v>
      </c>
      <c r="D346" s="522">
        <v>8</v>
      </c>
      <c r="E346" s="722">
        <v>26</v>
      </c>
      <c r="F346" s="721">
        <f t="shared" ref="F346" si="39">IF(OR(OR(E346=0,E346=" "),OR(D346=0,D346=" "))," ",D346*E346)</f>
        <v>208</v>
      </c>
    </row>
    <row r="347" spans="1:6">
      <c r="E347" s="720"/>
      <c r="F347" s="720"/>
    </row>
    <row r="348" spans="1:6" ht="41.4">
      <c r="A348" s="517" t="s">
        <v>3867</v>
      </c>
      <c r="B348" s="523" t="s">
        <v>3868</v>
      </c>
      <c r="C348" s="519" t="s">
        <v>649</v>
      </c>
      <c r="D348" s="522">
        <v>4</v>
      </c>
      <c r="E348" s="722">
        <v>60</v>
      </c>
      <c r="F348" s="721">
        <f t="shared" ref="F348" si="40">IF(OR(OR(E348=0,E348=" "),OR(D348=0,D348=" "))," ",D348*E348)</f>
        <v>240</v>
      </c>
    </row>
    <row r="349" spans="1:6">
      <c r="B349" s="694"/>
      <c r="E349" s="722"/>
      <c r="F349" s="721"/>
    </row>
    <row r="350" spans="1:6">
      <c r="E350" s="722"/>
      <c r="F350" s="720"/>
    </row>
    <row r="351" spans="1:6">
      <c r="A351" s="517" t="s">
        <v>1080</v>
      </c>
      <c r="B351" s="518" t="s">
        <v>2213</v>
      </c>
      <c r="E351" s="720"/>
      <c r="F351" s="720"/>
    </row>
    <row r="352" spans="1:6" ht="41.4">
      <c r="B352" s="523" t="s">
        <v>3869</v>
      </c>
      <c r="E352" s="720"/>
      <c r="F352" s="720"/>
    </row>
    <row r="353" spans="1:6">
      <c r="E353" s="720"/>
      <c r="F353" s="720"/>
    </row>
    <row r="354" spans="1:6">
      <c r="A354" s="517" t="s">
        <v>2214</v>
      </c>
      <c r="B354" s="523" t="s">
        <v>2215</v>
      </c>
      <c r="E354" s="720"/>
      <c r="F354" s="720"/>
    </row>
    <row r="355" spans="1:6" ht="41.4">
      <c r="A355" s="517" t="s">
        <v>267</v>
      </c>
      <c r="B355" s="523" t="s">
        <v>5581</v>
      </c>
      <c r="E355" s="720"/>
      <c r="F355" s="720"/>
    </row>
    <row r="356" spans="1:6" ht="41.4">
      <c r="A356" s="517" t="s">
        <v>267</v>
      </c>
      <c r="B356" s="527" t="s">
        <v>5582</v>
      </c>
      <c r="C356" s="528"/>
      <c r="D356" s="530"/>
      <c r="E356" s="720"/>
      <c r="F356" s="720"/>
    </row>
    <row r="357" spans="1:6">
      <c r="B357" s="694" t="s">
        <v>2202</v>
      </c>
      <c r="C357" s="519" t="s">
        <v>649</v>
      </c>
      <c r="D357" s="522">
        <v>134</v>
      </c>
      <c r="E357" s="722">
        <v>13</v>
      </c>
      <c r="F357" s="721">
        <f t="shared" ref="F357" si="41">IF(OR(OR(E357=0,E357=" "),OR(D357=0,D357=" "))," ",D357*E357)</f>
        <v>1742</v>
      </c>
    </row>
    <row r="358" spans="1:6">
      <c r="E358" s="720"/>
      <c r="F358" s="720"/>
    </row>
    <row r="359" spans="1:6">
      <c r="A359" s="517" t="s">
        <v>2216</v>
      </c>
      <c r="B359" s="523" t="s">
        <v>2215</v>
      </c>
      <c r="E359" s="722"/>
      <c r="F359" s="722"/>
    </row>
    <row r="360" spans="1:6" ht="41.4">
      <c r="A360" s="517" t="s">
        <v>267</v>
      </c>
      <c r="B360" s="523" t="s">
        <v>5583</v>
      </c>
      <c r="E360" s="722"/>
      <c r="F360" s="722"/>
    </row>
    <row r="361" spans="1:6" ht="41.4">
      <c r="A361" s="517" t="s">
        <v>267</v>
      </c>
      <c r="B361" s="523" t="s">
        <v>5584</v>
      </c>
      <c r="E361" s="722"/>
      <c r="F361" s="722"/>
    </row>
    <row r="362" spans="1:6" ht="41.4">
      <c r="A362" s="517" t="s">
        <v>267</v>
      </c>
      <c r="B362" s="523" t="s">
        <v>5586</v>
      </c>
      <c r="E362" s="722"/>
      <c r="F362" s="722"/>
    </row>
    <row r="363" spans="1:6" ht="41.4">
      <c r="A363" s="517" t="s">
        <v>267</v>
      </c>
      <c r="B363" s="527" t="s">
        <v>5585</v>
      </c>
      <c r="C363" s="528"/>
      <c r="D363" s="530"/>
      <c r="E363" s="722"/>
      <c r="F363" s="722"/>
    </row>
    <row r="364" spans="1:6">
      <c r="B364" s="694" t="s">
        <v>2202</v>
      </c>
      <c r="C364" s="519" t="s">
        <v>649</v>
      </c>
      <c r="D364" s="522">
        <v>13</v>
      </c>
      <c r="E364" s="722">
        <v>72</v>
      </c>
      <c r="F364" s="721">
        <f t="shared" ref="F364" si="42">IF(OR(OR(E364=0,E364=" "),OR(D364=0,D364=" "))," ",D364*E364)</f>
        <v>936</v>
      </c>
    </row>
    <row r="365" spans="1:6">
      <c r="E365" s="722"/>
      <c r="F365" s="722"/>
    </row>
    <row r="366" spans="1:6">
      <c r="A366" s="517" t="s">
        <v>2217</v>
      </c>
      <c r="B366" s="523" t="s">
        <v>2215</v>
      </c>
      <c r="E366" s="720"/>
      <c r="F366" s="720"/>
    </row>
    <row r="367" spans="1:6" ht="41.4">
      <c r="A367" s="517" t="s">
        <v>267</v>
      </c>
      <c r="B367" s="523" t="s">
        <v>5587</v>
      </c>
      <c r="E367" s="720"/>
      <c r="F367" s="720"/>
    </row>
    <row r="368" spans="1:6" ht="41.4">
      <c r="A368" s="517" t="s">
        <v>267</v>
      </c>
      <c r="B368" s="527" t="s">
        <v>5582</v>
      </c>
      <c r="C368" s="528"/>
      <c r="D368" s="530"/>
      <c r="E368" s="720"/>
      <c r="F368" s="720"/>
    </row>
    <row r="369" spans="1:6">
      <c r="B369" s="694" t="s">
        <v>2202</v>
      </c>
      <c r="C369" s="519" t="s">
        <v>649</v>
      </c>
      <c r="D369" s="522">
        <v>1</v>
      </c>
      <c r="E369" s="720">
        <v>26</v>
      </c>
      <c r="F369" s="721">
        <f t="shared" ref="F369" si="43">IF(OR(OR(E369=0,E369=" "),OR(D369=0,D369=" "))," ",D369*E369)</f>
        <v>26</v>
      </c>
    </row>
    <row r="370" spans="1:6">
      <c r="E370" s="722"/>
      <c r="F370" s="720"/>
    </row>
    <row r="371" spans="1:6">
      <c r="A371" s="517" t="s">
        <v>2218</v>
      </c>
      <c r="B371" s="523" t="s">
        <v>2215</v>
      </c>
      <c r="E371" s="722"/>
      <c r="F371" s="722"/>
    </row>
    <row r="372" spans="1:6" ht="41.4">
      <c r="A372" s="517" t="s">
        <v>267</v>
      </c>
      <c r="B372" s="523" t="s">
        <v>5589</v>
      </c>
      <c r="E372" s="722"/>
      <c r="F372" s="722"/>
    </row>
    <row r="373" spans="1:6" ht="41.4">
      <c r="A373" s="517" t="s">
        <v>267</v>
      </c>
      <c r="B373" s="523" t="s">
        <v>5588</v>
      </c>
      <c r="E373" s="722"/>
      <c r="F373" s="722"/>
    </row>
    <row r="374" spans="1:6" ht="41.4">
      <c r="A374" s="517" t="s">
        <v>267</v>
      </c>
      <c r="B374" s="527" t="s">
        <v>5585</v>
      </c>
      <c r="C374" s="528"/>
      <c r="D374" s="530"/>
      <c r="E374" s="722"/>
      <c r="F374" s="722"/>
    </row>
    <row r="375" spans="1:6">
      <c r="B375" s="694" t="s">
        <v>2202</v>
      </c>
      <c r="C375" s="519" t="s">
        <v>649</v>
      </c>
      <c r="D375" s="522">
        <v>12</v>
      </c>
      <c r="E375" s="722">
        <v>75</v>
      </c>
      <c r="F375" s="721">
        <f t="shared" ref="F375" si="44">IF(OR(OR(E375=0,E375=" "),OR(D375=0,D375=" "))," ",D375*E375)</f>
        <v>900</v>
      </c>
    </row>
    <row r="376" spans="1:6">
      <c r="E376" s="722"/>
      <c r="F376" s="720"/>
    </row>
    <row r="377" spans="1:6">
      <c r="A377" s="517" t="s">
        <v>2219</v>
      </c>
      <c r="B377" s="523" t="s">
        <v>2215</v>
      </c>
      <c r="E377" s="722"/>
      <c r="F377" s="722"/>
    </row>
    <row r="378" spans="1:6" ht="41.4">
      <c r="A378" s="517" t="s">
        <v>267</v>
      </c>
      <c r="B378" s="523" t="s">
        <v>5590</v>
      </c>
      <c r="E378" s="722"/>
      <c r="F378" s="722"/>
    </row>
    <row r="379" spans="1:6" ht="41.4">
      <c r="A379" s="517" t="s">
        <v>267</v>
      </c>
      <c r="B379" s="527" t="s">
        <v>5567</v>
      </c>
      <c r="C379" s="528"/>
      <c r="D379" s="530"/>
      <c r="E379" s="722"/>
      <c r="F379" s="722"/>
    </row>
    <row r="380" spans="1:6">
      <c r="B380" s="694" t="s">
        <v>2202</v>
      </c>
      <c r="C380" s="519" t="s">
        <v>649</v>
      </c>
      <c r="D380" s="522">
        <v>2</v>
      </c>
      <c r="E380" s="722">
        <v>18</v>
      </c>
      <c r="F380" s="721">
        <f t="shared" ref="F380" si="45">IF(OR(OR(E380=0,E380=" "),OR(D380=0,D380=" "))," ",D380*E380)</f>
        <v>36</v>
      </c>
    </row>
    <row r="381" spans="1:6">
      <c r="E381" s="722"/>
      <c r="F381" s="720"/>
    </row>
    <row r="382" spans="1:6">
      <c r="A382" s="517" t="s">
        <v>2220</v>
      </c>
      <c r="B382" s="523" t="s">
        <v>2221</v>
      </c>
      <c r="E382" s="722"/>
      <c r="F382" s="722"/>
    </row>
    <row r="383" spans="1:6" ht="41.4">
      <c r="A383" s="517" t="s">
        <v>267</v>
      </c>
      <c r="B383" s="523" t="s">
        <v>5591</v>
      </c>
      <c r="E383" s="722"/>
      <c r="F383" s="722"/>
    </row>
    <row r="384" spans="1:6" ht="41.4">
      <c r="A384" s="517" t="s">
        <v>267</v>
      </c>
      <c r="B384" s="527" t="s">
        <v>5567</v>
      </c>
      <c r="C384" s="528"/>
      <c r="D384" s="530"/>
      <c r="E384" s="722"/>
      <c r="F384" s="722"/>
    </row>
    <row r="385" spans="1:6">
      <c r="B385" s="694" t="s">
        <v>2202</v>
      </c>
      <c r="C385" s="519" t="s">
        <v>649</v>
      </c>
      <c r="D385" s="522">
        <v>8</v>
      </c>
      <c r="E385" s="722">
        <v>13</v>
      </c>
      <c r="F385" s="720">
        <f>D385*E385</f>
        <v>104</v>
      </c>
    </row>
    <row r="386" spans="1:6">
      <c r="E386" s="722"/>
      <c r="F386" s="720"/>
    </row>
    <row r="387" spans="1:6">
      <c r="A387" s="517" t="s">
        <v>2222</v>
      </c>
      <c r="B387" s="523" t="s">
        <v>2215</v>
      </c>
      <c r="E387" s="722"/>
      <c r="F387" s="722"/>
    </row>
    <row r="388" spans="1:6" ht="41.4">
      <c r="A388" s="517" t="s">
        <v>267</v>
      </c>
      <c r="B388" s="523" t="s">
        <v>5592</v>
      </c>
      <c r="E388" s="722"/>
      <c r="F388" s="722"/>
    </row>
    <row r="389" spans="1:6" ht="41.4">
      <c r="A389" s="517" t="s">
        <v>267</v>
      </c>
      <c r="B389" s="527" t="s">
        <v>5567</v>
      </c>
      <c r="C389" s="528"/>
      <c r="D389" s="530"/>
      <c r="E389" s="722"/>
      <c r="F389" s="722"/>
    </row>
    <row r="390" spans="1:6">
      <c r="B390" s="694" t="s">
        <v>2202</v>
      </c>
      <c r="C390" s="519" t="s">
        <v>649</v>
      </c>
      <c r="D390" s="522">
        <v>1</v>
      </c>
      <c r="E390" s="722">
        <v>18</v>
      </c>
      <c r="F390" s="721">
        <f t="shared" ref="F390" si="46">IF(OR(OR(E390=0,E390=" "),OR(D390=0,D390=" "))," ",D390*E390)</f>
        <v>18</v>
      </c>
    </row>
    <row r="391" spans="1:6">
      <c r="E391" s="722"/>
      <c r="F391" s="720"/>
    </row>
    <row r="392" spans="1:6">
      <c r="E392" s="722"/>
      <c r="F392" s="720"/>
    </row>
    <row r="393" spans="1:6">
      <c r="A393" s="517" t="s">
        <v>2223</v>
      </c>
      <c r="B393" s="523" t="s">
        <v>2224</v>
      </c>
      <c r="E393" s="722"/>
      <c r="F393" s="720"/>
    </row>
    <row r="394" spans="1:6">
      <c r="B394" s="523" t="s">
        <v>2225</v>
      </c>
      <c r="E394" s="722"/>
      <c r="F394" s="720"/>
    </row>
    <row r="395" spans="1:6">
      <c r="B395" s="518" t="s">
        <v>2226</v>
      </c>
      <c r="E395" s="722"/>
      <c r="F395" s="720"/>
    </row>
    <row r="396" spans="1:6" ht="55.2">
      <c r="A396" s="517" t="s">
        <v>48</v>
      </c>
      <c r="B396" s="523" t="s">
        <v>4053</v>
      </c>
      <c r="C396" s="519" t="s">
        <v>649</v>
      </c>
      <c r="D396" s="522">
        <v>3</v>
      </c>
      <c r="E396" s="722">
        <v>74</v>
      </c>
      <c r="F396" s="721">
        <f t="shared" ref="F396:F408" si="47">IF(OR(OR(E396=0,E396=" "),OR(D396=0,D396=" "))," ",D396*E396)</f>
        <v>222</v>
      </c>
    </row>
    <row r="397" spans="1:6">
      <c r="B397" s="518" t="s">
        <v>1971</v>
      </c>
      <c r="E397" s="722"/>
      <c r="F397" s="720"/>
    </row>
    <row r="398" spans="1:6" ht="55.2">
      <c r="A398" s="517" t="s">
        <v>49</v>
      </c>
      <c r="B398" s="523" t="s">
        <v>4054</v>
      </c>
      <c r="C398" s="519" t="s">
        <v>649</v>
      </c>
      <c r="D398" s="522">
        <v>4</v>
      </c>
      <c r="E398" s="722">
        <v>95</v>
      </c>
      <c r="F398" s="721">
        <f t="shared" si="47"/>
        <v>380</v>
      </c>
    </row>
    <row r="399" spans="1:6" ht="55.2">
      <c r="A399" s="517" t="s">
        <v>51</v>
      </c>
      <c r="B399" s="523" t="s">
        <v>3870</v>
      </c>
      <c r="C399" s="519" t="s">
        <v>649</v>
      </c>
      <c r="D399" s="522">
        <v>1</v>
      </c>
      <c r="E399" s="722">
        <v>105</v>
      </c>
      <c r="F399" s="721">
        <f t="shared" si="47"/>
        <v>105</v>
      </c>
    </row>
    <row r="400" spans="1:6" ht="55.2">
      <c r="A400" s="517" t="s">
        <v>53</v>
      </c>
      <c r="B400" s="523" t="s">
        <v>4055</v>
      </c>
      <c r="C400" s="519" t="s">
        <v>649</v>
      </c>
      <c r="D400" s="522">
        <v>1</v>
      </c>
      <c r="E400" s="722">
        <v>148</v>
      </c>
      <c r="F400" s="721">
        <f t="shared" si="47"/>
        <v>148</v>
      </c>
    </row>
    <row r="401" spans="1:6" ht="55.2">
      <c r="A401" s="517" t="s">
        <v>698</v>
      </c>
      <c r="B401" s="523" t="s">
        <v>4057</v>
      </c>
      <c r="C401" s="519" t="s">
        <v>649</v>
      </c>
      <c r="D401" s="522">
        <v>4</v>
      </c>
      <c r="E401" s="722">
        <v>176</v>
      </c>
      <c r="F401" s="721">
        <f t="shared" si="47"/>
        <v>704</v>
      </c>
    </row>
    <row r="402" spans="1:6" ht="55.2">
      <c r="A402" s="517" t="s">
        <v>699</v>
      </c>
      <c r="B402" s="523" t="s">
        <v>4056</v>
      </c>
      <c r="C402" s="519" t="s">
        <v>649</v>
      </c>
      <c r="D402" s="522">
        <v>1</v>
      </c>
      <c r="E402" s="722">
        <v>223</v>
      </c>
      <c r="F402" s="721">
        <f t="shared" si="47"/>
        <v>223</v>
      </c>
    </row>
    <row r="403" spans="1:6">
      <c r="B403" s="518" t="s">
        <v>2227</v>
      </c>
      <c r="E403" s="722"/>
      <c r="F403" s="720"/>
    </row>
    <row r="404" spans="1:6" ht="41.4">
      <c r="A404" s="517" t="s">
        <v>745</v>
      </c>
      <c r="B404" s="523" t="s">
        <v>3871</v>
      </c>
      <c r="C404" s="519" t="s">
        <v>649</v>
      </c>
      <c r="D404" s="522">
        <v>3</v>
      </c>
      <c r="E404" s="722">
        <v>116</v>
      </c>
      <c r="F404" s="721">
        <f t="shared" ref="F404" si="48">IF(OR(OR(E404=0,E404=" "),OR(D404=0,D404=" "))," ",D404*E404)</f>
        <v>348</v>
      </c>
    </row>
    <row r="405" spans="1:6" ht="55.2">
      <c r="A405" s="517" t="s">
        <v>803</v>
      </c>
      <c r="B405" s="523" t="s">
        <v>3872</v>
      </c>
      <c r="C405" s="519" t="s">
        <v>649</v>
      </c>
      <c r="D405" s="522">
        <v>9</v>
      </c>
      <c r="E405" s="722">
        <v>120</v>
      </c>
      <c r="F405" s="721">
        <f t="shared" si="47"/>
        <v>1080</v>
      </c>
    </row>
    <row r="406" spans="1:6" ht="55.2">
      <c r="A406" s="517" t="s">
        <v>804</v>
      </c>
      <c r="B406" s="523" t="s">
        <v>3873</v>
      </c>
      <c r="C406" s="519" t="s">
        <v>649</v>
      </c>
      <c r="D406" s="522">
        <v>23</v>
      </c>
      <c r="E406" s="722">
        <v>75</v>
      </c>
      <c r="F406" s="721">
        <f t="shared" si="47"/>
        <v>1725</v>
      </c>
    </row>
    <row r="407" spans="1:6" ht="55.2">
      <c r="A407" s="517" t="s">
        <v>805</v>
      </c>
      <c r="B407" s="523" t="s">
        <v>3874</v>
      </c>
      <c r="C407" s="519" t="s">
        <v>649</v>
      </c>
      <c r="D407" s="522">
        <v>1</v>
      </c>
      <c r="E407" s="722">
        <v>113</v>
      </c>
      <c r="F407" s="721">
        <f t="shared" si="47"/>
        <v>113</v>
      </c>
    </row>
    <row r="408" spans="1:6" ht="55.2">
      <c r="A408" s="517" t="s">
        <v>1023</v>
      </c>
      <c r="B408" s="523" t="s">
        <v>5155</v>
      </c>
      <c r="C408" s="519" t="s">
        <v>649</v>
      </c>
      <c r="D408" s="522">
        <v>3</v>
      </c>
      <c r="E408" s="722">
        <v>92</v>
      </c>
      <c r="F408" s="721">
        <f t="shared" si="47"/>
        <v>276</v>
      </c>
    </row>
    <row r="409" spans="1:6">
      <c r="E409" s="722"/>
      <c r="F409" s="720"/>
    </row>
    <row r="410" spans="1:6">
      <c r="E410" s="722"/>
      <c r="F410" s="720"/>
    </row>
    <row r="411" spans="1:6">
      <c r="A411" s="517" t="s">
        <v>1081</v>
      </c>
      <c r="B411" s="518" t="s">
        <v>2228</v>
      </c>
      <c r="E411" s="720"/>
      <c r="F411" s="720"/>
    </row>
    <row r="412" spans="1:6" ht="69">
      <c r="A412" s="517" t="s">
        <v>2229</v>
      </c>
      <c r="B412" s="523" t="s">
        <v>3230</v>
      </c>
      <c r="E412" s="720"/>
      <c r="F412" s="720"/>
    </row>
    <row r="413" spans="1:6">
      <c r="A413" s="517" t="s">
        <v>48</v>
      </c>
      <c r="B413" s="523" t="s">
        <v>2230</v>
      </c>
      <c r="C413" s="519" t="s">
        <v>697</v>
      </c>
      <c r="D413" s="522">
        <v>3000</v>
      </c>
      <c r="E413" s="722">
        <v>2.8</v>
      </c>
      <c r="F413" s="721">
        <f t="shared" ref="F413:F415" si="49">IF(OR(OR(E413=0,E413=" "),OR(D413=0,D413=" "))," ",D413*E413)</f>
        <v>8400</v>
      </c>
    </row>
    <row r="414" spans="1:6">
      <c r="A414" s="517" t="s">
        <v>49</v>
      </c>
      <c r="B414" s="523" t="s">
        <v>2231</v>
      </c>
      <c r="C414" s="519" t="s">
        <v>697</v>
      </c>
      <c r="D414" s="522">
        <v>2500</v>
      </c>
      <c r="E414" s="722">
        <v>3</v>
      </c>
      <c r="F414" s="721">
        <f t="shared" si="49"/>
        <v>7500</v>
      </c>
    </row>
    <row r="415" spans="1:6">
      <c r="A415" s="517" t="s">
        <v>51</v>
      </c>
      <c r="B415" s="523" t="s">
        <v>3875</v>
      </c>
      <c r="C415" s="519" t="s">
        <v>697</v>
      </c>
      <c r="D415" s="522">
        <v>400</v>
      </c>
      <c r="E415" s="722">
        <v>3.1</v>
      </c>
      <c r="F415" s="721">
        <f t="shared" si="49"/>
        <v>1240</v>
      </c>
    </row>
    <row r="416" spans="1:6">
      <c r="E416" s="720"/>
      <c r="F416" s="720"/>
    </row>
    <row r="417" spans="1:6">
      <c r="A417" s="517" t="s">
        <v>2232</v>
      </c>
      <c r="B417" s="523" t="s">
        <v>2233</v>
      </c>
      <c r="E417" s="720"/>
      <c r="F417" s="720"/>
    </row>
    <row r="418" spans="1:6">
      <c r="A418" s="517" t="s">
        <v>48</v>
      </c>
      <c r="B418" s="523" t="s">
        <v>2234</v>
      </c>
      <c r="C418" s="519" t="s">
        <v>649</v>
      </c>
      <c r="D418" s="522">
        <v>250</v>
      </c>
      <c r="E418" s="722">
        <v>3</v>
      </c>
      <c r="F418" s="721">
        <f t="shared" ref="F418:F419" si="50">IF(OR(OR(E418=0,E418=" "),OR(D418=0,D418=" "))," ",D418*E418)</f>
        <v>750</v>
      </c>
    </row>
    <row r="419" spans="1:6">
      <c r="A419" s="517" t="s">
        <v>49</v>
      </c>
      <c r="B419" s="523" t="s">
        <v>2235</v>
      </c>
      <c r="C419" s="519" t="s">
        <v>649</v>
      </c>
      <c r="D419" s="522">
        <v>50</v>
      </c>
      <c r="E419" s="722">
        <v>8</v>
      </c>
      <c r="F419" s="721">
        <f t="shared" si="50"/>
        <v>400</v>
      </c>
    </row>
    <row r="420" spans="1:6">
      <c r="E420" s="720"/>
      <c r="F420" s="720"/>
    </row>
    <row r="421" spans="1:6" ht="41.4">
      <c r="A421" s="517" t="s">
        <v>2236</v>
      </c>
      <c r="B421" s="523" t="s">
        <v>5645</v>
      </c>
      <c r="E421" s="720"/>
      <c r="F421" s="720"/>
    </row>
    <row r="422" spans="1:6">
      <c r="A422" s="517" t="s">
        <v>48</v>
      </c>
      <c r="B422" s="523" t="s">
        <v>2237</v>
      </c>
      <c r="C422" s="519" t="s">
        <v>697</v>
      </c>
      <c r="D422" s="522">
        <v>5900</v>
      </c>
      <c r="E422" s="722">
        <v>4</v>
      </c>
      <c r="F422" s="721">
        <f t="shared" ref="F422:F423" si="51">IF(OR(OR(E422=0,E422=" "),OR(D422=0,D422=" "))," ",D422*E422)</f>
        <v>23600</v>
      </c>
    </row>
    <row r="423" spans="1:6">
      <c r="A423" s="517" t="s">
        <v>49</v>
      </c>
      <c r="B423" s="523" t="s">
        <v>2238</v>
      </c>
      <c r="C423" s="519" t="s">
        <v>649</v>
      </c>
      <c r="D423" s="522">
        <v>5900</v>
      </c>
      <c r="E423" s="722">
        <v>1.5</v>
      </c>
      <c r="F423" s="721">
        <f t="shared" si="51"/>
        <v>8850</v>
      </c>
    </row>
    <row r="424" spans="1:6">
      <c r="E424" s="720"/>
      <c r="F424" s="720"/>
    </row>
    <row r="425" spans="1:6" ht="55.2">
      <c r="A425" s="517" t="s">
        <v>1082</v>
      </c>
      <c r="B425" s="523" t="s">
        <v>4058</v>
      </c>
      <c r="E425" s="720"/>
      <c r="F425" s="720"/>
    </row>
    <row r="426" spans="1:6" ht="69">
      <c r="A426" s="517" t="s">
        <v>267</v>
      </c>
      <c r="B426" s="523" t="s">
        <v>5594</v>
      </c>
      <c r="E426" s="720"/>
      <c r="F426" s="720"/>
    </row>
    <row r="427" spans="1:6" ht="41.4">
      <c r="A427" s="517" t="s">
        <v>267</v>
      </c>
      <c r="B427" s="523" t="s">
        <v>5595</v>
      </c>
      <c r="E427" s="720"/>
      <c r="F427" s="720"/>
    </row>
    <row r="428" spans="1:6" ht="41.4">
      <c r="A428" s="517" t="s">
        <v>267</v>
      </c>
      <c r="B428" s="523" t="s">
        <v>5596</v>
      </c>
      <c r="E428" s="720"/>
      <c r="F428" s="720"/>
    </row>
    <row r="429" spans="1:6" ht="41.4">
      <c r="A429" s="517" t="s">
        <v>267</v>
      </c>
      <c r="B429" s="527" t="s">
        <v>5593</v>
      </c>
      <c r="C429" s="528"/>
      <c r="D429" s="530"/>
      <c r="E429" s="720"/>
      <c r="F429" s="720"/>
    </row>
    <row r="430" spans="1:6">
      <c r="B430" s="523" t="s">
        <v>2202</v>
      </c>
      <c r="C430" s="519" t="s">
        <v>670</v>
      </c>
      <c r="D430" s="522">
        <v>1</v>
      </c>
      <c r="E430" s="725">
        <v>420</v>
      </c>
      <c r="F430" s="721">
        <f t="shared" ref="F430" si="52">IF(OR(OR(E430=0,E430=" "),OR(D430=0,D430=" "))," ",D430*E430)</f>
        <v>420</v>
      </c>
    </row>
    <row r="431" spans="1:6">
      <c r="E431" s="720"/>
      <c r="F431" s="720"/>
    </row>
    <row r="432" spans="1:6">
      <c r="E432" s="720"/>
      <c r="F432" s="720"/>
    </row>
    <row r="433" spans="1:6" ht="27.6">
      <c r="A433" s="517" t="s">
        <v>1083</v>
      </c>
      <c r="B433" s="518" t="s">
        <v>2239</v>
      </c>
      <c r="E433" s="720"/>
      <c r="F433" s="720"/>
    </row>
    <row r="434" spans="1:6">
      <c r="B434" s="523" t="s">
        <v>2240</v>
      </c>
      <c r="E434" s="720"/>
      <c r="F434" s="720"/>
    </row>
    <row r="435" spans="1:6">
      <c r="E435" s="720"/>
      <c r="F435" s="720"/>
    </row>
    <row r="436" spans="1:6" ht="82.8">
      <c r="A436" s="517" t="s">
        <v>2241</v>
      </c>
      <c r="B436" s="523" t="s">
        <v>2242</v>
      </c>
      <c r="C436" s="519" t="s">
        <v>697</v>
      </c>
      <c r="D436" s="522">
        <v>350</v>
      </c>
      <c r="E436" s="720">
        <v>12</v>
      </c>
      <c r="F436" s="721">
        <f t="shared" ref="F436" si="53">IF(OR(OR(E436=0,E436=" "),OR(D436=0,D436=" "))," ",D436*E436)</f>
        <v>4200</v>
      </c>
    </row>
    <row r="437" spans="1:6">
      <c r="E437" s="720"/>
      <c r="F437" s="720"/>
    </row>
    <row r="438" spans="1:6" ht="27.6">
      <c r="A438" s="517" t="s">
        <v>2243</v>
      </c>
      <c r="B438" s="523" t="s">
        <v>2244</v>
      </c>
      <c r="C438" s="519" t="s">
        <v>649</v>
      </c>
      <c r="D438" s="522">
        <v>20</v>
      </c>
      <c r="E438" s="722">
        <v>25</v>
      </c>
      <c r="F438" s="721">
        <f t="shared" ref="F438" si="54">IF(OR(OR(E438=0,E438=" "),OR(D438=0,D438=" "))," ",D438*E438)</f>
        <v>500</v>
      </c>
    </row>
    <row r="439" spans="1:6">
      <c r="E439" s="722"/>
      <c r="F439" s="722"/>
    </row>
    <row r="440" spans="1:6" ht="27.6">
      <c r="A440" s="517" t="s">
        <v>2245</v>
      </c>
      <c r="B440" s="523" t="s">
        <v>2246</v>
      </c>
      <c r="C440" s="519" t="s">
        <v>697</v>
      </c>
      <c r="D440" s="522">
        <v>200</v>
      </c>
      <c r="E440" s="722">
        <v>3</v>
      </c>
      <c r="F440" s="721">
        <f t="shared" ref="F440" si="55">IF(OR(OR(E440=0,E440=" "),OR(D440=0,D440=" "))," ",D440*E440)</f>
        <v>600</v>
      </c>
    </row>
    <row r="441" spans="1:6">
      <c r="E441" s="722"/>
      <c r="F441" s="722"/>
    </row>
    <row r="442" spans="1:6">
      <c r="A442" s="517" t="s">
        <v>2247</v>
      </c>
      <c r="B442" s="523" t="s">
        <v>2248</v>
      </c>
      <c r="C442" s="519" t="s">
        <v>670</v>
      </c>
      <c r="D442" s="522">
        <v>20</v>
      </c>
      <c r="E442" s="722">
        <v>15</v>
      </c>
      <c r="F442" s="721">
        <f t="shared" ref="F442" si="56">IF(OR(OR(E442=0,E442=" "),OR(D442=0,D442=" "))," ",D442*E442)</f>
        <v>300</v>
      </c>
    </row>
    <row r="443" spans="1:6">
      <c r="E443" s="720"/>
      <c r="F443" s="720"/>
    </row>
    <row r="444" spans="1:6" ht="41.4">
      <c r="A444" s="517" t="s">
        <v>2249</v>
      </c>
      <c r="B444" s="523" t="s">
        <v>2250</v>
      </c>
      <c r="C444" s="519" t="s">
        <v>649</v>
      </c>
      <c r="D444" s="522">
        <v>10</v>
      </c>
      <c r="E444" s="720">
        <v>25</v>
      </c>
      <c r="F444" s="721">
        <f t="shared" ref="F444" si="57">IF(OR(OR(E444=0,E444=" "),OR(D444=0,D444=" "))," ",D444*E444)</f>
        <v>250</v>
      </c>
    </row>
    <row r="445" spans="1:6">
      <c r="E445" s="720"/>
      <c r="F445" s="720"/>
    </row>
    <row r="446" spans="1:6" ht="55.2">
      <c r="A446" s="517" t="s">
        <v>2251</v>
      </c>
      <c r="B446" s="523" t="s">
        <v>5644</v>
      </c>
      <c r="C446" s="519" t="s">
        <v>670</v>
      </c>
      <c r="D446" s="522">
        <v>1</v>
      </c>
      <c r="E446" s="720">
        <v>550</v>
      </c>
      <c r="F446" s="721">
        <f t="shared" ref="F446" si="58">IF(OR(OR(E446=0,E446=" "),OR(D446=0,D446=" "))," ",D446*E446)</f>
        <v>550</v>
      </c>
    </row>
    <row r="447" spans="1:6">
      <c r="E447" s="720"/>
      <c r="F447" s="720"/>
    </row>
    <row r="448" spans="1:6" ht="69">
      <c r="A448" s="517" t="s">
        <v>2252</v>
      </c>
      <c r="B448" s="523" t="s">
        <v>3231</v>
      </c>
      <c r="C448" s="519" t="s">
        <v>670</v>
      </c>
      <c r="D448" s="522">
        <v>1</v>
      </c>
      <c r="E448" s="720">
        <v>900</v>
      </c>
      <c r="F448" s="721">
        <f t="shared" ref="F448" si="59">IF(OR(OR(E448=0,E448=" "),OR(D448=0,D448=" "))," ",D448*E448)</f>
        <v>900</v>
      </c>
    </row>
    <row r="449" spans="1:6">
      <c r="E449" s="720"/>
      <c r="F449" s="720"/>
    </row>
    <row r="450" spans="1:6" ht="85.2">
      <c r="A450" s="517" t="s">
        <v>2253</v>
      </c>
      <c r="B450" s="523" t="s">
        <v>3232</v>
      </c>
      <c r="C450" s="519" t="s">
        <v>670</v>
      </c>
      <c r="D450" s="522">
        <v>1</v>
      </c>
      <c r="E450" s="720">
        <v>550</v>
      </c>
      <c r="F450" s="721">
        <f t="shared" ref="F450" si="60">IF(OR(OR(E450=0,E450=" "),OR(D450=0,D450=" "))," ",D450*E450)</f>
        <v>550</v>
      </c>
    </row>
    <row r="451" spans="1:6">
      <c r="E451" s="720"/>
      <c r="F451" s="720"/>
    </row>
    <row r="452" spans="1:6" ht="41.4">
      <c r="A452" s="517" t="s">
        <v>2254</v>
      </c>
      <c r="B452" s="523" t="s">
        <v>2255</v>
      </c>
      <c r="C452" s="519" t="s">
        <v>670</v>
      </c>
      <c r="D452" s="522">
        <v>1</v>
      </c>
      <c r="E452" s="720">
        <v>2000</v>
      </c>
      <c r="F452" s="721">
        <f t="shared" ref="F452" si="61">IF(OR(OR(E452=0,E452=" "),OR(D452=0,D452=" "))," ",D452*E452)</f>
        <v>2000</v>
      </c>
    </row>
    <row r="454" spans="1:6">
      <c r="A454" s="526"/>
      <c r="B454" s="527"/>
      <c r="C454" s="528"/>
      <c r="D454" s="530"/>
      <c r="E454" s="681"/>
      <c r="F454" s="681"/>
    </row>
    <row r="455" spans="1:6">
      <c r="A455" s="517" t="s">
        <v>9</v>
      </c>
      <c r="B455" s="518" t="s">
        <v>2256</v>
      </c>
      <c r="C455" s="531"/>
      <c r="D455" s="517"/>
      <c r="E455" s="691"/>
      <c r="F455" s="728">
        <f>SUM(F217:F454)</f>
        <v>126033.37</v>
      </c>
    </row>
    <row r="459" spans="1:6">
      <c r="A459" s="495" t="s">
        <v>10</v>
      </c>
      <c r="B459" s="499" t="s">
        <v>2257</v>
      </c>
      <c r="C459" s="497"/>
      <c r="D459" s="498"/>
      <c r="E459" s="695"/>
      <c r="F459" s="677"/>
    </row>
    <row r="460" spans="1:6">
      <c r="B460" s="518"/>
      <c r="E460" s="688"/>
    </row>
    <row r="461" spans="1:6">
      <c r="E461" s="688"/>
    </row>
    <row r="462" spans="1:6" ht="41.4">
      <c r="A462" s="517" t="s">
        <v>1084</v>
      </c>
      <c r="B462" s="523" t="s">
        <v>2258</v>
      </c>
      <c r="C462" s="519" t="s">
        <v>649</v>
      </c>
      <c r="D462" s="522">
        <v>10</v>
      </c>
      <c r="E462" s="722">
        <v>25</v>
      </c>
      <c r="F462" s="721">
        <f t="shared" ref="F462" si="62">IF(OR(OR(E462=0,E462=" "),OR(D462=0,D462=" "))," ",D462*E462)</f>
        <v>250</v>
      </c>
    </row>
    <row r="463" spans="1:6">
      <c r="E463" s="725"/>
      <c r="F463" s="725"/>
    </row>
    <row r="464" spans="1:6">
      <c r="A464" s="517" t="s">
        <v>1948</v>
      </c>
      <c r="B464" s="523" t="s">
        <v>2259</v>
      </c>
      <c r="E464" s="725"/>
      <c r="F464" s="725"/>
    </row>
    <row r="465" spans="1:6" ht="41.4">
      <c r="A465" s="517" t="s">
        <v>267</v>
      </c>
      <c r="B465" s="523" t="s">
        <v>5597</v>
      </c>
      <c r="E465" s="722"/>
      <c r="F465" s="720"/>
    </row>
    <row r="466" spans="1:6" ht="41.4">
      <c r="A466" s="517" t="s">
        <v>267</v>
      </c>
      <c r="B466" s="527" t="s">
        <v>5598</v>
      </c>
      <c r="C466" s="528"/>
      <c r="D466" s="530"/>
      <c r="E466" s="723"/>
      <c r="F466" s="720"/>
    </row>
    <row r="467" spans="1:6">
      <c r="C467" s="519" t="s">
        <v>670</v>
      </c>
      <c r="D467" s="522">
        <v>8</v>
      </c>
      <c r="E467" s="722">
        <v>161</v>
      </c>
      <c r="F467" s="721">
        <f t="shared" ref="F467" si="63">IF(OR(OR(E467=0,E467=" "),OR(D467=0,D467=" "))," ",D467*E467)</f>
        <v>1288</v>
      </c>
    </row>
    <row r="468" spans="1:6">
      <c r="E468" s="725"/>
      <c r="F468" s="725"/>
    </row>
    <row r="469" spans="1:6" ht="82.8">
      <c r="A469" s="517" t="s">
        <v>1949</v>
      </c>
      <c r="B469" s="527" t="s">
        <v>5599</v>
      </c>
      <c r="C469" s="528"/>
      <c r="D469" s="530"/>
      <c r="E469" s="723"/>
      <c r="F469" s="725"/>
    </row>
    <row r="470" spans="1:6">
      <c r="C470" s="519" t="s">
        <v>670</v>
      </c>
      <c r="D470" s="522">
        <v>8</v>
      </c>
      <c r="E470" s="720">
        <v>30</v>
      </c>
      <c r="F470" s="721">
        <f t="shared" ref="F470" si="64">IF(OR(OR(E470=0,E470=" "),OR(D470=0,D470=" "))," ",D470*E470)</f>
        <v>240</v>
      </c>
    </row>
    <row r="471" spans="1:6">
      <c r="E471" s="725"/>
      <c r="F471" s="725"/>
    </row>
    <row r="472" spans="1:6" ht="82.8">
      <c r="A472" s="517" t="s">
        <v>1950</v>
      </c>
      <c r="B472" s="527" t="s">
        <v>5600</v>
      </c>
      <c r="C472" s="528"/>
      <c r="D472" s="530"/>
      <c r="E472" s="723"/>
      <c r="F472" s="725"/>
    </row>
    <row r="473" spans="1:6">
      <c r="C473" s="519" t="s">
        <v>670</v>
      </c>
      <c r="D473" s="522">
        <v>10</v>
      </c>
      <c r="E473" s="729">
        <v>130</v>
      </c>
      <c r="F473" s="721">
        <f t="shared" ref="F473" si="65">IF(OR(OR(E473=0,E473=" "),OR(D473=0,D473=" "))," ",D473*E473)</f>
        <v>1300</v>
      </c>
    </row>
    <row r="474" spans="1:6">
      <c r="E474" s="725"/>
      <c r="F474" s="725"/>
    </row>
    <row r="475" spans="1:6" ht="69">
      <c r="A475" s="517" t="s">
        <v>1951</v>
      </c>
      <c r="B475" s="523" t="s">
        <v>5601</v>
      </c>
      <c r="C475" s="519" t="s">
        <v>697</v>
      </c>
      <c r="D475" s="522">
        <v>360</v>
      </c>
      <c r="E475" s="722">
        <v>7</v>
      </c>
      <c r="F475" s="721">
        <f t="shared" ref="F475" si="66">IF(OR(OR(E475=0,E475=" "),OR(D475=0,D475=" "))," ",D475*E475)</f>
        <v>2520</v>
      </c>
    </row>
    <row r="476" spans="1:6">
      <c r="E476" s="725"/>
      <c r="F476" s="725"/>
    </row>
    <row r="477" spans="1:6" ht="55.2">
      <c r="A477" s="517" t="s">
        <v>1952</v>
      </c>
      <c r="B477" s="523" t="s">
        <v>3876</v>
      </c>
      <c r="C477" s="519" t="s">
        <v>697</v>
      </c>
      <c r="D477" s="522">
        <v>12</v>
      </c>
      <c r="E477" s="722">
        <v>7</v>
      </c>
      <c r="F477" s="721">
        <f t="shared" ref="F477" si="67">IF(OR(OR(E477=0,E477=" "),OR(D477=0,D477=" "))," ",D477*E477)</f>
        <v>84</v>
      </c>
    </row>
    <row r="478" spans="1:6">
      <c r="E478" s="725"/>
      <c r="F478" s="725"/>
    </row>
    <row r="479" spans="1:6" ht="55.2">
      <c r="A479" s="517" t="s">
        <v>1953</v>
      </c>
      <c r="B479" s="523" t="s">
        <v>2260</v>
      </c>
      <c r="C479" s="519" t="s">
        <v>697</v>
      </c>
      <c r="D479" s="522">
        <v>55</v>
      </c>
      <c r="E479" s="722">
        <v>7</v>
      </c>
      <c r="F479" s="721">
        <f t="shared" ref="F479" si="68">IF(OR(OR(E479=0,E479=" "),OR(D479=0,D479=" "))," ",D479*E479)</f>
        <v>385</v>
      </c>
    </row>
    <row r="480" spans="1:6">
      <c r="E480" s="725"/>
      <c r="F480" s="725"/>
    </row>
    <row r="481" spans="1:6" ht="96.6">
      <c r="A481" s="517" t="s">
        <v>1954</v>
      </c>
      <c r="B481" s="523" t="s">
        <v>4059</v>
      </c>
      <c r="C481" s="519" t="s">
        <v>649</v>
      </c>
      <c r="D481" s="522">
        <v>12</v>
      </c>
      <c r="E481" s="722">
        <v>155</v>
      </c>
      <c r="F481" s="721">
        <f t="shared" ref="F481" si="69">IF(OR(OR(E481=0,E481=" "),OR(D481=0,D481=" "))," ",D481*E481)</f>
        <v>1860</v>
      </c>
    </row>
    <row r="482" spans="1:6">
      <c r="E482" s="725"/>
      <c r="F482" s="725"/>
    </row>
    <row r="483" spans="1:6" ht="27.6">
      <c r="A483" s="517" t="s">
        <v>1956</v>
      </c>
      <c r="B483" s="523" t="s">
        <v>3877</v>
      </c>
      <c r="C483" s="519" t="s">
        <v>697</v>
      </c>
      <c r="D483" s="522">
        <v>310</v>
      </c>
      <c r="E483" s="722">
        <v>8</v>
      </c>
      <c r="F483" s="721">
        <f t="shared" ref="F483" si="70">IF(OR(OR(E483=0,E483=" "),OR(D483=0,D483=" "))," ",D483*E483)</f>
        <v>2480</v>
      </c>
    </row>
    <row r="484" spans="1:6">
      <c r="E484" s="725"/>
      <c r="F484" s="725"/>
    </row>
    <row r="485" spans="1:6" ht="27.6">
      <c r="A485" s="517" t="s">
        <v>1957</v>
      </c>
      <c r="B485" s="523" t="s">
        <v>3878</v>
      </c>
      <c r="C485" s="519" t="s">
        <v>649</v>
      </c>
      <c r="D485" s="522">
        <v>310</v>
      </c>
      <c r="E485" s="722">
        <v>1</v>
      </c>
      <c r="F485" s="721">
        <f t="shared" ref="F485" si="71">IF(OR(OR(E485=0,E485=" "),OR(D485=0,D485=" "))," ",D485*E485)</f>
        <v>310</v>
      </c>
    </row>
    <row r="486" spans="1:6">
      <c r="E486" s="725"/>
      <c r="F486" s="725"/>
    </row>
    <row r="487" spans="1:6" ht="27.6">
      <c r="A487" s="517" t="s">
        <v>1958</v>
      </c>
      <c r="B487" s="523" t="s">
        <v>3879</v>
      </c>
      <c r="C487" s="519" t="s">
        <v>649</v>
      </c>
      <c r="D487" s="522">
        <v>30</v>
      </c>
      <c r="E487" s="722">
        <v>10</v>
      </c>
      <c r="F487" s="721">
        <f t="shared" ref="F487" si="72">IF(OR(OR(E487=0,E487=" "),OR(D487=0,D487=" "))," ",D487*E487)</f>
        <v>300</v>
      </c>
    </row>
    <row r="488" spans="1:6">
      <c r="E488" s="725"/>
      <c r="F488" s="725"/>
    </row>
    <row r="489" spans="1:6" ht="41.4">
      <c r="A489" s="517" t="s">
        <v>1959</v>
      </c>
      <c r="B489" s="697" t="s">
        <v>3880</v>
      </c>
      <c r="C489" s="519" t="s">
        <v>649</v>
      </c>
      <c r="D489" s="522">
        <v>30</v>
      </c>
      <c r="E489" s="722">
        <v>10</v>
      </c>
      <c r="F489" s="721">
        <f t="shared" ref="F489" si="73">IF(OR(OR(E489=0,E489=" "),OR(D489=0,D489=" "))," ",D489*E489)</f>
        <v>300</v>
      </c>
    </row>
    <row r="490" spans="1:6">
      <c r="E490" s="725"/>
      <c r="F490" s="725"/>
    </row>
    <row r="491" spans="1:6" ht="69">
      <c r="A491" s="517" t="s">
        <v>1960</v>
      </c>
      <c r="B491" s="523" t="s">
        <v>2261</v>
      </c>
      <c r="C491" s="519" t="s">
        <v>649</v>
      </c>
      <c r="D491" s="522">
        <v>20</v>
      </c>
      <c r="E491" s="722">
        <v>15</v>
      </c>
      <c r="F491" s="721">
        <f t="shared" ref="F491" si="74">IF(OR(OR(E491=0,E491=" "),OR(D491=0,D491=" "))," ",D491*E491)</f>
        <v>300</v>
      </c>
    </row>
    <row r="492" spans="1:6">
      <c r="E492" s="725"/>
      <c r="F492" s="725"/>
    </row>
    <row r="493" spans="1:6" ht="41.4">
      <c r="A493" s="517" t="s">
        <v>2264</v>
      </c>
      <c r="B493" s="523" t="s">
        <v>2262</v>
      </c>
      <c r="C493" s="519" t="s">
        <v>649</v>
      </c>
      <c r="D493" s="522">
        <v>20</v>
      </c>
      <c r="E493" s="722">
        <v>10</v>
      </c>
      <c r="F493" s="721">
        <f t="shared" ref="F493" si="75">IF(OR(OR(E493=0,E493=" "),OR(D493=0,D493=" "))," ",D493*E493)</f>
        <v>200</v>
      </c>
    </row>
    <row r="494" spans="1:6">
      <c r="E494" s="722"/>
      <c r="F494" s="720"/>
    </row>
    <row r="495" spans="1:6" ht="69">
      <c r="A495" s="517" t="s">
        <v>2265</v>
      </c>
      <c r="B495" s="523" t="s">
        <v>3233</v>
      </c>
      <c r="C495" s="519" t="s">
        <v>649</v>
      </c>
      <c r="D495" s="522">
        <v>18</v>
      </c>
      <c r="E495" s="722">
        <v>15</v>
      </c>
      <c r="F495" s="721">
        <f t="shared" ref="F495" si="76">IF(OR(OR(E495=0,E495=" "),OR(D495=0,D495=" "))," ",D495*E495)</f>
        <v>270</v>
      </c>
    </row>
    <row r="496" spans="1:6">
      <c r="E496" s="722"/>
      <c r="F496" s="720"/>
    </row>
    <row r="497" spans="1:6" ht="69">
      <c r="A497" s="517" t="s">
        <v>2396</v>
      </c>
      <c r="B497" s="523" t="s">
        <v>3881</v>
      </c>
      <c r="C497" s="519" t="s">
        <v>649</v>
      </c>
      <c r="D497" s="522">
        <v>5</v>
      </c>
      <c r="E497" s="722">
        <v>25</v>
      </c>
      <c r="F497" s="721">
        <f t="shared" ref="F497" si="77">IF(OR(OR(E497=0,E497=" "),OR(D497=0,D497=" "))," ",D497*E497)</f>
        <v>125</v>
      </c>
    </row>
    <row r="498" spans="1:6">
      <c r="E498" s="722"/>
      <c r="F498" s="722"/>
    </row>
    <row r="499" spans="1:6" ht="69">
      <c r="A499" s="517" t="s">
        <v>2397</v>
      </c>
      <c r="B499" s="523" t="s">
        <v>2263</v>
      </c>
      <c r="C499" s="519" t="s">
        <v>649</v>
      </c>
      <c r="D499" s="522">
        <v>10</v>
      </c>
      <c r="E499" s="722">
        <v>70</v>
      </c>
      <c r="F499" s="721">
        <f t="shared" ref="F499" si="78">IF(OR(OR(E499=0,E499=" "),OR(D499=0,D499=" "))," ",D499*E499)</f>
        <v>700</v>
      </c>
    </row>
    <row r="500" spans="1:6">
      <c r="E500" s="725"/>
      <c r="F500" s="725"/>
    </row>
    <row r="501" spans="1:6" ht="27.6">
      <c r="A501" s="517" t="s">
        <v>3882</v>
      </c>
      <c r="B501" s="523" t="s">
        <v>3883</v>
      </c>
      <c r="C501" s="519" t="s">
        <v>670</v>
      </c>
      <c r="D501" s="522">
        <v>1</v>
      </c>
      <c r="E501" s="722">
        <v>500</v>
      </c>
      <c r="F501" s="721">
        <f t="shared" ref="F501" si="79">IF(OR(OR(E501=0,E501=" "),OR(D501=0,D501=" "))," ",D501*E501)</f>
        <v>500</v>
      </c>
    </row>
    <row r="502" spans="1:6">
      <c r="E502" s="720"/>
      <c r="F502" s="720"/>
    </row>
    <row r="503" spans="1:6" ht="69">
      <c r="A503" s="517" t="s">
        <v>3884</v>
      </c>
      <c r="B503" s="523" t="s">
        <v>3234</v>
      </c>
      <c r="C503" s="519" t="s">
        <v>649</v>
      </c>
      <c r="D503" s="522">
        <v>1</v>
      </c>
      <c r="E503" s="722">
        <v>500</v>
      </c>
      <c r="F503" s="721">
        <f t="shared" ref="F503" si="80">IF(OR(OR(E503=0,E503=" "),OR(D503=0,D503=" "))," ",D503*E503)</f>
        <v>500</v>
      </c>
    </row>
    <row r="504" spans="1:6">
      <c r="E504" s="688"/>
      <c r="F504" s="688"/>
    </row>
    <row r="505" spans="1:6">
      <c r="A505" s="526"/>
      <c r="B505" s="527"/>
      <c r="C505" s="528"/>
      <c r="D505" s="530"/>
      <c r="E505" s="687"/>
      <c r="F505" s="687"/>
    </row>
    <row r="506" spans="1:6">
      <c r="A506" s="517" t="s">
        <v>10</v>
      </c>
      <c r="B506" s="698" t="s">
        <v>2266</v>
      </c>
      <c r="C506" s="531"/>
      <c r="D506" s="517"/>
      <c r="E506" s="699"/>
      <c r="F506" s="727">
        <f>SUM(F461:F504)</f>
        <v>13912</v>
      </c>
    </row>
    <row r="510" spans="1:6">
      <c r="A510" s="500" t="s">
        <v>11</v>
      </c>
      <c r="B510" s="496" t="s">
        <v>2267</v>
      </c>
      <c r="C510" s="497"/>
      <c r="D510" s="498"/>
      <c r="E510" s="677"/>
      <c r="F510" s="677"/>
    </row>
    <row r="511" spans="1:6" ht="55.2">
      <c r="B511" s="523" t="s">
        <v>2268</v>
      </c>
    </row>
    <row r="512" spans="1:6">
      <c r="B512" s="518"/>
    </row>
    <row r="513" spans="1:6" ht="55.2">
      <c r="A513" s="517" t="s">
        <v>1085</v>
      </c>
      <c r="B513" s="697" t="s">
        <v>3885</v>
      </c>
      <c r="C513" s="519" t="s">
        <v>649</v>
      </c>
      <c r="D513" s="522">
        <v>15</v>
      </c>
      <c r="E513" s="920">
        <v>45</v>
      </c>
      <c r="F513" s="721">
        <f t="shared" ref="F513" si="81">IF(OR(OR(E513=0,E513=" "),OR(D513=0,D513=" "))," ",D513*E513)</f>
        <v>675</v>
      </c>
    </row>
    <row r="514" spans="1:6">
      <c r="E514" s="720"/>
      <c r="F514" s="720"/>
    </row>
    <row r="515" spans="1:6" ht="82.8">
      <c r="A515" s="517" t="s">
        <v>1086</v>
      </c>
      <c r="B515" s="523" t="s">
        <v>3886</v>
      </c>
      <c r="C515" s="519" t="s">
        <v>649</v>
      </c>
      <c r="D515" s="522">
        <v>1</v>
      </c>
      <c r="E515" s="920">
        <v>2400</v>
      </c>
      <c r="F515" s="721">
        <f t="shared" ref="F515" si="82">IF(OR(OR(E515=0,E515=" "),OR(D515=0,D515=" "))," ",D515*E515)</f>
        <v>2400</v>
      </c>
    </row>
    <row r="516" spans="1:6">
      <c r="E516" s="720"/>
      <c r="F516" s="720"/>
    </row>
    <row r="517" spans="1:6" ht="69">
      <c r="A517" s="517" t="s">
        <v>1087</v>
      </c>
      <c r="B517" s="523" t="s">
        <v>3887</v>
      </c>
      <c r="C517" s="519" t="s">
        <v>649</v>
      </c>
      <c r="D517" s="522">
        <v>1</v>
      </c>
      <c r="E517" s="920">
        <v>387</v>
      </c>
      <c r="F517" s="721">
        <f t="shared" ref="F517" si="83">IF(OR(OR(E517=0,E517=" "),OR(D517=0,D517=" "))," ",D517*E517)</f>
        <v>387</v>
      </c>
    </row>
    <row r="518" spans="1:6">
      <c r="E518" s="720"/>
      <c r="F518" s="720"/>
    </row>
    <row r="519" spans="1:6" ht="55.2">
      <c r="A519" s="517" t="s">
        <v>2269</v>
      </c>
      <c r="B519" s="523" t="s">
        <v>3888</v>
      </c>
      <c r="C519" s="519" t="s">
        <v>649</v>
      </c>
      <c r="D519" s="522">
        <v>19</v>
      </c>
      <c r="E519" s="921">
        <v>135</v>
      </c>
      <c r="F519" s="721">
        <f t="shared" ref="F519" si="84">IF(OR(OR(E519=0,E519=" "),OR(D519=0,D519=" "))," ",D519*E519)</f>
        <v>2565</v>
      </c>
    </row>
    <row r="520" spans="1:6">
      <c r="E520" s="720"/>
      <c r="F520" s="720"/>
    </row>
    <row r="521" spans="1:6" ht="69">
      <c r="A521" s="517" t="s">
        <v>2270</v>
      </c>
      <c r="B521" s="523" t="s">
        <v>3235</v>
      </c>
      <c r="C521" s="519" t="s">
        <v>649</v>
      </c>
      <c r="D521" s="522">
        <v>19</v>
      </c>
      <c r="E521" s="921">
        <v>66</v>
      </c>
      <c r="F521" s="721">
        <f t="shared" ref="F521" si="85">IF(OR(OR(E521=0,E521=" "),OR(D521=0,D521=" "))," ",D521*E521)</f>
        <v>1254</v>
      </c>
    </row>
    <row r="522" spans="1:6">
      <c r="E522" s="725"/>
      <c r="F522" s="725"/>
    </row>
    <row r="523" spans="1:6" ht="55.2">
      <c r="A523" s="517" t="s">
        <v>2271</v>
      </c>
      <c r="B523" s="523" t="s">
        <v>3889</v>
      </c>
      <c r="C523" s="519" t="s">
        <v>649</v>
      </c>
      <c r="D523" s="522">
        <v>7</v>
      </c>
      <c r="E523" s="920">
        <v>198</v>
      </c>
      <c r="F523" s="721">
        <f>IF(OR(OR(E523=0,E523=" "),OR(D523=0,D523=" "))," ",D523*E523)</f>
        <v>1386</v>
      </c>
    </row>
    <row r="524" spans="1:6">
      <c r="E524" s="720"/>
      <c r="F524" s="720"/>
    </row>
    <row r="525" spans="1:6" ht="69">
      <c r="A525" s="517" t="s">
        <v>2272</v>
      </c>
      <c r="B525" s="523" t="s">
        <v>3890</v>
      </c>
      <c r="C525" s="519" t="s">
        <v>649</v>
      </c>
      <c r="D525" s="522">
        <v>1</v>
      </c>
      <c r="E525" s="920">
        <v>66</v>
      </c>
      <c r="F525" s="721">
        <f t="shared" ref="F525" si="86">IF(OR(OR(E525=0,E525=" "),OR(D525=0,D525=" "))," ",D525*E525)</f>
        <v>66</v>
      </c>
    </row>
    <row r="526" spans="1:6">
      <c r="E526" s="720"/>
      <c r="F526" s="720"/>
    </row>
    <row r="527" spans="1:6" ht="69">
      <c r="A527" s="517" t="s">
        <v>2273</v>
      </c>
      <c r="B527" s="523" t="s">
        <v>4061</v>
      </c>
      <c r="C527" s="519" t="s">
        <v>649</v>
      </c>
      <c r="D527" s="522">
        <v>15</v>
      </c>
      <c r="E527" s="921">
        <v>135</v>
      </c>
      <c r="F527" s="721">
        <f t="shared" ref="F527" si="87">IF(OR(OR(E527=0,E527=" "),OR(D527=0,D527=" "))," ",D527*E527)</f>
        <v>2025</v>
      </c>
    </row>
    <row r="528" spans="1:6">
      <c r="E528" s="720"/>
      <c r="F528" s="720"/>
    </row>
    <row r="529" spans="1:6" ht="69">
      <c r="A529" s="517" t="s">
        <v>2274</v>
      </c>
      <c r="B529" s="523" t="s">
        <v>3891</v>
      </c>
      <c r="C529" s="519" t="s">
        <v>649</v>
      </c>
      <c r="D529" s="522">
        <v>60</v>
      </c>
      <c r="E529" s="921">
        <v>230</v>
      </c>
      <c r="F529" s="721">
        <f t="shared" ref="F529" si="88">IF(OR(OR(E529=0,E529=" "),OR(D529=0,D529=" "))," ",D529*E529)</f>
        <v>13800</v>
      </c>
    </row>
    <row r="530" spans="1:6">
      <c r="E530" s="720"/>
      <c r="F530" s="720"/>
    </row>
    <row r="531" spans="1:6" ht="82.8">
      <c r="A531" s="517" t="s">
        <v>2275</v>
      </c>
      <c r="B531" s="523" t="s">
        <v>4062</v>
      </c>
      <c r="C531" s="519" t="s">
        <v>649</v>
      </c>
      <c r="D531" s="522">
        <v>1</v>
      </c>
      <c r="E531" s="920">
        <v>45</v>
      </c>
      <c r="F531" s="721">
        <f t="shared" ref="F531" si="89">IF(OR(OR(E531=0,E531=" "),OR(D531=0,D531=" "))," ",D531*E531)</f>
        <v>45</v>
      </c>
    </row>
    <row r="532" spans="1:6">
      <c r="E532" s="720"/>
      <c r="F532" s="720"/>
    </row>
    <row r="533" spans="1:6" ht="82.8">
      <c r="A533" s="517" t="s">
        <v>2276</v>
      </c>
      <c r="B533" s="523" t="s">
        <v>4060</v>
      </c>
      <c r="C533" s="519" t="s">
        <v>649</v>
      </c>
      <c r="D533" s="522">
        <v>1</v>
      </c>
      <c r="E533" s="920">
        <v>110</v>
      </c>
      <c r="F533" s="721">
        <f t="shared" ref="F533" si="90">IF(OR(OR(E533=0,E533=" "),OR(D533=0,D533=" "))," ",D533*E533)</f>
        <v>110</v>
      </c>
    </row>
    <row r="534" spans="1:6">
      <c r="E534" s="720"/>
      <c r="F534" s="720"/>
    </row>
    <row r="535" spans="1:6" ht="82.8">
      <c r="A535" s="517" t="s">
        <v>2277</v>
      </c>
      <c r="B535" s="523" t="s">
        <v>4063</v>
      </c>
      <c r="C535" s="519" t="s">
        <v>649</v>
      </c>
      <c r="D535" s="522">
        <v>1</v>
      </c>
      <c r="E535" s="920">
        <v>112</v>
      </c>
      <c r="F535" s="721">
        <f t="shared" ref="F535" si="91">IF(OR(OR(E535=0,E535=" "),OR(D535=0,D535=" "))," ",D535*E535)</f>
        <v>112</v>
      </c>
    </row>
    <row r="536" spans="1:6">
      <c r="E536" s="720"/>
      <c r="F536" s="720"/>
    </row>
    <row r="537" spans="1:6" ht="69">
      <c r="A537" s="517" t="s">
        <v>2278</v>
      </c>
      <c r="B537" s="523" t="s">
        <v>3892</v>
      </c>
      <c r="C537" s="519" t="s">
        <v>649</v>
      </c>
      <c r="D537" s="522">
        <v>2</v>
      </c>
      <c r="E537" s="920">
        <v>112</v>
      </c>
      <c r="F537" s="721">
        <f t="shared" ref="F537" si="92">IF(OR(OR(E537=0,E537=" "),OR(D537=0,D537=" "))," ",D537*E537)</f>
        <v>224</v>
      </c>
    </row>
    <row r="538" spans="1:6">
      <c r="E538" s="720"/>
      <c r="F538" s="720"/>
    </row>
    <row r="539" spans="1:6" ht="69">
      <c r="A539" s="517" t="s">
        <v>2279</v>
      </c>
      <c r="B539" s="523" t="s">
        <v>3893</v>
      </c>
      <c r="C539" s="519" t="s">
        <v>649</v>
      </c>
      <c r="D539" s="522">
        <v>1</v>
      </c>
      <c r="E539" s="920">
        <v>112</v>
      </c>
      <c r="F539" s="721">
        <f t="shared" ref="F539" si="93">IF(OR(OR(E539=0,E539=" "),OR(D539=0,D539=" "))," ",D539*E539)</f>
        <v>112</v>
      </c>
    </row>
    <row r="540" spans="1:6">
      <c r="E540" s="720"/>
      <c r="F540" s="720"/>
    </row>
    <row r="541" spans="1:6" ht="69">
      <c r="A541" s="517" t="s">
        <v>2282</v>
      </c>
      <c r="B541" s="523" t="s">
        <v>3894</v>
      </c>
      <c r="C541" s="519" t="s">
        <v>649</v>
      </c>
      <c r="D541" s="522">
        <v>1</v>
      </c>
      <c r="E541" s="922">
        <v>109.6</v>
      </c>
      <c r="F541" s="721">
        <f t="shared" ref="F541" si="94">IF(OR(OR(E541=0,E541=" "),OR(D541=0,D541=" "))," ",D541*E541)</f>
        <v>109.6</v>
      </c>
    </row>
    <row r="542" spans="1:6">
      <c r="E542" s="720"/>
      <c r="F542" s="720"/>
    </row>
    <row r="543" spans="1:6" ht="69">
      <c r="A543" s="517" t="s">
        <v>2283</v>
      </c>
      <c r="B543" s="523" t="s">
        <v>2280</v>
      </c>
      <c r="E543" s="722"/>
      <c r="F543" s="725"/>
    </row>
    <row r="544" spans="1:6">
      <c r="B544" s="518" t="s">
        <v>2281</v>
      </c>
      <c r="E544" s="722"/>
      <c r="F544" s="725"/>
    </row>
    <row r="545" spans="1:6" ht="41.4">
      <c r="A545" s="517" t="s">
        <v>267</v>
      </c>
      <c r="B545" s="523" t="s">
        <v>5602</v>
      </c>
      <c r="E545" s="722"/>
      <c r="F545" s="725"/>
    </row>
    <row r="546" spans="1:6" ht="41.4">
      <c r="A546" s="517" t="s">
        <v>267</v>
      </c>
      <c r="B546" s="523" t="s">
        <v>5603</v>
      </c>
      <c r="E546" s="722"/>
      <c r="F546" s="725"/>
    </row>
    <row r="547" spans="1:6" ht="41.4">
      <c r="A547" s="517" t="s">
        <v>267</v>
      </c>
      <c r="B547" s="523" t="s">
        <v>5604</v>
      </c>
      <c r="E547" s="722"/>
      <c r="F547" s="725"/>
    </row>
    <row r="548" spans="1:6" ht="55.2">
      <c r="A548" s="517" t="s">
        <v>267</v>
      </c>
      <c r="B548" s="523" t="s">
        <v>5605</v>
      </c>
      <c r="E548" s="722"/>
      <c r="F548" s="725"/>
    </row>
    <row r="549" spans="1:6" ht="41.4">
      <c r="A549" s="517" t="s">
        <v>267</v>
      </c>
      <c r="B549" s="523" t="s">
        <v>5606</v>
      </c>
      <c r="E549" s="722"/>
      <c r="F549" s="725"/>
    </row>
    <row r="550" spans="1:6" ht="41.4">
      <c r="A550" s="517" t="s">
        <v>267</v>
      </c>
      <c r="B550" s="527" t="s">
        <v>5607</v>
      </c>
      <c r="C550" s="528"/>
      <c r="D550" s="530"/>
      <c r="E550" s="722"/>
      <c r="F550" s="725"/>
    </row>
    <row r="551" spans="1:6">
      <c r="B551" s="522" t="s">
        <v>2202</v>
      </c>
      <c r="C551" s="519" t="s">
        <v>670</v>
      </c>
      <c r="D551" s="522">
        <v>1</v>
      </c>
      <c r="E551" s="922">
        <v>528</v>
      </c>
      <c r="F551" s="721">
        <f t="shared" ref="F551" si="95">IF(OR(OR(E551=0,E551=" "),OR(D551=0,D551=" "))," ",D551*E551)</f>
        <v>528</v>
      </c>
    </row>
    <row r="552" spans="1:6">
      <c r="E552" s="720"/>
      <c r="F552" s="720"/>
    </row>
    <row r="553" spans="1:6" ht="69">
      <c r="A553" s="517" t="s">
        <v>2284</v>
      </c>
      <c r="B553" s="523" t="s">
        <v>3895</v>
      </c>
      <c r="C553" s="519" t="s">
        <v>649</v>
      </c>
      <c r="D553" s="522">
        <v>1</v>
      </c>
      <c r="E553" s="922">
        <v>60</v>
      </c>
      <c r="F553" s="721">
        <f t="shared" ref="F553" si="96">IF(OR(OR(E553=0,E553=" "),OR(D553=0,D553=" "))," ",D553*E553)</f>
        <v>60</v>
      </c>
    </row>
    <row r="554" spans="1:6">
      <c r="E554" s="720"/>
      <c r="F554" s="720"/>
    </row>
    <row r="555" spans="1:6" ht="55.2">
      <c r="A555" s="517" t="s">
        <v>2285</v>
      </c>
      <c r="B555" s="523" t="s">
        <v>3896</v>
      </c>
      <c r="C555" s="519" t="s">
        <v>649</v>
      </c>
      <c r="D555" s="522">
        <v>1</v>
      </c>
      <c r="E555" s="922">
        <v>60</v>
      </c>
      <c r="F555" s="721">
        <f t="shared" ref="F555" si="97">IF(OR(OR(E555=0,E555=" "),OR(D555=0,D555=" "))," ",D555*E555)</f>
        <v>60</v>
      </c>
    </row>
    <row r="556" spans="1:6">
      <c r="E556" s="720"/>
      <c r="F556" s="720"/>
    </row>
    <row r="557" spans="1:6" ht="55.2">
      <c r="A557" s="517" t="s">
        <v>2286</v>
      </c>
      <c r="B557" s="523" t="s">
        <v>3897</v>
      </c>
      <c r="C557" s="519" t="s">
        <v>649</v>
      </c>
      <c r="D557" s="522">
        <v>1</v>
      </c>
      <c r="E557" s="922">
        <v>60</v>
      </c>
      <c r="F557" s="721">
        <f t="shared" ref="F557" si="98">IF(OR(OR(E557=0,E557=" "),OR(D557=0,D557=" "))," ",D557*E557)</f>
        <v>60</v>
      </c>
    </row>
    <row r="558" spans="1:6">
      <c r="E558" s="722"/>
      <c r="F558" s="725"/>
    </row>
    <row r="559" spans="1:6" ht="70.2">
      <c r="A559" s="517" t="s">
        <v>2288</v>
      </c>
      <c r="B559" s="523" t="s">
        <v>3898</v>
      </c>
      <c r="C559" s="519" t="s">
        <v>649</v>
      </c>
      <c r="D559" s="522">
        <v>10</v>
      </c>
      <c r="E559" s="922">
        <v>147</v>
      </c>
      <c r="F559" s="721">
        <f t="shared" ref="F559" si="99">IF(OR(OR(E559=0,E559=" "),OR(D559=0,D559=" "))," ",D559*E559)</f>
        <v>1470</v>
      </c>
    </row>
    <row r="560" spans="1:6">
      <c r="E560" s="722"/>
      <c r="F560" s="725"/>
    </row>
    <row r="561" spans="1:6" ht="55.2">
      <c r="A561" s="689" t="s">
        <v>2290</v>
      </c>
      <c r="B561" s="523" t="s">
        <v>2287</v>
      </c>
      <c r="C561" s="519" t="s">
        <v>649</v>
      </c>
      <c r="D561" s="522">
        <v>30</v>
      </c>
      <c r="E561" s="921">
        <v>7</v>
      </c>
      <c r="F561" s="721">
        <f t="shared" ref="F561" si="100">IF(OR(OR(E561=0,E561=" "),OR(D561=0,D561=" "))," ",D561*E561)</f>
        <v>210</v>
      </c>
    </row>
    <row r="562" spans="1:6">
      <c r="E562" s="722"/>
      <c r="F562" s="725"/>
    </row>
    <row r="563" spans="1:6">
      <c r="E563" s="722"/>
      <c r="F563" s="725"/>
    </row>
    <row r="564" spans="1:6" ht="27.6">
      <c r="A564" s="517" t="s">
        <v>3899</v>
      </c>
      <c r="B564" s="523" t="s">
        <v>2289</v>
      </c>
      <c r="C564" s="519" t="s">
        <v>670</v>
      </c>
      <c r="D564" s="522">
        <v>1</v>
      </c>
      <c r="E564" s="725">
        <v>500</v>
      </c>
      <c r="F564" s="721">
        <f t="shared" ref="F564" si="101">IF(OR(OR(E564=0,E564=" "),OR(D564=0,D564=" "))," ",D564*E564)</f>
        <v>500</v>
      </c>
    </row>
    <row r="565" spans="1:6">
      <c r="E565" s="720"/>
      <c r="F565" s="720"/>
    </row>
    <row r="566" spans="1:6">
      <c r="A566" s="517" t="s">
        <v>3900</v>
      </c>
      <c r="B566" s="523" t="s">
        <v>2291</v>
      </c>
      <c r="C566" s="519" t="s">
        <v>697</v>
      </c>
      <c r="D566" s="522">
        <v>50</v>
      </c>
      <c r="E566" s="921">
        <v>3</v>
      </c>
      <c r="F566" s="721">
        <f t="shared" ref="F566" si="102">IF(OR(OR(E566=0,E566=" "),OR(D566=0,D566=" "))," ",D566*E566)</f>
        <v>150</v>
      </c>
    </row>
    <row r="568" spans="1:6">
      <c r="A568" s="526"/>
      <c r="B568" s="527"/>
      <c r="C568" s="528"/>
      <c r="D568" s="530"/>
      <c r="E568" s="681"/>
      <c r="F568" s="681"/>
    </row>
    <row r="569" spans="1:6">
      <c r="A569" s="517" t="s">
        <v>11</v>
      </c>
      <c r="B569" s="518" t="s">
        <v>2292</v>
      </c>
      <c r="C569" s="531"/>
      <c r="D569" s="517"/>
      <c r="E569" s="691"/>
      <c r="F569" s="727">
        <f>SUM(F511:F567)</f>
        <v>28308.6</v>
      </c>
    </row>
    <row r="573" spans="1:6">
      <c r="A573" s="495" t="s">
        <v>12</v>
      </c>
      <c r="B573" s="499" t="s">
        <v>2293</v>
      </c>
      <c r="C573" s="497"/>
      <c r="D573" s="498"/>
      <c r="E573" s="677"/>
      <c r="F573" s="677"/>
    </row>
    <row r="574" spans="1:6">
      <c r="B574" s="518"/>
    </row>
    <row r="576" spans="1:6">
      <c r="A576" s="517" t="s">
        <v>1088</v>
      </c>
      <c r="B576" s="518" t="s">
        <v>3901</v>
      </c>
      <c r="E576" s="679"/>
    </row>
    <row r="578" spans="1:6" ht="165.6">
      <c r="A578" s="517" t="s">
        <v>3902</v>
      </c>
      <c r="B578" s="523" t="s">
        <v>5608</v>
      </c>
    </row>
    <row r="579" spans="1:6" ht="41.4">
      <c r="B579" s="523" t="s">
        <v>5609</v>
      </c>
    </row>
    <row r="580" spans="1:6" ht="41.4">
      <c r="B580" s="523" t="s">
        <v>5610</v>
      </c>
      <c r="E580" s="679"/>
      <c r="F580" s="679"/>
    </row>
    <row r="581" spans="1:6" ht="41.4">
      <c r="B581" s="700" t="s">
        <v>5611</v>
      </c>
      <c r="E581" s="701"/>
      <c r="F581" s="679"/>
    </row>
    <row r="582" spans="1:6" ht="41.4">
      <c r="B582" s="700" t="s">
        <v>5612</v>
      </c>
      <c r="E582" s="701"/>
      <c r="F582" s="679"/>
    </row>
    <row r="583" spans="1:6" ht="41.4">
      <c r="B583" s="700" t="s">
        <v>5613</v>
      </c>
      <c r="E583" s="701"/>
      <c r="F583" s="679"/>
    </row>
    <row r="584" spans="1:6" ht="41.4">
      <c r="B584" s="700" t="s">
        <v>5614</v>
      </c>
      <c r="E584" s="701"/>
      <c r="F584" s="679"/>
    </row>
    <row r="585" spans="1:6" ht="41.4">
      <c r="B585" s="700" t="s">
        <v>5615</v>
      </c>
      <c r="E585" s="701"/>
      <c r="F585" s="679"/>
    </row>
    <row r="586" spans="1:6" ht="41.4">
      <c r="B586" s="700" t="s">
        <v>5616</v>
      </c>
      <c r="E586" s="701"/>
      <c r="F586" s="679"/>
    </row>
    <row r="587" spans="1:6" ht="41.4">
      <c r="B587" s="700" t="s">
        <v>5617</v>
      </c>
      <c r="E587" s="701"/>
      <c r="F587" s="679"/>
    </row>
    <row r="588" spans="1:6" ht="55.2">
      <c r="B588" s="700" t="s">
        <v>5618</v>
      </c>
      <c r="E588" s="701"/>
      <c r="F588" s="679"/>
    </row>
    <row r="589" spans="1:6" ht="55.2">
      <c r="B589" s="700" t="s">
        <v>5619</v>
      </c>
      <c r="E589" s="701"/>
      <c r="F589" s="679"/>
    </row>
    <row r="590" spans="1:6" ht="41.4">
      <c r="B590" s="911" t="s">
        <v>5620</v>
      </c>
      <c r="C590" s="528"/>
      <c r="D590" s="530"/>
      <c r="E590" s="702"/>
      <c r="F590" s="679"/>
    </row>
    <row r="591" spans="1:6">
      <c r="B591" s="522" t="s">
        <v>2202</v>
      </c>
      <c r="C591" s="519" t="s">
        <v>670</v>
      </c>
      <c r="D591" s="522">
        <v>1</v>
      </c>
      <c r="E591" s="730">
        <v>1450</v>
      </c>
      <c r="F591" s="721">
        <f t="shared" ref="F591" si="103">IF(OR(OR(E591=0,E591=" "),OR(D591=0,D591=" "))," ",D591*E591)</f>
        <v>1450</v>
      </c>
    </row>
    <row r="592" spans="1:6">
      <c r="E592" s="722"/>
      <c r="F592" s="722"/>
    </row>
    <row r="593" spans="1:6" ht="27.6">
      <c r="A593" s="703" t="s">
        <v>3903</v>
      </c>
      <c r="B593" s="700" t="s">
        <v>2296</v>
      </c>
      <c r="C593" s="519" t="s">
        <v>649</v>
      </c>
      <c r="D593" s="522">
        <v>1</v>
      </c>
      <c r="E593" s="730">
        <v>101</v>
      </c>
      <c r="F593" s="721">
        <f t="shared" ref="F593" si="104">IF(OR(OR(E593=0,E593=" "),OR(D593=0,D593=" "))," ",D593*E593)</f>
        <v>101</v>
      </c>
    </row>
    <row r="594" spans="1:6">
      <c r="A594" s="703"/>
      <c r="B594" s="700"/>
      <c r="E594" s="730"/>
      <c r="F594" s="722"/>
    </row>
    <row r="595" spans="1:6" ht="27.6">
      <c r="A595" s="703" t="s">
        <v>3904</v>
      </c>
      <c r="B595" s="704" t="s">
        <v>3905</v>
      </c>
      <c r="C595" s="519" t="s">
        <v>649</v>
      </c>
      <c r="D595" s="522">
        <v>12</v>
      </c>
      <c r="E595" s="730">
        <v>24.7</v>
      </c>
      <c r="F595" s="721">
        <f t="shared" ref="F595" si="105">IF(OR(OR(E595=0,E595=" "),OR(D595=0,D595=" "))," ",D595*E595)</f>
        <v>296.39999999999998</v>
      </c>
    </row>
    <row r="596" spans="1:6">
      <c r="A596" s="703"/>
      <c r="B596" s="700"/>
      <c r="E596" s="730"/>
      <c r="F596" s="722"/>
    </row>
    <row r="597" spans="1:6" ht="27.6">
      <c r="A597" s="703" t="s">
        <v>3906</v>
      </c>
      <c r="B597" s="700" t="s">
        <v>2299</v>
      </c>
      <c r="C597" s="519" t="s">
        <v>649</v>
      </c>
      <c r="D597" s="522">
        <v>6</v>
      </c>
      <c r="E597" s="730">
        <v>254</v>
      </c>
      <c r="F597" s="721">
        <f t="shared" ref="F597" si="106">IF(OR(OR(E597=0,E597=" "),OR(D597=0,D597=" "))," ",D597*E597)</f>
        <v>1524</v>
      </c>
    </row>
    <row r="598" spans="1:6">
      <c r="A598" s="703"/>
      <c r="B598" s="700"/>
      <c r="E598" s="730"/>
      <c r="F598" s="722"/>
    </row>
    <row r="599" spans="1:6">
      <c r="A599" s="703" t="s">
        <v>3907</v>
      </c>
      <c r="B599" s="700" t="s">
        <v>2301</v>
      </c>
      <c r="C599" s="519" t="s">
        <v>649</v>
      </c>
      <c r="D599" s="522">
        <v>12</v>
      </c>
      <c r="E599" s="730">
        <v>6</v>
      </c>
      <c r="F599" s="721">
        <f t="shared" ref="F599" si="107">IF(OR(OR(E599=0,E599=" "),OR(D599=0,D599=" "))," ",D599*E599)</f>
        <v>72</v>
      </c>
    </row>
    <row r="600" spans="1:6">
      <c r="A600" s="703"/>
      <c r="B600" s="700"/>
      <c r="E600" s="730"/>
      <c r="F600" s="722"/>
    </row>
    <row r="601" spans="1:6">
      <c r="A601" s="703" t="s">
        <v>3908</v>
      </c>
      <c r="B601" s="700" t="s">
        <v>2302</v>
      </c>
      <c r="C601" s="519" t="s">
        <v>649</v>
      </c>
      <c r="D601" s="522">
        <v>1</v>
      </c>
      <c r="E601" s="730">
        <v>55</v>
      </c>
      <c r="F601" s="721">
        <f t="shared" ref="F601" si="108">IF(OR(OR(E601=0,E601=" "),OR(D601=0,D601=" "))," ",D601*E601)</f>
        <v>55</v>
      </c>
    </row>
    <row r="602" spans="1:6">
      <c r="A602" s="703"/>
      <c r="B602" s="700"/>
      <c r="E602" s="730"/>
      <c r="F602" s="722"/>
    </row>
    <row r="603" spans="1:6" ht="110.4">
      <c r="A603" s="703" t="s">
        <v>3909</v>
      </c>
      <c r="B603" s="700" t="s">
        <v>2303</v>
      </c>
      <c r="C603" s="519" t="s">
        <v>649</v>
      </c>
      <c r="D603" s="522">
        <v>12</v>
      </c>
      <c r="E603" s="730">
        <v>50</v>
      </c>
      <c r="F603" s="721">
        <f t="shared" ref="F603" si="109">IF(OR(OR(E603=0,E603=" "),OR(D603=0,D603=" "))," ",D603*E603)</f>
        <v>600</v>
      </c>
    </row>
    <row r="604" spans="1:6">
      <c r="A604" s="703"/>
      <c r="B604" s="700"/>
      <c r="E604" s="730"/>
      <c r="F604" s="722"/>
    </row>
    <row r="605" spans="1:6" ht="69">
      <c r="A605" s="703" t="s">
        <v>3910</v>
      </c>
      <c r="B605" s="700" t="s">
        <v>4064</v>
      </c>
      <c r="C605" s="519" t="s">
        <v>649</v>
      </c>
      <c r="D605" s="522">
        <v>3</v>
      </c>
      <c r="E605" s="730">
        <v>55</v>
      </c>
      <c r="F605" s="721">
        <f t="shared" ref="F605" si="110">IF(OR(OR(E605=0,E605=" "),OR(D605=0,D605=" "))," ",D605*E605)</f>
        <v>165</v>
      </c>
    </row>
    <row r="606" spans="1:6">
      <c r="A606" s="703"/>
      <c r="B606" s="700"/>
      <c r="E606" s="730"/>
      <c r="F606" s="722"/>
    </row>
    <row r="607" spans="1:6" ht="41.4">
      <c r="A607" s="703" t="s">
        <v>3911</v>
      </c>
      <c r="B607" s="700" t="s">
        <v>4065</v>
      </c>
      <c r="C607" s="519" t="s">
        <v>649</v>
      </c>
      <c r="D607" s="522">
        <v>57</v>
      </c>
      <c r="E607" s="730">
        <v>16</v>
      </c>
      <c r="F607" s="721">
        <f t="shared" ref="F607" si="111">IF(OR(OR(E607=0,E607=" "),OR(D607=0,D607=" "))," ",D607*E607)</f>
        <v>912</v>
      </c>
    </row>
    <row r="608" spans="1:6">
      <c r="A608" s="703"/>
      <c r="B608" s="700"/>
      <c r="E608" s="730"/>
      <c r="F608" s="722"/>
    </row>
    <row r="609" spans="1:6" ht="27.6">
      <c r="A609" s="703" t="s">
        <v>3912</v>
      </c>
      <c r="B609" s="700" t="s">
        <v>3913</v>
      </c>
      <c r="C609" s="519" t="s">
        <v>649</v>
      </c>
      <c r="D609" s="522">
        <v>57</v>
      </c>
      <c r="E609" s="730">
        <v>16</v>
      </c>
      <c r="F609" s="721">
        <f t="shared" ref="F609" si="112">IF(OR(OR(E609=0,E609=" "),OR(D609=0,D609=" "))," ",D609*E609)</f>
        <v>912</v>
      </c>
    </row>
    <row r="610" spans="1:6">
      <c r="A610" s="703"/>
      <c r="B610" s="700"/>
      <c r="E610" s="730"/>
      <c r="F610" s="722"/>
    </row>
    <row r="611" spans="1:6">
      <c r="A611" s="703" t="s">
        <v>3914</v>
      </c>
      <c r="B611" s="705" t="s">
        <v>2304</v>
      </c>
      <c r="C611" s="519" t="s">
        <v>649</v>
      </c>
      <c r="D611" s="522">
        <v>57</v>
      </c>
      <c r="E611" s="730">
        <v>1</v>
      </c>
      <c r="F611" s="721">
        <f t="shared" ref="F611" si="113">IF(OR(OR(E611=0,E611=" "),OR(D611=0,D611=" "))," ",D611*E611)</f>
        <v>57</v>
      </c>
    </row>
    <row r="612" spans="1:6">
      <c r="A612" s="703"/>
      <c r="B612" s="705"/>
      <c r="E612" s="730"/>
      <c r="F612" s="722"/>
    </row>
    <row r="613" spans="1:6" ht="27.6">
      <c r="A613" s="703" t="s">
        <v>3915</v>
      </c>
      <c r="B613" s="700" t="s">
        <v>2305</v>
      </c>
      <c r="C613" s="519" t="s">
        <v>649</v>
      </c>
      <c r="D613" s="522">
        <v>57</v>
      </c>
      <c r="E613" s="730">
        <v>1</v>
      </c>
      <c r="F613" s="721">
        <f t="shared" ref="F613" si="114">IF(OR(OR(E613=0,E613=" "),OR(D613=0,D613=" "))," ",D613*E613)</f>
        <v>57</v>
      </c>
    </row>
    <row r="614" spans="1:6">
      <c r="A614" s="703"/>
      <c r="B614" s="700"/>
      <c r="E614" s="730"/>
      <c r="F614" s="722"/>
    </row>
    <row r="615" spans="1:6" ht="124.2">
      <c r="A615" s="703" t="s">
        <v>3916</v>
      </c>
      <c r="B615" s="700" t="s">
        <v>2306</v>
      </c>
      <c r="C615" s="519" t="s">
        <v>649</v>
      </c>
      <c r="D615" s="522">
        <v>57</v>
      </c>
      <c r="E615" s="730">
        <v>5</v>
      </c>
      <c r="F615" s="721">
        <f t="shared" ref="F615" si="115">IF(OR(OR(E615=0,E615=" "),OR(D615=0,D615=" "))," ",D615*E615)</f>
        <v>285</v>
      </c>
    </row>
    <row r="616" spans="1:6">
      <c r="E616" s="722"/>
      <c r="F616" s="722"/>
    </row>
    <row r="617" spans="1:6">
      <c r="E617" s="720"/>
      <c r="F617" s="720"/>
    </row>
    <row r="618" spans="1:6">
      <c r="E618" s="720"/>
      <c r="F618" s="720"/>
    </row>
    <row r="619" spans="1:6">
      <c r="A619" s="517" t="s">
        <v>1089</v>
      </c>
      <c r="B619" s="518" t="s">
        <v>2307</v>
      </c>
      <c r="E619" s="720"/>
      <c r="F619" s="720"/>
    </row>
    <row r="620" spans="1:6">
      <c r="E620" s="720"/>
      <c r="F620" s="720"/>
    </row>
    <row r="621" spans="1:6" ht="55.2">
      <c r="A621" s="703" t="s">
        <v>2294</v>
      </c>
      <c r="B621" s="700" t="s">
        <v>2309</v>
      </c>
      <c r="C621" s="519" t="s">
        <v>697</v>
      </c>
      <c r="D621" s="522">
        <v>2400</v>
      </c>
      <c r="E621" s="730">
        <v>2.6</v>
      </c>
      <c r="F621" s="721">
        <f t="shared" ref="F621" si="116">IF(OR(OR(E621=0,E621=" "),OR(D621=0,D621=" "))," ",D621*E621)</f>
        <v>6240</v>
      </c>
    </row>
    <row r="622" spans="1:6">
      <c r="A622" s="703"/>
      <c r="B622" s="700"/>
      <c r="E622" s="730"/>
      <c r="F622" s="722"/>
    </row>
    <row r="623" spans="1:6" ht="69">
      <c r="A623" s="703" t="s">
        <v>2295</v>
      </c>
      <c r="B623" s="700" t="s">
        <v>3917</v>
      </c>
      <c r="C623" s="519" t="s">
        <v>697</v>
      </c>
      <c r="D623" s="522">
        <v>30</v>
      </c>
      <c r="E623" s="730">
        <v>15</v>
      </c>
      <c r="F623" s="721">
        <f t="shared" ref="F623" si="117">IF(OR(OR(E623=0,E623=" "),OR(D623=0,D623=" "))," ",D623*E623)</f>
        <v>450</v>
      </c>
    </row>
    <row r="624" spans="1:6">
      <c r="A624" s="703"/>
      <c r="B624" s="700"/>
      <c r="E624" s="730"/>
      <c r="F624" s="722"/>
    </row>
    <row r="625" spans="1:6" ht="82.8">
      <c r="A625" s="703" t="s">
        <v>2297</v>
      </c>
      <c r="B625" s="704" t="s">
        <v>3918</v>
      </c>
      <c r="C625" s="519" t="s">
        <v>697</v>
      </c>
      <c r="D625" s="522">
        <v>30</v>
      </c>
      <c r="E625" s="730">
        <v>15</v>
      </c>
      <c r="F625" s="721">
        <f t="shared" ref="F625" si="118">IF(OR(OR(E625=0,E625=" "),OR(D625=0,D625=" "))," ",D625*E625)</f>
        <v>450</v>
      </c>
    </row>
    <row r="626" spans="1:6">
      <c r="A626" s="703"/>
      <c r="B626" s="700"/>
      <c r="E626" s="730"/>
      <c r="F626" s="722"/>
    </row>
    <row r="627" spans="1:6">
      <c r="A627" s="703" t="s">
        <v>2298</v>
      </c>
      <c r="B627" s="700" t="s">
        <v>3919</v>
      </c>
      <c r="C627" s="519" t="s">
        <v>649</v>
      </c>
      <c r="D627" s="522">
        <v>35</v>
      </c>
      <c r="E627" s="730">
        <v>4</v>
      </c>
      <c r="F627" s="721">
        <f t="shared" ref="F627" si="119">IF(OR(OR(E627=0,E627=" "),OR(D627=0,D627=" "))," ",D627*E627)</f>
        <v>140</v>
      </c>
    </row>
    <row r="628" spans="1:6">
      <c r="A628" s="703"/>
      <c r="B628" s="700"/>
      <c r="E628" s="730"/>
      <c r="F628" s="722"/>
    </row>
    <row r="629" spans="1:6">
      <c r="A629" s="517" t="s">
        <v>2300</v>
      </c>
      <c r="B629" s="523" t="s">
        <v>2312</v>
      </c>
      <c r="E629" s="722"/>
      <c r="F629" s="720"/>
    </row>
    <row r="630" spans="1:6">
      <c r="A630" s="517" t="s">
        <v>48</v>
      </c>
      <c r="B630" s="704" t="s">
        <v>3920</v>
      </c>
      <c r="C630" s="519" t="s">
        <v>697</v>
      </c>
      <c r="D630" s="522">
        <v>2400</v>
      </c>
      <c r="E630" s="722">
        <v>3</v>
      </c>
      <c r="F630" s="721">
        <f t="shared" ref="F630:F631" si="120">IF(OR(OR(E630=0,E630=" "),OR(D630=0,D630=" "))," ",D630*E630)</f>
        <v>7200</v>
      </c>
    </row>
    <row r="631" spans="1:6">
      <c r="A631" s="517" t="s">
        <v>49</v>
      </c>
      <c r="B631" s="704" t="s">
        <v>3921</v>
      </c>
      <c r="C631" s="519" t="s">
        <v>649</v>
      </c>
      <c r="D631" s="522">
        <v>2400</v>
      </c>
      <c r="E631" s="722">
        <v>1</v>
      </c>
      <c r="F631" s="721">
        <f t="shared" si="120"/>
        <v>2400</v>
      </c>
    </row>
    <row r="632" spans="1:6">
      <c r="A632" s="703"/>
      <c r="B632" s="700"/>
      <c r="E632" s="730"/>
      <c r="F632" s="722"/>
    </row>
    <row r="633" spans="1:6">
      <c r="A633" s="703"/>
      <c r="B633" s="700"/>
      <c r="E633" s="730"/>
      <c r="F633" s="722"/>
    </row>
    <row r="634" spans="1:6">
      <c r="A634" s="517" t="s">
        <v>1090</v>
      </c>
      <c r="B634" s="518" t="s">
        <v>2313</v>
      </c>
      <c r="E634" s="720"/>
      <c r="F634" s="720"/>
    </row>
    <row r="635" spans="1:6">
      <c r="E635" s="720"/>
      <c r="F635" s="720"/>
    </row>
    <row r="636" spans="1:6" ht="41.4">
      <c r="A636" s="703" t="s">
        <v>2308</v>
      </c>
      <c r="B636" s="704" t="s">
        <v>3922</v>
      </c>
      <c r="C636" s="519" t="s">
        <v>649</v>
      </c>
      <c r="D636" s="522">
        <v>5</v>
      </c>
      <c r="E636" s="730">
        <v>174</v>
      </c>
      <c r="F636" s="721">
        <f t="shared" ref="F636" si="121">IF(OR(OR(E636=0,E636=" "),OR(D636=0,D636=" "))," ",D636*E636)</f>
        <v>870</v>
      </c>
    </row>
    <row r="637" spans="1:6">
      <c r="A637" s="703"/>
      <c r="B637" s="700"/>
      <c r="E637" s="730"/>
      <c r="F637" s="722"/>
    </row>
    <row r="638" spans="1:6" ht="41.4">
      <c r="A638" s="703" t="s">
        <v>2310</v>
      </c>
      <c r="B638" s="704" t="s">
        <v>3923</v>
      </c>
      <c r="C638" s="519" t="s">
        <v>649</v>
      </c>
      <c r="D638" s="522">
        <v>1</v>
      </c>
      <c r="E638" s="730">
        <v>232</v>
      </c>
      <c r="F638" s="721">
        <f t="shared" ref="F638" si="122">IF(OR(OR(E638=0,E638=" "),OR(D638=0,D638=" "))," ",D638*E638)</f>
        <v>232</v>
      </c>
    </row>
    <row r="639" spans="1:6">
      <c r="A639" s="703"/>
      <c r="B639" s="700"/>
      <c r="E639" s="730"/>
      <c r="F639" s="722"/>
    </row>
    <row r="640" spans="1:6">
      <c r="A640" s="703" t="s">
        <v>2311</v>
      </c>
      <c r="B640" s="700" t="s">
        <v>2317</v>
      </c>
      <c r="C640" s="519" t="s">
        <v>670</v>
      </c>
      <c r="D640" s="522">
        <v>1</v>
      </c>
      <c r="E640" s="730">
        <v>250</v>
      </c>
      <c r="F640" s="721">
        <f t="shared" ref="F640" si="123">IF(OR(OR(E640=0,E640=" "),OR(D640=0,D640=" "))," ",D640*E640)</f>
        <v>250</v>
      </c>
    </row>
    <row r="641" spans="1:6">
      <c r="A641" s="703"/>
      <c r="B641" s="700"/>
      <c r="E641" s="730"/>
      <c r="F641" s="722"/>
    </row>
    <row r="642" spans="1:6">
      <c r="E642" s="720"/>
      <c r="F642" s="720"/>
    </row>
    <row r="643" spans="1:6">
      <c r="A643" s="517" t="s">
        <v>1091</v>
      </c>
      <c r="B643" s="518" t="s">
        <v>664</v>
      </c>
      <c r="E643" s="720"/>
      <c r="F643" s="720"/>
    </row>
    <row r="644" spans="1:6">
      <c r="E644" s="720"/>
      <c r="F644" s="720"/>
    </row>
    <row r="645" spans="1:6" ht="27.6">
      <c r="A645" s="506" t="s">
        <v>2314</v>
      </c>
      <c r="B645" s="510" t="s">
        <v>2318</v>
      </c>
      <c r="C645" s="508" t="s">
        <v>697</v>
      </c>
      <c r="D645" s="509">
        <v>20</v>
      </c>
      <c r="E645" s="720">
        <v>25</v>
      </c>
      <c r="F645" s="721">
        <f t="shared" ref="F645" si="124">IF(OR(OR(E645=0,E645=" "),OR(D645=0,D645=" "))," ",D645*E645)</f>
        <v>500</v>
      </c>
    </row>
    <row r="646" spans="1:6">
      <c r="A646" s="506"/>
      <c r="B646" s="510"/>
      <c r="C646" s="508"/>
      <c r="D646" s="509"/>
      <c r="E646" s="729"/>
      <c r="F646" s="729"/>
    </row>
    <row r="647" spans="1:6" ht="41.4">
      <c r="A647" s="506" t="s">
        <v>2315</v>
      </c>
      <c r="B647" s="510" t="s">
        <v>2319</v>
      </c>
      <c r="C647" s="508" t="s">
        <v>649</v>
      </c>
      <c r="D647" s="509">
        <v>4</v>
      </c>
      <c r="E647" s="720">
        <v>180</v>
      </c>
      <c r="F647" s="721">
        <f t="shared" ref="F647" si="125">IF(OR(OR(E647=0,E647=" "),OR(D647=0,D647=" "))," ",D647*E647)</f>
        <v>720</v>
      </c>
    </row>
    <row r="648" spans="1:6">
      <c r="A648" s="506"/>
      <c r="B648" s="510"/>
      <c r="C648" s="508"/>
      <c r="D648" s="509"/>
      <c r="E648" s="729"/>
      <c r="F648" s="729"/>
    </row>
    <row r="649" spans="1:6" ht="69">
      <c r="A649" s="506" t="s">
        <v>2316</v>
      </c>
      <c r="B649" s="510" t="s">
        <v>3924</v>
      </c>
      <c r="C649" s="508" t="s">
        <v>649</v>
      </c>
      <c r="D649" s="509">
        <v>1</v>
      </c>
      <c r="E649" s="722">
        <v>1000</v>
      </c>
      <c r="F649" s="721">
        <f t="shared" ref="F649" si="126">IF(OR(OR(E649=0,E649=" "),OR(D649=0,D649=" "))," ",D649*E649)</f>
        <v>1000</v>
      </c>
    </row>
    <row r="651" spans="1:6">
      <c r="A651" s="526"/>
      <c r="B651" s="527"/>
      <c r="C651" s="528"/>
      <c r="D651" s="530"/>
      <c r="E651" s="681"/>
      <c r="F651" s="681"/>
    </row>
    <row r="652" spans="1:6">
      <c r="A652" s="517" t="s">
        <v>12</v>
      </c>
      <c r="B652" s="698" t="s">
        <v>2320</v>
      </c>
      <c r="C652" s="531"/>
      <c r="D652" s="517"/>
      <c r="E652" s="691"/>
      <c r="F652" s="727">
        <f>SUM(F576:F651)</f>
        <v>26938.400000000001</v>
      </c>
    </row>
    <row r="656" spans="1:6">
      <c r="A656" s="495" t="s">
        <v>13</v>
      </c>
      <c r="B656" s="496" t="s">
        <v>2321</v>
      </c>
      <c r="C656" s="501"/>
      <c r="D656" s="495"/>
      <c r="E656" s="706"/>
      <c r="F656" s="706"/>
    </row>
    <row r="657" spans="1:6">
      <c r="B657" s="518"/>
      <c r="C657" s="531"/>
      <c r="D657" s="517"/>
      <c r="E657" s="691"/>
      <c r="F657" s="691"/>
    </row>
    <row r="659" spans="1:6" ht="41.4">
      <c r="A659" s="689" t="s">
        <v>1093</v>
      </c>
      <c r="B659" s="523" t="s">
        <v>3253</v>
      </c>
    </row>
    <row r="660" spans="1:6">
      <c r="A660" s="517" t="s">
        <v>267</v>
      </c>
      <c r="B660" s="523" t="s">
        <v>5622</v>
      </c>
      <c r="E660" s="720"/>
      <c r="F660" s="720"/>
    </row>
    <row r="661" spans="1:6">
      <c r="A661" s="517" t="s">
        <v>267</v>
      </c>
      <c r="B661" s="523" t="s">
        <v>5623</v>
      </c>
      <c r="E661" s="720"/>
      <c r="F661" s="720"/>
    </row>
    <row r="662" spans="1:6">
      <c r="A662" s="517" t="s">
        <v>267</v>
      </c>
      <c r="B662" s="523" t="s">
        <v>5624</v>
      </c>
      <c r="E662" s="720"/>
      <c r="F662" s="720"/>
    </row>
    <row r="663" spans="1:6">
      <c r="A663" s="517" t="s">
        <v>267</v>
      </c>
      <c r="B663" s="523" t="s">
        <v>5625</v>
      </c>
      <c r="E663" s="720"/>
      <c r="F663" s="720"/>
    </row>
    <row r="664" spans="1:6">
      <c r="A664" s="517" t="s">
        <v>267</v>
      </c>
      <c r="B664" s="523" t="s">
        <v>5626</v>
      </c>
      <c r="E664" s="720"/>
      <c r="F664" s="720"/>
    </row>
    <row r="665" spans="1:6">
      <c r="A665" s="517" t="s">
        <v>267</v>
      </c>
      <c r="B665" s="523" t="s">
        <v>5627</v>
      </c>
      <c r="E665" s="720"/>
      <c r="F665" s="720"/>
    </row>
    <row r="666" spans="1:6">
      <c r="A666" s="517" t="s">
        <v>267</v>
      </c>
      <c r="B666" s="523" t="s">
        <v>5628</v>
      </c>
      <c r="E666" s="720"/>
      <c r="F666" s="720"/>
    </row>
    <row r="667" spans="1:6">
      <c r="A667" s="517" t="s">
        <v>267</v>
      </c>
      <c r="B667" s="523" t="s">
        <v>5629</v>
      </c>
      <c r="E667" s="720"/>
      <c r="F667" s="720"/>
    </row>
    <row r="668" spans="1:6">
      <c r="A668" s="517" t="s">
        <v>267</v>
      </c>
      <c r="B668" s="523" t="s">
        <v>5630</v>
      </c>
      <c r="E668" s="720"/>
      <c r="F668" s="720"/>
    </row>
    <row r="669" spans="1:6">
      <c r="A669" s="517" t="s">
        <v>267</v>
      </c>
      <c r="B669" s="523" t="s">
        <v>5631</v>
      </c>
      <c r="E669" s="720"/>
      <c r="F669" s="720"/>
    </row>
    <row r="670" spans="1:6">
      <c r="A670" s="517" t="s">
        <v>267</v>
      </c>
      <c r="B670" s="523" t="s">
        <v>5632</v>
      </c>
      <c r="E670" s="720"/>
      <c r="F670" s="720"/>
    </row>
    <row r="671" spans="1:6">
      <c r="A671" s="517" t="s">
        <v>267</v>
      </c>
      <c r="B671" s="523" t="s">
        <v>5633</v>
      </c>
      <c r="E671" s="720"/>
      <c r="F671" s="720"/>
    </row>
    <row r="672" spans="1:6">
      <c r="A672" s="517" t="s">
        <v>267</v>
      </c>
      <c r="B672" s="523" t="s">
        <v>5634</v>
      </c>
      <c r="E672" s="720"/>
      <c r="F672" s="720"/>
    </row>
    <row r="673" spans="1:6">
      <c r="A673" s="517" t="s">
        <v>267</v>
      </c>
      <c r="B673" s="527" t="s">
        <v>5635</v>
      </c>
      <c r="C673" s="528"/>
      <c r="D673" s="530"/>
      <c r="E673" s="720"/>
      <c r="F673" s="720"/>
    </row>
    <row r="674" spans="1:6">
      <c r="C674" s="519" t="s">
        <v>670</v>
      </c>
      <c r="D674" s="522">
        <v>1</v>
      </c>
      <c r="E674" s="722">
        <v>920</v>
      </c>
      <c r="F674" s="721">
        <f t="shared" ref="F674" si="127">IF(OR(OR(E674=0,E674=" "),OR(D674=0,D674=" "))," ",D674*E674)</f>
        <v>920</v>
      </c>
    </row>
    <row r="675" spans="1:6">
      <c r="E675" s="720"/>
      <c r="F675" s="720"/>
    </row>
    <row r="676" spans="1:6" ht="27.6">
      <c r="A676" s="517" t="s">
        <v>1094</v>
      </c>
      <c r="B676" s="523" t="s">
        <v>2322</v>
      </c>
      <c r="E676" s="720"/>
      <c r="F676" s="720"/>
    </row>
    <row r="677" spans="1:6" ht="41.4">
      <c r="A677" s="517" t="s">
        <v>267</v>
      </c>
      <c r="B677" s="523" t="s">
        <v>5643</v>
      </c>
      <c r="E677" s="720"/>
      <c r="F677" s="720"/>
    </row>
    <row r="678" spans="1:6">
      <c r="A678" s="517" t="s">
        <v>267</v>
      </c>
      <c r="B678" s="523" t="s">
        <v>5636</v>
      </c>
      <c r="E678" s="720"/>
      <c r="F678" s="720"/>
    </row>
    <row r="679" spans="1:6">
      <c r="A679" s="517" t="s">
        <v>267</v>
      </c>
      <c r="B679" s="523" t="s">
        <v>5637</v>
      </c>
      <c r="E679" s="720"/>
      <c r="F679" s="720"/>
    </row>
    <row r="680" spans="1:6">
      <c r="A680" s="517" t="s">
        <v>267</v>
      </c>
      <c r="B680" s="523" t="s">
        <v>5638</v>
      </c>
      <c r="E680" s="720"/>
      <c r="F680" s="720"/>
    </row>
    <row r="681" spans="1:6">
      <c r="A681" s="517" t="s">
        <v>267</v>
      </c>
      <c r="B681" s="523" t="s">
        <v>5642</v>
      </c>
      <c r="E681" s="720"/>
      <c r="F681" s="720"/>
    </row>
    <row r="682" spans="1:6">
      <c r="A682" s="517" t="s">
        <v>267</v>
      </c>
      <c r="B682" s="523" t="s">
        <v>5641</v>
      </c>
      <c r="E682" s="720"/>
      <c r="F682" s="720"/>
    </row>
    <row r="683" spans="1:6">
      <c r="A683" s="517" t="s">
        <v>267</v>
      </c>
      <c r="B683" s="523" t="s">
        <v>5640</v>
      </c>
      <c r="E683" s="720"/>
      <c r="F683" s="720"/>
    </row>
    <row r="684" spans="1:6">
      <c r="A684" s="517" t="s">
        <v>267</v>
      </c>
      <c r="B684" s="527" t="s">
        <v>5639</v>
      </c>
      <c r="C684" s="528"/>
      <c r="D684" s="530"/>
      <c r="E684" s="720"/>
      <c r="F684" s="720"/>
    </row>
    <row r="685" spans="1:6">
      <c r="C685" s="519" t="s">
        <v>670</v>
      </c>
      <c r="D685" s="522">
        <v>1</v>
      </c>
      <c r="E685" s="720">
        <v>752</v>
      </c>
      <c r="F685" s="721">
        <f t="shared" ref="F685" si="128">IF(OR(OR(E685=0,E685=" "),OR(D685=0,D685=" "))," ",D685*E685)</f>
        <v>752</v>
      </c>
    </row>
    <row r="686" spans="1:6">
      <c r="E686" s="720"/>
      <c r="F686" s="720"/>
    </row>
    <row r="687" spans="1:6">
      <c r="A687" s="517" t="s">
        <v>1095</v>
      </c>
      <c r="B687" s="523" t="s">
        <v>2323</v>
      </c>
      <c r="E687" s="720"/>
      <c r="F687" s="720"/>
    </row>
    <row r="688" spans="1:6">
      <c r="A688" s="517" t="s">
        <v>267</v>
      </c>
      <c r="B688" s="523" t="s">
        <v>3925</v>
      </c>
      <c r="C688" s="519" t="s">
        <v>649</v>
      </c>
      <c r="D688" s="522">
        <v>13</v>
      </c>
      <c r="E688" s="720">
        <v>100</v>
      </c>
      <c r="F688" s="721">
        <f t="shared" ref="F688" si="129">IF(OR(OR(E688=0,E688=" "),OR(D688=0,D688=" "))," ",D688*E688)</f>
        <v>1300</v>
      </c>
    </row>
    <row r="689" spans="1:6">
      <c r="E689" s="720"/>
      <c r="F689" s="720"/>
    </row>
    <row r="690" spans="1:6" ht="27.6">
      <c r="A690" s="517" t="s">
        <v>1096</v>
      </c>
      <c r="B690" s="523" t="s">
        <v>5621</v>
      </c>
      <c r="C690" s="519" t="s">
        <v>649</v>
      </c>
      <c r="D690" s="522">
        <v>1</v>
      </c>
      <c r="E690" s="720">
        <v>162</v>
      </c>
      <c r="F690" s="721">
        <f t="shared" ref="F690" si="130">IF(OR(OR(E690=0,E690=" "),OR(D690=0,D690=" "))," ",D690*E690)</f>
        <v>162</v>
      </c>
    </row>
    <row r="691" spans="1:6">
      <c r="E691" s="720"/>
      <c r="F691" s="720"/>
    </row>
    <row r="692" spans="1:6" ht="55.2">
      <c r="A692" s="517" t="s">
        <v>1097</v>
      </c>
      <c r="B692" s="523" t="s">
        <v>2324</v>
      </c>
      <c r="C692" s="519" t="s">
        <v>697</v>
      </c>
      <c r="D692" s="522">
        <v>10</v>
      </c>
      <c r="E692" s="720">
        <v>4.62</v>
      </c>
      <c r="F692" s="721">
        <f t="shared" ref="F692" si="131">IF(OR(OR(E692=0,E692=" "),OR(D692=0,D692=" "))," ",D692*E692)</f>
        <v>46.2</v>
      </c>
    </row>
    <row r="693" spans="1:6">
      <c r="E693" s="720"/>
      <c r="F693" s="720"/>
    </row>
    <row r="694" spans="1:6" ht="41.4">
      <c r="A694" s="517" t="s">
        <v>1098</v>
      </c>
      <c r="B694" s="523" t="s">
        <v>3926</v>
      </c>
      <c r="C694" s="519" t="s">
        <v>697</v>
      </c>
      <c r="D694" s="522">
        <v>10</v>
      </c>
      <c r="E694" s="720">
        <v>2.2000000000000002</v>
      </c>
      <c r="F694" s="721">
        <f t="shared" ref="F694" si="132">IF(OR(OR(E694=0,E694=" "),OR(D694=0,D694=" "))," ",D694*E694)</f>
        <v>22</v>
      </c>
    </row>
    <row r="695" spans="1:6">
      <c r="E695" s="720"/>
      <c r="F695" s="720"/>
    </row>
    <row r="696" spans="1:6" ht="69">
      <c r="A696" s="517" t="s">
        <v>2325</v>
      </c>
      <c r="B696" s="523" t="s">
        <v>3257</v>
      </c>
      <c r="C696" s="519" t="s">
        <v>697</v>
      </c>
      <c r="D696" s="522">
        <v>10</v>
      </c>
      <c r="E696" s="720">
        <v>7</v>
      </c>
      <c r="F696" s="721">
        <f t="shared" ref="F696" si="133">IF(OR(OR(E696=0,E696=" "),OR(D696=0,D696=" "))," ",D696*E696)</f>
        <v>70</v>
      </c>
    </row>
    <row r="697" spans="1:6">
      <c r="E697" s="720"/>
      <c r="F697" s="720"/>
    </row>
    <row r="698" spans="1:6">
      <c r="A698" s="517" t="s">
        <v>2326</v>
      </c>
      <c r="B698" s="523" t="s">
        <v>2327</v>
      </c>
      <c r="C698" s="519" t="s">
        <v>670</v>
      </c>
      <c r="D698" s="522">
        <v>1</v>
      </c>
      <c r="E698" s="720">
        <v>500</v>
      </c>
      <c r="F698" s="721">
        <f t="shared" ref="F698" si="134">IF(OR(OR(E698=0,E698=" "),OR(D698=0,D698=" "))," ",D698*E698)</f>
        <v>500</v>
      </c>
    </row>
    <row r="699" spans="1:6">
      <c r="E699" s="720"/>
      <c r="F699" s="720"/>
    </row>
    <row r="700" spans="1:6" ht="41.4">
      <c r="A700" s="517" t="s">
        <v>2328</v>
      </c>
      <c r="B700" s="523" t="s">
        <v>3256</v>
      </c>
      <c r="C700" s="519" t="s">
        <v>670</v>
      </c>
      <c r="D700" s="522">
        <v>1</v>
      </c>
      <c r="E700" s="720">
        <v>450</v>
      </c>
      <c r="F700" s="721">
        <f t="shared" ref="F700" si="135">IF(OR(OR(E700=0,E700=" "),OR(D700=0,D700=" "))," ",D700*E700)</f>
        <v>450</v>
      </c>
    </row>
    <row r="701" spans="1:6">
      <c r="E701" s="720"/>
      <c r="F701" s="720"/>
    </row>
    <row r="702" spans="1:6" ht="27.6">
      <c r="A702" s="517" t="s">
        <v>2329</v>
      </c>
      <c r="B702" s="523" t="s">
        <v>2330</v>
      </c>
      <c r="C702" s="519" t="s">
        <v>670</v>
      </c>
      <c r="D702" s="522">
        <v>1</v>
      </c>
      <c r="E702" s="720">
        <v>150</v>
      </c>
      <c r="F702" s="721">
        <f t="shared" ref="F702" si="136">IF(OR(OR(E702=0,E702=" "),OR(D702=0,D702=" "))," ",D702*E702)</f>
        <v>150</v>
      </c>
    </row>
    <row r="703" spans="1:6">
      <c r="E703" s="720"/>
      <c r="F703" s="720"/>
    </row>
    <row r="704" spans="1:6" ht="27.6">
      <c r="A704" s="517" t="s">
        <v>2331</v>
      </c>
      <c r="B704" s="523" t="s">
        <v>2332</v>
      </c>
      <c r="C704" s="519" t="s">
        <v>670</v>
      </c>
      <c r="D704" s="522">
        <v>1</v>
      </c>
      <c r="E704" s="720">
        <v>800</v>
      </c>
      <c r="F704" s="721">
        <f t="shared" ref="F704" si="137">IF(OR(OR(E704=0,E704=" "),OR(D704=0,D704=" "))," ",D704*E704)</f>
        <v>800</v>
      </c>
    </row>
    <row r="705" spans="1:6">
      <c r="E705" s="720"/>
      <c r="F705" s="720"/>
    </row>
    <row r="706" spans="1:6" ht="27.6">
      <c r="A706" s="517" t="s">
        <v>2333</v>
      </c>
      <c r="B706" s="523" t="s">
        <v>2334</v>
      </c>
      <c r="C706" s="519" t="s">
        <v>670</v>
      </c>
      <c r="D706" s="522">
        <v>1</v>
      </c>
      <c r="E706" s="720">
        <v>1000</v>
      </c>
      <c r="F706" s="721">
        <f t="shared" ref="F706" si="138">IF(OR(OR(E706=0,E706=" "),OR(D706=0,D706=" "))," ",D706*E706)</f>
        <v>1000</v>
      </c>
    </row>
    <row r="708" spans="1:6">
      <c r="A708" s="526"/>
      <c r="B708" s="527"/>
      <c r="C708" s="528"/>
      <c r="D708" s="530"/>
      <c r="E708" s="681"/>
      <c r="F708" s="681"/>
    </row>
    <row r="709" spans="1:6">
      <c r="A709" s="517" t="s">
        <v>13</v>
      </c>
      <c r="B709" s="518" t="s">
        <v>2335</v>
      </c>
      <c r="C709" s="531"/>
      <c r="D709" s="517"/>
      <c r="E709" s="691"/>
      <c r="F709" s="727">
        <f>SUM(F659:F707)</f>
        <v>6172.2</v>
      </c>
    </row>
    <row r="713" spans="1:6">
      <c r="A713" s="502" t="s">
        <v>14</v>
      </c>
      <c r="B713" s="503" t="s">
        <v>2336</v>
      </c>
      <c r="C713" s="504"/>
      <c r="D713" s="505"/>
      <c r="E713" s="707"/>
      <c r="F713" s="708"/>
    </row>
    <row r="714" spans="1:6">
      <c r="A714" s="506"/>
      <c r="B714" s="507"/>
      <c r="C714" s="508"/>
      <c r="D714" s="509"/>
      <c r="E714" s="696"/>
      <c r="F714" s="679"/>
    </row>
    <row r="715" spans="1:6">
      <c r="A715" s="506"/>
      <c r="B715" s="510"/>
      <c r="C715" s="508"/>
      <c r="D715" s="509"/>
      <c r="E715" s="696"/>
      <c r="F715" s="679"/>
    </row>
    <row r="716" spans="1:6" ht="27.6">
      <c r="A716" s="506" t="s">
        <v>1043</v>
      </c>
      <c r="B716" s="510" t="s">
        <v>3927</v>
      </c>
      <c r="C716" s="508" t="s">
        <v>649</v>
      </c>
      <c r="D716" s="509">
        <v>2</v>
      </c>
      <c r="E716" s="720">
        <v>425</v>
      </c>
      <c r="F716" s="721">
        <f t="shared" ref="F716" si="139">IF(OR(OR(E716=0,E716=" "),OR(D716=0,D716=" "))," ",D716*E716)</f>
        <v>850</v>
      </c>
    </row>
    <row r="717" spans="1:6">
      <c r="A717" s="506"/>
      <c r="B717" s="510"/>
      <c r="C717" s="508"/>
      <c r="D717" s="509"/>
      <c r="E717" s="720"/>
      <c r="F717" s="720"/>
    </row>
    <row r="718" spans="1:6" ht="27.6">
      <c r="A718" s="506" t="s">
        <v>1099</v>
      </c>
      <c r="B718" s="510" t="s">
        <v>3928</v>
      </c>
      <c r="C718" s="508" t="s">
        <v>649</v>
      </c>
      <c r="D718" s="509">
        <v>1</v>
      </c>
      <c r="E718" s="720">
        <v>425</v>
      </c>
      <c r="F718" s="721">
        <f t="shared" ref="F718" si="140">IF(OR(OR(E718=0,E718=" "),OR(D718=0,D718=" "))," ",D718*E718)</f>
        <v>425</v>
      </c>
    </row>
    <row r="719" spans="1:6">
      <c r="A719" s="506"/>
      <c r="B719" s="510"/>
      <c r="C719" s="508"/>
      <c r="D719" s="509"/>
      <c r="E719" s="720"/>
      <c r="F719" s="720"/>
    </row>
    <row r="720" spans="1:6" ht="41.4">
      <c r="A720" s="506" t="s">
        <v>1100</v>
      </c>
      <c r="B720" s="510" t="s">
        <v>3929</v>
      </c>
      <c r="C720" s="508" t="s">
        <v>649</v>
      </c>
      <c r="D720" s="509">
        <v>1</v>
      </c>
      <c r="E720" s="720">
        <v>205</v>
      </c>
      <c r="F720" s="721">
        <f t="shared" ref="F720" si="141">IF(OR(OR(E720=0,E720=" "),OR(D720=0,D720=" "))," ",D720*E720)</f>
        <v>205</v>
      </c>
    </row>
    <row r="721" spans="1:6">
      <c r="A721" s="506"/>
      <c r="B721" s="510"/>
      <c r="C721" s="508"/>
      <c r="D721" s="509"/>
      <c r="E721" s="720"/>
      <c r="F721" s="720"/>
    </row>
    <row r="722" spans="1:6" ht="27.6">
      <c r="A722" s="506" t="s">
        <v>1101</v>
      </c>
      <c r="B722" s="510" t="s">
        <v>3930</v>
      </c>
      <c r="C722" s="508" t="s">
        <v>649</v>
      </c>
      <c r="D722" s="509">
        <v>2</v>
      </c>
      <c r="E722" s="720">
        <v>88</v>
      </c>
      <c r="F722" s="721">
        <f t="shared" ref="F722" si="142">IF(OR(OR(E722=0,E722=" "),OR(D722=0,D722=" "))," ",D722*E722)</f>
        <v>176</v>
      </c>
    </row>
    <row r="723" spans="1:6">
      <c r="A723" s="506"/>
      <c r="B723" s="510"/>
      <c r="C723" s="508"/>
      <c r="D723" s="509"/>
      <c r="E723" s="720"/>
      <c r="F723" s="720"/>
    </row>
    <row r="724" spans="1:6" ht="27.6">
      <c r="A724" s="506" t="s">
        <v>1102</v>
      </c>
      <c r="B724" s="510" t="s">
        <v>3931</v>
      </c>
      <c r="C724" s="508" t="s">
        <v>649</v>
      </c>
      <c r="D724" s="509">
        <v>2</v>
      </c>
      <c r="E724" s="720">
        <v>25</v>
      </c>
      <c r="F724" s="721">
        <f>IF(OR(OR(E724=0,E724=" "),OR(D724=0,D724=" "))," ",D724*E724)</f>
        <v>50</v>
      </c>
    </row>
    <row r="725" spans="1:6">
      <c r="A725" s="506"/>
      <c r="B725" s="510"/>
      <c r="C725" s="508"/>
      <c r="D725" s="509"/>
      <c r="E725" s="720"/>
      <c r="F725" s="720"/>
    </row>
    <row r="726" spans="1:6" ht="138">
      <c r="A726" s="506" t="s">
        <v>1103</v>
      </c>
      <c r="B726" s="510" t="s">
        <v>3932</v>
      </c>
      <c r="C726" s="508" t="s">
        <v>649</v>
      </c>
      <c r="D726" s="509">
        <v>2</v>
      </c>
      <c r="E726" s="720">
        <v>256</v>
      </c>
      <c r="F726" s="721">
        <f t="shared" ref="F726" si="143">IF(OR(OR(E726=0,E726=" "),OR(D726=0,D726=" "))," ",D726*E726)</f>
        <v>512</v>
      </c>
    </row>
    <row r="727" spans="1:6">
      <c r="A727" s="506"/>
      <c r="B727" s="510"/>
      <c r="C727" s="508"/>
      <c r="D727" s="509"/>
      <c r="E727" s="720"/>
      <c r="F727" s="720"/>
    </row>
    <row r="728" spans="1:6" ht="193.2">
      <c r="A728" s="506" t="s">
        <v>1104</v>
      </c>
      <c r="B728" s="510" t="s">
        <v>3933</v>
      </c>
      <c r="C728" s="508" t="s">
        <v>649</v>
      </c>
      <c r="D728" s="509">
        <v>1</v>
      </c>
      <c r="E728" s="720">
        <v>287</v>
      </c>
      <c r="F728" s="721">
        <f t="shared" ref="F728" si="144">IF(OR(OR(E728=0,E728=" "),OR(D728=0,D728=" "))," ",D728*E728)</f>
        <v>287</v>
      </c>
    </row>
    <row r="729" spans="1:6">
      <c r="A729" s="506"/>
      <c r="B729" s="510"/>
      <c r="C729" s="508"/>
      <c r="D729" s="509"/>
      <c r="E729" s="720"/>
      <c r="F729" s="720"/>
    </row>
    <row r="730" spans="1:6" ht="55.2">
      <c r="A730" s="506" t="s">
        <v>1105</v>
      </c>
      <c r="B730" s="510" t="s">
        <v>3934</v>
      </c>
      <c r="C730" s="508" t="s">
        <v>649</v>
      </c>
      <c r="D730" s="509">
        <v>1</v>
      </c>
      <c r="E730" s="720">
        <v>150</v>
      </c>
      <c r="F730" s="721">
        <f t="shared" ref="F730" si="145">IF(OR(OR(E730=0,E730=" "),OR(D730=0,D730=" "))," ",D730*E730)</f>
        <v>150</v>
      </c>
    </row>
    <row r="731" spans="1:6">
      <c r="A731" s="506"/>
      <c r="B731" s="510"/>
      <c r="C731" s="508"/>
      <c r="D731" s="509"/>
      <c r="E731" s="720"/>
      <c r="F731" s="720"/>
    </row>
    <row r="732" spans="1:6" ht="69">
      <c r="A732" s="506" t="s">
        <v>2114</v>
      </c>
      <c r="B732" s="510" t="s">
        <v>3935</v>
      </c>
      <c r="C732" s="508" t="s">
        <v>649</v>
      </c>
      <c r="D732" s="509">
        <v>1</v>
      </c>
      <c r="E732" s="720">
        <v>786</v>
      </c>
      <c r="F732" s="721">
        <f t="shared" ref="F732" si="146">IF(OR(OR(E732=0,E732=" "),OR(D732=0,D732=" "))," ",D732*E732)</f>
        <v>786</v>
      </c>
    </row>
    <row r="733" spans="1:6">
      <c r="A733" s="506"/>
      <c r="B733" s="510"/>
      <c r="C733" s="508"/>
      <c r="D733" s="509"/>
      <c r="E733" s="720"/>
      <c r="F733" s="720"/>
    </row>
    <row r="734" spans="1:6" ht="55.2">
      <c r="A734" s="506" t="s">
        <v>3936</v>
      </c>
      <c r="B734" s="510" t="s">
        <v>3937</v>
      </c>
      <c r="C734" s="508" t="s">
        <v>649</v>
      </c>
      <c r="D734" s="509">
        <v>1</v>
      </c>
      <c r="E734" s="720">
        <v>786</v>
      </c>
      <c r="F734" s="721">
        <f t="shared" ref="F734" si="147">IF(OR(OR(E734=0,E734=" "),OR(D734=0,D734=" "))," ",D734*E734)</f>
        <v>786</v>
      </c>
    </row>
    <row r="735" spans="1:6">
      <c r="A735" s="506"/>
      <c r="B735" s="510"/>
      <c r="C735" s="508"/>
      <c r="D735" s="509"/>
      <c r="E735" s="720"/>
      <c r="F735" s="720"/>
    </row>
    <row r="736" spans="1:6">
      <c r="A736" s="506" t="s">
        <v>3938</v>
      </c>
      <c r="B736" s="510" t="s">
        <v>3939</v>
      </c>
      <c r="C736" s="508" t="s">
        <v>649</v>
      </c>
      <c r="D736" s="509">
        <v>2</v>
      </c>
      <c r="E736" s="720">
        <v>55</v>
      </c>
      <c r="F736" s="721">
        <f t="shared" ref="F736" si="148">IF(OR(OR(E736=0,E736=" "),OR(D736=0,D736=" "))," ",D736*E736)</f>
        <v>110</v>
      </c>
    </row>
    <row r="737" spans="1:6">
      <c r="A737" s="506"/>
      <c r="B737" s="510"/>
      <c r="C737" s="508"/>
      <c r="D737" s="509"/>
      <c r="E737" s="720"/>
      <c r="F737" s="720"/>
    </row>
    <row r="738" spans="1:6" ht="27.6">
      <c r="A738" s="506" t="s">
        <v>3940</v>
      </c>
      <c r="B738" s="510" t="s">
        <v>3941</v>
      </c>
      <c r="C738" s="508" t="s">
        <v>649</v>
      </c>
      <c r="D738" s="509">
        <v>1</v>
      </c>
      <c r="E738" s="720">
        <v>200</v>
      </c>
      <c r="F738" s="721">
        <f t="shared" ref="F738" si="149">IF(OR(OR(E738=0,E738=" "),OR(D738=0,D738=" "))," ",D738*E738)</f>
        <v>200</v>
      </c>
    </row>
    <row r="739" spans="1:6">
      <c r="A739" s="506"/>
      <c r="B739" s="510"/>
      <c r="C739" s="508"/>
      <c r="D739" s="509"/>
      <c r="E739" s="729"/>
      <c r="F739" s="722"/>
    </row>
    <row r="740" spans="1:6" ht="41.4">
      <c r="A740" s="506" t="s">
        <v>3942</v>
      </c>
      <c r="B740" s="510" t="s">
        <v>3943</v>
      </c>
      <c r="C740" s="508" t="s">
        <v>697</v>
      </c>
      <c r="D740" s="509">
        <v>80</v>
      </c>
      <c r="E740" s="720">
        <v>2.8</v>
      </c>
      <c r="F740" s="721">
        <f t="shared" ref="F740" si="150">IF(OR(OR(E740=0,E740=" "),OR(D740=0,D740=" "))," ",D740*E740)</f>
        <v>224</v>
      </c>
    </row>
    <row r="741" spans="1:6">
      <c r="A741" s="506"/>
      <c r="B741" s="510"/>
      <c r="C741" s="508"/>
      <c r="D741" s="509"/>
      <c r="E741" s="720"/>
      <c r="F741" s="720"/>
    </row>
    <row r="742" spans="1:6" ht="27.6">
      <c r="A742" s="506" t="s">
        <v>3944</v>
      </c>
      <c r="B742" s="510" t="s">
        <v>3945</v>
      </c>
      <c r="C742" s="508" t="s">
        <v>697</v>
      </c>
      <c r="D742" s="509">
        <v>80</v>
      </c>
      <c r="E742" s="720">
        <v>2.8</v>
      </c>
      <c r="F742" s="721">
        <f>IF(OR(OR(E742=0,E742=" "),OR(D742=0,D742=" "))," ",D742*E742)</f>
        <v>224</v>
      </c>
    </row>
    <row r="743" spans="1:6">
      <c r="A743" s="506"/>
      <c r="B743" s="510"/>
      <c r="C743" s="508"/>
      <c r="D743" s="509"/>
      <c r="E743" s="720"/>
      <c r="F743" s="720"/>
    </row>
    <row r="744" spans="1:6" ht="27.6">
      <c r="A744" s="506" t="s">
        <v>3946</v>
      </c>
      <c r="B744" s="510" t="s">
        <v>2337</v>
      </c>
      <c r="C744" s="508" t="s">
        <v>670</v>
      </c>
      <c r="D744" s="509">
        <v>1</v>
      </c>
      <c r="E744" s="720">
        <v>300</v>
      </c>
      <c r="F744" s="721">
        <f t="shared" ref="F744" si="151">IF(OR(OR(E744=0,E744=" "),OR(D744=0,D744=" "))," ",D744*E744)</f>
        <v>300</v>
      </c>
    </row>
    <row r="745" spans="1:6">
      <c r="A745" s="506"/>
      <c r="B745" s="510"/>
      <c r="C745" s="508"/>
      <c r="D745" s="509"/>
    </row>
    <row r="746" spans="1:6">
      <c r="A746" s="511"/>
      <c r="B746" s="512"/>
      <c r="C746" s="513"/>
      <c r="D746" s="514"/>
      <c r="E746" s="709"/>
      <c r="F746" s="681"/>
    </row>
    <row r="747" spans="1:6">
      <c r="A747" s="506" t="s">
        <v>14</v>
      </c>
      <c r="B747" s="507" t="s">
        <v>2338</v>
      </c>
      <c r="C747" s="515"/>
      <c r="D747" s="506"/>
      <c r="E747" s="710"/>
      <c r="F747" s="728">
        <f>SUM(F716:F745)</f>
        <v>5285</v>
      </c>
    </row>
    <row r="751" spans="1:6">
      <c r="A751" s="495" t="s">
        <v>682</v>
      </c>
      <c r="B751" s="496" t="s">
        <v>1018</v>
      </c>
      <c r="C751" s="497"/>
      <c r="D751" s="516"/>
      <c r="E751" s="677"/>
      <c r="F751" s="695"/>
    </row>
    <row r="752" spans="1:6">
      <c r="B752" s="518"/>
      <c r="D752" s="520"/>
      <c r="E752" s="711"/>
      <c r="F752" s="688"/>
    </row>
    <row r="753" spans="1:6">
      <c r="D753" s="520"/>
      <c r="E753" s="711"/>
      <c r="F753" s="688"/>
    </row>
    <row r="754" spans="1:6" ht="27.6">
      <c r="A754" s="517" t="s">
        <v>1106</v>
      </c>
      <c r="B754" s="523" t="s">
        <v>2339</v>
      </c>
      <c r="D754" s="520"/>
      <c r="E754" s="711"/>
      <c r="F754" s="688"/>
    </row>
    <row r="755" spans="1:6">
      <c r="A755" s="517" t="s">
        <v>267</v>
      </c>
      <c r="B755" s="524" t="s">
        <v>2340</v>
      </c>
      <c r="D755" s="520"/>
      <c r="E755" s="711"/>
      <c r="F755" s="688"/>
    </row>
    <row r="756" spans="1:6">
      <c r="A756" s="517" t="s">
        <v>267</v>
      </c>
      <c r="B756" s="524" t="s">
        <v>2341</v>
      </c>
      <c r="D756" s="520"/>
      <c r="E756" s="711"/>
      <c r="F756" s="688"/>
    </row>
    <row r="757" spans="1:6">
      <c r="A757" s="517" t="s">
        <v>267</v>
      </c>
      <c r="B757" s="524" t="s">
        <v>2342</v>
      </c>
      <c r="D757" s="520"/>
      <c r="E757" s="711"/>
      <c r="F757" s="688"/>
    </row>
    <row r="758" spans="1:6">
      <c r="A758" s="517" t="s">
        <v>267</v>
      </c>
      <c r="B758" s="524" t="s">
        <v>2343</v>
      </c>
      <c r="D758" s="520"/>
      <c r="E758" s="711"/>
      <c r="F758" s="688"/>
    </row>
    <row r="759" spans="1:6">
      <c r="A759" s="517" t="s">
        <v>267</v>
      </c>
      <c r="B759" s="524" t="s">
        <v>2344</v>
      </c>
      <c r="D759" s="520"/>
      <c r="E759" s="711"/>
      <c r="F759" s="688"/>
    </row>
    <row r="760" spans="1:6" ht="27.6">
      <c r="A760" s="517" t="s">
        <v>267</v>
      </c>
      <c r="B760" s="524" t="s">
        <v>2345</v>
      </c>
      <c r="D760" s="520"/>
      <c r="E760" s="711"/>
      <c r="F760" s="688"/>
    </row>
    <row r="761" spans="1:6">
      <c r="A761" s="517" t="s">
        <v>267</v>
      </c>
      <c r="B761" s="524" t="s">
        <v>2346</v>
      </c>
      <c r="D761" s="520"/>
      <c r="E761" s="711"/>
      <c r="F761" s="688"/>
    </row>
    <row r="762" spans="1:6">
      <c r="A762" s="517" t="s">
        <v>267</v>
      </c>
      <c r="B762" s="524" t="s">
        <v>2347</v>
      </c>
      <c r="D762" s="520"/>
      <c r="E762" s="711"/>
      <c r="F762" s="688"/>
    </row>
    <row r="763" spans="1:6">
      <c r="A763" s="517" t="s">
        <v>267</v>
      </c>
      <c r="B763" s="524" t="s">
        <v>2348</v>
      </c>
      <c r="D763" s="520"/>
      <c r="E763" s="711"/>
      <c r="F763" s="688"/>
    </row>
    <row r="764" spans="1:6">
      <c r="A764" s="517" t="s">
        <v>267</v>
      </c>
      <c r="B764" s="524" t="s">
        <v>2349</v>
      </c>
      <c r="D764" s="520"/>
      <c r="E764" s="711"/>
      <c r="F764" s="688"/>
    </row>
    <row r="765" spans="1:6">
      <c r="C765" s="519" t="s">
        <v>670</v>
      </c>
      <c r="D765" s="525">
        <v>1</v>
      </c>
      <c r="E765" s="722">
        <v>2100</v>
      </c>
      <c r="F765" s="721">
        <f t="shared" ref="F765" si="152">IF(OR(OR(E765=0,E765=" "),OR(D765=0,D765=" "))," ",D765*E765)</f>
        <v>2100</v>
      </c>
    </row>
    <row r="766" spans="1:6">
      <c r="D766" s="525"/>
      <c r="E766" s="722"/>
      <c r="F766" s="731"/>
    </row>
    <row r="767" spans="1:6" ht="41.4">
      <c r="A767" s="517" t="s">
        <v>1107</v>
      </c>
      <c r="B767" s="523" t="s">
        <v>4066</v>
      </c>
      <c r="D767" s="525"/>
      <c r="E767" s="722"/>
      <c r="F767" s="731"/>
    </row>
    <row r="768" spans="1:6">
      <c r="C768" s="519" t="s">
        <v>670</v>
      </c>
      <c r="D768" s="525">
        <v>1</v>
      </c>
      <c r="E768" s="722">
        <v>2100</v>
      </c>
      <c r="F768" s="721">
        <f t="shared" ref="F768" si="153">IF(OR(OR(E768=0,E768=" "),OR(D768=0,D768=" "))," ",D768*E768)</f>
        <v>2100</v>
      </c>
    </row>
    <row r="769" spans="1:6">
      <c r="D769" s="525"/>
      <c r="E769" s="679"/>
      <c r="F769" s="711"/>
    </row>
    <row r="770" spans="1:6">
      <c r="A770" s="526"/>
      <c r="B770" s="527"/>
      <c r="C770" s="528"/>
      <c r="D770" s="529"/>
      <c r="E770" s="712"/>
      <c r="F770" s="687"/>
    </row>
    <row r="771" spans="1:6">
      <c r="A771" s="517" t="s">
        <v>682</v>
      </c>
      <c r="B771" s="518" t="s">
        <v>2350</v>
      </c>
      <c r="C771" s="531"/>
      <c r="D771" s="532"/>
      <c r="E771" s="713"/>
      <c r="F771" s="732">
        <f>SUM(F754:F769)</f>
        <v>4200</v>
      </c>
    </row>
    <row r="775" spans="1:6" ht="15.6">
      <c r="A775" s="533" t="s">
        <v>12</v>
      </c>
      <c r="B775" s="534" t="s">
        <v>889</v>
      </c>
      <c r="C775" s="534"/>
      <c r="D775" s="534"/>
      <c r="E775" s="714"/>
      <c r="F775" s="714"/>
    </row>
    <row r="776" spans="1:6">
      <c r="A776" s="536"/>
      <c r="B776" s="537"/>
      <c r="C776" s="537"/>
      <c r="D776" s="537"/>
      <c r="E776" s="715"/>
      <c r="F776" s="715"/>
    </row>
    <row r="777" spans="1:6">
      <c r="A777" s="538" t="s">
        <v>8</v>
      </c>
      <c r="B777" s="539" t="s">
        <v>2144</v>
      </c>
      <c r="C777" s="539"/>
      <c r="D777" s="539"/>
      <c r="E777" s="716"/>
      <c r="F777" s="733">
        <f>F209</f>
        <v>52861</v>
      </c>
    </row>
    <row r="778" spans="1:6">
      <c r="A778" s="538" t="s">
        <v>9</v>
      </c>
      <c r="B778" s="539" t="s">
        <v>2351</v>
      </c>
      <c r="C778" s="539"/>
      <c r="D778" s="539"/>
      <c r="E778" s="716"/>
      <c r="F778" s="733">
        <f>F455</f>
        <v>126033.37</v>
      </c>
    </row>
    <row r="779" spans="1:6">
      <c r="A779" s="538" t="s">
        <v>10</v>
      </c>
      <c r="B779" s="539" t="s">
        <v>2352</v>
      </c>
      <c r="C779" s="539"/>
      <c r="D779" s="539"/>
      <c r="E779" s="716"/>
      <c r="F779" s="733">
        <f>F506</f>
        <v>13912</v>
      </c>
    </row>
    <row r="780" spans="1:6">
      <c r="A780" s="538" t="s">
        <v>11</v>
      </c>
      <c r="B780" s="539" t="s">
        <v>2353</v>
      </c>
      <c r="C780" s="539"/>
      <c r="D780" s="539"/>
      <c r="E780" s="716"/>
      <c r="F780" s="733">
        <f>F569</f>
        <v>28308.6</v>
      </c>
    </row>
    <row r="781" spans="1:6">
      <c r="A781" s="538" t="s">
        <v>12</v>
      </c>
      <c r="B781" s="539" t="s">
        <v>2354</v>
      </c>
      <c r="C781" s="539"/>
      <c r="D781" s="539"/>
      <c r="E781" s="716"/>
      <c r="F781" s="733">
        <f>F652</f>
        <v>26938.400000000001</v>
      </c>
    </row>
    <row r="782" spans="1:6">
      <c r="A782" s="538" t="s">
        <v>13</v>
      </c>
      <c r="B782" s="539" t="s">
        <v>2321</v>
      </c>
      <c r="C782" s="539"/>
      <c r="D782" s="539"/>
      <c r="E782" s="716"/>
      <c r="F782" s="733">
        <f>F709</f>
        <v>6172.2</v>
      </c>
    </row>
    <row r="783" spans="1:6">
      <c r="A783" s="538" t="s">
        <v>14</v>
      </c>
      <c r="B783" s="539" t="s">
        <v>2355</v>
      </c>
      <c r="C783" s="539"/>
      <c r="D783" s="539"/>
      <c r="E783" s="716"/>
      <c r="F783" s="733">
        <f>F747</f>
        <v>5285</v>
      </c>
    </row>
    <row r="784" spans="1:6">
      <c r="A784" s="538" t="s">
        <v>682</v>
      </c>
      <c r="B784" s="539" t="s">
        <v>1018</v>
      </c>
      <c r="C784" s="539"/>
      <c r="D784" s="539"/>
      <c r="E784" s="716"/>
      <c r="F784" s="733">
        <f>F771</f>
        <v>4200</v>
      </c>
    </row>
    <row r="785" spans="1:6">
      <c r="A785" s="542"/>
      <c r="B785" s="543"/>
      <c r="C785" s="543"/>
      <c r="D785" s="543"/>
      <c r="E785" s="717"/>
      <c r="F785" s="717"/>
    </row>
    <row r="786" spans="1:6" ht="15.6">
      <c r="A786" s="533" t="s">
        <v>12</v>
      </c>
      <c r="B786" s="534" t="s">
        <v>2356</v>
      </c>
      <c r="C786" s="534"/>
      <c r="D786" s="534"/>
      <c r="E786" s="714"/>
      <c r="F786" s="734">
        <f>SUM(F777:F784)</f>
        <v>263710.57</v>
      </c>
    </row>
  </sheetData>
  <mergeCells count="20">
    <mergeCell ref="B22:F22"/>
    <mergeCell ref="B23:F23"/>
    <mergeCell ref="B16:F16"/>
    <mergeCell ref="B17:F17"/>
    <mergeCell ref="B18:F18"/>
    <mergeCell ref="B19:F19"/>
    <mergeCell ref="B20:F20"/>
    <mergeCell ref="B21:F21"/>
    <mergeCell ref="B13:F13"/>
    <mergeCell ref="G13:J13"/>
    <mergeCell ref="B14:F14"/>
    <mergeCell ref="G14:J14"/>
    <mergeCell ref="B15:F15"/>
    <mergeCell ref="G15:J15"/>
    <mergeCell ref="B12:F12"/>
    <mergeCell ref="A1:F1"/>
    <mergeCell ref="B8:F8"/>
    <mergeCell ref="B9:F9"/>
    <mergeCell ref="B10:F10"/>
    <mergeCell ref="B11:F11"/>
  </mergeCells>
  <pageMargins left="0.78740157480314965" right="0.39370078740157483" top="0.39370078740157483" bottom="1.1811023622047245" header="0.39370078740157483" footer="0.59055118110236227"/>
  <pageSetup paperSize="9" scale="98" orientation="portrait" r:id="rId1"/>
  <headerFooter alignWithMargins="0">
    <oddFooter>&amp;L&amp;"-,Uobičajeno"&amp;9&amp;A&amp;C&amp;"-,Uobičajeno"&amp;9DJEČJI VRTIĆ LEKENIK&amp;R&amp;"-,Uobičajeno"str.: &amp;"-,Podebljano"&amp;P/&amp;N</oddFooter>
  </headerFooter>
  <rowBreaks count="30" manualBreakCount="30">
    <brk id="25" max="5" man="1"/>
    <brk id="36" max="5" man="1"/>
    <brk id="58" max="5" man="1"/>
    <brk id="63" max="5" man="1"/>
    <brk id="69" max="5" man="1"/>
    <brk id="79" max="5" man="1"/>
    <brk id="97" max="5" man="1"/>
    <brk id="116" max="5" man="1"/>
    <brk id="143" max="5" man="1"/>
    <brk id="189" max="5" man="1"/>
    <brk id="212" max="5" man="1"/>
    <brk id="223" max="5" man="1"/>
    <brk id="229" max="5" man="1"/>
    <brk id="235" max="5" man="1"/>
    <brk id="241" max="5" man="1"/>
    <brk id="251" max="5" man="1"/>
    <brk id="262" max="5" man="1"/>
    <brk id="271" max="5" man="1"/>
    <brk id="296" max="5" man="1"/>
    <brk id="322" max="5" man="1"/>
    <brk id="392" max="5" man="1"/>
    <brk id="410" max="5" man="1"/>
    <brk id="432" max="5" man="1"/>
    <brk id="447" max="5" man="1"/>
    <brk id="458" max="5" man="1"/>
    <brk id="497" max="5" man="1"/>
    <brk id="509" max="5" man="1"/>
    <brk id="542" max="5" man="1"/>
    <brk id="655" max="5" man="1"/>
    <brk id="750" max="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78"/>
  <sheetViews>
    <sheetView view="pageBreakPreview" topLeftCell="A160" zoomScale="85" zoomScaleNormal="100" zoomScaleSheetLayoutView="85" workbookViewId="0">
      <selection activeCell="E166" sqref="E166"/>
    </sheetView>
  </sheetViews>
  <sheetFormatPr defaultColWidth="9.109375" defaultRowHeight="13.8"/>
  <cols>
    <col min="1" max="1" width="6.6640625" style="517" customWidth="1"/>
    <col min="2" max="2" width="40.6640625" style="523" customWidth="1"/>
    <col min="3" max="3" width="5.6640625" style="519" customWidth="1"/>
    <col min="4" max="4" width="10.6640625" style="522" customWidth="1"/>
    <col min="5" max="5" width="12.6640625" style="711" customWidth="1"/>
    <col min="6" max="6" width="16.6640625" style="711" customWidth="1"/>
    <col min="7" max="16384" width="9.109375" style="545"/>
  </cols>
  <sheetData>
    <row r="1" spans="1:6" s="486" customFormat="1" ht="30" customHeight="1">
      <c r="A1" s="948" t="s">
        <v>2134</v>
      </c>
      <c r="B1" s="949"/>
      <c r="C1" s="949"/>
      <c r="D1" s="949"/>
      <c r="E1" s="949"/>
      <c r="F1" s="949"/>
    </row>
    <row r="2" spans="1:6" s="486" customFormat="1" ht="15" customHeight="1">
      <c r="A2" s="884" t="s">
        <v>658</v>
      </c>
      <c r="B2" s="885" t="s">
        <v>890</v>
      </c>
      <c r="C2" s="884" t="s">
        <v>659</v>
      </c>
      <c r="D2" s="886" t="s">
        <v>660</v>
      </c>
      <c r="E2" s="887" t="s">
        <v>891</v>
      </c>
      <c r="F2" s="888" t="s">
        <v>661</v>
      </c>
    </row>
    <row r="3" spans="1:6" s="486" customFormat="1" ht="15" customHeight="1">
      <c r="A3" s="884">
        <v>1</v>
      </c>
      <c r="B3" s="885" t="s">
        <v>892</v>
      </c>
      <c r="C3" s="884">
        <v>3</v>
      </c>
      <c r="D3" s="884">
        <v>4</v>
      </c>
      <c r="E3" s="884">
        <v>5</v>
      </c>
      <c r="F3" s="888" t="s">
        <v>662</v>
      </c>
    </row>
    <row r="4" spans="1:6" ht="15" customHeight="1">
      <c r="A4" s="889"/>
      <c r="B4" s="545"/>
      <c r="E4" s="890"/>
      <c r="F4" s="688"/>
    </row>
    <row r="5" spans="1:6" ht="18">
      <c r="A5" s="891" t="s">
        <v>13</v>
      </c>
      <c r="B5" s="892" t="s">
        <v>2050</v>
      </c>
      <c r="C5" s="892"/>
      <c r="D5" s="893"/>
      <c r="E5" s="894"/>
      <c r="F5" s="895"/>
    </row>
    <row r="6" spans="1:6">
      <c r="A6" s="896"/>
      <c r="B6" s="897"/>
      <c r="C6" s="897"/>
      <c r="D6" s="898"/>
      <c r="E6" s="899"/>
      <c r="F6" s="900"/>
    </row>
    <row r="7" spans="1:6">
      <c r="E7" s="676"/>
      <c r="F7" s="676"/>
    </row>
    <row r="8" spans="1:6">
      <c r="B8" s="518" t="s">
        <v>2135</v>
      </c>
      <c r="E8" s="676"/>
      <c r="F8" s="676"/>
    </row>
    <row r="9" spans="1:6" ht="35.1" customHeight="1">
      <c r="B9" s="946" t="s">
        <v>2136</v>
      </c>
      <c r="C9" s="946"/>
      <c r="D9" s="946"/>
      <c r="E9" s="946"/>
      <c r="F9" s="946"/>
    </row>
    <row r="10" spans="1:6" ht="99.9" customHeight="1">
      <c r="B10" s="946" t="s">
        <v>2137</v>
      </c>
      <c r="C10" s="946"/>
      <c r="D10" s="946"/>
      <c r="E10" s="946"/>
      <c r="F10" s="946"/>
    </row>
    <row r="11" spans="1:6" ht="35.1" customHeight="1">
      <c r="B11" s="946" t="s">
        <v>2138</v>
      </c>
      <c r="C11" s="946"/>
      <c r="D11" s="946"/>
      <c r="E11" s="946"/>
      <c r="F11" s="946"/>
    </row>
    <row r="12" spans="1:6" ht="114.9" customHeight="1">
      <c r="B12" s="946" t="s">
        <v>2139</v>
      </c>
      <c r="C12" s="946"/>
      <c r="D12" s="946"/>
      <c r="E12" s="946"/>
      <c r="F12" s="946"/>
    </row>
    <row r="13" spans="1:6" ht="35.1" customHeight="1">
      <c r="B13" s="946" t="s">
        <v>2140</v>
      </c>
      <c r="C13" s="946"/>
      <c r="D13" s="946"/>
      <c r="E13" s="946"/>
      <c r="F13" s="946"/>
    </row>
    <row r="14" spans="1:6" ht="99.9" customHeight="1">
      <c r="B14" s="946" t="s">
        <v>2141</v>
      </c>
      <c r="C14" s="946"/>
      <c r="D14" s="946"/>
      <c r="E14" s="946"/>
      <c r="F14" s="946"/>
    </row>
    <row r="15" spans="1:6" ht="80.099999999999994" customHeight="1">
      <c r="B15" s="946" t="s">
        <v>2358</v>
      </c>
      <c r="C15" s="946"/>
      <c r="D15" s="946"/>
      <c r="E15" s="946"/>
      <c r="F15" s="946"/>
    </row>
    <row r="16" spans="1:6" ht="99.9" customHeight="1">
      <c r="B16" s="946" t="s">
        <v>5711</v>
      </c>
      <c r="C16" s="946"/>
      <c r="D16" s="946"/>
      <c r="E16" s="946"/>
      <c r="F16" s="946"/>
    </row>
    <row r="17" spans="1:6" ht="60" customHeight="1">
      <c r="B17" s="946" t="s">
        <v>2142</v>
      </c>
      <c r="C17" s="946"/>
      <c r="D17" s="946"/>
      <c r="E17" s="946"/>
      <c r="F17" s="946"/>
    </row>
    <row r="18" spans="1:6" ht="60" customHeight="1">
      <c r="B18" s="946" t="s">
        <v>2142</v>
      </c>
      <c r="C18" s="946"/>
      <c r="D18" s="946"/>
      <c r="E18" s="946"/>
      <c r="F18" s="946"/>
    </row>
    <row r="19" spans="1:6" ht="50.1" customHeight="1">
      <c r="B19" s="946" t="s">
        <v>2143</v>
      </c>
      <c r="C19" s="946"/>
      <c r="D19" s="946"/>
      <c r="E19" s="946"/>
      <c r="F19" s="946"/>
    </row>
    <row r="20" spans="1:6" ht="35.1" customHeight="1">
      <c r="B20" s="946" t="s">
        <v>2357</v>
      </c>
      <c r="C20" s="946"/>
      <c r="D20" s="946"/>
      <c r="E20" s="946"/>
      <c r="F20" s="946"/>
    </row>
    <row r="24" spans="1:6">
      <c r="A24" s="495" t="s">
        <v>8</v>
      </c>
      <c r="B24" s="496" t="s">
        <v>3947</v>
      </c>
      <c r="C24" s="501"/>
      <c r="D24" s="495"/>
      <c r="E24" s="718"/>
      <c r="F24" s="718"/>
    </row>
    <row r="25" spans="1:6">
      <c r="B25" s="518"/>
      <c r="C25" s="531"/>
      <c r="D25" s="517"/>
      <c r="E25" s="719"/>
      <c r="F25" s="719"/>
    </row>
    <row r="26" spans="1:6">
      <c r="E26" s="719"/>
      <c r="F26" s="719"/>
    </row>
    <row r="27" spans="1:6" ht="386.4">
      <c r="A27" s="517" t="s">
        <v>1077</v>
      </c>
      <c r="B27" s="546" t="s">
        <v>5191</v>
      </c>
      <c r="C27" s="519" t="s">
        <v>649</v>
      </c>
      <c r="D27" s="522">
        <v>1</v>
      </c>
      <c r="E27" s="735">
        <v>1033</v>
      </c>
      <c r="F27" s="901">
        <f>IF(OR(OR(E27=0,E27=" "),OR(D27=0,D27=" "))," ",D27*E27)</f>
        <v>1033</v>
      </c>
    </row>
    <row r="28" spans="1:6">
      <c r="E28" s="735"/>
      <c r="F28" s="735"/>
    </row>
    <row r="29" spans="1:6">
      <c r="A29" s="517" t="s">
        <v>1972</v>
      </c>
      <c r="B29" s="523" t="s">
        <v>3948</v>
      </c>
      <c r="C29" s="519" t="s">
        <v>649</v>
      </c>
      <c r="D29" s="522">
        <v>1</v>
      </c>
      <c r="E29" s="735">
        <v>50</v>
      </c>
      <c r="F29" s="901">
        <f>IF(OR(OR(E29=0,E29=" "),OR(D29=0,D29=" "))," ",D29*E29)</f>
        <v>50</v>
      </c>
    </row>
    <row r="30" spans="1:6">
      <c r="E30" s="735"/>
      <c r="F30" s="735"/>
    </row>
    <row r="31" spans="1:6" ht="55.2">
      <c r="A31" s="517" t="s">
        <v>1974</v>
      </c>
      <c r="B31" s="523" t="s">
        <v>3949</v>
      </c>
      <c r="C31" s="519" t="s">
        <v>649</v>
      </c>
      <c r="D31" s="522">
        <v>1</v>
      </c>
      <c r="E31" s="735">
        <v>1581</v>
      </c>
      <c r="F31" s="901">
        <f>IF(OR(OR(E31=0,E31=" "),OR(D31=0,D31=" "))," ",D31*E31)</f>
        <v>1581</v>
      </c>
    </row>
    <row r="32" spans="1:6">
      <c r="E32" s="735"/>
      <c r="F32" s="735"/>
    </row>
    <row r="33" spans="1:6" ht="110.4">
      <c r="A33" s="517" t="s">
        <v>1977</v>
      </c>
      <c r="B33" s="523" t="s">
        <v>4028</v>
      </c>
      <c r="C33" s="519" t="s">
        <v>649</v>
      </c>
      <c r="D33" s="522">
        <v>2</v>
      </c>
      <c r="E33" s="735">
        <v>350</v>
      </c>
      <c r="F33" s="901">
        <f>IF(OR(OR(E33=0,E33=" "),OR(D33=0,D33=" "))," ",D33*E33)</f>
        <v>700</v>
      </c>
    </row>
    <row r="34" spans="1:6">
      <c r="E34" s="735"/>
      <c r="F34" s="735"/>
    </row>
    <row r="35" spans="1:6" ht="27.6">
      <c r="A35" s="517" t="s">
        <v>1980</v>
      </c>
      <c r="B35" s="523" t="s">
        <v>3950</v>
      </c>
      <c r="C35" s="519" t="s">
        <v>649</v>
      </c>
      <c r="D35" s="522">
        <v>6</v>
      </c>
      <c r="E35" s="735">
        <v>55</v>
      </c>
      <c r="F35" s="901">
        <f>IF(OR(OR(E35=0,E35=" "),OR(D35=0,D35=" "))," ",D35*E35)</f>
        <v>330</v>
      </c>
    </row>
    <row r="36" spans="1:6">
      <c r="E36" s="735"/>
      <c r="F36" s="735"/>
    </row>
    <row r="37" spans="1:6" ht="82.8">
      <c r="A37" s="517" t="s">
        <v>1981</v>
      </c>
      <c r="B37" s="523" t="s">
        <v>5156</v>
      </c>
      <c r="C37" s="519" t="s">
        <v>649</v>
      </c>
      <c r="D37" s="522">
        <v>10</v>
      </c>
      <c r="E37" s="735">
        <v>66</v>
      </c>
      <c r="F37" s="901">
        <f>IF(OR(OR(E37=0,E37=" "),OR(D37=0,D37=" "))," ",D37*E37)</f>
        <v>660</v>
      </c>
    </row>
    <row r="38" spans="1:6">
      <c r="E38" s="735"/>
      <c r="F38" s="735"/>
    </row>
    <row r="39" spans="1:6" ht="69">
      <c r="A39" s="517" t="s">
        <v>1982</v>
      </c>
      <c r="B39" s="523" t="s">
        <v>3952</v>
      </c>
      <c r="C39" s="519" t="s">
        <v>649</v>
      </c>
      <c r="D39" s="522">
        <v>5</v>
      </c>
      <c r="E39" s="735">
        <v>189</v>
      </c>
      <c r="F39" s="901">
        <f>IF(OR(OR(E39=0,E39=" "),OR(D39=0,D39=" "))," ",D39*E39)</f>
        <v>945</v>
      </c>
    </row>
    <row r="40" spans="1:6">
      <c r="E40" s="735"/>
      <c r="F40" s="735"/>
    </row>
    <row r="41" spans="1:6" ht="110.4">
      <c r="A41" s="517" t="s">
        <v>1983</v>
      </c>
      <c r="B41" s="523" t="s">
        <v>4029</v>
      </c>
      <c r="C41" s="519" t="s">
        <v>649</v>
      </c>
      <c r="D41" s="522">
        <v>1</v>
      </c>
      <c r="E41" s="735">
        <v>520</v>
      </c>
      <c r="F41" s="901">
        <f>IF(OR(OR(E41=0,E41=" "),OR(D41=0,D41=" "))," ",D41*E41)</f>
        <v>520</v>
      </c>
    </row>
    <row r="42" spans="1:6">
      <c r="E42" s="735"/>
      <c r="F42" s="735"/>
    </row>
    <row r="43" spans="1:6" ht="55.2">
      <c r="A43" s="517" t="s">
        <v>1987</v>
      </c>
      <c r="B43" s="523" t="s">
        <v>4030</v>
      </c>
      <c r="C43" s="519" t="s">
        <v>649</v>
      </c>
      <c r="D43" s="522">
        <v>1</v>
      </c>
      <c r="E43" s="735">
        <v>780</v>
      </c>
      <c r="F43" s="901">
        <f>IF(OR(OR(E43=0,E43=" "),OR(D43=0,D43=" "))," ",D43*E43)</f>
        <v>780</v>
      </c>
    </row>
    <row r="44" spans="1:6">
      <c r="E44" s="735"/>
      <c r="F44" s="735"/>
    </row>
    <row r="45" spans="1:6" ht="124.2">
      <c r="A45" s="517" t="s">
        <v>1988</v>
      </c>
      <c r="B45" s="523" t="s">
        <v>5192</v>
      </c>
      <c r="C45" s="519" t="s">
        <v>649</v>
      </c>
      <c r="D45" s="522">
        <v>25</v>
      </c>
      <c r="E45" s="735">
        <v>95.96</v>
      </c>
      <c r="F45" s="901">
        <f>IF(OR(OR(E45=0,E45=" "),OR(D45=0,D45=" "))," ",D45*E45)</f>
        <v>2399</v>
      </c>
    </row>
    <row r="46" spans="1:6">
      <c r="E46" s="735"/>
      <c r="F46" s="735"/>
    </row>
    <row r="47" spans="1:6" ht="41.4">
      <c r="A47" s="517" t="s">
        <v>1990</v>
      </c>
      <c r="B47" s="523" t="s">
        <v>3953</v>
      </c>
      <c r="C47" s="519" t="s">
        <v>649</v>
      </c>
      <c r="D47" s="522">
        <v>1</v>
      </c>
      <c r="E47" s="735">
        <v>200</v>
      </c>
      <c r="F47" s="901">
        <f>IF(OR(OR(E47=0,E47=" "),OR(D47=0,D47=" "))," ",D47*E47)</f>
        <v>200</v>
      </c>
    </row>
    <row r="48" spans="1:6">
      <c r="E48" s="735"/>
      <c r="F48" s="735"/>
    </row>
    <row r="49" spans="1:6" ht="82.8">
      <c r="A49" s="517" t="s">
        <v>1991</v>
      </c>
      <c r="B49" s="523" t="s">
        <v>5156</v>
      </c>
      <c r="C49" s="519" t="s">
        <v>649</v>
      </c>
      <c r="D49" s="522">
        <v>1</v>
      </c>
      <c r="E49" s="735">
        <v>95</v>
      </c>
      <c r="F49" s="901">
        <f>IF(OR(OR(E49=0,E49=" "),OR(D49=0,D49=" "))," ",D49*E49)</f>
        <v>95</v>
      </c>
    </row>
    <row r="50" spans="1:6">
      <c r="E50" s="735"/>
      <c r="F50" s="735"/>
    </row>
    <row r="51" spans="1:6" ht="27.6">
      <c r="A51" s="517" t="s">
        <v>1992</v>
      </c>
      <c r="B51" s="523" t="s">
        <v>3954</v>
      </c>
      <c r="C51" s="519" t="s">
        <v>649</v>
      </c>
      <c r="D51" s="522">
        <v>26</v>
      </c>
      <c r="E51" s="735">
        <v>5</v>
      </c>
      <c r="F51" s="901">
        <f>IF(OR(OR(E51=0,E51=" "),OR(D51=0,D51=" "))," ",D51*E51)</f>
        <v>130</v>
      </c>
    </row>
    <row r="52" spans="1:6">
      <c r="E52" s="735"/>
      <c r="F52" s="735"/>
    </row>
    <row r="53" spans="1:6" ht="96.6">
      <c r="A53" s="517" t="s">
        <v>1993</v>
      </c>
      <c r="B53" s="523" t="s">
        <v>3955</v>
      </c>
      <c r="C53" s="519" t="s">
        <v>649</v>
      </c>
      <c r="D53" s="522">
        <v>80</v>
      </c>
      <c r="E53" s="735">
        <v>64</v>
      </c>
      <c r="F53" s="901">
        <f>IF(OR(OR(E53=0,E53=" "),OR(D53=0,D53=" "))," ",D53*E53)</f>
        <v>5120</v>
      </c>
    </row>
    <row r="54" spans="1:6">
      <c r="E54" s="735"/>
      <c r="F54" s="735"/>
    </row>
    <row r="55" spans="1:6" ht="82.8">
      <c r="A55" s="517" t="s">
        <v>1994</v>
      </c>
      <c r="B55" s="523" t="s">
        <v>3956</v>
      </c>
      <c r="C55" s="519" t="s">
        <v>649</v>
      </c>
      <c r="D55" s="522">
        <v>9</v>
      </c>
      <c r="E55" s="735">
        <v>64</v>
      </c>
      <c r="F55" s="901">
        <f>IF(OR(OR(E55=0,E55=" "),OR(D55=0,D55=" "))," ",D55*E55)</f>
        <v>576</v>
      </c>
    </row>
    <row r="56" spans="1:6">
      <c r="E56" s="735"/>
      <c r="F56" s="735"/>
    </row>
    <row r="57" spans="1:6" ht="69">
      <c r="A57" s="517" t="s">
        <v>1995</v>
      </c>
      <c r="B57" s="523" t="s">
        <v>4031</v>
      </c>
      <c r="C57" s="519" t="s">
        <v>649</v>
      </c>
      <c r="D57" s="522">
        <v>34</v>
      </c>
      <c r="E57" s="735">
        <v>8</v>
      </c>
      <c r="F57" s="901">
        <f>IF(OR(OR(E57=0,E57=" "),OR(D57=0,D57=" "))," ",D57*E57)</f>
        <v>272</v>
      </c>
    </row>
    <row r="58" spans="1:6">
      <c r="E58" s="735"/>
      <c r="F58" s="735"/>
    </row>
    <row r="59" spans="1:6">
      <c r="E59" s="735"/>
      <c r="F59" s="735"/>
    </row>
    <row r="60" spans="1:6" ht="55.2">
      <c r="A60" s="517" t="s">
        <v>1996</v>
      </c>
      <c r="B60" s="523" t="s">
        <v>5157</v>
      </c>
      <c r="C60" s="519" t="s">
        <v>649</v>
      </c>
      <c r="D60" s="522">
        <v>55</v>
      </c>
      <c r="E60" s="735">
        <v>8</v>
      </c>
      <c r="F60" s="901">
        <f>IF(OR(OR(E60=0,E60=" "),OR(D60=0,D60=" "))," ",D60*E60)</f>
        <v>440</v>
      </c>
    </row>
    <row r="61" spans="1:6">
      <c r="E61" s="735"/>
      <c r="F61" s="735"/>
    </row>
    <row r="62" spans="1:6" ht="82.8">
      <c r="A62" s="517" t="s">
        <v>1997</v>
      </c>
      <c r="B62" s="523" t="s">
        <v>4032</v>
      </c>
      <c r="C62" s="519" t="s">
        <v>649</v>
      </c>
      <c r="D62" s="522">
        <v>34</v>
      </c>
      <c r="E62" s="735">
        <v>25</v>
      </c>
      <c r="F62" s="901">
        <f>IF(OR(OR(E62=0,E62=" "),OR(D62=0,D62=" "))," ",D62*E62)</f>
        <v>850</v>
      </c>
    </row>
    <row r="63" spans="1:6">
      <c r="E63" s="735"/>
      <c r="F63" s="735"/>
    </row>
    <row r="64" spans="1:6" ht="27.6">
      <c r="A64" s="517" t="s">
        <v>1998</v>
      </c>
      <c r="B64" s="523" t="s">
        <v>3957</v>
      </c>
      <c r="C64" s="519" t="s">
        <v>697</v>
      </c>
      <c r="D64" s="522">
        <v>15</v>
      </c>
      <c r="E64" s="735">
        <v>8</v>
      </c>
      <c r="F64" s="901">
        <f>IF(OR(OR(E64=0,E64=" "),OR(D64=0,D64=" "))," ",D64*E64)</f>
        <v>120</v>
      </c>
    </row>
    <row r="65" spans="1:6">
      <c r="E65" s="735"/>
      <c r="F65" s="735"/>
    </row>
    <row r="66" spans="1:6" ht="27.6">
      <c r="A66" s="517" t="s">
        <v>1999</v>
      </c>
      <c r="B66" s="523" t="s">
        <v>3958</v>
      </c>
      <c r="C66" s="519" t="s">
        <v>649</v>
      </c>
      <c r="D66" s="522">
        <v>60</v>
      </c>
      <c r="E66" s="735">
        <v>22</v>
      </c>
      <c r="F66" s="901">
        <f>IF(OR(OR(E66=0,E66=" "),OR(D66=0,D66=" "))," ",D66*E66)</f>
        <v>1320</v>
      </c>
    </row>
    <row r="67" spans="1:6">
      <c r="E67" s="735"/>
      <c r="F67" s="735"/>
    </row>
    <row r="68" spans="1:6" ht="82.8">
      <c r="A68" s="517" t="s">
        <v>2000</v>
      </c>
      <c r="B68" s="523" t="s">
        <v>5156</v>
      </c>
      <c r="C68" s="519" t="s">
        <v>649</v>
      </c>
      <c r="D68" s="522">
        <v>1</v>
      </c>
      <c r="E68" s="735">
        <v>560</v>
      </c>
      <c r="F68" s="901">
        <f>IF(OR(OR(E68=0,E68=" "),OR(D68=0,D68=" "))," ",D68*E68)</f>
        <v>560</v>
      </c>
    </row>
    <row r="69" spans="1:6">
      <c r="E69" s="735"/>
      <c r="F69" s="735"/>
    </row>
    <row r="70" spans="1:6" ht="96.6">
      <c r="A70" s="517" t="s">
        <v>2001</v>
      </c>
      <c r="B70" s="523" t="s">
        <v>3959</v>
      </c>
      <c r="C70" s="519" t="s">
        <v>649</v>
      </c>
      <c r="D70" s="522">
        <v>3</v>
      </c>
      <c r="E70" s="735">
        <v>129</v>
      </c>
      <c r="F70" s="901">
        <f>IF(OR(OR(E70=0,E70=" "),OR(D70=0,D70=" "))," ",D70*E70)</f>
        <v>387</v>
      </c>
    </row>
    <row r="71" spans="1:6">
      <c r="E71" s="735"/>
      <c r="F71" s="735"/>
    </row>
    <row r="72" spans="1:6" ht="41.4">
      <c r="A72" s="517" t="s">
        <v>2002</v>
      </c>
      <c r="B72" s="523" t="s">
        <v>3960</v>
      </c>
      <c r="C72" s="519" t="s">
        <v>649</v>
      </c>
      <c r="D72" s="522">
        <v>13</v>
      </c>
      <c r="E72" s="735">
        <v>135</v>
      </c>
      <c r="F72" s="901">
        <f>IF(OR(OR(E72=0,E72=" "),OR(D72=0,D72=" "))," ",D72*E72)</f>
        <v>1755</v>
      </c>
    </row>
    <row r="73" spans="1:6">
      <c r="E73" s="735"/>
      <c r="F73" s="735"/>
    </row>
    <row r="74" spans="1:6">
      <c r="A74" s="517" t="s">
        <v>2003</v>
      </c>
      <c r="B74" s="523" t="s">
        <v>3961</v>
      </c>
      <c r="C74" s="519" t="s">
        <v>649</v>
      </c>
      <c r="D74" s="522">
        <v>16</v>
      </c>
      <c r="E74" s="735">
        <v>15</v>
      </c>
      <c r="F74" s="901">
        <f>IF(OR(OR(E74=0,E74=" "),OR(D74=0,D74=" "))," ",D74*E74)</f>
        <v>240</v>
      </c>
    </row>
    <row r="75" spans="1:6">
      <c r="E75" s="735"/>
      <c r="F75" s="735"/>
    </row>
    <row r="76" spans="1:6" ht="69">
      <c r="A76" s="517" t="s">
        <v>2004</v>
      </c>
      <c r="B76" s="523" t="s">
        <v>3951</v>
      </c>
      <c r="C76" s="519" t="s">
        <v>649</v>
      </c>
      <c r="D76" s="522">
        <v>16</v>
      </c>
      <c r="E76" s="735">
        <v>85</v>
      </c>
      <c r="F76" s="901">
        <f>IF(OR(OR(E76=0,E76=" "),OR(D76=0,D76=" "))," ",D76*E76)</f>
        <v>1360</v>
      </c>
    </row>
    <row r="77" spans="1:6">
      <c r="E77" s="735"/>
      <c r="F77" s="735"/>
    </row>
    <row r="78" spans="1:6" ht="41.4">
      <c r="A78" s="517" t="s">
        <v>2005</v>
      </c>
      <c r="B78" s="523" t="s">
        <v>4033</v>
      </c>
      <c r="C78" s="519" t="s">
        <v>649</v>
      </c>
      <c r="D78" s="522">
        <v>162</v>
      </c>
      <c r="E78" s="735">
        <v>5</v>
      </c>
      <c r="F78" s="901">
        <f>IF(OR(OR(E78=0,E78=" "),OR(D78=0,D78=" "))," ",D78*E78)</f>
        <v>810</v>
      </c>
    </row>
    <row r="79" spans="1:6">
      <c r="E79" s="735"/>
      <c r="F79" s="735"/>
    </row>
    <row r="80" spans="1:6">
      <c r="A80" s="517" t="s">
        <v>2006</v>
      </c>
      <c r="B80" s="523" t="s">
        <v>3962</v>
      </c>
      <c r="C80" s="519" t="s">
        <v>649</v>
      </c>
      <c r="D80" s="522">
        <v>162</v>
      </c>
      <c r="E80" s="735">
        <v>5</v>
      </c>
      <c r="F80" s="901">
        <f>IF(OR(OR(E80=0,E80=" "),OR(D80=0,D80=" "))," ",D80*E80)</f>
        <v>810</v>
      </c>
    </row>
    <row r="81" spans="1:6">
      <c r="E81" s="735"/>
      <c r="F81" s="735"/>
    </row>
    <row r="82" spans="1:6" ht="27.6">
      <c r="A82" s="517" t="s">
        <v>2007</v>
      </c>
      <c r="B82" s="523" t="s">
        <v>3963</v>
      </c>
      <c r="C82" s="519" t="s">
        <v>649</v>
      </c>
      <c r="D82" s="522">
        <v>1</v>
      </c>
      <c r="E82" s="735">
        <v>1500</v>
      </c>
      <c r="F82" s="901">
        <f>IF(OR(OR(E82=0,E82=" "),OR(D82=0,D82=" "))," ",D82*E82)</f>
        <v>1500</v>
      </c>
    </row>
    <row r="83" spans="1:6">
      <c r="E83" s="735"/>
      <c r="F83" s="735"/>
    </row>
    <row r="84" spans="1:6" ht="27.6">
      <c r="A84" s="517" t="s">
        <v>2008</v>
      </c>
      <c r="B84" s="523" t="s">
        <v>3964</v>
      </c>
      <c r="C84" s="519" t="s">
        <v>649</v>
      </c>
      <c r="D84" s="522">
        <v>1</v>
      </c>
      <c r="E84" s="735">
        <v>500</v>
      </c>
      <c r="F84" s="901">
        <f>IF(OR(OR(E84=0,E84=" "),OR(D84=0,D84=" "))," ",D84*E84)</f>
        <v>500</v>
      </c>
    </row>
    <row r="85" spans="1:6">
      <c r="E85" s="735"/>
      <c r="F85" s="735"/>
    </row>
    <row r="86" spans="1:6" ht="82.8">
      <c r="A86" s="517" t="s">
        <v>2009</v>
      </c>
      <c r="B86" s="523" t="s">
        <v>4034</v>
      </c>
      <c r="C86" s="519" t="s">
        <v>649</v>
      </c>
      <c r="D86" s="522">
        <v>1</v>
      </c>
      <c r="E86" s="735">
        <v>1000</v>
      </c>
      <c r="F86" s="901">
        <f>IF(OR(OR(E86=0,E86=" "),OR(D86=0,D86=" "))," ",D86*E86)</f>
        <v>1000</v>
      </c>
    </row>
    <row r="87" spans="1:6">
      <c r="E87" s="735"/>
      <c r="F87" s="735"/>
    </row>
    <row r="88" spans="1:6" ht="55.2">
      <c r="A88" s="517" t="s">
        <v>2010</v>
      </c>
      <c r="B88" s="523" t="s">
        <v>4035</v>
      </c>
      <c r="C88" s="519" t="s">
        <v>649</v>
      </c>
      <c r="D88" s="522">
        <v>1</v>
      </c>
      <c r="E88" s="735">
        <v>1000</v>
      </c>
      <c r="F88" s="901">
        <f>IF(OR(OR(E88=0,E88=" "),OR(D88=0,D88=" "))," ",D88*E88)</f>
        <v>1000</v>
      </c>
    </row>
    <row r="89" spans="1:6">
      <c r="E89" s="735"/>
      <c r="F89" s="735"/>
    </row>
    <row r="90" spans="1:6" ht="69">
      <c r="A90" s="517" t="s">
        <v>2011</v>
      </c>
      <c r="B90" s="523" t="s">
        <v>4036</v>
      </c>
      <c r="C90" s="519" t="s">
        <v>697</v>
      </c>
      <c r="D90" s="522">
        <v>1100</v>
      </c>
      <c r="E90" s="722">
        <v>3</v>
      </c>
      <c r="F90" s="901">
        <f>IF(OR(OR(E90=0,E90=" "),OR(D90=0,D90=" "))," ",D90*E90)</f>
        <v>3300</v>
      </c>
    </row>
    <row r="91" spans="1:6">
      <c r="E91" s="722"/>
      <c r="F91" s="722"/>
    </row>
    <row r="92" spans="1:6">
      <c r="A92" s="517" t="s">
        <v>2012</v>
      </c>
      <c r="B92" s="523" t="s">
        <v>3965</v>
      </c>
      <c r="C92" s="519" t="s">
        <v>697</v>
      </c>
      <c r="D92" s="522">
        <v>100</v>
      </c>
      <c r="E92" s="722">
        <v>3</v>
      </c>
      <c r="F92" s="901">
        <f>IF(OR(OR(E92=0,E92=" "),OR(D92=0,D92=" "))," ",D92*E92)</f>
        <v>300</v>
      </c>
    </row>
    <row r="93" spans="1:6">
      <c r="E93" s="735"/>
      <c r="F93" s="735"/>
    </row>
    <row r="94" spans="1:6" ht="27.6">
      <c r="A94" s="517" t="s">
        <v>2014</v>
      </c>
      <c r="B94" s="523" t="s">
        <v>3966</v>
      </c>
      <c r="C94" s="519" t="s">
        <v>670</v>
      </c>
      <c r="D94" s="522">
        <v>1</v>
      </c>
      <c r="E94" s="735">
        <v>300</v>
      </c>
      <c r="F94" s="901">
        <f>IF(OR(OR(E94=0,E94=" "),OR(D94=0,D94=" "))," ",D94*E94)</f>
        <v>300</v>
      </c>
    </row>
    <row r="95" spans="1:6">
      <c r="E95" s="719"/>
      <c r="F95" s="719"/>
    </row>
    <row r="96" spans="1:6">
      <c r="A96" s="526"/>
      <c r="B96" s="527"/>
      <c r="C96" s="528"/>
      <c r="D96" s="530"/>
      <c r="E96" s="712"/>
      <c r="F96" s="712"/>
    </row>
    <row r="97" spans="1:6" ht="27.6">
      <c r="A97" s="517" t="s">
        <v>8</v>
      </c>
      <c r="B97" s="518" t="s">
        <v>3967</v>
      </c>
      <c r="C97" s="531"/>
      <c r="D97" s="517"/>
      <c r="E97" s="713"/>
      <c r="F97" s="732">
        <f>SUM(F27:F96)</f>
        <v>31943</v>
      </c>
    </row>
    <row r="101" spans="1:6">
      <c r="A101" s="495" t="s">
        <v>9</v>
      </c>
      <c r="B101" s="496" t="s">
        <v>3968</v>
      </c>
      <c r="C101" s="501"/>
      <c r="D101" s="495"/>
      <c r="E101" s="718"/>
      <c r="F101" s="718"/>
    </row>
    <row r="102" spans="1:6">
      <c r="B102" s="518"/>
      <c r="C102" s="531"/>
      <c r="D102" s="517"/>
      <c r="E102" s="719"/>
      <c r="F102" s="719"/>
    </row>
    <row r="103" spans="1:6">
      <c r="A103" s="517" t="s">
        <v>1078</v>
      </c>
      <c r="B103" s="902" t="s">
        <v>3969</v>
      </c>
      <c r="E103" s="719"/>
      <c r="F103" s="903"/>
    </row>
    <row r="104" spans="1:6" ht="292.2">
      <c r="A104" s="517" t="s">
        <v>2170</v>
      </c>
      <c r="B104" s="546" t="s">
        <v>5702</v>
      </c>
      <c r="C104" s="519" t="s">
        <v>649</v>
      </c>
      <c r="D104" s="522">
        <v>1</v>
      </c>
      <c r="E104" s="735">
        <v>1328</v>
      </c>
      <c r="F104" s="901">
        <f>IF(OR(OR(E104=0,E104=" "),OR(D104=0,D104=" "))," ",D104*E104)</f>
        <v>1328</v>
      </c>
    </row>
    <row r="105" spans="1:6">
      <c r="E105" s="735"/>
      <c r="F105" s="735"/>
    </row>
    <row r="106" spans="1:6" ht="306">
      <c r="A106" s="517" t="s">
        <v>2171</v>
      </c>
      <c r="B106" s="546" t="s">
        <v>5703</v>
      </c>
      <c r="C106" s="519" t="s">
        <v>649</v>
      </c>
      <c r="D106" s="522">
        <v>1</v>
      </c>
      <c r="E106" s="735">
        <v>958</v>
      </c>
      <c r="F106" s="901">
        <f>IF(OR(OR(E106=0,E106=" "),OR(D106=0,D106=" "))," ",D106*E106)</f>
        <v>958</v>
      </c>
    </row>
    <row r="107" spans="1:6">
      <c r="E107" s="735"/>
      <c r="F107" s="735"/>
    </row>
    <row r="108" spans="1:6" ht="346.8">
      <c r="A108" s="517" t="s">
        <v>2172</v>
      </c>
      <c r="B108" s="546" t="s">
        <v>5704</v>
      </c>
      <c r="C108" s="519" t="s">
        <v>649</v>
      </c>
      <c r="D108" s="522">
        <v>1</v>
      </c>
      <c r="E108" s="735">
        <v>1603</v>
      </c>
      <c r="F108" s="901">
        <f>IF(OR(OR(E108=0,E108=" "),OR(D108=0,D108=" "))," ",D108*E108)</f>
        <v>1603</v>
      </c>
    </row>
    <row r="109" spans="1:6">
      <c r="B109" s="546"/>
      <c r="E109" s="735"/>
      <c r="F109" s="735"/>
    </row>
    <row r="110" spans="1:6" ht="110.4">
      <c r="A110" s="517" t="s">
        <v>2173</v>
      </c>
      <c r="B110" s="546" t="s">
        <v>4037</v>
      </c>
      <c r="C110" s="519" t="s">
        <v>649</v>
      </c>
      <c r="D110" s="522">
        <v>1</v>
      </c>
      <c r="E110" s="735">
        <v>164</v>
      </c>
      <c r="F110" s="901">
        <f>IF(OR(OR(E110=0,E110=" "),OR(D110=0,D110=" "))," ",D110*E110)</f>
        <v>164</v>
      </c>
    </row>
    <row r="111" spans="1:6">
      <c r="E111" s="735"/>
      <c r="F111" s="735"/>
    </row>
    <row r="112" spans="1:6" ht="97.8">
      <c r="A112" s="517" t="s">
        <v>2175</v>
      </c>
      <c r="B112" s="546" t="s">
        <v>5705</v>
      </c>
      <c r="C112" s="519" t="s">
        <v>649</v>
      </c>
      <c r="D112" s="522">
        <v>1</v>
      </c>
      <c r="E112" s="735">
        <v>758</v>
      </c>
      <c r="F112" s="901">
        <f>IF(OR(OR(E112=0,E112=" "),OR(D112=0,D112=" "))," ",D112*E112)</f>
        <v>758</v>
      </c>
    </row>
    <row r="113" spans="1:6">
      <c r="B113" s="546"/>
      <c r="E113" s="735"/>
      <c r="F113" s="735"/>
    </row>
    <row r="114" spans="1:6">
      <c r="A114" s="517" t="s">
        <v>1079</v>
      </c>
      <c r="B114" s="902" t="s">
        <v>3970</v>
      </c>
      <c r="E114" s="735"/>
      <c r="F114" s="901"/>
    </row>
    <row r="115" spans="1:6" ht="70.2">
      <c r="A115" s="517" t="s">
        <v>2200</v>
      </c>
      <c r="B115" s="546" t="s">
        <v>5706</v>
      </c>
      <c r="C115" s="519" t="s">
        <v>697</v>
      </c>
      <c r="D115" s="522">
        <v>100</v>
      </c>
      <c r="E115" s="735">
        <v>4.2</v>
      </c>
      <c r="F115" s="901">
        <f>IF(OR(OR(E115=0,E115=" "),OR(D115=0,D115=" "))," ",D115*E115)</f>
        <v>420</v>
      </c>
    </row>
    <row r="116" spans="1:6">
      <c r="B116" s="546"/>
      <c r="E116" s="735"/>
      <c r="F116" s="735"/>
    </row>
    <row r="117" spans="1:6" ht="56.4">
      <c r="A117" s="517" t="s">
        <v>2203</v>
      </c>
      <c r="B117" s="546" t="s">
        <v>5707</v>
      </c>
      <c r="C117" s="519" t="s">
        <v>697</v>
      </c>
      <c r="D117" s="522">
        <v>100</v>
      </c>
      <c r="E117" s="735">
        <v>4.2</v>
      </c>
      <c r="F117" s="901">
        <f>IF(OR(OR(E117=0,E117=" "),OR(D117=0,D117=" "))," ",D117*E117)</f>
        <v>420</v>
      </c>
    </row>
    <row r="118" spans="1:6">
      <c r="B118" s="546"/>
      <c r="E118" s="735"/>
      <c r="F118" s="735"/>
    </row>
    <row r="119" spans="1:6" ht="82.8">
      <c r="A119" s="517" t="s">
        <v>2204</v>
      </c>
      <c r="B119" s="546" t="s">
        <v>4038</v>
      </c>
      <c r="C119" s="519" t="s">
        <v>697</v>
      </c>
      <c r="D119" s="522">
        <v>50</v>
      </c>
      <c r="E119" s="735">
        <v>4.0999999999999996</v>
      </c>
      <c r="F119" s="901">
        <f>IF(OR(OR(E119=0,E119=" "),OR(D119=0,D119=" "))," ",D119*E119)</f>
        <v>204.99999999999997</v>
      </c>
    </row>
    <row r="120" spans="1:6">
      <c r="B120" s="546"/>
      <c r="E120" s="735"/>
      <c r="F120" s="735"/>
    </row>
    <row r="121" spans="1:6" ht="82.8">
      <c r="A121" s="517" t="s">
        <v>2205</v>
      </c>
      <c r="B121" s="546" t="s">
        <v>4039</v>
      </c>
      <c r="C121" s="519" t="s">
        <v>697</v>
      </c>
      <c r="D121" s="522">
        <v>50</v>
      </c>
      <c r="E121" s="735">
        <v>4.0999999999999996</v>
      </c>
      <c r="F121" s="901">
        <f>IF(OR(OR(E121=0,E121=" "),OR(D121=0,D121=" "))," ",D121*E121)</f>
        <v>204.99999999999997</v>
      </c>
    </row>
    <row r="122" spans="1:6">
      <c r="B122" s="546"/>
      <c r="E122" s="735"/>
      <c r="F122" s="735"/>
    </row>
    <row r="123" spans="1:6" ht="69">
      <c r="A123" s="517" t="s">
        <v>2206</v>
      </c>
      <c r="B123" s="546" t="s">
        <v>3971</v>
      </c>
      <c r="C123" s="519" t="s">
        <v>697</v>
      </c>
      <c r="D123" s="522">
        <v>10</v>
      </c>
      <c r="E123" s="735">
        <v>4.0999999999999996</v>
      </c>
      <c r="F123" s="901">
        <f>IF(OR(OR(E123=0,E123=" "),OR(D123=0,D123=" "))," ",D123*E123)</f>
        <v>41</v>
      </c>
    </row>
    <row r="124" spans="1:6">
      <c r="B124" s="546"/>
      <c r="E124" s="735"/>
      <c r="F124" s="735"/>
    </row>
    <row r="125" spans="1:6" ht="69">
      <c r="A125" s="517" t="s">
        <v>2207</v>
      </c>
      <c r="B125" s="546" t="s">
        <v>3972</v>
      </c>
      <c r="C125" s="519" t="s">
        <v>697</v>
      </c>
      <c r="D125" s="522">
        <v>10</v>
      </c>
      <c r="E125" s="735">
        <v>4.0999999999999996</v>
      </c>
      <c r="F125" s="901">
        <f>IF(OR(OR(E125=0,E125=" "),OR(D125=0,D125=" "))," ",D125*E125)</f>
        <v>41</v>
      </c>
    </row>
    <row r="126" spans="1:6">
      <c r="B126" s="546"/>
      <c r="E126" s="735"/>
      <c r="F126" s="735"/>
    </row>
    <row r="127" spans="1:6" ht="42.6">
      <c r="A127" s="517" t="s">
        <v>2208</v>
      </c>
      <c r="B127" s="546" t="s">
        <v>5708</v>
      </c>
      <c r="C127" s="519" t="s">
        <v>697</v>
      </c>
      <c r="D127" s="522">
        <v>50</v>
      </c>
      <c r="E127" s="735">
        <v>4.32</v>
      </c>
      <c r="F127" s="901">
        <f>IF(OR(OR(E127=0,E127=" "),OR(D127=0,D127=" "))," ",D127*E127)</f>
        <v>216</v>
      </c>
    </row>
    <row r="128" spans="1:6">
      <c r="B128" s="546"/>
      <c r="E128" s="735"/>
      <c r="F128" s="735"/>
    </row>
    <row r="129" spans="1:6" ht="42.6">
      <c r="A129" s="517" t="s">
        <v>2209</v>
      </c>
      <c r="B129" s="546" t="s">
        <v>5709</v>
      </c>
      <c r="C129" s="519" t="s">
        <v>697</v>
      </c>
      <c r="D129" s="522">
        <v>50</v>
      </c>
      <c r="E129" s="735">
        <v>4.32</v>
      </c>
      <c r="F129" s="901">
        <f>IF(OR(OR(E129=0,E129=" "),OR(D129=0,D129=" "))," ",D129*E129)</f>
        <v>216</v>
      </c>
    </row>
    <row r="130" spans="1:6">
      <c r="B130" s="546"/>
      <c r="E130" s="735"/>
      <c r="F130" s="735"/>
    </row>
    <row r="131" spans="1:6" ht="27.6">
      <c r="A131" s="517" t="s">
        <v>2210</v>
      </c>
      <c r="B131" s="546" t="s">
        <v>3973</v>
      </c>
      <c r="C131" s="519" t="s">
        <v>697</v>
      </c>
      <c r="D131" s="522">
        <v>150</v>
      </c>
      <c r="E131" s="735">
        <v>2.2000000000000002</v>
      </c>
      <c r="F131" s="901">
        <f>IF(OR(OR(E131=0,E131=" "),OR(D131=0,D131=" "))," ",D131*E131)</f>
        <v>330</v>
      </c>
    </row>
    <row r="132" spans="1:6">
      <c r="B132" s="546"/>
      <c r="E132" s="735"/>
      <c r="F132" s="735"/>
    </row>
    <row r="133" spans="1:6" ht="41.4">
      <c r="A133" s="517" t="s">
        <v>2211</v>
      </c>
      <c r="B133" s="546" t="s">
        <v>4040</v>
      </c>
      <c r="C133" s="519" t="s">
        <v>697</v>
      </c>
      <c r="D133" s="522">
        <v>150</v>
      </c>
      <c r="E133" s="735">
        <v>4.32</v>
      </c>
      <c r="F133" s="901">
        <f>IF(OR(OR(E133=0,E133=" "),OR(D133=0,D133=" "))," ",D133*E133)</f>
        <v>648</v>
      </c>
    </row>
    <row r="134" spans="1:6">
      <c r="B134" s="546"/>
      <c r="E134" s="735"/>
      <c r="F134" s="735"/>
    </row>
    <row r="135" spans="1:6" ht="55.2">
      <c r="A135" s="517" t="s">
        <v>2212</v>
      </c>
      <c r="B135" s="546" t="s">
        <v>4041</v>
      </c>
      <c r="C135" s="519" t="s">
        <v>649</v>
      </c>
      <c r="D135" s="522">
        <v>1</v>
      </c>
      <c r="E135" s="735">
        <v>10</v>
      </c>
      <c r="F135" s="901">
        <f>IF(OR(OR(E135=0,E135=" "),OR(D135=0,D135=" "))," ",D135*E135)</f>
        <v>10</v>
      </c>
    </row>
    <row r="136" spans="1:6">
      <c r="B136" s="546"/>
      <c r="E136" s="735"/>
      <c r="F136" s="735"/>
    </row>
    <row r="137" spans="1:6" ht="41.4">
      <c r="A137" s="517" t="s">
        <v>3867</v>
      </c>
      <c r="B137" s="546" t="s">
        <v>5712</v>
      </c>
      <c r="C137" s="519" t="s">
        <v>649</v>
      </c>
      <c r="D137" s="522">
        <v>1</v>
      </c>
      <c r="E137" s="735">
        <v>270</v>
      </c>
      <c r="F137" s="901">
        <f>IF(OR(OR(E137=0,E137=" "),OR(D137=0,D137=" "))," ",D137*E137)</f>
        <v>270</v>
      </c>
    </row>
    <row r="138" spans="1:6">
      <c r="B138" s="546"/>
      <c r="E138" s="735"/>
      <c r="F138" s="735"/>
    </row>
    <row r="139" spans="1:6">
      <c r="A139" s="517" t="s">
        <v>3974</v>
      </c>
      <c r="B139" s="546" t="s">
        <v>3975</v>
      </c>
      <c r="C139" s="519" t="s">
        <v>649</v>
      </c>
      <c r="D139" s="522">
        <v>1</v>
      </c>
      <c r="E139" s="735">
        <v>85</v>
      </c>
      <c r="F139" s="901">
        <f>IF(OR(OR(E139=0,E139=" "),OR(D139=0,D139=" "))," ",D139*E139)</f>
        <v>85</v>
      </c>
    </row>
    <row r="140" spans="1:6">
      <c r="B140" s="546"/>
      <c r="E140" s="735"/>
      <c r="F140" s="735"/>
    </row>
    <row r="141" spans="1:6">
      <c r="A141" s="517" t="s">
        <v>3976</v>
      </c>
      <c r="B141" s="546" t="s">
        <v>3977</v>
      </c>
      <c r="C141" s="519" t="s">
        <v>649</v>
      </c>
      <c r="D141" s="522">
        <v>1</v>
      </c>
      <c r="E141" s="735">
        <v>10</v>
      </c>
      <c r="F141" s="901">
        <f>IF(OR(OR(E141=0,E141=" "),OR(D141=0,D141=" "))," ",D141*E141)</f>
        <v>10</v>
      </c>
    </row>
    <row r="142" spans="1:6">
      <c r="B142" s="546"/>
      <c r="E142" s="735"/>
      <c r="F142" s="735"/>
    </row>
    <row r="143" spans="1:6">
      <c r="A143" s="517" t="s">
        <v>3978</v>
      </c>
      <c r="B143" s="546" t="s">
        <v>3979</v>
      </c>
      <c r="C143" s="519" t="s">
        <v>649</v>
      </c>
      <c r="D143" s="522">
        <v>1</v>
      </c>
      <c r="E143" s="735">
        <v>5</v>
      </c>
      <c r="F143" s="901">
        <f>IF(OR(OR(E143=0,E143=" "),OR(D143=0,D143=" "))," ",D143*E143)</f>
        <v>5</v>
      </c>
    </row>
    <row r="144" spans="1:6">
      <c r="B144" s="546"/>
      <c r="E144" s="735"/>
      <c r="F144" s="735"/>
    </row>
    <row r="145" spans="1:6">
      <c r="A145" s="517" t="s">
        <v>3980</v>
      </c>
      <c r="B145" s="546" t="s">
        <v>3981</v>
      </c>
      <c r="C145" s="519" t="s">
        <v>649</v>
      </c>
      <c r="D145" s="522">
        <v>1</v>
      </c>
      <c r="E145" s="735">
        <v>25</v>
      </c>
      <c r="F145" s="901">
        <f>IF(OR(OR(E145=0,E145=" "),OR(D145=0,D145=" "))," ",D145*E145)</f>
        <v>25</v>
      </c>
    </row>
    <row r="146" spans="1:6">
      <c r="B146" s="546"/>
      <c r="E146" s="735"/>
      <c r="F146" s="735"/>
    </row>
    <row r="147" spans="1:6">
      <c r="A147" s="517" t="s">
        <v>3982</v>
      </c>
      <c r="B147" s="546" t="s">
        <v>3983</v>
      </c>
      <c r="C147" s="519" t="s">
        <v>649</v>
      </c>
      <c r="D147" s="522">
        <v>1</v>
      </c>
      <c r="E147" s="735">
        <v>20</v>
      </c>
      <c r="F147" s="901">
        <f>IF(OR(OR(E147=0,E147=" "),OR(D147=0,D147=" "))," ",D147*E147)</f>
        <v>20</v>
      </c>
    </row>
    <row r="148" spans="1:6">
      <c r="B148" s="546"/>
      <c r="E148" s="735"/>
      <c r="F148" s="735"/>
    </row>
    <row r="149" spans="1:6" ht="27.6">
      <c r="A149" s="517" t="s">
        <v>3984</v>
      </c>
      <c r="B149" s="546" t="s">
        <v>3985</v>
      </c>
      <c r="C149" s="519" t="s">
        <v>649</v>
      </c>
      <c r="D149" s="522">
        <v>1</v>
      </c>
      <c r="E149" s="735">
        <v>15</v>
      </c>
      <c r="F149" s="901">
        <f>IF(OR(OR(E149=0,E149=" "),OR(D149=0,D149=" "))," ",D149*E149)</f>
        <v>15</v>
      </c>
    </row>
    <row r="150" spans="1:6">
      <c r="B150" s="546"/>
      <c r="E150" s="735"/>
      <c r="F150" s="735"/>
    </row>
    <row r="151" spans="1:6">
      <c r="A151" s="517" t="s">
        <v>1080</v>
      </c>
      <c r="B151" s="902" t="s">
        <v>3986</v>
      </c>
      <c r="E151" s="735"/>
      <c r="F151" s="901"/>
    </row>
    <row r="152" spans="1:6" ht="82.8">
      <c r="A152" s="517" t="s">
        <v>2214</v>
      </c>
      <c r="B152" s="546" t="s">
        <v>4042</v>
      </c>
      <c r="C152" s="519" t="s">
        <v>670</v>
      </c>
      <c r="D152" s="522">
        <v>1</v>
      </c>
      <c r="E152" s="735">
        <v>550</v>
      </c>
      <c r="F152" s="901">
        <f>IF(OR(OR(E152=0,E152=" "),OR(D152=0,D152=" "))," ",D152*E152)</f>
        <v>550</v>
      </c>
    </row>
    <row r="153" spans="1:6">
      <c r="B153" s="546"/>
      <c r="E153" s="735"/>
      <c r="F153" s="735"/>
    </row>
    <row r="154" spans="1:6">
      <c r="A154" s="517" t="s">
        <v>2216</v>
      </c>
      <c r="B154" s="546" t="s">
        <v>3987</v>
      </c>
      <c r="C154" s="519" t="s">
        <v>670</v>
      </c>
      <c r="D154" s="522">
        <v>1</v>
      </c>
      <c r="E154" s="735">
        <v>155</v>
      </c>
      <c r="F154" s="901">
        <f>IF(OR(OR(E154=0,E154=" "),OR(D154=0,D154=" "))," ",D154*E154)</f>
        <v>155</v>
      </c>
    </row>
    <row r="155" spans="1:6">
      <c r="B155" s="546"/>
      <c r="E155" s="735"/>
      <c r="F155" s="735"/>
    </row>
    <row r="156" spans="1:6">
      <c r="A156" s="517" t="s">
        <v>2217</v>
      </c>
      <c r="B156" s="546" t="s">
        <v>3988</v>
      </c>
      <c r="C156" s="519" t="s">
        <v>670</v>
      </c>
      <c r="D156" s="522">
        <v>1</v>
      </c>
      <c r="E156" s="735">
        <v>155</v>
      </c>
      <c r="F156" s="901">
        <f>IF(OR(OR(E156=0,E156=" "),OR(D156=0,D156=" "))," ",D156*E156)</f>
        <v>155</v>
      </c>
    </row>
    <row r="157" spans="1:6">
      <c r="B157" s="546"/>
      <c r="E157" s="735"/>
      <c r="F157" s="735"/>
    </row>
    <row r="158" spans="1:6" ht="55.2">
      <c r="A158" s="517" t="s">
        <v>2218</v>
      </c>
      <c r="B158" s="546" t="s">
        <v>4043</v>
      </c>
      <c r="C158" s="519" t="s">
        <v>670</v>
      </c>
      <c r="D158" s="522">
        <v>1</v>
      </c>
      <c r="E158" s="735">
        <v>75</v>
      </c>
      <c r="F158" s="901">
        <f>IF(OR(OR(E158=0,E158=" "),OR(D158=0,D158=" "))," ",D158*E158)</f>
        <v>75</v>
      </c>
    </row>
    <row r="159" spans="1:6">
      <c r="B159" s="546"/>
      <c r="E159" s="735"/>
      <c r="F159" s="735"/>
    </row>
    <row r="160" spans="1:6" ht="55.2">
      <c r="A160" s="517" t="s">
        <v>2219</v>
      </c>
      <c r="B160" s="546" t="s">
        <v>3989</v>
      </c>
      <c r="C160" s="519" t="s">
        <v>670</v>
      </c>
      <c r="D160" s="522">
        <v>1</v>
      </c>
      <c r="E160" s="735">
        <v>555</v>
      </c>
      <c r="F160" s="901">
        <f>IF(OR(OR(E160=0,E160=" "),OR(D160=0,D160=" "))," ",D160*E160)</f>
        <v>555</v>
      </c>
    </row>
    <row r="161" spans="1:6">
      <c r="B161" s="546"/>
      <c r="E161" s="735"/>
      <c r="F161" s="735"/>
    </row>
    <row r="162" spans="1:6" ht="69">
      <c r="A162" s="517" t="s">
        <v>2220</v>
      </c>
      <c r="B162" s="546" t="s">
        <v>4044</v>
      </c>
      <c r="C162" s="519" t="s">
        <v>670</v>
      </c>
      <c r="D162" s="522">
        <v>1</v>
      </c>
      <c r="E162" s="735">
        <v>150</v>
      </c>
      <c r="F162" s="901">
        <f>IF(OR(OR(E162=0,E162=" "),OR(D162=0,D162=" "))," ",D162*E162)</f>
        <v>150</v>
      </c>
    </row>
    <row r="163" spans="1:6">
      <c r="B163" s="546"/>
      <c r="E163" s="735"/>
      <c r="F163" s="735"/>
    </row>
    <row r="164" spans="1:6" ht="69">
      <c r="A164" s="517" t="s">
        <v>2222</v>
      </c>
      <c r="B164" s="546" t="s">
        <v>4045</v>
      </c>
      <c r="C164" s="519" t="s">
        <v>670</v>
      </c>
      <c r="D164" s="522">
        <v>1</v>
      </c>
      <c r="E164" s="735">
        <v>250</v>
      </c>
      <c r="F164" s="901">
        <f>IF(OR(OR(E164=0,E164=" "),OR(D164=0,D164=" "))," ",D164*E164)</f>
        <v>250</v>
      </c>
    </row>
    <row r="165" spans="1:6">
      <c r="E165" s="719"/>
      <c r="F165" s="719"/>
    </row>
    <row r="166" spans="1:6">
      <c r="A166" s="526"/>
      <c r="B166" s="527"/>
      <c r="C166" s="528"/>
      <c r="D166" s="530"/>
      <c r="E166" s="712"/>
      <c r="F166" s="712"/>
    </row>
    <row r="167" spans="1:6">
      <c r="A167" s="517" t="s">
        <v>9</v>
      </c>
      <c r="B167" s="518" t="s">
        <v>3990</v>
      </c>
      <c r="C167" s="531"/>
      <c r="D167" s="517"/>
      <c r="E167" s="713"/>
      <c r="F167" s="732">
        <f>SUM(F104:F166)</f>
        <v>9883</v>
      </c>
    </row>
    <row r="168" spans="1:6">
      <c r="E168" s="719"/>
      <c r="F168" s="719"/>
    </row>
    <row r="169" spans="1:6">
      <c r="B169" s="546"/>
      <c r="E169" s="719"/>
      <c r="F169" s="719"/>
    </row>
    <row r="170" spans="1:6">
      <c r="E170" s="521"/>
      <c r="F170" s="521"/>
    </row>
    <row r="171" spans="1:6" ht="15.6">
      <c r="A171" s="533" t="s">
        <v>13</v>
      </c>
      <c r="B171" s="534" t="s">
        <v>889</v>
      </c>
      <c r="C171" s="534"/>
      <c r="D171" s="534"/>
      <c r="E171" s="535"/>
      <c r="F171" s="535"/>
    </row>
    <row r="172" spans="1:6">
      <c r="A172" s="536"/>
      <c r="B172" s="537"/>
      <c r="C172" s="537"/>
      <c r="D172" s="537"/>
      <c r="E172" s="536"/>
      <c r="F172" s="536"/>
    </row>
    <row r="173" spans="1:6">
      <c r="A173" s="538" t="s">
        <v>8</v>
      </c>
      <c r="B173" s="539" t="s">
        <v>3947</v>
      </c>
      <c r="C173" s="539"/>
      <c r="D173" s="539"/>
      <c r="E173" s="540"/>
      <c r="F173" s="732">
        <f>F97</f>
        <v>31943</v>
      </c>
    </row>
    <row r="174" spans="1:6">
      <c r="A174" s="538"/>
      <c r="B174" s="539"/>
      <c r="C174" s="539"/>
      <c r="D174" s="539"/>
      <c r="E174" s="540"/>
      <c r="F174" s="713"/>
    </row>
    <row r="175" spans="1:6">
      <c r="A175" s="538" t="s">
        <v>9</v>
      </c>
      <c r="B175" s="539" t="s">
        <v>3968</v>
      </c>
      <c r="C175" s="539"/>
      <c r="D175" s="539"/>
      <c r="E175" s="540"/>
      <c r="F175" s="732">
        <f>F167</f>
        <v>9883</v>
      </c>
    </row>
    <row r="176" spans="1:6">
      <c r="B176" s="546"/>
    </row>
    <row r="177" spans="1:6">
      <c r="A177" s="538"/>
      <c r="B177" s="539"/>
      <c r="C177" s="539"/>
      <c r="D177" s="539"/>
      <c r="E177" s="716"/>
      <c r="F177" s="716"/>
    </row>
    <row r="178" spans="1:6" ht="15.6">
      <c r="A178" s="533" t="s">
        <v>13</v>
      </c>
      <c r="B178" s="534" t="s">
        <v>2359</v>
      </c>
      <c r="C178" s="534"/>
      <c r="D178" s="534"/>
      <c r="E178" s="714"/>
      <c r="F178" s="734">
        <f>SUM(F173:F175)</f>
        <v>41826</v>
      </c>
    </row>
  </sheetData>
  <mergeCells count="13">
    <mergeCell ref="B20:F20"/>
    <mergeCell ref="B14:F14"/>
    <mergeCell ref="B15:F15"/>
    <mergeCell ref="B16:F16"/>
    <mergeCell ref="B17:F17"/>
    <mergeCell ref="B18:F18"/>
    <mergeCell ref="B19:F19"/>
    <mergeCell ref="B13:F13"/>
    <mergeCell ref="A1:F1"/>
    <mergeCell ref="B9:F9"/>
    <mergeCell ref="B10:F10"/>
    <mergeCell ref="B11:F11"/>
    <mergeCell ref="B12:F12"/>
  </mergeCells>
  <pageMargins left="0.78740157480314965" right="0.39370078740157483" top="0.39370078740157483" bottom="1.1811023622047245" header="0.39370078740157483" footer="0.59055118110236227"/>
  <pageSetup paperSize="9" scale="98" fitToWidth="0" fitToHeight="0" orientation="portrait" r:id="rId1"/>
  <headerFooter alignWithMargins="0">
    <oddFooter>&amp;L&amp;"-,Uobičajeno"&amp;9&amp;A&amp;C&amp;"-,Uobičajeno"&amp;9DJEČJI VRTIĆ LEKENIK&amp;R&amp;"-,Uobičajeno"str.: &amp;"-,Podebljano"&amp;P/&amp;N</oddFooter>
  </headerFooter>
  <rowBreaks count="7" manualBreakCount="7">
    <brk id="28" max="5" man="1"/>
    <brk id="85" max="5" man="1"/>
    <brk id="100" max="5" man="1"/>
    <brk id="113" max="5" man="1"/>
    <brk id="126" max="5" man="1"/>
    <brk id="146" max="5" man="1"/>
    <brk id="163" max="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34"/>
  <sheetViews>
    <sheetView view="pageBreakPreview" topLeftCell="A30" zoomScaleNormal="100" zoomScaleSheetLayoutView="100" workbookViewId="0">
      <selection activeCell="E25" sqref="E1:E1048576"/>
    </sheetView>
  </sheetViews>
  <sheetFormatPr defaultColWidth="9.109375" defaultRowHeight="13.8"/>
  <cols>
    <col min="1" max="1" width="6.6640625" style="517" customWidth="1"/>
    <col min="2" max="2" width="40.6640625" style="523" customWidth="1"/>
    <col min="3" max="3" width="5.6640625" style="519" customWidth="1"/>
    <col min="4" max="4" width="10.6640625" style="522" customWidth="1"/>
    <col min="5" max="5" width="12.6640625" style="521" customWidth="1"/>
    <col min="6" max="6" width="16.6640625" style="521" customWidth="1"/>
    <col min="7" max="16384" width="9.109375" style="545"/>
  </cols>
  <sheetData>
    <row r="1" spans="1:6" s="486" customFormat="1" ht="30" customHeight="1">
      <c r="A1" s="935" t="s">
        <v>2134</v>
      </c>
      <c r="B1" s="936"/>
      <c r="C1" s="936"/>
      <c r="D1" s="936"/>
      <c r="E1" s="936"/>
      <c r="F1" s="936"/>
    </row>
    <row r="2" spans="1:6" s="486" customFormat="1" ht="15" customHeight="1">
      <c r="A2" s="127" t="s">
        <v>658</v>
      </c>
      <c r="B2" s="128" t="s">
        <v>890</v>
      </c>
      <c r="C2" s="127" t="s">
        <v>659</v>
      </c>
      <c r="D2" s="129" t="s">
        <v>660</v>
      </c>
      <c r="E2" s="130" t="s">
        <v>891</v>
      </c>
      <c r="F2" s="130" t="s">
        <v>661</v>
      </c>
    </row>
    <row r="3" spans="1:6" s="486" customFormat="1" ht="15" customHeight="1">
      <c r="A3" s="127">
        <v>1</v>
      </c>
      <c r="B3" s="128" t="s">
        <v>892</v>
      </c>
      <c r="C3" s="127">
        <v>3</v>
      </c>
      <c r="D3" s="127">
        <v>4</v>
      </c>
      <c r="E3" s="127">
        <v>5</v>
      </c>
      <c r="F3" s="130" t="s">
        <v>662</v>
      </c>
    </row>
    <row r="4" spans="1:6" ht="15" customHeight="1">
      <c r="A4" s="487"/>
      <c r="B4" s="488"/>
      <c r="C4" s="489"/>
      <c r="D4" s="490"/>
      <c r="E4" s="488"/>
      <c r="F4" s="488"/>
    </row>
    <row r="5" spans="1:6" ht="18">
      <c r="A5" s="491" t="s">
        <v>14</v>
      </c>
      <c r="B5" s="657" t="s">
        <v>3258</v>
      </c>
      <c r="C5" s="657"/>
      <c r="D5" s="492"/>
      <c r="E5" s="493"/>
      <c r="F5" s="494"/>
    </row>
    <row r="6" spans="1:6">
      <c r="A6" s="547"/>
      <c r="B6" s="548"/>
      <c r="C6" s="548"/>
      <c r="D6" s="549"/>
      <c r="E6" s="550"/>
      <c r="F6" s="551"/>
    </row>
    <row r="8" spans="1:6" ht="41.4">
      <c r="A8" s="517" t="s">
        <v>8</v>
      </c>
      <c r="B8" s="665" t="s">
        <v>3819</v>
      </c>
      <c r="E8" s="644"/>
      <c r="F8" s="93"/>
    </row>
    <row r="9" spans="1:6">
      <c r="B9" s="665"/>
      <c r="E9" s="644"/>
      <c r="F9" s="93"/>
    </row>
    <row r="10" spans="1:6">
      <c r="B10" s="664" t="s">
        <v>3817</v>
      </c>
      <c r="E10" s="644"/>
      <c r="F10" s="93"/>
    </row>
    <row r="11" spans="1:6" ht="55.2">
      <c r="B11" s="546" t="s">
        <v>3815</v>
      </c>
      <c r="E11" s="644"/>
      <c r="F11" s="644"/>
    </row>
    <row r="12" spans="1:6">
      <c r="B12" s="523" t="s">
        <v>3802</v>
      </c>
      <c r="E12" s="644"/>
      <c r="F12" s="644"/>
    </row>
    <row r="13" spans="1:6">
      <c r="B13" s="523" t="s">
        <v>3803</v>
      </c>
      <c r="E13" s="644"/>
      <c r="F13" s="644"/>
    </row>
    <row r="14" spans="1:6">
      <c r="B14" s="523" t="s">
        <v>3804</v>
      </c>
      <c r="E14" s="644"/>
      <c r="F14" s="93"/>
    </row>
    <row r="15" spans="1:6">
      <c r="B15" s="523" t="s">
        <v>3805</v>
      </c>
      <c r="E15" s="644"/>
      <c r="F15" s="644"/>
    </row>
    <row r="16" spans="1:6">
      <c r="B16" s="523" t="s">
        <v>3806</v>
      </c>
      <c r="E16" s="644"/>
      <c r="F16" s="644"/>
    </row>
    <row r="17" spans="2:6" ht="55.2">
      <c r="B17" s="523" t="s">
        <v>3807</v>
      </c>
      <c r="E17" s="644"/>
      <c r="F17" s="93"/>
    </row>
    <row r="18" spans="2:6" ht="27.6">
      <c r="B18" s="523" t="s">
        <v>3808</v>
      </c>
      <c r="E18" s="644"/>
      <c r="F18" s="644"/>
    </row>
    <row r="19" spans="2:6" ht="82.8">
      <c r="B19" s="523" t="s">
        <v>3809</v>
      </c>
      <c r="E19" s="644"/>
      <c r="F19" s="644"/>
    </row>
    <row r="20" spans="2:6">
      <c r="B20" s="523" t="s">
        <v>3810</v>
      </c>
      <c r="E20" s="644"/>
      <c r="F20" s="93"/>
    </row>
    <row r="21" spans="2:6">
      <c r="B21" s="523" t="s">
        <v>3801</v>
      </c>
      <c r="E21" s="644"/>
      <c r="F21" s="644"/>
    </row>
    <row r="22" spans="2:6" ht="55.2">
      <c r="B22" s="523" t="s">
        <v>5158</v>
      </c>
      <c r="E22" s="644"/>
      <c r="F22" s="644"/>
    </row>
    <row r="23" spans="2:6">
      <c r="B23" s="523" t="s">
        <v>3811</v>
      </c>
      <c r="E23" s="644"/>
      <c r="F23" s="93"/>
    </row>
    <row r="24" spans="2:6">
      <c r="B24" s="523" t="s">
        <v>3812</v>
      </c>
      <c r="E24" s="644"/>
      <c r="F24" s="644"/>
    </row>
    <row r="25" spans="2:6">
      <c r="B25" s="523" t="s">
        <v>3813</v>
      </c>
      <c r="E25" s="644"/>
      <c r="F25" s="644"/>
    </row>
    <row r="26" spans="2:6" ht="82.8">
      <c r="B26" s="523" t="s">
        <v>3814</v>
      </c>
      <c r="E26" s="644"/>
      <c r="F26" s="93"/>
    </row>
    <row r="27" spans="2:6" ht="248.4">
      <c r="B27" s="523" t="s">
        <v>5370</v>
      </c>
      <c r="E27" s="644"/>
      <c r="F27" s="644"/>
    </row>
    <row r="28" spans="2:6" ht="27.6">
      <c r="B28" s="523" t="s">
        <v>3816</v>
      </c>
      <c r="E28" s="644"/>
      <c r="F28" s="644"/>
    </row>
    <row r="29" spans="2:6">
      <c r="E29" s="644"/>
      <c r="F29" s="644"/>
    </row>
    <row r="30" spans="2:6" ht="151.80000000000001">
      <c r="B30" s="523" t="s">
        <v>5369</v>
      </c>
      <c r="E30" s="644"/>
      <c r="F30" s="93"/>
    </row>
    <row r="31" spans="2:6">
      <c r="B31" s="523" t="s">
        <v>3605</v>
      </c>
      <c r="C31" s="519" t="s">
        <v>670</v>
      </c>
      <c r="D31" s="522">
        <v>1</v>
      </c>
      <c r="E31" s="644">
        <v>38600</v>
      </c>
      <c r="F31" s="93">
        <f>IF(OR(OR(E31=0,E31=" "),OR(D31=0,D31=" "))," ",D31*E31)</f>
        <v>38600</v>
      </c>
    </row>
    <row r="32" spans="2:6">
      <c r="E32" s="644"/>
      <c r="F32" s="644"/>
    </row>
    <row r="33" spans="1:6">
      <c r="A33" s="538"/>
      <c r="B33" s="539"/>
      <c r="C33" s="539"/>
      <c r="D33" s="539"/>
      <c r="E33" s="540"/>
      <c r="F33" s="541"/>
    </row>
    <row r="34" spans="1:6" ht="15.6">
      <c r="A34" s="533" t="s">
        <v>14</v>
      </c>
      <c r="B34" s="534" t="s">
        <v>3818</v>
      </c>
      <c r="C34" s="534"/>
      <c r="D34" s="534"/>
      <c r="E34" s="544"/>
      <c r="F34" s="666">
        <f>SUM(F31:F33)</f>
        <v>38600</v>
      </c>
    </row>
  </sheetData>
  <mergeCells count="1">
    <mergeCell ref="A1:F1"/>
  </mergeCells>
  <pageMargins left="0.78740157480314965" right="0.39370078740157483" top="0.39370078740157483" bottom="1.1811023622047245" header="0.39370078740157483" footer="0.59055118110236227"/>
  <pageSetup paperSize="9" scale="98" fitToWidth="0" fitToHeight="0" orientation="portrait" r:id="rId1"/>
  <headerFooter alignWithMargins="0">
    <oddFooter>&amp;L&amp;"-,Uobičajeno"&amp;9&amp;A&amp;C&amp;"-,Uobičajeno"&amp;9DJEČJI VRTIĆ LEKENIK&amp;R&amp;"-,Uobičajeno"str.: &amp;"-,Podebljano"&amp;P/&amp;N</oddFooter>
  </headerFooter>
  <rowBreaks count="1" manualBreakCount="1">
    <brk id="25" max="5"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279"/>
  <sheetViews>
    <sheetView view="pageBreakPreview" topLeftCell="A258" zoomScale="85" zoomScaleNormal="100" zoomScaleSheetLayoutView="85" workbookViewId="0">
      <selection activeCell="E247" sqref="E1:E1048576"/>
    </sheetView>
  </sheetViews>
  <sheetFormatPr defaultColWidth="9.109375" defaultRowHeight="13.8"/>
  <cols>
    <col min="1" max="1" width="6.6640625" style="10" customWidth="1"/>
    <col min="2" max="2" width="40.6640625" style="60" customWidth="1"/>
    <col min="3" max="3" width="5.6640625" style="61" customWidth="1"/>
    <col min="4" max="4" width="10.6640625" style="62" customWidth="1"/>
    <col min="5" max="5" width="12.6640625" style="60" customWidth="1"/>
    <col min="6" max="6" width="16.6640625" style="60" customWidth="1"/>
    <col min="7" max="7" width="15.109375" style="62" bestFit="1" customWidth="1"/>
    <col min="8" max="8" width="9.109375" style="62"/>
    <col min="9" max="9" width="9.109375" style="62" customWidth="1"/>
    <col min="10" max="10" width="9.109375" style="62"/>
    <col min="11" max="11" width="11.6640625" style="62" bestFit="1" customWidth="1"/>
    <col min="12" max="12" width="9.109375" style="62"/>
    <col min="13" max="13" width="9.109375" style="7"/>
    <col min="14" max="14" width="11.6640625" style="7" bestFit="1" customWidth="1"/>
    <col min="15" max="16384" width="9.109375" style="7"/>
  </cols>
  <sheetData>
    <row r="1" spans="1:18" s="59" customFormat="1" ht="30" customHeight="1">
      <c r="A1" s="935" t="s">
        <v>2134</v>
      </c>
      <c r="B1" s="936"/>
      <c r="C1" s="936"/>
      <c r="D1" s="936"/>
      <c r="E1" s="936"/>
      <c r="F1" s="936"/>
      <c r="G1" s="57"/>
      <c r="H1" s="58"/>
      <c r="I1" s="58"/>
      <c r="J1" s="58"/>
      <c r="K1" s="58"/>
      <c r="L1" s="58"/>
    </row>
    <row r="2" spans="1:18" s="59" customFormat="1" ht="15" customHeight="1">
      <c r="A2" s="127" t="s">
        <v>658</v>
      </c>
      <c r="B2" s="128" t="s">
        <v>890</v>
      </c>
      <c r="C2" s="127" t="s">
        <v>659</v>
      </c>
      <c r="D2" s="129" t="s">
        <v>660</v>
      </c>
      <c r="E2" s="130" t="s">
        <v>891</v>
      </c>
      <c r="F2" s="130" t="s">
        <v>661</v>
      </c>
      <c r="G2" s="58"/>
      <c r="H2" s="58"/>
      <c r="I2" s="58"/>
      <c r="J2" s="58"/>
      <c r="K2" s="58"/>
      <c r="L2" s="58"/>
    </row>
    <row r="3" spans="1:18" ht="15" customHeight="1">
      <c r="A3" s="127">
        <v>1</v>
      </c>
      <c r="B3" s="128" t="s">
        <v>892</v>
      </c>
      <c r="C3" s="127">
        <v>3</v>
      </c>
      <c r="D3" s="127">
        <v>4</v>
      </c>
      <c r="E3" s="127">
        <v>5</v>
      </c>
      <c r="F3" s="130" t="s">
        <v>662</v>
      </c>
    </row>
    <row r="4" spans="1:18" s="63" customFormat="1" ht="15" customHeight="1">
      <c r="A4" s="131"/>
      <c r="B4" s="132"/>
      <c r="C4" s="133"/>
      <c r="D4" s="134"/>
      <c r="E4" s="135"/>
      <c r="F4" s="135"/>
      <c r="G4" s="62"/>
      <c r="H4" s="62"/>
      <c r="I4" s="62"/>
      <c r="J4" s="62"/>
      <c r="K4" s="62"/>
      <c r="L4" s="62"/>
    </row>
    <row r="5" spans="1:18" ht="18">
      <c r="A5" s="213" t="s">
        <v>682</v>
      </c>
      <c r="B5" s="214" t="s">
        <v>1970</v>
      </c>
      <c r="C5" s="214"/>
      <c r="D5" s="136"/>
      <c r="E5" s="137"/>
      <c r="F5" s="138"/>
    </row>
    <row r="6" spans="1:18">
      <c r="A6" s="552"/>
      <c r="B6" s="554"/>
      <c r="C6" s="554"/>
      <c r="D6" s="553"/>
      <c r="E6" s="144"/>
      <c r="F6" s="143"/>
    </row>
    <row r="7" spans="1:18">
      <c r="A7" s="552"/>
      <c r="B7" s="554"/>
      <c r="C7" s="554"/>
      <c r="D7" s="553"/>
      <c r="E7" s="144"/>
      <c r="F7" s="143"/>
    </row>
    <row r="8" spans="1:18" s="62" customFormat="1">
      <c r="A8" s="260" t="s">
        <v>4855</v>
      </c>
      <c r="B8" s="82" t="s">
        <v>1971</v>
      </c>
      <c r="C8" s="83"/>
      <c r="D8" s="84"/>
      <c r="E8" s="85"/>
      <c r="F8" s="86"/>
      <c r="M8" s="7"/>
      <c r="N8" s="7"/>
      <c r="O8" s="7"/>
      <c r="P8" s="7"/>
      <c r="Q8" s="7"/>
      <c r="R8" s="7"/>
    </row>
    <row r="9" spans="1:18" s="62" customFormat="1">
      <c r="A9" s="70"/>
      <c r="B9" s="71"/>
      <c r="C9" s="72"/>
      <c r="D9" s="73"/>
      <c r="E9" s="74"/>
      <c r="F9" s="75"/>
      <c r="M9" s="7"/>
      <c r="N9" s="7"/>
      <c r="O9" s="7"/>
      <c r="P9" s="7"/>
      <c r="Q9" s="7"/>
      <c r="R9" s="7"/>
    </row>
    <row r="10" spans="1:18" s="62" customFormat="1">
      <c r="A10" s="70"/>
      <c r="B10" s="570" t="s">
        <v>3701</v>
      </c>
      <c r="C10" s="72"/>
      <c r="D10" s="73"/>
      <c r="E10" s="74"/>
      <c r="F10" s="75"/>
      <c r="M10" s="7"/>
      <c r="N10" s="7"/>
      <c r="O10" s="7"/>
      <c r="P10" s="7"/>
      <c r="Q10" s="7"/>
      <c r="R10" s="7"/>
    </row>
    <row r="11" spans="1:18" s="62" customFormat="1">
      <c r="A11" s="70"/>
      <c r="B11" s="570" t="s">
        <v>3800</v>
      </c>
      <c r="C11" s="72"/>
      <c r="D11" s="73"/>
      <c r="E11" s="74"/>
      <c r="F11" s="75"/>
      <c r="M11" s="7"/>
      <c r="N11" s="7"/>
      <c r="O11" s="7"/>
      <c r="P11" s="7"/>
      <c r="Q11" s="7"/>
      <c r="R11" s="7"/>
    </row>
    <row r="12" spans="1:18" s="62" customFormat="1" ht="96.6">
      <c r="A12" s="70"/>
      <c r="B12" s="871" t="s">
        <v>5354</v>
      </c>
      <c r="C12" s="72"/>
      <c r="D12" s="73"/>
      <c r="E12" s="74"/>
      <c r="F12" s="75"/>
      <c r="M12" s="7"/>
      <c r="N12" s="7"/>
      <c r="O12" s="7"/>
      <c r="P12" s="7"/>
      <c r="Q12" s="7"/>
      <c r="R12" s="7"/>
    </row>
    <row r="13" spans="1:18" s="62" customFormat="1">
      <c r="A13" s="70"/>
      <c r="B13" s="71"/>
      <c r="C13" s="72"/>
      <c r="D13" s="73"/>
      <c r="E13" s="74"/>
      <c r="F13" s="75"/>
      <c r="M13" s="7"/>
      <c r="N13" s="7"/>
      <c r="O13" s="7"/>
      <c r="P13" s="7"/>
      <c r="Q13" s="7"/>
      <c r="R13" s="7"/>
    </row>
    <row r="14" spans="1:18" s="62" customFormat="1">
      <c r="A14" s="87" t="s">
        <v>667</v>
      </c>
      <c r="B14" s="88" t="s">
        <v>1976</v>
      </c>
      <c r="C14" s="72"/>
      <c r="D14" s="73"/>
      <c r="E14" s="74"/>
      <c r="F14" s="75"/>
      <c r="M14" s="7"/>
      <c r="N14" s="7"/>
      <c r="O14" s="7"/>
      <c r="P14" s="7"/>
      <c r="Q14" s="7"/>
      <c r="R14" s="7"/>
    </row>
    <row r="15" spans="1:18" s="62" customFormat="1">
      <c r="A15" s="87"/>
      <c r="B15" s="88"/>
      <c r="C15" s="72"/>
      <c r="D15" s="73"/>
      <c r="E15" s="74"/>
      <c r="F15" s="75"/>
      <c r="M15" s="7"/>
      <c r="N15" s="7"/>
      <c r="O15" s="7"/>
      <c r="P15" s="7"/>
      <c r="Q15" s="7"/>
      <c r="R15" s="7"/>
    </row>
    <row r="16" spans="1:18" s="62" customFormat="1">
      <c r="A16" s="89" t="s">
        <v>1077</v>
      </c>
      <c r="B16" s="368" t="s">
        <v>1973</v>
      </c>
      <c r="C16" s="72"/>
      <c r="D16" s="73"/>
      <c r="E16" s="74"/>
      <c r="F16" s="75"/>
      <c r="M16" s="7"/>
      <c r="N16" s="7"/>
      <c r="O16" s="7"/>
      <c r="P16" s="7"/>
      <c r="Q16" s="7"/>
      <c r="R16" s="7"/>
    </row>
    <row r="17" spans="1:18" s="62" customFormat="1" ht="303.60000000000002">
      <c r="A17" s="89"/>
      <c r="B17" s="369" t="s">
        <v>3693</v>
      </c>
      <c r="C17" s="72"/>
      <c r="D17" s="73"/>
      <c r="E17" s="74"/>
      <c r="F17" s="75"/>
      <c r="M17" s="7"/>
      <c r="N17" s="7"/>
      <c r="O17" s="7"/>
      <c r="P17" s="7"/>
      <c r="Q17" s="7"/>
      <c r="R17" s="7"/>
    </row>
    <row r="18" spans="1:18" s="62" customFormat="1">
      <c r="A18" s="89" t="s">
        <v>48</v>
      </c>
      <c r="B18" s="95" t="s">
        <v>3691</v>
      </c>
      <c r="C18" s="72" t="s">
        <v>649</v>
      </c>
      <c r="D18" s="92">
        <v>2</v>
      </c>
      <c r="E18" s="74">
        <v>1870</v>
      </c>
      <c r="F18" s="93">
        <f>IF(OR(OR(E18=0,E18=" "),OR(D18=0,D18=" "))," ",D18*E18)</f>
        <v>3740</v>
      </c>
      <c r="M18" s="7"/>
      <c r="N18" s="7"/>
      <c r="O18" s="7"/>
      <c r="P18" s="7"/>
      <c r="Q18" s="7"/>
      <c r="R18" s="7"/>
    </row>
    <row r="19" spans="1:18" s="62" customFormat="1">
      <c r="A19" s="89"/>
      <c r="B19" s="90"/>
      <c r="C19" s="72"/>
      <c r="D19" s="92"/>
      <c r="E19" s="74"/>
      <c r="F19" s="93"/>
      <c r="M19" s="7"/>
      <c r="N19" s="7"/>
      <c r="O19" s="7"/>
      <c r="P19" s="7"/>
      <c r="Q19" s="7"/>
      <c r="R19" s="7"/>
    </row>
    <row r="20" spans="1:18" s="62" customFormat="1">
      <c r="A20" s="89" t="s">
        <v>1972</v>
      </c>
      <c r="B20" s="368" t="s">
        <v>3692</v>
      </c>
      <c r="C20" s="72"/>
      <c r="D20" s="73"/>
      <c r="E20" s="74"/>
      <c r="F20" s="75"/>
      <c r="M20" s="7"/>
      <c r="N20" s="7"/>
      <c r="O20" s="7"/>
      <c r="P20" s="7"/>
      <c r="Q20" s="7"/>
      <c r="R20" s="7"/>
    </row>
    <row r="21" spans="1:18" s="62" customFormat="1" ht="331.2">
      <c r="A21" s="89"/>
      <c r="B21" s="369" t="s">
        <v>4022</v>
      </c>
      <c r="C21" s="72"/>
      <c r="D21" s="73"/>
      <c r="E21" s="74"/>
      <c r="F21" s="75"/>
      <c r="M21" s="7"/>
      <c r="N21" s="7"/>
      <c r="O21" s="7"/>
      <c r="P21" s="7"/>
      <c r="Q21" s="7"/>
      <c r="R21" s="7"/>
    </row>
    <row r="22" spans="1:18" s="62" customFormat="1">
      <c r="A22" s="89" t="s">
        <v>48</v>
      </c>
      <c r="B22" s="95" t="s">
        <v>3694</v>
      </c>
      <c r="C22" s="72" t="s">
        <v>649</v>
      </c>
      <c r="D22" s="92">
        <v>3</v>
      </c>
      <c r="E22" s="74">
        <v>1420</v>
      </c>
      <c r="F22" s="93">
        <f>IF(OR(OR(E22=0,E22=" "),OR(D22=0,D22=" "))," ",D22*E22)</f>
        <v>4260</v>
      </c>
      <c r="M22" s="7"/>
      <c r="N22" s="7"/>
      <c r="O22" s="7"/>
      <c r="P22" s="7"/>
      <c r="Q22" s="7"/>
      <c r="R22" s="7"/>
    </row>
    <row r="23" spans="1:18" s="62" customFormat="1">
      <c r="A23" s="89"/>
      <c r="B23" s="90"/>
      <c r="C23" s="72"/>
      <c r="D23" s="92"/>
      <c r="E23" s="74"/>
      <c r="F23" s="93"/>
      <c r="M23" s="7"/>
      <c r="N23" s="7"/>
      <c r="O23" s="7"/>
      <c r="P23" s="7"/>
      <c r="Q23" s="7"/>
      <c r="R23" s="7"/>
    </row>
    <row r="24" spans="1:18" s="62" customFormat="1">
      <c r="A24" s="89" t="s">
        <v>1974</v>
      </c>
      <c r="B24" s="368" t="s">
        <v>1975</v>
      </c>
      <c r="C24" s="72"/>
      <c r="D24" s="73"/>
      <c r="E24" s="74"/>
      <c r="F24" s="75"/>
      <c r="M24" s="7"/>
      <c r="N24" s="7"/>
      <c r="O24" s="7"/>
      <c r="P24" s="7"/>
      <c r="Q24" s="7"/>
      <c r="R24" s="7"/>
    </row>
    <row r="25" spans="1:18" s="62" customFormat="1" ht="138">
      <c r="A25" s="89"/>
      <c r="B25" s="369" t="s">
        <v>3695</v>
      </c>
      <c r="C25" s="72"/>
      <c r="D25" s="73"/>
      <c r="E25" s="74"/>
      <c r="F25" s="75"/>
      <c r="M25" s="7"/>
      <c r="N25" s="7"/>
      <c r="O25" s="7"/>
      <c r="P25" s="7"/>
      <c r="Q25" s="7"/>
      <c r="R25" s="7"/>
    </row>
    <row r="26" spans="1:18" s="62" customFormat="1">
      <c r="A26" s="89" t="s">
        <v>48</v>
      </c>
      <c r="B26" s="95" t="s">
        <v>3696</v>
      </c>
      <c r="C26" s="72" t="s">
        <v>649</v>
      </c>
      <c r="D26" s="92">
        <v>4</v>
      </c>
      <c r="E26" s="74">
        <v>410</v>
      </c>
      <c r="F26" s="93">
        <f>IF(OR(OR(E26=0,E26=" "),OR(D26=0,D26=" "))," ",D26*E26)</f>
        <v>1640</v>
      </c>
      <c r="M26" s="7"/>
      <c r="N26" s="7"/>
      <c r="O26" s="7"/>
      <c r="P26" s="7"/>
      <c r="Q26" s="7"/>
      <c r="R26" s="7"/>
    </row>
    <row r="27" spans="1:18" s="62" customFormat="1">
      <c r="A27" s="89" t="s">
        <v>49</v>
      </c>
      <c r="B27" s="95" t="s">
        <v>3697</v>
      </c>
      <c r="C27" s="72" t="s">
        <v>649</v>
      </c>
      <c r="D27" s="92">
        <v>1</v>
      </c>
      <c r="E27" s="74">
        <v>360</v>
      </c>
      <c r="F27" s="93">
        <f>IF(OR(OR(E27=0,E27=" "),OR(D27=0,D27=" "))," ",D27*E27)</f>
        <v>360</v>
      </c>
      <c r="M27" s="7"/>
      <c r="N27" s="7"/>
      <c r="O27" s="7"/>
      <c r="P27" s="7"/>
      <c r="Q27" s="7"/>
      <c r="R27" s="7"/>
    </row>
    <row r="28" spans="1:18" s="62" customFormat="1">
      <c r="A28" s="89"/>
      <c r="B28" s="95"/>
      <c r="C28" s="72"/>
      <c r="D28" s="92"/>
      <c r="E28" s="74"/>
      <c r="F28" s="93"/>
      <c r="M28" s="7"/>
      <c r="N28" s="7"/>
      <c r="O28" s="7"/>
      <c r="P28" s="7"/>
      <c r="Q28" s="7"/>
      <c r="R28" s="7"/>
    </row>
    <row r="29" spans="1:18" s="62" customFormat="1">
      <c r="A29" s="89" t="s">
        <v>1977</v>
      </c>
      <c r="B29" s="368" t="s">
        <v>3698</v>
      </c>
      <c r="C29" s="72"/>
      <c r="D29" s="73"/>
      <c r="E29" s="74"/>
      <c r="F29" s="75"/>
      <c r="M29" s="7"/>
      <c r="N29" s="7"/>
      <c r="O29" s="7"/>
      <c r="P29" s="7"/>
      <c r="Q29" s="7"/>
      <c r="R29" s="7"/>
    </row>
    <row r="30" spans="1:18" s="62" customFormat="1" ht="55.2">
      <c r="A30" s="89"/>
      <c r="B30" s="369" t="s">
        <v>3699</v>
      </c>
      <c r="C30" s="72"/>
      <c r="D30" s="73"/>
      <c r="E30" s="74"/>
      <c r="F30" s="75"/>
      <c r="M30" s="7"/>
      <c r="N30" s="7"/>
      <c r="O30" s="7"/>
      <c r="P30" s="7"/>
      <c r="Q30" s="7"/>
      <c r="R30" s="7"/>
    </row>
    <row r="31" spans="1:18" s="62" customFormat="1">
      <c r="A31" s="89" t="s">
        <v>48</v>
      </c>
      <c r="B31" s="95" t="s">
        <v>3700</v>
      </c>
      <c r="C31" s="72" t="s">
        <v>649</v>
      </c>
      <c r="D31" s="92">
        <v>1</v>
      </c>
      <c r="E31" s="74">
        <v>450</v>
      </c>
      <c r="F31" s="93">
        <f>IF(OR(OR(E31=0,E31=" "),OR(D31=0,D31=" "))," ",D31*E31)</f>
        <v>450</v>
      </c>
      <c r="M31" s="7"/>
      <c r="N31" s="7"/>
      <c r="O31" s="7"/>
      <c r="P31" s="7"/>
      <c r="Q31" s="7"/>
      <c r="R31" s="7"/>
    </row>
    <row r="32" spans="1:18" s="62" customFormat="1">
      <c r="A32" s="89"/>
      <c r="B32" s="95"/>
      <c r="C32" s="72"/>
      <c r="D32" s="92"/>
      <c r="E32" s="74"/>
      <c r="F32" s="93"/>
      <c r="M32" s="7"/>
      <c r="N32" s="7"/>
      <c r="O32" s="7"/>
      <c r="P32" s="7"/>
      <c r="Q32" s="7"/>
      <c r="R32" s="7"/>
    </row>
    <row r="33" spans="1:18" s="62" customFormat="1">
      <c r="A33" s="87" t="s">
        <v>667</v>
      </c>
      <c r="B33" s="88" t="s">
        <v>3780</v>
      </c>
      <c r="C33" s="72"/>
      <c r="D33" s="92"/>
      <c r="E33" s="74"/>
      <c r="F33" s="93"/>
      <c r="M33" s="7"/>
      <c r="N33" s="7"/>
      <c r="O33" s="7"/>
      <c r="P33" s="7"/>
      <c r="Q33" s="7"/>
      <c r="R33" s="7"/>
    </row>
    <row r="34" spans="1:18" s="62" customFormat="1">
      <c r="A34" s="89"/>
      <c r="B34" s="95"/>
      <c r="C34" s="72"/>
      <c r="D34" s="92"/>
      <c r="E34" s="74"/>
      <c r="F34" s="93"/>
      <c r="M34" s="7"/>
      <c r="N34" s="7"/>
      <c r="O34" s="7"/>
      <c r="P34" s="7"/>
      <c r="Q34" s="7"/>
      <c r="R34" s="7"/>
    </row>
    <row r="35" spans="1:18" s="62" customFormat="1">
      <c r="A35" s="89" t="s">
        <v>1980</v>
      </c>
      <c r="B35" s="368" t="s">
        <v>2031</v>
      </c>
      <c r="C35" s="72"/>
      <c r="D35" s="73"/>
      <c r="E35" s="74"/>
      <c r="F35" s="75"/>
      <c r="M35" s="7"/>
      <c r="N35" s="7"/>
      <c r="O35" s="7"/>
      <c r="P35" s="7"/>
      <c r="Q35" s="7"/>
      <c r="R35" s="7"/>
    </row>
    <row r="36" spans="1:18" s="62" customFormat="1" ht="96.6">
      <c r="A36" s="89"/>
      <c r="B36" s="369" t="s">
        <v>2071</v>
      </c>
      <c r="C36" s="72"/>
      <c r="D36" s="73"/>
      <c r="E36" s="74"/>
      <c r="F36" s="75"/>
      <c r="M36" s="7"/>
      <c r="N36" s="7"/>
      <c r="O36" s="7"/>
      <c r="P36" s="7"/>
      <c r="Q36" s="7"/>
      <c r="R36" s="7"/>
    </row>
    <row r="37" spans="1:18" s="62" customFormat="1">
      <c r="A37" s="89" t="s">
        <v>48</v>
      </c>
      <c r="B37" s="95" t="s">
        <v>3702</v>
      </c>
      <c r="C37" s="72" t="s">
        <v>649</v>
      </c>
      <c r="D37" s="92">
        <v>1</v>
      </c>
      <c r="E37" s="74">
        <v>275</v>
      </c>
      <c r="F37" s="93">
        <f>IF(OR(OR(E37=0,E37=" "),OR(D37=0,D37=" "))," ",D37*E37)</f>
        <v>275</v>
      </c>
      <c r="M37" s="7"/>
      <c r="N37" s="7"/>
      <c r="O37" s="7"/>
      <c r="P37" s="7"/>
      <c r="Q37" s="7"/>
      <c r="R37" s="7"/>
    </row>
    <row r="38" spans="1:18" s="62" customFormat="1">
      <c r="A38" s="89"/>
      <c r="B38" s="95"/>
      <c r="C38" s="72"/>
      <c r="D38" s="92"/>
      <c r="E38" s="74"/>
      <c r="F38" s="93"/>
      <c r="M38" s="7"/>
      <c r="N38" s="7"/>
      <c r="O38" s="7"/>
      <c r="P38" s="7"/>
      <c r="Q38" s="7"/>
      <c r="R38" s="7"/>
    </row>
    <row r="39" spans="1:18" s="62" customFormat="1">
      <c r="A39" s="89" t="s">
        <v>1981</v>
      </c>
      <c r="B39" s="660" t="s">
        <v>3703</v>
      </c>
      <c r="C39" s="72"/>
      <c r="D39" s="92"/>
      <c r="E39" s="74"/>
      <c r="F39" s="93"/>
      <c r="M39" s="7"/>
      <c r="N39" s="7"/>
      <c r="O39" s="7"/>
      <c r="P39" s="7"/>
      <c r="Q39" s="7"/>
      <c r="R39" s="7"/>
    </row>
    <row r="40" spans="1:18" s="62" customFormat="1" ht="69">
      <c r="A40" s="87"/>
      <c r="B40" s="369" t="s">
        <v>5327</v>
      </c>
      <c r="C40" s="72"/>
      <c r="D40" s="92"/>
      <c r="E40" s="74"/>
      <c r="F40" s="93"/>
      <c r="M40" s="7"/>
      <c r="N40" s="7"/>
      <c r="O40" s="7"/>
      <c r="P40" s="7"/>
      <c r="Q40" s="7"/>
      <c r="R40" s="7"/>
    </row>
    <row r="41" spans="1:18" s="62" customFormat="1">
      <c r="A41" s="89" t="s">
        <v>48</v>
      </c>
      <c r="B41" s="95" t="s">
        <v>3704</v>
      </c>
      <c r="C41" s="72" t="s">
        <v>649</v>
      </c>
      <c r="D41" s="92">
        <v>1</v>
      </c>
      <c r="E41" s="74">
        <v>2675</v>
      </c>
      <c r="F41" s="93">
        <f>IF(OR(OR(E41=0,E41=" "),OR(D41=0,D41=" "))," ",D41*E41)</f>
        <v>2675</v>
      </c>
      <c r="M41" s="7"/>
      <c r="N41" s="7"/>
      <c r="O41" s="7"/>
      <c r="P41" s="7"/>
      <c r="Q41" s="7"/>
      <c r="R41" s="7"/>
    </row>
    <row r="42" spans="1:18" s="62" customFormat="1">
      <c r="A42" s="89" t="s">
        <v>1982</v>
      </c>
      <c r="B42" s="660" t="s">
        <v>3705</v>
      </c>
      <c r="C42" s="72"/>
      <c r="D42" s="92"/>
      <c r="E42" s="74"/>
      <c r="F42" s="93"/>
      <c r="M42" s="7"/>
      <c r="N42" s="7"/>
      <c r="O42" s="7"/>
      <c r="P42" s="7"/>
      <c r="Q42" s="7"/>
      <c r="R42" s="7"/>
    </row>
    <row r="43" spans="1:18" s="62" customFormat="1" ht="110.4">
      <c r="A43" s="87"/>
      <c r="B43" s="369" t="s">
        <v>4023</v>
      </c>
      <c r="C43" s="72"/>
      <c r="D43" s="92"/>
      <c r="E43" s="74"/>
      <c r="F43" s="93"/>
      <c r="M43" s="7"/>
      <c r="N43" s="7"/>
      <c r="O43" s="7"/>
      <c r="P43" s="7"/>
      <c r="Q43" s="7"/>
      <c r="R43" s="7"/>
    </row>
    <row r="44" spans="1:18" s="62" customFormat="1" ht="27.6">
      <c r="A44" s="89" t="s">
        <v>48</v>
      </c>
      <c r="B44" s="95" t="s">
        <v>3706</v>
      </c>
      <c r="C44" s="72" t="s">
        <v>649</v>
      </c>
      <c r="D44" s="92">
        <v>1</v>
      </c>
      <c r="E44" s="74">
        <v>340</v>
      </c>
      <c r="F44" s="93">
        <f>IF(OR(OR(E44=0,E44=" "),OR(D44=0,D44=" "))," ",D44*E44)</f>
        <v>340</v>
      </c>
      <c r="M44" s="7"/>
      <c r="N44" s="7"/>
      <c r="O44" s="7"/>
      <c r="P44" s="7"/>
      <c r="Q44" s="7"/>
      <c r="R44" s="7"/>
    </row>
    <row r="45" spans="1:18" s="62" customFormat="1">
      <c r="A45" s="87"/>
      <c r="B45" s="88"/>
      <c r="C45" s="72"/>
      <c r="D45" s="92"/>
      <c r="E45" s="74"/>
      <c r="F45" s="93"/>
      <c r="M45" s="7"/>
      <c r="N45" s="7"/>
      <c r="O45" s="7"/>
      <c r="P45" s="7"/>
      <c r="Q45" s="7"/>
      <c r="R45" s="7"/>
    </row>
    <row r="46" spans="1:18" s="62" customFormat="1">
      <c r="A46" s="89" t="s">
        <v>1983</v>
      </c>
      <c r="B46" s="368" t="s">
        <v>1978</v>
      </c>
      <c r="C46" s="72"/>
      <c r="D46" s="73"/>
      <c r="E46" s="74"/>
      <c r="F46" s="75"/>
      <c r="M46" s="7"/>
      <c r="N46" s="7"/>
      <c r="O46" s="7"/>
      <c r="P46" s="7"/>
      <c r="Q46" s="7"/>
      <c r="R46" s="7"/>
    </row>
    <row r="47" spans="1:18" s="62" customFormat="1" ht="207">
      <c r="A47" s="89"/>
      <c r="B47" s="369" t="s">
        <v>3707</v>
      </c>
      <c r="C47" s="72"/>
      <c r="D47" s="73"/>
      <c r="E47" s="74"/>
      <c r="F47" s="75"/>
      <c r="M47" s="7"/>
      <c r="N47" s="7"/>
      <c r="O47" s="7"/>
      <c r="P47" s="7"/>
      <c r="Q47" s="7"/>
      <c r="R47" s="7"/>
    </row>
    <row r="48" spans="1:18" s="62" customFormat="1">
      <c r="A48" s="89" t="s">
        <v>48</v>
      </c>
      <c r="B48" s="95" t="s">
        <v>3708</v>
      </c>
      <c r="C48" s="72" t="s">
        <v>649</v>
      </c>
      <c r="D48" s="92">
        <v>1</v>
      </c>
      <c r="E48" s="74">
        <v>790</v>
      </c>
      <c r="F48" s="93">
        <f>IF(OR(OR(E48=0,E48=" "),OR(D48=0,D48=" "))," ",D48*E48)</f>
        <v>790</v>
      </c>
      <c r="M48" s="7"/>
      <c r="N48" s="7"/>
      <c r="O48" s="7"/>
      <c r="P48" s="7"/>
      <c r="Q48" s="7"/>
      <c r="R48" s="7"/>
    </row>
    <row r="49" spans="1:18" s="62" customFormat="1">
      <c r="A49" s="87"/>
      <c r="B49" s="88"/>
      <c r="C49" s="72"/>
      <c r="D49" s="92"/>
      <c r="E49" s="74"/>
      <c r="F49" s="93"/>
      <c r="M49" s="7"/>
      <c r="N49" s="7"/>
      <c r="O49" s="7"/>
      <c r="P49" s="7"/>
      <c r="Q49" s="7"/>
      <c r="R49" s="7"/>
    </row>
    <row r="50" spans="1:18" s="62" customFormat="1">
      <c r="A50" s="89" t="s">
        <v>1987</v>
      </c>
      <c r="B50" s="368" t="s">
        <v>3709</v>
      </c>
      <c r="C50" s="72"/>
      <c r="D50" s="73"/>
      <c r="E50" s="74"/>
      <c r="F50" s="75"/>
      <c r="M50" s="7"/>
      <c r="N50" s="7"/>
      <c r="O50" s="7"/>
      <c r="P50" s="7"/>
      <c r="Q50" s="7"/>
      <c r="R50" s="7"/>
    </row>
    <row r="51" spans="1:18" s="62" customFormat="1" ht="179.4">
      <c r="A51" s="89"/>
      <c r="B51" s="369" t="s">
        <v>3710</v>
      </c>
      <c r="C51" s="72"/>
      <c r="D51" s="73"/>
      <c r="E51" s="74"/>
      <c r="F51" s="75"/>
      <c r="M51" s="7"/>
      <c r="N51" s="7"/>
      <c r="O51" s="7"/>
      <c r="P51" s="7"/>
      <c r="Q51" s="7"/>
      <c r="R51" s="7"/>
    </row>
    <row r="52" spans="1:18" s="62" customFormat="1">
      <c r="A52" s="89" t="s">
        <v>48</v>
      </c>
      <c r="B52" s="95" t="s">
        <v>3712</v>
      </c>
      <c r="C52" s="72" t="s">
        <v>649</v>
      </c>
      <c r="D52" s="92">
        <v>1</v>
      </c>
      <c r="E52" s="74">
        <v>2120</v>
      </c>
      <c r="F52" s="93">
        <f>IF(OR(OR(E52=0,E52=" "),OR(D52=0,D52=" "))," ",D52*E52)</f>
        <v>2120</v>
      </c>
      <c r="M52" s="7"/>
      <c r="N52" s="7"/>
      <c r="O52" s="7"/>
      <c r="P52" s="7"/>
      <c r="Q52" s="7"/>
      <c r="R52" s="7"/>
    </row>
    <row r="53" spans="1:18" s="62" customFormat="1">
      <c r="A53" s="87"/>
      <c r="B53" s="88"/>
      <c r="C53" s="72"/>
      <c r="D53" s="92"/>
      <c r="E53" s="74"/>
      <c r="F53" s="93"/>
      <c r="M53" s="7"/>
      <c r="N53" s="7"/>
      <c r="O53" s="7"/>
      <c r="P53" s="7"/>
      <c r="Q53" s="7"/>
      <c r="R53" s="7"/>
    </row>
    <row r="54" spans="1:18" s="62" customFormat="1">
      <c r="A54" s="106" t="s">
        <v>1988</v>
      </c>
      <c r="B54" s="478" t="s">
        <v>3711</v>
      </c>
      <c r="C54" s="72"/>
      <c r="D54" s="73"/>
      <c r="E54" s="74"/>
      <c r="F54" s="75"/>
      <c r="M54" s="7"/>
      <c r="N54" s="7"/>
      <c r="O54" s="7"/>
      <c r="P54" s="7"/>
      <c r="Q54" s="7"/>
      <c r="R54" s="7"/>
    </row>
    <row r="55" spans="1:18" s="62" customFormat="1" ht="151.80000000000001">
      <c r="A55" s="106"/>
      <c r="B55" s="479" t="s">
        <v>3713</v>
      </c>
      <c r="C55" s="72"/>
      <c r="D55" s="73"/>
      <c r="E55" s="74"/>
      <c r="F55" s="75"/>
      <c r="M55" s="7"/>
      <c r="N55" s="7"/>
      <c r="O55" s="7"/>
      <c r="P55" s="7"/>
      <c r="Q55" s="7"/>
      <c r="R55" s="7"/>
    </row>
    <row r="56" spans="1:18" s="62" customFormat="1" ht="27.6">
      <c r="A56" s="106" t="s">
        <v>48</v>
      </c>
      <c r="B56" s="112" t="s">
        <v>3714</v>
      </c>
      <c r="C56" s="72" t="s">
        <v>649</v>
      </c>
      <c r="D56" s="92">
        <v>1</v>
      </c>
      <c r="E56" s="74">
        <v>1210</v>
      </c>
      <c r="F56" s="93">
        <f>IF(OR(OR(E56=0,E56=" "),OR(D56=0,D56=" "))," ",D56*E56)</f>
        <v>1210</v>
      </c>
      <c r="M56" s="7"/>
      <c r="N56" s="7"/>
      <c r="O56" s="7"/>
      <c r="P56" s="7"/>
      <c r="Q56" s="7"/>
      <c r="R56" s="7"/>
    </row>
    <row r="57" spans="1:18" s="62" customFormat="1">
      <c r="A57" s="87"/>
      <c r="B57" s="88"/>
      <c r="C57" s="72"/>
      <c r="D57" s="92"/>
      <c r="E57" s="74"/>
      <c r="F57" s="93"/>
      <c r="M57" s="7"/>
      <c r="N57" s="7"/>
      <c r="O57" s="7"/>
      <c r="P57" s="7"/>
      <c r="Q57" s="7"/>
      <c r="R57" s="7"/>
    </row>
    <row r="58" spans="1:18" s="62" customFormat="1">
      <c r="A58" s="89" t="s">
        <v>1990</v>
      </c>
      <c r="B58" s="368" t="s">
        <v>3715</v>
      </c>
      <c r="C58" s="72"/>
      <c r="D58" s="73"/>
      <c r="E58" s="74"/>
      <c r="F58" s="75"/>
      <c r="M58" s="7"/>
      <c r="N58" s="7"/>
      <c r="O58" s="7"/>
      <c r="P58" s="7"/>
      <c r="Q58" s="7"/>
      <c r="R58" s="7"/>
    </row>
    <row r="59" spans="1:18" s="62" customFormat="1" ht="55.2">
      <c r="A59" s="89"/>
      <c r="B59" s="369" t="s">
        <v>3716</v>
      </c>
      <c r="C59" s="72"/>
      <c r="D59" s="73"/>
      <c r="E59" s="74"/>
      <c r="F59" s="75"/>
      <c r="M59" s="7"/>
      <c r="N59" s="7"/>
      <c r="O59" s="7"/>
      <c r="P59" s="7"/>
      <c r="Q59" s="7"/>
      <c r="R59" s="7"/>
    </row>
    <row r="60" spans="1:18" s="62" customFormat="1">
      <c r="A60" s="89" t="s">
        <v>48</v>
      </c>
      <c r="B60" s="95" t="s">
        <v>3717</v>
      </c>
      <c r="C60" s="72" t="s">
        <v>649</v>
      </c>
      <c r="D60" s="92">
        <v>1</v>
      </c>
      <c r="E60" s="74">
        <v>115</v>
      </c>
      <c r="F60" s="93">
        <f>IF(OR(OR(E60=0,E60=" "),OR(D60=0,D60=" "))," ",D60*E60)</f>
        <v>115</v>
      </c>
      <c r="M60" s="7"/>
      <c r="N60" s="7"/>
      <c r="O60" s="7"/>
      <c r="P60" s="7"/>
      <c r="Q60" s="7"/>
      <c r="R60" s="7"/>
    </row>
    <row r="61" spans="1:18" s="62" customFormat="1">
      <c r="A61" s="89" t="s">
        <v>1991</v>
      </c>
      <c r="B61" s="368" t="s">
        <v>3709</v>
      </c>
      <c r="C61" s="72"/>
      <c r="D61" s="73"/>
      <c r="E61" s="74"/>
      <c r="F61" s="75"/>
      <c r="M61" s="7"/>
      <c r="N61" s="7"/>
      <c r="O61" s="7"/>
      <c r="P61" s="7"/>
      <c r="Q61" s="7"/>
      <c r="R61" s="7"/>
    </row>
    <row r="62" spans="1:18" s="62" customFormat="1" ht="179.4">
      <c r="A62" s="89"/>
      <c r="B62" s="369" t="s">
        <v>3718</v>
      </c>
      <c r="C62" s="72"/>
      <c r="D62" s="73"/>
      <c r="E62" s="74"/>
      <c r="F62" s="75"/>
      <c r="M62" s="7"/>
      <c r="N62" s="7"/>
      <c r="O62" s="7"/>
      <c r="P62" s="7"/>
      <c r="Q62" s="7"/>
      <c r="R62" s="7"/>
    </row>
    <row r="63" spans="1:18" s="62" customFormat="1">
      <c r="A63" s="89" t="s">
        <v>48</v>
      </c>
      <c r="B63" s="95" t="s">
        <v>3712</v>
      </c>
      <c r="C63" s="72" t="s">
        <v>649</v>
      </c>
      <c r="D63" s="92">
        <v>1</v>
      </c>
      <c r="E63" s="74">
        <v>2120</v>
      </c>
      <c r="F63" s="93">
        <f>IF(OR(OR(E63=0,E63=" "),OR(D63=0,D63=" "))," ",D63*E63)</f>
        <v>2120</v>
      </c>
      <c r="M63" s="7"/>
      <c r="N63" s="7"/>
      <c r="O63" s="7"/>
      <c r="P63" s="7"/>
      <c r="Q63" s="7"/>
      <c r="R63" s="7"/>
    </row>
    <row r="64" spans="1:18" s="62" customFormat="1">
      <c r="A64" s="87"/>
      <c r="B64" s="88"/>
      <c r="C64" s="72"/>
      <c r="D64" s="92"/>
      <c r="E64" s="74"/>
      <c r="F64" s="93"/>
      <c r="M64" s="7"/>
      <c r="N64" s="7"/>
      <c r="O64" s="7"/>
      <c r="P64" s="7"/>
      <c r="Q64" s="7"/>
      <c r="R64" s="7"/>
    </row>
    <row r="65" spans="1:18" s="62" customFormat="1">
      <c r="A65" s="89" t="s">
        <v>1992</v>
      </c>
      <c r="B65" s="368" t="s">
        <v>1978</v>
      </c>
      <c r="C65" s="72"/>
      <c r="D65" s="73"/>
      <c r="E65" s="74"/>
      <c r="F65" s="75"/>
      <c r="M65" s="7"/>
      <c r="N65" s="7"/>
      <c r="O65" s="7"/>
      <c r="P65" s="7"/>
      <c r="Q65" s="7"/>
      <c r="R65" s="7"/>
    </row>
    <row r="66" spans="1:18" s="62" customFormat="1" ht="151.80000000000001">
      <c r="A66" s="89"/>
      <c r="B66" s="369" t="s">
        <v>3719</v>
      </c>
      <c r="C66" s="72"/>
      <c r="D66" s="73"/>
      <c r="E66" s="74"/>
      <c r="F66" s="75"/>
      <c r="M66" s="7"/>
      <c r="N66" s="7"/>
      <c r="O66" s="7"/>
      <c r="P66" s="7"/>
      <c r="Q66" s="7"/>
      <c r="R66" s="7"/>
    </row>
    <row r="67" spans="1:18" s="62" customFormat="1">
      <c r="A67" s="89" t="s">
        <v>48</v>
      </c>
      <c r="B67" s="95" t="s">
        <v>3720</v>
      </c>
      <c r="C67" s="72" t="s">
        <v>649</v>
      </c>
      <c r="D67" s="92">
        <v>1</v>
      </c>
      <c r="E67" s="74">
        <v>770</v>
      </c>
      <c r="F67" s="93">
        <f>IF(OR(OR(E67=0,E67=" "),OR(D67=0,D67=" "))," ",D67*E67)</f>
        <v>770</v>
      </c>
      <c r="M67" s="7"/>
      <c r="N67" s="7"/>
      <c r="O67" s="7"/>
      <c r="P67" s="7"/>
      <c r="Q67" s="7"/>
      <c r="R67" s="7"/>
    </row>
    <row r="68" spans="1:18" s="62" customFormat="1">
      <c r="A68" s="87"/>
      <c r="B68" s="88"/>
      <c r="C68" s="72"/>
      <c r="D68" s="92"/>
      <c r="E68" s="74"/>
      <c r="F68" s="93"/>
      <c r="M68" s="7"/>
      <c r="N68" s="7"/>
      <c r="O68" s="7"/>
      <c r="P68" s="7"/>
      <c r="Q68" s="7"/>
      <c r="R68" s="7"/>
    </row>
    <row r="69" spans="1:18" s="62" customFormat="1">
      <c r="A69" s="89" t="s">
        <v>1993</v>
      </c>
      <c r="B69" s="368" t="s">
        <v>3721</v>
      </c>
      <c r="C69" s="72"/>
      <c r="D69" s="73"/>
      <c r="E69" s="74"/>
      <c r="F69" s="75"/>
      <c r="M69" s="7"/>
      <c r="N69" s="7"/>
      <c r="O69" s="7"/>
      <c r="P69" s="7"/>
      <c r="Q69" s="7"/>
      <c r="R69" s="7"/>
    </row>
    <row r="70" spans="1:18" s="62" customFormat="1" ht="96.6">
      <c r="A70" s="89"/>
      <c r="B70" s="369" t="s">
        <v>3722</v>
      </c>
      <c r="C70" s="72"/>
      <c r="D70" s="73"/>
      <c r="E70" s="74"/>
      <c r="F70" s="75"/>
      <c r="M70" s="7"/>
      <c r="N70" s="7"/>
      <c r="O70" s="7"/>
      <c r="P70" s="7"/>
      <c r="Q70" s="7"/>
      <c r="R70" s="7"/>
    </row>
    <row r="71" spans="1:18" s="62" customFormat="1">
      <c r="A71" s="89" t="s">
        <v>48</v>
      </c>
      <c r="B71" s="95" t="s">
        <v>3723</v>
      </c>
      <c r="C71" s="72" t="s">
        <v>649</v>
      </c>
      <c r="D71" s="92">
        <v>1</v>
      </c>
      <c r="E71" s="74">
        <v>930</v>
      </c>
      <c r="F71" s="93">
        <f>IF(OR(OR(E71=0,E71=" "),OR(D71=0,D71=" "))," ",D71*E71)</f>
        <v>930</v>
      </c>
      <c r="M71" s="7"/>
      <c r="N71" s="7"/>
      <c r="O71" s="7"/>
      <c r="P71" s="7"/>
      <c r="Q71" s="7"/>
      <c r="R71" s="7"/>
    </row>
    <row r="72" spans="1:18" s="62" customFormat="1">
      <c r="A72" s="87"/>
      <c r="B72" s="88"/>
      <c r="C72" s="72"/>
      <c r="D72" s="92"/>
      <c r="E72" s="74"/>
      <c r="F72" s="93"/>
      <c r="M72" s="7"/>
      <c r="N72" s="7"/>
      <c r="O72" s="7"/>
      <c r="P72" s="7"/>
      <c r="Q72" s="7"/>
      <c r="R72" s="7"/>
    </row>
    <row r="73" spans="1:18" s="62" customFormat="1">
      <c r="A73" s="89" t="s">
        <v>1994</v>
      </c>
      <c r="B73" s="368" t="s">
        <v>3725</v>
      </c>
      <c r="C73" s="72"/>
      <c r="D73" s="73"/>
      <c r="E73" s="74"/>
      <c r="F73" s="75"/>
      <c r="M73" s="7"/>
      <c r="N73" s="7"/>
      <c r="O73" s="7"/>
      <c r="P73" s="7"/>
      <c r="Q73" s="7"/>
      <c r="R73" s="7"/>
    </row>
    <row r="74" spans="1:18" s="62" customFormat="1" ht="151.80000000000001">
      <c r="A74" s="89"/>
      <c r="B74" s="369" t="s">
        <v>3724</v>
      </c>
      <c r="C74" s="72"/>
      <c r="D74" s="73"/>
      <c r="E74" s="74"/>
      <c r="F74" s="75"/>
      <c r="M74" s="7"/>
      <c r="N74" s="7"/>
      <c r="O74" s="7"/>
      <c r="P74" s="7"/>
      <c r="Q74" s="7"/>
      <c r="R74" s="7"/>
    </row>
    <row r="75" spans="1:18" s="62" customFormat="1" ht="27.6">
      <c r="A75" s="89" t="s">
        <v>48</v>
      </c>
      <c r="B75" s="95" t="s">
        <v>3732</v>
      </c>
      <c r="C75" s="72" t="s">
        <v>649</v>
      </c>
      <c r="D75" s="92">
        <v>1</v>
      </c>
      <c r="E75" s="74">
        <v>3190</v>
      </c>
      <c r="F75" s="93">
        <f>IF(OR(OR(E75=0,E75=" "),OR(D75=0,D75=" "))," ",D75*E75)</f>
        <v>3190</v>
      </c>
      <c r="M75" s="7"/>
      <c r="N75" s="7"/>
      <c r="O75" s="7"/>
      <c r="P75" s="7"/>
      <c r="Q75" s="7"/>
      <c r="R75" s="7"/>
    </row>
    <row r="76" spans="1:18" s="62" customFormat="1">
      <c r="A76" s="89"/>
      <c r="B76" s="95"/>
      <c r="C76" s="72"/>
      <c r="D76" s="92"/>
      <c r="E76" s="74"/>
      <c r="F76" s="93"/>
      <c r="M76" s="7"/>
      <c r="N76" s="7"/>
      <c r="O76" s="7"/>
      <c r="P76" s="7"/>
      <c r="Q76" s="7"/>
      <c r="R76" s="7"/>
    </row>
    <row r="77" spans="1:18" s="62" customFormat="1">
      <c r="A77" s="89" t="s">
        <v>1995</v>
      </c>
      <c r="B77" s="368" t="s">
        <v>3726</v>
      </c>
      <c r="C77" s="72"/>
      <c r="D77" s="73"/>
      <c r="E77" s="74"/>
      <c r="F77" s="75"/>
      <c r="M77" s="7"/>
      <c r="N77" s="7"/>
      <c r="O77" s="7"/>
      <c r="P77" s="7"/>
      <c r="Q77" s="7"/>
      <c r="R77" s="7"/>
    </row>
    <row r="78" spans="1:18" s="62" customFormat="1" ht="41.4">
      <c r="A78" s="89"/>
      <c r="B78" s="369" t="s">
        <v>4156</v>
      </c>
      <c r="C78" s="72"/>
      <c r="D78" s="73"/>
      <c r="E78" s="74"/>
      <c r="F78" s="75"/>
      <c r="M78" s="7"/>
      <c r="N78" s="7"/>
      <c r="O78" s="7"/>
      <c r="P78" s="7"/>
      <c r="Q78" s="7"/>
      <c r="R78" s="7"/>
    </row>
    <row r="79" spans="1:18" s="62" customFormat="1">
      <c r="A79" s="89" t="s">
        <v>48</v>
      </c>
      <c r="B79" s="95" t="s">
        <v>3727</v>
      </c>
      <c r="C79" s="72" t="s">
        <v>649</v>
      </c>
      <c r="D79" s="92">
        <v>1</v>
      </c>
      <c r="E79" s="74">
        <v>770</v>
      </c>
      <c r="F79" s="93">
        <f>IF(OR(OR(E79=0,E79=" "),OR(D79=0,D79=" "))," ",D79*E79)</f>
        <v>770</v>
      </c>
      <c r="M79" s="7"/>
      <c r="N79" s="7"/>
      <c r="O79" s="7"/>
      <c r="P79" s="7"/>
      <c r="Q79" s="7"/>
      <c r="R79" s="7"/>
    </row>
    <row r="80" spans="1:18" s="62" customFormat="1">
      <c r="A80" s="87"/>
      <c r="B80" s="88"/>
      <c r="C80" s="72"/>
      <c r="D80" s="92"/>
      <c r="E80" s="74"/>
      <c r="F80" s="93"/>
      <c r="M80" s="7"/>
      <c r="N80" s="7"/>
      <c r="O80" s="7"/>
      <c r="P80" s="7"/>
      <c r="Q80" s="7"/>
      <c r="R80" s="7"/>
    </row>
    <row r="81" spans="1:18" s="62" customFormat="1">
      <c r="A81" s="89" t="s">
        <v>1996</v>
      </c>
      <c r="B81" s="368" t="s">
        <v>3728</v>
      </c>
      <c r="C81" s="72"/>
      <c r="D81" s="73"/>
      <c r="E81" s="74"/>
      <c r="F81" s="75"/>
      <c r="M81" s="7"/>
      <c r="N81" s="7"/>
      <c r="O81" s="7"/>
      <c r="P81" s="7"/>
      <c r="Q81" s="7"/>
      <c r="R81" s="7"/>
    </row>
    <row r="82" spans="1:18" s="62" customFormat="1" ht="41.4">
      <c r="A82" s="89"/>
      <c r="B82" s="369" t="s">
        <v>3730</v>
      </c>
      <c r="C82" s="72"/>
      <c r="D82" s="73"/>
      <c r="E82" s="74"/>
      <c r="F82" s="75"/>
      <c r="M82" s="7"/>
      <c r="N82" s="7"/>
      <c r="O82" s="7"/>
      <c r="P82" s="7"/>
      <c r="Q82" s="7"/>
      <c r="R82" s="7"/>
    </row>
    <row r="83" spans="1:18" s="62" customFormat="1">
      <c r="A83" s="89" t="s">
        <v>48</v>
      </c>
      <c r="B83" s="95" t="s">
        <v>3729</v>
      </c>
      <c r="C83" s="72" t="s">
        <v>649</v>
      </c>
      <c r="D83" s="92">
        <v>1</v>
      </c>
      <c r="E83" s="74">
        <v>285</v>
      </c>
      <c r="F83" s="93">
        <f>IF(OR(OR(E83=0,E83=" "),OR(D83=0,D83=" "))," ",D83*E83)</f>
        <v>285</v>
      </c>
      <c r="M83" s="7"/>
      <c r="N83" s="7"/>
      <c r="O83" s="7"/>
      <c r="P83" s="7"/>
      <c r="Q83" s="7"/>
      <c r="R83" s="7"/>
    </row>
    <row r="84" spans="1:18" s="62" customFormat="1">
      <c r="A84" s="87"/>
      <c r="B84" s="88"/>
      <c r="C84" s="72"/>
      <c r="D84" s="92"/>
      <c r="E84" s="74"/>
      <c r="F84" s="93"/>
      <c r="M84" s="7"/>
      <c r="N84" s="7"/>
      <c r="O84" s="7"/>
      <c r="P84" s="7"/>
      <c r="Q84" s="7"/>
      <c r="R84" s="7"/>
    </row>
    <row r="85" spans="1:18" s="62" customFormat="1">
      <c r="A85" s="89" t="s">
        <v>1997</v>
      </c>
      <c r="B85" s="368" t="s">
        <v>3731</v>
      </c>
      <c r="C85" s="72"/>
      <c r="D85" s="73"/>
      <c r="E85" s="74"/>
      <c r="F85" s="75"/>
      <c r="M85" s="7"/>
      <c r="N85" s="7"/>
      <c r="O85" s="7"/>
      <c r="P85" s="7"/>
      <c r="Q85" s="7"/>
      <c r="R85" s="7"/>
    </row>
    <row r="86" spans="1:18" s="62" customFormat="1" ht="289.8">
      <c r="A86" s="89"/>
      <c r="B86" s="369" t="s">
        <v>4024</v>
      </c>
      <c r="C86" s="72"/>
      <c r="D86" s="73"/>
      <c r="E86" s="74"/>
      <c r="F86" s="75"/>
      <c r="M86" s="7"/>
      <c r="N86" s="7"/>
      <c r="O86" s="7"/>
      <c r="P86" s="7"/>
      <c r="Q86" s="7"/>
      <c r="R86" s="7"/>
    </row>
    <row r="87" spans="1:18" s="62" customFormat="1" ht="27.6">
      <c r="A87" s="89" t="s">
        <v>48</v>
      </c>
      <c r="B87" s="95" t="s">
        <v>3733</v>
      </c>
      <c r="C87" s="72" t="s">
        <v>649</v>
      </c>
      <c r="D87" s="92">
        <v>1</v>
      </c>
      <c r="E87" s="74">
        <v>5900</v>
      </c>
      <c r="F87" s="93">
        <f>IF(OR(OR(E87=0,E87=" "),OR(D87=0,D87=" "))," ",D87*E87)</f>
        <v>5900</v>
      </c>
      <c r="M87" s="7"/>
      <c r="N87" s="7"/>
      <c r="O87" s="7"/>
      <c r="P87" s="7"/>
      <c r="Q87" s="7"/>
      <c r="R87" s="7"/>
    </row>
    <row r="88" spans="1:18" s="62" customFormat="1">
      <c r="A88" s="87"/>
      <c r="B88" s="88"/>
      <c r="C88" s="72"/>
      <c r="D88" s="92"/>
      <c r="E88" s="74"/>
      <c r="F88" s="93"/>
      <c r="M88" s="7"/>
      <c r="N88" s="7"/>
      <c r="O88" s="7"/>
      <c r="P88" s="7"/>
      <c r="Q88" s="7"/>
      <c r="R88" s="7"/>
    </row>
    <row r="89" spans="1:18" s="62" customFormat="1">
      <c r="A89" s="89" t="s">
        <v>1998</v>
      </c>
      <c r="B89" s="368" t="s">
        <v>3734</v>
      </c>
      <c r="C89" s="72"/>
      <c r="D89" s="73"/>
      <c r="E89" s="74"/>
      <c r="F89" s="75"/>
      <c r="M89" s="7"/>
      <c r="N89" s="7"/>
      <c r="O89" s="7"/>
      <c r="P89" s="7"/>
      <c r="Q89" s="7"/>
      <c r="R89" s="7"/>
    </row>
    <row r="90" spans="1:18" s="62" customFormat="1" ht="234.6">
      <c r="A90" s="89"/>
      <c r="B90" s="369" t="s">
        <v>3735</v>
      </c>
      <c r="C90" s="72"/>
      <c r="D90" s="73"/>
      <c r="E90" s="74"/>
      <c r="F90" s="75"/>
      <c r="M90" s="7"/>
      <c r="N90" s="7"/>
      <c r="O90" s="7"/>
      <c r="P90" s="7"/>
      <c r="Q90" s="7"/>
      <c r="R90" s="7"/>
    </row>
    <row r="91" spans="1:18" s="62" customFormat="1" ht="27.6">
      <c r="A91" s="89" t="s">
        <v>48</v>
      </c>
      <c r="B91" s="95" t="s">
        <v>3736</v>
      </c>
      <c r="C91" s="72" t="s">
        <v>649</v>
      </c>
      <c r="D91" s="92">
        <v>1</v>
      </c>
      <c r="E91" s="74">
        <v>4800</v>
      </c>
      <c r="F91" s="93">
        <f>IF(OR(OR(E91=0,E91=" "),OR(D91=0,D91=" "))," ",D91*E91)</f>
        <v>4800</v>
      </c>
      <c r="M91" s="7"/>
      <c r="N91" s="7"/>
      <c r="O91" s="7"/>
      <c r="P91" s="7"/>
      <c r="Q91" s="7"/>
      <c r="R91" s="7"/>
    </row>
    <row r="92" spans="1:18" s="62" customFormat="1">
      <c r="A92" s="87"/>
      <c r="B92" s="88"/>
      <c r="C92" s="72"/>
      <c r="D92" s="92"/>
      <c r="E92" s="74"/>
      <c r="F92" s="93"/>
      <c r="M92" s="7"/>
      <c r="N92" s="7"/>
      <c r="O92" s="7"/>
      <c r="P92" s="7"/>
      <c r="Q92" s="7"/>
      <c r="R92" s="7"/>
    </row>
    <row r="93" spans="1:18" s="62" customFormat="1">
      <c r="A93" s="89" t="s">
        <v>1999</v>
      </c>
      <c r="B93" s="368" t="s">
        <v>3738</v>
      </c>
      <c r="C93" s="72"/>
      <c r="D93" s="73"/>
      <c r="E93" s="74"/>
      <c r="F93" s="75"/>
      <c r="M93" s="7"/>
      <c r="N93" s="7"/>
      <c r="O93" s="7"/>
      <c r="P93" s="7"/>
      <c r="Q93" s="7"/>
      <c r="R93" s="7"/>
    </row>
    <row r="94" spans="1:18" s="62" customFormat="1" ht="345">
      <c r="A94" s="89"/>
      <c r="B94" s="369" t="s">
        <v>3737</v>
      </c>
      <c r="C94" s="72"/>
      <c r="D94" s="73"/>
      <c r="E94" s="74"/>
      <c r="F94" s="75"/>
      <c r="M94" s="7"/>
      <c r="N94" s="7"/>
      <c r="O94" s="7"/>
      <c r="P94" s="7"/>
      <c r="Q94" s="7"/>
      <c r="R94" s="7"/>
    </row>
    <row r="95" spans="1:18" s="62" customFormat="1">
      <c r="A95" s="89" t="s">
        <v>48</v>
      </c>
      <c r="B95" s="95" t="s">
        <v>3739</v>
      </c>
      <c r="C95" s="72" t="s">
        <v>649</v>
      </c>
      <c r="D95" s="92">
        <v>1</v>
      </c>
      <c r="E95" s="74">
        <v>5540</v>
      </c>
      <c r="F95" s="93">
        <f>IF(OR(OR(E95=0,E95=" "),OR(D95=0,D95=" "))," ",D95*E95)</f>
        <v>5540</v>
      </c>
      <c r="M95" s="7"/>
      <c r="N95" s="7"/>
      <c r="O95" s="7"/>
      <c r="P95" s="7"/>
      <c r="Q95" s="7"/>
      <c r="R95" s="7"/>
    </row>
    <row r="96" spans="1:18" s="62" customFormat="1">
      <c r="A96" s="87"/>
      <c r="B96" s="88"/>
      <c r="C96" s="72"/>
      <c r="D96" s="92"/>
      <c r="E96" s="74"/>
      <c r="F96" s="93"/>
      <c r="M96" s="7"/>
      <c r="N96" s="7"/>
      <c r="O96" s="7"/>
      <c r="P96" s="7"/>
      <c r="Q96" s="7"/>
      <c r="R96" s="7"/>
    </row>
    <row r="97" spans="1:18" s="62" customFormat="1">
      <c r="A97" s="89" t="s">
        <v>2000</v>
      </c>
      <c r="B97" s="368" t="s">
        <v>3740</v>
      </c>
      <c r="C97" s="72"/>
      <c r="D97" s="73"/>
      <c r="E97" s="74"/>
      <c r="F97" s="75"/>
      <c r="M97" s="7"/>
      <c r="N97" s="7"/>
      <c r="O97" s="7"/>
      <c r="P97" s="7"/>
      <c r="Q97" s="7"/>
      <c r="R97" s="7"/>
    </row>
    <row r="98" spans="1:18" s="62" customFormat="1" ht="124.2">
      <c r="A98" s="89"/>
      <c r="B98" s="369" t="s">
        <v>3741</v>
      </c>
      <c r="C98" s="72"/>
      <c r="D98" s="73"/>
      <c r="E98" s="74"/>
      <c r="F98" s="75"/>
      <c r="M98" s="7"/>
      <c r="N98" s="7"/>
      <c r="O98" s="7"/>
      <c r="P98" s="7"/>
      <c r="Q98" s="7"/>
      <c r="R98" s="7"/>
    </row>
    <row r="99" spans="1:18" s="62" customFormat="1">
      <c r="A99" s="89" t="s">
        <v>48</v>
      </c>
      <c r="B99" s="95" t="s">
        <v>4853</v>
      </c>
      <c r="C99" s="72" t="s">
        <v>649</v>
      </c>
      <c r="D99" s="92">
        <v>1</v>
      </c>
      <c r="E99" s="74">
        <v>2000</v>
      </c>
      <c r="F99" s="93">
        <f>IF(OR(OR(E99=0,E99=" "),OR(D99=0,D99=" "))," ",D99*E99)</f>
        <v>2000</v>
      </c>
      <c r="M99" s="7"/>
      <c r="N99" s="7"/>
      <c r="O99" s="7"/>
      <c r="P99" s="7"/>
      <c r="Q99" s="7"/>
      <c r="R99" s="7"/>
    </row>
    <row r="100" spans="1:18" s="62" customFormat="1">
      <c r="A100" s="87"/>
      <c r="B100" s="88"/>
      <c r="C100" s="72"/>
      <c r="D100" s="92"/>
      <c r="E100" s="74"/>
      <c r="F100" s="93"/>
      <c r="M100" s="7"/>
      <c r="N100" s="7"/>
      <c r="O100" s="7"/>
      <c r="P100" s="7"/>
      <c r="Q100" s="7"/>
      <c r="R100" s="7"/>
    </row>
    <row r="101" spans="1:18" s="62" customFormat="1">
      <c r="A101" s="89" t="s">
        <v>2001</v>
      </c>
      <c r="B101" s="368" t="s">
        <v>3749</v>
      </c>
      <c r="C101" s="856" t="s">
        <v>267</v>
      </c>
      <c r="D101" s="857" t="s">
        <v>267</v>
      </c>
      <c r="E101" s="857"/>
      <c r="F101" s="858" t="s">
        <v>267</v>
      </c>
      <c r="M101" s="7"/>
      <c r="N101" s="7"/>
      <c r="O101" s="7"/>
      <c r="P101" s="7"/>
      <c r="Q101" s="7"/>
      <c r="R101" s="7"/>
    </row>
    <row r="102" spans="1:18" s="62" customFormat="1" ht="69">
      <c r="A102" s="89"/>
      <c r="B102" s="369" t="s">
        <v>4852</v>
      </c>
      <c r="C102" s="72"/>
      <c r="D102" s="73"/>
      <c r="E102" s="74"/>
      <c r="F102" s="75"/>
      <c r="G102" s="387"/>
      <c r="M102" s="7"/>
      <c r="N102" s="7"/>
      <c r="O102" s="7"/>
      <c r="P102" s="7"/>
      <c r="Q102" s="7"/>
      <c r="R102" s="7"/>
    </row>
    <row r="103" spans="1:18" s="62" customFormat="1">
      <c r="A103" s="87"/>
      <c r="B103" s="88"/>
      <c r="C103" s="72"/>
      <c r="D103" s="92"/>
      <c r="E103" s="74"/>
      <c r="F103" s="93"/>
      <c r="M103" s="7"/>
      <c r="N103" s="7"/>
      <c r="O103" s="7"/>
      <c r="P103" s="7"/>
      <c r="Q103" s="7"/>
      <c r="R103" s="7"/>
    </row>
    <row r="104" spans="1:18" s="62" customFormat="1">
      <c r="A104" s="89" t="s">
        <v>2002</v>
      </c>
      <c r="B104" s="368" t="s">
        <v>3742</v>
      </c>
      <c r="C104" s="72"/>
      <c r="D104" s="73"/>
      <c r="E104" s="74"/>
      <c r="F104" s="75"/>
      <c r="M104" s="7"/>
      <c r="N104" s="7"/>
      <c r="O104" s="7"/>
      <c r="P104" s="7"/>
      <c r="Q104" s="7"/>
      <c r="R104" s="7"/>
    </row>
    <row r="105" spans="1:18" s="62" customFormat="1" ht="386.4">
      <c r="A105" s="89"/>
      <c r="B105" s="369" t="s">
        <v>3743</v>
      </c>
      <c r="C105" s="72"/>
      <c r="D105" s="73"/>
      <c r="E105" s="74"/>
      <c r="F105" s="75"/>
      <c r="M105" s="7"/>
      <c r="N105" s="7"/>
      <c r="O105" s="7"/>
      <c r="P105" s="7"/>
      <c r="Q105" s="7"/>
      <c r="R105" s="7"/>
    </row>
    <row r="106" spans="1:18" s="62" customFormat="1" ht="27.6">
      <c r="A106" s="89" t="s">
        <v>48</v>
      </c>
      <c r="B106" s="95" t="s">
        <v>3744</v>
      </c>
      <c r="C106" s="72" t="s">
        <v>649</v>
      </c>
      <c r="D106" s="92">
        <v>1</v>
      </c>
      <c r="E106" s="74">
        <v>9700</v>
      </c>
      <c r="F106" s="93">
        <f>IF(OR(OR(E106=0,E106=" "),OR(D106=0,D106=" "))," ",D106*E106)</f>
        <v>9700</v>
      </c>
      <c r="M106" s="7"/>
      <c r="N106" s="7"/>
      <c r="O106" s="7"/>
      <c r="P106" s="7"/>
      <c r="Q106" s="7"/>
      <c r="R106" s="7"/>
    </row>
    <row r="107" spans="1:18" s="62" customFormat="1">
      <c r="A107" s="87"/>
      <c r="B107" s="88"/>
      <c r="C107" s="72"/>
      <c r="D107" s="92"/>
      <c r="E107" s="74"/>
      <c r="F107" s="93"/>
      <c r="M107" s="7"/>
      <c r="N107" s="7"/>
      <c r="O107" s="7"/>
      <c r="P107" s="7"/>
      <c r="Q107" s="7"/>
      <c r="R107" s="7"/>
    </row>
    <row r="108" spans="1:18" s="62" customFormat="1">
      <c r="A108" s="89" t="s">
        <v>2003</v>
      </c>
      <c r="B108" s="368" t="s">
        <v>2024</v>
      </c>
      <c r="C108" s="72"/>
      <c r="D108" s="73"/>
      <c r="E108" s="74"/>
      <c r="F108" s="75"/>
      <c r="M108" s="7"/>
      <c r="N108" s="7"/>
      <c r="O108" s="7"/>
      <c r="P108" s="7"/>
      <c r="Q108" s="7"/>
      <c r="R108" s="7"/>
    </row>
    <row r="109" spans="1:18" s="62" customFormat="1">
      <c r="A109" s="89"/>
      <c r="B109" s="369" t="s">
        <v>3746</v>
      </c>
      <c r="C109" s="72"/>
      <c r="D109" s="73"/>
      <c r="E109" s="74"/>
      <c r="F109" s="75"/>
      <c r="M109" s="7"/>
      <c r="N109" s="7"/>
      <c r="O109" s="7"/>
      <c r="P109" s="7"/>
      <c r="Q109" s="7"/>
      <c r="R109" s="7"/>
    </row>
    <row r="110" spans="1:18" s="62" customFormat="1">
      <c r="A110" s="89" t="s">
        <v>48</v>
      </c>
      <c r="B110" s="95" t="s">
        <v>3745</v>
      </c>
      <c r="C110" s="72" t="s">
        <v>649</v>
      </c>
      <c r="D110" s="92">
        <v>1</v>
      </c>
      <c r="E110" s="74">
        <v>510</v>
      </c>
      <c r="F110" s="93">
        <f>IF(OR(OR(E110=0,E110=" "),OR(D110=0,D110=" "))," ",D110*E110)</f>
        <v>510</v>
      </c>
      <c r="M110" s="7"/>
      <c r="N110" s="7"/>
      <c r="O110" s="7"/>
      <c r="P110" s="7"/>
      <c r="Q110" s="7"/>
      <c r="R110" s="7"/>
    </row>
    <row r="111" spans="1:18" s="62" customFormat="1">
      <c r="A111" s="87"/>
      <c r="B111" s="88"/>
      <c r="C111" s="72"/>
      <c r="D111" s="92"/>
      <c r="E111" s="74"/>
      <c r="F111" s="93"/>
      <c r="M111" s="7"/>
      <c r="N111" s="7"/>
      <c r="O111" s="7"/>
      <c r="P111" s="7"/>
      <c r="Q111" s="7"/>
      <c r="R111" s="7"/>
    </row>
    <row r="112" spans="1:18" s="62" customFormat="1">
      <c r="A112" s="89" t="s">
        <v>2004</v>
      </c>
      <c r="B112" s="368" t="s">
        <v>2013</v>
      </c>
      <c r="C112" s="72"/>
      <c r="D112" s="73"/>
      <c r="E112" s="74"/>
      <c r="F112" s="75"/>
      <c r="M112" s="7"/>
      <c r="N112" s="7"/>
      <c r="O112" s="7"/>
      <c r="P112" s="7"/>
      <c r="Q112" s="7"/>
      <c r="R112" s="7"/>
    </row>
    <row r="113" spans="1:18" s="62" customFormat="1" ht="69">
      <c r="A113" s="89"/>
      <c r="B113" s="369" t="s">
        <v>3747</v>
      </c>
      <c r="C113" s="72"/>
      <c r="D113" s="73"/>
      <c r="E113" s="74"/>
      <c r="F113" s="75"/>
      <c r="M113" s="7"/>
      <c r="N113" s="7"/>
      <c r="O113" s="7"/>
      <c r="P113" s="7"/>
      <c r="Q113" s="7"/>
      <c r="R113" s="7"/>
    </row>
    <row r="114" spans="1:18" s="62" customFormat="1" ht="27.6">
      <c r="A114" s="89" t="s">
        <v>48</v>
      </c>
      <c r="B114" s="95" t="s">
        <v>3748</v>
      </c>
      <c r="C114" s="72" t="s">
        <v>649</v>
      </c>
      <c r="D114" s="92">
        <v>1</v>
      </c>
      <c r="E114" s="74">
        <v>510</v>
      </c>
      <c r="F114" s="93">
        <f>IF(OR(OR(E114=0,E114=" "),OR(D114=0,D114=" "))," ",D114*E114)</f>
        <v>510</v>
      </c>
      <c r="M114" s="7"/>
      <c r="N114" s="7"/>
      <c r="O114" s="7"/>
      <c r="P114" s="7"/>
      <c r="Q114" s="7"/>
      <c r="R114" s="7"/>
    </row>
    <row r="115" spans="1:18" s="62" customFormat="1">
      <c r="A115" s="87"/>
      <c r="B115" s="88"/>
      <c r="C115" s="72"/>
      <c r="D115" s="92"/>
      <c r="E115" s="74"/>
      <c r="F115" s="93"/>
      <c r="M115" s="7"/>
      <c r="N115" s="7"/>
      <c r="O115" s="7"/>
      <c r="P115" s="7"/>
      <c r="Q115" s="7"/>
      <c r="R115" s="7"/>
    </row>
    <row r="116" spans="1:18" s="62" customFormat="1">
      <c r="A116" s="89" t="s">
        <v>2005</v>
      </c>
      <c r="B116" s="368" t="s">
        <v>3749</v>
      </c>
      <c r="C116" s="856" t="s">
        <v>267</v>
      </c>
      <c r="D116" s="857" t="s">
        <v>267</v>
      </c>
      <c r="E116" s="857"/>
      <c r="F116" s="858" t="s">
        <v>267</v>
      </c>
      <c r="M116" s="7"/>
      <c r="N116" s="7"/>
      <c r="O116" s="7"/>
      <c r="P116" s="7"/>
      <c r="Q116" s="7"/>
      <c r="R116" s="7"/>
    </row>
    <row r="117" spans="1:18" s="62" customFormat="1" ht="55.2">
      <c r="A117" s="89"/>
      <c r="B117" s="369" t="s">
        <v>4865</v>
      </c>
      <c r="C117" s="72"/>
      <c r="D117" s="73"/>
      <c r="E117" s="74"/>
      <c r="F117" s="75"/>
      <c r="G117" s="387"/>
      <c r="M117" s="7"/>
      <c r="N117" s="7"/>
      <c r="O117" s="7"/>
      <c r="P117" s="7"/>
      <c r="Q117" s="7"/>
      <c r="R117" s="7"/>
    </row>
    <row r="118" spans="1:18" s="62" customFormat="1">
      <c r="A118" s="87"/>
      <c r="B118" s="88"/>
      <c r="C118" s="72"/>
      <c r="D118" s="92"/>
      <c r="E118" s="74"/>
      <c r="F118" s="93"/>
      <c r="M118" s="7"/>
      <c r="N118" s="7"/>
      <c r="O118" s="7"/>
      <c r="P118" s="7"/>
      <c r="Q118" s="7"/>
      <c r="R118" s="7"/>
    </row>
    <row r="119" spans="1:18" s="62" customFormat="1">
      <c r="A119" s="89" t="s">
        <v>2006</v>
      </c>
      <c r="B119" s="368" t="s">
        <v>3709</v>
      </c>
      <c r="C119" s="72"/>
      <c r="D119" s="73"/>
      <c r="E119" s="74"/>
      <c r="F119" s="75"/>
      <c r="M119" s="7"/>
      <c r="N119" s="7"/>
      <c r="O119" s="7"/>
      <c r="P119" s="7"/>
      <c r="Q119" s="7"/>
      <c r="R119" s="7"/>
    </row>
    <row r="120" spans="1:18" s="62" customFormat="1" ht="262.2">
      <c r="A120" s="89"/>
      <c r="B120" s="369" t="s">
        <v>3751</v>
      </c>
      <c r="C120" s="72"/>
      <c r="D120" s="73"/>
      <c r="E120" s="74"/>
      <c r="F120" s="75"/>
      <c r="M120" s="7"/>
      <c r="N120" s="7"/>
      <c r="O120" s="7"/>
      <c r="P120" s="7"/>
      <c r="Q120" s="7"/>
      <c r="R120" s="7"/>
    </row>
    <row r="121" spans="1:18" s="62" customFormat="1">
      <c r="A121" s="89" t="s">
        <v>48</v>
      </c>
      <c r="B121" s="95" t="s">
        <v>3750</v>
      </c>
      <c r="C121" s="72" t="s">
        <v>649</v>
      </c>
      <c r="D121" s="92">
        <v>1</v>
      </c>
      <c r="E121" s="74">
        <v>1900</v>
      </c>
      <c r="F121" s="93">
        <f>IF(OR(OR(E121=0,E121=" "),OR(D121=0,D121=" "))," ",D121*E121)</f>
        <v>1900</v>
      </c>
      <c r="M121" s="7"/>
      <c r="N121" s="7"/>
      <c r="O121" s="7"/>
      <c r="P121" s="7"/>
      <c r="Q121" s="7"/>
      <c r="R121" s="7"/>
    </row>
    <row r="122" spans="1:18" s="62" customFormat="1">
      <c r="A122" s="87"/>
      <c r="B122" s="88"/>
      <c r="C122" s="72"/>
      <c r="D122" s="92"/>
      <c r="E122" s="74"/>
      <c r="F122" s="93"/>
      <c r="M122" s="7"/>
      <c r="N122" s="7"/>
      <c r="O122" s="7"/>
      <c r="P122" s="7"/>
      <c r="Q122" s="7"/>
      <c r="R122" s="7"/>
    </row>
    <row r="123" spans="1:18" s="62" customFormat="1">
      <c r="A123" s="89" t="s">
        <v>2007</v>
      </c>
      <c r="B123" s="368" t="s">
        <v>1978</v>
      </c>
      <c r="C123" s="72"/>
      <c r="D123" s="73"/>
      <c r="E123" s="74"/>
      <c r="F123" s="75"/>
      <c r="M123" s="7"/>
      <c r="N123" s="7"/>
      <c r="O123" s="7"/>
      <c r="P123" s="7"/>
      <c r="Q123" s="7"/>
      <c r="R123" s="7"/>
    </row>
    <row r="124" spans="1:18" s="62" customFormat="1" ht="96.6">
      <c r="A124" s="89"/>
      <c r="B124" s="369" t="s">
        <v>3722</v>
      </c>
      <c r="C124" s="72"/>
      <c r="D124" s="73"/>
      <c r="E124" s="74"/>
      <c r="F124" s="75"/>
      <c r="M124" s="7"/>
      <c r="N124" s="7"/>
      <c r="O124" s="7"/>
      <c r="P124" s="7"/>
      <c r="Q124" s="7"/>
      <c r="R124" s="7"/>
    </row>
    <row r="125" spans="1:18" s="62" customFormat="1">
      <c r="A125" s="89" t="s">
        <v>48</v>
      </c>
      <c r="B125" s="95" t="s">
        <v>3752</v>
      </c>
      <c r="C125" s="72" t="s">
        <v>649</v>
      </c>
      <c r="D125" s="92">
        <v>1</v>
      </c>
      <c r="E125" s="74">
        <v>930</v>
      </c>
      <c r="F125" s="93">
        <f>IF(OR(OR(E125=0,E125=" "),OR(D125=0,D125=" "))," ",D125*E125)</f>
        <v>930</v>
      </c>
      <c r="M125" s="7"/>
      <c r="N125" s="7"/>
      <c r="O125" s="7"/>
      <c r="P125" s="7"/>
      <c r="Q125" s="7"/>
      <c r="R125" s="7"/>
    </row>
    <row r="126" spans="1:18" s="62" customFormat="1">
      <c r="A126" s="87"/>
      <c r="B126" s="88"/>
      <c r="C126" s="72"/>
      <c r="D126" s="92"/>
      <c r="E126" s="74"/>
      <c r="F126" s="93"/>
      <c r="M126" s="7"/>
      <c r="N126" s="7"/>
      <c r="O126" s="7"/>
      <c r="P126" s="7"/>
      <c r="Q126" s="7"/>
      <c r="R126" s="7"/>
    </row>
    <row r="127" spans="1:18" s="62" customFormat="1">
      <c r="A127" s="89" t="s">
        <v>2008</v>
      </c>
      <c r="B127" s="368" t="s">
        <v>3753</v>
      </c>
      <c r="C127" s="72"/>
      <c r="D127" s="73"/>
      <c r="E127" s="74"/>
      <c r="F127" s="75"/>
      <c r="M127" s="7"/>
      <c r="N127" s="7"/>
      <c r="O127" s="7"/>
      <c r="P127" s="7"/>
      <c r="Q127" s="7"/>
      <c r="R127" s="7"/>
    </row>
    <row r="128" spans="1:18" s="62" customFormat="1" ht="96.6">
      <c r="A128" s="89"/>
      <c r="B128" s="369" t="s">
        <v>3754</v>
      </c>
      <c r="C128" s="72"/>
      <c r="D128" s="73"/>
      <c r="E128" s="74"/>
      <c r="F128" s="75"/>
      <c r="M128" s="7"/>
      <c r="N128" s="7"/>
      <c r="O128" s="7"/>
      <c r="P128" s="7"/>
      <c r="Q128" s="7"/>
      <c r="R128" s="7"/>
    </row>
    <row r="129" spans="1:18" s="62" customFormat="1">
      <c r="A129" s="89" t="s">
        <v>48</v>
      </c>
      <c r="B129" s="95" t="s">
        <v>1989</v>
      </c>
      <c r="C129" s="72" t="s">
        <v>649</v>
      </c>
      <c r="D129" s="92">
        <v>2</v>
      </c>
      <c r="E129" s="74">
        <v>550</v>
      </c>
      <c r="F129" s="93">
        <f>IF(OR(OR(E129=0,E129=" "),OR(D129=0,D129=" "))," ",D129*E129)</f>
        <v>1100</v>
      </c>
      <c r="M129" s="7"/>
      <c r="N129" s="7"/>
      <c r="O129" s="7"/>
      <c r="P129" s="7"/>
      <c r="Q129" s="7"/>
      <c r="R129" s="7"/>
    </row>
    <row r="130" spans="1:18" s="62" customFormat="1">
      <c r="A130" s="87"/>
      <c r="B130" s="88"/>
      <c r="C130" s="72"/>
      <c r="D130" s="92"/>
      <c r="E130" s="74"/>
      <c r="F130" s="93"/>
      <c r="M130" s="7"/>
      <c r="N130" s="7"/>
      <c r="O130" s="7"/>
      <c r="P130" s="7"/>
      <c r="Q130" s="7"/>
      <c r="R130" s="7"/>
    </row>
    <row r="131" spans="1:18" s="62" customFormat="1">
      <c r="A131" s="89" t="s">
        <v>2009</v>
      </c>
      <c r="B131" s="368" t="s">
        <v>3755</v>
      </c>
      <c r="C131" s="72"/>
      <c r="D131" s="73"/>
      <c r="E131" s="74"/>
      <c r="F131" s="75"/>
      <c r="M131" s="7"/>
      <c r="N131" s="7"/>
      <c r="O131" s="7"/>
      <c r="P131" s="7"/>
      <c r="Q131" s="7"/>
      <c r="R131" s="7"/>
    </row>
    <row r="132" spans="1:18" s="62" customFormat="1" ht="82.8">
      <c r="A132" s="89"/>
      <c r="B132" s="369" t="s">
        <v>3757</v>
      </c>
      <c r="C132" s="72"/>
      <c r="D132" s="73"/>
      <c r="E132" s="74"/>
      <c r="F132" s="75"/>
      <c r="M132" s="7"/>
      <c r="N132" s="7"/>
      <c r="O132" s="7"/>
      <c r="P132" s="7"/>
      <c r="Q132" s="7"/>
      <c r="R132" s="7"/>
    </row>
    <row r="133" spans="1:18" s="62" customFormat="1" ht="27.6">
      <c r="A133" s="89" t="s">
        <v>48</v>
      </c>
      <c r="B133" s="95" t="s">
        <v>3756</v>
      </c>
      <c r="C133" s="72" t="s">
        <v>649</v>
      </c>
      <c r="D133" s="92">
        <v>1</v>
      </c>
      <c r="E133" s="74">
        <v>3920</v>
      </c>
      <c r="F133" s="93">
        <f>IF(OR(OR(E133=0,E133=" "),OR(D133=0,D133=" "))," ",D133*E133)</f>
        <v>3920</v>
      </c>
      <c r="M133" s="7"/>
      <c r="N133" s="7"/>
      <c r="O133" s="7"/>
      <c r="P133" s="7"/>
      <c r="Q133" s="7"/>
      <c r="R133" s="7"/>
    </row>
    <row r="134" spans="1:18" s="62" customFormat="1">
      <c r="A134" s="87"/>
      <c r="B134" s="88"/>
      <c r="C134" s="72"/>
      <c r="D134" s="92"/>
      <c r="E134" s="74"/>
      <c r="F134" s="93"/>
      <c r="M134" s="7"/>
      <c r="N134" s="7"/>
      <c r="O134" s="7"/>
      <c r="P134" s="7"/>
      <c r="Q134" s="7"/>
      <c r="R134" s="7"/>
    </row>
    <row r="135" spans="1:18" s="62" customFormat="1">
      <c r="A135" s="89" t="s">
        <v>2010</v>
      </c>
      <c r="B135" s="368" t="s">
        <v>3759</v>
      </c>
      <c r="C135" s="72"/>
      <c r="D135" s="73"/>
      <c r="E135" s="74"/>
      <c r="F135" s="75"/>
      <c r="M135" s="7"/>
      <c r="N135" s="7"/>
      <c r="O135" s="7"/>
      <c r="P135" s="7"/>
      <c r="Q135" s="7"/>
      <c r="R135" s="7"/>
    </row>
    <row r="136" spans="1:18" s="62" customFormat="1" ht="110.4">
      <c r="A136" s="89"/>
      <c r="B136" s="369" t="s">
        <v>3758</v>
      </c>
      <c r="C136" s="72"/>
      <c r="D136" s="73"/>
      <c r="E136" s="74"/>
      <c r="F136" s="75"/>
      <c r="M136" s="7"/>
      <c r="N136" s="7"/>
      <c r="O136" s="7"/>
      <c r="P136" s="7"/>
      <c r="Q136" s="7"/>
      <c r="R136" s="7"/>
    </row>
    <row r="137" spans="1:18" s="62" customFormat="1">
      <c r="A137" s="89" t="s">
        <v>48</v>
      </c>
      <c r="B137" s="95" t="s">
        <v>3760</v>
      </c>
      <c r="C137" s="72" t="s">
        <v>649</v>
      </c>
      <c r="D137" s="92">
        <v>1</v>
      </c>
      <c r="E137" s="74">
        <v>910</v>
      </c>
      <c r="F137" s="93">
        <f>IF(OR(OR(E137=0,E137=" "),OR(D137=0,D137=" "))," ",D137*E137)</f>
        <v>910</v>
      </c>
      <c r="M137" s="7"/>
      <c r="N137" s="7"/>
      <c r="O137" s="7"/>
      <c r="P137" s="7"/>
      <c r="Q137" s="7"/>
      <c r="R137" s="7"/>
    </row>
    <row r="138" spans="1:18" s="62" customFormat="1">
      <c r="A138" s="87"/>
      <c r="B138" s="88"/>
      <c r="C138" s="72"/>
      <c r="D138" s="92"/>
      <c r="E138" s="74"/>
      <c r="F138" s="93"/>
      <c r="M138" s="7"/>
      <c r="N138" s="7"/>
      <c r="O138" s="7"/>
      <c r="P138" s="7"/>
      <c r="Q138" s="7"/>
      <c r="R138" s="7"/>
    </row>
    <row r="139" spans="1:18" s="62" customFormat="1">
      <c r="A139" s="89" t="s">
        <v>2011</v>
      </c>
      <c r="B139" s="368" t="s">
        <v>2028</v>
      </c>
      <c r="C139" s="72"/>
      <c r="D139" s="73"/>
      <c r="E139" s="74"/>
      <c r="F139" s="75"/>
      <c r="M139" s="7"/>
      <c r="N139" s="7"/>
      <c r="O139" s="7"/>
      <c r="P139" s="7"/>
      <c r="Q139" s="7"/>
      <c r="R139" s="7"/>
    </row>
    <row r="140" spans="1:18" s="62" customFormat="1" ht="193.2">
      <c r="A140" s="89"/>
      <c r="B140" s="369" t="s">
        <v>3761</v>
      </c>
      <c r="C140" s="72"/>
      <c r="D140" s="73"/>
      <c r="E140" s="74"/>
      <c r="F140" s="75"/>
      <c r="M140" s="7"/>
      <c r="N140" s="7"/>
      <c r="O140" s="7"/>
      <c r="P140" s="7"/>
      <c r="Q140" s="7"/>
      <c r="R140" s="7"/>
    </row>
    <row r="141" spans="1:18" s="62" customFormat="1">
      <c r="A141" s="89" t="s">
        <v>48</v>
      </c>
      <c r="B141" s="95" t="s">
        <v>3762</v>
      </c>
      <c r="C141" s="72" t="s">
        <v>649</v>
      </c>
      <c r="D141" s="92">
        <v>1</v>
      </c>
      <c r="E141" s="74">
        <v>920</v>
      </c>
      <c r="F141" s="93">
        <f>IF(OR(OR(E141=0,E141=" "),OR(D141=0,D141=" "))," ",D141*E141)</f>
        <v>920</v>
      </c>
      <c r="M141" s="7"/>
      <c r="N141" s="7"/>
      <c r="O141" s="7"/>
      <c r="P141" s="7"/>
      <c r="Q141" s="7"/>
      <c r="R141" s="7"/>
    </row>
    <row r="142" spans="1:18" s="62" customFormat="1">
      <c r="A142" s="89" t="s">
        <v>2012</v>
      </c>
      <c r="B142" s="368" t="s">
        <v>2020</v>
      </c>
      <c r="C142" s="72"/>
      <c r="D142" s="73"/>
      <c r="E142" s="74"/>
      <c r="F142" s="75"/>
      <c r="M142" s="7"/>
      <c r="N142" s="7"/>
      <c r="O142" s="7"/>
      <c r="P142" s="7"/>
      <c r="Q142" s="7"/>
      <c r="R142" s="7"/>
    </row>
    <row r="143" spans="1:18" s="62" customFormat="1" ht="82.8">
      <c r="A143" s="89"/>
      <c r="B143" s="369" t="s">
        <v>3763</v>
      </c>
      <c r="C143" s="72"/>
      <c r="D143" s="73"/>
      <c r="E143" s="74"/>
      <c r="F143" s="75"/>
      <c r="M143" s="7"/>
      <c r="N143" s="7"/>
      <c r="O143" s="7"/>
      <c r="P143" s="7"/>
      <c r="Q143" s="7"/>
      <c r="R143" s="7"/>
    </row>
    <row r="144" spans="1:18" s="62" customFormat="1" ht="27.6">
      <c r="A144" s="89" t="s">
        <v>48</v>
      </c>
      <c r="B144" s="95" t="s">
        <v>3764</v>
      </c>
      <c r="C144" s="72" t="s">
        <v>649</v>
      </c>
      <c r="D144" s="92">
        <v>1</v>
      </c>
      <c r="E144" s="74">
        <v>330</v>
      </c>
      <c r="F144" s="93">
        <f>IF(OR(OR(E144=0,E144=" "),OR(D144=0,D144=" "))," ",D144*E144)</f>
        <v>330</v>
      </c>
      <c r="M144" s="7"/>
      <c r="N144" s="7"/>
      <c r="O144" s="7"/>
      <c r="P144" s="7"/>
      <c r="Q144" s="7"/>
      <c r="R144" s="7"/>
    </row>
    <row r="145" spans="1:18" s="62" customFormat="1">
      <c r="A145" s="87"/>
      <c r="B145" s="88"/>
      <c r="C145" s="72"/>
      <c r="D145" s="92"/>
      <c r="E145" s="74"/>
      <c r="F145" s="93"/>
      <c r="M145" s="7"/>
      <c r="N145" s="7"/>
      <c r="O145" s="7"/>
      <c r="P145" s="7"/>
      <c r="Q145" s="7"/>
      <c r="R145" s="7"/>
    </row>
    <row r="146" spans="1:18" s="62" customFormat="1">
      <c r="A146" s="89" t="s">
        <v>2014</v>
      </c>
      <c r="B146" s="368" t="s">
        <v>1985</v>
      </c>
      <c r="C146" s="72"/>
      <c r="D146" s="73"/>
      <c r="E146" s="74"/>
      <c r="F146" s="75"/>
      <c r="M146" s="7"/>
      <c r="N146" s="7"/>
      <c r="O146" s="7"/>
      <c r="P146" s="7"/>
      <c r="Q146" s="7"/>
      <c r="R146" s="7"/>
    </row>
    <row r="147" spans="1:18" s="62" customFormat="1" ht="82.8">
      <c r="A147" s="89"/>
      <c r="B147" s="369" t="s">
        <v>1984</v>
      </c>
      <c r="C147" s="72"/>
      <c r="D147" s="73"/>
      <c r="E147" s="74"/>
      <c r="F147" s="75"/>
      <c r="M147" s="7"/>
      <c r="N147" s="7"/>
      <c r="O147" s="7"/>
      <c r="P147" s="7"/>
      <c r="Q147" s="7"/>
      <c r="R147" s="7"/>
    </row>
    <row r="148" spans="1:18" s="62" customFormat="1">
      <c r="A148" s="89" t="s">
        <v>48</v>
      </c>
      <c r="B148" s="95" t="s">
        <v>1986</v>
      </c>
      <c r="C148" s="72" t="s">
        <v>649</v>
      </c>
      <c r="D148" s="92">
        <v>1</v>
      </c>
      <c r="E148" s="74">
        <v>290</v>
      </c>
      <c r="F148" s="93">
        <f>IF(OR(OR(E148=0,E148=" "),OR(D148=0,D148=" "))," ",D148*E148)</f>
        <v>290</v>
      </c>
      <c r="M148" s="7"/>
      <c r="N148" s="7"/>
      <c r="O148" s="7"/>
      <c r="P148" s="7"/>
      <c r="Q148" s="7"/>
      <c r="R148" s="7"/>
    </row>
    <row r="149" spans="1:18" s="62" customFormat="1">
      <c r="A149" s="87"/>
      <c r="B149" s="88"/>
      <c r="C149" s="72"/>
      <c r="D149" s="92"/>
      <c r="E149" s="74"/>
      <c r="F149" s="93"/>
      <c r="M149" s="7"/>
      <c r="N149" s="7"/>
      <c r="O149" s="7"/>
      <c r="P149" s="7"/>
      <c r="Q149" s="7"/>
      <c r="R149" s="7"/>
    </row>
    <row r="150" spans="1:18" s="62" customFormat="1">
      <c r="A150" s="89" t="s">
        <v>2015</v>
      </c>
      <c r="B150" s="368" t="s">
        <v>1978</v>
      </c>
      <c r="C150" s="72"/>
      <c r="D150" s="73"/>
      <c r="E150" s="74"/>
      <c r="F150" s="75"/>
      <c r="M150" s="7"/>
      <c r="N150" s="7"/>
      <c r="O150" s="7"/>
      <c r="P150" s="7"/>
      <c r="Q150" s="7"/>
      <c r="R150" s="7"/>
    </row>
    <row r="151" spans="1:18" s="62" customFormat="1" ht="82.8">
      <c r="A151" s="89"/>
      <c r="B151" s="369" t="s">
        <v>1979</v>
      </c>
      <c r="C151" s="72"/>
      <c r="D151" s="73"/>
      <c r="E151" s="74"/>
      <c r="F151" s="75"/>
      <c r="M151" s="7"/>
      <c r="N151" s="7"/>
      <c r="O151" s="7"/>
      <c r="P151" s="7"/>
      <c r="Q151" s="7"/>
      <c r="R151" s="7"/>
    </row>
    <row r="152" spans="1:18" s="62" customFormat="1">
      <c r="A152" s="89" t="s">
        <v>48</v>
      </c>
      <c r="B152" s="95" t="s">
        <v>3765</v>
      </c>
      <c r="C152" s="72" t="s">
        <v>649</v>
      </c>
      <c r="D152" s="92">
        <v>1</v>
      </c>
      <c r="E152" s="74">
        <v>370</v>
      </c>
      <c r="F152" s="93">
        <f>IF(OR(OR(E152=0,E152=" "),OR(D152=0,D152=" "))," ",D152*E152)</f>
        <v>370</v>
      </c>
      <c r="M152" s="7"/>
      <c r="N152" s="7"/>
      <c r="O152" s="7"/>
      <c r="P152" s="7"/>
      <c r="Q152" s="7"/>
      <c r="R152" s="7"/>
    </row>
    <row r="153" spans="1:18" s="62" customFormat="1">
      <c r="A153" s="87"/>
      <c r="B153" s="88"/>
      <c r="C153" s="72"/>
      <c r="D153" s="92"/>
      <c r="E153" s="74"/>
      <c r="F153" s="93"/>
      <c r="M153" s="7"/>
      <c r="N153" s="7"/>
      <c r="O153" s="7"/>
      <c r="P153" s="7"/>
      <c r="Q153" s="7"/>
      <c r="R153" s="7"/>
    </row>
    <row r="154" spans="1:18" s="62" customFormat="1">
      <c r="A154" s="89" t="s">
        <v>2016</v>
      </c>
      <c r="B154" s="368" t="s">
        <v>3767</v>
      </c>
      <c r="C154" s="72"/>
      <c r="D154" s="73"/>
      <c r="E154" s="74"/>
      <c r="F154" s="75"/>
      <c r="M154" s="7"/>
      <c r="N154" s="7"/>
      <c r="O154" s="7"/>
      <c r="P154" s="7"/>
      <c r="Q154" s="7"/>
      <c r="R154" s="7"/>
    </row>
    <row r="155" spans="1:18" s="62" customFormat="1" ht="110.4">
      <c r="A155" s="89"/>
      <c r="B155" s="369" t="s">
        <v>3766</v>
      </c>
      <c r="C155" s="72"/>
      <c r="D155" s="73"/>
      <c r="E155" s="74"/>
      <c r="F155" s="75"/>
      <c r="M155" s="7"/>
      <c r="N155" s="7"/>
      <c r="O155" s="7"/>
      <c r="P155" s="7"/>
      <c r="Q155" s="7"/>
      <c r="R155" s="7"/>
    </row>
    <row r="156" spans="1:18" s="62" customFormat="1">
      <c r="A156" s="89" t="s">
        <v>48</v>
      </c>
      <c r="B156" s="95" t="s">
        <v>3768</v>
      </c>
      <c r="C156" s="72" t="s">
        <v>649</v>
      </c>
      <c r="D156" s="92">
        <v>1</v>
      </c>
      <c r="E156" s="74">
        <v>1200</v>
      </c>
      <c r="F156" s="93">
        <f>IF(OR(OR(E156=0,E156=" "),OR(D156=0,D156=" "))," ",D156*E156)</f>
        <v>1200</v>
      </c>
      <c r="M156" s="7"/>
      <c r="N156" s="7"/>
      <c r="O156" s="7"/>
      <c r="P156" s="7"/>
      <c r="Q156" s="7"/>
      <c r="R156" s="7"/>
    </row>
    <row r="157" spans="1:18" s="62" customFormat="1">
      <c r="A157" s="87"/>
      <c r="B157" s="88"/>
      <c r="C157" s="72"/>
      <c r="D157" s="92"/>
      <c r="E157" s="74"/>
      <c r="F157" s="93"/>
      <c r="M157" s="7"/>
      <c r="N157" s="7"/>
      <c r="O157" s="7"/>
      <c r="P157" s="7"/>
      <c r="Q157" s="7"/>
      <c r="R157" s="7"/>
    </row>
    <row r="158" spans="1:18" s="62" customFormat="1">
      <c r="A158" s="89" t="s">
        <v>2018</v>
      </c>
      <c r="B158" s="368" t="s">
        <v>2022</v>
      </c>
      <c r="C158" s="72"/>
      <c r="D158" s="73"/>
      <c r="E158" s="74"/>
      <c r="F158" s="75"/>
      <c r="M158" s="7"/>
      <c r="N158" s="7"/>
      <c r="O158" s="7"/>
      <c r="P158" s="7"/>
      <c r="Q158" s="7"/>
      <c r="R158" s="7"/>
    </row>
    <row r="159" spans="1:18" s="62" customFormat="1" ht="96.6">
      <c r="A159" s="89"/>
      <c r="B159" s="369" t="s">
        <v>3769</v>
      </c>
      <c r="C159" s="72"/>
      <c r="D159" s="73"/>
      <c r="E159" s="74"/>
      <c r="F159" s="75"/>
      <c r="M159" s="7"/>
      <c r="N159" s="7"/>
      <c r="O159" s="7"/>
      <c r="P159" s="7"/>
      <c r="Q159" s="7"/>
      <c r="R159" s="7"/>
    </row>
    <row r="160" spans="1:18" s="62" customFormat="1" ht="27.6">
      <c r="A160" s="89" t="s">
        <v>48</v>
      </c>
      <c r="B160" s="95" t="s">
        <v>3770</v>
      </c>
      <c r="C160" s="72" t="s">
        <v>649</v>
      </c>
      <c r="D160" s="92">
        <v>1</v>
      </c>
      <c r="E160" s="74">
        <v>510</v>
      </c>
      <c r="F160" s="93">
        <f>IF(OR(OR(E160=0,E160=" "),OR(D160=0,D160=" "))," ",D160*E160)</f>
        <v>510</v>
      </c>
      <c r="M160" s="7"/>
      <c r="N160" s="7"/>
      <c r="O160" s="7"/>
      <c r="P160" s="7"/>
      <c r="Q160" s="7"/>
      <c r="R160" s="7"/>
    </row>
    <row r="161" spans="1:18" s="62" customFormat="1">
      <c r="A161" s="87"/>
      <c r="B161" s="88"/>
      <c r="C161" s="72"/>
      <c r="D161" s="92"/>
      <c r="E161" s="74"/>
      <c r="F161" s="93"/>
      <c r="M161" s="7"/>
      <c r="N161" s="7"/>
      <c r="O161" s="7"/>
      <c r="P161" s="7"/>
      <c r="Q161" s="7"/>
      <c r="R161" s="7"/>
    </row>
    <row r="162" spans="1:18" s="62" customFormat="1">
      <c r="A162" s="89" t="s">
        <v>2019</v>
      </c>
      <c r="B162" s="368" t="s">
        <v>3772</v>
      </c>
      <c r="C162" s="72"/>
      <c r="D162" s="73"/>
      <c r="E162" s="74"/>
      <c r="F162" s="75"/>
      <c r="M162" s="7"/>
      <c r="N162" s="7"/>
      <c r="O162" s="7"/>
      <c r="P162" s="7"/>
      <c r="Q162" s="7"/>
      <c r="R162" s="7"/>
    </row>
    <row r="163" spans="1:18" s="62" customFormat="1" ht="220.8">
      <c r="A163" s="89"/>
      <c r="B163" s="369" t="s">
        <v>3771</v>
      </c>
      <c r="C163" s="72"/>
      <c r="D163" s="73"/>
      <c r="E163" s="74"/>
      <c r="F163" s="75"/>
      <c r="M163" s="7"/>
      <c r="N163" s="7"/>
      <c r="O163" s="7"/>
      <c r="P163" s="7"/>
      <c r="Q163" s="7"/>
      <c r="R163" s="7"/>
    </row>
    <row r="164" spans="1:18" s="62" customFormat="1" ht="27.6">
      <c r="A164" s="89" t="s">
        <v>48</v>
      </c>
      <c r="B164" s="95" t="s">
        <v>3773</v>
      </c>
      <c r="C164" s="72" t="s">
        <v>649</v>
      </c>
      <c r="D164" s="92">
        <v>1</v>
      </c>
      <c r="E164" s="74">
        <v>5350</v>
      </c>
      <c r="F164" s="93">
        <f>IF(OR(OR(E164=0,E164=" "),OR(D164=0,D164=" "))," ",D164*E164)</f>
        <v>5350</v>
      </c>
      <c r="M164" s="7"/>
      <c r="N164" s="7"/>
      <c r="O164" s="7"/>
      <c r="P164" s="7"/>
      <c r="Q164" s="7"/>
      <c r="R164" s="7"/>
    </row>
    <row r="165" spans="1:18" s="62" customFormat="1">
      <c r="A165" s="87"/>
      <c r="B165" s="88"/>
      <c r="C165" s="72"/>
      <c r="D165" s="92"/>
      <c r="E165" s="74"/>
      <c r="F165" s="93"/>
      <c r="M165" s="7"/>
      <c r="N165" s="7"/>
      <c r="O165" s="7"/>
      <c r="P165" s="7"/>
      <c r="Q165" s="7"/>
      <c r="R165" s="7"/>
    </row>
    <row r="166" spans="1:18" s="62" customFormat="1">
      <c r="A166" s="89" t="s">
        <v>2021</v>
      </c>
      <c r="B166" s="368" t="s">
        <v>3749</v>
      </c>
      <c r="C166" s="856" t="s">
        <v>267</v>
      </c>
      <c r="D166" s="857" t="s">
        <v>267</v>
      </c>
      <c r="E166" s="857"/>
      <c r="F166" s="858" t="s">
        <v>267</v>
      </c>
      <c r="M166" s="7"/>
      <c r="N166" s="7"/>
      <c r="O166" s="7"/>
      <c r="P166" s="7"/>
      <c r="Q166" s="7"/>
      <c r="R166" s="7"/>
    </row>
    <row r="167" spans="1:18" s="62" customFormat="1" ht="55.2">
      <c r="A167" s="89"/>
      <c r="B167" s="369" t="s">
        <v>4854</v>
      </c>
      <c r="C167" s="72"/>
      <c r="D167" s="73"/>
      <c r="E167" s="74"/>
      <c r="F167" s="75"/>
      <c r="G167" s="387"/>
      <c r="M167" s="7"/>
      <c r="N167" s="7"/>
      <c r="O167" s="7"/>
      <c r="P167" s="7"/>
      <c r="Q167" s="7"/>
      <c r="R167" s="7"/>
    </row>
    <row r="168" spans="1:18" s="62" customFormat="1">
      <c r="A168" s="87"/>
      <c r="B168" s="88"/>
      <c r="C168" s="72"/>
      <c r="D168" s="92"/>
      <c r="E168" s="74"/>
      <c r="F168" s="93"/>
      <c r="M168" s="7"/>
      <c r="N168" s="7"/>
      <c r="O168" s="7"/>
      <c r="P168" s="7"/>
      <c r="Q168" s="7"/>
      <c r="R168" s="7"/>
    </row>
    <row r="169" spans="1:18" s="62" customFormat="1">
      <c r="A169" s="89" t="s">
        <v>2023</v>
      </c>
      <c r="B169" s="368" t="s">
        <v>2024</v>
      </c>
      <c r="C169" s="72"/>
      <c r="D169" s="73"/>
      <c r="E169" s="74"/>
      <c r="F169" s="75"/>
      <c r="M169" s="7"/>
      <c r="N169" s="7"/>
      <c r="O169" s="7"/>
      <c r="P169" s="7"/>
      <c r="Q169" s="7"/>
      <c r="R169" s="7"/>
    </row>
    <row r="170" spans="1:18" s="62" customFormat="1">
      <c r="A170" s="89"/>
      <c r="B170" s="369" t="s">
        <v>3746</v>
      </c>
      <c r="C170" s="72"/>
      <c r="D170" s="73"/>
      <c r="E170" s="74"/>
      <c r="F170" s="75"/>
      <c r="M170" s="7"/>
      <c r="N170" s="7"/>
      <c r="O170" s="7"/>
      <c r="P170" s="7"/>
      <c r="Q170" s="7"/>
      <c r="R170" s="7"/>
    </row>
    <row r="171" spans="1:18" s="62" customFormat="1">
      <c r="A171" s="89" t="s">
        <v>48</v>
      </c>
      <c r="B171" s="95" t="s">
        <v>3745</v>
      </c>
      <c r="C171" s="72" t="s">
        <v>649</v>
      </c>
      <c r="D171" s="92">
        <v>1</v>
      </c>
      <c r="E171" s="74">
        <v>510</v>
      </c>
      <c r="F171" s="93">
        <f>IF(OR(OR(E171=0,E171=" "),OR(D171=0,D171=" "))," ",D171*E171)</f>
        <v>510</v>
      </c>
      <c r="M171" s="7"/>
      <c r="N171" s="7"/>
      <c r="O171" s="7"/>
      <c r="P171" s="7"/>
      <c r="Q171" s="7"/>
      <c r="R171" s="7"/>
    </row>
    <row r="172" spans="1:18" s="62" customFormat="1">
      <c r="A172" s="87"/>
      <c r="B172" s="88"/>
      <c r="C172" s="72"/>
      <c r="D172" s="92"/>
      <c r="E172" s="74"/>
      <c r="F172" s="93"/>
      <c r="M172" s="7"/>
      <c r="N172" s="7"/>
      <c r="O172" s="7"/>
      <c r="P172" s="7"/>
      <c r="Q172" s="7"/>
      <c r="R172" s="7"/>
    </row>
    <row r="173" spans="1:18" s="62" customFormat="1">
      <c r="A173" s="89" t="s">
        <v>2025</v>
      </c>
      <c r="B173" s="368" t="s">
        <v>2017</v>
      </c>
      <c r="C173" s="72"/>
      <c r="D173" s="73"/>
      <c r="E173" s="74"/>
      <c r="F173" s="75"/>
      <c r="M173" s="7"/>
      <c r="N173" s="7"/>
      <c r="O173" s="7"/>
      <c r="P173" s="7"/>
      <c r="Q173" s="7"/>
      <c r="R173" s="7"/>
    </row>
    <row r="174" spans="1:18" s="62" customFormat="1" ht="138">
      <c r="A174" s="89"/>
      <c r="B174" s="369" t="s">
        <v>3774</v>
      </c>
      <c r="C174" s="72"/>
      <c r="D174" s="73"/>
      <c r="E174" s="74"/>
      <c r="F174" s="75"/>
      <c r="M174" s="7"/>
      <c r="N174" s="7"/>
      <c r="O174" s="7"/>
      <c r="P174" s="7"/>
      <c r="Q174" s="7"/>
      <c r="R174" s="7"/>
    </row>
    <row r="175" spans="1:18" s="62" customFormat="1" ht="27.6">
      <c r="A175" s="89" t="s">
        <v>48</v>
      </c>
      <c r="B175" s="95" t="s">
        <v>3775</v>
      </c>
      <c r="C175" s="72" t="s">
        <v>649</v>
      </c>
      <c r="D175" s="92">
        <v>1</v>
      </c>
      <c r="E175" s="74">
        <v>865</v>
      </c>
      <c r="F175" s="93">
        <f>IF(OR(OR(E175=0,E175=" "),OR(D175=0,D175=" "))," ",D175*E175)</f>
        <v>865</v>
      </c>
      <c r="M175" s="7"/>
      <c r="N175" s="7"/>
      <c r="O175" s="7"/>
      <c r="P175" s="7"/>
      <c r="Q175" s="7"/>
      <c r="R175" s="7"/>
    </row>
    <row r="176" spans="1:18" s="62" customFormat="1">
      <c r="A176" s="87"/>
      <c r="B176" s="88"/>
      <c r="C176" s="72"/>
      <c r="D176" s="92"/>
      <c r="E176" s="74"/>
      <c r="F176" s="93"/>
      <c r="M176" s="7"/>
      <c r="N176" s="7"/>
      <c r="O176" s="7"/>
      <c r="P176" s="7"/>
      <c r="Q176" s="7"/>
      <c r="R176" s="7"/>
    </row>
    <row r="177" spans="1:18" s="62" customFormat="1">
      <c r="A177" s="89" t="s">
        <v>2026</v>
      </c>
      <c r="B177" s="368" t="s">
        <v>2020</v>
      </c>
      <c r="C177" s="72"/>
      <c r="D177" s="73"/>
      <c r="E177" s="74"/>
      <c r="F177" s="75"/>
      <c r="M177" s="7"/>
      <c r="N177" s="7"/>
      <c r="O177" s="7"/>
      <c r="P177" s="7"/>
      <c r="Q177" s="7"/>
      <c r="R177" s="7"/>
    </row>
    <row r="178" spans="1:18" s="62" customFormat="1" ht="82.8">
      <c r="A178" s="89"/>
      <c r="B178" s="369" t="s">
        <v>3763</v>
      </c>
      <c r="C178" s="72"/>
      <c r="D178" s="73"/>
      <c r="E178" s="74"/>
      <c r="F178" s="75"/>
      <c r="M178" s="7"/>
      <c r="N178" s="7"/>
      <c r="O178" s="7"/>
      <c r="P178" s="7"/>
      <c r="Q178" s="7"/>
      <c r="R178" s="7"/>
    </row>
    <row r="179" spans="1:18" s="62" customFormat="1" ht="27.6">
      <c r="A179" s="89" t="s">
        <v>48</v>
      </c>
      <c r="B179" s="95" t="s">
        <v>3764</v>
      </c>
      <c r="C179" s="72" t="s">
        <v>649</v>
      </c>
      <c r="D179" s="92">
        <v>1</v>
      </c>
      <c r="E179" s="74">
        <v>330</v>
      </c>
      <c r="F179" s="93">
        <f>IF(OR(OR(E179=0,E179=" "),OR(D179=0,D179=" "))," ",D179*E179)</f>
        <v>330</v>
      </c>
      <c r="M179" s="7"/>
      <c r="N179" s="7"/>
      <c r="O179" s="7"/>
      <c r="P179" s="7"/>
      <c r="Q179" s="7"/>
      <c r="R179" s="7"/>
    </row>
    <row r="180" spans="1:18" s="62" customFormat="1">
      <c r="A180" s="87"/>
      <c r="B180" s="88"/>
      <c r="C180" s="72"/>
      <c r="D180" s="92"/>
      <c r="E180" s="74"/>
      <c r="F180" s="93"/>
      <c r="M180" s="7"/>
      <c r="N180" s="7"/>
      <c r="O180" s="7"/>
      <c r="P180" s="7"/>
      <c r="Q180" s="7"/>
      <c r="R180" s="7"/>
    </row>
    <row r="181" spans="1:18" s="62" customFormat="1">
      <c r="A181" s="89" t="s">
        <v>2027</v>
      </c>
      <c r="B181" s="368" t="s">
        <v>3776</v>
      </c>
      <c r="C181" s="72"/>
      <c r="D181" s="73"/>
      <c r="E181" s="74"/>
      <c r="F181" s="75"/>
      <c r="M181" s="7"/>
      <c r="N181" s="7"/>
      <c r="O181" s="7"/>
      <c r="P181" s="7"/>
      <c r="Q181" s="7"/>
      <c r="R181" s="7"/>
    </row>
    <row r="182" spans="1:18" s="62" customFormat="1" ht="96.6">
      <c r="A182" s="89"/>
      <c r="B182" s="369" t="s">
        <v>3777</v>
      </c>
      <c r="C182" s="72"/>
      <c r="D182" s="73"/>
      <c r="E182" s="74"/>
      <c r="F182" s="75"/>
      <c r="M182" s="7"/>
      <c r="N182" s="7"/>
      <c r="O182" s="7"/>
      <c r="P182" s="7"/>
      <c r="Q182" s="7"/>
      <c r="R182" s="7"/>
    </row>
    <row r="183" spans="1:18" s="62" customFormat="1" ht="27.6">
      <c r="A183" s="89" t="s">
        <v>48</v>
      </c>
      <c r="B183" s="95" t="s">
        <v>3778</v>
      </c>
      <c r="C183" s="72" t="s">
        <v>649</v>
      </c>
      <c r="D183" s="92">
        <v>1</v>
      </c>
      <c r="E183" s="74">
        <v>400</v>
      </c>
      <c r="F183" s="93">
        <f>IF(OR(OR(E183=0,E183=" "),OR(D183=0,D183=" "))," ",D183*E183)</f>
        <v>400</v>
      </c>
      <c r="M183" s="7"/>
      <c r="N183" s="7"/>
      <c r="O183" s="7"/>
      <c r="P183" s="7"/>
      <c r="Q183" s="7"/>
      <c r="R183" s="7"/>
    </row>
    <row r="184" spans="1:18" s="62" customFormat="1">
      <c r="A184" s="87"/>
      <c r="B184" s="88"/>
      <c r="C184" s="72"/>
      <c r="D184" s="92"/>
      <c r="E184" s="74"/>
      <c r="F184" s="93"/>
      <c r="M184" s="7"/>
      <c r="N184" s="7"/>
      <c r="O184" s="7"/>
      <c r="P184" s="7"/>
      <c r="Q184" s="7"/>
      <c r="R184" s="7"/>
    </row>
    <row r="185" spans="1:18" s="62" customFormat="1">
      <c r="A185" s="89" t="s">
        <v>2029</v>
      </c>
      <c r="B185" s="368" t="s">
        <v>1985</v>
      </c>
      <c r="C185" s="72"/>
      <c r="D185" s="73"/>
      <c r="E185" s="74"/>
      <c r="F185" s="75"/>
      <c r="M185" s="7"/>
      <c r="N185" s="7"/>
      <c r="O185" s="7"/>
      <c r="P185" s="7"/>
      <c r="Q185" s="7"/>
      <c r="R185" s="7"/>
    </row>
    <row r="186" spans="1:18" s="62" customFormat="1" ht="82.8">
      <c r="A186" s="89"/>
      <c r="B186" s="369" t="s">
        <v>1984</v>
      </c>
      <c r="C186" s="72"/>
      <c r="D186" s="73"/>
      <c r="E186" s="74"/>
      <c r="F186" s="75"/>
      <c r="M186" s="7"/>
      <c r="N186" s="7"/>
      <c r="O186" s="7"/>
      <c r="P186" s="7"/>
      <c r="Q186" s="7"/>
      <c r="R186" s="7"/>
    </row>
    <row r="187" spans="1:18" s="62" customFormat="1">
      <c r="A187" s="89" t="s">
        <v>48</v>
      </c>
      <c r="B187" s="95" t="s">
        <v>1986</v>
      </c>
      <c r="C187" s="72" t="s">
        <v>649</v>
      </c>
      <c r="D187" s="92">
        <v>1</v>
      </c>
      <c r="E187" s="74">
        <v>290</v>
      </c>
      <c r="F187" s="93">
        <f>IF(OR(OR(E187=0,E187=" "),OR(D187=0,D187=" "))," ",D187*E187)</f>
        <v>290</v>
      </c>
      <c r="M187" s="7"/>
      <c r="N187" s="7"/>
      <c r="O187" s="7"/>
      <c r="P187" s="7"/>
      <c r="Q187" s="7"/>
      <c r="R187" s="7"/>
    </row>
    <row r="188" spans="1:18" s="62" customFormat="1">
      <c r="A188" s="87"/>
      <c r="B188" s="88"/>
      <c r="C188" s="72"/>
      <c r="D188" s="92"/>
      <c r="E188" s="74"/>
      <c r="F188" s="93"/>
      <c r="M188" s="7"/>
      <c r="N188" s="7"/>
      <c r="O188" s="7"/>
      <c r="P188" s="7"/>
      <c r="Q188" s="7"/>
      <c r="R188" s="7"/>
    </row>
    <row r="189" spans="1:18" s="62" customFormat="1">
      <c r="A189" s="89" t="s">
        <v>2030</v>
      </c>
      <c r="B189" s="368" t="s">
        <v>4842</v>
      </c>
      <c r="C189" s="72"/>
      <c r="D189" s="73"/>
      <c r="E189" s="74"/>
      <c r="F189" s="75"/>
      <c r="M189" s="7"/>
      <c r="N189" s="7"/>
      <c r="O189" s="7"/>
      <c r="P189" s="7"/>
      <c r="Q189" s="7"/>
      <c r="R189" s="7"/>
    </row>
    <row r="190" spans="1:18" s="62" customFormat="1" ht="41.4">
      <c r="A190" s="89"/>
      <c r="B190" s="369" t="s">
        <v>2033</v>
      </c>
      <c r="C190" s="72"/>
      <c r="D190" s="73"/>
      <c r="E190" s="74"/>
      <c r="F190" s="75"/>
      <c r="M190" s="7"/>
      <c r="N190" s="7"/>
      <c r="O190" s="7"/>
      <c r="P190" s="7"/>
      <c r="Q190" s="7"/>
      <c r="R190" s="7"/>
    </row>
    <row r="191" spans="1:18" s="62" customFormat="1" ht="27.6">
      <c r="A191" s="89" t="s">
        <v>48</v>
      </c>
      <c r="B191" s="112" t="s">
        <v>3779</v>
      </c>
      <c r="C191" s="72" t="s">
        <v>649</v>
      </c>
      <c r="D191" s="92">
        <v>3</v>
      </c>
      <c r="E191" s="74">
        <v>340</v>
      </c>
      <c r="F191" s="93">
        <f>IF(OR(OR(E191=0,E191=" "),OR(D191=0,D191=" "))," ",D191*E191)</f>
        <v>1020</v>
      </c>
      <c r="M191" s="7"/>
      <c r="N191" s="7"/>
      <c r="O191" s="7"/>
      <c r="P191" s="7"/>
      <c r="Q191" s="7"/>
      <c r="R191" s="7"/>
    </row>
    <row r="192" spans="1:18" s="62" customFormat="1">
      <c r="A192" s="89"/>
      <c r="B192" s="95"/>
      <c r="C192" s="72"/>
      <c r="D192" s="92"/>
      <c r="E192" s="74"/>
      <c r="F192" s="93"/>
      <c r="M192" s="7"/>
      <c r="N192" s="7"/>
      <c r="O192" s="7"/>
      <c r="P192" s="7"/>
      <c r="Q192" s="7"/>
      <c r="R192" s="7"/>
    </row>
    <row r="193" spans="1:18" s="62" customFormat="1">
      <c r="A193" s="89" t="s">
        <v>2032</v>
      </c>
      <c r="B193" s="368" t="s">
        <v>2034</v>
      </c>
      <c r="C193" s="72"/>
      <c r="D193" s="73"/>
      <c r="E193" s="74"/>
      <c r="F193" s="75"/>
      <c r="M193" s="7"/>
      <c r="N193" s="7"/>
      <c r="O193" s="7"/>
      <c r="P193" s="7"/>
      <c r="Q193" s="7"/>
      <c r="R193" s="7"/>
    </row>
    <row r="194" spans="1:18" s="62" customFormat="1" ht="69">
      <c r="A194" s="89"/>
      <c r="B194" s="369" t="s">
        <v>2035</v>
      </c>
      <c r="C194" s="72"/>
      <c r="D194" s="73"/>
      <c r="E194" s="74"/>
      <c r="F194" s="75"/>
      <c r="M194" s="7"/>
      <c r="N194" s="7"/>
      <c r="O194" s="7"/>
      <c r="P194" s="7"/>
      <c r="Q194" s="7"/>
      <c r="R194" s="7"/>
    </row>
    <row r="195" spans="1:18" s="62" customFormat="1">
      <c r="A195" s="89" t="s">
        <v>48</v>
      </c>
      <c r="B195" s="95" t="s">
        <v>2036</v>
      </c>
      <c r="C195" s="72" t="s">
        <v>649</v>
      </c>
      <c r="D195" s="92">
        <v>1</v>
      </c>
      <c r="E195" s="74">
        <v>200</v>
      </c>
      <c r="F195" s="93">
        <f>IF(OR(OR(E195=0,E195=" "),OR(D195=0,D195=" "))," ",D195*E195)</f>
        <v>200</v>
      </c>
      <c r="M195" s="7"/>
      <c r="N195" s="7"/>
      <c r="O195" s="7"/>
      <c r="P195" s="7"/>
      <c r="Q195" s="7"/>
      <c r="R195" s="7"/>
    </row>
    <row r="196" spans="1:18" s="62" customFormat="1">
      <c r="A196" s="89"/>
      <c r="B196" s="95"/>
      <c r="C196" s="72"/>
      <c r="D196" s="92"/>
      <c r="E196" s="74"/>
      <c r="F196" s="93"/>
      <c r="M196" s="7"/>
      <c r="N196" s="7"/>
      <c r="O196" s="7"/>
      <c r="P196" s="7"/>
      <c r="Q196" s="7"/>
      <c r="R196" s="7"/>
    </row>
    <row r="197" spans="1:18" s="62" customFormat="1">
      <c r="A197" s="89" t="s">
        <v>2037</v>
      </c>
      <c r="B197" s="368" t="s">
        <v>2051</v>
      </c>
      <c r="C197" s="72"/>
      <c r="D197" s="73"/>
      <c r="E197" s="74"/>
      <c r="F197" s="75"/>
      <c r="M197" s="7"/>
      <c r="N197" s="7"/>
      <c r="O197" s="7"/>
      <c r="P197" s="7"/>
      <c r="Q197" s="7"/>
      <c r="R197" s="7"/>
    </row>
    <row r="198" spans="1:18" s="62" customFormat="1">
      <c r="A198" s="89" t="s">
        <v>48</v>
      </c>
      <c r="B198" s="95" t="s">
        <v>2052</v>
      </c>
      <c r="C198" s="72" t="s">
        <v>649</v>
      </c>
      <c r="D198" s="92">
        <v>2</v>
      </c>
      <c r="E198" s="74">
        <v>35</v>
      </c>
      <c r="F198" s="93">
        <f>IF(OR(OR(E198=0,E198=" "),OR(D198=0,D198=" "))," ",D198*E198)</f>
        <v>70</v>
      </c>
      <c r="M198" s="7"/>
      <c r="N198" s="7"/>
      <c r="O198" s="7"/>
      <c r="P198" s="7"/>
      <c r="Q198" s="7"/>
      <c r="R198" s="7"/>
    </row>
    <row r="199" spans="1:18" s="62" customFormat="1">
      <c r="A199" s="89"/>
      <c r="B199" s="95"/>
      <c r="C199" s="72"/>
      <c r="D199" s="92"/>
      <c r="E199" s="74"/>
      <c r="F199" s="93"/>
      <c r="M199" s="7"/>
      <c r="N199" s="7"/>
      <c r="O199" s="7"/>
      <c r="P199" s="7"/>
      <c r="Q199" s="7"/>
      <c r="R199" s="7"/>
    </row>
    <row r="200" spans="1:18" s="62" customFormat="1" ht="27.6">
      <c r="A200" s="89" t="s">
        <v>2038</v>
      </c>
      <c r="B200" s="373" t="s">
        <v>2375</v>
      </c>
      <c r="C200" s="72"/>
      <c r="D200" s="92"/>
      <c r="E200" s="74"/>
      <c r="F200" s="93"/>
      <c r="M200" s="7"/>
      <c r="N200" s="7"/>
      <c r="O200" s="7"/>
      <c r="P200" s="7"/>
      <c r="Q200" s="7"/>
      <c r="R200" s="7"/>
    </row>
    <row r="201" spans="1:18" s="62" customFormat="1">
      <c r="A201" s="89" t="s">
        <v>48</v>
      </c>
      <c r="B201" s="95" t="s">
        <v>2376</v>
      </c>
      <c r="C201" s="72" t="s">
        <v>649</v>
      </c>
      <c r="D201" s="92">
        <v>1</v>
      </c>
      <c r="E201" s="74">
        <v>105</v>
      </c>
      <c r="F201" s="93">
        <f>IF(OR(OR(E201=0,E201=" "),OR(D201=0,D201=" "))," ",D201*E201)</f>
        <v>105</v>
      </c>
      <c r="M201" s="7"/>
      <c r="N201" s="7"/>
      <c r="O201" s="7"/>
      <c r="P201" s="7"/>
      <c r="Q201" s="7"/>
      <c r="R201" s="7"/>
    </row>
    <row r="202" spans="1:18" s="62" customFormat="1">
      <c r="A202" s="89" t="s">
        <v>49</v>
      </c>
      <c r="B202" s="95" t="s">
        <v>2377</v>
      </c>
      <c r="C202" s="72" t="s">
        <v>649</v>
      </c>
      <c r="D202" s="92">
        <v>1</v>
      </c>
      <c r="E202" s="74">
        <v>105</v>
      </c>
      <c r="F202" s="93">
        <f t="shared" ref="F202" si="0">IF(OR(OR(E202=0,E202=" "),OR(D202=0,D202=" "))," ",D202*E202)</f>
        <v>105</v>
      </c>
      <c r="M202" s="7"/>
      <c r="N202" s="7"/>
      <c r="O202" s="7"/>
      <c r="P202" s="7"/>
      <c r="Q202" s="7"/>
      <c r="R202" s="7"/>
    </row>
    <row r="203" spans="1:18" s="62" customFormat="1">
      <c r="A203" s="89"/>
      <c r="B203" s="95"/>
      <c r="C203" s="72"/>
      <c r="D203" s="92"/>
      <c r="E203" s="74"/>
      <c r="F203" s="93"/>
      <c r="M203" s="7"/>
      <c r="N203" s="7"/>
      <c r="O203" s="7"/>
      <c r="P203" s="7"/>
      <c r="Q203" s="7"/>
      <c r="R203" s="7"/>
    </row>
    <row r="204" spans="1:18" s="62" customFormat="1">
      <c r="A204" s="89" t="s">
        <v>2053</v>
      </c>
      <c r="B204" s="373" t="s">
        <v>2378</v>
      </c>
      <c r="C204" s="72"/>
      <c r="D204" s="92"/>
      <c r="E204" s="74"/>
      <c r="F204" s="93"/>
      <c r="M204" s="7"/>
      <c r="N204" s="7"/>
      <c r="O204" s="7"/>
      <c r="P204" s="7"/>
      <c r="Q204" s="7"/>
      <c r="R204" s="7"/>
    </row>
    <row r="205" spans="1:18" s="62" customFormat="1" ht="110.4">
      <c r="A205" s="89"/>
      <c r="B205" s="95" t="s">
        <v>2381</v>
      </c>
      <c r="C205" s="72"/>
      <c r="D205" s="92"/>
      <c r="E205" s="74"/>
      <c r="F205" s="93"/>
      <c r="M205" s="7"/>
      <c r="N205" s="7"/>
      <c r="O205" s="7"/>
      <c r="P205" s="7"/>
      <c r="Q205" s="7"/>
      <c r="R205" s="7"/>
    </row>
    <row r="206" spans="1:18" s="62" customFormat="1">
      <c r="A206" s="89" t="s">
        <v>48</v>
      </c>
      <c r="B206" s="95" t="s">
        <v>2380</v>
      </c>
      <c r="C206" s="72" t="s">
        <v>649</v>
      </c>
      <c r="D206" s="92">
        <v>2</v>
      </c>
      <c r="E206" s="74">
        <v>510</v>
      </c>
      <c r="F206" s="93">
        <f>IF(OR(OR(E206=0,E206=" "),OR(D206=0,D206=" "))," ",D206*E206)</f>
        <v>1020</v>
      </c>
      <c r="M206" s="7"/>
      <c r="N206" s="7"/>
      <c r="O206" s="7"/>
      <c r="P206" s="7"/>
      <c r="Q206" s="7"/>
      <c r="R206" s="7"/>
    </row>
    <row r="207" spans="1:18" s="62" customFormat="1">
      <c r="A207" s="89"/>
      <c r="B207" s="95"/>
      <c r="C207" s="72"/>
      <c r="D207" s="92"/>
      <c r="E207" s="74"/>
      <c r="F207" s="93"/>
      <c r="M207" s="7"/>
      <c r="N207" s="7"/>
      <c r="O207" s="7"/>
      <c r="P207" s="7"/>
      <c r="Q207" s="7"/>
      <c r="R207" s="7"/>
    </row>
    <row r="208" spans="1:18" s="62" customFormat="1" ht="27.6">
      <c r="A208" s="89" t="s">
        <v>2374</v>
      </c>
      <c r="B208" s="400" t="s">
        <v>5451</v>
      </c>
      <c r="C208" s="72"/>
      <c r="D208" s="92"/>
      <c r="E208" s="74"/>
      <c r="F208" s="93"/>
      <c r="M208" s="7"/>
      <c r="N208" s="7"/>
      <c r="O208" s="7"/>
      <c r="P208" s="7"/>
      <c r="Q208" s="7"/>
      <c r="R208" s="7"/>
    </row>
    <row r="209" spans="1:18" s="62" customFormat="1" ht="179.4">
      <c r="A209" s="89"/>
      <c r="B209" s="95" t="s">
        <v>5452</v>
      </c>
      <c r="C209" s="72"/>
      <c r="D209" s="92"/>
      <c r="E209" s="74"/>
      <c r="F209" s="93"/>
      <c r="M209" s="7"/>
      <c r="N209" s="7"/>
      <c r="O209" s="7"/>
      <c r="P209" s="7"/>
      <c r="Q209" s="7"/>
      <c r="R209" s="7"/>
    </row>
    <row r="210" spans="1:18" s="62" customFormat="1">
      <c r="A210" s="89" t="s">
        <v>48</v>
      </c>
      <c r="B210" s="95" t="s">
        <v>2382</v>
      </c>
      <c r="C210" s="72" t="s">
        <v>649</v>
      </c>
      <c r="D210" s="92">
        <v>1</v>
      </c>
      <c r="E210" s="74">
        <v>1300</v>
      </c>
      <c r="F210" s="93">
        <f>IF(OR(OR(E210=0,E210=" "),OR(D210=0,D210=" "))," ",D210*E210)</f>
        <v>1300</v>
      </c>
      <c r="M210" s="7"/>
      <c r="N210" s="7"/>
      <c r="O210" s="7"/>
      <c r="P210" s="7"/>
      <c r="Q210" s="7"/>
      <c r="R210" s="7"/>
    </row>
    <row r="211" spans="1:18" s="62" customFormat="1">
      <c r="A211" s="98"/>
      <c r="B211" s="99"/>
      <c r="C211" s="100"/>
      <c r="D211" s="101"/>
      <c r="E211" s="100"/>
      <c r="F211" s="102"/>
      <c r="M211" s="7"/>
      <c r="N211" s="7"/>
      <c r="O211" s="7"/>
      <c r="P211" s="7"/>
      <c r="Q211" s="7"/>
      <c r="R211" s="7"/>
    </row>
    <row r="212" spans="1:18" s="62" customFormat="1">
      <c r="A212" s="103" t="str">
        <f>A8</f>
        <v>K.</v>
      </c>
      <c r="B212" s="104" t="str">
        <f>CONCATENATE(B8," ", "UKUPNO:")</f>
        <v>KUHINJA UKUPNO:</v>
      </c>
      <c r="C212" s="61"/>
      <c r="D212" s="73"/>
      <c r="E212" s="74"/>
      <c r="F212" s="663">
        <f>SUM(F16:F211)</f>
        <v>78945</v>
      </c>
      <c r="G212" s="419"/>
      <c r="M212" s="7"/>
      <c r="N212" s="7"/>
      <c r="O212" s="7"/>
      <c r="P212" s="7"/>
      <c r="Q212" s="7"/>
      <c r="R212" s="7"/>
    </row>
    <row r="213" spans="1:18" s="62" customFormat="1">
      <c r="A213" s="106"/>
      <c r="B213" s="107"/>
      <c r="C213" s="72"/>
      <c r="D213" s="73"/>
      <c r="E213" s="74"/>
      <c r="F213" s="108"/>
      <c r="M213" s="7"/>
      <c r="N213" s="7"/>
      <c r="O213" s="7"/>
      <c r="P213" s="7"/>
      <c r="Q213" s="7"/>
      <c r="R213" s="7"/>
    </row>
    <row r="214" spans="1:18" s="62" customFormat="1">
      <c r="A214" s="70"/>
      <c r="B214" s="71"/>
      <c r="C214" s="72"/>
      <c r="D214" s="73"/>
      <c r="E214" s="74"/>
      <c r="F214" s="75"/>
      <c r="M214" s="7"/>
      <c r="N214" s="7"/>
      <c r="O214" s="7"/>
      <c r="P214" s="7"/>
      <c r="Q214" s="7"/>
      <c r="R214" s="7"/>
    </row>
    <row r="215" spans="1:18" s="62" customFormat="1">
      <c r="A215" s="81" t="s">
        <v>4856</v>
      </c>
      <c r="B215" s="82" t="s">
        <v>2039</v>
      </c>
      <c r="C215" s="83"/>
      <c r="D215" s="84"/>
      <c r="E215" s="85"/>
      <c r="F215" s="86"/>
      <c r="M215" s="7"/>
      <c r="N215" s="7"/>
      <c r="O215" s="7"/>
      <c r="P215" s="7"/>
      <c r="Q215" s="7"/>
      <c r="R215" s="7"/>
    </row>
    <row r="216" spans="1:18" s="62" customFormat="1">
      <c r="A216" s="70"/>
      <c r="B216" s="71"/>
      <c r="C216" s="72"/>
      <c r="D216" s="73"/>
      <c r="E216" s="74"/>
      <c r="F216" s="75"/>
      <c r="M216" s="7"/>
      <c r="N216" s="7"/>
      <c r="O216" s="7"/>
      <c r="P216" s="7"/>
      <c r="Q216" s="7"/>
      <c r="R216" s="7"/>
    </row>
    <row r="217" spans="1:18" s="62" customFormat="1">
      <c r="A217" s="89" t="s">
        <v>1078</v>
      </c>
      <c r="B217" s="368" t="s">
        <v>2031</v>
      </c>
      <c r="C217" s="91"/>
      <c r="D217" s="73"/>
      <c r="E217" s="74"/>
      <c r="F217" s="94"/>
      <c r="M217" s="7"/>
      <c r="N217" s="7"/>
      <c r="O217" s="7"/>
      <c r="P217" s="7"/>
      <c r="Q217" s="7"/>
      <c r="R217" s="7"/>
    </row>
    <row r="218" spans="1:18" s="62" customFormat="1" ht="96.6">
      <c r="A218" s="89"/>
      <c r="B218" s="369" t="s">
        <v>2071</v>
      </c>
      <c r="C218" s="91"/>
      <c r="D218" s="73"/>
      <c r="E218" s="74"/>
      <c r="F218" s="94"/>
      <c r="M218" s="7"/>
      <c r="N218" s="7"/>
      <c r="O218" s="7"/>
      <c r="P218" s="7"/>
      <c r="Q218" s="7"/>
      <c r="R218" s="7"/>
    </row>
    <row r="219" spans="1:18" s="62" customFormat="1">
      <c r="A219" s="89" t="s">
        <v>48</v>
      </c>
      <c r="B219" s="95" t="s">
        <v>3702</v>
      </c>
      <c r="C219" s="72" t="s">
        <v>649</v>
      </c>
      <c r="D219" s="92">
        <v>1</v>
      </c>
      <c r="E219" s="74">
        <v>275</v>
      </c>
      <c r="F219" s="93">
        <f>IF(OR(OR(E219=0,E219=" "),OR(D219=0,D219=" "))," ",D219*E219)</f>
        <v>275</v>
      </c>
      <c r="G219" s="73"/>
      <c r="M219" s="7"/>
      <c r="N219" s="7"/>
      <c r="O219" s="7"/>
      <c r="P219" s="7"/>
      <c r="Q219" s="7"/>
      <c r="R219" s="7"/>
    </row>
    <row r="220" spans="1:18" s="62" customFormat="1">
      <c r="A220" s="89"/>
      <c r="B220" s="95"/>
      <c r="C220" s="91"/>
      <c r="D220" s="73"/>
      <c r="E220" s="74"/>
      <c r="F220" s="93"/>
      <c r="G220" s="73"/>
      <c r="M220" s="7"/>
      <c r="N220" s="7"/>
      <c r="O220" s="7"/>
      <c r="P220" s="7"/>
      <c r="Q220" s="7"/>
      <c r="R220" s="7"/>
    </row>
    <row r="221" spans="1:18" s="62" customFormat="1">
      <c r="A221" s="89" t="s">
        <v>1079</v>
      </c>
      <c r="B221" s="368" t="s">
        <v>3781</v>
      </c>
      <c r="C221" s="91"/>
      <c r="D221" s="73"/>
      <c r="E221" s="74"/>
      <c r="F221" s="94"/>
      <c r="G221" s="73"/>
      <c r="M221" s="7"/>
      <c r="N221" s="7"/>
      <c r="O221" s="7"/>
      <c r="P221" s="7"/>
      <c r="Q221" s="7"/>
      <c r="R221" s="7"/>
    </row>
    <row r="222" spans="1:18" s="62" customFormat="1" ht="110.4">
      <c r="A222" s="89"/>
      <c r="B222" s="369" t="s">
        <v>3758</v>
      </c>
      <c r="C222" s="91"/>
      <c r="D222" s="73"/>
      <c r="E222" s="74"/>
      <c r="F222" s="94"/>
      <c r="G222" s="73"/>
      <c r="M222" s="7"/>
      <c r="N222" s="7"/>
      <c r="O222" s="7"/>
      <c r="P222" s="7"/>
      <c r="Q222" s="7"/>
      <c r="R222" s="7"/>
    </row>
    <row r="223" spans="1:18" s="62" customFormat="1">
      <c r="A223" s="89" t="s">
        <v>48</v>
      </c>
      <c r="B223" s="95" t="s">
        <v>3782</v>
      </c>
      <c r="C223" s="72" t="s">
        <v>649</v>
      </c>
      <c r="D223" s="92">
        <v>1</v>
      </c>
      <c r="E223" s="74">
        <v>1000</v>
      </c>
      <c r="F223" s="93">
        <f>IF(OR(OR(E223=0,E223=" "),OR(D223=0,D223=" "))," ",D223*E223)</f>
        <v>1000</v>
      </c>
      <c r="G223" s="73"/>
      <c r="M223" s="7"/>
      <c r="N223" s="7"/>
      <c r="O223" s="7"/>
      <c r="P223" s="7"/>
      <c r="Q223" s="7"/>
      <c r="R223" s="7"/>
    </row>
    <row r="224" spans="1:18" s="62" customFormat="1">
      <c r="A224" s="89"/>
      <c r="B224" s="95"/>
      <c r="C224" s="91"/>
      <c r="D224" s="73"/>
      <c r="E224" s="74"/>
      <c r="F224" s="93"/>
      <c r="G224" s="73"/>
      <c r="M224" s="7"/>
      <c r="N224" s="7"/>
      <c r="O224" s="7"/>
      <c r="P224" s="7"/>
      <c r="Q224" s="7"/>
      <c r="R224" s="7"/>
    </row>
    <row r="225" spans="1:18" s="62" customFormat="1">
      <c r="A225" s="89" t="s">
        <v>1080</v>
      </c>
      <c r="B225" s="368" t="s">
        <v>4843</v>
      </c>
      <c r="C225" s="91"/>
      <c r="D225" s="73"/>
      <c r="E225" s="74"/>
      <c r="F225" s="94"/>
      <c r="G225" s="73"/>
      <c r="M225" s="7"/>
      <c r="N225" s="7"/>
      <c r="O225" s="7"/>
      <c r="P225" s="7"/>
      <c r="Q225" s="7"/>
      <c r="R225" s="7"/>
    </row>
    <row r="226" spans="1:18" s="62" customFormat="1" ht="345">
      <c r="A226" s="89"/>
      <c r="B226" s="369" t="s">
        <v>3783</v>
      </c>
      <c r="C226" s="91"/>
      <c r="D226" s="73"/>
      <c r="E226" s="74"/>
      <c r="F226" s="94"/>
      <c r="G226" s="73"/>
      <c r="M226" s="7"/>
      <c r="N226" s="7"/>
      <c r="O226" s="7"/>
      <c r="P226" s="7"/>
      <c r="Q226" s="7"/>
      <c r="R226" s="7"/>
    </row>
    <row r="227" spans="1:18" s="62" customFormat="1">
      <c r="A227" s="89" t="s">
        <v>48</v>
      </c>
      <c r="B227" s="95" t="s">
        <v>3784</v>
      </c>
      <c r="C227" s="72" t="s">
        <v>649</v>
      </c>
      <c r="D227" s="92">
        <v>1</v>
      </c>
      <c r="E227" s="74">
        <v>3310</v>
      </c>
      <c r="F227" s="93">
        <f>IF(OR(OR(E227=0,E227=" "),OR(D227=0,D227=" "))," ",D227*E227)</f>
        <v>3310</v>
      </c>
      <c r="G227" s="73"/>
      <c r="M227" s="7"/>
      <c r="N227" s="7"/>
      <c r="O227" s="7"/>
      <c r="P227" s="7"/>
      <c r="Q227" s="7"/>
      <c r="R227" s="7"/>
    </row>
    <row r="228" spans="1:18" s="62" customFormat="1">
      <c r="A228" s="89"/>
      <c r="B228" s="90"/>
      <c r="C228" s="91"/>
      <c r="D228" s="73"/>
      <c r="E228" s="74"/>
      <c r="F228" s="93"/>
      <c r="G228" s="73"/>
      <c r="M228" s="7"/>
      <c r="N228" s="7"/>
      <c r="O228" s="7"/>
      <c r="P228" s="7"/>
      <c r="Q228" s="7"/>
      <c r="R228" s="7"/>
    </row>
    <row r="229" spans="1:18" s="62" customFormat="1">
      <c r="A229" s="89" t="s">
        <v>1081</v>
      </c>
      <c r="B229" s="368" t="s">
        <v>4844</v>
      </c>
      <c r="C229" s="91"/>
      <c r="D229" s="73"/>
      <c r="E229" s="74"/>
      <c r="F229" s="94"/>
      <c r="G229" s="73"/>
      <c r="M229" s="7"/>
      <c r="N229" s="7"/>
      <c r="O229" s="7"/>
      <c r="P229" s="7"/>
      <c r="Q229" s="7"/>
      <c r="R229" s="7"/>
    </row>
    <row r="230" spans="1:18" s="62" customFormat="1" ht="400.2">
      <c r="A230" s="89"/>
      <c r="B230" s="369" t="s">
        <v>4025</v>
      </c>
      <c r="C230" s="91"/>
      <c r="D230" s="73"/>
      <c r="E230" s="74"/>
      <c r="F230" s="94"/>
      <c r="G230" s="73"/>
      <c r="M230" s="7"/>
      <c r="N230" s="7"/>
      <c r="O230" s="7"/>
      <c r="P230" s="7"/>
      <c r="Q230" s="7"/>
      <c r="R230" s="7"/>
    </row>
    <row r="231" spans="1:18" s="62" customFormat="1" ht="27.6">
      <c r="A231" s="89" t="s">
        <v>48</v>
      </c>
      <c r="B231" s="95" t="s">
        <v>3785</v>
      </c>
      <c r="C231" s="72" t="s">
        <v>649</v>
      </c>
      <c r="D231" s="92">
        <v>1</v>
      </c>
      <c r="E231" s="74">
        <v>10500</v>
      </c>
      <c r="F231" s="93">
        <f>IF(OR(OR(E231=0,E231=" "),OR(D231=0,D231=" "))," ",D231*E231)</f>
        <v>10500</v>
      </c>
      <c r="G231" s="73"/>
      <c r="M231" s="7"/>
      <c r="N231" s="7"/>
      <c r="O231" s="7"/>
      <c r="P231" s="7"/>
      <c r="Q231" s="7"/>
      <c r="R231" s="7"/>
    </row>
    <row r="232" spans="1:18" s="62" customFormat="1">
      <c r="A232" s="89"/>
      <c r="B232" s="90"/>
      <c r="C232" s="91"/>
      <c r="D232" s="73"/>
      <c r="E232" s="74"/>
      <c r="F232" s="93"/>
      <c r="G232" s="73"/>
      <c r="M232" s="7"/>
      <c r="N232" s="7"/>
      <c r="O232" s="7"/>
      <c r="P232" s="7"/>
      <c r="Q232" s="7"/>
      <c r="R232" s="7"/>
    </row>
    <row r="233" spans="1:18" s="62" customFormat="1">
      <c r="A233" s="89" t="s">
        <v>1082</v>
      </c>
      <c r="B233" s="368" t="s">
        <v>4848</v>
      </c>
      <c r="C233" s="91"/>
      <c r="D233" s="73"/>
      <c r="E233" s="74"/>
      <c r="F233" s="94"/>
      <c r="G233" s="73"/>
      <c r="M233" s="7"/>
      <c r="N233" s="7"/>
      <c r="O233" s="7"/>
      <c r="P233" s="7"/>
      <c r="Q233" s="7"/>
      <c r="R233" s="7"/>
    </row>
    <row r="234" spans="1:18" s="62" customFormat="1" ht="400.2">
      <c r="A234" s="89"/>
      <c r="B234" s="369" t="s">
        <v>3786</v>
      </c>
      <c r="C234" s="91"/>
      <c r="D234" s="73"/>
      <c r="E234" s="74"/>
      <c r="F234" s="94"/>
      <c r="G234" s="73"/>
      <c r="M234" s="7"/>
      <c r="N234" s="7"/>
      <c r="O234" s="7"/>
      <c r="P234" s="7"/>
      <c r="Q234" s="7"/>
      <c r="R234" s="7"/>
    </row>
    <row r="235" spans="1:18" s="62" customFormat="1" ht="27.6">
      <c r="A235" s="89" t="s">
        <v>48</v>
      </c>
      <c r="B235" s="95" t="s">
        <v>3787</v>
      </c>
      <c r="C235" s="72" t="s">
        <v>649</v>
      </c>
      <c r="D235" s="92">
        <v>1</v>
      </c>
      <c r="E235" s="74">
        <v>4550</v>
      </c>
      <c r="F235" s="93">
        <f>IF(OR(OR(E235=0,E235=" "),OR(D235=0,D235=" "))," ",D235*E235)</f>
        <v>4550</v>
      </c>
      <c r="G235" s="73"/>
      <c r="M235" s="7"/>
      <c r="N235" s="7"/>
      <c r="O235" s="7"/>
      <c r="P235" s="7"/>
      <c r="Q235" s="7"/>
      <c r="R235" s="7"/>
    </row>
    <row r="236" spans="1:18" s="62" customFormat="1">
      <c r="A236" s="89"/>
      <c r="B236" s="90"/>
      <c r="C236" s="91"/>
      <c r="D236" s="73"/>
      <c r="E236" s="74"/>
      <c r="F236" s="93"/>
      <c r="G236" s="73"/>
      <c r="M236" s="7"/>
      <c r="N236" s="7"/>
      <c r="O236" s="7"/>
      <c r="P236" s="7"/>
      <c r="Q236" s="7"/>
      <c r="R236" s="7"/>
    </row>
    <row r="237" spans="1:18" s="62" customFormat="1">
      <c r="A237" s="89" t="s">
        <v>1083</v>
      </c>
      <c r="B237" s="368" t="s">
        <v>3788</v>
      </c>
      <c r="C237" s="91"/>
      <c r="D237" s="73"/>
      <c r="E237" s="74"/>
      <c r="F237" s="94"/>
      <c r="G237" s="73"/>
      <c r="M237" s="7"/>
      <c r="N237" s="7"/>
      <c r="O237" s="7"/>
      <c r="P237" s="7"/>
      <c r="Q237" s="7"/>
      <c r="R237" s="7"/>
    </row>
    <row r="238" spans="1:18" s="62" customFormat="1" ht="138">
      <c r="A238" s="89"/>
      <c r="B238" s="369" t="s">
        <v>3789</v>
      </c>
      <c r="C238" s="91"/>
      <c r="D238" s="73"/>
      <c r="E238" s="74"/>
      <c r="F238" s="94"/>
      <c r="G238" s="73"/>
      <c r="M238" s="7"/>
      <c r="N238" s="7"/>
      <c r="O238" s="7"/>
      <c r="P238" s="7"/>
      <c r="Q238" s="7"/>
      <c r="R238" s="7"/>
    </row>
    <row r="239" spans="1:18" s="62" customFormat="1" ht="41.4">
      <c r="A239" s="89" t="s">
        <v>48</v>
      </c>
      <c r="B239" s="95" t="s">
        <v>4026</v>
      </c>
      <c r="C239" s="72" t="s">
        <v>649</v>
      </c>
      <c r="D239" s="92">
        <v>1</v>
      </c>
      <c r="E239" s="74">
        <v>1750</v>
      </c>
      <c r="F239" s="93">
        <f>IF(OR(OR(E239=0,E239=" "),OR(D239=0,D239=" "))," ",D239*E239)</f>
        <v>1750</v>
      </c>
      <c r="G239" s="73"/>
      <c r="M239" s="7"/>
      <c r="N239" s="7"/>
      <c r="O239" s="7"/>
      <c r="P239" s="7"/>
      <c r="Q239" s="7"/>
      <c r="R239" s="7"/>
    </row>
    <row r="240" spans="1:18" s="62" customFormat="1">
      <c r="A240" s="89"/>
      <c r="B240" s="90"/>
      <c r="C240" s="91"/>
      <c r="D240" s="73"/>
      <c r="E240" s="74"/>
      <c r="F240" s="93"/>
      <c r="G240" s="73"/>
      <c r="M240" s="7"/>
      <c r="N240" s="7"/>
      <c r="O240" s="7"/>
      <c r="P240" s="7"/>
      <c r="Q240" s="7"/>
      <c r="R240" s="7"/>
    </row>
    <row r="241" spans="1:18" s="62" customFormat="1">
      <c r="A241" s="89" t="s">
        <v>2040</v>
      </c>
      <c r="B241" s="368" t="s">
        <v>3791</v>
      </c>
      <c r="C241" s="91"/>
      <c r="D241" s="73"/>
      <c r="E241" s="74"/>
      <c r="F241" s="94"/>
      <c r="G241" s="73"/>
      <c r="M241" s="7"/>
      <c r="N241" s="7"/>
      <c r="O241" s="7"/>
      <c r="P241" s="7"/>
      <c r="Q241" s="7"/>
      <c r="R241" s="7"/>
    </row>
    <row r="242" spans="1:18" s="62" customFormat="1" ht="69">
      <c r="A242" s="89"/>
      <c r="B242" s="369" t="s">
        <v>3790</v>
      </c>
      <c r="C242" s="91"/>
      <c r="D242" s="73"/>
      <c r="E242" s="74"/>
      <c r="F242" s="94"/>
      <c r="G242" s="73"/>
      <c r="M242" s="7"/>
      <c r="N242" s="7"/>
      <c r="O242" s="7"/>
      <c r="P242" s="7"/>
      <c r="Q242" s="7"/>
      <c r="R242" s="7"/>
    </row>
    <row r="243" spans="1:18" s="62" customFormat="1" ht="41.4">
      <c r="A243" s="89" t="s">
        <v>48</v>
      </c>
      <c r="B243" s="95" t="s">
        <v>4027</v>
      </c>
      <c r="C243" s="72" t="s">
        <v>649</v>
      </c>
      <c r="D243" s="92">
        <v>1</v>
      </c>
      <c r="E243" s="74">
        <v>950</v>
      </c>
      <c r="F243" s="93">
        <f>IF(OR(OR(E243=0,E243=" "),OR(D243=0,D243=" "))," ",D243*E243)</f>
        <v>950</v>
      </c>
      <c r="G243" s="73"/>
      <c r="M243" s="7"/>
      <c r="N243" s="7"/>
      <c r="O243" s="7"/>
      <c r="P243" s="7"/>
      <c r="Q243" s="7"/>
      <c r="R243" s="7"/>
    </row>
    <row r="244" spans="1:18" s="62" customFormat="1">
      <c r="A244" s="89"/>
      <c r="B244" s="90"/>
      <c r="C244" s="91"/>
      <c r="D244" s="73"/>
      <c r="E244" s="74"/>
      <c r="F244" s="93"/>
      <c r="G244" s="73"/>
      <c r="M244" s="7"/>
      <c r="N244" s="7"/>
      <c r="O244" s="7"/>
      <c r="P244" s="7"/>
      <c r="Q244" s="7"/>
      <c r="R244" s="7"/>
    </row>
    <row r="245" spans="1:18" s="62" customFormat="1" ht="27.6">
      <c r="A245" s="89" t="s">
        <v>2041</v>
      </c>
      <c r="B245" s="368" t="s">
        <v>4849</v>
      </c>
      <c r="C245" s="91"/>
      <c r="D245" s="73"/>
      <c r="E245" s="74"/>
      <c r="F245" s="94"/>
      <c r="G245" s="73"/>
      <c r="M245" s="7"/>
      <c r="N245" s="7"/>
      <c r="O245" s="7"/>
      <c r="P245" s="7"/>
      <c r="Q245" s="7"/>
      <c r="R245" s="7"/>
    </row>
    <row r="246" spans="1:18" s="62" customFormat="1" ht="110.4">
      <c r="A246" s="89"/>
      <c r="B246" s="369" t="s">
        <v>4850</v>
      </c>
      <c r="C246" s="91"/>
      <c r="D246" s="73"/>
      <c r="E246" s="74"/>
      <c r="F246" s="94"/>
      <c r="G246" s="73"/>
      <c r="M246" s="7"/>
      <c r="N246" s="7"/>
      <c r="O246" s="7"/>
      <c r="P246" s="7"/>
      <c r="Q246" s="7"/>
      <c r="R246" s="7"/>
    </row>
    <row r="247" spans="1:18" s="62" customFormat="1">
      <c r="A247" s="89" t="s">
        <v>48</v>
      </c>
      <c r="B247" s="95" t="s">
        <v>4851</v>
      </c>
      <c r="C247" s="72" t="s">
        <v>649</v>
      </c>
      <c r="D247" s="92">
        <v>1</v>
      </c>
      <c r="E247" s="74">
        <v>640</v>
      </c>
      <c r="F247" s="93">
        <f>IF(OR(OR(E247=0,E247=" "),OR(D247=0,D247=" "))," ",D247*E247)</f>
        <v>640</v>
      </c>
      <c r="G247" s="73"/>
      <c r="M247" s="7"/>
      <c r="N247" s="7"/>
      <c r="O247" s="7"/>
      <c r="P247" s="7"/>
      <c r="Q247" s="7"/>
      <c r="R247" s="7"/>
    </row>
    <row r="248" spans="1:18" s="62" customFormat="1">
      <c r="A248" s="89"/>
      <c r="B248" s="90"/>
      <c r="C248" s="91"/>
      <c r="D248" s="73"/>
      <c r="E248" s="74"/>
      <c r="F248" s="93"/>
      <c r="G248" s="73"/>
      <c r="M248" s="7"/>
      <c r="N248" s="7"/>
      <c r="O248" s="7"/>
      <c r="P248" s="7"/>
      <c r="Q248" s="7"/>
      <c r="R248" s="7"/>
    </row>
    <row r="249" spans="1:18" s="62" customFormat="1">
      <c r="A249" s="89" t="s">
        <v>2042</v>
      </c>
      <c r="B249" s="368" t="s">
        <v>1975</v>
      </c>
      <c r="C249" s="91"/>
      <c r="D249" s="73"/>
      <c r="E249" s="74"/>
      <c r="F249" s="94"/>
      <c r="G249" s="73"/>
      <c r="M249" s="7"/>
      <c r="N249" s="7"/>
      <c r="O249" s="7"/>
      <c r="P249" s="7"/>
      <c r="Q249" s="7"/>
      <c r="R249" s="7"/>
    </row>
    <row r="250" spans="1:18" s="62" customFormat="1" ht="165.6">
      <c r="A250" s="89"/>
      <c r="B250" s="369" t="s">
        <v>3792</v>
      </c>
      <c r="C250" s="91"/>
      <c r="D250" s="73"/>
      <c r="E250" s="74"/>
      <c r="F250" s="94"/>
      <c r="G250" s="73"/>
      <c r="M250" s="7"/>
      <c r="N250" s="7"/>
      <c r="O250" s="7"/>
      <c r="P250" s="7"/>
      <c r="Q250" s="7"/>
      <c r="R250" s="7"/>
    </row>
    <row r="251" spans="1:18" s="62" customFormat="1">
      <c r="A251" s="89" t="s">
        <v>48</v>
      </c>
      <c r="B251" s="95" t="s">
        <v>3793</v>
      </c>
      <c r="C251" s="72" t="s">
        <v>649</v>
      </c>
      <c r="D251" s="92">
        <v>5</v>
      </c>
      <c r="E251" s="74">
        <v>390</v>
      </c>
      <c r="F251" s="93">
        <f>IF(OR(OR(E251=0,E251=" "),OR(D251=0,D251=" "))," ",D251*E251)</f>
        <v>1950</v>
      </c>
      <c r="G251" s="73"/>
      <c r="M251" s="7"/>
      <c r="N251" s="7"/>
      <c r="O251" s="7"/>
      <c r="P251" s="7"/>
      <c r="Q251" s="7"/>
      <c r="R251" s="7"/>
    </row>
    <row r="252" spans="1:18" s="62" customFormat="1">
      <c r="A252" s="89"/>
      <c r="B252" s="90"/>
      <c r="C252" s="91"/>
      <c r="D252" s="73"/>
      <c r="E252" s="74"/>
      <c r="F252" s="93"/>
      <c r="G252" s="73"/>
      <c r="M252" s="7"/>
      <c r="N252" s="7"/>
      <c r="O252" s="7"/>
      <c r="P252" s="7"/>
      <c r="Q252" s="7"/>
      <c r="R252" s="7"/>
    </row>
    <row r="253" spans="1:18" s="62" customFormat="1">
      <c r="A253" s="89" t="s">
        <v>2043</v>
      </c>
      <c r="B253" s="368" t="s">
        <v>3796</v>
      </c>
      <c r="C253" s="91"/>
      <c r="D253" s="73"/>
      <c r="E253" s="74"/>
      <c r="F253" s="94"/>
      <c r="G253" s="73"/>
      <c r="M253" s="7"/>
      <c r="N253" s="7"/>
      <c r="O253" s="7"/>
      <c r="P253" s="7"/>
      <c r="Q253" s="7"/>
      <c r="R253" s="7"/>
    </row>
    <row r="254" spans="1:18" s="62" customFormat="1">
      <c r="A254" s="89"/>
      <c r="B254" s="369" t="s">
        <v>3795</v>
      </c>
      <c r="C254" s="91"/>
      <c r="D254" s="73"/>
      <c r="E254" s="74"/>
      <c r="F254" s="94"/>
      <c r="G254" s="73"/>
      <c r="M254" s="7"/>
      <c r="N254" s="7"/>
      <c r="O254" s="7"/>
      <c r="P254" s="7"/>
      <c r="Q254" s="7"/>
      <c r="R254" s="7"/>
    </row>
    <row r="255" spans="1:18" s="62" customFormat="1" ht="41.4">
      <c r="A255" s="89" t="s">
        <v>48</v>
      </c>
      <c r="B255" s="95" t="s">
        <v>3794</v>
      </c>
      <c r="C255" s="72" t="s">
        <v>649</v>
      </c>
      <c r="D255" s="92">
        <v>1</v>
      </c>
      <c r="E255" s="74">
        <v>270</v>
      </c>
      <c r="F255" s="93">
        <f>IF(OR(OR(E255=0,E255=" "),OR(D255=0,D255=" "))," ",D255*E255)</f>
        <v>270</v>
      </c>
      <c r="G255" s="73"/>
      <c r="M255" s="7"/>
      <c r="N255" s="7"/>
      <c r="O255" s="7"/>
      <c r="P255" s="7"/>
      <c r="Q255" s="7"/>
      <c r="R255" s="7"/>
    </row>
    <row r="256" spans="1:18" s="62" customFormat="1">
      <c r="A256" s="89"/>
      <c r="B256" s="90"/>
      <c r="C256" s="91"/>
      <c r="D256" s="73"/>
      <c r="E256" s="74"/>
      <c r="F256" s="93"/>
      <c r="G256" s="73"/>
      <c r="M256" s="7"/>
      <c r="N256" s="7"/>
      <c r="O256" s="7"/>
      <c r="P256" s="7"/>
      <c r="Q256" s="7"/>
      <c r="R256" s="7"/>
    </row>
    <row r="257" spans="1:18" s="62" customFormat="1">
      <c r="A257" s="89" t="s">
        <v>2044</v>
      </c>
      <c r="B257" s="368" t="s">
        <v>3797</v>
      </c>
      <c r="C257" s="91"/>
      <c r="D257" s="73"/>
      <c r="E257" s="74"/>
      <c r="F257" s="94"/>
      <c r="G257" s="73"/>
      <c r="M257" s="7"/>
      <c r="N257" s="7"/>
      <c r="O257" s="7"/>
      <c r="P257" s="7"/>
      <c r="Q257" s="7"/>
      <c r="R257" s="7"/>
    </row>
    <row r="258" spans="1:18" s="62" customFormat="1">
      <c r="A258" s="89"/>
      <c r="B258" s="369" t="s">
        <v>3798</v>
      </c>
      <c r="C258" s="91"/>
      <c r="D258" s="73"/>
      <c r="E258" s="74"/>
      <c r="F258" s="94"/>
      <c r="G258" s="73"/>
      <c r="M258" s="7"/>
      <c r="N258" s="7"/>
      <c r="O258" s="7"/>
      <c r="P258" s="7"/>
      <c r="Q258" s="7"/>
      <c r="R258" s="7"/>
    </row>
    <row r="259" spans="1:18" s="62" customFormat="1" ht="41.4">
      <c r="A259" s="89" t="s">
        <v>48</v>
      </c>
      <c r="B259" s="95" t="s">
        <v>3799</v>
      </c>
      <c r="C259" s="72" t="s">
        <v>649</v>
      </c>
      <c r="D259" s="92">
        <v>1</v>
      </c>
      <c r="E259" s="74">
        <v>430</v>
      </c>
      <c r="F259" s="93">
        <f>IF(OR(OR(E259=0,E259=" "),OR(D259=0,D259=" "))," ",D259*E259)</f>
        <v>430</v>
      </c>
      <c r="G259" s="73"/>
      <c r="M259" s="7"/>
      <c r="N259" s="7"/>
      <c r="O259" s="7"/>
      <c r="P259" s="7"/>
      <c r="Q259" s="7"/>
      <c r="R259" s="7"/>
    </row>
    <row r="260" spans="1:18" s="62" customFormat="1">
      <c r="A260" s="98"/>
      <c r="B260" s="99"/>
      <c r="C260" s="100"/>
      <c r="D260" s="101"/>
      <c r="E260" s="100"/>
      <c r="F260" s="102"/>
      <c r="G260" s="109"/>
      <c r="M260" s="7"/>
      <c r="N260" s="7"/>
      <c r="O260" s="7"/>
      <c r="P260" s="7"/>
      <c r="Q260" s="7"/>
      <c r="R260" s="7"/>
    </row>
    <row r="261" spans="1:18" s="62" customFormat="1">
      <c r="A261" s="103" t="str">
        <f>A215</f>
        <v>P.</v>
      </c>
      <c r="B261" s="104" t="str">
        <f>CONCATENATE(B215," ", "UKUPNO:")</f>
        <v>PRAONICA RUBLJA UKUPNO:</v>
      </c>
      <c r="C261" s="61"/>
      <c r="D261" s="73"/>
      <c r="E261" s="74"/>
      <c r="F261" s="663">
        <f>SUM(F217:F260)</f>
        <v>25625</v>
      </c>
      <c r="M261" s="7"/>
      <c r="N261" s="7"/>
      <c r="O261" s="7"/>
      <c r="P261" s="7"/>
      <c r="Q261" s="7"/>
      <c r="R261" s="7"/>
    </row>
    <row r="262" spans="1:18" s="62" customFormat="1">
      <c r="A262" s="106"/>
      <c r="B262" s="107"/>
      <c r="C262" s="72"/>
      <c r="D262" s="73"/>
      <c r="E262" s="74"/>
      <c r="F262" s="108"/>
      <c r="M262" s="7"/>
      <c r="N262" s="7"/>
      <c r="O262" s="7"/>
      <c r="P262" s="7"/>
      <c r="Q262" s="7"/>
      <c r="R262" s="7"/>
    </row>
    <row r="263" spans="1:18">
      <c r="A263" s="70"/>
      <c r="B263" s="71"/>
      <c r="C263" s="72"/>
      <c r="D263" s="73"/>
      <c r="E263" s="74"/>
      <c r="F263" s="75"/>
      <c r="H263" s="7"/>
      <c r="I263" s="7"/>
      <c r="J263" s="7"/>
      <c r="K263" s="7"/>
      <c r="L263" s="7"/>
    </row>
    <row r="264" spans="1:18">
      <c r="A264" s="70"/>
      <c r="B264" s="71"/>
      <c r="C264" s="72"/>
      <c r="D264" s="73"/>
      <c r="E264" s="74"/>
      <c r="F264" s="75"/>
      <c r="H264" s="7"/>
      <c r="I264" s="7"/>
      <c r="J264" s="7"/>
      <c r="K264" s="7"/>
      <c r="L264" s="7"/>
    </row>
    <row r="265" spans="1:18" ht="15.6">
      <c r="A265" s="247" t="s">
        <v>14</v>
      </c>
      <c r="B265" s="244" t="s">
        <v>889</v>
      </c>
      <c r="C265" s="243"/>
      <c r="D265" s="243"/>
      <c r="E265" s="243"/>
      <c r="F265" s="243"/>
      <c r="G265" s="7"/>
      <c r="H265" s="7"/>
      <c r="I265" s="7"/>
      <c r="J265" s="7"/>
      <c r="K265" s="7"/>
      <c r="L265" s="7"/>
    </row>
    <row r="266" spans="1:18">
      <c r="A266" s="7"/>
      <c r="B266" s="7"/>
      <c r="C266" s="7"/>
      <c r="D266" s="7"/>
      <c r="E266" s="7"/>
      <c r="F266" s="7"/>
      <c r="G266" s="7"/>
      <c r="H266" s="7"/>
      <c r="I266" s="7"/>
      <c r="J266" s="7"/>
      <c r="K266" s="7"/>
      <c r="L266" s="7"/>
    </row>
    <row r="267" spans="1:18">
      <c r="A267" s="9" t="str">
        <f>A8</f>
        <v>K.</v>
      </c>
      <c r="B267" s="14" t="str">
        <f>B8</f>
        <v>KUHINJA</v>
      </c>
      <c r="C267" s="10"/>
      <c r="D267" s="10"/>
      <c r="E267" s="10"/>
      <c r="F267" s="661">
        <f>F212</f>
        <v>78945</v>
      </c>
      <c r="G267" s="7"/>
      <c r="H267" s="7"/>
      <c r="I267" s="7"/>
      <c r="J267" s="7"/>
      <c r="K267" s="7"/>
      <c r="L267" s="7"/>
    </row>
    <row r="268" spans="1:18">
      <c r="A268" s="9"/>
      <c r="B268" s="14"/>
      <c r="C268" s="10"/>
      <c r="D268" s="10"/>
      <c r="E268" s="10"/>
      <c r="F268" s="16"/>
      <c r="G268" s="7"/>
      <c r="H268" s="7"/>
      <c r="I268" s="7"/>
      <c r="J268" s="7"/>
      <c r="K268" s="7"/>
      <c r="L268" s="7"/>
    </row>
    <row r="269" spans="1:18">
      <c r="A269" s="9" t="str">
        <f>A215</f>
        <v>P.</v>
      </c>
      <c r="B269" s="14" t="str">
        <f>B215</f>
        <v>PRAONICA RUBLJA</v>
      </c>
      <c r="C269" s="10"/>
      <c r="D269" s="10"/>
      <c r="E269" s="10"/>
      <c r="F269" s="661">
        <f>F261</f>
        <v>25625</v>
      </c>
      <c r="G269" s="7"/>
      <c r="H269" s="7"/>
      <c r="I269" s="7"/>
      <c r="J269" s="7"/>
      <c r="K269" s="7"/>
      <c r="L269" s="7"/>
    </row>
    <row r="270" spans="1:18">
      <c r="A270" s="9"/>
      <c r="B270" s="14"/>
      <c r="C270" s="10"/>
      <c r="D270" s="10"/>
      <c r="E270" s="10"/>
      <c r="F270" s="16"/>
      <c r="H270" s="7"/>
      <c r="I270" s="7"/>
      <c r="J270" s="7"/>
      <c r="K270" s="7"/>
      <c r="L270" s="7"/>
    </row>
    <row r="271" spans="1:18" ht="15.6">
      <c r="A271" s="239" t="s">
        <v>14</v>
      </c>
      <c r="B271" s="240" t="s">
        <v>2132</v>
      </c>
      <c r="C271" s="241"/>
      <c r="D271" s="241"/>
      <c r="E271" s="242"/>
      <c r="F271" s="662">
        <f>SUM(F266:F270)</f>
        <v>104570</v>
      </c>
      <c r="G271" s="7"/>
      <c r="H271" s="7"/>
      <c r="I271" s="7"/>
      <c r="J271" s="7"/>
      <c r="K271" s="7"/>
      <c r="L271" s="7"/>
    </row>
    <row r="272" spans="1:18">
      <c r="A272" s="70"/>
      <c r="B272" s="71"/>
      <c r="C272" s="72"/>
      <c r="D272" s="73"/>
      <c r="E272" s="74"/>
      <c r="F272" s="75"/>
      <c r="G272" s="7"/>
      <c r="H272" s="7"/>
      <c r="I272" s="7"/>
      <c r="J272" s="7"/>
      <c r="K272" s="7"/>
      <c r="L272" s="7"/>
    </row>
    <row r="273" spans="1:12">
      <c r="A273" s="70"/>
      <c r="B273" s="71"/>
      <c r="C273" s="72"/>
      <c r="D273" s="73"/>
      <c r="E273" s="74"/>
      <c r="F273" s="75"/>
      <c r="G273" s="7"/>
      <c r="H273" s="7"/>
      <c r="I273" s="7"/>
      <c r="J273" s="7"/>
      <c r="K273" s="7"/>
      <c r="L273" s="7"/>
    </row>
    <row r="274" spans="1:12">
      <c r="A274" s="70"/>
      <c r="B274" s="71"/>
      <c r="C274" s="72"/>
      <c r="D274" s="73"/>
      <c r="E274" s="74"/>
      <c r="F274" s="75"/>
      <c r="G274" s="7"/>
      <c r="H274" s="7"/>
      <c r="I274" s="7"/>
      <c r="J274" s="7"/>
      <c r="K274" s="7"/>
      <c r="L274" s="7"/>
    </row>
    <row r="275" spans="1:12">
      <c r="A275" s="70"/>
      <c r="B275" s="71"/>
      <c r="C275" s="72"/>
      <c r="D275" s="73"/>
      <c r="E275" s="74"/>
      <c r="F275" s="75"/>
      <c r="G275" s="7"/>
      <c r="H275" s="7"/>
      <c r="I275" s="7"/>
      <c r="J275" s="7"/>
      <c r="K275" s="7"/>
      <c r="L275" s="7"/>
    </row>
    <row r="276" spans="1:12">
      <c r="A276" s="70"/>
      <c r="B276" s="71"/>
      <c r="C276" s="72"/>
      <c r="D276" s="73"/>
      <c r="E276" s="74"/>
      <c r="F276" s="75"/>
      <c r="G276" s="7"/>
      <c r="H276" s="7"/>
      <c r="I276" s="7"/>
      <c r="J276" s="7"/>
      <c r="K276" s="7"/>
      <c r="L276" s="7"/>
    </row>
    <row r="277" spans="1:12">
      <c r="A277" s="70"/>
      <c r="B277" s="71"/>
      <c r="C277" s="72"/>
      <c r="D277" s="73"/>
      <c r="E277" s="74"/>
      <c r="F277" s="75"/>
      <c r="G277" s="7"/>
      <c r="H277" s="7"/>
      <c r="I277" s="7"/>
      <c r="J277" s="7"/>
      <c r="K277" s="7"/>
      <c r="L277" s="7"/>
    </row>
    <row r="279" spans="1:12">
      <c r="B279" s="420"/>
    </row>
  </sheetData>
  <mergeCells count="1">
    <mergeCell ref="A1:F1"/>
  </mergeCells>
  <printOptions horizontalCentered="1"/>
  <pageMargins left="0.78740157480314965" right="0.39370078740157483" top="0.39370078740157483" bottom="1.1811023622047245" header="0.39370078740157483" footer="0.59055118110236227"/>
  <pageSetup paperSize="9" scale="98" orientation="portrait" r:id="rId1"/>
  <headerFooter alignWithMargins="0">
    <oddFooter>&amp;L&amp;"-,Uobičajeno"&amp;9&amp;A&amp;C&amp;"-,Uobičajeno"&amp;9DJEČJI VRTIĆ LEKENIK&amp;R&amp;"-,Uobičajeno"str.: &amp;"-,Podebljano"&amp;P/&amp;N</oddFooter>
  </headerFooter>
  <rowBreaks count="16" manualBreakCount="16">
    <brk id="19" max="5" man="1"/>
    <brk id="32" max="5" man="1"/>
    <brk id="49" max="5" man="1"/>
    <brk id="84" max="5" man="1"/>
    <brk id="92" max="5" man="1"/>
    <brk id="103" max="5" man="1"/>
    <brk id="115" max="5" man="1"/>
    <brk id="130" max="5" man="1"/>
    <brk id="145" max="5" man="1"/>
    <brk id="161" max="5" man="1"/>
    <brk id="176" max="5" man="1"/>
    <brk id="192" max="5" man="1"/>
    <brk id="214" max="5" man="1"/>
    <brk id="227" max="5" man="1"/>
    <brk id="232" max="5" man="1"/>
    <brk id="240" max="5"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1432"/>
  <sheetViews>
    <sheetView view="pageBreakPreview" topLeftCell="A1419" zoomScale="115" zoomScaleNormal="85" zoomScaleSheetLayoutView="115" workbookViewId="0">
      <selection activeCell="E1384" sqref="E1:E1048576"/>
    </sheetView>
  </sheetViews>
  <sheetFormatPr defaultColWidth="9.109375" defaultRowHeight="13.8"/>
  <cols>
    <col min="1" max="1" width="6.6640625" style="183" customWidth="1"/>
    <col min="2" max="2" width="40.6640625" style="159" customWidth="1"/>
    <col min="3" max="3" width="5.6640625" style="168" customWidth="1"/>
    <col min="4" max="4" width="10.6640625" style="628" customWidth="1"/>
    <col min="5" max="5" width="12.6640625" style="169" customWidth="1"/>
    <col min="6" max="6" width="16.6640625" style="169" customWidth="1"/>
    <col min="7" max="7" width="9.33203125" style="122" customWidth="1"/>
    <col min="8" max="8" width="15.109375" style="123" customWidth="1"/>
    <col min="9" max="9" width="9" style="124" customWidth="1"/>
    <col min="10" max="10" width="12.109375" style="125" customWidth="1"/>
    <col min="11" max="13" width="9.109375" style="126"/>
    <col min="14" max="15" width="9.109375" style="850"/>
    <col min="16" max="16384" width="9.109375" style="126"/>
  </cols>
  <sheetData>
    <row r="1" spans="1:21" ht="12">
      <c r="A1" s="935" t="s">
        <v>2134</v>
      </c>
      <c r="B1" s="936"/>
      <c r="C1" s="936"/>
      <c r="D1" s="936"/>
      <c r="E1" s="936"/>
      <c r="F1" s="936"/>
    </row>
    <row r="2" spans="1:21">
      <c r="A2" s="127" t="s">
        <v>658</v>
      </c>
      <c r="B2" s="128" t="s">
        <v>890</v>
      </c>
      <c r="C2" s="127" t="s">
        <v>659</v>
      </c>
      <c r="D2" s="129" t="s">
        <v>660</v>
      </c>
      <c r="E2" s="130" t="s">
        <v>891</v>
      </c>
      <c r="F2" s="130" t="s">
        <v>661</v>
      </c>
    </row>
    <row r="3" spans="1:21">
      <c r="A3" s="127">
        <v>1</v>
      </c>
      <c r="B3" s="128" t="s">
        <v>892</v>
      </c>
      <c r="C3" s="127">
        <v>3</v>
      </c>
      <c r="D3" s="127">
        <v>4</v>
      </c>
      <c r="E3" s="127">
        <v>5</v>
      </c>
      <c r="F3" s="130" t="s">
        <v>662</v>
      </c>
    </row>
    <row r="4" spans="1:21">
      <c r="A4" s="131"/>
      <c r="B4" s="132"/>
      <c r="C4" s="133"/>
      <c r="D4" s="134"/>
      <c r="E4" s="135"/>
      <c r="F4" s="135"/>
    </row>
    <row r="5" spans="1:21" ht="18">
      <c r="A5" s="213" t="s">
        <v>686</v>
      </c>
      <c r="B5" s="214" t="s">
        <v>2371</v>
      </c>
      <c r="C5" s="214"/>
      <c r="D5" s="136"/>
      <c r="E5" s="137"/>
      <c r="F5" s="138"/>
    </row>
    <row r="6" spans="1:21">
      <c r="A6" s="558"/>
      <c r="B6" s="559"/>
      <c r="C6" s="273"/>
      <c r="D6" s="560"/>
      <c r="F6" s="561"/>
    </row>
    <row r="7" spans="1:21">
      <c r="A7" s="131"/>
      <c r="C7" s="133"/>
      <c r="D7" s="562"/>
      <c r="E7" s="135"/>
      <c r="F7" s="135"/>
    </row>
    <row r="8" spans="1:21" s="157" customFormat="1">
      <c r="A8" s="265"/>
      <c r="B8" s="563" t="s">
        <v>22</v>
      </c>
      <c r="C8" s="564"/>
      <c r="D8" s="565"/>
      <c r="E8" s="566"/>
      <c r="F8" s="566"/>
      <c r="G8" s="153"/>
      <c r="H8" s="154"/>
      <c r="I8" s="155"/>
      <c r="J8" s="156"/>
      <c r="N8" s="851"/>
      <c r="O8" s="851"/>
    </row>
    <row r="9" spans="1:21" s="157" customFormat="1">
      <c r="A9" s="265"/>
      <c r="B9" s="567"/>
      <c r="C9" s="564"/>
      <c r="D9" s="565"/>
      <c r="E9" s="566"/>
      <c r="F9" s="566"/>
      <c r="G9" s="153"/>
      <c r="H9" s="154"/>
      <c r="I9" s="155"/>
      <c r="J9" s="156"/>
      <c r="N9" s="851"/>
      <c r="O9" s="851"/>
    </row>
    <row r="10" spans="1:21" s="157" customFormat="1" ht="82.8">
      <c r="A10" s="265"/>
      <c r="B10" s="744" t="s">
        <v>3161</v>
      </c>
      <c r="C10" s="564"/>
      <c r="D10" s="565"/>
      <c r="E10" s="566"/>
      <c r="F10" s="566"/>
      <c r="G10" s="153"/>
      <c r="H10" s="154"/>
      <c r="I10" s="155"/>
      <c r="J10" s="156"/>
      <c r="N10" s="851"/>
      <c r="O10" s="851"/>
    </row>
    <row r="11" spans="1:21" s="157" customFormat="1">
      <c r="A11" s="265"/>
      <c r="B11" s="744"/>
      <c r="C11" s="564"/>
      <c r="D11" s="565"/>
      <c r="E11" s="566"/>
      <c r="F11" s="566"/>
      <c r="G11" s="153"/>
      <c r="H11" s="154"/>
      <c r="I11" s="155"/>
      <c r="J11" s="156"/>
      <c r="N11" s="851"/>
      <c r="O11" s="851"/>
    </row>
    <row r="12" spans="1:21" s="157" customFormat="1" ht="248.4">
      <c r="A12" s="265"/>
      <c r="B12" s="745" t="s">
        <v>2426</v>
      </c>
      <c r="C12" s="564"/>
      <c r="D12" s="565"/>
      <c r="E12" s="566"/>
      <c r="F12" s="566"/>
      <c r="G12" s="153"/>
      <c r="H12" s="868"/>
      <c r="I12" s="155"/>
      <c r="J12" s="156"/>
      <c r="N12" s="851"/>
      <c r="O12" s="851"/>
    </row>
    <row r="13" spans="1:21" s="157" customFormat="1">
      <c r="A13" s="265"/>
      <c r="B13" s="745"/>
      <c r="C13" s="564"/>
      <c r="D13" s="565"/>
      <c r="E13" s="566"/>
      <c r="F13" s="566"/>
      <c r="G13" s="153"/>
      <c r="H13" s="154"/>
      <c r="I13" s="155"/>
      <c r="J13" s="156"/>
      <c r="N13" s="851"/>
      <c r="O13" s="851"/>
    </row>
    <row r="14" spans="1:21" s="157" customFormat="1" ht="138">
      <c r="A14" s="265"/>
      <c r="B14" s="745" t="s">
        <v>2427</v>
      </c>
      <c r="C14" s="564"/>
      <c r="D14" s="565"/>
      <c r="E14" s="566"/>
      <c r="F14" s="566"/>
      <c r="G14" s="153"/>
      <c r="H14" s="154"/>
      <c r="I14" s="155"/>
      <c r="J14" s="156"/>
      <c r="N14" s="851"/>
      <c r="O14" s="851"/>
    </row>
    <row r="15" spans="1:21" s="157" customFormat="1" ht="110.4">
      <c r="A15" s="265"/>
      <c r="B15" s="745" t="s">
        <v>2428</v>
      </c>
      <c r="C15" s="564"/>
      <c r="D15" s="565"/>
      <c r="E15" s="566"/>
      <c r="F15" s="566"/>
      <c r="G15" s="153"/>
      <c r="H15" s="154"/>
      <c r="I15" s="155"/>
      <c r="J15" s="156"/>
      <c r="N15" s="851"/>
      <c r="O15" s="851"/>
    </row>
    <row r="16" spans="1:21" s="157" customFormat="1" ht="82.8">
      <c r="A16" s="265"/>
      <c r="B16" s="745" t="s">
        <v>2429</v>
      </c>
      <c r="C16" s="564"/>
      <c r="D16" s="565"/>
      <c r="E16" s="566"/>
      <c r="F16" s="566"/>
      <c r="G16" s="153"/>
      <c r="H16" s="154"/>
      <c r="I16" s="155"/>
      <c r="J16" s="156"/>
      <c r="N16" s="851"/>
      <c r="O16" s="851"/>
      <c r="U16" s="744"/>
    </row>
    <row r="17" spans="1:15" s="157" customFormat="1">
      <c r="A17" s="265"/>
      <c r="B17" s="745"/>
      <c r="C17" s="564"/>
      <c r="D17" s="565"/>
      <c r="E17" s="566"/>
      <c r="F17" s="566"/>
      <c r="G17" s="153"/>
      <c r="H17" s="154"/>
      <c r="I17" s="155"/>
      <c r="J17" s="156"/>
      <c r="N17" s="851"/>
      <c r="O17" s="851"/>
    </row>
    <row r="18" spans="1:15" s="157" customFormat="1" ht="27.6">
      <c r="A18" s="265"/>
      <c r="B18" s="745" t="s">
        <v>2430</v>
      </c>
      <c r="C18" s="564"/>
      <c r="D18" s="565"/>
      <c r="E18" s="566"/>
      <c r="F18" s="566"/>
      <c r="G18" s="153"/>
      <c r="H18" s="154"/>
      <c r="I18" s="155"/>
      <c r="J18" s="156"/>
      <c r="N18" s="851"/>
      <c r="O18" s="851"/>
    </row>
    <row r="19" spans="1:15" s="157" customFormat="1">
      <c r="A19" s="265"/>
      <c r="B19" s="745"/>
      <c r="C19" s="564"/>
      <c r="D19" s="565"/>
      <c r="E19" s="566"/>
      <c r="F19" s="566"/>
      <c r="G19" s="153"/>
      <c r="H19" s="154"/>
      <c r="I19" s="155"/>
      <c r="J19" s="156"/>
      <c r="N19" s="851"/>
      <c r="O19" s="851"/>
    </row>
    <row r="20" spans="1:15" s="157" customFormat="1" ht="96.6">
      <c r="A20" s="265" t="s">
        <v>8</v>
      </c>
      <c r="B20" s="745" t="s">
        <v>2431</v>
      </c>
      <c r="C20" s="564"/>
      <c r="D20" s="565"/>
      <c r="E20" s="566"/>
      <c r="F20" s="566"/>
      <c r="G20" s="153"/>
      <c r="H20" s="154"/>
      <c r="I20" s="155"/>
      <c r="J20" s="156"/>
      <c r="N20" s="851"/>
      <c r="O20" s="851"/>
    </row>
    <row r="21" spans="1:15" s="157" customFormat="1">
      <c r="A21" s="265"/>
      <c r="B21" s="745"/>
      <c r="C21" s="564"/>
      <c r="D21" s="565"/>
      <c r="E21" s="566"/>
      <c r="F21" s="566"/>
      <c r="G21" s="153"/>
      <c r="H21" s="154"/>
      <c r="I21" s="155"/>
      <c r="J21" s="156"/>
      <c r="N21" s="851"/>
      <c r="O21" s="851"/>
    </row>
    <row r="22" spans="1:15" s="157" customFormat="1" ht="55.2">
      <c r="A22" s="265" t="s">
        <v>9</v>
      </c>
      <c r="B22" s="745" t="s">
        <v>3242</v>
      </c>
      <c r="C22" s="564"/>
      <c r="D22" s="565"/>
      <c r="E22" s="566"/>
      <c r="F22" s="566"/>
      <c r="G22" s="153"/>
      <c r="H22" s="154"/>
      <c r="I22" s="155"/>
      <c r="J22" s="156"/>
      <c r="N22" s="851"/>
      <c r="O22" s="851"/>
    </row>
    <row r="23" spans="1:15" s="157" customFormat="1">
      <c r="A23" s="265"/>
      <c r="B23" s="745"/>
      <c r="C23" s="564"/>
      <c r="D23" s="565"/>
      <c r="E23" s="566"/>
      <c r="F23" s="566"/>
      <c r="G23" s="153"/>
      <c r="H23" s="154"/>
      <c r="I23" s="155"/>
      <c r="J23" s="156"/>
      <c r="N23" s="851"/>
      <c r="O23" s="851"/>
    </row>
    <row r="24" spans="1:15" s="157" customFormat="1" ht="27.6">
      <c r="A24" s="265" t="s">
        <v>10</v>
      </c>
      <c r="B24" s="745" t="s">
        <v>2432</v>
      </c>
      <c r="C24" s="564"/>
      <c r="D24" s="565"/>
      <c r="E24" s="566"/>
      <c r="F24" s="566"/>
      <c r="G24" s="153"/>
      <c r="H24" s="154"/>
      <c r="I24" s="155"/>
      <c r="J24" s="156"/>
      <c r="N24" s="851"/>
      <c r="O24" s="851"/>
    </row>
    <row r="25" spans="1:15" s="157" customFormat="1">
      <c r="A25" s="265"/>
      <c r="B25" s="745"/>
      <c r="C25" s="564"/>
      <c r="D25" s="565"/>
      <c r="E25" s="566"/>
      <c r="F25" s="566"/>
      <c r="G25" s="153"/>
      <c r="H25" s="154"/>
      <c r="I25" s="155"/>
      <c r="J25" s="156"/>
      <c r="N25" s="851"/>
      <c r="O25" s="851"/>
    </row>
    <row r="26" spans="1:15" s="157" customFormat="1" ht="27.6">
      <c r="A26" s="265" t="s">
        <v>11</v>
      </c>
      <c r="B26" s="745" t="s">
        <v>2433</v>
      </c>
      <c r="C26" s="564"/>
      <c r="D26" s="565"/>
      <c r="E26" s="566"/>
      <c r="F26" s="566"/>
      <c r="G26" s="153"/>
      <c r="H26" s="154"/>
      <c r="I26" s="155"/>
      <c r="J26" s="156"/>
      <c r="N26" s="851"/>
      <c r="O26" s="851"/>
    </row>
    <row r="27" spans="1:15" s="157" customFormat="1">
      <c r="A27" s="265"/>
      <c r="B27" s="745"/>
      <c r="C27" s="564"/>
      <c r="D27" s="565"/>
      <c r="E27" s="566"/>
      <c r="F27" s="566"/>
      <c r="G27" s="153"/>
      <c r="H27" s="154"/>
      <c r="I27" s="155"/>
      <c r="J27" s="156"/>
      <c r="N27" s="851"/>
      <c r="O27" s="851"/>
    </row>
    <row r="28" spans="1:15" s="157" customFormat="1" ht="27.6">
      <c r="A28" s="265" t="s">
        <v>12</v>
      </c>
      <c r="B28" s="745" t="s">
        <v>2434</v>
      </c>
      <c r="C28" s="564"/>
      <c r="D28" s="565"/>
      <c r="E28" s="566"/>
      <c r="F28" s="566"/>
      <c r="G28" s="153"/>
      <c r="H28" s="154"/>
      <c r="I28" s="155"/>
      <c r="J28" s="156"/>
      <c r="N28" s="851"/>
      <c r="O28" s="851"/>
    </row>
    <row r="29" spans="1:15" s="157" customFormat="1">
      <c r="A29" s="265"/>
      <c r="B29" s="745"/>
      <c r="C29" s="564"/>
      <c r="D29" s="565"/>
      <c r="E29" s="566"/>
      <c r="F29" s="566"/>
      <c r="G29" s="153"/>
      <c r="H29" s="154"/>
      <c r="I29" s="155"/>
      <c r="J29" s="156"/>
      <c r="N29" s="851"/>
      <c r="O29" s="851"/>
    </row>
    <row r="30" spans="1:15" s="157" customFormat="1" ht="69">
      <c r="A30" s="265" t="s">
        <v>13</v>
      </c>
      <c r="B30" s="745" t="s">
        <v>2435</v>
      </c>
      <c r="C30" s="564"/>
      <c r="D30" s="565"/>
      <c r="E30" s="566"/>
      <c r="F30" s="566"/>
      <c r="G30" s="153"/>
      <c r="H30" s="154"/>
      <c r="I30" s="155"/>
      <c r="J30" s="156"/>
      <c r="N30" s="851"/>
      <c r="O30" s="851"/>
    </row>
    <row r="31" spans="1:15" s="157" customFormat="1">
      <c r="A31" s="265"/>
      <c r="B31" s="745"/>
      <c r="C31" s="564"/>
      <c r="D31" s="565"/>
      <c r="E31" s="566"/>
      <c r="F31" s="566"/>
      <c r="G31" s="153"/>
      <c r="H31" s="154"/>
      <c r="I31" s="155"/>
      <c r="J31" s="156"/>
      <c r="N31" s="851"/>
      <c r="O31" s="851"/>
    </row>
    <row r="32" spans="1:15" s="157" customFormat="1">
      <c r="A32" s="265"/>
      <c r="B32" s="745"/>
      <c r="C32" s="564"/>
      <c r="D32" s="565"/>
      <c r="E32" s="566"/>
      <c r="F32" s="566"/>
      <c r="G32" s="153"/>
      <c r="H32" s="154"/>
      <c r="I32" s="155"/>
      <c r="J32" s="156"/>
      <c r="N32" s="851"/>
      <c r="O32" s="851"/>
    </row>
    <row r="33" spans="1:15" s="157" customFormat="1">
      <c r="A33" s="265"/>
      <c r="B33" s="745" t="s">
        <v>2436</v>
      </c>
      <c r="C33" s="564"/>
      <c r="D33" s="565"/>
      <c r="E33" s="566"/>
      <c r="F33" s="566"/>
      <c r="G33" s="153"/>
      <c r="H33" s="154"/>
      <c r="I33" s="155"/>
      <c r="J33" s="156"/>
      <c r="N33" s="851"/>
      <c r="O33" s="851"/>
    </row>
    <row r="34" spans="1:15" s="157" customFormat="1" ht="165.6">
      <c r="A34" s="265"/>
      <c r="B34" s="745" t="s">
        <v>2437</v>
      </c>
      <c r="C34" s="564"/>
      <c r="D34" s="565"/>
      <c r="E34" s="566"/>
      <c r="F34" s="566"/>
      <c r="G34" s="153"/>
      <c r="H34" s="154"/>
      <c r="I34" s="155"/>
      <c r="J34" s="156"/>
      <c r="N34" s="851"/>
      <c r="O34" s="851"/>
    </row>
    <row r="35" spans="1:15" s="157" customFormat="1">
      <c r="A35" s="265"/>
      <c r="B35" s="745"/>
      <c r="C35" s="564"/>
      <c r="D35" s="565"/>
      <c r="E35" s="566"/>
      <c r="F35" s="566"/>
      <c r="G35" s="153"/>
      <c r="H35" s="154"/>
      <c r="I35" s="155"/>
      <c r="J35" s="156"/>
      <c r="N35" s="851"/>
      <c r="O35" s="851"/>
    </row>
    <row r="36" spans="1:15" s="157" customFormat="1">
      <c r="A36" s="265"/>
      <c r="B36" s="744" t="s">
        <v>2438</v>
      </c>
      <c r="C36" s="564"/>
      <c r="D36" s="565"/>
      <c r="E36" s="566"/>
      <c r="F36" s="566"/>
      <c r="G36" s="153"/>
      <c r="H36" s="154"/>
      <c r="I36" s="155"/>
      <c r="J36" s="156"/>
      <c r="N36" s="851"/>
      <c r="O36" s="851"/>
    </row>
    <row r="37" spans="1:15" s="157" customFormat="1">
      <c r="A37" s="265"/>
      <c r="B37" s="745"/>
      <c r="C37" s="564"/>
      <c r="D37" s="565"/>
      <c r="E37" s="566"/>
      <c r="F37" s="566"/>
      <c r="G37" s="153"/>
      <c r="H37" s="154"/>
      <c r="I37" s="155"/>
      <c r="J37" s="156"/>
      <c r="N37" s="851"/>
      <c r="O37" s="851"/>
    </row>
    <row r="38" spans="1:15" s="157" customFormat="1">
      <c r="A38" s="265"/>
      <c r="B38" s="744" t="s">
        <v>2439</v>
      </c>
      <c r="C38" s="746"/>
      <c r="D38" s="568"/>
      <c r="E38" s="566"/>
      <c r="F38" s="566"/>
      <c r="G38" s="153"/>
      <c r="H38" s="154"/>
      <c r="I38" s="155"/>
      <c r="J38" s="156"/>
      <c r="N38" s="851"/>
      <c r="O38" s="851"/>
    </row>
    <row r="39" spans="1:15" s="157" customFormat="1">
      <c r="A39" s="265"/>
      <c r="B39" s="746" t="s">
        <v>2440</v>
      </c>
      <c r="C39" s="747" t="s">
        <v>5185</v>
      </c>
      <c r="D39" s="568"/>
      <c r="E39" s="566"/>
      <c r="F39" s="566"/>
      <c r="G39" s="153"/>
      <c r="H39" s="154"/>
      <c r="I39" s="155"/>
      <c r="J39" s="156"/>
      <c r="N39" s="851"/>
      <c r="O39" s="851"/>
    </row>
    <row r="40" spans="1:15" s="157" customFormat="1">
      <c r="A40" s="265"/>
      <c r="B40" s="746" t="s">
        <v>2441</v>
      </c>
      <c r="C40" s="747" t="s">
        <v>5185</v>
      </c>
      <c r="D40" s="568"/>
      <c r="E40" s="566"/>
      <c r="F40" s="566"/>
      <c r="G40" s="153"/>
      <c r="H40" s="154"/>
      <c r="I40" s="155"/>
      <c r="J40" s="156"/>
      <c r="N40" s="851"/>
      <c r="O40" s="851"/>
    </row>
    <row r="41" spans="1:15" s="157" customFormat="1">
      <c r="A41" s="265"/>
      <c r="B41" s="746" t="s">
        <v>2442</v>
      </c>
      <c r="C41" s="747" t="s">
        <v>5185</v>
      </c>
      <c r="D41" s="568"/>
      <c r="E41" s="566"/>
      <c r="F41" s="566"/>
      <c r="G41" s="153"/>
      <c r="H41" s="154"/>
      <c r="I41" s="155"/>
      <c r="J41" s="156"/>
      <c r="N41" s="851"/>
      <c r="O41" s="851"/>
    </row>
    <row r="42" spans="1:15" s="157" customFormat="1">
      <c r="A42" s="265"/>
      <c r="B42" s="746"/>
      <c r="C42" s="747"/>
      <c r="D42" s="568"/>
      <c r="E42" s="566"/>
      <c r="F42" s="566"/>
      <c r="G42" s="153"/>
      <c r="H42" s="154"/>
      <c r="I42" s="155"/>
      <c r="J42" s="156"/>
      <c r="N42" s="851"/>
      <c r="O42" s="851"/>
    </row>
    <row r="43" spans="1:15" s="157" customFormat="1">
      <c r="A43" s="265"/>
      <c r="B43" s="744" t="s">
        <v>2443</v>
      </c>
      <c r="C43" s="747"/>
      <c r="D43" s="568"/>
      <c r="E43" s="566"/>
      <c r="F43" s="566"/>
      <c r="G43" s="153"/>
      <c r="H43" s="154"/>
      <c r="I43" s="155"/>
      <c r="J43" s="156"/>
      <c r="N43" s="851"/>
      <c r="O43" s="851"/>
    </row>
    <row r="44" spans="1:15" s="157" customFormat="1">
      <c r="A44" s="265"/>
      <c r="B44" s="746" t="s">
        <v>2444</v>
      </c>
      <c r="C44" s="747" t="s">
        <v>5185</v>
      </c>
      <c r="D44" s="568"/>
      <c r="E44" s="566"/>
      <c r="F44" s="566"/>
      <c r="G44" s="153"/>
      <c r="H44" s="154"/>
      <c r="I44" s="155"/>
      <c r="J44" s="156"/>
      <c r="N44" s="851"/>
      <c r="O44" s="851"/>
    </row>
    <row r="45" spans="1:15" s="157" customFormat="1">
      <c r="A45" s="265"/>
      <c r="B45" s="746" t="s">
        <v>2441</v>
      </c>
      <c r="C45" s="747" t="s">
        <v>5185</v>
      </c>
      <c r="D45" s="568"/>
      <c r="E45" s="566"/>
      <c r="F45" s="566"/>
      <c r="G45" s="153"/>
      <c r="H45" s="154"/>
      <c r="I45" s="155"/>
      <c r="J45" s="156"/>
      <c r="N45" s="851"/>
      <c r="O45" s="851"/>
    </row>
    <row r="46" spans="1:15" s="157" customFormat="1">
      <c r="A46" s="265"/>
      <c r="B46" s="746" t="s">
        <v>2442</v>
      </c>
      <c r="C46" s="747" t="s">
        <v>5185</v>
      </c>
      <c r="D46" s="568"/>
      <c r="E46" s="566"/>
      <c r="F46" s="566"/>
      <c r="G46" s="153"/>
      <c r="H46" s="154"/>
      <c r="I46" s="155"/>
      <c r="J46" s="156"/>
      <c r="N46" s="851"/>
      <c r="O46" s="851"/>
    </row>
    <row r="47" spans="1:15" s="157" customFormat="1">
      <c r="A47" s="265"/>
      <c r="B47" s="746" t="s">
        <v>2445</v>
      </c>
      <c r="C47" s="747" t="s">
        <v>5185</v>
      </c>
      <c r="D47" s="568"/>
      <c r="E47" s="566"/>
      <c r="F47" s="566"/>
      <c r="G47" s="153"/>
      <c r="H47" s="154"/>
      <c r="I47" s="155"/>
      <c r="J47" s="156"/>
      <c r="N47" s="851"/>
      <c r="O47" s="851"/>
    </row>
    <row r="48" spans="1:15" s="157" customFormat="1">
      <c r="A48" s="265"/>
      <c r="B48" s="746" t="s">
        <v>2446</v>
      </c>
      <c r="C48" s="747" t="s">
        <v>5185</v>
      </c>
      <c r="D48" s="568"/>
      <c r="E48" s="566"/>
      <c r="F48" s="566"/>
      <c r="G48" s="153"/>
      <c r="H48" s="154"/>
      <c r="I48" s="155"/>
      <c r="J48" s="156"/>
      <c r="N48" s="851"/>
      <c r="O48" s="851"/>
    </row>
    <row r="49" spans="1:15" s="157" customFormat="1">
      <c r="A49" s="265"/>
      <c r="B49" s="746" t="s">
        <v>2447</v>
      </c>
      <c r="C49" s="747" t="s">
        <v>5185</v>
      </c>
      <c r="D49" s="568"/>
      <c r="E49" s="566"/>
      <c r="F49" s="566"/>
      <c r="G49" s="153"/>
      <c r="H49" s="154"/>
      <c r="I49" s="155"/>
      <c r="J49" s="156"/>
      <c r="N49" s="851"/>
      <c r="O49" s="851"/>
    </row>
    <row r="50" spans="1:15" s="157" customFormat="1">
      <c r="A50" s="265"/>
      <c r="B50" s="746" t="s">
        <v>2448</v>
      </c>
      <c r="C50" s="747" t="s">
        <v>5185</v>
      </c>
      <c r="D50" s="568"/>
      <c r="E50" s="566"/>
      <c r="F50" s="566"/>
      <c r="G50" s="153"/>
      <c r="H50" s="154"/>
      <c r="I50" s="155"/>
      <c r="J50" s="156"/>
      <c r="N50" s="851"/>
      <c r="O50" s="851"/>
    </row>
    <row r="51" spans="1:15" s="157" customFormat="1">
      <c r="A51" s="265"/>
      <c r="B51" s="746"/>
      <c r="C51" s="747"/>
      <c r="D51" s="568"/>
      <c r="E51" s="566"/>
      <c r="F51" s="566"/>
      <c r="G51" s="153"/>
      <c r="H51" s="154"/>
      <c r="I51" s="155"/>
      <c r="J51" s="156"/>
      <c r="N51" s="851"/>
      <c r="O51" s="851"/>
    </row>
    <row r="52" spans="1:15" s="157" customFormat="1">
      <c r="A52" s="265"/>
      <c r="B52" s="744" t="s">
        <v>2449</v>
      </c>
      <c r="C52" s="747"/>
      <c r="D52" s="568"/>
      <c r="E52" s="566"/>
      <c r="F52" s="566"/>
      <c r="G52" s="153"/>
      <c r="H52" s="154"/>
      <c r="I52" s="155"/>
      <c r="J52" s="156"/>
      <c r="N52" s="851"/>
      <c r="O52" s="851"/>
    </row>
    <row r="53" spans="1:15" s="157" customFormat="1">
      <c r="A53" s="265"/>
      <c r="B53" s="746" t="s">
        <v>2450</v>
      </c>
      <c r="C53" s="747" t="s">
        <v>5185</v>
      </c>
      <c r="D53" s="568"/>
      <c r="E53" s="566"/>
      <c r="F53" s="566"/>
      <c r="G53" s="153"/>
      <c r="H53" s="154"/>
      <c r="I53" s="155"/>
      <c r="J53" s="156"/>
      <c r="N53" s="851"/>
      <c r="O53" s="851"/>
    </row>
    <row r="54" spans="1:15" s="157" customFormat="1">
      <c r="A54" s="265"/>
      <c r="B54" s="746" t="s">
        <v>2451</v>
      </c>
      <c r="C54" s="747" t="s">
        <v>5185</v>
      </c>
      <c r="D54" s="568"/>
      <c r="E54" s="566"/>
      <c r="F54" s="566"/>
      <c r="G54" s="153"/>
      <c r="H54" s="154"/>
      <c r="I54" s="155"/>
      <c r="J54" s="156"/>
      <c r="N54" s="851"/>
      <c r="O54" s="851"/>
    </row>
    <row r="55" spans="1:15" s="157" customFormat="1">
      <c r="A55" s="265"/>
      <c r="B55" s="746" t="s">
        <v>2452</v>
      </c>
      <c r="C55" s="747" t="s">
        <v>5185</v>
      </c>
      <c r="D55" s="568"/>
      <c r="E55" s="566"/>
      <c r="F55" s="566"/>
      <c r="G55" s="153"/>
      <c r="H55" s="154"/>
      <c r="I55" s="155"/>
      <c r="J55" s="156"/>
      <c r="N55" s="851"/>
      <c r="O55" s="851"/>
    </row>
    <row r="56" spans="1:15" s="157" customFormat="1">
      <c r="A56" s="265"/>
      <c r="B56" s="746" t="s">
        <v>2453</v>
      </c>
      <c r="C56" s="747" t="s">
        <v>5185</v>
      </c>
      <c r="D56" s="568"/>
      <c r="E56" s="566"/>
      <c r="F56" s="566"/>
      <c r="G56" s="153"/>
      <c r="H56" s="154"/>
      <c r="I56" s="155"/>
      <c r="J56" s="156"/>
      <c r="N56" s="851"/>
      <c r="O56" s="851"/>
    </row>
    <row r="57" spans="1:15" s="157" customFormat="1">
      <c r="A57" s="265"/>
      <c r="B57" s="746" t="s">
        <v>2454</v>
      </c>
      <c r="C57" s="747" t="s">
        <v>5185</v>
      </c>
      <c r="D57" s="568"/>
      <c r="E57" s="566"/>
      <c r="F57" s="566"/>
      <c r="G57" s="153"/>
      <c r="H57" s="154"/>
      <c r="I57" s="155"/>
      <c r="J57" s="156"/>
      <c r="N57" s="851"/>
      <c r="O57" s="851"/>
    </row>
    <row r="58" spans="1:15" s="157" customFormat="1">
      <c r="A58" s="265"/>
      <c r="B58" s="746" t="s">
        <v>2445</v>
      </c>
      <c r="C58" s="747" t="s">
        <v>5185</v>
      </c>
      <c r="D58" s="568"/>
      <c r="E58" s="566"/>
      <c r="F58" s="566"/>
      <c r="G58" s="153"/>
      <c r="H58" s="154"/>
      <c r="I58" s="155"/>
      <c r="J58" s="156"/>
      <c r="N58" s="851"/>
      <c r="O58" s="851"/>
    </row>
    <row r="59" spans="1:15" s="157" customFormat="1">
      <c r="A59" s="265"/>
      <c r="B59" s="746" t="s">
        <v>2455</v>
      </c>
      <c r="C59" s="747" t="s">
        <v>5185</v>
      </c>
      <c r="D59" s="568"/>
      <c r="E59" s="566"/>
      <c r="F59" s="566"/>
      <c r="G59" s="153"/>
      <c r="H59" s="154"/>
      <c r="I59" s="155"/>
      <c r="J59" s="156"/>
      <c r="N59" s="851"/>
      <c r="O59" s="851"/>
    </row>
    <row r="60" spans="1:15" s="157" customFormat="1">
      <c r="A60" s="265"/>
      <c r="B60" s="746"/>
      <c r="C60" s="747"/>
      <c r="D60" s="568"/>
      <c r="E60" s="566"/>
      <c r="F60" s="566"/>
      <c r="G60" s="153"/>
      <c r="H60" s="154"/>
      <c r="I60" s="155"/>
      <c r="J60" s="156"/>
      <c r="N60" s="851"/>
      <c r="O60" s="851"/>
    </row>
    <row r="61" spans="1:15" s="157" customFormat="1">
      <c r="A61" s="265"/>
      <c r="B61" s="744" t="s">
        <v>2456</v>
      </c>
      <c r="C61" s="747"/>
      <c r="D61" s="568"/>
      <c r="E61" s="566"/>
      <c r="F61" s="566"/>
      <c r="G61" s="153"/>
      <c r="H61" s="154"/>
      <c r="I61" s="155"/>
      <c r="J61" s="156"/>
      <c r="N61" s="851"/>
      <c r="O61" s="851"/>
    </row>
    <row r="62" spans="1:15" s="157" customFormat="1">
      <c r="A62" s="265"/>
      <c r="B62" s="747" t="s">
        <v>2457</v>
      </c>
      <c r="C62" s="747" t="s">
        <v>5185</v>
      </c>
      <c r="D62" s="568"/>
      <c r="E62" s="566"/>
      <c r="F62" s="566"/>
      <c r="G62" s="153"/>
      <c r="H62" s="154"/>
      <c r="I62" s="155"/>
      <c r="J62" s="156"/>
      <c r="N62" s="851"/>
      <c r="O62" s="851"/>
    </row>
    <row r="63" spans="1:15" s="157" customFormat="1">
      <c r="A63" s="265"/>
      <c r="B63" s="747" t="s">
        <v>2458</v>
      </c>
      <c r="C63" s="747" t="s">
        <v>5185</v>
      </c>
      <c r="D63" s="568"/>
      <c r="E63" s="566"/>
      <c r="F63" s="566"/>
      <c r="G63" s="153"/>
      <c r="H63" s="154"/>
      <c r="I63" s="155"/>
      <c r="J63" s="156"/>
      <c r="N63" s="851"/>
      <c r="O63" s="851"/>
    </row>
    <row r="64" spans="1:15" s="157" customFormat="1">
      <c r="A64" s="265"/>
      <c r="B64" s="747"/>
      <c r="C64" s="747"/>
      <c r="D64" s="568"/>
      <c r="E64" s="566"/>
      <c r="F64" s="566"/>
      <c r="G64" s="153"/>
      <c r="H64" s="154"/>
      <c r="I64" s="155"/>
      <c r="J64" s="156"/>
      <c r="N64" s="851"/>
      <c r="O64" s="851"/>
    </row>
    <row r="65" spans="1:15" s="157" customFormat="1">
      <c r="A65" s="265"/>
      <c r="B65" s="744" t="s">
        <v>2459</v>
      </c>
      <c r="C65" s="747"/>
      <c r="D65" s="568"/>
      <c r="E65" s="566"/>
      <c r="F65" s="566"/>
      <c r="G65" s="153"/>
      <c r="H65" s="154"/>
      <c r="I65" s="155"/>
      <c r="J65" s="156"/>
      <c r="N65" s="851"/>
      <c r="O65" s="851"/>
    </row>
    <row r="66" spans="1:15" s="157" customFormat="1">
      <c r="A66" s="265"/>
      <c r="B66" s="747" t="s">
        <v>2460</v>
      </c>
      <c r="C66" s="747" t="s">
        <v>5185</v>
      </c>
      <c r="D66" s="568"/>
      <c r="E66" s="566"/>
      <c r="F66" s="566"/>
      <c r="G66" s="153"/>
      <c r="H66" s="154"/>
      <c r="I66" s="155"/>
      <c r="J66" s="156"/>
      <c r="N66" s="851"/>
      <c r="O66" s="851"/>
    </row>
    <row r="67" spans="1:15" s="157" customFormat="1">
      <c r="A67" s="265"/>
      <c r="B67" s="747" t="s">
        <v>2461</v>
      </c>
      <c r="C67" s="747" t="s">
        <v>5185</v>
      </c>
      <c r="D67" s="568"/>
      <c r="E67" s="566"/>
      <c r="F67" s="566"/>
      <c r="G67" s="153"/>
      <c r="H67" s="154"/>
      <c r="I67" s="155"/>
      <c r="J67" s="156"/>
      <c r="N67" s="851"/>
      <c r="O67" s="851"/>
    </row>
    <row r="68" spans="1:15" s="157" customFormat="1">
      <c r="A68" s="265"/>
      <c r="B68" s="745"/>
      <c r="C68" s="564"/>
      <c r="D68" s="565"/>
      <c r="E68" s="566"/>
      <c r="F68" s="566"/>
      <c r="G68" s="153"/>
      <c r="H68" s="154"/>
      <c r="I68" s="155"/>
      <c r="J68" s="156"/>
      <c r="N68" s="851"/>
      <c r="O68" s="851"/>
    </row>
    <row r="69" spans="1:15" s="157" customFormat="1">
      <c r="A69" s="265"/>
      <c r="B69" s="748" t="s">
        <v>2462</v>
      </c>
      <c r="C69" s="564"/>
      <c r="D69" s="565"/>
      <c r="E69" s="566"/>
      <c r="F69" s="566"/>
      <c r="G69" s="153"/>
      <c r="H69" s="154"/>
      <c r="I69" s="155"/>
      <c r="J69" s="156"/>
      <c r="N69" s="851"/>
      <c r="O69" s="851"/>
    </row>
    <row r="70" spans="1:15" s="157" customFormat="1">
      <c r="A70" s="265"/>
      <c r="B70" s="748" t="s">
        <v>2463</v>
      </c>
      <c r="C70" s="564"/>
      <c r="D70" s="565"/>
      <c r="E70" s="566"/>
      <c r="F70" s="566"/>
      <c r="G70" s="153"/>
      <c r="H70" s="154"/>
      <c r="I70" s="155"/>
      <c r="J70" s="156"/>
      <c r="N70" s="851"/>
      <c r="O70" s="851"/>
    </row>
    <row r="71" spans="1:15" s="157" customFormat="1">
      <c r="A71" s="265"/>
      <c r="B71" s="748" t="s">
        <v>2464</v>
      </c>
      <c r="C71" s="564"/>
      <c r="D71" s="565"/>
      <c r="E71" s="566"/>
      <c r="F71" s="566"/>
      <c r="G71" s="153"/>
      <c r="H71" s="154"/>
      <c r="I71" s="155"/>
      <c r="J71" s="156"/>
      <c r="N71" s="851"/>
      <c r="O71" s="851"/>
    </row>
    <row r="72" spans="1:15" s="157" customFormat="1">
      <c r="A72" s="265"/>
      <c r="B72" s="748" t="s">
        <v>2465</v>
      </c>
      <c r="C72" s="564"/>
      <c r="D72" s="565"/>
      <c r="E72" s="566"/>
      <c r="F72" s="566"/>
      <c r="G72" s="153"/>
      <c r="H72" s="154"/>
      <c r="I72" s="155"/>
      <c r="J72" s="156"/>
      <c r="N72" s="851"/>
      <c r="O72" s="851"/>
    </row>
    <row r="73" spans="1:15" s="157" customFormat="1">
      <c r="A73" s="265"/>
      <c r="B73" s="748"/>
      <c r="C73" s="564"/>
      <c r="D73" s="565"/>
      <c r="E73" s="566"/>
      <c r="F73" s="566"/>
      <c r="G73" s="153"/>
      <c r="H73" s="154"/>
      <c r="I73" s="155"/>
      <c r="J73" s="156"/>
      <c r="N73" s="851"/>
      <c r="O73" s="851"/>
    </row>
    <row r="74" spans="1:15" s="157" customFormat="1">
      <c r="A74" s="265"/>
      <c r="B74" s="748"/>
      <c r="C74" s="564"/>
      <c r="D74" s="565"/>
      <c r="E74" s="566"/>
      <c r="F74" s="566"/>
      <c r="G74" s="153"/>
      <c r="H74" s="154"/>
      <c r="I74" s="155"/>
      <c r="J74" s="156"/>
      <c r="N74" s="851"/>
      <c r="O74" s="851"/>
    </row>
    <row r="75" spans="1:15" s="157" customFormat="1">
      <c r="A75" s="265"/>
      <c r="B75" s="745"/>
      <c r="C75" s="564"/>
      <c r="D75" s="565"/>
      <c r="E75" s="566"/>
      <c r="F75" s="566"/>
      <c r="G75" s="153"/>
      <c r="H75" s="154"/>
      <c r="I75" s="155"/>
      <c r="J75" s="156"/>
      <c r="N75" s="851"/>
      <c r="O75" s="851"/>
    </row>
    <row r="76" spans="1:15" s="157" customFormat="1" ht="14.4" thickBot="1">
      <c r="A76" s="150"/>
      <c r="B76" s="571"/>
      <c r="C76" s="152"/>
      <c r="D76" s="572"/>
      <c r="E76" s="144"/>
      <c r="F76" s="144"/>
      <c r="G76" s="153"/>
      <c r="H76" s="154"/>
      <c r="I76" s="155"/>
      <c r="J76" s="156"/>
      <c r="N76" s="851"/>
      <c r="O76" s="851"/>
    </row>
    <row r="77" spans="1:15" s="149" customFormat="1" ht="14.4" thickBot="1">
      <c r="A77" s="573" t="s">
        <v>663</v>
      </c>
      <c r="B77" s="574" t="s">
        <v>2466</v>
      </c>
      <c r="C77" s="575"/>
      <c r="D77" s="576"/>
      <c r="E77" s="577"/>
      <c r="F77" s="578"/>
      <c r="G77" s="145"/>
      <c r="H77" s="146"/>
      <c r="I77" s="147"/>
      <c r="J77" s="148"/>
      <c r="L77" s="579"/>
      <c r="N77" s="852"/>
      <c r="O77" s="852"/>
    </row>
    <row r="78" spans="1:15" s="149" customFormat="1">
      <c r="A78" s="269"/>
      <c r="B78" s="180"/>
      <c r="C78" s="142"/>
      <c r="D78" s="580"/>
      <c r="E78" s="144"/>
      <c r="F78" s="143"/>
      <c r="G78" s="145"/>
      <c r="H78" s="146"/>
      <c r="I78" s="147"/>
      <c r="J78" s="148"/>
      <c r="L78" s="579"/>
      <c r="N78" s="852"/>
      <c r="O78" s="852"/>
    </row>
    <row r="79" spans="1:15" s="149" customFormat="1">
      <c r="A79" s="269"/>
      <c r="B79" s="180"/>
      <c r="C79" s="142"/>
      <c r="D79" s="580"/>
      <c r="E79" s="144"/>
      <c r="F79" s="143"/>
      <c r="G79" s="145"/>
      <c r="H79" s="146"/>
      <c r="I79" s="147"/>
      <c r="J79" s="148"/>
      <c r="L79" s="579"/>
      <c r="N79" s="852"/>
      <c r="O79" s="852"/>
    </row>
    <row r="80" spans="1:15" s="149" customFormat="1">
      <c r="A80" s="581" t="s">
        <v>986</v>
      </c>
      <c r="B80" s="582" t="s">
        <v>4134</v>
      </c>
      <c r="C80" s="583"/>
      <c r="D80" s="584"/>
      <c r="E80" s="585"/>
      <c r="F80" s="586"/>
      <c r="G80" s="145"/>
      <c r="H80" s="146"/>
      <c r="I80" s="147"/>
      <c r="J80" s="148"/>
      <c r="L80" s="579"/>
      <c r="N80" s="852"/>
      <c r="O80" s="852"/>
    </row>
    <row r="81" spans="1:15" s="149" customFormat="1">
      <c r="A81" s="254"/>
      <c r="B81" s="159"/>
      <c r="C81" s="152"/>
      <c r="D81" s="572"/>
      <c r="E81" s="144"/>
      <c r="F81" s="144"/>
      <c r="G81" s="153"/>
      <c r="H81" s="154"/>
      <c r="I81" s="147"/>
      <c r="J81" s="148"/>
      <c r="L81" s="579"/>
      <c r="N81" s="852"/>
      <c r="O81" s="852"/>
    </row>
    <row r="82" spans="1:15" s="149" customFormat="1" ht="234.6">
      <c r="A82" s="254" t="s">
        <v>987</v>
      </c>
      <c r="B82" s="751" t="s">
        <v>5070</v>
      </c>
      <c r="C82" s="152" t="s">
        <v>649</v>
      </c>
      <c r="D82" s="572">
        <v>15</v>
      </c>
      <c r="E82" s="144">
        <v>145</v>
      </c>
      <c r="F82" s="144">
        <f>IF((D82*E82)=0,"",(D82*E82))</f>
        <v>2175</v>
      </c>
      <c r="G82" s="153"/>
      <c r="H82" s="161"/>
      <c r="I82" s="147"/>
      <c r="J82" s="148"/>
      <c r="L82" s="579"/>
      <c r="N82" s="144"/>
      <c r="O82" s="852"/>
    </row>
    <row r="83" spans="1:15" s="149" customFormat="1">
      <c r="A83" s="254"/>
      <c r="B83" s="587"/>
      <c r="C83" s="152"/>
      <c r="D83" s="572"/>
      <c r="E83" s="144"/>
      <c r="F83" s="144"/>
      <c r="G83" s="153"/>
      <c r="H83" s="161"/>
      <c r="I83" s="147"/>
      <c r="J83" s="148"/>
      <c r="L83" s="579"/>
      <c r="N83" s="144"/>
      <c r="O83" s="852"/>
    </row>
    <row r="84" spans="1:15" s="149" customFormat="1" ht="138">
      <c r="A84" s="254" t="s">
        <v>988</v>
      </c>
      <c r="B84" s="588" t="s">
        <v>5186</v>
      </c>
      <c r="C84" s="152" t="s">
        <v>649</v>
      </c>
      <c r="D84" s="572">
        <v>60</v>
      </c>
      <c r="E84" s="144">
        <v>64</v>
      </c>
      <c r="F84" s="144">
        <f>IF((D84*E84)=0,"",(D84*E84))</f>
        <v>3840</v>
      </c>
      <c r="G84" s="164"/>
      <c r="H84" s="154"/>
      <c r="I84" s="147"/>
      <c r="J84" s="148"/>
      <c r="L84" s="579"/>
      <c r="N84" s="144"/>
      <c r="O84" s="852"/>
    </row>
    <row r="85" spans="1:15" s="149" customFormat="1">
      <c r="A85" s="254"/>
      <c r="B85" s="160"/>
      <c r="C85" s="152"/>
      <c r="D85" s="572"/>
      <c r="E85" s="144"/>
      <c r="F85" s="144"/>
      <c r="G85" s="164"/>
      <c r="H85" s="154"/>
      <c r="I85" s="147"/>
      <c r="J85" s="148"/>
      <c r="L85" s="579"/>
      <c r="N85" s="144"/>
      <c r="O85" s="852"/>
    </row>
    <row r="86" spans="1:15" s="149" customFormat="1" ht="138">
      <c r="A86" s="254" t="s">
        <v>989</v>
      </c>
      <c r="B86" s="750" t="s">
        <v>5187</v>
      </c>
      <c r="C86" s="152" t="s">
        <v>649</v>
      </c>
      <c r="D86" s="572">
        <v>5</v>
      </c>
      <c r="E86" s="144">
        <v>59</v>
      </c>
      <c r="F86" s="144">
        <f>IF((D86*E86)=0,"",(D86*E86))</f>
        <v>295</v>
      </c>
      <c r="G86" s="145"/>
      <c r="H86" s="589"/>
      <c r="I86" s="147"/>
      <c r="J86" s="148"/>
      <c r="L86" s="579"/>
      <c r="N86" s="144"/>
      <c r="O86" s="852"/>
    </row>
    <row r="87" spans="1:15" s="149" customFormat="1">
      <c r="A87" s="254"/>
      <c r="B87" s="160"/>
      <c r="C87" s="152"/>
      <c r="D87" s="572"/>
      <c r="E87" s="144"/>
      <c r="F87" s="144"/>
      <c r="G87" s="145"/>
      <c r="H87" s="589"/>
      <c r="I87" s="147"/>
      <c r="J87" s="148"/>
      <c r="L87" s="579"/>
      <c r="N87" s="144"/>
      <c r="O87" s="852"/>
    </row>
    <row r="88" spans="1:15" s="149" customFormat="1" ht="220.8">
      <c r="A88" s="254" t="s">
        <v>1044</v>
      </c>
      <c r="B88" s="750" t="s">
        <v>5071</v>
      </c>
      <c r="C88" s="152" t="s">
        <v>649</v>
      </c>
      <c r="D88" s="572">
        <v>5</v>
      </c>
      <c r="E88" s="144">
        <v>295</v>
      </c>
      <c r="F88" s="144">
        <f>IF((D88*E88)=0,"",(D88*E88))</f>
        <v>1475</v>
      </c>
      <c r="G88" s="145"/>
      <c r="H88" s="589"/>
      <c r="I88" s="147"/>
      <c r="J88" s="148"/>
      <c r="L88" s="579"/>
      <c r="N88" s="144"/>
      <c r="O88" s="852"/>
    </row>
    <row r="89" spans="1:15" s="149" customFormat="1">
      <c r="A89" s="254"/>
      <c r="B89" s="160"/>
      <c r="C89" s="152"/>
      <c r="D89" s="572"/>
      <c r="E89" s="144"/>
      <c r="F89" s="144"/>
      <c r="G89" s="145"/>
      <c r="H89" s="589"/>
      <c r="I89" s="147"/>
      <c r="J89" s="148"/>
      <c r="L89" s="579"/>
      <c r="N89" s="144"/>
      <c r="O89" s="852"/>
    </row>
    <row r="90" spans="1:15" s="149" customFormat="1" ht="207">
      <c r="A90" s="254" t="s">
        <v>1045</v>
      </c>
      <c r="B90" s="751" t="s">
        <v>5072</v>
      </c>
      <c r="C90" s="152" t="s">
        <v>649</v>
      </c>
      <c r="D90" s="572">
        <v>5</v>
      </c>
      <c r="E90" s="144">
        <v>185</v>
      </c>
      <c r="F90" s="144">
        <f>IF((D90*E90)=0,"",(D90*E90))</f>
        <v>925</v>
      </c>
      <c r="G90" s="145"/>
      <c r="H90" s="589"/>
      <c r="I90" s="147"/>
      <c r="J90" s="148"/>
      <c r="L90" s="579"/>
      <c r="N90" s="144"/>
      <c r="O90" s="852"/>
    </row>
    <row r="91" spans="1:15" s="149" customFormat="1">
      <c r="A91" s="254"/>
      <c r="B91" s="160"/>
      <c r="C91" s="152"/>
      <c r="D91" s="572"/>
      <c r="E91" s="144"/>
      <c r="F91" s="144"/>
      <c r="G91" s="145"/>
      <c r="H91" s="589"/>
      <c r="I91" s="147"/>
      <c r="J91" s="148"/>
      <c r="L91" s="579"/>
      <c r="N91" s="144"/>
      <c r="O91" s="852"/>
    </row>
    <row r="92" spans="1:15" s="149" customFormat="1" ht="207">
      <c r="A92" s="254" t="s">
        <v>1046</v>
      </c>
      <c r="B92" s="590" t="s">
        <v>5073</v>
      </c>
      <c r="C92" s="152" t="s">
        <v>649</v>
      </c>
      <c r="D92" s="572">
        <v>5</v>
      </c>
      <c r="E92" s="144">
        <v>155</v>
      </c>
      <c r="F92" s="144">
        <f>IF((D92*E92)=0,"",(D92*E92))</f>
        <v>775</v>
      </c>
      <c r="G92" s="145"/>
      <c r="H92" s="589"/>
      <c r="I92" s="147"/>
      <c r="J92" s="148"/>
      <c r="L92" s="579"/>
      <c r="N92" s="144"/>
      <c r="O92" s="852"/>
    </row>
    <row r="93" spans="1:15" s="149" customFormat="1">
      <c r="A93" s="254"/>
      <c r="B93" s="160"/>
      <c r="C93" s="152"/>
      <c r="D93" s="572"/>
      <c r="E93" s="144"/>
      <c r="F93" s="144"/>
      <c r="G93" s="145"/>
      <c r="H93" s="589"/>
      <c r="I93" s="147"/>
      <c r="J93" s="148"/>
      <c r="L93" s="579"/>
      <c r="N93" s="144"/>
      <c r="O93" s="852"/>
    </row>
    <row r="94" spans="1:15" s="149" customFormat="1" ht="220.8">
      <c r="A94" s="254" t="s">
        <v>1047</v>
      </c>
      <c r="B94" s="751" t="s">
        <v>5074</v>
      </c>
      <c r="C94" s="152" t="s">
        <v>649</v>
      </c>
      <c r="D94" s="572">
        <v>10</v>
      </c>
      <c r="E94" s="144">
        <v>205</v>
      </c>
      <c r="F94" s="144">
        <f>IF((D94*E94)=0,"",(D94*E94))</f>
        <v>2050</v>
      </c>
      <c r="G94" s="145"/>
      <c r="H94" s="589"/>
      <c r="I94" s="147"/>
      <c r="J94" s="148"/>
      <c r="L94" s="579"/>
      <c r="N94" s="144"/>
      <c r="O94" s="852"/>
    </row>
    <row r="95" spans="1:15" s="149" customFormat="1">
      <c r="A95" s="254"/>
      <c r="B95" s="160"/>
      <c r="C95" s="152"/>
      <c r="D95" s="572"/>
      <c r="E95" s="144"/>
      <c r="F95" s="144"/>
      <c r="G95" s="145"/>
      <c r="H95" s="589"/>
      <c r="I95" s="147"/>
      <c r="J95" s="148"/>
      <c r="L95" s="579"/>
      <c r="N95" s="144"/>
      <c r="O95" s="852"/>
    </row>
    <row r="96" spans="1:15" s="149" customFormat="1" ht="82.8">
      <c r="A96" s="254" t="s">
        <v>1048</v>
      </c>
      <c r="B96" s="751" t="s">
        <v>4135</v>
      </c>
      <c r="C96" s="152" t="s">
        <v>649</v>
      </c>
      <c r="D96" s="572">
        <v>40</v>
      </c>
      <c r="E96" s="144">
        <v>10.5</v>
      </c>
      <c r="F96" s="144">
        <f>IF((D96*E96)=0,"",(D96*E96))</f>
        <v>420</v>
      </c>
      <c r="G96" s="145"/>
      <c r="H96" s="589"/>
      <c r="I96" s="147"/>
      <c r="J96" s="148"/>
      <c r="L96" s="579"/>
      <c r="N96" s="144"/>
      <c r="O96" s="852"/>
    </row>
    <row r="97" spans="1:15" s="149" customFormat="1">
      <c r="A97" s="254"/>
      <c r="B97" s="160"/>
      <c r="C97" s="152"/>
      <c r="D97" s="572"/>
      <c r="E97" s="144"/>
      <c r="F97" s="144"/>
      <c r="G97" s="145"/>
      <c r="H97" s="589"/>
      <c r="I97" s="147"/>
      <c r="J97" s="148"/>
      <c r="L97" s="579"/>
      <c r="N97" s="144"/>
      <c r="O97" s="852"/>
    </row>
    <row r="98" spans="1:15" s="149" customFormat="1" ht="207">
      <c r="A98" s="254" t="s">
        <v>1049</v>
      </c>
      <c r="B98" s="751" t="s">
        <v>5075</v>
      </c>
      <c r="C98" s="152" t="s">
        <v>649</v>
      </c>
      <c r="D98" s="572">
        <v>5</v>
      </c>
      <c r="E98" s="144">
        <v>310</v>
      </c>
      <c r="F98" s="144">
        <f>IF((D98*E98)=0,"",(D98*E98))</f>
        <v>1550</v>
      </c>
      <c r="G98" s="145"/>
      <c r="H98" s="589"/>
      <c r="I98" s="147"/>
      <c r="J98" s="148"/>
      <c r="L98" s="579"/>
      <c r="N98" s="144"/>
      <c r="O98" s="852"/>
    </row>
    <row r="99" spans="1:15" s="149" customFormat="1">
      <c r="A99" s="254"/>
      <c r="B99" s="745"/>
      <c r="C99" s="152"/>
      <c r="D99" s="572"/>
      <c r="E99" s="144"/>
      <c r="F99" s="144"/>
      <c r="G99" s="145"/>
      <c r="H99" s="589"/>
      <c r="I99" s="147"/>
      <c r="J99" s="148"/>
      <c r="L99" s="579"/>
      <c r="N99" s="144"/>
      <c r="O99" s="852"/>
    </row>
    <row r="100" spans="1:15" s="149" customFormat="1" ht="317.39999999999998">
      <c r="A100" s="254" t="s">
        <v>1050</v>
      </c>
      <c r="B100" s="751" t="s">
        <v>5076</v>
      </c>
      <c r="C100" s="152" t="s">
        <v>649</v>
      </c>
      <c r="D100" s="572">
        <v>5</v>
      </c>
      <c r="E100" s="144">
        <v>230</v>
      </c>
      <c r="F100" s="144">
        <f>IF((D100*E100)=0,"",(D100*E100))</f>
        <v>1150</v>
      </c>
      <c r="G100" s="145"/>
      <c r="H100" s="589"/>
      <c r="I100" s="147"/>
      <c r="J100" s="148"/>
      <c r="L100" s="579"/>
      <c r="N100" s="144"/>
      <c r="O100" s="852"/>
    </row>
    <row r="101" spans="1:15" s="149" customFormat="1">
      <c r="A101" s="254"/>
      <c r="B101" s="160"/>
      <c r="C101" s="152"/>
      <c r="D101" s="572"/>
      <c r="E101" s="144"/>
      <c r="F101" s="144"/>
      <c r="G101" s="145"/>
      <c r="H101" s="589"/>
      <c r="I101" s="147"/>
      <c r="J101" s="148"/>
      <c r="L101" s="579"/>
      <c r="N101" s="144"/>
      <c r="O101" s="852"/>
    </row>
    <row r="102" spans="1:15" s="149" customFormat="1" ht="82.8">
      <c r="A102" s="254" t="s">
        <v>1051</v>
      </c>
      <c r="B102" s="751" t="s">
        <v>4136</v>
      </c>
      <c r="C102" s="152" t="s">
        <v>649</v>
      </c>
      <c r="D102" s="572">
        <v>15</v>
      </c>
      <c r="E102" s="144">
        <v>10.5</v>
      </c>
      <c r="F102" s="144">
        <f>IF((D102*E102)=0,"",(D102*E102))</f>
        <v>157.5</v>
      </c>
      <c r="G102" s="145"/>
      <c r="H102" s="589"/>
      <c r="I102" s="147"/>
      <c r="J102" s="148"/>
      <c r="L102" s="579"/>
      <c r="N102" s="144"/>
      <c r="O102" s="852"/>
    </row>
    <row r="103" spans="1:15" s="149" customFormat="1">
      <c r="A103" s="254"/>
      <c r="B103" s="160"/>
      <c r="C103" s="152"/>
      <c r="D103" s="572"/>
      <c r="E103" s="144"/>
      <c r="F103" s="144"/>
      <c r="G103" s="145"/>
      <c r="H103" s="589"/>
      <c r="I103" s="147"/>
      <c r="J103" s="148"/>
      <c r="L103" s="579"/>
      <c r="N103" s="144"/>
      <c r="O103" s="852"/>
    </row>
    <row r="104" spans="1:15" s="149" customFormat="1" ht="69">
      <c r="A104" s="254" t="s">
        <v>3073</v>
      </c>
      <c r="B104" s="751" t="s">
        <v>4137</v>
      </c>
      <c r="C104" s="152" t="s">
        <v>649</v>
      </c>
      <c r="D104" s="572">
        <v>60</v>
      </c>
      <c r="E104" s="144">
        <v>8</v>
      </c>
      <c r="F104" s="144">
        <f>IF((D104*E104)=0,"",(D104*E104))</f>
        <v>480</v>
      </c>
      <c r="G104" s="145"/>
      <c r="H104" s="589"/>
      <c r="I104" s="147"/>
      <c r="J104" s="148"/>
      <c r="L104" s="579"/>
      <c r="N104" s="144"/>
      <c r="O104" s="852"/>
    </row>
    <row r="105" spans="1:15" s="149" customFormat="1">
      <c r="A105" s="157"/>
      <c r="B105" s="751"/>
      <c r="C105" s="152"/>
      <c r="D105" s="572"/>
      <c r="E105" s="144"/>
      <c r="F105" s="144"/>
      <c r="G105" s="145"/>
      <c r="H105" s="589"/>
      <c r="I105" s="147"/>
      <c r="J105" s="148"/>
      <c r="L105" s="579"/>
      <c r="N105" s="144"/>
      <c r="O105" s="852"/>
    </row>
    <row r="106" spans="1:15" s="149" customFormat="1" ht="55.2">
      <c r="A106" s="254" t="s">
        <v>2467</v>
      </c>
      <c r="B106" s="180" t="s">
        <v>2549</v>
      </c>
      <c r="C106" s="152" t="s">
        <v>649</v>
      </c>
      <c r="D106" s="572">
        <v>5</v>
      </c>
      <c r="E106" s="144">
        <v>215</v>
      </c>
      <c r="F106" s="144">
        <f>IF((D106*E106)=0,"",(D106*E106))</f>
        <v>1075</v>
      </c>
      <c r="G106" s="145"/>
      <c r="H106" s="589"/>
      <c r="I106" s="147"/>
      <c r="J106" s="148"/>
      <c r="L106" s="579"/>
      <c r="N106" s="144"/>
      <c r="O106" s="852"/>
    </row>
    <row r="107" spans="1:15" s="149" customFormat="1">
      <c r="A107" s="157"/>
      <c r="B107" s="751"/>
      <c r="C107" s="152"/>
      <c r="D107" s="572"/>
      <c r="E107" s="144"/>
      <c r="F107" s="144"/>
      <c r="G107" s="145"/>
      <c r="H107" s="589"/>
      <c r="I107" s="147"/>
      <c r="J107" s="148"/>
      <c r="L107" s="579"/>
      <c r="N107" s="144"/>
      <c r="O107" s="852"/>
    </row>
    <row r="108" spans="1:15" s="149" customFormat="1" ht="248.4">
      <c r="A108" s="254" t="s">
        <v>2468</v>
      </c>
      <c r="B108" s="751" t="s">
        <v>5077</v>
      </c>
      <c r="C108" s="152" t="s">
        <v>649</v>
      </c>
      <c r="D108" s="572">
        <v>10</v>
      </c>
      <c r="E108" s="144">
        <v>155</v>
      </c>
      <c r="F108" s="144">
        <f>IF((D108*E108)=0,"",(D108*E108))</f>
        <v>1550</v>
      </c>
      <c r="G108" s="145"/>
      <c r="H108" s="589"/>
      <c r="I108" s="147"/>
      <c r="J108" s="148"/>
      <c r="L108" s="579"/>
      <c r="N108" s="144"/>
      <c r="O108" s="852"/>
    </row>
    <row r="109" spans="1:15" s="149" customFormat="1">
      <c r="A109" s="254"/>
      <c r="B109" s="160"/>
      <c r="C109" s="152"/>
      <c r="D109" s="572"/>
      <c r="E109" s="144"/>
      <c r="F109" s="144"/>
      <c r="G109" s="145"/>
      <c r="H109" s="589"/>
      <c r="I109" s="147"/>
      <c r="J109" s="148"/>
      <c r="L109" s="579"/>
      <c r="N109" s="144"/>
      <c r="O109" s="852"/>
    </row>
    <row r="110" spans="1:15" s="149" customFormat="1" ht="248.4">
      <c r="A110" s="254" t="s">
        <v>2469</v>
      </c>
      <c r="B110" s="751" t="s">
        <v>5078</v>
      </c>
      <c r="C110" s="152" t="s">
        <v>649</v>
      </c>
      <c r="D110" s="572">
        <v>10</v>
      </c>
      <c r="E110" s="144">
        <v>280</v>
      </c>
      <c r="F110" s="144">
        <f>IF((D110*E110)=0,"",(D110*E110))</f>
        <v>2800</v>
      </c>
      <c r="G110" s="145"/>
      <c r="H110" s="589"/>
      <c r="I110" s="147"/>
      <c r="J110" s="148"/>
      <c r="L110" s="579"/>
      <c r="N110" s="144"/>
      <c r="O110" s="852"/>
    </row>
    <row r="111" spans="1:15" s="149" customFormat="1">
      <c r="A111" s="254"/>
      <c r="B111" s="160"/>
      <c r="C111" s="152"/>
      <c r="D111" s="572"/>
      <c r="E111" s="144"/>
      <c r="F111" s="144"/>
      <c r="G111" s="145"/>
      <c r="H111" s="589"/>
      <c r="I111" s="147"/>
      <c r="J111" s="148"/>
      <c r="L111" s="579"/>
      <c r="N111" s="144"/>
      <c r="O111" s="852"/>
    </row>
    <row r="112" spans="1:15" s="149" customFormat="1" ht="317.39999999999998">
      <c r="A112" s="254" t="s">
        <v>2470</v>
      </c>
      <c r="B112" s="751" t="s">
        <v>5079</v>
      </c>
      <c r="C112" s="152" t="s">
        <v>649</v>
      </c>
      <c r="D112" s="572">
        <v>5</v>
      </c>
      <c r="E112" s="144">
        <v>195</v>
      </c>
      <c r="F112" s="144">
        <f>IF((D112*E112)=0,"",(D112*E112))</f>
        <v>975</v>
      </c>
      <c r="G112" s="145"/>
      <c r="H112" s="591"/>
      <c r="I112" s="147"/>
      <c r="J112" s="148"/>
      <c r="L112" s="579"/>
      <c r="N112" s="144"/>
      <c r="O112" s="852"/>
    </row>
    <row r="113" spans="1:15" s="149" customFormat="1">
      <c r="A113" s="254"/>
      <c r="B113" s="160"/>
      <c r="C113" s="152"/>
      <c r="D113" s="572"/>
      <c r="E113" s="144"/>
      <c r="F113" s="144"/>
      <c r="G113" s="145"/>
      <c r="H113" s="591"/>
      <c r="I113" s="147"/>
      <c r="J113" s="148"/>
      <c r="L113" s="579"/>
      <c r="N113" s="144"/>
      <c r="O113" s="852"/>
    </row>
    <row r="114" spans="1:15" s="149" customFormat="1" ht="69">
      <c r="A114" s="254" t="s">
        <v>2471</v>
      </c>
      <c r="B114" s="751" t="s">
        <v>2473</v>
      </c>
      <c r="C114" s="152" t="s">
        <v>649</v>
      </c>
      <c r="D114" s="572">
        <v>30</v>
      </c>
      <c r="E114" s="144">
        <v>10.5</v>
      </c>
      <c r="F114" s="144">
        <f>IF((D114*E114)=0,"",(D114*E114))</f>
        <v>315</v>
      </c>
      <c r="G114" s="145"/>
      <c r="H114" s="591"/>
      <c r="I114" s="147"/>
      <c r="J114" s="148"/>
      <c r="L114" s="579"/>
      <c r="N114" s="144"/>
      <c r="O114" s="852"/>
    </row>
    <row r="115" spans="1:15" s="149" customFormat="1">
      <c r="A115" s="254"/>
      <c r="B115" s="160"/>
      <c r="C115" s="152"/>
      <c r="D115" s="572"/>
      <c r="E115" s="144"/>
      <c r="F115" s="144"/>
      <c r="G115" s="145"/>
      <c r="H115" s="589"/>
      <c r="I115" s="147"/>
      <c r="J115" s="148"/>
      <c r="L115" s="579"/>
      <c r="N115" s="144"/>
      <c r="O115" s="852"/>
    </row>
    <row r="116" spans="1:15" s="149" customFormat="1" ht="248.4">
      <c r="A116" s="254" t="s">
        <v>2472</v>
      </c>
      <c r="B116" s="751" t="s">
        <v>5080</v>
      </c>
      <c r="C116" s="152" t="s">
        <v>649</v>
      </c>
      <c r="D116" s="572">
        <v>10</v>
      </c>
      <c r="E116" s="144">
        <v>185</v>
      </c>
      <c r="F116" s="144">
        <f>IF((D116*E116)=0,"",(D116*E116))</f>
        <v>1850</v>
      </c>
      <c r="G116" s="145"/>
      <c r="H116" s="589"/>
      <c r="I116" s="147"/>
      <c r="J116" s="148"/>
      <c r="L116" s="579"/>
      <c r="N116" s="144"/>
      <c r="O116" s="852"/>
    </row>
    <row r="117" spans="1:15" s="149" customFormat="1">
      <c r="A117" s="254"/>
      <c r="B117" s="160"/>
      <c r="C117" s="152"/>
      <c r="D117" s="572"/>
      <c r="E117" s="144"/>
      <c r="F117" s="144"/>
      <c r="G117" s="145"/>
      <c r="H117" s="589"/>
      <c r="I117" s="147"/>
      <c r="J117" s="148"/>
      <c r="L117" s="579"/>
      <c r="N117" s="144"/>
      <c r="O117" s="852"/>
    </row>
    <row r="118" spans="1:15" s="149" customFormat="1" ht="248.4">
      <c r="A118" s="254" t="s">
        <v>2474</v>
      </c>
      <c r="B118" s="751" t="s">
        <v>5081</v>
      </c>
      <c r="C118" s="152" t="s">
        <v>649</v>
      </c>
      <c r="D118" s="572">
        <v>5</v>
      </c>
      <c r="E118" s="144">
        <v>155</v>
      </c>
      <c r="F118" s="144">
        <f>IF((D118*E118)=0,"",(D118*E118))</f>
        <v>775</v>
      </c>
      <c r="G118" s="145"/>
      <c r="H118" s="589"/>
      <c r="I118" s="147"/>
      <c r="J118" s="148"/>
      <c r="L118" s="579"/>
      <c r="N118" s="144"/>
      <c r="O118" s="852"/>
    </row>
    <row r="119" spans="1:15" s="149" customFormat="1">
      <c r="A119" s="254"/>
      <c r="B119" s="160"/>
      <c r="C119" s="152"/>
      <c r="D119" s="572"/>
      <c r="E119" s="144"/>
      <c r="F119" s="144"/>
      <c r="G119" s="145"/>
      <c r="H119" s="589"/>
      <c r="I119" s="147"/>
      <c r="J119" s="148"/>
      <c r="L119" s="579"/>
      <c r="N119" s="144"/>
      <c r="O119" s="852"/>
    </row>
    <row r="120" spans="1:15" s="149" customFormat="1" ht="289.8">
      <c r="A120" s="254" t="s">
        <v>2475</v>
      </c>
      <c r="B120" s="751" t="s">
        <v>5082</v>
      </c>
      <c r="C120" s="152" t="s">
        <v>649</v>
      </c>
      <c r="D120" s="572">
        <v>5</v>
      </c>
      <c r="E120" s="144">
        <v>410</v>
      </c>
      <c r="F120" s="144">
        <f>IF((D120*E120)=0,"",(D120*E120))</f>
        <v>2050</v>
      </c>
      <c r="G120" s="145"/>
      <c r="H120" s="589"/>
      <c r="I120" s="147"/>
      <c r="J120" s="148"/>
      <c r="L120" s="579"/>
      <c r="N120" s="144"/>
      <c r="O120" s="852"/>
    </row>
    <row r="121" spans="1:15" s="149" customFormat="1">
      <c r="A121" s="254"/>
      <c r="B121" s="751"/>
      <c r="C121" s="152"/>
      <c r="D121" s="572"/>
      <c r="E121" s="144"/>
      <c r="F121" s="144"/>
      <c r="G121" s="145"/>
      <c r="H121" s="589"/>
      <c r="I121" s="147"/>
      <c r="J121" s="148"/>
      <c r="L121" s="579"/>
      <c r="N121" s="144"/>
      <c r="O121" s="852"/>
    </row>
    <row r="122" spans="1:15" s="149" customFormat="1" ht="179.4">
      <c r="A122" s="254" t="s">
        <v>2476</v>
      </c>
      <c r="B122" s="751" t="s">
        <v>5083</v>
      </c>
      <c r="C122" s="152" t="s">
        <v>670</v>
      </c>
      <c r="D122" s="572">
        <v>5</v>
      </c>
      <c r="E122" s="144">
        <v>180</v>
      </c>
      <c r="F122" s="144">
        <f>IF((D122*E122)=0,"",(D122*E122))</f>
        <v>900</v>
      </c>
      <c r="G122" s="145"/>
      <c r="H122" s="589"/>
      <c r="I122" s="147"/>
      <c r="J122" s="148"/>
      <c r="L122" s="579"/>
      <c r="N122" s="144"/>
      <c r="O122" s="852"/>
    </row>
    <row r="123" spans="1:15" s="149" customFormat="1">
      <c r="A123" s="254"/>
      <c r="B123" s="160"/>
      <c r="C123" s="152"/>
      <c r="D123" s="572"/>
      <c r="E123" s="144"/>
      <c r="F123" s="144"/>
      <c r="G123" s="145"/>
      <c r="H123" s="589"/>
      <c r="I123" s="147"/>
      <c r="J123" s="148"/>
      <c r="L123" s="579"/>
      <c r="N123" s="144"/>
      <c r="O123" s="852"/>
    </row>
    <row r="124" spans="1:15" s="149" customFormat="1" ht="248.4">
      <c r="A124" s="254" t="s">
        <v>2477</v>
      </c>
      <c r="B124" s="751" t="s">
        <v>5084</v>
      </c>
      <c r="C124" s="152" t="s">
        <v>649</v>
      </c>
      <c r="D124" s="572">
        <v>5</v>
      </c>
      <c r="E124" s="144">
        <v>155</v>
      </c>
      <c r="F124" s="144">
        <f>IF((D124*E124)=0,"",(D124*E124))</f>
        <v>775</v>
      </c>
      <c r="G124" s="145"/>
      <c r="H124" s="591"/>
      <c r="I124" s="147"/>
      <c r="J124" s="148"/>
      <c r="L124" s="579"/>
      <c r="N124" s="144"/>
      <c r="O124" s="852"/>
    </row>
    <row r="125" spans="1:15" s="149" customFormat="1">
      <c r="A125" s="254"/>
      <c r="B125" s="160"/>
      <c r="C125" s="152"/>
      <c r="D125" s="572"/>
      <c r="E125" s="144"/>
      <c r="F125" s="144"/>
      <c r="G125" s="145"/>
      <c r="H125" s="589"/>
      <c r="I125" s="147"/>
      <c r="J125" s="148"/>
      <c r="L125" s="579"/>
      <c r="N125" s="144"/>
      <c r="O125" s="852"/>
    </row>
    <row r="126" spans="1:15" s="149" customFormat="1" ht="262.2">
      <c r="A126" s="254" t="s">
        <v>2478</v>
      </c>
      <c r="B126" s="751" t="s">
        <v>5085</v>
      </c>
      <c r="C126" s="152" t="s">
        <v>649</v>
      </c>
      <c r="D126" s="572">
        <v>10</v>
      </c>
      <c r="E126" s="144">
        <v>120</v>
      </c>
      <c r="F126" s="144">
        <f>IF((D126*E126)=0,"",(D126*E126))</f>
        <v>1200</v>
      </c>
      <c r="G126" s="145"/>
      <c r="H126" s="589"/>
      <c r="I126" s="147"/>
      <c r="J126" s="148"/>
      <c r="L126" s="579"/>
      <c r="N126" s="144"/>
      <c r="O126" s="852"/>
    </row>
    <row r="127" spans="1:15" s="149" customFormat="1">
      <c r="A127" s="254"/>
      <c r="B127" s="160"/>
      <c r="C127" s="152"/>
      <c r="D127" s="572"/>
      <c r="E127" s="144"/>
      <c r="F127" s="144"/>
      <c r="G127" s="145"/>
      <c r="H127" s="589"/>
      <c r="I127" s="147"/>
      <c r="J127" s="148"/>
      <c r="L127" s="579"/>
      <c r="N127" s="144"/>
      <c r="O127" s="852"/>
    </row>
    <row r="128" spans="1:15" s="149" customFormat="1" ht="207">
      <c r="A128" s="254" t="s">
        <v>2479</v>
      </c>
      <c r="B128" s="592" t="s">
        <v>2483</v>
      </c>
      <c r="C128" s="152" t="s">
        <v>649</v>
      </c>
      <c r="D128" s="572">
        <v>60</v>
      </c>
      <c r="E128" s="144">
        <v>44</v>
      </c>
      <c r="F128" s="144">
        <f>IF((D128*E128)=0,"",(D128*E128))</f>
        <v>2640</v>
      </c>
      <c r="G128" s="145"/>
      <c r="H128" s="589"/>
      <c r="I128" s="147"/>
      <c r="J128" s="148"/>
      <c r="L128" s="579"/>
      <c r="N128" s="144"/>
      <c r="O128" s="852"/>
    </row>
    <row r="129" spans="1:15" s="149" customFormat="1">
      <c r="A129" s="254"/>
      <c r="B129" s="160"/>
      <c r="C129" s="152"/>
      <c r="D129" s="572"/>
      <c r="E129" s="144"/>
      <c r="F129" s="144"/>
      <c r="G129" s="145"/>
      <c r="H129" s="589"/>
      <c r="I129" s="147"/>
      <c r="J129" s="148"/>
      <c r="L129" s="579"/>
      <c r="N129" s="144"/>
      <c r="O129" s="852"/>
    </row>
    <row r="130" spans="1:15" s="149" customFormat="1" ht="151.80000000000001">
      <c r="A130" s="254" t="s">
        <v>2480</v>
      </c>
      <c r="B130" s="751" t="s">
        <v>5086</v>
      </c>
      <c r="C130" s="152" t="s">
        <v>649</v>
      </c>
      <c r="D130" s="572">
        <v>5</v>
      </c>
      <c r="E130" s="144">
        <v>72</v>
      </c>
      <c r="F130" s="144">
        <f>IF((D130*E130)=0,"",(D130*E130))</f>
        <v>360</v>
      </c>
      <c r="G130" s="145"/>
      <c r="H130" s="589"/>
      <c r="I130" s="147"/>
      <c r="J130" s="148"/>
      <c r="L130" s="579"/>
      <c r="N130" s="144"/>
      <c r="O130" s="852"/>
    </row>
    <row r="131" spans="1:15" s="149" customFormat="1">
      <c r="A131" s="254"/>
      <c r="B131" s="160"/>
      <c r="C131" s="152"/>
      <c r="D131" s="572"/>
      <c r="E131" s="144"/>
      <c r="F131" s="144"/>
      <c r="G131" s="145"/>
      <c r="H131" s="589"/>
      <c r="I131" s="147"/>
      <c r="J131" s="148"/>
      <c r="L131" s="579"/>
      <c r="N131" s="144"/>
      <c r="O131" s="852"/>
    </row>
    <row r="132" spans="1:15" s="149" customFormat="1" ht="69">
      <c r="A132" s="254" t="s">
        <v>2481</v>
      </c>
      <c r="B132" s="751" t="s">
        <v>4138</v>
      </c>
      <c r="C132" s="152" t="s">
        <v>649</v>
      </c>
      <c r="D132" s="572">
        <v>120</v>
      </c>
      <c r="E132" s="144">
        <v>11.5</v>
      </c>
      <c r="F132" s="144">
        <f>IF((D132*E132)=0,"",(D132*E132))</f>
        <v>1380</v>
      </c>
      <c r="G132" s="145"/>
      <c r="H132" s="589"/>
      <c r="I132" s="147"/>
      <c r="J132" s="148"/>
      <c r="L132" s="579"/>
      <c r="N132" s="144"/>
      <c r="O132" s="852"/>
    </row>
    <row r="133" spans="1:15" s="149" customFormat="1">
      <c r="A133" s="254"/>
      <c r="B133" s="160"/>
      <c r="C133" s="152"/>
      <c r="D133" s="572"/>
      <c r="E133" s="144"/>
      <c r="F133" s="144"/>
      <c r="G133" s="145"/>
      <c r="H133" s="589"/>
      <c r="I133" s="147"/>
      <c r="J133" s="148"/>
      <c r="L133" s="579"/>
      <c r="N133" s="144"/>
      <c r="O133" s="852"/>
    </row>
    <row r="134" spans="1:15" s="149" customFormat="1" ht="55.2">
      <c r="A134" s="254" t="s">
        <v>2482</v>
      </c>
      <c r="B134" s="751" t="s">
        <v>4139</v>
      </c>
      <c r="C134" s="152" t="s">
        <v>649</v>
      </c>
      <c r="D134" s="572">
        <v>120</v>
      </c>
      <c r="E134" s="144">
        <v>5</v>
      </c>
      <c r="F134" s="144">
        <f>IF((D134*E134)=0,"",(D134*E134))</f>
        <v>600</v>
      </c>
      <c r="G134" s="145"/>
      <c r="H134" s="589"/>
      <c r="I134" s="147"/>
      <c r="J134" s="148"/>
      <c r="L134" s="579"/>
      <c r="N134" s="144"/>
      <c r="O134" s="852"/>
    </row>
    <row r="135" spans="1:15" s="149" customFormat="1">
      <c r="A135" s="254"/>
      <c r="B135" s="160"/>
      <c r="C135" s="152"/>
      <c r="D135" s="572"/>
      <c r="E135" s="144"/>
      <c r="F135" s="144"/>
      <c r="G135" s="145"/>
      <c r="H135" s="589"/>
      <c r="I135" s="147"/>
      <c r="J135" s="148"/>
      <c r="L135" s="579"/>
      <c r="N135" s="144"/>
      <c r="O135" s="852"/>
    </row>
    <row r="136" spans="1:15" s="149" customFormat="1" ht="55.2">
      <c r="A136" s="254" t="s">
        <v>2484</v>
      </c>
      <c r="B136" s="751" t="s">
        <v>4140</v>
      </c>
      <c r="C136" s="152" t="s">
        <v>649</v>
      </c>
      <c r="D136" s="572">
        <v>120</v>
      </c>
      <c r="E136" s="144">
        <v>12</v>
      </c>
      <c r="F136" s="144">
        <f>IF((D136*E136)=0,"",(D136*E136))</f>
        <v>1440</v>
      </c>
      <c r="G136" s="145"/>
      <c r="H136" s="589"/>
      <c r="I136" s="147"/>
      <c r="J136" s="148"/>
      <c r="L136" s="579"/>
      <c r="N136" s="144"/>
      <c r="O136" s="852"/>
    </row>
    <row r="137" spans="1:15" s="149" customFormat="1">
      <c r="A137" s="254"/>
      <c r="B137" s="160"/>
      <c r="C137" s="152"/>
      <c r="D137" s="572"/>
      <c r="E137" s="144"/>
      <c r="F137" s="144"/>
      <c r="G137" s="145"/>
      <c r="H137" s="589"/>
      <c r="I137" s="147"/>
      <c r="J137" s="148"/>
      <c r="L137" s="579"/>
      <c r="N137" s="144"/>
      <c r="O137" s="852"/>
    </row>
    <row r="138" spans="1:15" s="149" customFormat="1" ht="41.4">
      <c r="A138" s="254" t="s">
        <v>2485</v>
      </c>
      <c r="B138" s="751" t="s">
        <v>4141</v>
      </c>
      <c r="C138" s="152" t="s">
        <v>649</v>
      </c>
      <c r="D138" s="572">
        <v>120</v>
      </c>
      <c r="E138" s="144">
        <v>9.5</v>
      </c>
      <c r="F138" s="144">
        <f>IF((D138*E138)=0,"",(D138*E138))</f>
        <v>1140</v>
      </c>
      <c r="G138" s="145"/>
      <c r="H138" s="589"/>
      <c r="I138" s="147"/>
      <c r="J138" s="148"/>
      <c r="L138" s="579"/>
      <c r="N138" s="144"/>
      <c r="O138" s="852"/>
    </row>
    <row r="139" spans="1:15" s="149" customFormat="1">
      <c r="A139" s="254"/>
      <c r="B139" s="160"/>
      <c r="C139" s="564"/>
      <c r="D139" s="565"/>
      <c r="E139" s="566"/>
      <c r="F139" s="566"/>
      <c r="G139" s="145"/>
      <c r="H139" s="589"/>
      <c r="I139" s="147"/>
      <c r="J139" s="148"/>
      <c r="L139" s="579"/>
      <c r="N139" s="566"/>
      <c r="O139" s="852"/>
    </row>
    <row r="140" spans="1:15" s="149" customFormat="1" ht="96.6">
      <c r="A140" s="254" t="s">
        <v>2486</v>
      </c>
      <c r="B140" s="160" t="s">
        <v>4815</v>
      </c>
      <c r="C140" s="152" t="s">
        <v>649</v>
      </c>
      <c r="D140" s="572">
        <v>5</v>
      </c>
      <c r="E140" s="144">
        <v>225</v>
      </c>
      <c r="F140" s="144">
        <f>IF((D140*E140)=0,"",(D140*E140))</f>
        <v>1125</v>
      </c>
      <c r="G140" s="145"/>
      <c r="H140" s="589"/>
      <c r="I140" s="147"/>
      <c r="J140" s="148"/>
      <c r="L140" s="579"/>
      <c r="N140" s="144"/>
      <c r="O140" s="852"/>
    </row>
    <row r="141" spans="1:15" s="149" customFormat="1">
      <c r="A141" s="254"/>
      <c r="B141" s="160"/>
      <c r="C141" s="564"/>
      <c r="D141" s="565"/>
      <c r="E141" s="566"/>
      <c r="F141" s="566"/>
      <c r="G141" s="145"/>
      <c r="H141" s="589"/>
      <c r="I141" s="147"/>
      <c r="J141" s="148"/>
      <c r="L141" s="579"/>
      <c r="N141" s="566"/>
      <c r="O141" s="852"/>
    </row>
    <row r="142" spans="1:15" s="149" customFormat="1" ht="82.8">
      <c r="A142" s="254" t="s">
        <v>2487</v>
      </c>
      <c r="B142" s="749" t="s">
        <v>2491</v>
      </c>
      <c r="C142" s="564" t="s">
        <v>649</v>
      </c>
      <c r="D142" s="565">
        <v>15</v>
      </c>
      <c r="E142" s="566">
        <v>78</v>
      </c>
      <c r="F142" s="566">
        <f>IF((D142*E142)=0,"",(D142*E142))</f>
        <v>1170</v>
      </c>
      <c r="G142" s="593"/>
      <c r="H142" s="594"/>
      <c r="I142" s="147"/>
      <c r="J142" s="148"/>
      <c r="L142" s="579"/>
      <c r="N142" s="566"/>
      <c r="O142" s="852"/>
    </row>
    <row r="143" spans="1:15" s="149" customFormat="1">
      <c r="A143" s="254"/>
      <c r="B143" s="274"/>
      <c r="C143" s="564"/>
      <c r="D143" s="565"/>
      <c r="E143" s="566"/>
      <c r="F143" s="566"/>
      <c r="G143" s="593"/>
      <c r="H143" s="594"/>
      <c r="I143" s="147"/>
      <c r="J143" s="148"/>
      <c r="L143" s="579"/>
      <c r="N143" s="566"/>
      <c r="O143" s="852"/>
    </row>
    <row r="144" spans="1:15" s="149" customFormat="1" ht="82.8">
      <c r="A144" s="254" t="s">
        <v>2488</v>
      </c>
      <c r="B144" s="749" t="s">
        <v>2493</v>
      </c>
      <c r="C144" s="152" t="s">
        <v>649</v>
      </c>
      <c r="D144" s="572">
        <v>10</v>
      </c>
      <c r="E144" s="144">
        <v>84</v>
      </c>
      <c r="F144" s="144">
        <f>IF((D144*E144)=0,"",(D144*E144))</f>
        <v>840</v>
      </c>
      <c r="G144" s="593"/>
      <c r="H144" s="594"/>
      <c r="I144" s="147"/>
      <c r="J144" s="148"/>
      <c r="L144" s="579"/>
      <c r="N144" s="144"/>
      <c r="O144" s="852"/>
    </row>
    <row r="145" spans="1:15" s="149" customFormat="1">
      <c r="A145" s="254"/>
      <c r="B145" s="160"/>
      <c r="C145" s="152"/>
      <c r="D145" s="572"/>
      <c r="E145" s="144"/>
      <c r="F145" s="144"/>
      <c r="G145" s="145"/>
      <c r="H145" s="589"/>
      <c r="I145" s="147"/>
      <c r="J145" s="148"/>
      <c r="L145" s="579"/>
      <c r="N145" s="144"/>
      <c r="O145" s="852"/>
    </row>
    <row r="146" spans="1:15" s="149" customFormat="1" ht="82.8">
      <c r="A146" s="254" t="s">
        <v>2489</v>
      </c>
      <c r="B146" s="274" t="s">
        <v>3138</v>
      </c>
      <c r="C146" s="152" t="s">
        <v>649</v>
      </c>
      <c r="D146" s="572">
        <v>5</v>
      </c>
      <c r="E146" s="144">
        <v>119</v>
      </c>
      <c r="F146" s="144">
        <f>IF((D146*E146)=0,"",(D146*E146))</f>
        <v>595</v>
      </c>
      <c r="G146" s="145"/>
      <c r="H146" s="589"/>
      <c r="I146" s="147"/>
      <c r="J146" s="148"/>
      <c r="L146" s="579"/>
      <c r="N146" s="144"/>
      <c r="O146" s="852"/>
    </row>
    <row r="147" spans="1:15" s="149" customFormat="1">
      <c r="A147" s="254"/>
      <c r="B147" s="160"/>
      <c r="C147" s="152"/>
      <c r="D147" s="572"/>
      <c r="E147" s="144"/>
      <c r="F147" s="144"/>
      <c r="G147" s="145"/>
      <c r="H147" s="589"/>
      <c r="I147" s="147"/>
      <c r="J147" s="148"/>
      <c r="L147" s="579"/>
      <c r="N147" s="144"/>
      <c r="O147" s="852"/>
    </row>
    <row r="148" spans="1:15" s="149" customFormat="1" ht="41.4">
      <c r="A148" s="254" t="s">
        <v>2490</v>
      </c>
      <c r="B148" s="588" t="s">
        <v>2496</v>
      </c>
      <c r="C148" s="152" t="s">
        <v>649</v>
      </c>
      <c r="D148" s="572">
        <v>5</v>
      </c>
      <c r="E148" s="144">
        <v>29</v>
      </c>
      <c r="F148" s="144">
        <f>IF((D148*E148)=0,"",(D148*E148))</f>
        <v>145</v>
      </c>
      <c r="G148" s="145"/>
      <c r="H148" s="589"/>
      <c r="I148" s="147"/>
      <c r="J148" s="148"/>
      <c r="L148" s="579"/>
      <c r="N148" s="144"/>
      <c r="O148" s="852"/>
    </row>
    <row r="149" spans="1:15" s="149" customFormat="1">
      <c r="A149" s="254"/>
      <c r="B149" s="275"/>
      <c r="C149" s="142"/>
      <c r="D149" s="580"/>
      <c r="E149" s="144"/>
      <c r="F149" s="143"/>
      <c r="G149" s="145"/>
      <c r="H149" s="146"/>
      <c r="I149" s="147"/>
      <c r="J149" s="148"/>
      <c r="L149" s="579"/>
      <c r="N149" s="144"/>
      <c r="O149" s="852"/>
    </row>
    <row r="150" spans="1:15" s="149" customFormat="1" ht="82.8">
      <c r="A150" s="254" t="s">
        <v>2492</v>
      </c>
      <c r="B150" s="275" t="s">
        <v>3139</v>
      </c>
      <c r="C150" s="152" t="s">
        <v>670</v>
      </c>
      <c r="D150" s="572">
        <v>5</v>
      </c>
      <c r="E150" s="144">
        <v>535</v>
      </c>
      <c r="F150" s="144">
        <f>IF((D150*E150)=0,"",(D150*E150))</f>
        <v>2675</v>
      </c>
      <c r="G150" s="145"/>
      <c r="H150" s="146"/>
      <c r="I150" s="147"/>
      <c r="J150" s="148"/>
      <c r="L150" s="579"/>
      <c r="N150" s="144"/>
      <c r="O150" s="852"/>
    </row>
    <row r="151" spans="1:15" s="149" customFormat="1">
      <c r="A151" s="254"/>
      <c r="B151" s="275"/>
      <c r="C151" s="142"/>
      <c r="D151" s="580"/>
      <c r="E151" s="144"/>
      <c r="F151" s="143"/>
      <c r="G151" s="145"/>
      <c r="H151" s="146"/>
      <c r="I151" s="147"/>
      <c r="J151" s="148"/>
      <c r="L151" s="579"/>
      <c r="N151" s="144"/>
      <c r="O151" s="852"/>
    </row>
    <row r="152" spans="1:15" s="149" customFormat="1" ht="69">
      <c r="A152" s="254" t="s">
        <v>2494</v>
      </c>
      <c r="B152" s="275" t="s">
        <v>3140</v>
      </c>
      <c r="C152" s="152" t="s">
        <v>670</v>
      </c>
      <c r="D152" s="572">
        <v>5</v>
      </c>
      <c r="E152" s="144">
        <v>278</v>
      </c>
      <c r="F152" s="144">
        <f>IF((D152*E152)=0,"",(D152*E152))</f>
        <v>1390</v>
      </c>
      <c r="G152" s="145"/>
      <c r="H152" s="146"/>
      <c r="I152" s="147"/>
      <c r="J152" s="148"/>
      <c r="L152" s="579"/>
      <c r="N152" s="144"/>
      <c r="O152" s="852"/>
    </row>
    <row r="153" spans="1:15" s="149" customFormat="1">
      <c r="A153" s="254"/>
      <c r="B153" s="275"/>
      <c r="C153" s="142"/>
      <c r="D153" s="580"/>
      <c r="E153" s="144"/>
      <c r="F153" s="143"/>
      <c r="G153" s="145"/>
      <c r="H153" s="146"/>
      <c r="I153" s="147"/>
      <c r="J153" s="148"/>
      <c r="L153" s="579"/>
      <c r="N153" s="144"/>
      <c r="O153" s="852"/>
    </row>
    <row r="154" spans="1:15" s="149" customFormat="1" ht="69">
      <c r="A154" s="254" t="s">
        <v>2495</v>
      </c>
      <c r="B154" s="275" t="s">
        <v>2502</v>
      </c>
      <c r="C154" s="152" t="s">
        <v>670</v>
      </c>
      <c r="D154" s="572">
        <v>5</v>
      </c>
      <c r="E154" s="144">
        <v>265</v>
      </c>
      <c r="F154" s="144">
        <f>IF((D154*E154)=0,"",(D154*E154))</f>
        <v>1325</v>
      </c>
      <c r="G154" s="145"/>
      <c r="H154" s="146"/>
      <c r="I154" s="147"/>
      <c r="J154" s="148"/>
      <c r="L154" s="579"/>
      <c r="N154" s="144"/>
      <c r="O154" s="852"/>
    </row>
    <row r="155" spans="1:15" s="149" customFormat="1">
      <c r="A155" s="254"/>
      <c r="B155" s="180"/>
      <c r="C155" s="142"/>
      <c r="D155" s="580"/>
      <c r="E155" s="144"/>
      <c r="F155" s="143"/>
      <c r="G155" s="145"/>
      <c r="H155" s="146"/>
      <c r="I155" s="147"/>
      <c r="J155" s="148"/>
      <c r="L155" s="579"/>
      <c r="N155" s="144"/>
      <c r="O155" s="852"/>
    </row>
    <row r="156" spans="1:15" s="149" customFormat="1" ht="124.2">
      <c r="A156" s="254" t="s">
        <v>2497</v>
      </c>
      <c r="B156" s="752" t="s">
        <v>3141</v>
      </c>
      <c r="C156" s="152" t="s">
        <v>670</v>
      </c>
      <c r="D156" s="572">
        <v>5</v>
      </c>
      <c r="E156" s="144">
        <v>665</v>
      </c>
      <c r="F156" s="144">
        <f>IF((D156*E156)=0,"",(D156*E156))</f>
        <v>3325</v>
      </c>
      <c r="G156" s="145"/>
      <c r="H156" s="146"/>
      <c r="I156" s="147"/>
      <c r="J156" s="148"/>
      <c r="L156" s="579"/>
      <c r="N156" s="144"/>
      <c r="O156" s="852"/>
    </row>
    <row r="157" spans="1:15" s="149" customFormat="1">
      <c r="A157" s="254"/>
      <c r="B157" s="180"/>
      <c r="C157" s="142"/>
      <c r="D157" s="580"/>
      <c r="E157" s="144"/>
      <c r="F157" s="143"/>
      <c r="G157" s="145"/>
      <c r="H157" s="146"/>
      <c r="I157" s="147"/>
      <c r="J157" s="148"/>
      <c r="L157" s="579"/>
      <c r="N157" s="144"/>
      <c r="O157" s="852"/>
    </row>
    <row r="158" spans="1:15" s="149" customFormat="1" ht="96.6">
      <c r="A158" s="254" t="s">
        <v>2498</v>
      </c>
      <c r="B158" s="752" t="s">
        <v>4142</v>
      </c>
      <c r="C158" s="152" t="s">
        <v>670</v>
      </c>
      <c r="D158" s="572">
        <v>5</v>
      </c>
      <c r="E158" s="144">
        <v>315</v>
      </c>
      <c r="F158" s="144">
        <f>IF((D158*E158)=0,"",(D158*E158))</f>
        <v>1575</v>
      </c>
      <c r="G158" s="145"/>
      <c r="H158" s="146"/>
      <c r="I158" s="147"/>
      <c r="J158" s="148"/>
      <c r="L158" s="579"/>
      <c r="N158" s="144"/>
      <c r="O158" s="852"/>
    </row>
    <row r="159" spans="1:15" s="149" customFormat="1">
      <c r="A159" s="254"/>
      <c r="B159" s="180"/>
      <c r="C159" s="142"/>
      <c r="D159" s="580"/>
      <c r="E159" s="144"/>
      <c r="F159" s="143"/>
      <c r="G159" s="145"/>
      <c r="H159" s="146"/>
      <c r="I159" s="147"/>
      <c r="J159" s="148"/>
      <c r="L159" s="579"/>
      <c r="N159" s="144"/>
      <c r="O159" s="852"/>
    </row>
    <row r="160" spans="1:15" s="149" customFormat="1" ht="55.2">
      <c r="A160" s="254" t="s">
        <v>2499</v>
      </c>
      <c r="B160" s="752" t="s">
        <v>3156</v>
      </c>
      <c r="C160" s="152" t="s">
        <v>649</v>
      </c>
      <c r="D160" s="572">
        <v>10</v>
      </c>
      <c r="E160" s="144">
        <v>64</v>
      </c>
      <c r="F160" s="144">
        <f>IF((D160*E160)=0,"",(D160*E160))</f>
        <v>640</v>
      </c>
      <c r="G160" s="145"/>
      <c r="H160" s="146"/>
      <c r="I160" s="147"/>
      <c r="J160" s="148"/>
      <c r="L160" s="579"/>
      <c r="N160" s="144"/>
      <c r="O160" s="852"/>
    </row>
    <row r="161" spans="1:15" s="149" customFormat="1">
      <c r="A161" s="254"/>
      <c r="B161" s="752"/>
      <c r="C161" s="142"/>
      <c r="D161" s="580"/>
      <c r="E161" s="144"/>
      <c r="F161" s="143"/>
      <c r="G161" s="145"/>
      <c r="H161" s="146"/>
      <c r="I161" s="147"/>
      <c r="J161" s="148"/>
      <c r="L161" s="579"/>
      <c r="N161" s="144"/>
      <c r="O161" s="852"/>
    </row>
    <row r="162" spans="1:15" s="149" customFormat="1" ht="41.4">
      <c r="A162" s="254" t="s">
        <v>2500</v>
      </c>
      <c r="B162" s="752" t="s">
        <v>2507</v>
      </c>
      <c r="C162" s="152" t="s">
        <v>649</v>
      </c>
      <c r="D162" s="572">
        <v>5</v>
      </c>
      <c r="E162" s="144">
        <v>53</v>
      </c>
      <c r="F162" s="144">
        <f>IF((D162*E162)=0,"",(D162*E162))</f>
        <v>265</v>
      </c>
      <c r="G162" s="145"/>
      <c r="H162" s="146"/>
      <c r="I162" s="147"/>
      <c r="J162" s="148"/>
      <c r="L162" s="579"/>
      <c r="N162" s="144"/>
      <c r="O162" s="852"/>
    </row>
    <row r="163" spans="1:15" s="149" customFormat="1">
      <c r="A163" s="254"/>
      <c r="B163" s="752"/>
      <c r="C163" s="142"/>
      <c r="D163" s="580"/>
      <c r="E163" s="144"/>
      <c r="F163" s="143"/>
      <c r="G163" s="145"/>
      <c r="H163" s="146"/>
      <c r="I163" s="147"/>
      <c r="J163" s="148"/>
      <c r="L163" s="579"/>
      <c r="N163" s="144"/>
      <c r="O163" s="852"/>
    </row>
    <row r="164" spans="1:15" s="149" customFormat="1" ht="41.4">
      <c r="A164" s="254" t="s">
        <v>2501</v>
      </c>
      <c r="B164" s="752" t="s">
        <v>2509</v>
      </c>
      <c r="C164" s="152" t="s">
        <v>649</v>
      </c>
      <c r="D164" s="572">
        <v>5</v>
      </c>
      <c r="E164" s="144">
        <v>65</v>
      </c>
      <c r="F164" s="144">
        <f>IF((D164*E164)=0,"",(D164*E164))</f>
        <v>325</v>
      </c>
      <c r="G164" s="145"/>
      <c r="H164" s="146"/>
      <c r="I164" s="147"/>
      <c r="J164" s="148"/>
      <c r="L164" s="579"/>
      <c r="N164" s="144"/>
      <c r="O164" s="852"/>
    </row>
    <row r="165" spans="1:15" s="149" customFormat="1">
      <c r="A165" s="254"/>
      <c r="B165" s="180"/>
      <c r="C165" s="142"/>
      <c r="D165" s="580"/>
      <c r="E165" s="144"/>
      <c r="F165" s="143"/>
      <c r="G165" s="145"/>
      <c r="H165" s="146"/>
      <c r="I165" s="147"/>
      <c r="J165" s="148"/>
      <c r="L165" s="579"/>
      <c r="N165" s="144"/>
      <c r="O165" s="852"/>
    </row>
    <row r="166" spans="1:15" s="149" customFormat="1" ht="96.6">
      <c r="A166" s="254" t="s">
        <v>2503</v>
      </c>
      <c r="B166" s="752" t="s">
        <v>2511</v>
      </c>
      <c r="C166" s="152" t="s">
        <v>670</v>
      </c>
      <c r="D166" s="572">
        <v>10</v>
      </c>
      <c r="E166" s="144">
        <v>428</v>
      </c>
      <c r="F166" s="144">
        <f>IF((D166*E166)=0,"",(D166*E166))</f>
        <v>4280</v>
      </c>
      <c r="G166" s="145"/>
      <c r="H166" s="146"/>
      <c r="I166" s="147"/>
      <c r="J166" s="148"/>
      <c r="L166" s="579"/>
      <c r="N166" s="144"/>
      <c r="O166" s="852"/>
    </row>
    <row r="167" spans="1:15" s="149" customFormat="1">
      <c r="A167" s="254"/>
      <c r="B167" s="160"/>
      <c r="C167" s="152"/>
      <c r="D167" s="572"/>
      <c r="E167" s="144"/>
      <c r="F167" s="144"/>
      <c r="G167" s="145"/>
      <c r="H167" s="146"/>
      <c r="I167" s="147"/>
      <c r="J167" s="148"/>
      <c r="L167" s="579"/>
      <c r="N167" s="144"/>
      <c r="O167" s="852"/>
    </row>
    <row r="168" spans="1:15" s="149" customFormat="1" ht="82.8">
      <c r="A168" s="254" t="s">
        <v>2504</v>
      </c>
      <c r="B168" s="752" t="s">
        <v>2513</v>
      </c>
      <c r="C168" s="152" t="s">
        <v>670</v>
      </c>
      <c r="D168" s="572">
        <v>40</v>
      </c>
      <c r="E168" s="144">
        <v>71</v>
      </c>
      <c r="F168" s="144">
        <f>IF((D168*E168)=0,"",(D168*E168))</f>
        <v>2840</v>
      </c>
      <c r="G168" s="145"/>
      <c r="H168" s="146"/>
      <c r="I168" s="147"/>
      <c r="J168" s="148"/>
      <c r="L168" s="579"/>
      <c r="N168" s="144"/>
      <c r="O168" s="852"/>
    </row>
    <row r="169" spans="1:15" s="149" customFormat="1">
      <c r="A169" s="254"/>
      <c r="B169" s="180"/>
      <c r="C169" s="142"/>
      <c r="D169" s="580"/>
      <c r="E169" s="144"/>
      <c r="F169" s="143"/>
      <c r="G169" s="145"/>
      <c r="H169" s="146"/>
      <c r="I169" s="147"/>
      <c r="J169" s="148"/>
      <c r="L169" s="579"/>
      <c r="N169" s="144"/>
      <c r="O169" s="852"/>
    </row>
    <row r="170" spans="1:15" s="149" customFormat="1" ht="96.6">
      <c r="A170" s="254" t="s">
        <v>2505</v>
      </c>
      <c r="B170" s="752" t="s">
        <v>2515</v>
      </c>
      <c r="C170" s="152" t="s">
        <v>670</v>
      </c>
      <c r="D170" s="572">
        <v>10</v>
      </c>
      <c r="E170" s="144">
        <v>98</v>
      </c>
      <c r="F170" s="144">
        <f>IF((D170*E170)=0,"",(D170*E170))</f>
        <v>980</v>
      </c>
      <c r="G170" s="145"/>
      <c r="H170" s="146"/>
      <c r="I170" s="147"/>
      <c r="J170" s="148"/>
      <c r="L170" s="579"/>
      <c r="N170" s="144"/>
      <c r="O170" s="852"/>
    </row>
    <row r="171" spans="1:15" s="149" customFormat="1">
      <c r="A171" s="254"/>
      <c r="B171" s="180"/>
      <c r="C171" s="142"/>
      <c r="D171" s="580"/>
      <c r="E171" s="144"/>
      <c r="F171" s="143"/>
      <c r="G171" s="145"/>
      <c r="H171" s="146"/>
      <c r="I171" s="147"/>
      <c r="J171" s="148"/>
      <c r="L171" s="579"/>
      <c r="N171" s="144"/>
      <c r="O171" s="852"/>
    </row>
    <row r="172" spans="1:15" s="149" customFormat="1" ht="55.2">
      <c r="A172" s="254" t="s">
        <v>2506</v>
      </c>
      <c r="B172" s="752" t="s">
        <v>2517</v>
      </c>
      <c r="C172" s="152" t="s">
        <v>649</v>
      </c>
      <c r="D172" s="572">
        <v>5</v>
      </c>
      <c r="E172" s="144">
        <v>228</v>
      </c>
      <c r="F172" s="144">
        <f>IF((D172*E172)=0,"",(D172*E172))</f>
        <v>1140</v>
      </c>
      <c r="G172" s="145"/>
      <c r="H172" s="146"/>
      <c r="I172" s="147"/>
      <c r="J172" s="148"/>
      <c r="L172" s="579"/>
      <c r="N172" s="144"/>
      <c r="O172" s="852"/>
    </row>
    <row r="173" spans="1:15" s="149" customFormat="1">
      <c r="A173" s="254"/>
      <c r="B173" s="180"/>
      <c r="C173" s="142"/>
      <c r="D173" s="580"/>
      <c r="E173" s="144"/>
      <c r="F173" s="143"/>
      <c r="G173" s="145"/>
      <c r="H173" s="146"/>
      <c r="I173" s="147"/>
      <c r="J173" s="148"/>
      <c r="L173" s="579"/>
      <c r="N173" s="144"/>
      <c r="O173" s="852"/>
    </row>
    <row r="174" spans="1:15" s="149" customFormat="1" ht="27.6">
      <c r="A174" s="254" t="s">
        <v>2508</v>
      </c>
      <c r="B174" s="752" t="s">
        <v>2519</v>
      </c>
      <c r="C174" s="152" t="s">
        <v>649</v>
      </c>
      <c r="D174" s="572">
        <v>5</v>
      </c>
      <c r="E174" s="144">
        <v>86</v>
      </c>
      <c r="F174" s="144">
        <f>IF((D174*E174)=0,"",(D174*E174))</f>
        <v>430</v>
      </c>
      <c r="G174" s="145"/>
      <c r="H174" s="146"/>
      <c r="I174" s="147"/>
      <c r="J174" s="148"/>
      <c r="L174" s="579"/>
      <c r="N174" s="144"/>
      <c r="O174" s="852"/>
    </row>
    <row r="175" spans="1:15" s="149" customFormat="1">
      <c r="A175" s="254"/>
      <c r="B175" s="752"/>
      <c r="C175" s="142"/>
      <c r="D175" s="580"/>
      <c r="E175" s="144"/>
      <c r="F175" s="143"/>
      <c r="G175" s="145"/>
      <c r="H175" s="146"/>
      <c r="I175" s="147"/>
      <c r="J175" s="148"/>
      <c r="L175" s="579"/>
      <c r="N175" s="144"/>
      <c r="O175" s="852"/>
    </row>
    <row r="176" spans="1:15" s="149" customFormat="1" ht="27.6">
      <c r="A176" s="254" t="s">
        <v>2510</v>
      </c>
      <c r="B176" s="752" t="s">
        <v>2520</v>
      </c>
      <c r="C176" s="152" t="s">
        <v>649</v>
      </c>
      <c r="D176" s="572">
        <v>5</v>
      </c>
      <c r="E176" s="144">
        <v>182</v>
      </c>
      <c r="F176" s="144">
        <f>IF((D176*E176)=0,"",(D176*E176))</f>
        <v>910</v>
      </c>
      <c r="G176" s="145"/>
      <c r="H176" s="146"/>
      <c r="I176" s="147"/>
      <c r="J176" s="148"/>
      <c r="L176" s="579"/>
      <c r="N176" s="144"/>
      <c r="O176" s="852"/>
    </row>
    <row r="177" spans="1:15" s="149" customFormat="1">
      <c r="A177" s="254"/>
      <c r="B177" s="752"/>
      <c r="C177" s="142"/>
      <c r="D177" s="580"/>
      <c r="E177" s="144"/>
      <c r="F177" s="143"/>
      <c r="G177" s="145"/>
      <c r="H177" s="146"/>
      <c r="I177" s="147"/>
      <c r="J177" s="148"/>
      <c r="L177" s="579"/>
      <c r="N177" s="144"/>
      <c r="O177" s="852"/>
    </row>
    <row r="178" spans="1:15" s="149" customFormat="1" ht="27.6">
      <c r="A178" s="254" t="s">
        <v>2512</v>
      </c>
      <c r="B178" s="752" t="s">
        <v>2521</v>
      </c>
      <c r="C178" s="152" t="s">
        <v>649</v>
      </c>
      <c r="D178" s="572">
        <v>5</v>
      </c>
      <c r="E178" s="144">
        <v>212</v>
      </c>
      <c r="F178" s="144">
        <f>IF((D178*E178)=0,"",(D178*E178))</f>
        <v>1060</v>
      </c>
      <c r="G178" s="145"/>
      <c r="H178" s="589"/>
      <c r="I178" s="147"/>
      <c r="J178" s="148"/>
      <c r="L178" s="579"/>
      <c r="N178" s="144"/>
      <c r="O178" s="852"/>
    </row>
    <row r="179" spans="1:15" s="149" customFormat="1">
      <c r="A179" s="269"/>
      <c r="B179" s="752"/>
      <c r="C179" s="142"/>
      <c r="D179" s="580"/>
      <c r="E179" s="144"/>
      <c r="F179" s="143"/>
      <c r="G179" s="145"/>
      <c r="H179" s="146"/>
      <c r="I179" s="147"/>
      <c r="J179" s="148"/>
      <c r="L179" s="579"/>
      <c r="N179" s="144"/>
      <c r="O179" s="852"/>
    </row>
    <row r="180" spans="1:15" s="149" customFormat="1" ht="55.2">
      <c r="A180" s="254" t="s">
        <v>2514</v>
      </c>
      <c r="B180" s="752" t="s">
        <v>2522</v>
      </c>
      <c r="C180" s="152" t="s">
        <v>649</v>
      </c>
      <c r="D180" s="572">
        <v>5</v>
      </c>
      <c r="E180" s="144">
        <v>196</v>
      </c>
      <c r="F180" s="144">
        <f>IF((D180*E180)=0,"",(D180*E180))</f>
        <v>980</v>
      </c>
      <c r="G180" s="145"/>
      <c r="H180" s="146"/>
      <c r="I180" s="147"/>
      <c r="J180" s="148"/>
      <c r="L180" s="579"/>
      <c r="N180" s="144"/>
      <c r="O180" s="852"/>
    </row>
    <row r="181" spans="1:15" s="149" customFormat="1">
      <c r="A181" s="254"/>
      <c r="B181" s="160"/>
      <c r="C181" s="152"/>
      <c r="D181" s="572"/>
      <c r="E181" s="144"/>
      <c r="F181" s="144"/>
      <c r="G181" s="145"/>
      <c r="H181" s="146"/>
      <c r="I181" s="147"/>
      <c r="J181" s="148"/>
      <c r="L181" s="579"/>
      <c r="N181" s="144"/>
      <c r="O181" s="852"/>
    </row>
    <row r="182" spans="1:15" s="149" customFormat="1" ht="55.2">
      <c r="A182" s="254" t="s">
        <v>2516</v>
      </c>
      <c r="B182" s="510" t="s">
        <v>2523</v>
      </c>
      <c r="C182" s="152" t="s">
        <v>649</v>
      </c>
      <c r="D182" s="572">
        <v>5</v>
      </c>
      <c r="E182" s="144">
        <v>16</v>
      </c>
      <c r="F182" s="144">
        <f>IF((D182*E182)=0,"",(D182*E182))</f>
        <v>80</v>
      </c>
      <c r="G182" s="145"/>
      <c r="H182" s="146"/>
      <c r="I182" s="147"/>
      <c r="J182" s="148"/>
      <c r="L182" s="579"/>
      <c r="N182" s="144"/>
      <c r="O182" s="852"/>
    </row>
    <row r="183" spans="1:15" s="149" customFormat="1">
      <c r="A183" s="254"/>
      <c r="B183" s="510"/>
      <c r="C183" s="152"/>
      <c r="D183" s="572"/>
      <c r="E183" s="144"/>
      <c r="F183" s="144"/>
      <c r="G183" s="145"/>
      <c r="H183" s="146"/>
      <c r="I183" s="147"/>
      <c r="J183" s="148"/>
      <c r="L183" s="579"/>
      <c r="N183" s="144"/>
      <c r="O183" s="852"/>
    </row>
    <row r="184" spans="1:15" s="149" customFormat="1" ht="27.6">
      <c r="A184" s="254" t="s">
        <v>2518</v>
      </c>
      <c r="B184" s="510" t="s">
        <v>2524</v>
      </c>
      <c r="C184" s="152" t="s">
        <v>649</v>
      </c>
      <c r="D184" s="572">
        <v>5</v>
      </c>
      <c r="E184" s="144">
        <v>18</v>
      </c>
      <c r="F184" s="144">
        <f>IF((D184*E184)=0,"",(D184*E184))</f>
        <v>90</v>
      </c>
      <c r="G184" s="145"/>
      <c r="H184" s="146"/>
      <c r="I184" s="147"/>
      <c r="J184" s="148"/>
      <c r="L184" s="579"/>
      <c r="N184" s="144"/>
      <c r="O184" s="852"/>
    </row>
    <row r="185" spans="1:15" s="149" customFormat="1">
      <c r="A185" s="595"/>
      <c r="B185" s="596"/>
      <c r="C185" s="597"/>
      <c r="D185" s="598"/>
      <c r="E185" s="599"/>
      <c r="F185" s="599"/>
      <c r="G185" s="145"/>
      <c r="H185" s="146"/>
      <c r="I185" s="147"/>
      <c r="J185" s="148"/>
      <c r="L185" s="579"/>
      <c r="N185" s="599"/>
      <c r="O185" s="852"/>
    </row>
    <row r="186" spans="1:15" s="149" customFormat="1">
      <c r="A186" s="269" t="str">
        <f>A80</f>
        <v>A.1.</v>
      </c>
      <c r="B186" s="753" t="str">
        <f>CONCATENATE(B80," ", "UKUPNO:")</f>
        <v>SKUPNE JEDINICE JASLICA UKUPNO:</v>
      </c>
      <c r="C186" s="152"/>
      <c r="D186" s="572"/>
      <c r="E186" s="144"/>
      <c r="F186" s="670">
        <f>SUM(F82:F185)</f>
        <v>65302.5</v>
      </c>
      <c r="G186" s="145"/>
      <c r="H186" s="146"/>
      <c r="I186" s="147"/>
      <c r="J186" s="148"/>
      <c r="L186" s="579"/>
      <c r="N186" s="144"/>
      <c r="O186" s="852"/>
    </row>
    <row r="187" spans="1:15" s="149" customFormat="1">
      <c r="A187" s="254"/>
      <c r="B187" s="752"/>
      <c r="C187" s="152"/>
      <c r="D187" s="572"/>
      <c r="E187" s="144"/>
      <c r="F187" s="144"/>
      <c r="G187" s="145"/>
      <c r="H187" s="146"/>
      <c r="I187" s="147"/>
      <c r="J187" s="148"/>
      <c r="L187" s="579"/>
      <c r="N187" s="144"/>
      <c r="O187" s="852"/>
    </row>
    <row r="188" spans="1:15" s="149" customFormat="1">
      <c r="A188" s="269"/>
      <c r="B188" s="180"/>
      <c r="C188" s="142"/>
      <c r="D188" s="580"/>
      <c r="E188" s="144"/>
      <c r="F188" s="143"/>
      <c r="G188" s="145"/>
      <c r="H188" s="146"/>
      <c r="I188" s="147"/>
      <c r="J188" s="148"/>
      <c r="L188" s="579"/>
      <c r="N188" s="144"/>
      <c r="O188" s="852"/>
    </row>
    <row r="189" spans="1:15" s="149" customFormat="1" ht="27.6">
      <c r="A189" s="581" t="s">
        <v>990</v>
      </c>
      <c r="B189" s="582" t="s">
        <v>4143</v>
      </c>
      <c r="C189" s="583"/>
      <c r="D189" s="584"/>
      <c r="E189" s="585"/>
      <c r="F189" s="586"/>
      <c r="G189" s="145"/>
      <c r="H189" s="146"/>
      <c r="I189" s="147"/>
      <c r="J189" s="148"/>
      <c r="L189" s="579"/>
      <c r="N189" s="585"/>
      <c r="O189" s="852"/>
    </row>
    <row r="190" spans="1:15" s="157" customFormat="1">
      <c r="A190" s="254"/>
      <c r="B190" s="159"/>
      <c r="C190" s="152"/>
      <c r="D190" s="572"/>
      <c r="E190" s="144"/>
      <c r="F190" s="144"/>
      <c r="G190" s="153"/>
      <c r="H190" s="154"/>
      <c r="I190" s="155"/>
      <c r="J190" s="156"/>
      <c r="N190" s="144"/>
      <c r="O190" s="852"/>
    </row>
    <row r="191" spans="1:15" s="157" customFormat="1" ht="276">
      <c r="A191" s="254" t="s">
        <v>991</v>
      </c>
      <c r="B191" s="751" t="s">
        <v>5087</v>
      </c>
      <c r="C191" s="152" t="s">
        <v>649</v>
      </c>
      <c r="D191" s="572">
        <v>8</v>
      </c>
      <c r="E191" s="144">
        <v>175</v>
      </c>
      <c r="F191" s="144">
        <f>IF((D191*E191)=0,"",(D191*E191))</f>
        <v>1400</v>
      </c>
      <c r="G191" s="153"/>
      <c r="H191" s="161"/>
      <c r="I191" s="155"/>
      <c r="J191" s="156"/>
      <c r="L191" s="162"/>
      <c r="N191" s="144"/>
      <c r="O191" s="852"/>
    </row>
    <row r="192" spans="1:15" s="157" customFormat="1">
      <c r="A192" s="254"/>
      <c r="B192" s="160"/>
      <c r="C192" s="152"/>
      <c r="D192" s="572"/>
      <c r="E192" s="144"/>
      <c r="F192" s="144"/>
      <c r="G192" s="164"/>
      <c r="H192" s="154"/>
      <c r="I192" s="155"/>
      <c r="J192" s="156"/>
      <c r="N192" s="144"/>
      <c r="O192" s="852"/>
    </row>
    <row r="193" spans="1:15" s="157" customFormat="1" ht="138">
      <c r="A193" s="254" t="s">
        <v>2525</v>
      </c>
      <c r="B193" s="588" t="s">
        <v>5188</v>
      </c>
      <c r="C193" s="152" t="s">
        <v>649</v>
      </c>
      <c r="D193" s="572">
        <v>48</v>
      </c>
      <c r="E193" s="144">
        <v>49</v>
      </c>
      <c r="F193" s="144">
        <f>IF((D193*E193)=0,"",(D193*E193))</f>
        <v>2352</v>
      </c>
      <c r="G193" s="145"/>
      <c r="H193" s="589"/>
      <c r="I193" s="155"/>
      <c r="J193" s="156"/>
      <c r="N193" s="144"/>
      <c r="O193" s="852"/>
    </row>
    <row r="194" spans="1:15" s="157" customFormat="1">
      <c r="A194" s="254"/>
      <c r="B194" s="160"/>
      <c r="C194" s="152"/>
      <c r="D194" s="572"/>
      <c r="E194" s="144"/>
      <c r="F194" s="144"/>
      <c r="G194" s="145"/>
      <c r="H194" s="589"/>
      <c r="I194" s="155"/>
      <c r="J194" s="156"/>
      <c r="N194" s="144"/>
      <c r="O194" s="852"/>
    </row>
    <row r="195" spans="1:15" s="157" customFormat="1" ht="138">
      <c r="A195" s="254" t="s">
        <v>2526</v>
      </c>
      <c r="B195" s="750" t="s">
        <v>5187</v>
      </c>
      <c r="C195" s="152" t="s">
        <v>649</v>
      </c>
      <c r="D195" s="572">
        <v>2</v>
      </c>
      <c r="E195" s="144">
        <v>59</v>
      </c>
      <c r="F195" s="144">
        <f>IF((D195*E195)=0,"",(D195*E195))</f>
        <v>118</v>
      </c>
      <c r="G195" s="145"/>
      <c r="H195" s="589"/>
      <c r="I195" s="155"/>
      <c r="J195" s="156"/>
      <c r="N195" s="144"/>
      <c r="O195" s="852"/>
    </row>
    <row r="196" spans="1:15" s="157" customFormat="1">
      <c r="A196" s="254"/>
      <c r="B196" s="160"/>
      <c r="C196" s="152"/>
      <c r="D196" s="572"/>
      <c r="E196" s="144"/>
      <c r="F196" s="144"/>
      <c r="G196" s="145"/>
      <c r="H196" s="589"/>
      <c r="I196" s="155"/>
      <c r="J196" s="156"/>
      <c r="N196" s="144"/>
      <c r="O196" s="852"/>
    </row>
    <row r="197" spans="1:15" s="157" customFormat="1" ht="234.6">
      <c r="A197" s="254" t="s">
        <v>2527</v>
      </c>
      <c r="B197" s="750" t="s">
        <v>5090</v>
      </c>
      <c r="C197" s="152" t="s">
        <v>649</v>
      </c>
      <c r="D197" s="572">
        <v>2</v>
      </c>
      <c r="E197" s="144">
        <v>295</v>
      </c>
      <c r="F197" s="144">
        <f>IF((D197*E197)=0,"",(D197*E197))</f>
        <v>590</v>
      </c>
      <c r="G197" s="145"/>
      <c r="H197" s="589"/>
      <c r="I197" s="155"/>
      <c r="J197" s="156"/>
      <c r="N197" s="144"/>
      <c r="O197" s="852"/>
    </row>
    <row r="198" spans="1:15" s="157" customFormat="1">
      <c r="A198" s="254"/>
      <c r="B198" s="160"/>
      <c r="C198" s="152"/>
      <c r="D198" s="572"/>
      <c r="E198" s="144"/>
      <c r="F198" s="144"/>
      <c r="G198" s="145"/>
      <c r="H198" s="589"/>
      <c r="I198" s="155"/>
      <c r="J198" s="156"/>
      <c r="N198" s="144"/>
      <c r="O198" s="852"/>
    </row>
    <row r="199" spans="1:15" s="157" customFormat="1" ht="207">
      <c r="A199" s="254" t="s">
        <v>3071</v>
      </c>
      <c r="B199" s="751" t="s">
        <v>5091</v>
      </c>
      <c r="C199" s="152" t="s">
        <v>649</v>
      </c>
      <c r="D199" s="572">
        <v>2</v>
      </c>
      <c r="E199" s="144">
        <v>185</v>
      </c>
      <c r="F199" s="144">
        <f>IF((D199*E199)=0,"",(D199*E199))</f>
        <v>370</v>
      </c>
      <c r="G199" s="145"/>
      <c r="H199" s="589"/>
      <c r="I199" s="155"/>
      <c r="J199" s="156"/>
      <c r="N199" s="144"/>
      <c r="O199" s="852"/>
    </row>
    <row r="200" spans="1:15" s="157" customFormat="1">
      <c r="A200" s="254"/>
      <c r="B200" s="160"/>
      <c r="C200" s="152"/>
      <c r="D200" s="572"/>
      <c r="E200" s="144"/>
      <c r="F200" s="144"/>
      <c r="G200" s="145"/>
      <c r="H200" s="589"/>
      <c r="I200" s="155"/>
      <c r="J200" s="156"/>
      <c r="N200" s="144"/>
      <c r="O200" s="852"/>
    </row>
    <row r="201" spans="1:15" s="157" customFormat="1" ht="207">
      <c r="A201" s="254" t="s">
        <v>2528</v>
      </c>
      <c r="B201" s="590" t="s">
        <v>5073</v>
      </c>
      <c r="C201" s="152" t="s">
        <v>649</v>
      </c>
      <c r="D201" s="572">
        <v>4</v>
      </c>
      <c r="E201" s="144">
        <v>155</v>
      </c>
      <c r="F201" s="144">
        <f>IF((D201*E201)=0,"",(D201*E201))</f>
        <v>620</v>
      </c>
      <c r="G201" s="145"/>
      <c r="H201" s="589"/>
      <c r="I201" s="155"/>
      <c r="J201" s="156"/>
      <c r="N201" s="144"/>
      <c r="O201" s="852"/>
    </row>
    <row r="202" spans="1:15" s="157" customFormat="1">
      <c r="A202" s="254"/>
      <c r="B202" s="160"/>
      <c r="C202" s="152"/>
      <c r="D202" s="572"/>
      <c r="E202" s="144"/>
      <c r="F202" s="144"/>
      <c r="G202" s="145"/>
      <c r="H202" s="589"/>
      <c r="I202" s="155"/>
      <c r="J202" s="156"/>
      <c r="N202" s="144"/>
      <c r="O202" s="852"/>
    </row>
    <row r="203" spans="1:15" s="157" customFormat="1" ht="220.8">
      <c r="A203" s="254" t="s">
        <v>2529</v>
      </c>
      <c r="B203" s="751" t="s">
        <v>5088</v>
      </c>
      <c r="C203" s="152" t="s">
        <v>649</v>
      </c>
      <c r="D203" s="572">
        <v>2</v>
      </c>
      <c r="E203" s="144">
        <v>205</v>
      </c>
      <c r="F203" s="144">
        <f>IF((D203*E203)=0,"",(D203*E203))</f>
        <v>410</v>
      </c>
      <c r="G203" s="145"/>
      <c r="H203" s="589"/>
      <c r="I203" s="155"/>
      <c r="J203" s="156"/>
      <c r="N203" s="144"/>
      <c r="O203" s="852"/>
    </row>
    <row r="204" spans="1:15" s="157" customFormat="1">
      <c r="A204" s="254"/>
      <c r="B204" s="160"/>
      <c r="C204" s="152"/>
      <c r="D204" s="572"/>
      <c r="E204" s="144"/>
      <c r="F204" s="144"/>
      <c r="G204" s="145"/>
      <c r="H204" s="589"/>
      <c r="I204" s="155"/>
      <c r="J204" s="156"/>
      <c r="N204" s="144"/>
      <c r="O204" s="852"/>
    </row>
    <row r="205" spans="1:15" s="157" customFormat="1" ht="82.8">
      <c r="A205" s="254" t="s">
        <v>2530</v>
      </c>
      <c r="B205" s="751" t="s">
        <v>2531</v>
      </c>
      <c r="C205" s="152" t="s">
        <v>649</v>
      </c>
      <c r="D205" s="572">
        <v>8</v>
      </c>
      <c r="E205" s="144">
        <v>10.5</v>
      </c>
      <c r="F205" s="144">
        <f>IF((D205*E205)=0,"",(D205*E205))</f>
        <v>84</v>
      </c>
      <c r="G205" s="145"/>
      <c r="H205" s="589"/>
      <c r="I205" s="155"/>
      <c r="J205" s="156"/>
      <c r="N205" s="144"/>
      <c r="O205" s="852"/>
    </row>
    <row r="206" spans="1:15" s="157" customFormat="1">
      <c r="A206" s="254"/>
      <c r="B206" s="160"/>
      <c r="C206" s="152"/>
      <c r="D206" s="572"/>
      <c r="E206" s="144"/>
      <c r="F206" s="144"/>
      <c r="G206" s="145"/>
      <c r="H206" s="589"/>
      <c r="I206" s="155"/>
      <c r="J206" s="156"/>
      <c r="N206" s="144"/>
      <c r="O206" s="852"/>
    </row>
    <row r="207" spans="1:15" s="157" customFormat="1" ht="234.6">
      <c r="A207" s="254" t="s">
        <v>2532</v>
      </c>
      <c r="B207" s="751" t="s">
        <v>5089</v>
      </c>
      <c r="C207" s="152" t="s">
        <v>649</v>
      </c>
      <c r="D207" s="572">
        <v>2</v>
      </c>
      <c r="E207" s="144">
        <v>170</v>
      </c>
      <c r="F207" s="144">
        <f>IF((D207*E207)=0,"",(D207*E207))</f>
        <v>340</v>
      </c>
      <c r="G207" s="145"/>
      <c r="H207" s="589"/>
      <c r="I207" s="155"/>
      <c r="J207" s="156"/>
      <c r="N207" s="144"/>
      <c r="O207" s="852"/>
    </row>
    <row r="208" spans="1:15" s="157" customFormat="1">
      <c r="A208" s="254"/>
      <c r="B208" s="745"/>
      <c r="C208" s="152"/>
      <c r="D208" s="572"/>
      <c r="E208" s="144"/>
      <c r="F208" s="144"/>
      <c r="G208" s="145"/>
      <c r="H208" s="589"/>
      <c r="I208" s="155"/>
      <c r="J208" s="156"/>
      <c r="N208" s="144"/>
      <c r="O208" s="852"/>
    </row>
    <row r="209" spans="1:15" s="157" customFormat="1" ht="82.8">
      <c r="A209" s="254" t="s">
        <v>2533</v>
      </c>
      <c r="B209" s="751" t="s">
        <v>2534</v>
      </c>
      <c r="C209" s="152" t="s">
        <v>649</v>
      </c>
      <c r="D209" s="572">
        <v>8</v>
      </c>
      <c r="E209" s="144">
        <v>10.5</v>
      </c>
      <c r="F209" s="144">
        <f>IF((D209*E209)=0,"",(D209*E209))</f>
        <v>84</v>
      </c>
      <c r="G209" s="145"/>
      <c r="H209" s="589"/>
      <c r="I209" s="155"/>
      <c r="J209" s="156"/>
      <c r="N209" s="144"/>
      <c r="O209" s="852"/>
    </row>
    <row r="210" spans="1:15" s="157" customFormat="1">
      <c r="A210" s="254"/>
      <c r="B210" s="160"/>
      <c r="C210" s="152"/>
      <c r="D210" s="572"/>
      <c r="E210" s="144"/>
      <c r="F210" s="144"/>
      <c r="G210" s="145"/>
      <c r="H210" s="589"/>
      <c r="I210" s="155"/>
      <c r="J210" s="156"/>
      <c r="N210" s="144"/>
      <c r="O210" s="852"/>
    </row>
    <row r="211" spans="1:15" s="157" customFormat="1" ht="82.8">
      <c r="A211" s="254" t="s">
        <v>2535</v>
      </c>
      <c r="B211" s="751" t="s">
        <v>2536</v>
      </c>
      <c r="C211" s="152" t="s">
        <v>649</v>
      </c>
      <c r="D211" s="572">
        <v>16</v>
      </c>
      <c r="E211" s="144">
        <v>8</v>
      </c>
      <c r="F211" s="144">
        <f>IF((D211*E211)=0,"",(D211*E211))</f>
        <v>128</v>
      </c>
      <c r="G211" s="145"/>
      <c r="H211" s="589"/>
      <c r="I211" s="155"/>
      <c r="J211" s="156"/>
      <c r="N211" s="144"/>
      <c r="O211" s="852"/>
    </row>
    <row r="212" spans="1:15" s="157" customFormat="1">
      <c r="A212" s="254"/>
      <c r="B212" s="160"/>
      <c r="C212" s="152"/>
      <c r="D212" s="572"/>
      <c r="E212" s="144"/>
      <c r="F212" s="144"/>
      <c r="G212" s="145"/>
      <c r="H212" s="589"/>
      <c r="I212" s="155"/>
      <c r="J212" s="156"/>
      <c r="N212" s="144"/>
      <c r="O212" s="852"/>
    </row>
    <row r="213" spans="1:15" s="157" customFormat="1" ht="317.39999999999998">
      <c r="A213" s="254" t="s">
        <v>2537</v>
      </c>
      <c r="B213" s="751" t="s">
        <v>5076</v>
      </c>
      <c r="C213" s="152" t="s">
        <v>649</v>
      </c>
      <c r="D213" s="572">
        <v>2</v>
      </c>
      <c r="E213" s="144">
        <v>230</v>
      </c>
      <c r="F213" s="144">
        <f>IF((D213*E213)=0,"",(D213*E213))</f>
        <v>460</v>
      </c>
      <c r="G213" s="145"/>
      <c r="H213" s="589"/>
      <c r="I213" s="155"/>
      <c r="J213" s="156"/>
      <c r="N213" s="144"/>
      <c r="O213" s="852"/>
    </row>
    <row r="214" spans="1:15" s="157" customFormat="1">
      <c r="A214" s="254"/>
      <c r="B214" s="160"/>
      <c r="C214" s="152"/>
      <c r="D214" s="572"/>
      <c r="E214" s="144"/>
      <c r="F214" s="144"/>
      <c r="G214" s="145"/>
      <c r="H214" s="589"/>
      <c r="I214" s="155"/>
      <c r="J214" s="156"/>
      <c r="N214" s="144"/>
      <c r="O214" s="852"/>
    </row>
    <row r="215" spans="1:15" s="157" customFormat="1" ht="82.8">
      <c r="A215" s="254" t="s">
        <v>2538</v>
      </c>
      <c r="B215" s="751" t="s">
        <v>2539</v>
      </c>
      <c r="C215" s="152" t="s">
        <v>649</v>
      </c>
      <c r="D215" s="572">
        <v>6</v>
      </c>
      <c r="E215" s="144">
        <v>10.5</v>
      </c>
      <c r="F215" s="144">
        <f>IF((D215*E215)=0,"",(D215*E215))</f>
        <v>63</v>
      </c>
      <c r="G215" s="145"/>
      <c r="H215" s="589"/>
      <c r="I215" s="155"/>
      <c r="J215" s="156"/>
      <c r="N215" s="144"/>
      <c r="O215" s="852"/>
    </row>
    <row r="216" spans="1:15" s="157" customFormat="1">
      <c r="B216" s="160"/>
      <c r="C216" s="152"/>
      <c r="D216" s="572"/>
      <c r="E216" s="144"/>
      <c r="F216" s="144"/>
      <c r="G216" s="145"/>
      <c r="H216" s="589"/>
      <c r="I216" s="155"/>
      <c r="J216" s="156"/>
      <c r="N216" s="144"/>
      <c r="O216" s="852"/>
    </row>
    <row r="217" spans="1:15" s="157" customFormat="1" ht="69">
      <c r="A217" s="254" t="s">
        <v>2540</v>
      </c>
      <c r="B217" s="751" t="s">
        <v>2541</v>
      </c>
      <c r="C217" s="152" t="s">
        <v>649</v>
      </c>
      <c r="D217" s="572">
        <v>24</v>
      </c>
      <c r="E217" s="144">
        <v>8</v>
      </c>
      <c r="F217" s="144">
        <f>IF((D217*E217)=0,"",(D217*E217))</f>
        <v>192</v>
      </c>
      <c r="G217" s="145"/>
      <c r="H217" s="589"/>
      <c r="I217" s="155"/>
      <c r="J217" s="156"/>
      <c r="N217" s="144"/>
      <c r="O217" s="852"/>
    </row>
    <row r="218" spans="1:15" s="157" customFormat="1">
      <c r="A218" s="254"/>
      <c r="B218" s="751"/>
      <c r="C218" s="152"/>
      <c r="D218" s="572"/>
      <c r="E218" s="144"/>
      <c r="F218" s="144"/>
      <c r="G218" s="145"/>
      <c r="H218" s="589"/>
      <c r="I218" s="155"/>
      <c r="J218" s="156"/>
      <c r="N218" s="144"/>
      <c r="O218" s="852"/>
    </row>
    <row r="219" spans="1:15" s="157" customFormat="1" ht="317.39999999999998">
      <c r="A219" s="254" t="s">
        <v>2542</v>
      </c>
      <c r="B219" s="751" t="s">
        <v>5079</v>
      </c>
      <c r="C219" s="152" t="s">
        <v>649</v>
      </c>
      <c r="D219" s="572">
        <v>2</v>
      </c>
      <c r="E219" s="144">
        <v>195</v>
      </c>
      <c r="F219" s="144">
        <f>IF((D219*E219)=0,"",(D219*E219))</f>
        <v>390</v>
      </c>
      <c r="G219" s="145"/>
      <c r="H219" s="589"/>
      <c r="I219" s="155"/>
      <c r="J219" s="156"/>
      <c r="N219" s="144"/>
      <c r="O219" s="852"/>
    </row>
    <row r="220" spans="1:15" s="157" customFormat="1">
      <c r="A220" s="254"/>
      <c r="B220" s="160"/>
      <c r="C220" s="152"/>
      <c r="D220" s="572"/>
      <c r="E220" s="144"/>
      <c r="F220" s="144"/>
      <c r="G220" s="145"/>
      <c r="H220" s="589"/>
      <c r="I220" s="155"/>
      <c r="J220" s="156"/>
      <c r="N220" s="144"/>
      <c r="O220" s="852"/>
    </row>
    <row r="221" spans="1:15" s="157" customFormat="1" ht="69">
      <c r="A221" s="254" t="s">
        <v>2543</v>
      </c>
      <c r="B221" s="751" t="s">
        <v>3064</v>
      </c>
      <c r="C221" s="152" t="s">
        <v>649</v>
      </c>
      <c r="D221" s="572">
        <v>12</v>
      </c>
      <c r="E221" s="144">
        <v>10.5</v>
      </c>
      <c r="F221" s="144">
        <f>IF((D221*E221)=0,"",(D221*E221))</f>
        <v>126</v>
      </c>
      <c r="G221" s="145"/>
      <c r="H221" s="589"/>
      <c r="I221" s="155"/>
      <c r="J221" s="156"/>
      <c r="N221" s="144"/>
      <c r="O221" s="852"/>
    </row>
    <row r="222" spans="1:15" s="157" customFormat="1">
      <c r="A222" s="254"/>
      <c r="B222" s="160"/>
      <c r="C222" s="152"/>
      <c r="D222" s="572"/>
      <c r="E222" s="144"/>
      <c r="F222" s="144"/>
      <c r="G222" s="145"/>
      <c r="H222" s="589"/>
      <c r="I222" s="155"/>
      <c r="J222" s="156"/>
      <c r="N222" s="144"/>
      <c r="O222" s="852"/>
    </row>
    <row r="223" spans="1:15" s="157" customFormat="1" ht="248.4">
      <c r="A223" s="254" t="s">
        <v>2544</v>
      </c>
      <c r="B223" s="751" t="s">
        <v>5080</v>
      </c>
      <c r="C223" s="152" t="s">
        <v>649</v>
      </c>
      <c r="D223" s="572">
        <v>4</v>
      </c>
      <c r="E223" s="144">
        <v>185</v>
      </c>
      <c r="F223" s="144">
        <f>IF((D223*E223)=0,"",(D223*E223))</f>
        <v>740</v>
      </c>
      <c r="G223" s="145"/>
      <c r="H223" s="589"/>
      <c r="I223" s="155"/>
      <c r="J223" s="156"/>
      <c r="N223" s="144"/>
      <c r="O223" s="852"/>
    </row>
    <row r="224" spans="1:15" s="157" customFormat="1">
      <c r="A224" s="254"/>
      <c r="B224" s="160"/>
      <c r="C224" s="152"/>
      <c r="D224" s="572"/>
      <c r="E224" s="144"/>
      <c r="F224" s="144"/>
      <c r="G224" s="145"/>
      <c r="H224" s="589"/>
      <c r="I224" s="155"/>
      <c r="J224" s="156"/>
      <c r="N224" s="144"/>
      <c r="O224" s="852"/>
    </row>
    <row r="225" spans="1:15" s="157" customFormat="1" ht="248.4">
      <c r="A225" s="254" t="s">
        <v>2545</v>
      </c>
      <c r="B225" s="751" t="s">
        <v>5081</v>
      </c>
      <c r="C225" s="152" t="s">
        <v>649</v>
      </c>
      <c r="D225" s="572">
        <v>2</v>
      </c>
      <c r="E225" s="144">
        <v>155</v>
      </c>
      <c r="F225" s="144">
        <f>IF((D225*E225)=0,"",(D225*E225))</f>
        <v>310</v>
      </c>
      <c r="G225" s="145"/>
      <c r="H225" s="589"/>
      <c r="I225" s="155"/>
      <c r="J225" s="156"/>
      <c r="N225" s="144"/>
      <c r="O225" s="852"/>
    </row>
    <row r="226" spans="1:15" s="157" customFormat="1">
      <c r="A226" s="254"/>
      <c r="B226" s="160"/>
      <c r="C226" s="152"/>
      <c r="D226" s="572"/>
      <c r="E226" s="144"/>
      <c r="F226" s="144" t="str">
        <f>IF((D226*E226)=0,"",(D226*E226))</f>
        <v/>
      </c>
      <c r="G226" s="145"/>
      <c r="H226" s="589"/>
      <c r="I226" s="155"/>
      <c r="J226" s="156"/>
      <c r="N226" s="144"/>
      <c r="O226" s="852"/>
    </row>
    <row r="227" spans="1:15" s="157" customFormat="1" ht="55.2">
      <c r="A227" s="254" t="s">
        <v>2546</v>
      </c>
      <c r="B227" s="180" t="s">
        <v>2549</v>
      </c>
      <c r="C227" s="152" t="s">
        <v>649</v>
      </c>
      <c r="D227" s="572">
        <v>4</v>
      </c>
      <c r="E227" s="144">
        <v>215</v>
      </c>
      <c r="F227" s="144">
        <f>IF((D227*E227)=0,"",(D227*E227))</f>
        <v>860</v>
      </c>
      <c r="G227" s="145"/>
      <c r="H227" s="589"/>
      <c r="I227" s="155"/>
      <c r="J227" s="156"/>
      <c r="N227" s="144"/>
      <c r="O227" s="852"/>
    </row>
    <row r="228" spans="1:15" s="157" customFormat="1">
      <c r="A228" s="254"/>
      <c r="B228" s="180"/>
      <c r="C228" s="152"/>
      <c r="D228" s="572"/>
      <c r="E228" s="144"/>
      <c r="F228" s="144"/>
      <c r="G228" s="145"/>
      <c r="H228" s="589"/>
      <c r="I228" s="155"/>
      <c r="J228" s="156"/>
      <c r="N228" s="144"/>
      <c r="O228" s="852"/>
    </row>
    <row r="229" spans="1:15" s="157" customFormat="1" ht="303.60000000000002">
      <c r="A229" s="254" t="s">
        <v>2547</v>
      </c>
      <c r="B229" s="159" t="s">
        <v>5092</v>
      </c>
      <c r="C229" s="152" t="s">
        <v>649</v>
      </c>
      <c r="D229" s="572">
        <v>2</v>
      </c>
      <c r="E229" s="144">
        <v>270</v>
      </c>
      <c r="F229" s="144">
        <f>IF((D229*E229)=0,"",(D229*E229))</f>
        <v>540</v>
      </c>
      <c r="G229" s="145"/>
      <c r="H229" s="589"/>
      <c r="I229" s="155"/>
      <c r="J229" s="156"/>
      <c r="N229" s="144"/>
      <c r="O229" s="852"/>
    </row>
    <row r="230" spans="1:15" s="157" customFormat="1">
      <c r="A230" s="254"/>
      <c r="B230" s="180"/>
      <c r="C230" s="152"/>
      <c r="D230" s="572"/>
      <c r="E230" s="144"/>
      <c r="F230" s="144"/>
      <c r="G230" s="145"/>
      <c r="H230" s="589"/>
      <c r="I230" s="155"/>
      <c r="J230" s="156"/>
      <c r="N230" s="144"/>
      <c r="O230" s="852"/>
    </row>
    <row r="231" spans="1:15" s="157" customFormat="1" ht="234.6">
      <c r="A231" s="254" t="s">
        <v>2548</v>
      </c>
      <c r="B231" s="159" t="s">
        <v>5093</v>
      </c>
      <c r="C231" s="152" t="s">
        <v>649</v>
      </c>
      <c r="D231" s="572">
        <v>2</v>
      </c>
      <c r="E231" s="144">
        <v>220</v>
      </c>
      <c r="F231" s="144">
        <f>IF((D231*E231)=0,"",(D231*E231))</f>
        <v>440</v>
      </c>
      <c r="G231" s="145"/>
      <c r="H231" s="589"/>
      <c r="I231" s="155"/>
      <c r="J231" s="156"/>
      <c r="N231" s="144"/>
      <c r="O231" s="852"/>
    </row>
    <row r="232" spans="1:15" s="157" customFormat="1">
      <c r="A232" s="254"/>
      <c r="B232" s="180"/>
      <c r="C232" s="152"/>
      <c r="D232" s="572"/>
      <c r="E232" s="144"/>
      <c r="F232" s="144"/>
      <c r="G232" s="145"/>
      <c r="H232" s="589"/>
      <c r="I232" s="155"/>
      <c r="J232" s="156"/>
      <c r="N232" s="144"/>
      <c r="O232" s="852"/>
    </row>
    <row r="233" spans="1:15" s="157" customFormat="1" ht="82.8">
      <c r="A233" s="254" t="s">
        <v>2550</v>
      </c>
      <c r="B233" s="275" t="s">
        <v>3142</v>
      </c>
      <c r="C233" s="564" t="s">
        <v>649</v>
      </c>
      <c r="D233" s="565">
        <v>10</v>
      </c>
      <c r="E233" s="566">
        <v>10.5</v>
      </c>
      <c r="F233" s="566">
        <f>IF((D233*E233)=0,"",(D233*E233))</f>
        <v>105</v>
      </c>
      <c r="G233" s="145"/>
      <c r="H233" s="589"/>
      <c r="I233" s="155"/>
      <c r="J233" s="156"/>
      <c r="N233" s="566"/>
      <c r="O233" s="852"/>
    </row>
    <row r="234" spans="1:15" s="157" customFormat="1">
      <c r="A234" s="254"/>
      <c r="B234" s="180"/>
      <c r="C234" s="152"/>
      <c r="D234" s="572"/>
      <c r="E234" s="144"/>
      <c r="F234" s="144"/>
      <c r="G234" s="145"/>
      <c r="H234" s="589"/>
      <c r="I234" s="155"/>
      <c r="J234" s="156"/>
      <c r="N234" s="144"/>
      <c r="O234" s="852"/>
    </row>
    <row r="235" spans="1:15" s="157" customFormat="1" ht="331.2">
      <c r="A235" s="254" t="s">
        <v>2551</v>
      </c>
      <c r="B235" s="159" t="s">
        <v>5103</v>
      </c>
      <c r="C235" s="564" t="s">
        <v>649</v>
      </c>
      <c r="D235" s="565">
        <v>2</v>
      </c>
      <c r="E235" s="566">
        <v>380</v>
      </c>
      <c r="F235" s="566">
        <f>IF((D235*E235)=0,"",(D235*E235))</f>
        <v>760</v>
      </c>
      <c r="G235" s="145"/>
      <c r="H235" s="589"/>
      <c r="I235" s="155"/>
      <c r="J235" s="156"/>
      <c r="N235" s="566"/>
      <c r="O235" s="852"/>
    </row>
    <row r="236" spans="1:15" s="157" customFormat="1">
      <c r="A236" s="254"/>
      <c r="B236" s="160"/>
      <c r="C236" s="152"/>
      <c r="D236" s="572"/>
      <c r="E236" s="144"/>
      <c r="F236" s="144"/>
      <c r="G236" s="145"/>
      <c r="H236" s="589"/>
      <c r="I236" s="155"/>
      <c r="J236" s="156"/>
      <c r="N236" s="144"/>
      <c r="O236" s="852"/>
    </row>
    <row r="237" spans="1:15" s="157" customFormat="1" ht="331.2">
      <c r="A237" s="254" t="s">
        <v>2552</v>
      </c>
      <c r="B237" s="751" t="s">
        <v>5094</v>
      </c>
      <c r="C237" s="152" t="s">
        <v>649</v>
      </c>
      <c r="D237" s="572">
        <v>2</v>
      </c>
      <c r="E237" s="144">
        <v>360</v>
      </c>
      <c r="F237" s="144">
        <f>IF((D237*E237)=0,"",(D237*E237))</f>
        <v>720</v>
      </c>
      <c r="G237" s="145"/>
      <c r="H237" s="589"/>
      <c r="I237" s="155"/>
      <c r="J237" s="156"/>
      <c r="N237" s="144"/>
      <c r="O237" s="852"/>
    </row>
    <row r="238" spans="1:15" s="157" customFormat="1">
      <c r="A238" s="254"/>
      <c r="B238" s="160"/>
      <c r="C238" s="152"/>
      <c r="D238" s="572"/>
      <c r="E238" s="144"/>
      <c r="F238" s="144"/>
      <c r="G238" s="145"/>
      <c r="H238" s="589"/>
      <c r="I238" s="155"/>
      <c r="J238" s="156"/>
      <c r="N238" s="144"/>
      <c r="O238" s="852"/>
    </row>
    <row r="239" spans="1:15" s="157" customFormat="1" ht="82.8">
      <c r="A239" s="254" t="s">
        <v>2553</v>
      </c>
      <c r="B239" s="751" t="s">
        <v>3065</v>
      </c>
      <c r="C239" s="152" t="s">
        <v>649</v>
      </c>
      <c r="D239" s="572">
        <v>8</v>
      </c>
      <c r="E239" s="144">
        <v>10.5</v>
      </c>
      <c r="F239" s="144">
        <f>IF((D239*E239)=0,"",(D239*E239))</f>
        <v>84</v>
      </c>
      <c r="G239" s="145"/>
      <c r="H239" s="589"/>
      <c r="I239" s="155"/>
      <c r="J239" s="156"/>
      <c r="N239" s="144"/>
      <c r="O239" s="852"/>
    </row>
    <row r="240" spans="1:15" s="157" customFormat="1">
      <c r="A240" s="254"/>
      <c r="B240" s="160"/>
      <c r="C240" s="152"/>
      <c r="D240" s="572"/>
      <c r="E240" s="144"/>
      <c r="F240" s="144"/>
      <c r="G240" s="145"/>
      <c r="H240" s="589"/>
      <c r="I240" s="155"/>
      <c r="J240" s="156"/>
      <c r="N240" s="144"/>
      <c r="O240" s="852"/>
    </row>
    <row r="241" spans="1:15" s="157" customFormat="1" ht="69">
      <c r="A241" s="254" t="s">
        <v>2554</v>
      </c>
      <c r="B241" s="751" t="s">
        <v>3066</v>
      </c>
      <c r="C241" s="152" t="s">
        <v>649</v>
      </c>
      <c r="D241" s="572">
        <v>24</v>
      </c>
      <c r="E241" s="144">
        <v>8</v>
      </c>
      <c r="F241" s="144">
        <f>IF((D241*E241)=0,"",(D241*E241))</f>
        <v>192</v>
      </c>
      <c r="G241" s="145"/>
      <c r="H241" s="589"/>
      <c r="I241" s="155"/>
      <c r="J241" s="156"/>
      <c r="N241" s="144"/>
      <c r="O241" s="852"/>
    </row>
    <row r="242" spans="1:15" s="157" customFormat="1">
      <c r="A242" s="254"/>
      <c r="B242" s="160"/>
      <c r="C242" s="152"/>
      <c r="D242" s="572"/>
      <c r="E242" s="144"/>
      <c r="F242" s="144"/>
      <c r="G242" s="145"/>
      <c r="H242" s="589"/>
      <c r="I242" s="155"/>
      <c r="J242" s="156"/>
      <c r="N242" s="144"/>
      <c r="O242" s="852"/>
    </row>
    <row r="243" spans="1:15" s="157" customFormat="1" ht="331.2">
      <c r="A243" s="254" t="s">
        <v>2555</v>
      </c>
      <c r="B243" s="751" t="s">
        <v>5095</v>
      </c>
      <c r="C243" s="152" t="s">
        <v>649</v>
      </c>
      <c r="D243" s="572">
        <v>2</v>
      </c>
      <c r="E243" s="144">
        <v>285</v>
      </c>
      <c r="F243" s="144">
        <f>IF((D243*E243)=0,"",(D243*E243))</f>
        <v>570</v>
      </c>
      <c r="G243" s="145"/>
      <c r="H243" s="589"/>
      <c r="I243" s="155"/>
      <c r="J243" s="156"/>
      <c r="N243" s="144"/>
      <c r="O243" s="852"/>
    </row>
    <row r="244" spans="1:15" s="157" customFormat="1">
      <c r="A244" s="254"/>
      <c r="B244" s="160"/>
      <c r="C244" s="152"/>
      <c r="D244" s="572"/>
      <c r="E244" s="144"/>
      <c r="F244" s="144"/>
      <c r="G244" s="145"/>
      <c r="H244" s="589"/>
      <c r="I244" s="155"/>
      <c r="J244" s="156"/>
      <c r="N244" s="144"/>
      <c r="O244" s="852"/>
    </row>
    <row r="245" spans="1:15" s="157" customFormat="1" ht="289.8">
      <c r="A245" s="254" t="s">
        <v>2556</v>
      </c>
      <c r="B245" s="751" t="s">
        <v>5096</v>
      </c>
      <c r="C245" s="152" t="s">
        <v>649</v>
      </c>
      <c r="D245" s="572">
        <v>2</v>
      </c>
      <c r="E245" s="144">
        <v>155</v>
      </c>
      <c r="F245" s="144">
        <f>IF((D245*E245)=0,"",(D245*E245))</f>
        <v>310</v>
      </c>
      <c r="G245" s="145"/>
      <c r="H245" s="589"/>
      <c r="I245" s="155"/>
      <c r="J245" s="156"/>
      <c r="N245" s="144"/>
      <c r="O245" s="852"/>
    </row>
    <row r="246" spans="1:15" s="157" customFormat="1">
      <c r="A246" s="254"/>
      <c r="B246" s="160"/>
      <c r="C246" s="152"/>
      <c r="D246" s="572"/>
      <c r="E246" s="144"/>
      <c r="F246" s="144"/>
      <c r="G246" s="145"/>
      <c r="H246" s="589"/>
      <c r="I246" s="155"/>
      <c r="J246" s="156"/>
      <c r="N246" s="144"/>
      <c r="O246" s="852"/>
    </row>
    <row r="247" spans="1:15" s="157" customFormat="1" ht="262.2">
      <c r="A247" s="254" t="s">
        <v>2557</v>
      </c>
      <c r="B247" s="751" t="s">
        <v>5098</v>
      </c>
      <c r="C247" s="152" t="s">
        <v>649</v>
      </c>
      <c r="D247" s="572">
        <v>2</v>
      </c>
      <c r="E247" s="144">
        <v>145</v>
      </c>
      <c r="F247" s="144">
        <f>IF((D247*E247)=0,"",(D247*E247))</f>
        <v>290</v>
      </c>
      <c r="G247" s="145"/>
      <c r="H247" s="589"/>
      <c r="I247" s="155"/>
      <c r="J247" s="156"/>
      <c r="N247" s="144"/>
      <c r="O247" s="852"/>
    </row>
    <row r="248" spans="1:15" s="157" customFormat="1">
      <c r="A248" s="254"/>
      <c r="B248" s="160"/>
      <c r="C248" s="152"/>
      <c r="D248" s="572"/>
      <c r="E248" s="144"/>
      <c r="F248" s="144"/>
      <c r="G248" s="145"/>
      <c r="H248" s="589"/>
      <c r="I248" s="155"/>
      <c r="J248" s="156"/>
      <c r="N248" s="144"/>
      <c r="O248" s="852"/>
    </row>
    <row r="249" spans="1:15" s="157" customFormat="1" ht="248.4">
      <c r="A249" s="254" t="s">
        <v>2558</v>
      </c>
      <c r="B249" s="751" t="s">
        <v>5097</v>
      </c>
      <c r="C249" s="152" t="s">
        <v>649</v>
      </c>
      <c r="D249" s="572">
        <v>2</v>
      </c>
      <c r="E249" s="144">
        <v>140</v>
      </c>
      <c r="F249" s="144">
        <f>IF((D249*E249)=0,"",(D249*E249))</f>
        <v>280</v>
      </c>
      <c r="G249" s="145"/>
      <c r="H249" s="589"/>
      <c r="I249" s="155"/>
      <c r="J249" s="156"/>
      <c r="N249" s="144"/>
      <c r="O249" s="852"/>
    </row>
    <row r="250" spans="1:15" s="157" customFormat="1">
      <c r="A250" s="254"/>
      <c r="B250" s="160"/>
      <c r="C250" s="152"/>
      <c r="D250" s="572"/>
      <c r="E250" s="144"/>
      <c r="F250" s="144"/>
      <c r="G250" s="145"/>
      <c r="H250" s="589"/>
      <c r="I250" s="155"/>
      <c r="J250" s="156"/>
      <c r="N250" s="144"/>
      <c r="O250" s="852"/>
    </row>
    <row r="251" spans="1:15" s="157" customFormat="1" ht="138">
      <c r="A251" s="254" t="s">
        <v>2559</v>
      </c>
      <c r="B251" s="751" t="s">
        <v>2562</v>
      </c>
      <c r="C251" s="152" t="s">
        <v>649</v>
      </c>
      <c r="D251" s="572">
        <v>2</v>
      </c>
      <c r="E251" s="144">
        <v>98</v>
      </c>
      <c r="F251" s="144">
        <f>IF((D251*E251)=0,"",(D251*E251))</f>
        <v>196</v>
      </c>
      <c r="G251" s="145"/>
      <c r="H251" s="589"/>
      <c r="I251" s="155"/>
      <c r="J251" s="156"/>
      <c r="N251" s="144"/>
      <c r="O251" s="852"/>
    </row>
    <row r="252" spans="1:15" s="157" customFormat="1">
      <c r="A252" s="254"/>
      <c r="B252" s="160"/>
      <c r="C252" s="152"/>
      <c r="D252" s="572"/>
      <c r="E252" s="144"/>
      <c r="F252" s="144"/>
      <c r="G252" s="145"/>
      <c r="H252" s="589"/>
      <c r="I252" s="155"/>
      <c r="J252" s="156"/>
      <c r="N252" s="144"/>
      <c r="O252" s="852"/>
    </row>
    <row r="253" spans="1:15" s="157" customFormat="1" ht="96.6">
      <c r="A253" s="254" t="s">
        <v>2560</v>
      </c>
      <c r="B253" s="751" t="s">
        <v>2564</v>
      </c>
      <c r="C253" s="152" t="s">
        <v>649</v>
      </c>
      <c r="D253" s="572">
        <v>6</v>
      </c>
      <c r="E253" s="144">
        <v>112</v>
      </c>
      <c r="F253" s="144">
        <f>IF((D253*E253)=0,"",(D253*E253))</f>
        <v>672</v>
      </c>
      <c r="G253" s="145"/>
      <c r="H253" s="589"/>
      <c r="I253" s="155"/>
      <c r="J253" s="156"/>
      <c r="N253" s="144"/>
      <c r="O253" s="852"/>
    </row>
    <row r="254" spans="1:15" s="157" customFormat="1">
      <c r="A254" s="254"/>
      <c r="B254" s="751"/>
      <c r="C254" s="152"/>
      <c r="D254" s="572"/>
      <c r="E254" s="144"/>
      <c r="F254" s="144"/>
      <c r="G254" s="145"/>
      <c r="H254" s="589"/>
      <c r="I254" s="155"/>
      <c r="J254" s="156"/>
      <c r="N254" s="144"/>
      <c r="O254" s="852"/>
    </row>
    <row r="255" spans="1:15" s="157" customFormat="1" ht="179.4">
      <c r="A255" s="254" t="s">
        <v>2561</v>
      </c>
      <c r="B255" s="751" t="s">
        <v>5099</v>
      </c>
      <c r="C255" s="152" t="s">
        <v>670</v>
      </c>
      <c r="D255" s="572">
        <v>2</v>
      </c>
      <c r="E255" s="144">
        <v>180</v>
      </c>
      <c r="F255" s="144">
        <f>IF((D255*E255)=0,"",(D255*E255))</f>
        <v>360</v>
      </c>
      <c r="G255" s="145"/>
      <c r="H255" s="589"/>
      <c r="I255" s="155"/>
      <c r="J255" s="156"/>
      <c r="N255" s="144"/>
      <c r="O255" s="852"/>
    </row>
    <row r="256" spans="1:15" s="157" customFormat="1">
      <c r="A256" s="254"/>
      <c r="B256" s="160"/>
      <c r="C256" s="152"/>
      <c r="D256" s="572"/>
      <c r="E256" s="144"/>
      <c r="F256" s="144"/>
      <c r="G256" s="145"/>
      <c r="H256" s="589"/>
      <c r="I256" s="155"/>
      <c r="J256" s="156"/>
      <c r="N256" s="144"/>
      <c r="O256" s="852"/>
    </row>
    <row r="257" spans="1:15" s="157" customFormat="1" ht="96.6">
      <c r="A257" s="254" t="s">
        <v>2563</v>
      </c>
      <c r="B257" s="751" t="s">
        <v>2567</v>
      </c>
      <c r="C257" s="152" t="s">
        <v>649</v>
      </c>
      <c r="D257" s="572">
        <v>4</v>
      </c>
      <c r="E257" s="144">
        <v>176</v>
      </c>
      <c r="F257" s="144">
        <f>IF((D257*E257)=0,"",(D257*E257))</f>
        <v>704</v>
      </c>
      <c r="G257" s="145"/>
      <c r="H257" s="589"/>
      <c r="I257" s="155"/>
      <c r="J257" s="156"/>
      <c r="N257" s="144"/>
      <c r="O257" s="852"/>
    </row>
    <row r="258" spans="1:15" s="157" customFormat="1">
      <c r="A258" s="254"/>
      <c r="B258" s="160"/>
      <c r="C258" s="152"/>
      <c r="D258" s="572"/>
      <c r="E258" s="144"/>
      <c r="F258" s="144"/>
      <c r="G258" s="145"/>
      <c r="H258" s="589"/>
      <c r="I258" s="155"/>
      <c r="J258" s="156"/>
      <c r="N258" s="144"/>
      <c r="O258" s="852"/>
    </row>
    <row r="259" spans="1:15" s="157" customFormat="1" ht="248.4">
      <c r="A259" s="254" t="s">
        <v>2565</v>
      </c>
      <c r="B259" s="751" t="s">
        <v>5084</v>
      </c>
      <c r="C259" s="152" t="s">
        <v>649</v>
      </c>
      <c r="D259" s="572">
        <v>2</v>
      </c>
      <c r="E259" s="144">
        <v>155</v>
      </c>
      <c r="F259" s="144">
        <f>IF((D259*E259)=0,"",(D259*E259))</f>
        <v>310</v>
      </c>
      <c r="G259" s="145"/>
      <c r="H259" s="589"/>
      <c r="I259" s="155"/>
      <c r="J259" s="156"/>
      <c r="N259" s="144"/>
      <c r="O259" s="852"/>
    </row>
    <row r="260" spans="1:15" s="157" customFormat="1">
      <c r="A260" s="254"/>
      <c r="B260" s="160"/>
      <c r="C260" s="152"/>
      <c r="D260" s="572"/>
      <c r="E260" s="144"/>
      <c r="F260" s="144"/>
      <c r="G260" s="145"/>
      <c r="H260" s="589"/>
      <c r="I260" s="155"/>
      <c r="J260" s="156"/>
      <c r="N260" s="144"/>
      <c r="O260" s="852"/>
    </row>
    <row r="261" spans="1:15" s="157" customFormat="1" ht="110.4">
      <c r="A261" s="254" t="s">
        <v>2566</v>
      </c>
      <c r="B261" s="751" t="s">
        <v>2570</v>
      </c>
      <c r="C261" s="152" t="s">
        <v>649</v>
      </c>
      <c r="D261" s="572">
        <v>2</v>
      </c>
      <c r="E261" s="144">
        <v>572</v>
      </c>
      <c r="F261" s="144">
        <f>IF((D261*E261)=0,"",(D261*E261))</f>
        <v>1144</v>
      </c>
      <c r="G261" s="145"/>
      <c r="H261" s="589"/>
      <c r="I261" s="155"/>
      <c r="J261" s="156"/>
      <c r="N261" s="144"/>
      <c r="O261" s="852"/>
    </row>
    <row r="262" spans="1:15" s="157" customFormat="1">
      <c r="A262" s="254"/>
      <c r="B262" s="160"/>
      <c r="C262" s="152"/>
      <c r="D262" s="572"/>
      <c r="E262" s="144"/>
      <c r="F262" s="144"/>
      <c r="G262" s="145"/>
      <c r="H262" s="589"/>
      <c r="I262" s="155"/>
      <c r="J262" s="156"/>
      <c r="N262" s="144"/>
      <c r="O262" s="852"/>
    </row>
    <row r="263" spans="1:15" s="157" customFormat="1" ht="138">
      <c r="A263" s="254" t="s">
        <v>2568</v>
      </c>
      <c r="B263" s="590" t="s">
        <v>3056</v>
      </c>
      <c r="C263" s="152" t="s">
        <v>649</v>
      </c>
      <c r="D263" s="572">
        <v>2</v>
      </c>
      <c r="E263" s="144">
        <v>186</v>
      </c>
      <c r="F263" s="144">
        <f>IF((D263*E263)=0,"",(D263*E263))</f>
        <v>372</v>
      </c>
      <c r="G263" s="145"/>
      <c r="H263" s="589"/>
      <c r="I263" s="155"/>
      <c r="J263" s="156"/>
      <c r="N263" s="144"/>
      <c r="O263" s="852"/>
    </row>
    <row r="264" spans="1:15" s="157" customFormat="1">
      <c r="A264" s="254"/>
      <c r="B264" s="160"/>
      <c r="C264" s="152"/>
      <c r="D264" s="572"/>
      <c r="E264" s="144"/>
      <c r="F264" s="144"/>
      <c r="G264" s="145"/>
      <c r="H264" s="589"/>
      <c r="I264" s="155"/>
      <c r="J264" s="156"/>
      <c r="N264" s="144"/>
      <c r="O264" s="852"/>
    </row>
    <row r="265" spans="1:15" s="157" customFormat="1" ht="207">
      <c r="A265" s="254" t="s">
        <v>2569</v>
      </c>
      <c r="B265" s="592" t="s">
        <v>2483</v>
      </c>
      <c r="C265" s="152" t="s">
        <v>649</v>
      </c>
      <c r="D265" s="572">
        <v>40</v>
      </c>
      <c r="E265" s="144">
        <v>44</v>
      </c>
      <c r="F265" s="144">
        <f>IF((D265*E265)=0,"",(D265*E265))</f>
        <v>1760</v>
      </c>
      <c r="G265" s="145"/>
      <c r="H265" s="589"/>
      <c r="I265" s="155"/>
      <c r="J265" s="156"/>
      <c r="N265" s="144"/>
      <c r="O265" s="852"/>
    </row>
    <row r="266" spans="1:15" s="157" customFormat="1">
      <c r="A266" s="254"/>
      <c r="B266" s="160"/>
      <c r="C266" s="152"/>
      <c r="D266" s="572"/>
      <c r="E266" s="144"/>
      <c r="F266" s="144"/>
      <c r="G266" s="145"/>
      <c r="H266" s="589"/>
      <c r="I266" s="155"/>
      <c r="J266" s="156"/>
      <c r="N266" s="144"/>
      <c r="O266" s="852"/>
    </row>
    <row r="267" spans="1:15" s="157" customFormat="1" ht="151.80000000000001">
      <c r="A267" s="254" t="s">
        <v>2571</v>
      </c>
      <c r="B267" s="751" t="s">
        <v>5100</v>
      </c>
      <c r="C267" s="152" t="s">
        <v>649</v>
      </c>
      <c r="D267" s="572">
        <v>2</v>
      </c>
      <c r="E267" s="144">
        <v>72</v>
      </c>
      <c r="F267" s="144">
        <f>IF((D267*E267)=0,"",(D267*E267))</f>
        <v>144</v>
      </c>
      <c r="G267" s="145"/>
      <c r="H267" s="589"/>
      <c r="I267" s="155"/>
      <c r="J267" s="156"/>
      <c r="N267" s="144"/>
      <c r="O267" s="852"/>
    </row>
    <row r="268" spans="1:15" s="157" customFormat="1">
      <c r="A268" s="254"/>
      <c r="B268" s="160"/>
      <c r="C268" s="152"/>
      <c r="D268" s="572"/>
      <c r="E268" s="144"/>
      <c r="F268" s="144"/>
      <c r="G268" s="145"/>
      <c r="H268" s="589"/>
      <c r="I268" s="155"/>
      <c r="J268" s="156"/>
      <c r="N268" s="144"/>
      <c r="O268" s="852"/>
    </row>
    <row r="269" spans="1:15" s="157" customFormat="1" ht="69">
      <c r="A269" s="254" t="s">
        <v>2572</v>
      </c>
      <c r="B269" s="751" t="s">
        <v>3067</v>
      </c>
      <c r="C269" s="152" t="s">
        <v>649</v>
      </c>
      <c r="D269" s="572">
        <v>80</v>
      </c>
      <c r="E269" s="144">
        <v>11.5</v>
      </c>
      <c r="F269" s="144">
        <f>IF((D269*E269)=0,"",(D269*E269))</f>
        <v>920</v>
      </c>
      <c r="G269" s="145"/>
      <c r="H269" s="589"/>
      <c r="I269" s="155"/>
      <c r="J269" s="156"/>
      <c r="N269" s="144"/>
      <c r="O269" s="852"/>
    </row>
    <row r="270" spans="1:15" s="157" customFormat="1">
      <c r="A270" s="254"/>
      <c r="B270" s="160"/>
      <c r="C270" s="152"/>
      <c r="D270" s="572"/>
      <c r="E270" s="144"/>
      <c r="F270" s="144"/>
      <c r="G270" s="145"/>
      <c r="H270" s="589"/>
      <c r="I270" s="155"/>
      <c r="J270" s="156"/>
      <c r="N270" s="144"/>
      <c r="O270" s="852"/>
    </row>
    <row r="271" spans="1:15" s="157" customFormat="1" ht="55.2">
      <c r="A271" s="254" t="s">
        <v>2573</v>
      </c>
      <c r="B271" s="751" t="s">
        <v>3068</v>
      </c>
      <c r="C271" s="152" t="s">
        <v>649</v>
      </c>
      <c r="D271" s="572">
        <v>80</v>
      </c>
      <c r="E271" s="144">
        <v>5</v>
      </c>
      <c r="F271" s="144">
        <f>IF((D271*E271)=0,"",(D271*E271))</f>
        <v>400</v>
      </c>
      <c r="G271" s="145"/>
      <c r="H271" s="589"/>
      <c r="I271" s="155"/>
      <c r="J271" s="156"/>
      <c r="N271" s="144"/>
      <c r="O271" s="852"/>
    </row>
    <row r="272" spans="1:15" s="157" customFormat="1">
      <c r="A272" s="254"/>
      <c r="B272" s="160"/>
      <c r="C272" s="152"/>
      <c r="D272" s="572"/>
      <c r="E272" s="144"/>
      <c r="F272" s="144"/>
      <c r="G272" s="145"/>
      <c r="H272" s="589"/>
      <c r="I272" s="155"/>
      <c r="J272" s="156"/>
      <c r="N272" s="144"/>
      <c r="O272" s="852"/>
    </row>
    <row r="273" spans="1:15" s="157" customFormat="1" ht="55.2">
      <c r="A273" s="254" t="s">
        <v>2574</v>
      </c>
      <c r="B273" s="751" t="s">
        <v>3069</v>
      </c>
      <c r="C273" s="152" t="s">
        <v>649</v>
      </c>
      <c r="D273" s="572">
        <v>80</v>
      </c>
      <c r="E273" s="144">
        <v>12</v>
      </c>
      <c r="F273" s="144">
        <f>IF((D273*E273)=0,"",(D273*E273))</f>
        <v>960</v>
      </c>
      <c r="G273" s="145"/>
      <c r="H273" s="589"/>
      <c r="I273" s="155"/>
      <c r="J273" s="156"/>
      <c r="N273" s="144"/>
      <c r="O273" s="852"/>
    </row>
    <row r="274" spans="1:15" s="157" customFormat="1">
      <c r="A274" s="254"/>
      <c r="B274" s="160"/>
      <c r="C274" s="152"/>
      <c r="D274" s="572"/>
      <c r="E274" s="144"/>
      <c r="F274" s="144"/>
      <c r="G274" s="145"/>
      <c r="H274" s="589"/>
      <c r="I274" s="155"/>
      <c r="J274" s="156"/>
      <c r="N274" s="144"/>
      <c r="O274" s="852"/>
    </row>
    <row r="275" spans="1:15" s="157" customFormat="1" ht="41.4">
      <c r="A275" s="254" t="s">
        <v>2575</v>
      </c>
      <c r="B275" s="751" t="s">
        <v>3070</v>
      </c>
      <c r="C275" s="152" t="s">
        <v>649</v>
      </c>
      <c r="D275" s="572">
        <v>80</v>
      </c>
      <c r="E275" s="144">
        <v>9.5</v>
      </c>
      <c r="F275" s="144">
        <f>IF((D275*E275)=0,"",(D275*E275))</f>
        <v>760</v>
      </c>
      <c r="G275" s="145"/>
      <c r="H275" s="589"/>
      <c r="I275" s="155"/>
      <c r="J275" s="156"/>
      <c r="N275" s="144"/>
      <c r="O275" s="852"/>
    </row>
    <row r="276" spans="1:15" s="157" customFormat="1">
      <c r="A276" s="254"/>
      <c r="B276" s="160"/>
      <c r="C276" s="564"/>
      <c r="D276" s="565"/>
      <c r="E276" s="566"/>
      <c r="F276" s="566"/>
      <c r="G276" s="145"/>
      <c r="H276" s="589"/>
      <c r="I276" s="155"/>
      <c r="J276" s="156"/>
      <c r="N276" s="566"/>
      <c r="O276" s="852"/>
    </row>
    <row r="277" spans="1:15" s="157" customFormat="1" ht="96.6">
      <c r="A277" s="254" t="s">
        <v>2576</v>
      </c>
      <c r="B277" s="160" t="s">
        <v>4814</v>
      </c>
      <c r="C277" s="152" t="s">
        <v>649</v>
      </c>
      <c r="D277" s="572">
        <v>2</v>
      </c>
      <c r="E277" s="144">
        <v>225</v>
      </c>
      <c r="F277" s="144">
        <f>IF((D277*E277)=0,"",(D277*E277))</f>
        <v>450</v>
      </c>
      <c r="G277" s="145"/>
      <c r="H277" s="589"/>
      <c r="I277" s="155"/>
      <c r="J277" s="156"/>
      <c r="N277" s="144"/>
      <c r="O277" s="852"/>
    </row>
    <row r="278" spans="1:15" s="157" customFormat="1">
      <c r="A278" s="254"/>
      <c r="B278" s="160"/>
      <c r="C278" s="564"/>
      <c r="D278" s="565"/>
      <c r="E278" s="566"/>
      <c r="F278" s="566"/>
      <c r="G278" s="145"/>
      <c r="H278" s="589"/>
      <c r="I278" s="155"/>
      <c r="J278" s="156"/>
      <c r="N278" s="566"/>
      <c r="O278" s="852"/>
    </row>
    <row r="279" spans="1:15" s="569" customFormat="1" ht="82.8">
      <c r="A279" s="254" t="s">
        <v>2577</v>
      </c>
      <c r="B279" s="749" t="s">
        <v>2491</v>
      </c>
      <c r="C279" s="564" t="s">
        <v>649</v>
      </c>
      <c r="D279" s="565">
        <v>6</v>
      </c>
      <c r="E279" s="566">
        <v>78</v>
      </c>
      <c r="F279" s="566">
        <f>IF((D279*E279)=0,"",(D279*E279))</f>
        <v>468</v>
      </c>
      <c r="G279" s="593"/>
      <c r="H279" s="594"/>
      <c r="I279" s="416"/>
      <c r="J279" s="600"/>
      <c r="N279" s="566"/>
      <c r="O279" s="852"/>
    </row>
    <row r="280" spans="1:15" s="569" customFormat="1">
      <c r="A280" s="254"/>
      <c r="B280" s="274"/>
      <c r="C280" s="564"/>
      <c r="D280" s="565"/>
      <c r="E280" s="566"/>
      <c r="F280" s="566"/>
      <c r="G280" s="593"/>
      <c r="H280" s="594"/>
      <c r="I280" s="416"/>
      <c r="J280" s="600"/>
      <c r="N280" s="566"/>
      <c r="O280" s="852"/>
    </row>
    <row r="281" spans="1:15" s="569" customFormat="1" ht="82.8">
      <c r="A281" s="254" t="s">
        <v>2578</v>
      </c>
      <c r="B281" s="749" t="s">
        <v>2493</v>
      </c>
      <c r="C281" s="152" t="s">
        <v>649</v>
      </c>
      <c r="D281" s="572">
        <v>4</v>
      </c>
      <c r="E281" s="144">
        <v>84</v>
      </c>
      <c r="F281" s="144">
        <f>IF((D281*E281)=0,"",(D281*E281))</f>
        <v>336</v>
      </c>
      <c r="G281" s="593"/>
      <c r="H281" s="594"/>
      <c r="I281" s="416"/>
      <c r="J281" s="600"/>
      <c r="N281" s="144"/>
      <c r="O281" s="852"/>
    </row>
    <row r="282" spans="1:15" s="157" customFormat="1">
      <c r="A282" s="254"/>
      <c r="B282" s="160"/>
      <c r="C282" s="152"/>
      <c r="D282" s="572"/>
      <c r="E282" s="144"/>
      <c r="F282" s="144"/>
      <c r="G282" s="145"/>
      <c r="H282" s="589"/>
      <c r="I282" s="155"/>
      <c r="J282" s="156"/>
      <c r="N282" s="144"/>
      <c r="O282" s="852"/>
    </row>
    <row r="283" spans="1:15" s="157" customFormat="1" ht="82.8">
      <c r="A283" s="254" t="s">
        <v>2579</v>
      </c>
      <c r="B283" s="274" t="s">
        <v>3138</v>
      </c>
      <c r="C283" s="152" t="s">
        <v>649</v>
      </c>
      <c r="D283" s="572">
        <v>2</v>
      </c>
      <c r="E283" s="144">
        <v>119</v>
      </c>
      <c r="F283" s="144">
        <f>IF((D283*E283)=0,"",(D283*E283))</f>
        <v>238</v>
      </c>
      <c r="G283" s="145"/>
      <c r="H283" s="589"/>
      <c r="I283" s="155"/>
      <c r="J283" s="156"/>
      <c r="N283" s="144"/>
      <c r="O283" s="852"/>
    </row>
    <row r="284" spans="1:15" s="157" customFormat="1">
      <c r="A284" s="254"/>
      <c r="B284" s="160"/>
      <c r="C284" s="152"/>
      <c r="D284" s="572"/>
      <c r="E284" s="144"/>
      <c r="F284" s="144"/>
      <c r="G284" s="145"/>
      <c r="H284" s="589"/>
      <c r="I284" s="155"/>
      <c r="J284" s="156"/>
      <c r="N284" s="144"/>
      <c r="O284" s="852"/>
    </row>
    <row r="285" spans="1:15" s="157" customFormat="1" ht="41.4">
      <c r="A285" s="254" t="s">
        <v>2580</v>
      </c>
      <c r="B285" s="588" t="s">
        <v>2496</v>
      </c>
      <c r="C285" s="152" t="s">
        <v>649</v>
      </c>
      <c r="D285" s="572">
        <v>2</v>
      </c>
      <c r="E285" s="144">
        <v>29</v>
      </c>
      <c r="F285" s="144">
        <f>IF((D285*E285)=0,"",(D285*E285))</f>
        <v>58</v>
      </c>
      <c r="G285" s="145"/>
      <c r="H285" s="589"/>
      <c r="I285" s="155"/>
      <c r="J285" s="156"/>
      <c r="N285" s="144"/>
      <c r="O285" s="852"/>
    </row>
    <row r="286" spans="1:15" s="157" customFormat="1">
      <c r="A286" s="254"/>
      <c r="B286" s="160"/>
      <c r="C286" s="152"/>
      <c r="D286" s="572"/>
      <c r="E286" s="144"/>
      <c r="F286" s="144"/>
      <c r="G286" s="145"/>
      <c r="H286" s="589"/>
      <c r="I286" s="155"/>
      <c r="J286" s="156"/>
      <c r="N286" s="144"/>
      <c r="O286" s="852"/>
    </row>
    <row r="287" spans="1:15" s="157" customFormat="1" ht="69">
      <c r="A287" s="254" t="s">
        <v>2581</v>
      </c>
      <c r="B287" s="752" t="s">
        <v>2585</v>
      </c>
      <c r="C287" s="152" t="s">
        <v>670</v>
      </c>
      <c r="D287" s="572">
        <v>2</v>
      </c>
      <c r="E287" s="144">
        <v>76</v>
      </c>
      <c r="F287" s="144">
        <f>IF((D287*E287)=0,"",(D287*E287))</f>
        <v>152</v>
      </c>
      <c r="G287" s="145"/>
      <c r="H287" s="589"/>
      <c r="I287" s="155"/>
      <c r="J287" s="156"/>
      <c r="N287" s="144"/>
      <c r="O287" s="852"/>
    </row>
    <row r="288" spans="1:15" s="157" customFormat="1">
      <c r="A288" s="254"/>
      <c r="B288" s="160"/>
      <c r="C288" s="152"/>
      <c r="D288" s="572"/>
      <c r="E288" s="144"/>
      <c r="F288" s="144"/>
      <c r="G288" s="145"/>
      <c r="H288" s="589"/>
      <c r="I288" s="155"/>
      <c r="J288" s="156"/>
      <c r="N288" s="144"/>
      <c r="O288" s="852"/>
    </row>
    <row r="289" spans="1:15" s="157" customFormat="1" ht="96.6">
      <c r="A289" s="254" t="s">
        <v>2582</v>
      </c>
      <c r="B289" s="752" t="s">
        <v>2587</v>
      </c>
      <c r="C289" s="152" t="s">
        <v>649</v>
      </c>
      <c r="D289" s="572">
        <v>2</v>
      </c>
      <c r="E289" s="144">
        <v>316</v>
      </c>
      <c r="F289" s="144">
        <f>IF((D289*E289)=0,"",(D289*E289))</f>
        <v>632</v>
      </c>
      <c r="G289" s="145"/>
      <c r="H289" s="589"/>
      <c r="I289" s="155"/>
      <c r="J289" s="156"/>
      <c r="N289" s="144"/>
      <c r="O289" s="852"/>
    </row>
    <row r="290" spans="1:15" s="157" customFormat="1">
      <c r="A290" s="254"/>
      <c r="B290" s="160"/>
      <c r="C290" s="152"/>
      <c r="D290" s="572"/>
      <c r="E290" s="144"/>
      <c r="F290" s="144"/>
      <c r="G290" s="145"/>
      <c r="H290" s="589"/>
      <c r="I290" s="155"/>
      <c r="J290" s="156"/>
      <c r="N290" s="144"/>
      <c r="O290" s="852"/>
    </row>
    <row r="291" spans="1:15" s="157" customFormat="1" ht="96.6">
      <c r="A291" s="254" t="s">
        <v>2583</v>
      </c>
      <c r="B291" s="752" t="s">
        <v>2589</v>
      </c>
      <c r="C291" s="152" t="s">
        <v>670</v>
      </c>
      <c r="D291" s="572">
        <v>2</v>
      </c>
      <c r="E291" s="144">
        <v>156</v>
      </c>
      <c r="F291" s="144">
        <f>IF((D291*E291)=0,"",(D291*E291))</f>
        <v>312</v>
      </c>
      <c r="G291" s="145"/>
      <c r="H291" s="589"/>
      <c r="I291" s="155"/>
      <c r="J291" s="156"/>
      <c r="N291" s="144"/>
      <c r="O291" s="852"/>
    </row>
    <row r="292" spans="1:15" s="157" customFormat="1">
      <c r="A292" s="254"/>
      <c r="B292" s="160"/>
      <c r="C292" s="152"/>
      <c r="D292" s="572"/>
      <c r="E292" s="144"/>
      <c r="F292" s="144"/>
      <c r="G292" s="145"/>
      <c r="H292" s="589"/>
      <c r="I292" s="155"/>
      <c r="J292" s="156"/>
      <c r="N292" s="144"/>
      <c r="O292" s="852"/>
    </row>
    <row r="293" spans="1:15" s="157" customFormat="1" ht="96.6">
      <c r="A293" s="254" t="s">
        <v>2584</v>
      </c>
      <c r="B293" s="752" t="s">
        <v>2591</v>
      </c>
      <c r="C293" s="152" t="s">
        <v>670</v>
      </c>
      <c r="D293" s="572">
        <v>2</v>
      </c>
      <c r="E293" s="144">
        <v>428</v>
      </c>
      <c r="F293" s="144">
        <f>IF((D293*E293)=0,"",(D293*E293))</f>
        <v>856</v>
      </c>
      <c r="G293" s="145"/>
      <c r="H293" s="589"/>
      <c r="I293" s="155"/>
      <c r="J293" s="156"/>
      <c r="N293" s="144"/>
      <c r="O293" s="852"/>
    </row>
    <row r="294" spans="1:15" s="157" customFormat="1">
      <c r="A294" s="254"/>
      <c r="B294" s="160"/>
      <c r="C294" s="152"/>
      <c r="D294" s="572"/>
      <c r="E294" s="144"/>
      <c r="F294" s="144"/>
      <c r="G294" s="145"/>
      <c r="H294" s="589"/>
      <c r="I294" s="155"/>
      <c r="J294" s="156"/>
      <c r="N294" s="144"/>
      <c r="O294" s="852"/>
    </row>
    <row r="295" spans="1:15" s="157" customFormat="1" ht="82.8">
      <c r="A295" s="254" t="s">
        <v>2586</v>
      </c>
      <c r="B295" s="752" t="s">
        <v>2593</v>
      </c>
      <c r="C295" s="152" t="s">
        <v>670</v>
      </c>
      <c r="D295" s="572">
        <v>2</v>
      </c>
      <c r="E295" s="144">
        <v>71</v>
      </c>
      <c r="F295" s="144">
        <f>IF((D295*E295)=0,"",(D295*E295))</f>
        <v>142</v>
      </c>
      <c r="G295" s="145"/>
      <c r="H295" s="589"/>
      <c r="I295" s="155"/>
      <c r="J295" s="156"/>
      <c r="N295" s="144"/>
      <c r="O295" s="852"/>
    </row>
    <row r="296" spans="1:15" s="157" customFormat="1">
      <c r="A296" s="254"/>
      <c r="B296" s="160"/>
      <c r="C296" s="152"/>
      <c r="D296" s="572"/>
      <c r="E296" s="144"/>
      <c r="F296" s="144"/>
      <c r="G296" s="145"/>
      <c r="H296" s="589"/>
      <c r="I296" s="155"/>
      <c r="J296" s="156"/>
      <c r="N296" s="144"/>
      <c r="O296" s="852"/>
    </row>
    <row r="297" spans="1:15" s="157" customFormat="1" ht="82.8">
      <c r="A297" s="254" t="s">
        <v>2588</v>
      </c>
      <c r="B297" s="752" t="s">
        <v>2595</v>
      </c>
      <c r="C297" s="152" t="s">
        <v>670</v>
      </c>
      <c r="D297" s="572">
        <v>2</v>
      </c>
      <c r="E297" s="144">
        <v>139</v>
      </c>
      <c r="F297" s="144">
        <f>IF((D297*E297)=0,"",(D297*E297))</f>
        <v>278</v>
      </c>
      <c r="G297" s="145"/>
      <c r="H297" s="589"/>
      <c r="I297" s="155"/>
      <c r="J297" s="156"/>
      <c r="N297" s="144"/>
      <c r="O297" s="852"/>
    </row>
    <row r="298" spans="1:15" s="157" customFormat="1">
      <c r="A298" s="254"/>
      <c r="B298" s="160"/>
      <c r="C298" s="152"/>
      <c r="D298" s="572"/>
      <c r="E298" s="144"/>
      <c r="F298" s="144"/>
      <c r="G298" s="145"/>
      <c r="H298" s="589"/>
      <c r="I298" s="155"/>
      <c r="J298" s="156"/>
      <c r="N298" s="144"/>
      <c r="O298" s="852"/>
    </row>
    <row r="299" spans="1:15" s="157" customFormat="1" ht="96.6">
      <c r="A299" s="254" t="s">
        <v>2590</v>
      </c>
      <c r="B299" s="752" t="s">
        <v>2597</v>
      </c>
      <c r="C299" s="152" t="s">
        <v>670</v>
      </c>
      <c r="D299" s="572">
        <v>2</v>
      </c>
      <c r="E299" s="144">
        <v>37</v>
      </c>
      <c r="F299" s="144">
        <f>IF((D299*E299)=0,"",(D299*E299))</f>
        <v>74</v>
      </c>
      <c r="G299" s="145"/>
      <c r="H299" s="589"/>
      <c r="I299" s="155"/>
      <c r="J299" s="156"/>
      <c r="N299" s="144"/>
      <c r="O299" s="852"/>
    </row>
    <row r="300" spans="1:15" s="157" customFormat="1">
      <c r="A300" s="254"/>
      <c r="B300" s="160"/>
      <c r="C300" s="152"/>
      <c r="D300" s="572"/>
      <c r="E300" s="144"/>
      <c r="F300" s="144"/>
      <c r="G300" s="145"/>
      <c r="H300" s="589"/>
      <c r="I300" s="155"/>
      <c r="J300" s="156"/>
      <c r="N300" s="144"/>
      <c r="O300" s="852"/>
    </row>
    <row r="301" spans="1:15" s="157" customFormat="1" ht="55.2">
      <c r="A301" s="254" t="s">
        <v>2592</v>
      </c>
      <c r="B301" s="752" t="s">
        <v>2599</v>
      </c>
      <c r="C301" s="152" t="s">
        <v>670</v>
      </c>
      <c r="D301" s="572">
        <v>2</v>
      </c>
      <c r="E301" s="144">
        <v>118</v>
      </c>
      <c r="F301" s="144">
        <f>IF((D301*E301)=0,"",(D301*E301))</f>
        <v>236</v>
      </c>
      <c r="G301" s="145"/>
      <c r="H301" s="589"/>
      <c r="I301" s="155"/>
      <c r="J301" s="156"/>
      <c r="N301" s="144"/>
      <c r="O301" s="852"/>
    </row>
    <row r="302" spans="1:15" s="157" customFormat="1">
      <c r="A302" s="254"/>
      <c r="B302" s="160"/>
      <c r="C302" s="152"/>
      <c r="D302" s="572"/>
      <c r="E302" s="144"/>
      <c r="F302" s="144"/>
      <c r="G302" s="145"/>
      <c r="H302" s="589"/>
      <c r="I302" s="155"/>
      <c r="J302" s="156"/>
      <c r="N302" s="144"/>
      <c r="O302" s="852"/>
    </row>
    <row r="303" spans="1:15" s="157" customFormat="1" ht="55.2">
      <c r="A303" s="254" t="s">
        <v>2594</v>
      </c>
      <c r="B303" s="752" t="s">
        <v>2601</v>
      </c>
      <c r="C303" s="152" t="s">
        <v>670</v>
      </c>
      <c r="D303" s="572">
        <v>2</v>
      </c>
      <c r="E303" s="144">
        <v>57</v>
      </c>
      <c r="F303" s="144">
        <f>IF((D303*E303)=0,"",(D303*E303))</f>
        <v>114</v>
      </c>
      <c r="G303" s="145"/>
      <c r="H303" s="589"/>
      <c r="I303" s="155"/>
      <c r="J303" s="156"/>
      <c r="N303" s="144"/>
      <c r="O303" s="852"/>
    </row>
    <row r="304" spans="1:15" s="157" customFormat="1">
      <c r="A304" s="254"/>
      <c r="B304" s="160"/>
      <c r="C304" s="152"/>
      <c r="D304" s="572"/>
      <c r="E304" s="144"/>
      <c r="F304" s="144"/>
      <c r="G304" s="145"/>
      <c r="H304" s="589"/>
      <c r="I304" s="155"/>
      <c r="J304" s="156"/>
      <c r="N304" s="144"/>
      <c r="O304" s="852"/>
    </row>
    <row r="305" spans="1:15" s="157" customFormat="1" ht="55.2">
      <c r="A305" s="254" t="s">
        <v>2596</v>
      </c>
      <c r="B305" s="752" t="s">
        <v>2603</v>
      </c>
      <c r="C305" s="152" t="s">
        <v>670</v>
      </c>
      <c r="D305" s="572">
        <v>2</v>
      </c>
      <c r="E305" s="144">
        <v>16</v>
      </c>
      <c r="F305" s="144">
        <f>IF((D305*E305)=0,"",(D305*E305))</f>
        <v>32</v>
      </c>
      <c r="G305" s="145"/>
      <c r="H305" s="589"/>
      <c r="I305" s="155"/>
      <c r="J305" s="156"/>
      <c r="N305" s="144"/>
      <c r="O305" s="852"/>
    </row>
    <row r="306" spans="1:15" s="157" customFormat="1">
      <c r="A306" s="254"/>
      <c r="B306" s="160"/>
      <c r="C306" s="152"/>
      <c r="D306" s="572"/>
      <c r="E306" s="144"/>
      <c r="F306" s="144"/>
      <c r="G306" s="145"/>
      <c r="H306" s="589"/>
      <c r="I306" s="155"/>
      <c r="J306" s="156"/>
      <c r="N306" s="144"/>
      <c r="O306" s="852"/>
    </row>
    <row r="307" spans="1:15" s="157" customFormat="1" ht="55.2">
      <c r="A307" s="254" t="s">
        <v>2598</v>
      </c>
      <c r="B307" s="752" t="s">
        <v>2605</v>
      </c>
      <c r="C307" s="152" t="s">
        <v>670</v>
      </c>
      <c r="D307" s="572">
        <v>2</v>
      </c>
      <c r="E307" s="144">
        <v>26</v>
      </c>
      <c r="F307" s="144">
        <f>IF((D307*E307)=0,"",(D307*E307))</f>
        <v>52</v>
      </c>
      <c r="G307" s="145"/>
      <c r="H307" s="589"/>
      <c r="I307" s="155"/>
      <c r="J307" s="156"/>
      <c r="N307" s="144"/>
      <c r="O307" s="852"/>
    </row>
    <row r="308" spans="1:15" s="157" customFormat="1">
      <c r="A308" s="254"/>
      <c r="B308" s="160"/>
      <c r="C308" s="152"/>
      <c r="D308" s="572"/>
      <c r="E308" s="144"/>
      <c r="F308" s="144"/>
      <c r="G308" s="145"/>
      <c r="H308" s="589"/>
      <c r="I308" s="155"/>
      <c r="J308" s="156"/>
      <c r="N308" s="144"/>
      <c r="O308" s="852"/>
    </row>
    <row r="309" spans="1:15" s="157" customFormat="1" ht="55.2">
      <c r="A309" s="254" t="s">
        <v>2600</v>
      </c>
      <c r="B309" s="752" t="s">
        <v>2607</v>
      </c>
      <c r="C309" s="152" t="s">
        <v>670</v>
      </c>
      <c r="D309" s="572">
        <v>2</v>
      </c>
      <c r="E309" s="144">
        <v>59</v>
      </c>
      <c r="F309" s="144">
        <f>IF((D309*E309)=0,"",(D309*E309))</f>
        <v>118</v>
      </c>
      <c r="G309" s="145"/>
      <c r="H309" s="589"/>
      <c r="I309" s="155"/>
      <c r="J309" s="156"/>
      <c r="N309" s="144"/>
      <c r="O309" s="852"/>
    </row>
    <row r="310" spans="1:15" s="157" customFormat="1">
      <c r="A310" s="254"/>
      <c r="B310" s="160"/>
      <c r="C310" s="152"/>
      <c r="D310" s="572"/>
      <c r="E310" s="144"/>
      <c r="F310" s="144"/>
      <c r="G310" s="145"/>
      <c r="H310" s="589"/>
      <c r="I310" s="155"/>
      <c r="J310" s="156"/>
      <c r="N310" s="144"/>
      <c r="O310" s="852"/>
    </row>
    <row r="311" spans="1:15" s="157" customFormat="1" ht="69">
      <c r="A311" s="254" t="s">
        <v>2602</v>
      </c>
      <c r="B311" s="752" t="s">
        <v>2610</v>
      </c>
      <c r="C311" s="152" t="s">
        <v>670</v>
      </c>
      <c r="D311" s="572">
        <v>2</v>
      </c>
      <c r="E311" s="144">
        <v>216</v>
      </c>
      <c r="F311" s="144">
        <f>IF((D311*E311)=0,"",(D311*E311))</f>
        <v>432</v>
      </c>
      <c r="G311" s="145"/>
      <c r="H311" s="589"/>
      <c r="I311" s="155"/>
      <c r="J311" s="156"/>
      <c r="N311" s="144"/>
      <c r="O311" s="852"/>
    </row>
    <row r="312" spans="1:15" s="157" customFormat="1">
      <c r="A312" s="254"/>
      <c r="B312" s="160"/>
      <c r="C312" s="152"/>
      <c r="D312" s="572"/>
      <c r="E312" s="144"/>
      <c r="F312" s="144"/>
      <c r="G312" s="145"/>
      <c r="H312" s="589"/>
      <c r="I312" s="155"/>
      <c r="J312" s="156"/>
      <c r="N312" s="144"/>
      <c r="O312" s="852"/>
    </row>
    <row r="313" spans="1:15" s="157" customFormat="1" ht="82.8">
      <c r="A313" s="254" t="s">
        <v>2604</v>
      </c>
      <c r="B313" s="752" t="s">
        <v>2612</v>
      </c>
      <c r="C313" s="152" t="s">
        <v>670</v>
      </c>
      <c r="D313" s="572">
        <v>2</v>
      </c>
      <c r="E313" s="144">
        <v>361</v>
      </c>
      <c r="F313" s="144">
        <f>IF((D313*E313)=0,"",(D313*E313))</f>
        <v>722</v>
      </c>
      <c r="G313" s="145"/>
      <c r="H313" s="589"/>
      <c r="I313" s="155"/>
      <c r="J313" s="156"/>
      <c r="N313" s="144"/>
      <c r="O313" s="852"/>
    </row>
    <row r="314" spans="1:15" s="157" customFormat="1">
      <c r="A314" s="254"/>
      <c r="B314" s="160"/>
      <c r="C314" s="152"/>
      <c r="D314" s="572"/>
      <c r="E314" s="144"/>
      <c r="F314" s="144"/>
      <c r="G314" s="145"/>
      <c r="H314" s="589"/>
      <c r="I314" s="155"/>
      <c r="J314" s="156"/>
      <c r="N314" s="144"/>
      <c r="O314" s="852"/>
    </row>
    <row r="315" spans="1:15" s="157" customFormat="1" ht="96.6">
      <c r="A315" s="254" t="s">
        <v>2606</v>
      </c>
      <c r="B315" s="752" t="s">
        <v>2515</v>
      </c>
      <c r="C315" s="152" t="s">
        <v>670</v>
      </c>
      <c r="D315" s="572">
        <v>2</v>
      </c>
      <c r="E315" s="144">
        <v>98</v>
      </c>
      <c r="F315" s="144">
        <f>IF((D315*E315)=0,"",(D315*E315))</f>
        <v>196</v>
      </c>
      <c r="G315" s="145"/>
      <c r="H315" s="589"/>
      <c r="I315" s="155"/>
      <c r="J315" s="156"/>
      <c r="N315" s="144"/>
      <c r="O315" s="852"/>
    </row>
    <row r="316" spans="1:15" s="157" customFormat="1">
      <c r="A316" s="254"/>
      <c r="B316" s="160"/>
      <c r="C316" s="152"/>
      <c r="D316" s="572"/>
      <c r="E316" s="144"/>
      <c r="F316" s="144"/>
      <c r="G316" s="145"/>
      <c r="H316" s="589"/>
      <c r="I316" s="155"/>
      <c r="J316" s="156"/>
      <c r="N316" s="144"/>
      <c r="O316" s="852"/>
    </row>
    <row r="317" spans="1:15" s="157" customFormat="1" ht="124.2">
      <c r="A317" s="254" t="s">
        <v>2608</v>
      </c>
      <c r="B317" s="752" t="s">
        <v>2615</v>
      </c>
      <c r="C317" s="152" t="s">
        <v>670</v>
      </c>
      <c r="D317" s="572">
        <v>2</v>
      </c>
      <c r="E317" s="144">
        <v>284</v>
      </c>
      <c r="F317" s="144">
        <f>IF((D317*E317)=0,"",(D317*E317))</f>
        <v>568</v>
      </c>
      <c r="G317" s="145"/>
      <c r="H317" s="589"/>
      <c r="I317" s="155"/>
      <c r="J317" s="156"/>
      <c r="N317" s="144"/>
      <c r="O317" s="852"/>
    </row>
    <row r="318" spans="1:15" s="157" customFormat="1">
      <c r="A318" s="254"/>
      <c r="B318" s="160"/>
      <c r="C318" s="152"/>
      <c r="D318" s="572"/>
      <c r="E318" s="144"/>
      <c r="F318" s="144"/>
      <c r="G318" s="145"/>
      <c r="H318" s="589"/>
      <c r="I318" s="155"/>
      <c r="J318" s="156"/>
      <c r="N318" s="144"/>
      <c r="O318" s="852"/>
    </row>
    <row r="319" spans="1:15" s="157" customFormat="1" ht="96.6">
      <c r="A319" s="254" t="s">
        <v>2609</v>
      </c>
      <c r="B319" s="752" t="s">
        <v>2616</v>
      </c>
      <c r="C319" s="152" t="s">
        <v>670</v>
      </c>
      <c r="D319" s="572">
        <v>2</v>
      </c>
      <c r="E319" s="144">
        <v>261</v>
      </c>
      <c r="F319" s="144">
        <f>IF((D319*E319)=0,"",(D319*E319))</f>
        <v>522</v>
      </c>
      <c r="G319" s="145"/>
      <c r="H319" s="589"/>
      <c r="I319" s="155"/>
      <c r="J319" s="156"/>
      <c r="N319" s="144"/>
      <c r="O319" s="852"/>
    </row>
    <row r="320" spans="1:15" s="157" customFormat="1">
      <c r="A320" s="254"/>
      <c r="B320" s="160"/>
      <c r="C320" s="152"/>
      <c r="D320" s="572"/>
      <c r="E320" s="144"/>
      <c r="F320" s="144"/>
      <c r="G320" s="145"/>
      <c r="H320" s="589"/>
      <c r="I320" s="155"/>
      <c r="J320" s="156"/>
      <c r="N320" s="144"/>
      <c r="O320" s="852"/>
    </row>
    <row r="321" spans="1:15" s="157" customFormat="1" ht="55.2">
      <c r="A321" s="254" t="s">
        <v>2611</v>
      </c>
      <c r="B321" s="752" t="s">
        <v>2617</v>
      </c>
      <c r="C321" s="152" t="s">
        <v>670</v>
      </c>
      <c r="D321" s="572">
        <v>2</v>
      </c>
      <c r="E321" s="144">
        <v>270</v>
      </c>
      <c r="F321" s="144">
        <f>IF((D321*E321)=0,"",(D321*E321))</f>
        <v>540</v>
      </c>
      <c r="G321" s="145"/>
      <c r="H321" s="589"/>
      <c r="I321" s="155"/>
      <c r="J321" s="156"/>
      <c r="N321" s="144"/>
      <c r="O321" s="852"/>
    </row>
    <row r="322" spans="1:15" s="157" customFormat="1">
      <c r="A322" s="254"/>
      <c r="B322" s="160"/>
      <c r="C322" s="152"/>
      <c r="D322" s="572"/>
      <c r="E322" s="144"/>
      <c r="F322" s="144"/>
      <c r="G322" s="145"/>
      <c r="H322" s="589"/>
      <c r="I322" s="155"/>
      <c r="J322" s="156"/>
      <c r="N322" s="144"/>
      <c r="O322" s="852"/>
    </row>
    <row r="323" spans="1:15" s="157" customFormat="1" ht="55.2">
      <c r="A323" s="254" t="s">
        <v>2613</v>
      </c>
      <c r="B323" s="510" t="s">
        <v>2523</v>
      </c>
      <c r="C323" s="152" t="s">
        <v>649</v>
      </c>
      <c r="D323" s="572">
        <v>2</v>
      </c>
      <c r="E323" s="144">
        <v>16</v>
      </c>
      <c r="F323" s="144">
        <f>IF((D323*E323)=0,"",(D323*E323))</f>
        <v>32</v>
      </c>
      <c r="G323" s="145"/>
      <c r="H323" s="589"/>
      <c r="I323" s="155"/>
      <c r="J323" s="156"/>
      <c r="N323" s="144"/>
      <c r="O323" s="852"/>
    </row>
    <row r="324" spans="1:15" s="157" customFormat="1">
      <c r="A324" s="254"/>
      <c r="B324" s="510"/>
      <c r="C324" s="152"/>
      <c r="D324" s="572"/>
      <c r="E324" s="144"/>
      <c r="F324" s="144"/>
      <c r="G324" s="145"/>
      <c r="H324" s="589"/>
      <c r="I324" s="155"/>
      <c r="J324" s="156"/>
      <c r="N324" s="144"/>
      <c r="O324" s="852"/>
    </row>
    <row r="325" spans="1:15" s="157" customFormat="1" ht="27.6">
      <c r="A325" s="254" t="s">
        <v>2614</v>
      </c>
      <c r="B325" s="510" t="s">
        <v>2618</v>
      </c>
      <c r="C325" s="152" t="s">
        <v>649</v>
      </c>
      <c r="D325" s="572">
        <v>2</v>
      </c>
      <c r="E325" s="144">
        <v>18</v>
      </c>
      <c r="F325" s="144">
        <f>IF((D325*E325)=0,"",(D325*E325))</f>
        <v>36</v>
      </c>
      <c r="G325" s="145"/>
      <c r="H325" s="589"/>
      <c r="I325" s="155"/>
      <c r="J325" s="156"/>
      <c r="N325" s="144"/>
      <c r="O325" s="852"/>
    </row>
    <row r="326" spans="1:15" s="157" customFormat="1">
      <c r="A326" s="595"/>
      <c r="B326" s="596"/>
      <c r="C326" s="597"/>
      <c r="D326" s="598"/>
      <c r="E326" s="599"/>
      <c r="F326" s="599"/>
      <c r="G326" s="145"/>
      <c r="H326" s="589"/>
      <c r="I326" s="155"/>
      <c r="J326" s="156"/>
      <c r="N326" s="599"/>
      <c r="O326" s="852"/>
    </row>
    <row r="327" spans="1:15" s="157" customFormat="1">
      <c r="A327" s="269" t="str">
        <f>A189</f>
        <v>A.2.</v>
      </c>
      <c r="B327" s="753" t="str">
        <f>CONCATENATE(B189," ", "UKUPNO:")</f>
        <v>SKUPNE JEDINICE VRTIĆA (MLAĐA  I SREDNJA VRTIĆKA SKUPINA)  UKUPNO:</v>
      </c>
      <c r="C327" s="152"/>
      <c r="D327" s="572"/>
      <c r="E327" s="144"/>
      <c r="F327" s="670">
        <f>SUM(F191:F326)</f>
        <v>30226</v>
      </c>
      <c r="G327" s="145"/>
      <c r="H327" s="589"/>
      <c r="I327" s="155"/>
      <c r="J327" s="156"/>
      <c r="N327" s="144"/>
      <c r="O327" s="852"/>
    </row>
    <row r="328" spans="1:15" s="157" customFormat="1">
      <c r="A328" s="254"/>
      <c r="B328" s="160"/>
      <c r="C328" s="152"/>
      <c r="D328" s="572"/>
      <c r="E328" s="144"/>
      <c r="F328" s="144"/>
      <c r="G328" s="145"/>
      <c r="H328" s="589"/>
      <c r="I328" s="155"/>
      <c r="J328" s="156"/>
      <c r="N328" s="144"/>
      <c r="O328" s="852"/>
    </row>
    <row r="329" spans="1:15" s="157" customFormat="1">
      <c r="A329" s="254"/>
      <c r="B329" s="160"/>
      <c r="C329" s="152"/>
      <c r="D329" s="572"/>
      <c r="E329" s="144"/>
      <c r="F329" s="144"/>
      <c r="G329" s="145"/>
      <c r="H329" s="589"/>
      <c r="I329" s="155"/>
      <c r="J329" s="156"/>
      <c r="N329" s="144"/>
      <c r="O329" s="852"/>
    </row>
    <row r="330" spans="1:15" s="149" customFormat="1">
      <c r="A330" s="581" t="s">
        <v>992</v>
      </c>
      <c r="B330" s="601" t="s">
        <v>4144</v>
      </c>
      <c r="C330" s="583"/>
      <c r="D330" s="584"/>
      <c r="E330" s="585"/>
      <c r="F330" s="586"/>
      <c r="G330" s="145"/>
      <c r="H330" s="146"/>
      <c r="I330" s="147"/>
      <c r="J330" s="148"/>
      <c r="L330" s="579"/>
      <c r="N330" s="585"/>
      <c r="O330" s="852"/>
    </row>
    <row r="331" spans="1:15" s="157" customFormat="1">
      <c r="A331" s="254"/>
      <c r="B331" s="160"/>
      <c r="C331" s="152"/>
      <c r="D331" s="572"/>
      <c r="E331" s="144"/>
      <c r="F331" s="144"/>
      <c r="G331" s="145"/>
      <c r="H331" s="589"/>
      <c r="I331" s="155"/>
      <c r="J331" s="156"/>
      <c r="N331" s="144"/>
      <c r="O331" s="852"/>
    </row>
    <row r="332" spans="1:15" s="157" customFormat="1" ht="276">
      <c r="A332" s="254" t="s">
        <v>993</v>
      </c>
      <c r="B332" s="751" t="s">
        <v>5069</v>
      </c>
      <c r="C332" s="152" t="s">
        <v>649</v>
      </c>
      <c r="D332" s="572">
        <v>8</v>
      </c>
      <c r="E332" s="144">
        <v>175</v>
      </c>
      <c r="F332" s="144">
        <f>IF((D332*E332)=0,"",(D332*E332))</f>
        <v>1400</v>
      </c>
      <c r="G332" s="153"/>
      <c r="H332" s="161"/>
      <c r="I332" s="155"/>
      <c r="J332" s="156"/>
      <c r="L332" s="162"/>
      <c r="N332" s="144"/>
      <c r="O332" s="852"/>
    </row>
    <row r="333" spans="1:15" s="157" customFormat="1">
      <c r="A333" s="254"/>
      <c r="B333" s="160"/>
      <c r="C333" s="152"/>
      <c r="D333" s="572"/>
      <c r="E333" s="144"/>
      <c r="F333" s="144"/>
      <c r="G333" s="164"/>
      <c r="H333" s="154"/>
      <c r="I333" s="155"/>
      <c r="J333" s="156"/>
      <c r="N333" s="144"/>
      <c r="O333" s="852"/>
    </row>
    <row r="334" spans="1:15" s="157" customFormat="1" ht="138">
      <c r="A334" s="254" t="s">
        <v>994</v>
      </c>
      <c r="B334" s="602" t="s">
        <v>5189</v>
      </c>
      <c r="C334" s="152" t="s">
        <v>649</v>
      </c>
      <c r="D334" s="572">
        <v>48</v>
      </c>
      <c r="E334" s="144">
        <v>49</v>
      </c>
      <c r="F334" s="144">
        <f>IF((D334*E334)=0,"",(D334*E334))</f>
        <v>2352</v>
      </c>
      <c r="G334" s="145"/>
      <c r="H334" s="589"/>
      <c r="I334" s="155"/>
      <c r="J334" s="156"/>
      <c r="N334" s="144"/>
      <c r="O334" s="852"/>
    </row>
    <row r="335" spans="1:15" s="157" customFormat="1">
      <c r="A335" s="254"/>
      <c r="B335" s="160"/>
      <c r="C335" s="152"/>
      <c r="D335" s="572"/>
      <c r="E335" s="144"/>
      <c r="F335" s="144"/>
      <c r="G335" s="145"/>
      <c r="H335" s="589"/>
      <c r="I335" s="155"/>
      <c r="J335" s="156"/>
      <c r="N335" s="144"/>
      <c r="O335" s="852"/>
    </row>
    <row r="336" spans="1:15" s="157" customFormat="1" ht="138">
      <c r="A336" s="254" t="s">
        <v>995</v>
      </c>
      <c r="B336" s="750" t="s">
        <v>5187</v>
      </c>
      <c r="C336" s="152" t="s">
        <v>649</v>
      </c>
      <c r="D336" s="572">
        <v>2</v>
      </c>
      <c r="E336" s="144">
        <v>59</v>
      </c>
      <c r="F336" s="144">
        <f>IF((D336*E336)=0,"",(D336*E336))</f>
        <v>118</v>
      </c>
      <c r="G336" s="145"/>
      <c r="H336" s="589"/>
      <c r="I336" s="155"/>
      <c r="J336" s="156"/>
      <c r="N336" s="144"/>
      <c r="O336" s="852"/>
    </row>
    <row r="337" spans="1:15" s="157" customFormat="1">
      <c r="A337" s="254"/>
      <c r="B337" s="160"/>
      <c r="C337" s="152"/>
      <c r="D337" s="572"/>
      <c r="E337" s="144"/>
      <c r="F337" s="144"/>
      <c r="G337" s="145"/>
      <c r="H337" s="589"/>
      <c r="I337" s="155"/>
      <c r="J337" s="156"/>
      <c r="N337" s="144"/>
      <c r="O337" s="852"/>
    </row>
    <row r="338" spans="1:15" s="157" customFormat="1" ht="220.8">
      <c r="A338" s="254" t="s">
        <v>996</v>
      </c>
      <c r="B338" s="750" t="s">
        <v>5101</v>
      </c>
      <c r="C338" s="152" t="s">
        <v>649</v>
      </c>
      <c r="D338" s="572">
        <v>2</v>
      </c>
      <c r="E338" s="144">
        <v>295</v>
      </c>
      <c r="F338" s="144">
        <f>IF((D338*E338)=0,"",(D338*E338))</f>
        <v>590</v>
      </c>
      <c r="G338" s="145"/>
      <c r="H338" s="589"/>
      <c r="I338" s="155"/>
      <c r="J338" s="156"/>
      <c r="N338" s="144"/>
      <c r="O338" s="852"/>
    </row>
    <row r="339" spans="1:15" s="157" customFormat="1">
      <c r="A339" s="254"/>
      <c r="B339" s="160"/>
      <c r="C339" s="152"/>
      <c r="D339" s="572"/>
      <c r="E339" s="144"/>
      <c r="F339" s="144"/>
      <c r="G339" s="145"/>
      <c r="H339" s="589"/>
      <c r="I339" s="155"/>
      <c r="J339" s="156"/>
      <c r="N339" s="144"/>
      <c r="O339" s="852"/>
    </row>
    <row r="340" spans="1:15" s="157" customFormat="1" ht="207">
      <c r="A340" s="254" t="s">
        <v>997</v>
      </c>
      <c r="B340" s="751" t="s">
        <v>5091</v>
      </c>
      <c r="C340" s="152" t="s">
        <v>649</v>
      </c>
      <c r="D340" s="572">
        <v>2</v>
      </c>
      <c r="E340" s="144">
        <v>185</v>
      </c>
      <c r="F340" s="144">
        <f>IF((D340*E340)=0,"",(D340*E340))</f>
        <v>370</v>
      </c>
      <c r="G340" s="145"/>
      <c r="H340" s="589"/>
      <c r="I340" s="155"/>
      <c r="J340" s="156"/>
      <c r="N340" s="144"/>
      <c r="O340" s="852"/>
    </row>
    <row r="341" spans="1:15" s="157" customFormat="1">
      <c r="A341" s="254"/>
      <c r="B341" s="160"/>
      <c r="C341" s="152"/>
      <c r="D341" s="572"/>
      <c r="E341" s="144"/>
      <c r="F341" s="144"/>
      <c r="G341" s="145"/>
      <c r="H341" s="589"/>
      <c r="I341" s="155"/>
      <c r="J341" s="156"/>
      <c r="N341" s="144"/>
      <c r="O341" s="852"/>
    </row>
    <row r="342" spans="1:15" s="157" customFormat="1" ht="207">
      <c r="A342" s="254" t="s">
        <v>998</v>
      </c>
      <c r="B342" s="590" t="s">
        <v>5073</v>
      </c>
      <c r="C342" s="152" t="s">
        <v>649</v>
      </c>
      <c r="D342" s="572">
        <v>4</v>
      </c>
      <c r="E342" s="144">
        <v>155</v>
      </c>
      <c r="F342" s="144">
        <f>IF((D342*E342)=0,"",(D342*E342))</f>
        <v>620</v>
      </c>
      <c r="G342" s="145"/>
      <c r="H342" s="589"/>
      <c r="I342" s="155"/>
      <c r="J342" s="156"/>
      <c r="N342" s="144"/>
      <c r="O342" s="852"/>
    </row>
    <row r="343" spans="1:15" s="157" customFormat="1">
      <c r="A343" s="254"/>
      <c r="B343" s="160"/>
      <c r="C343" s="152"/>
      <c r="D343" s="572"/>
      <c r="E343" s="144"/>
      <c r="F343" s="144"/>
      <c r="G343" s="145"/>
      <c r="H343" s="589"/>
      <c r="I343" s="155"/>
      <c r="J343" s="156"/>
      <c r="N343" s="144"/>
      <c r="O343" s="852"/>
    </row>
    <row r="344" spans="1:15" s="157" customFormat="1" ht="220.8">
      <c r="A344" s="254" t="s">
        <v>999</v>
      </c>
      <c r="B344" s="751" t="s">
        <v>5088</v>
      </c>
      <c r="C344" s="152" t="s">
        <v>649</v>
      </c>
      <c r="D344" s="572">
        <v>2</v>
      </c>
      <c r="E344" s="144">
        <v>205</v>
      </c>
      <c r="F344" s="144">
        <f>IF((D344*E344)=0,"",(D344*E344))</f>
        <v>410</v>
      </c>
      <c r="G344" s="145"/>
      <c r="H344" s="589"/>
      <c r="I344" s="155"/>
      <c r="J344" s="156"/>
      <c r="N344" s="144"/>
      <c r="O344" s="852"/>
    </row>
    <row r="345" spans="1:15" s="157" customFormat="1">
      <c r="A345" s="254"/>
      <c r="B345" s="160"/>
      <c r="C345" s="152"/>
      <c r="D345" s="572"/>
      <c r="E345" s="144"/>
      <c r="F345" s="144"/>
      <c r="G345" s="145"/>
      <c r="H345" s="589"/>
      <c r="I345" s="155"/>
      <c r="J345" s="156"/>
      <c r="N345" s="144"/>
      <c r="O345" s="852"/>
    </row>
    <row r="346" spans="1:15" s="157" customFormat="1" ht="82.8">
      <c r="A346" s="254" t="s">
        <v>1000</v>
      </c>
      <c r="B346" s="751" t="s">
        <v>2619</v>
      </c>
      <c r="C346" s="152" t="s">
        <v>649</v>
      </c>
      <c r="D346" s="572">
        <v>8</v>
      </c>
      <c r="E346" s="144">
        <v>10.5</v>
      </c>
      <c r="F346" s="144">
        <f>IF((D346*E346)=0,"",(D346*E346))</f>
        <v>84</v>
      </c>
      <c r="G346" s="145"/>
      <c r="H346" s="589"/>
      <c r="I346" s="155"/>
      <c r="J346" s="156"/>
      <c r="N346" s="144"/>
      <c r="O346" s="852"/>
    </row>
    <row r="347" spans="1:15" s="157" customFormat="1">
      <c r="A347" s="254"/>
      <c r="B347" s="160"/>
      <c r="C347" s="152"/>
      <c r="D347" s="572"/>
      <c r="E347" s="144"/>
      <c r="F347" s="144"/>
      <c r="G347" s="145"/>
      <c r="H347" s="589"/>
      <c r="I347" s="155"/>
      <c r="J347" s="156"/>
      <c r="N347" s="144"/>
      <c r="O347" s="852"/>
    </row>
    <row r="348" spans="1:15" s="157" customFormat="1" ht="234.6">
      <c r="A348" s="254" t="s">
        <v>1052</v>
      </c>
      <c r="B348" s="751" t="s">
        <v>5102</v>
      </c>
      <c r="C348" s="152" t="s">
        <v>649</v>
      </c>
      <c r="D348" s="572">
        <v>2</v>
      </c>
      <c r="E348" s="144">
        <v>150</v>
      </c>
      <c r="F348" s="144">
        <f>IF((D348*E348)=0,"",(D348*E348))</f>
        <v>300</v>
      </c>
      <c r="G348" s="145"/>
      <c r="H348" s="589"/>
      <c r="I348" s="155"/>
      <c r="J348" s="156"/>
      <c r="N348" s="144"/>
      <c r="O348" s="852"/>
    </row>
    <row r="349" spans="1:15" s="157" customFormat="1">
      <c r="A349" s="254"/>
      <c r="B349" s="745"/>
      <c r="C349" s="152"/>
      <c r="D349" s="572"/>
      <c r="E349" s="144"/>
      <c r="F349" s="144"/>
      <c r="G349" s="145"/>
      <c r="H349" s="589"/>
      <c r="I349" s="155"/>
      <c r="J349" s="156"/>
      <c r="N349" s="144"/>
      <c r="O349" s="852"/>
    </row>
    <row r="350" spans="1:15" s="157" customFormat="1" ht="82.8">
      <c r="A350" s="254" t="s">
        <v>1124</v>
      </c>
      <c r="B350" s="751" t="s">
        <v>2620</v>
      </c>
      <c r="C350" s="152" t="s">
        <v>649</v>
      </c>
      <c r="D350" s="572">
        <v>8</v>
      </c>
      <c r="E350" s="144">
        <v>10.5</v>
      </c>
      <c r="F350" s="144">
        <f>IF((D350*E350)=0,"",(D350*E350))</f>
        <v>84</v>
      </c>
      <c r="G350" s="145"/>
      <c r="H350" s="589"/>
      <c r="I350" s="155"/>
      <c r="J350" s="156"/>
      <c r="N350" s="144"/>
      <c r="O350" s="852"/>
    </row>
    <row r="351" spans="1:15" s="157" customFormat="1">
      <c r="A351" s="254"/>
      <c r="B351" s="160"/>
      <c r="C351" s="152"/>
      <c r="D351" s="572"/>
      <c r="E351" s="144"/>
      <c r="F351" s="144"/>
      <c r="G351" s="145"/>
      <c r="H351" s="589"/>
      <c r="I351" s="155"/>
      <c r="J351" s="156"/>
      <c r="N351" s="144"/>
      <c r="O351" s="852"/>
    </row>
    <row r="352" spans="1:15" s="157" customFormat="1" ht="82.8">
      <c r="A352" s="254" t="s">
        <v>1125</v>
      </c>
      <c r="B352" s="751" t="s">
        <v>2621</v>
      </c>
      <c r="C352" s="152" t="s">
        <v>649</v>
      </c>
      <c r="D352" s="572">
        <v>16</v>
      </c>
      <c r="E352" s="144">
        <v>8</v>
      </c>
      <c r="F352" s="144">
        <f>IF((D352*E352)=0,"",(D352*E352))</f>
        <v>128</v>
      </c>
      <c r="G352" s="145"/>
      <c r="H352" s="589"/>
      <c r="I352" s="155"/>
      <c r="J352" s="156"/>
      <c r="N352" s="144"/>
      <c r="O352" s="852"/>
    </row>
    <row r="353" spans="1:15" s="157" customFormat="1">
      <c r="A353" s="254"/>
      <c r="B353" s="160"/>
      <c r="C353" s="152"/>
      <c r="D353" s="572"/>
      <c r="E353" s="144"/>
      <c r="F353" s="144"/>
      <c r="G353" s="145"/>
      <c r="H353" s="589"/>
      <c r="I353" s="155"/>
      <c r="J353" s="156"/>
      <c r="N353" s="144"/>
      <c r="O353" s="852"/>
    </row>
    <row r="354" spans="1:15" s="157" customFormat="1" ht="317.39999999999998">
      <c r="A354" s="254" t="s">
        <v>1126</v>
      </c>
      <c r="B354" s="751" t="s">
        <v>5076</v>
      </c>
      <c r="C354" s="152" t="s">
        <v>649</v>
      </c>
      <c r="D354" s="572">
        <v>2</v>
      </c>
      <c r="E354" s="144">
        <v>230</v>
      </c>
      <c r="F354" s="144">
        <f>IF((D354*E354)=0,"",(D354*E354))</f>
        <v>460</v>
      </c>
      <c r="G354" s="145"/>
      <c r="H354" s="589"/>
      <c r="I354" s="155"/>
      <c r="J354" s="156"/>
      <c r="N354" s="144"/>
      <c r="O354" s="852"/>
    </row>
    <row r="355" spans="1:15" s="157" customFormat="1">
      <c r="A355" s="254"/>
      <c r="B355" s="160"/>
      <c r="C355" s="152"/>
      <c r="D355" s="572"/>
      <c r="E355" s="144"/>
      <c r="F355" s="144"/>
      <c r="G355" s="145"/>
      <c r="H355" s="589"/>
      <c r="I355" s="155"/>
      <c r="J355" s="156"/>
      <c r="N355" s="144"/>
      <c r="O355" s="852"/>
    </row>
    <row r="356" spans="1:15" s="157" customFormat="1" ht="82.8">
      <c r="A356" s="254" t="s">
        <v>1127</v>
      </c>
      <c r="B356" s="751" t="s">
        <v>2622</v>
      </c>
      <c r="C356" s="152" t="s">
        <v>649</v>
      </c>
      <c r="D356" s="572">
        <v>6</v>
      </c>
      <c r="E356" s="144">
        <v>10.5</v>
      </c>
      <c r="F356" s="144">
        <f>IF((D356*E356)=0,"",(D356*E356))</f>
        <v>63</v>
      </c>
      <c r="G356" s="145"/>
      <c r="H356" s="589"/>
      <c r="I356" s="155"/>
      <c r="J356" s="156"/>
      <c r="N356" s="144"/>
      <c r="O356" s="852"/>
    </row>
    <row r="357" spans="1:15" s="157" customFormat="1">
      <c r="B357" s="160"/>
      <c r="C357" s="152"/>
      <c r="D357" s="572"/>
      <c r="E357" s="144"/>
      <c r="F357" s="144"/>
      <c r="G357" s="145"/>
      <c r="H357" s="589"/>
      <c r="I357" s="155"/>
      <c r="J357" s="156"/>
      <c r="N357" s="144"/>
      <c r="O357" s="852"/>
    </row>
    <row r="358" spans="1:15" s="157" customFormat="1" ht="69">
      <c r="A358" s="254" t="s">
        <v>2623</v>
      </c>
      <c r="B358" s="751" t="s">
        <v>2624</v>
      </c>
      <c r="C358" s="152" t="s">
        <v>649</v>
      </c>
      <c r="D358" s="572">
        <v>24</v>
      </c>
      <c r="E358" s="144">
        <v>8</v>
      </c>
      <c r="F358" s="144">
        <f>IF((D358*E358)=0,"",(D358*E358))</f>
        <v>192</v>
      </c>
      <c r="G358" s="145"/>
      <c r="H358" s="589"/>
      <c r="I358" s="155"/>
      <c r="J358" s="156"/>
      <c r="N358" s="144"/>
      <c r="O358" s="852"/>
    </row>
    <row r="359" spans="1:15" s="157" customFormat="1">
      <c r="A359" s="254"/>
      <c r="B359" s="160"/>
      <c r="C359" s="152"/>
      <c r="D359" s="572"/>
      <c r="E359" s="144"/>
      <c r="F359" s="144"/>
      <c r="G359" s="145"/>
      <c r="H359" s="589"/>
      <c r="I359" s="155"/>
      <c r="J359" s="156"/>
      <c r="N359" s="144"/>
      <c r="O359" s="852"/>
    </row>
    <row r="360" spans="1:15" s="157" customFormat="1" ht="317.39999999999998">
      <c r="A360" s="254" t="s">
        <v>2625</v>
      </c>
      <c r="B360" s="751" t="s">
        <v>5079</v>
      </c>
      <c r="C360" s="152" t="s">
        <v>649</v>
      </c>
      <c r="D360" s="572">
        <v>2</v>
      </c>
      <c r="E360" s="144">
        <v>195</v>
      </c>
      <c r="F360" s="144">
        <f>IF((D360*E360)=0,"",(D360*E360))</f>
        <v>390</v>
      </c>
      <c r="G360" s="145"/>
      <c r="H360" s="589"/>
      <c r="I360" s="155"/>
      <c r="J360" s="156"/>
      <c r="N360" s="144"/>
      <c r="O360" s="852"/>
    </row>
    <row r="361" spans="1:15" s="157" customFormat="1">
      <c r="A361" s="254"/>
      <c r="B361" s="160"/>
      <c r="C361" s="152"/>
      <c r="D361" s="572"/>
      <c r="E361" s="144"/>
      <c r="F361" s="144"/>
      <c r="G361" s="145"/>
      <c r="H361" s="589"/>
      <c r="I361" s="155"/>
      <c r="J361" s="156"/>
      <c r="N361" s="144"/>
      <c r="O361" s="852"/>
    </row>
    <row r="362" spans="1:15" s="157" customFormat="1" ht="69">
      <c r="A362" s="254" t="s">
        <v>2626</v>
      </c>
      <c r="B362" s="751" t="s">
        <v>3057</v>
      </c>
      <c r="C362" s="152" t="s">
        <v>649</v>
      </c>
      <c r="D362" s="572">
        <v>12</v>
      </c>
      <c r="E362" s="144">
        <v>10.5</v>
      </c>
      <c r="F362" s="144">
        <f>IF((D362*E362)=0,"",(D362*E362))</f>
        <v>126</v>
      </c>
      <c r="G362" s="145"/>
      <c r="H362" s="589"/>
      <c r="I362" s="155"/>
      <c r="J362" s="156"/>
      <c r="N362" s="144"/>
      <c r="O362" s="852"/>
    </row>
    <row r="363" spans="1:15" s="157" customFormat="1">
      <c r="A363" s="254"/>
      <c r="B363" s="160"/>
      <c r="C363" s="152"/>
      <c r="D363" s="572"/>
      <c r="E363" s="144"/>
      <c r="F363" s="144"/>
      <c r="G363" s="145"/>
      <c r="H363" s="589"/>
      <c r="I363" s="155"/>
      <c r="J363" s="156"/>
      <c r="N363" s="144"/>
      <c r="O363" s="852"/>
    </row>
    <row r="364" spans="1:15" s="157" customFormat="1" ht="248.4">
      <c r="A364" s="254" t="s">
        <v>2627</v>
      </c>
      <c r="B364" s="751" t="s">
        <v>5080</v>
      </c>
      <c r="C364" s="152" t="s">
        <v>649</v>
      </c>
      <c r="D364" s="572">
        <v>4</v>
      </c>
      <c r="E364" s="144">
        <v>185</v>
      </c>
      <c r="F364" s="144">
        <f>IF((D364*E364)=0,"",(D364*E364))</f>
        <v>740</v>
      </c>
      <c r="G364" s="145"/>
      <c r="H364" s="589"/>
      <c r="I364" s="155"/>
      <c r="J364" s="156"/>
      <c r="N364" s="144"/>
      <c r="O364" s="852"/>
    </row>
    <row r="365" spans="1:15" s="157" customFormat="1">
      <c r="A365" s="254"/>
      <c r="B365" s="160"/>
      <c r="C365" s="152"/>
      <c r="D365" s="572"/>
      <c r="E365" s="144"/>
      <c r="F365" s="144"/>
      <c r="G365" s="145"/>
      <c r="H365" s="589"/>
      <c r="I365" s="155"/>
      <c r="J365" s="156"/>
      <c r="N365" s="144"/>
      <c r="O365" s="852"/>
    </row>
    <row r="366" spans="1:15" s="157" customFormat="1" ht="248.4">
      <c r="A366" s="254" t="s">
        <v>2628</v>
      </c>
      <c r="B366" s="751" t="s">
        <v>5081</v>
      </c>
      <c r="C366" s="152" t="s">
        <v>649</v>
      </c>
      <c r="D366" s="572">
        <v>2</v>
      </c>
      <c r="E366" s="144">
        <v>155</v>
      </c>
      <c r="F366" s="144">
        <f>IF((D366*E366)=0,"",(D366*E366))</f>
        <v>310</v>
      </c>
      <c r="G366" s="145"/>
      <c r="H366" s="589"/>
      <c r="I366" s="155"/>
      <c r="J366" s="156"/>
      <c r="N366" s="144"/>
      <c r="O366" s="852"/>
    </row>
    <row r="367" spans="1:15" s="157" customFormat="1">
      <c r="A367" s="254"/>
      <c r="B367" s="160"/>
      <c r="C367" s="152"/>
      <c r="D367" s="572"/>
      <c r="E367" s="144"/>
      <c r="F367" s="144" t="str">
        <f>IF((D367*E367)=0,"",(D367*E367))</f>
        <v/>
      </c>
      <c r="G367" s="145"/>
      <c r="H367" s="589"/>
      <c r="I367" s="155"/>
      <c r="J367" s="156"/>
      <c r="N367" s="144"/>
      <c r="O367" s="852"/>
    </row>
    <row r="368" spans="1:15" s="157" customFormat="1" ht="55.2">
      <c r="A368" s="254" t="s">
        <v>2629</v>
      </c>
      <c r="B368" s="180" t="s">
        <v>2549</v>
      </c>
      <c r="C368" s="152" t="s">
        <v>649</v>
      </c>
      <c r="D368" s="572">
        <v>4</v>
      </c>
      <c r="E368" s="144">
        <v>215</v>
      </c>
      <c r="F368" s="144">
        <f>IF((D368*E368)=0,"",(D368*E368))</f>
        <v>860</v>
      </c>
      <c r="G368" s="145"/>
      <c r="H368" s="589"/>
      <c r="I368" s="155"/>
      <c r="J368" s="156"/>
      <c r="N368" s="144"/>
      <c r="O368" s="852"/>
    </row>
    <row r="369" spans="1:15" s="157" customFormat="1">
      <c r="A369" s="254"/>
      <c r="B369" s="180"/>
      <c r="C369" s="152"/>
      <c r="D369" s="572"/>
      <c r="E369" s="144"/>
      <c r="F369" s="144"/>
      <c r="G369" s="145"/>
      <c r="H369" s="589"/>
      <c r="I369" s="155"/>
      <c r="J369" s="156"/>
      <c r="N369" s="144"/>
      <c r="O369" s="852"/>
    </row>
    <row r="370" spans="1:15" s="157" customFormat="1" ht="303.60000000000002">
      <c r="A370" s="254" t="s">
        <v>2630</v>
      </c>
      <c r="B370" s="159" t="s">
        <v>5092</v>
      </c>
      <c r="C370" s="152" t="s">
        <v>649</v>
      </c>
      <c r="D370" s="572">
        <v>2</v>
      </c>
      <c r="E370" s="144">
        <v>270</v>
      </c>
      <c r="F370" s="144">
        <f>IF((D370*E370)=0,"",(D370*E370))</f>
        <v>540</v>
      </c>
      <c r="G370" s="145"/>
      <c r="H370" s="589"/>
      <c r="I370" s="155"/>
      <c r="J370" s="156"/>
      <c r="N370" s="144"/>
      <c r="O370" s="852"/>
    </row>
    <row r="371" spans="1:15" s="157" customFormat="1">
      <c r="A371" s="254"/>
      <c r="B371" s="180"/>
      <c r="C371" s="152"/>
      <c r="D371" s="572"/>
      <c r="E371" s="144"/>
      <c r="F371" s="144"/>
      <c r="G371" s="145"/>
      <c r="H371" s="589"/>
      <c r="I371" s="155"/>
      <c r="J371" s="156"/>
      <c r="N371" s="144"/>
      <c r="O371" s="852"/>
    </row>
    <row r="372" spans="1:15" s="157" customFormat="1" ht="234.6">
      <c r="A372" s="254" t="s">
        <v>2548</v>
      </c>
      <c r="B372" s="159" t="s">
        <v>5093</v>
      </c>
      <c r="C372" s="152" t="s">
        <v>649</v>
      </c>
      <c r="D372" s="572">
        <v>2</v>
      </c>
      <c r="E372" s="144">
        <v>220</v>
      </c>
      <c r="F372" s="144">
        <f>IF((D372*E372)=0,"",(D372*E372))</f>
        <v>440</v>
      </c>
      <c r="G372" s="145"/>
      <c r="H372" s="589"/>
      <c r="I372" s="155"/>
      <c r="J372" s="156"/>
      <c r="N372" s="144"/>
      <c r="O372" s="852"/>
    </row>
    <row r="373" spans="1:15" s="157" customFormat="1">
      <c r="A373" s="254"/>
      <c r="B373" s="180"/>
      <c r="C373" s="152"/>
      <c r="D373" s="572"/>
      <c r="E373" s="144"/>
      <c r="F373" s="144"/>
      <c r="G373" s="145"/>
      <c r="H373" s="589"/>
      <c r="I373" s="155"/>
      <c r="J373" s="156"/>
      <c r="N373" s="144"/>
      <c r="O373" s="852"/>
    </row>
    <row r="374" spans="1:15" s="157" customFormat="1" ht="82.8">
      <c r="A374" s="254" t="s">
        <v>2631</v>
      </c>
      <c r="B374" s="275" t="s">
        <v>3143</v>
      </c>
      <c r="C374" s="564" t="s">
        <v>649</v>
      </c>
      <c r="D374" s="565">
        <v>10</v>
      </c>
      <c r="E374" s="566">
        <v>10.5</v>
      </c>
      <c r="F374" s="566">
        <f>IF((D374*E374)=0,"",(D374*E374))</f>
        <v>105</v>
      </c>
      <c r="G374" s="145"/>
      <c r="H374" s="589"/>
      <c r="I374" s="155"/>
      <c r="J374" s="156"/>
      <c r="N374" s="566"/>
      <c r="O374" s="852"/>
    </row>
    <row r="375" spans="1:15" s="157" customFormat="1">
      <c r="A375" s="254"/>
      <c r="B375" s="180"/>
      <c r="C375" s="152"/>
      <c r="D375" s="572"/>
      <c r="E375" s="144"/>
      <c r="F375" s="144"/>
      <c r="G375" s="145"/>
      <c r="H375" s="589"/>
      <c r="I375" s="155"/>
      <c r="J375" s="156"/>
      <c r="N375" s="144"/>
      <c r="O375" s="852"/>
    </row>
    <row r="376" spans="1:15" s="157" customFormat="1" ht="331.2">
      <c r="A376" s="254" t="s">
        <v>2632</v>
      </c>
      <c r="B376" s="159" t="s">
        <v>5103</v>
      </c>
      <c r="C376" s="564" t="s">
        <v>649</v>
      </c>
      <c r="D376" s="565">
        <v>2</v>
      </c>
      <c r="E376" s="566">
        <v>380</v>
      </c>
      <c r="F376" s="566">
        <f>IF((D376*E376)=0,"",(D376*E376))</f>
        <v>760</v>
      </c>
      <c r="G376" s="145"/>
      <c r="H376" s="589"/>
      <c r="I376" s="155"/>
      <c r="J376" s="156"/>
      <c r="N376" s="566"/>
      <c r="O376" s="852"/>
    </row>
    <row r="377" spans="1:15" s="157" customFormat="1">
      <c r="A377" s="254"/>
      <c r="B377" s="160"/>
      <c r="C377" s="152"/>
      <c r="D377" s="572"/>
      <c r="E377" s="144"/>
      <c r="F377" s="144"/>
      <c r="G377" s="145"/>
      <c r="H377" s="589"/>
      <c r="I377" s="155"/>
      <c r="J377" s="156"/>
      <c r="N377" s="144"/>
      <c r="O377" s="852"/>
    </row>
    <row r="378" spans="1:15" s="157" customFormat="1" ht="331.2">
      <c r="A378" s="254" t="s">
        <v>2633</v>
      </c>
      <c r="B378" s="751" t="s">
        <v>5104</v>
      </c>
      <c r="C378" s="152" t="s">
        <v>649</v>
      </c>
      <c r="D378" s="572">
        <v>2</v>
      </c>
      <c r="E378" s="144">
        <v>360</v>
      </c>
      <c r="F378" s="144">
        <f>IF((D378*E378)=0,"",(D378*E378))</f>
        <v>720</v>
      </c>
      <c r="G378" s="145"/>
      <c r="H378" s="589"/>
      <c r="I378" s="155"/>
      <c r="J378" s="156"/>
      <c r="N378" s="144"/>
      <c r="O378" s="852"/>
    </row>
    <row r="379" spans="1:15" s="157" customFormat="1">
      <c r="A379" s="254"/>
      <c r="B379" s="160"/>
      <c r="C379" s="152"/>
      <c r="D379" s="572"/>
      <c r="E379" s="144"/>
      <c r="F379" s="144"/>
      <c r="G379" s="145"/>
      <c r="H379" s="589"/>
      <c r="I379" s="155"/>
      <c r="J379" s="156"/>
      <c r="N379" s="144"/>
      <c r="O379" s="852"/>
    </row>
    <row r="380" spans="1:15" s="157" customFormat="1" ht="82.8">
      <c r="A380" s="254" t="s">
        <v>2634</v>
      </c>
      <c r="B380" s="751" t="s">
        <v>3058</v>
      </c>
      <c r="C380" s="152" t="s">
        <v>649</v>
      </c>
      <c r="D380" s="572">
        <v>8</v>
      </c>
      <c r="E380" s="144">
        <v>10.5</v>
      </c>
      <c r="F380" s="144">
        <f>IF((D380*E380)=0,"",(D380*E380))</f>
        <v>84</v>
      </c>
      <c r="G380" s="145"/>
      <c r="H380" s="589"/>
      <c r="I380" s="155"/>
      <c r="J380" s="156"/>
      <c r="N380" s="144"/>
      <c r="O380" s="852"/>
    </row>
    <row r="381" spans="1:15" s="157" customFormat="1">
      <c r="A381" s="254"/>
      <c r="B381" s="160"/>
      <c r="C381" s="152"/>
      <c r="D381" s="572"/>
      <c r="E381" s="144"/>
      <c r="F381" s="144"/>
      <c r="G381" s="145"/>
      <c r="H381" s="589"/>
      <c r="I381" s="155"/>
      <c r="J381" s="156"/>
      <c r="N381" s="144"/>
      <c r="O381" s="852"/>
    </row>
    <row r="382" spans="1:15" s="157" customFormat="1" ht="69">
      <c r="A382" s="254" t="s">
        <v>2635</v>
      </c>
      <c r="B382" s="751" t="s">
        <v>3059</v>
      </c>
      <c r="C382" s="152" t="s">
        <v>649</v>
      </c>
      <c r="D382" s="572">
        <v>24</v>
      </c>
      <c r="E382" s="144">
        <v>8</v>
      </c>
      <c r="F382" s="144">
        <f>IF((D382*E382)=0,"",(D382*E382))</f>
        <v>192</v>
      </c>
      <c r="G382" s="145"/>
      <c r="H382" s="589"/>
      <c r="I382" s="155"/>
      <c r="J382" s="156"/>
      <c r="N382" s="144"/>
      <c r="O382" s="852"/>
    </row>
    <row r="383" spans="1:15" s="157" customFormat="1">
      <c r="A383" s="254"/>
      <c r="B383" s="160"/>
      <c r="C383" s="152"/>
      <c r="D383" s="572"/>
      <c r="E383" s="144"/>
      <c r="F383" s="144"/>
      <c r="G383" s="145"/>
      <c r="H383" s="589"/>
      <c r="I383" s="155"/>
      <c r="J383" s="156"/>
      <c r="N383" s="144"/>
      <c r="O383" s="852"/>
    </row>
    <row r="384" spans="1:15" s="157" customFormat="1" ht="331.2">
      <c r="A384" s="254" t="s">
        <v>2636</v>
      </c>
      <c r="B384" s="751" t="s">
        <v>5095</v>
      </c>
      <c r="C384" s="564" t="s">
        <v>649</v>
      </c>
      <c r="D384" s="565">
        <v>2</v>
      </c>
      <c r="E384" s="566">
        <v>285</v>
      </c>
      <c r="F384" s="566">
        <f>IF((D384*E384)=0,"",(D384*E384))</f>
        <v>570</v>
      </c>
      <c r="G384" s="145"/>
      <c r="H384" s="589"/>
      <c r="I384" s="155"/>
      <c r="J384" s="156"/>
      <c r="N384" s="566"/>
      <c r="O384" s="852"/>
    </row>
    <row r="385" spans="1:15" s="157" customFormat="1">
      <c r="A385" s="254"/>
      <c r="B385" s="160"/>
      <c r="C385" s="152"/>
      <c r="D385" s="572"/>
      <c r="E385" s="144"/>
      <c r="F385" s="144"/>
      <c r="G385" s="145"/>
      <c r="H385" s="589"/>
      <c r="I385" s="155"/>
      <c r="J385" s="156"/>
      <c r="N385" s="144"/>
      <c r="O385" s="852"/>
    </row>
    <row r="386" spans="1:15" s="157" customFormat="1" ht="289.8">
      <c r="A386" s="254" t="s">
        <v>2637</v>
      </c>
      <c r="B386" s="751" t="s">
        <v>5096</v>
      </c>
      <c r="C386" s="152" t="s">
        <v>649</v>
      </c>
      <c r="D386" s="572">
        <v>2</v>
      </c>
      <c r="E386" s="144">
        <v>155</v>
      </c>
      <c r="F386" s="144">
        <f>IF((D386*E386)=0,"",(D386*E386))</f>
        <v>310</v>
      </c>
      <c r="G386" s="145"/>
      <c r="H386" s="589"/>
      <c r="I386" s="155"/>
      <c r="J386" s="156"/>
      <c r="N386" s="144"/>
      <c r="O386" s="852"/>
    </row>
    <row r="387" spans="1:15" s="157" customFormat="1">
      <c r="A387" s="254"/>
      <c r="B387" s="160"/>
      <c r="C387" s="152"/>
      <c r="D387" s="572"/>
      <c r="E387" s="144"/>
      <c r="F387" s="144"/>
      <c r="G387" s="145"/>
      <c r="H387" s="589"/>
      <c r="I387" s="155"/>
      <c r="J387" s="156"/>
      <c r="N387" s="144"/>
      <c r="O387" s="852"/>
    </row>
    <row r="388" spans="1:15" s="157" customFormat="1" ht="262.2">
      <c r="A388" s="254" t="s">
        <v>2638</v>
      </c>
      <c r="B388" s="751" t="s">
        <v>5098</v>
      </c>
      <c r="C388" s="152" t="s">
        <v>649</v>
      </c>
      <c r="D388" s="572">
        <v>2</v>
      </c>
      <c r="E388" s="144">
        <v>145</v>
      </c>
      <c r="F388" s="144">
        <f>IF((D388*E388)=0,"",(D388*E388))</f>
        <v>290</v>
      </c>
      <c r="G388" s="145"/>
      <c r="H388" s="589"/>
      <c r="I388" s="155"/>
      <c r="J388" s="156"/>
      <c r="N388" s="144"/>
      <c r="O388" s="852"/>
    </row>
    <row r="389" spans="1:15" s="157" customFormat="1">
      <c r="A389" s="254"/>
      <c r="B389" s="160"/>
      <c r="C389" s="152"/>
      <c r="D389" s="572"/>
      <c r="E389" s="144"/>
      <c r="F389" s="144"/>
      <c r="G389" s="145"/>
      <c r="H389" s="589"/>
      <c r="I389" s="155"/>
      <c r="J389" s="156"/>
      <c r="N389" s="144"/>
      <c r="O389" s="852"/>
    </row>
    <row r="390" spans="1:15" s="157" customFormat="1" ht="248.4">
      <c r="A390" s="254" t="s">
        <v>2639</v>
      </c>
      <c r="B390" s="751" t="s">
        <v>5097</v>
      </c>
      <c r="C390" s="152" t="s">
        <v>649</v>
      </c>
      <c r="D390" s="572">
        <v>2</v>
      </c>
      <c r="E390" s="144">
        <v>140</v>
      </c>
      <c r="F390" s="144">
        <f>IF((D390*E390)=0,"",(D390*E390))</f>
        <v>280</v>
      </c>
      <c r="G390" s="145"/>
      <c r="H390" s="589"/>
      <c r="I390" s="155"/>
      <c r="J390" s="156"/>
      <c r="N390" s="144"/>
      <c r="O390" s="852"/>
    </row>
    <row r="391" spans="1:15" s="157" customFormat="1">
      <c r="A391" s="254"/>
      <c r="B391" s="160"/>
      <c r="C391" s="152"/>
      <c r="D391" s="572"/>
      <c r="E391" s="144"/>
      <c r="F391" s="144"/>
      <c r="G391" s="145"/>
      <c r="H391" s="589"/>
      <c r="I391" s="155"/>
      <c r="J391" s="156"/>
      <c r="N391" s="144"/>
      <c r="O391" s="852"/>
    </row>
    <row r="392" spans="1:15" s="157" customFormat="1" ht="138">
      <c r="A392" s="254" t="s">
        <v>2640</v>
      </c>
      <c r="B392" s="751" t="s">
        <v>2562</v>
      </c>
      <c r="C392" s="152" t="s">
        <v>649</v>
      </c>
      <c r="D392" s="572">
        <v>2</v>
      </c>
      <c r="E392" s="144">
        <v>98</v>
      </c>
      <c r="F392" s="144">
        <f>IF((D392*E392)=0,"",(D392*E392))</f>
        <v>196</v>
      </c>
      <c r="G392" s="145"/>
      <c r="H392" s="589"/>
      <c r="I392" s="155"/>
      <c r="J392" s="156"/>
      <c r="N392" s="144"/>
      <c r="O392" s="852"/>
    </row>
    <row r="393" spans="1:15" s="157" customFormat="1">
      <c r="A393" s="254"/>
      <c r="B393" s="160"/>
      <c r="C393" s="152"/>
      <c r="D393" s="572"/>
      <c r="E393" s="144"/>
      <c r="F393" s="144"/>
      <c r="G393" s="145"/>
      <c r="H393" s="589"/>
      <c r="I393" s="155"/>
      <c r="J393" s="156"/>
      <c r="N393" s="144"/>
      <c r="O393" s="852"/>
    </row>
    <row r="394" spans="1:15" s="157" customFormat="1" ht="96.6">
      <c r="A394" s="254" t="s">
        <v>2641</v>
      </c>
      <c r="B394" s="751" t="s">
        <v>2564</v>
      </c>
      <c r="C394" s="152" t="s">
        <v>649</v>
      </c>
      <c r="D394" s="572">
        <v>6</v>
      </c>
      <c r="E394" s="144">
        <v>90</v>
      </c>
      <c r="F394" s="144">
        <f>IF((D394*E394)=0,"",(D394*E394))</f>
        <v>540</v>
      </c>
      <c r="G394" s="145"/>
      <c r="H394" s="589"/>
      <c r="I394" s="155"/>
      <c r="J394" s="156"/>
      <c r="N394" s="144"/>
      <c r="O394" s="852"/>
    </row>
    <row r="395" spans="1:15" s="157" customFormat="1">
      <c r="A395" s="254"/>
      <c r="B395" s="751"/>
      <c r="C395" s="152"/>
      <c r="D395" s="572"/>
      <c r="E395" s="144"/>
      <c r="F395" s="144"/>
      <c r="G395" s="145"/>
      <c r="H395" s="589"/>
      <c r="I395" s="155"/>
      <c r="J395" s="156"/>
      <c r="N395" s="144"/>
      <c r="O395" s="852"/>
    </row>
    <row r="396" spans="1:15" s="157" customFormat="1" ht="179.4">
      <c r="A396" s="254" t="s">
        <v>2642</v>
      </c>
      <c r="B396" s="751" t="s">
        <v>5099</v>
      </c>
      <c r="C396" s="152" t="s">
        <v>670</v>
      </c>
      <c r="D396" s="572">
        <v>2</v>
      </c>
      <c r="E396" s="144">
        <v>180</v>
      </c>
      <c r="F396" s="144">
        <f>IF((D396*E396)=0,"",(D396*E396))</f>
        <v>360</v>
      </c>
      <c r="G396" s="145"/>
      <c r="H396" s="589"/>
      <c r="I396" s="155"/>
      <c r="J396" s="156"/>
      <c r="N396" s="144"/>
      <c r="O396" s="852"/>
    </row>
    <row r="397" spans="1:15" s="157" customFormat="1">
      <c r="A397" s="254"/>
      <c r="B397" s="160"/>
      <c r="C397" s="152"/>
      <c r="D397" s="572"/>
      <c r="E397" s="144"/>
      <c r="F397" s="144"/>
      <c r="G397" s="145"/>
      <c r="H397" s="589"/>
      <c r="I397" s="155"/>
      <c r="J397" s="156"/>
      <c r="N397" s="144"/>
      <c r="O397" s="852"/>
    </row>
    <row r="398" spans="1:15" s="157" customFormat="1" ht="96.6">
      <c r="A398" s="254" t="s">
        <v>2643</v>
      </c>
      <c r="B398" s="751" t="s">
        <v>2567</v>
      </c>
      <c r="C398" s="152" t="s">
        <v>649</v>
      </c>
      <c r="D398" s="572">
        <v>4</v>
      </c>
      <c r="E398" s="144">
        <v>176</v>
      </c>
      <c r="F398" s="144">
        <f>IF((D398*E398)=0,"",(D398*E398))</f>
        <v>704</v>
      </c>
      <c r="G398" s="145"/>
      <c r="H398" s="589"/>
      <c r="I398" s="155"/>
      <c r="J398" s="156"/>
      <c r="N398" s="144"/>
      <c r="O398" s="852"/>
    </row>
    <row r="399" spans="1:15" s="157" customFormat="1">
      <c r="A399" s="254"/>
      <c r="B399" s="160"/>
      <c r="C399" s="152"/>
      <c r="D399" s="572"/>
      <c r="E399" s="144"/>
      <c r="F399" s="144"/>
      <c r="G399" s="145"/>
      <c r="H399" s="589"/>
      <c r="I399" s="155"/>
      <c r="J399" s="156"/>
      <c r="N399" s="144"/>
      <c r="O399" s="852"/>
    </row>
    <row r="400" spans="1:15" s="157" customFormat="1" ht="248.4">
      <c r="A400" s="254" t="s">
        <v>2644</v>
      </c>
      <c r="B400" s="751" t="s">
        <v>5084</v>
      </c>
      <c r="C400" s="152" t="s">
        <v>649</v>
      </c>
      <c r="D400" s="572">
        <v>2</v>
      </c>
      <c r="E400" s="144">
        <v>155</v>
      </c>
      <c r="F400" s="144">
        <f>IF((D400*E400)=0,"",(D400*E400))</f>
        <v>310</v>
      </c>
      <c r="G400" s="145"/>
      <c r="H400" s="589"/>
      <c r="I400" s="155"/>
      <c r="J400" s="156"/>
      <c r="N400" s="144"/>
      <c r="O400" s="852"/>
    </row>
    <row r="401" spans="1:15" s="157" customFormat="1">
      <c r="A401" s="254"/>
      <c r="B401" s="160"/>
      <c r="C401" s="152"/>
      <c r="D401" s="572"/>
      <c r="E401" s="144"/>
      <c r="F401" s="144"/>
      <c r="G401" s="145"/>
      <c r="H401" s="589"/>
      <c r="I401" s="155"/>
      <c r="J401" s="156"/>
      <c r="N401" s="144"/>
      <c r="O401" s="852"/>
    </row>
    <row r="402" spans="1:15" s="157" customFormat="1" ht="110.4">
      <c r="A402" s="254" t="s">
        <v>2645</v>
      </c>
      <c r="B402" s="751" t="s">
        <v>2570</v>
      </c>
      <c r="C402" s="152" t="s">
        <v>649</v>
      </c>
      <c r="D402" s="572">
        <v>2</v>
      </c>
      <c r="E402" s="144">
        <v>572</v>
      </c>
      <c r="F402" s="144">
        <f>IF((D402*E402)=0,"",(D402*E402))</f>
        <v>1144</v>
      </c>
      <c r="G402" s="145"/>
      <c r="H402" s="589"/>
      <c r="I402" s="155"/>
      <c r="J402" s="156"/>
      <c r="N402" s="144"/>
      <c r="O402" s="852"/>
    </row>
    <row r="403" spans="1:15" s="157" customFormat="1">
      <c r="A403" s="254"/>
      <c r="B403" s="160"/>
      <c r="C403" s="152"/>
      <c r="D403" s="572"/>
      <c r="E403" s="144"/>
      <c r="F403" s="144"/>
      <c r="G403" s="145"/>
      <c r="H403" s="589"/>
      <c r="I403" s="155"/>
      <c r="J403" s="156"/>
      <c r="N403" s="144"/>
      <c r="O403" s="852"/>
    </row>
    <row r="404" spans="1:15" s="157" customFormat="1" ht="138">
      <c r="A404" s="254" t="s">
        <v>2646</v>
      </c>
      <c r="B404" s="590" t="s">
        <v>3056</v>
      </c>
      <c r="C404" s="152" t="s">
        <v>649</v>
      </c>
      <c r="D404" s="572">
        <v>2</v>
      </c>
      <c r="E404" s="144">
        <v>186</v>
      </c>
      <c r="F404" s="144">
        <f>IF((D404*E404)=0,"",(D404*E404))</f>
        <v>372</v>
      </c>
      <c r="G404" s="145"/>
      <c r="H404" s="589"/>
      <c r="I404" s="155"/>
      <c r="J404" s="156"/>
      <c r="N404" s="144"/>
      <c r="O404" s="852"/>
    </row>
    <row r="405" spans="1:15" s="157" customFormat="1">
      <c r="A405" s="254"/>
      <c r="B405" s="160"/>
      <c r="C405" s="152"/>
      <c r="D405" s="572"/>
      <c r="E405" s="144"/>
      <c r="F405" s="144"/>
      <c r="G405" s="145"/>
      <c r="H405" s="589"/>
      <c r="I405" s="155"/>
      <c r="J405" s="156"/>
      <c r="N405" s="144"/>
      <c r="O405" s="852"/>
    </row>
    <row r="406" spans="1:15" s="157" customFormat="1" ht="207">
      <c r="A406" s="254" t="s">
        <v>2647</v>
      </c>
      <c r="B406" s="592" t="s">
        <v>2483</v>
      </c>
      <c r="C406" s="152" t="s">
        <v>649</v>
      </c>
      <c r="D406" s="572">
        <v>40</v>
      </c>
      <c r="E406" s="144">
        <v>44</v>
      </c>
      <c r="F406" s="144">
        <f>IF((D406*E406)=0,"",(D406*E406))</f>
        <v>1760</v>
      </c>
      <c r="G406" s="145"/>
      <c r="H406" s="589"/>
      <c r="I406" s="155"/>
      <c r="J406" s="156"/>
      <c r="N406" s="144"/>
      <c r="O406" s="852"/>
    </row>
    <row r="407" spans="1:15" s="157" customFormat="1">
      <c r="A407" s="254"/>
      <c r="B407" s="160"/>
      <c r="C407" s="152"/>
      <c r="D407" s="572"/>
      <c r="E407" s="144"/>
      <c r="F407" s="144"/>
      <c r="G407" s="145"/>
      <c r="H407" s="589"/>
      <c r="I407" s="155"/>
      <c r="J407" s="156"/>
      <c r="N407" s="144"/>
      <c r="O407" s="852"/>
    </row>
    <row r="408" spans="1:15" s="157" customFormat="1" ht="151.80000000000001">
      <c r="A408" s="254" t="s">
        <v>2648</v>
      </c>
      <c r="B408" s="751" t="s">
        <v>5105</v>
      </c>
      <c r="C408" s="152" t="s">
        <v>649</v>
      </c>
      <c r="D408" s="572">
        <v>2</v>
      </c>
      <c r="E408" s="144">
        <v>72</v>
      </c>
      <c r="F408" s="144">
        <f>IF((D408*E408)=0,"",(D408*E408))</f>
        <v>144</v>
      </c>
      <c r="G408" s="145"/>
      <c r="H408" s="589"/>
      <c r="I408" s="155"/>
      <c r="J408" s="156"/>
      <c r="N408" s="144"/>
      <c r="O408" s="852"/>
    </row>
    <row r="409" spans="1:15" s="157" customFormat="1">
      <c r="A409" s="254"/>
      <c r="B409" s="160"/>
      <c r="C409" s="152"/>
      <c r="D409" s="572"/>
      <c r="E409" s="144"/>
      <c r="F409" s="144"/>
      <c r="G409" s="145"/>
      <c r="H409" s="589"/>
      <c r="I409" s="155"/>
      <c r="J409" s="156"/>
      <c r="N409" s="144"/>
      <c r="O409" s="852"/>
    </row>
    <row r="410" spans="1:15" s="157" customFormat="1" ht="69">
      <c r="A410" s="254" t="s">
        <v>2649</v>
      </c>
      <c r="B410" s="751" t="s">
        <v>3060</v>
      </c>
      <c r="C410" s="152" t="s">
        <v>649</v>
      </c>
      <c r="D410" s="572">
        <v>80</v>
      </c>
      <c r="E410" s="144">
        <v>11.5</v>
      </c>
      <c r="F410" s="144">
        <f>IF((D410*E410)=0,"",(D410*E410))</f>
        <v>920</v>
      </c>
      <c r="G410" s="145"/>
      <c r="H410" s="589"/>
      <c r="I410" s="155"/>
      <c r="J410" s="156"/>
      <c r="N410" s="144"/>
      <c r="O410" s="852"/>
    </row>
    <row r="411" spans="1:15" s="157" customFormat="1">
      <c r="A411" s="254"/>
      <c r="B411" s="160"/>
      <c r="C411" s="152"/>
      <c r="D411" s="572"/>
      <c r="E411" s="144"/>
      <c r="F411" s="144"/>
      <c r="G411" s="145"/>
      <c r="H411" s="589"/>
      <c r="I411" s="155"/>
      <c r="J411" s="156"/>
      <c r="N411" s="144"/>
      <c r="O411" s="852"/>
    </row>
    <row r="412" spans="1:15" s="157" customFormat="1" ht="55.2">
      <c r="A412" s="254" t="s">
        <v>2650</v>
      </c>
      <c r="B412" s="751" t="s">
        <v>3061</v>
      </c>
      <c r="C412" s="152" t="s">
        <v>649</v>
      </c>
      <c r="D412" s="572">
        <v>80</v>
      </c>
      <c r="E412" s="144">
        <v>5</v>
      </c>
      <c r="F412" s="144">
        <f>IF((D412*E412)=0,"",(D412*E412))</f>
        <v>400</v>
      </c>
      <c r="G412" s="145"/>
      <c r="H412" s="589"/>
      <c r="I412" s="155"/>
      <c r="J412" s="156"/>
      <c r="N412" s="144"/>
      <c r="O412" s="852"/>
    </row>
    <row r="413" spans="1:15" s="157" customFormat="1">
      <c r="A413" s="254"/>
      <c r="B413" s="160"/>
      <c r="C413" s="152"/>
      <c r="D413" s="572"/>
      <c r="E413" s="144"/>
      <c r="F413" s="144"/>
      <c r="G413" s="145"/>
      <c r="H413" s="589"/>
      <c r="I413" s="155"/>
      <c r="J413" s="156"/>
      <c r="N413" s="144"/>
      <c r="O413" s="852"/>
    </row>
    <row r="414" spans="1:15" s="157" customFormat="1" ht="55.2">
      <c r="A414" s="254" t="s">
        <v>2651</v>
      </c>
      <c r="B414" s="751" t="s">
        <v>3062</v>
      </c>
      <c r="C414" s="152" t="s">
        <v>649</v>
      </c>
      <c r="D414" s="572">
        <v>80</v>
      </c>
      <c r="E414" s="144">
        <v>12</v>
      </c>
      <c r="F414" s="144">
        <f>IF((D414*E414)=0,"",(D414*E414))</f>
        <v>960</v>
      </c>
      <c r="G414" s="145"/>
      <c r="H414" s="589"/>
      <c r="I414" s="155"/>
      <c r="J414" s="156"/>
      <c r="N414" s="144"/>
      <c r="O414" s="852"/>
    </row>
    <row r="415" spans="1:15" s="157" customFormat="1">
      <c r="A415" s="254"/>
      <c r="B415" s="160"/>
      <c r="C415" s="152"/>
      <c r="D415" s="572"/>
      <c r="E415" s="144"/>
      <c r="F415" s="144"/>
      <c r="G415" s="145"/>
      <c r="H415" s="589"/>
      <c r="I415" s="155"/>
      <c r="J415" s="156"/>
      <c r="N415" s="144"/>
      <c r="O415" s="852"/>
    </row>
    <row r="416" spans="1:15" s="157" customFormat="1" ht="41.4">
      <c r="A416" s="254" t="s">
        <v>2652</v>
      </c>
      <c r="B416" s="751" t="s">
        <v>3063</v>
      </c>
      <c r="C416" s="152" t="s">
        <v>649</v>
      </c>
      <c r="D416" s="572">
        <v>80</v>
      </c>
      <c r="E416" s="144">
        <v>9.5</v>
      </c>
      <c r="F416" s="144">
        <f>IF((D416*E416)=0,"",(D416*E416))</f>
        <v>760</v>
      </c>
      <c r="G416" s="145"/>
      <c r="H416" s="589"/>
      <c r="I416" s="155"/>
      <c r="J416" s="156"/>
      <c r="N416" s="144"/>
      <c r="O416" s="852"/>
    </row>
    <row r="417" spans="1:15" s="157" customFormat="1">
      <c r="A417" s="254"/>
      <c r="B417" s="160"/>
      <c r="C417" s="564"/>
      <c r="D417" s="565"/>
      <c r="E417" s="566"/>
      <c r="F417" s="566"/>
      <c r="G417" s="145"/>
      <c r="H417" s="589"/>
      <c r="I417" s="155"/>
      <c r="J417" s="156"/>
      <c r="N417" s="566"/>
      <c r="O417" s="852"/>
    </row>
    <row r="418" spans="1:15" s="157" customFormat="1" ht="96.6">
      <c r="A418" s="254" t="s">
        <v>2653</v>
      </c>
      <c r="B418" s="160" t="s">
        <v>4816</v>
      </c>
      <c r="C418" s="152" t="s">
        <v>649</v>
      </c>
      <c r="D418" s="572">
        <v>2</v>
      </c>
      <c r="E418" s="144">
        <v>225</v>
      </c>
      <c r="F418" s="144">
        <f>IF((D418*E418)=0,"",(D418*E418))</f>
        <v>450</v>
      </c>
      <c r="G418" s="145"/>
      <c r="H418" s="589"/>
      <c r="I418" s="155"/>
      <c r="J418" s="156"/>
      <c r="N418" s="144"/>
      <c r="O418" s="852"/>
    </row>
    <row r="419" spans="1:15" s="157" customFormat="1">
      <c r="A419" s="254"/>
      <c r="B419" s="160"/>
      <c r="C419" s="564"/>
      <c r="D419" s="565"/>
      <c r="E419" s="566"/>
      <c r="F419" s="566"/>
      <c r="G419" s="145"/>
      <c r="H419" s="589"/>
      <c r="I419" s="155"/>
      <c r="J419" s="156"/>
      <c r="N419" s="566"/>
      <c r="O419" s="852"/>
    </row>
    <row r="420" spans="1:15" s="157" customFormat="1" ht="82.8">
      <c r="A420" s="254" t="s">
        <v>2654</v>
      </c>
      <c r="B420" s="749" t="s">
        <v>2491</v>
      </c>
      <c r="C420" s="564" t="s">
        <v>649</v>
      </c>
      <c r="D420" s="565">
        <v>6</v>
      </c>
      <c r="E420" s="566">
        <v>78</v>
      </c>
      <c r="F420" s="566">
        <f>IF((D420*E420)=0,"",(D420*E420))</f>
        <v>468</v>
      </c>
      <c r="G420" s="593"/>
      <c r="H420" s="589"/>
      <c r="I420" s="155"/>
      <c r="J420" s="156"/>
      <c r="N420" s="566"/>
      <c r="O420" s="852"/>
    </row>
    <row r="421" spans="1:15" s="157" customFormat="1">
      <c r="A421" s="254"/>
      <c r="B421" s="274"/>
      <c r="C421" s="564"/>
      <c r="D421" s="565"/>
      <c r="E421" s="566"/>
      <c r="F421" s="566"/>
      <c r="G421" s="593"/>
      <c r="H421" s="589"/>
      <c r="I421" s="155"/>
      <c r="J421" s="156"/>
      <c r="N421" s="566"/>
      <c r="O421" s="852"/>
    </row>
    <row r="422" spans="1:15" s="157" customFormat="1" ht="82.8">
      <c r="A422" s="254" t="s">
        <v>2655</v>
      </c>
      <c r="B422" s="749" t="s">
        <v>2493</v>
      </c>
      <c r="C422" s="152" t="s">
        <v>649</v>
      </c>
      <c r="D422" s="572">
        <v>4</v>
      </c>
      <c r="E422" s="144">
        <v>84</v>
      </c>
      <c r="F422" s="144">
        <f>IF((D422*E422)=0,"",(D422*E422))</f>
        <v>336</v>
      </c>
      <c r="G422" s="593"/>
      <c r="H422" s="589"/>
      <c r="I422" s="155"/>
      <c r="J422" s="156"/>
      <c r="N422" s="144"/>
      <c r="O422" s="852"/>
    </row>
    <row r="423" spans="1:15" s="157" customFormat="1">
      <c r="A423" s="254"/>
      <c r="B423" s="160"/>
      <c r="C423" s="152"/>
      <c r="D423" s="572"/>
      <c r="E423" s="144"/>
      <c r="F423" s="144"/>
      <c r="G423" s="145"/>
      <c r="H423" s="589"/>
      <c r="I423" s="155"/>
      <c r="J423" s="156"/>
      <c r="N423" s="144"/>
      <c r="O423" s="852"/>
    </row>
    <row r="424" spans="1:15" s="157" customFormat="1" ht="82.8">
      <c r="A424" s="254" t="s">
        <v>2656</v>
      </c>
      <c r="B424" s="274" t="s">
        <v>3138</v>
      </c>
      <c r="C424" s="152" t="s">
        <v>649</v>
      </c>
      <c r="D424" s="572">
        <v>2</v>
      </c>
      <c r="E424" s="144">
        <v>119</v>
      </c>
      <c r="F424" s="144">
        <f>IF((D424*E424)=0,"",(D424*E424))</f>
        <v>238</v>
      </c>
      <c r="G424" s="145"/>
      <c r="H424" s="589"/>
      <c r="I424" s="155"/>
      <c r="J424" s="156"/>
      <c r="N424" s="144"/>
      <c r="O424" s="852"/>
    </row>
    <row r="425" spans="1:15" s="157" customFormat="1">
      <c r="A425" s="254"/>
      <c r="B425" s="160"/>
      <c r="C425" s="152"/>
      <c r="D425" s="572"/>
      <c r="E425" s="144"/>
      <c r="F425" s="144"/>
      <c r="G425" s="145"/>
      <c r="H425" s="589"/>
      <c r="I425" s="155"/>
      <c r="J425" s="156"/>
      <c r="N425" s="144"/>
      <c r="O425" s="852"/>
    </row>
    <row r="426" spans="1:15" s="157" customFormat="1" ht="41.4">
      <c r="A426" s="254" t="s">
        <v>2657</v>
      </c>
      <c r="B426" s="588" t="s">
        <v>2496</v>
      </c>
      <c r="C426" s="152" t="s">
        <v>649</v>
      </c>
      <c r="D426" s="572">
        <v>2</v>
      </c>
      <c r="E426" s="144">
        <v>29</v>
      </c>
      <c r="F426" s="144">
        <f>IF((D426*E426)=0,"",(D426*E426))</f>
        <v>58</v>
      </c>
      <c r="G426" s="145"/>
      <c r="H426" s="589"/>
      <c r="I426" s="155"/>
      <c r="J426" s="156"/>
      <c r="N426" s="144"/>
      <c r="O426" s="852"/>
    </row>
    <row r="427" spans="1:15" s="157" customFormat="1">
      <c r="A427" s="254"/>
      <c r="B427" s="588"/>
      <c r="C427" s="152"/>
      <c r="D427" s="572"/>
      <c r="E427" s="144"/>
      <c r="F427" s="144"/>
      <c r="G427" s="145"/>
      <c r="H427" s="589"/>
      <c r="I427" s="155"/>
      <c r="J427" s="156"/>
      <c r="N427" s="144"/>
      <c r="O427" s="852"/>
    </row>
    <row r="428" spans="1:15" s="157" customFormat="1" ht="69">
      <c r="A428" s="254" t="s">
        <v>2658</v>
      </c>
      <c r="B428" s="752" t="s">
        <v>2585</v>
      </c>
      <c r="C428" s="152" t="s">
        <v>670</v>
      </c>
      <c r="D428" s="572">
        <v>2</v>
      </c>
      <c r="E428" s="144">
        <v>76</v>
      </c>
      <c r="F428" s="144">
        <f>IF((D428*E428)=0,"",(D428*E428))</f>
        <v>152</v>
      </c>
      <c r="G428" s="145"/>
      <c r="H428" s="589"/>
      <c r="I428" s="155"/>
      <c r="J428" s="156"/>
      <c r="N428" s="144"/>
      <c r="O428" s="852"/>
    </row>
    <row r="429" spans="1:15" s="157" customFormat="1">
      <c r="A429" s="254"/>
      <c r="B429" s="588"/>
      <c r="C429" s="152"/>
      <c r="D429" s="572"/>
      <c r="E429" s="144"/>
      <c r="F429" s="144"/>
      <c r="G429" s="145"/>
      <c r="H429" s="589"/>
      <c r="I429" s="155"/>
      <c r="J429" s="156"/>
      <c r="N429" s="144"/>
      <c r="O429" s="852"/>
    </row>
    <row r="430" spans="1:15" s="157" customFormat="1" ht="96.6">
      <c r="A430" s="254" t="s">
        <v>2659</v>
      </c>
      <c r="B430" s="752" t="s">
        <v>2591</v>
      </c>
      <c r="C430" s="152" t="s">
        <v>670</v>
      </c>
      <c r="D430" s="572">
        <v>2</v>
      </c>
      <c r="E430" s="144">
        <v>428</v>
      </c>
      <c r="F430" s="144">
        <f>IF((D430*E430)=0,"",(D430*E430))</f>
        <v>856</v>
      </c>
      <c r="G430" s="145"/>
      <c r="H430" s="589"/>
      <c r="I430" s="155"/>
      <c r="J430" s="156"/>
      <c r="N430" s="144"/>
      <c r="O430" s="852"/>
    </row>
    <row r="431" spans="1:15" s="157" customFormat="1">
      <c r="A431" s="254"/>
      <c r="B431" s="160"/>
      <c r="C431" s="152"/>
      <c r="D431" s="572"/>
      <c r="E431" s="144"/>
      <c r="F431" s="144"/>
      <c r="G431" s="145"/>
      <c r="H431" s="589"/>
      <c r="I431" s="155"/>
      <c r="J431" s="156"/>
      <c r="N431" s="144"/>
      <c r="O431" s="852"/>
    </row>
    <row r="432" spans="1:15" s="157" customFormat="1" ht="82.8">
      <c r="A432" s="254" t="s">
        <v>2660</v>
      </c>
      <c r="B432" s="752" t="s">
        <v>2593</v>
      </c>
      <c r="C432" s="152" t="s">
        <v>670</v>
      </c>
      <c r="D432" s="572">
        <v>2</v>
      </c>
      <c r="E432" s="144">
        <v>71</v>
      </c>
      <c r="F432" s="144">
        <f>IF((D432*E432)=0,"",(D432*E432))</f>
        <v>142</v>
      </c>
      <c r="G432" s="145"/>
      <c r="H432" s="589"/>
      <c r="I432" s="155"/>
      <c r="J432" s="156"/>
      <c r="N432" s="144"/>
      <c r="O432" s="852"/>
    </row>
    <row r="433" spans="1:15" s="157" customFormat="1">
      <c r="A433" s="254"/>
      <c r="B433" s="160"/>
      <c r="C433" s="152"/>
      <c r="D433" s="572"/>
      <c r="E433" s="144"/>
      <c r="F433" s="144"/>
      <c r="G433" s="145"/>
      <c r="H433" s="589"/>
      <c r="I433" s="155"/>
      <c r="J433" s="156"/>
      <c r="N433" s="144"/>
      <c r="O433" s="852"/>
    </row>
    <row r="434" spans="1:15" s="157" customFormat="1" ht="96.6">
      <c r="A434" s="254" t="s">
        <v>2661</v>
      </c>
      <c r="B434" s="752" t="s">
        <v>2587</v>
      </c>
      <c r="C434" s="152" t="s">
        <v>649</v>
      </c>
      <c r="D434" s="572">
        <v>2</v>
      </c>
      <c r="E434" s="144">
        <v>316</v>
      </c>
      <c r="F434" s="144">
        <f>IF((D434*E434)=0,"",(D434*E434))</f>
        <v>632</v>
      </c>
      <c r="G434" s="145"/>
      <c r="H434" s="589"/>
      <c r="I434" s="155"/>
      <c r="J434" s="156"/>
      <c r="N434" s="144"/>
      <c r="O434" s="852"/>
    </row>
    <row r="435" spans="1:15" s="157" customFormat="1">
      <c r="A435" s="254"/>
      <c r="B435" s="160"/>
      <c r="C435" s="152"/>
      <c r="D435" s="572"/>
      <c r="E435" s="144"/>
      <c r="F435" s="144"/>
      <c r="G435" s="145"/>
      <c r="H435" s="589"/>
      <c r="I435" s="155"/>
      <c r="J435" s="156"/>
      <c r="N435" s="144"/>
      <c r="O435" s="852"/>
    </row>
    <row r="436" spans="1:15" s="157" customFormat="1" ht="69">
      <c r="A436" s="254" t="s">
        <v>2662</v>
      </c>
      <c r="B436" s="752" t="s">
        <v>2664</v>
      </c>
      <c r="C436" s="152" t="s">
        <v>670</v>
      </c>
      <c r="D436" s="572">
        <v>2</v>
      </c>
      <c r="E436" s="144">
        <v>44</v>
      </c>
      <c r="F436" s="144">
        <f>IF((D436*E436)=0,"",(D436*E436))</f>
        <v>88</v>
      </c>
      <c r="G436" s="603"/>
      <c r="H436" s="589"/>
      <c r="I436" s="155"/>
      <c r="J436" s="156"/>
      <c r="N436" s="144"/>
      <c r="O436" s="852"/>
    </row>
    <row r="437" spans="1:15" s="157" customFormat="1">
      <c r="A437" s="254"/>
      <c r="B437" s="160"/>
      <c r="C437" s="152"/>
      <c r="D437" s="572"/>
      <c r="E437" s="144"/>
      <c r="F437" s="144"/>
      <c r="G437" s="145"/>
      <c r="H437" s="589"/>
      <c r="I437" s="155"/>
      <c r="J437" s="156"/>
      <c r="N437" s="144"/>
      <c r="O437" s="852"/>
    </row>
    <row r="438" spans="1:15" s="157" customFormat="1" ht="82.8">
      <c r="A438" s="254" t="s">
        <v>2663</v>
      </c>
      <c r="B438" s="752" t="s">
        <v>2595</v>
      </c>
      <c r="C438" s="152" t="s">
        <v>670</v>
      </c>
      <c r="D438" s="572">
        <v>2</v>
      </c>
      <c r="E438" s="144">
        <v>139</v>
      </c>
      <c r="F438" s="144">
        <f>IF((D438*E438)=0,"",(D438*E438))</f>
        <v>278</v>
      </c>
      <c r="G438" s="145"/>
      <c r="H438" s="589"/>
      <c r="I438" s="155"/>
      <c r="J438" s="156"/>
      <c r="N438" s="144"/>
      <c r="O438" s="852"/>
    </row>
    <row r="439" spans="1:15" s="157" customFormat="1">
      <c r="A439" s="254"/>
      <c r="B439" s="160"/>
      <c r="C439" s="152"/>
      <c r="D439" s="572"/>
      <c r="E439" s="144"/>
      <c r="F439" s="144"/>
      <c r="G439" s="145"/>
      <c r="H439" s="589"/>
      <c r="I439" s="155"/>
      <c r="J439" s="156"/>
      <c r="N439" s="144"/>
      <c r="O439" s="852"/>
    </row>
    <row r="440" spans="1:15" s="157" customFormat="1" ht="96.6">
      <c r="A440" s="254" t="s">
        <v>2665</v>
      </c>
      <c r="B440" s="752" t="s">
        <v>2597</v>
      </c>
      <c r="C440" s="152" t="s">
        <v>670</v>
      </c>
      <c r="D440" s="572">
        <v>2</v>
      </c>
      <c r="E440" s="144">
        <v>37</v>
      </c>
      <c r="F440" s="144">
        <f>IF((D440*E440)=0,"",(D440*E440))</f>
        <v>74</v>
      </c>
      <c r="G440" s="145"/>
      <c r="H440" s="589"/>
      <c r="I440" s="155"/>
      <c r="J440" s="156"/>
      <c r="N440" s="144"/>
      <c r="O440" s="852"/>
    </row>
    <row r="441" spans="1:15" s="157" customFormat="1">
      <c r="A441" s="254"/>
      <c r="B441" s="160"/>
      <c r="C441" s="152"/>
      <c r="D441" s="572"/>
      <c r="E441" s="144"/>
      <c r="F441" s="144"/>
      <c r="G441" s="145"/>
      <c r="H441" s="589"/>
      <c r="I441" s="155"/>
      <c r="J441" s="156"/>
      <c r="N441" s="144"/>
      <c r="O441" s="852"/>
    </row>
    <row r="442" spans="1:15" s="157" customFormat="1" ht="55.2">
      <c r="A442" s="254" t="s">
        <v>2666</v>
      </c>
      <c r="B442" s="752" t="s">
        <v>2599</v>
      </c>
      <c r="C442" s="152" t="s">
        <v>670</v>
      </c>
      <c r="D442" s="572">
        <v>2</v>
      </c>
      <c r="E442" s="144">
        <v>118</v>
      </c>
      <c r="F442" s="144">
        <f>IF((D442*E442)=0,"",(D442*E442))</f>
        <v>236</v>
      </c>
      <c r="G442" s="145"/>
      <c r="H442" s="589"/>
      <c r="I442" s="155"/>
      <c r="J442" s="156"/>
      <c r="N442" s="144"/>
      <c r="O442" s="852"/>
    </row>
    <row r="443" spans="1:15" s="157" customFormat="1">
      <c r="A443" s="254"/>
      <c r="B443" s="160"/>
      <c r="C443" s="152"/>
      <c r="D443" s="572"/>
      <c r="E443" s="144"/>
      <c r="F443" s="144"/>
      <c r="G443" s="145"/>
      <c r="H443" s="589"/>
      <c r="I443" s="155"/>
      <c r="J443" s="156"/>
      <c r="N443" s="144"/>
      <c r="O443" s="852"/>
    </row>
    <row r="444" spans="1:15" s="157" customFormat="1" ht="55.2">
      <c r="A444" s="254" t="s">
        <v>2667</v>
      </c>
      <c r="B444" s="752" t="s">
        <v>2601</v>
      </c>
      <c r="C444" s="152" t="s">
        <v>670</v>
      </c>
      <c r="D444" s="572">
        <v>2</v>
      </c>
      <c r="E444" s="144">
        <v>57</v>
      </c>
      <c r="F444" s="144">
        <f>IF((D444*E444)=0,"",(D444*E444))</f>
        <v>114</v>
      </c>
      <c r="G444" s="145"/>
      <c r="H444" s="589"/>
      <c r="I444" s="155"/>
      <c r="J444" s="156"/>
      <c r="N444" s="144"/>
      <c r="O444" s="852"/>
    </row>
    <row r="445" spans="1:15" s="157" customFormat="1">
      <c r="A445" s="254"/>
      <c r="B445" s="160"/>
      <c r="C445" s="152"/>
      <c r="D445" s="572"/>
      <c r="E445" s="144"/>
      <c r="F445" s="144"/>
      <c r="G445" s="145"/>
      <c r="H445" s="589"/>
      <c r="I445" s="155"/>
      <c r="J445" s="156"/>
      <c r="N445" s="144"/>
      <c r="O445" s="852"/>
    </row>
    <row r="446" spans="1:15" s="157" customFormat="1" ht="55.2">
      <c r="A446" s="254" t="s">
        <v>2668</v>
      </c>
      <c r="B446" s="752" t="s">
        <v>2603</v>
      </c>
      <c r="C446" s="152" t="s">
        <v>670</v>
      </c>
      <c r="D446" s="572">
        <v>2</v>
      </c>
      <c r="E446" s="144">
        <v>16</v>
      </c>
      <c r="F446" s="144">
        <f>IF((D446*E446)=0,"",(D446*E446))</f>
        <v>32</v>
      </c>
      <c r="G446" s="145"/>
      <c r="H446" s="589"/>
      <c r="I446" s="155"/>
      <c r="J446" s="156"/>
      <c r="N446" s="144"/>
      <c r="O446" s="852"/>
    </row>
    <row r="447" spans="1:15" s="157" customFormat="1">
      <c r="A447" s="254"/>
      <c r="B447" s="160"/>
      <c r="C447" s="152"/>
      <c r="D447" s="572"/>
      <c r="E447" s="144"/>
      <c r="F447" s="144"/>
      <c r="G447" s="145"/>
      <c r="H447" s="589"/>
      <c r="I447" s="155"/>
      <c r="J447" s="156"/>
      <c r="N447" s="144"/>
      <c r="O447" s="852"/>
    </row>
    <row r="448" spans="1:15" s="157" customFormat="1" ht="55.2">
      <c r="A448" s="254" t="s">
        <v>2669</v>
      </c>
      <c r="B448" s="752" t="s">
        <v>2605</v>
      </c>
      <c r="C448" s="152" t="s">
        <v>670</v>
      </c>
      <c r="D448" s="572">
        <v>2</v>
      </c>
      <c r="E448" s="144">
        <v>26</v>
      </c>
      <c r="F448" s="144">
        <f>IF((D448*E448)=0,"",(D448*E448))</f>
        <v>52</v>
      </c>
      <c r="G448" s="145"/>
      <c r="H448" s="589"/>
      <c r="I448" s="155"/>
      <c r="J448" s="156"/>
      <c r="N448" s="144"/>
      <c r="O448" s="852"/>
    </row>
    <row r="449" spans="1:15" s="157" customFormat="1">
      <c r="A449" s="254"/>
      <c r="B449" s="160"/>
      <c r="C449" s="152"/>
      <c r="D449" s="572"/>
      <c r="E449" s="144"/>
      <c r="F449" s="144"/>
      <c r="G449" s="145"/>
      <c r="H449" s="589"/>
      <c r="I449" s="155"/>
      <c r="J449" s="156"/>
      <c r="N449" s="144"/>
      <c r="O449" s="852"/>
    </row>
    <row r="450" spans="1:15" s="157" customFormat="1" ht="55.2">
      <c r="A450" s="254" t="s">
        <v>4145</v>
      </c>
      <c r="B450" s="752" t="s">
        <v>2607</v>
      </c>
      <c r="C450" s="152" t="s">
        <v>670</v>
      </c>
      <c r="D450" s="572">
        <v>2</v>
      </c>
      <c r="E450" s="144">
        <v>59</v>
      </c>
      <c r="F450" s="144">
        <f>IF((D450*E450)=0,"",(D450*E450))</f>
        <v>118</v>
      </c>
      <c r="G450" s="145"/>
      <c r="H450" s="589"/>
      <c r="I450" s="155"/>
      <c r="J450" s="156"/>
      <c r="N450" s="144"/>
      <c r="O450" s="852"/>
    </row>
    <row r="451" spans="1:15" s="157" customFormat="1">
      <c r="A451" s="254"/>
      <c r="B451" s="160"/>
      <c r="C451" s="564"/>
      <c r="D451" s="565"/>
      <c r="E451" s="923"/>
      <c r="F451" s="566"/>
      <c r="G451" s="145"/>
      <c r="H451" s="589"/>
      <c r="I451" s="155"/>
      <c r="J451" s="156"/>
      <c r="N451" s="566"/>
      <c r="O451" s="852"/>
    </row>
    <row r="452" spans="1:15" s="157" customFormat="1" ht="96.6">
      <c r="A452" s="254" t="s">
        <v>4146</v>
      </c>
      <c r="B452" s="752" t="s">
        <v>2670</v>
      </c>
      <c r="C452" s="152" t="s">
        <v>670</v>
      </c>
      <c r="D452" s="572">
        <v>2</v>
      </c>
      <c r="E452" s="144">
        <v>182</v>
      </c>
      <c r="F452" s="144">
        <f>IF((D452*E452)=0,"",(D452*E452))</f>
        <v>364</v>
      </c>
      <c r="G452" s="145"/>
      <c r="H452" s="589"/>
      <c r="I452" s="155"/>
      <c r="J452" s="156"/>
      <c r="N452" s="144"/>
      <c r="O452" s="852"/>
    </row>
    <row r="453" spans="1:15" s="157" customFormat="1">
      <c r="A453" s="254"/>
      <c r="B453" s="160"/>
      <c r="C453" s="152"/>
      <c r="D453" s="572"/>
      <c r="E453" s="144"/>
      <c r="F453" s="144"/>
      <c r="G453" s="145"/>
      <c r="H453" s="589"/>
      <c r="I453" s="155"/>
      <c r="J453" s="156"/>
      <c r="N453" s="144"/>
      <c r="O453" s="852"/>
    </row>
    <row r="454" spans="1:15" s="157" customFormat="1" ht="27.6">
      <c r="A454" s="254" t="s">
        <v>4147</v>
      </c>
      <c r="B454" s="752" t="s">
        <v>2671</v>
      </c>
      <c r="C454" s="152" t="s">
        <v>649</v>
      </c>
      <c r="D454" s="572">
        <v>2</v>
      </c>
      <c r="E454" s="144">
        <v>34</v>
      </c>
      <c r="F454" s="144">
        <f>IF((D454*E454)=0,"",(D454*E454))</f>
        <v>68</v>
      </c>
      <c r="G454" s="145"/>
      <c r="H454" s="589"/>
      <c r="I454" s="155"/>
      <c r="J454" s="156"/>
      <c r="N454" s="144"/>
      <c r="O454" s="852"/>
    </row>
    <row r="455" spans="1:15" s="157" customFormat="1">
      <c r="A455" s="254"/>
      <c r="B455" s="160"/>
      <c r="C455" s="152"/>
      <c r="D455" s="572"/>
      <c r="E455" s="144"/>
      <c r="F455" s="144"/>
      <c r="G455" s="145"/>
      <c r="H455" s="589"/>
      <c r="I455" s="155"/>
      <c r="J455" s="156"/>
      <c r="N455" s="144"/>
      <c r="O455" s="852"/>
    </row>
    <row r="456" spans="1:15" s="157" customFormat="1" ht="27.6">
      <c r="A456" s="254" t="s">
        <v>4148</v>
      </c>
      <c r="B456" s="752" t="s">
        <v>2672</v>
      </c>
      <c r="C456" s="152" t="s">
        <v>649</v>
      </c>
      <c r="D456" s="572">
        <v>2</v>
      </c>
      <c r="E456" s="144">
        <v>39</v>
      </c>
      <c r="F456" s="144">
        <f>IF((D456*E456)=0,"",(D456*E456))</f>
        <v>78</v>
      </c>
      <c r="G456" s="145"/>
      <c r="H456" s="589"/>
      <c r="I456" s="155"/>
      <c r="J456" s="156"/>
      <c r="N456" s="144"/>
      <c r="O456" s="852"/>
    </row>
    <row r="457" spans="1:15" s="157" customFormat="1">
      <c r="A457" s="254"/>
      <c r="B457" s="160"/>
      <c r="C457" s="152"/>
      <c r="D457" s="572"/>
      <c r="E457" s="144"/>
      <c r="F457" s="144"/>
      <c r="G457" s="145"/>
      <c r="H457" s="589"/>
      <c r="I457" s="155"/>
      <c r="J457" s="156"/>
      <c r="N457" s="144"/>
      <c r="O457" s="852"/>
    </row>
    <row r="458" spans="1:15" s="157" customFormat="1" ht="55.2">
      <c r="A458" s="254" t="s">
        <v>4149</v>
      </c>
      <c r="B458" s="752" t="s">
        <v>2673</v>
      </c>
      <c r="C458" s="152" t="s">
        <v>670</v>
      </c>
      <c r="D458" s="572">
        <v>2</v>
      </c>
      <c r="E458" s="144">
        <v>270</v>
      </c>
      <c r="F458" s="144">
        <f>IF((D458*E458)=0,"",(D458*E458))</f>
        <v>540</v>
      </c>
      <c r="G458" s="145"/>
      <c r="H458" s="589"/>
      <c r="I458" s="155"/>
      <c r="J458" s="156"/>
      <c r="N458" s="144"/>
      <c r="O458" s="852"/>
    </row>
    <row r="459" spans="1:15" s="157" customFormat="1">
      <c r="A459" s="254"/>
      <c r="B459" s="160"/>
      <c r="C459" s="152"/>
      <c r="D459" s="572"/>
      <c r="E459" s="144"/>
      <c r="F459" s="144"/>
      <c r="G459" s="145"/>
      <c r="H459" s="589"/>
      <c r="I459" s="155"/>
      <c r="J459" s="156"/>
      <c r="N459" s="144"/>
      <c r="O459" s="852"/>
    </row>
    <row r="460" spans="1:15" s="157" customFormat="1" ht="55.2">
      <c r="A460" s="254" t="s">
        <v>4150</v>
      </c>
      <c r="B460" s="510" t="s">
        <v>2523</v>
      </c>
      <c r="C460" s="152" t="s">
        <v>649</v>
      </c>
      <c r="D460" s="572">
        <v>2</v>
      </c>
      <c r="E460" s="144">
        <v>16</v>
      </c>
      <c r="F460" s="144">
        <f>IF((D460*E460)=0,"",(D460*E460))</f>
        <v>32</v>
      </c>
      <c r="G460" s="145"/>
      <c r="H460" s="589"/>
      <c r="I460" s="155"/>
      <c r="J460" s="156"/>
      <c r="N460" s="144"/>
      <c r="O460" s="852"/>
    </row>
    <row r="461" spans="1:15" s="157" customFormat="1">
      <c r="A461" s="254"/>
      <c r="B461" s="510"/>
      <c r="C461" s="152"/>
      <c r="D461" s="572"/>
      <c r="E461" s="144"/>
      <c r="F461" s="144"/>
      <c r="G461" s="145"/>
      <c r="H461" s="589"/>
      <c r="I461" s="155"/>
      <c r="J461" s="156"/>
      <c r="N461" s="144"/>
      <c r="O461" s="852"/>
    </row>
    <row r="462" spans="1:15" s="157" customFormat="1" ht="27.6">
      <c r="A462" s="254" t="s">
        <v>4151</v>
      </c>
      <c r="B462" s="510" t="s">
        <v>2618</v>
      </c>
      <c r="C462" s="152" t="s">
        <v>649</v>
      </c>
      <c r="D462" s="572">
        <v>2</v>
      </c>
      <c r="E462" s="144">
        <v>18</v>
      </c>
      <c r="F462" s="144">
        <f>IF((D462*E462)=0,"",(D462*E462))</f>
        <v>36</v>
      </c>
      <c r="G462" s="145"/>
      <c r="H462" s="589"/>
      <c r="I462" s="155"/>
      <c r="J462" s="156"/>
      <c r="N462" s="144"/>
      <c r="O462" s="852"/>
    </row>
    <row r="463" spans="1:15" s="157" customFormat="1">
      <c r="A463" s="595"/>
      <c r="B463" s="596"/>
      <c r="C463" s="597"/>
      <c r="D463" s="598"/>
      <c r="E463" s="599"/>
      <c r="F463" s="599"/>
      <c r="G463" s="145"/>
      <c r="H463" s="589"/>
      <c r="I463" s="155"/>
      <c r="J463" s="156"/>
      <c r="N463" s="599"/>
      <c r="O463" s="852"/>
    </row>
    <row r="464" spans="1:15" s="157" customFormat="1" ht="27.6">
      <c r="A464" s="269" t="str">
        <f>A330</f>
        <v>A.3.</v>
      </c>
      <c r="B464" s="754" t="str">
        <f>CONCATENATE(B330," ", "UKUPNO:")</f>
        <v>SKUPNE JEDINICE VRTIĆA (STARIJA I PREDŠKOLSKA VRTIĆKA SKUPINA) UKUPNO:</v>
      </c>
      <c r="C464" s="152"/>
      <c r="D464" s="572"/>
      <c r="E464" s="144"/>
      <c r="F464" s="670">
        <f>SUM(F332:F463)</f>
        <v>27900</v>
      </c>
      <c r="G464" s="145"/>
      <c r="H464" s="589"/>
      <c r="I464" s="155"/>
      <c r="J464" s="156"/>
      <c r="N464" s="144"/>
      <c r="O464" s="852"/>
    </row>
    <row r="465" spans="1:15" s="157" customFormat="1">
      <c r="A465" s="254"/>
      <c r="B465" s="274"/>
      <c r="C465" s="569"/>
      <c r="D465" s="568"/>
      <c r="E465" s="924"/>
      <c r="F465" s="569"/>
      <c r="G465" s="145"/>
      <c r="H465" s="589"/>
      <c r="I465" s="155"/>
      <c r="J465" s="156"/>
      <c r="N465" s="878"/>
      <c r="O465" s="852"/>
    </row>
    <row r="466" spans="1:15" s="157" customFormat="1">
      <c r="A466" s="254"/>
      <c r="B466" s="274"/>
      <c r="C466" s="564"/>
      <c r="D466" s="565"/>
      <c r="E466" s="925"/>
      <c r="F466" s="566"/>
      <c r="G466" s="145"/>
      <c r="H466" s="589"/>
      <c r="I466" s="155"/>
      <c r="J466" s="156"/>
      <c r="N466" s="566"/>
      <c r="O466" s="852"/>
    </row>
    <row r="467" spans="1:15" s="149" customFormat="1">
      <c r="A467" s="581" t="s">
        <v>1001</v>
      </c>
      <c r="B467" s="582" t="s">
        <v>4845</v>
      </c>
      <c r="C467" s="583"/>
      <c r="D467" s="584"/>
      <c r="E467" s="585"/>
      <c r="F467" s="586"/>
      <c r="G467" s="145"/>
      <c r="H467" s="146"/>
      <c r="I467" s="147"/>
      <c r="J467" s="148"/>
      <c r="L467" s="579"/>
      <c r="N467" s="585"/>
      <c r="O467" s="852"/>
    </row>
    <row r="468" spans="1:15" s="157" customFormat="1">
      <c r="A468" s="254"/>
      <c r="B468" s="159"/>
      <c r="C468" s="152"/>
      <c r="D468" s="572"/>
      <c r="E468" s="144"/>
      <c r="F468" s="144"/>
      <c r="G468" s="153"/>
      <c r="H468" s="154"/>
      <c r="I468" s="155"/>
      <c r="J468" s="156"/>
      <c r="L468" s="162"/>
      <c r="N468" s="144"/>
      <c r="O468" s="852"/>
    </row>
    <row r="469" spans="1:15" s="157" customFormat="1" ht="276">
      <c r="A469" s="254" t="s">
        <v>1002</v>
      </c>
      <c r="B469" s="604" t="s">
        <v>5106</v>
      </c>
      <c r="C469" s="152" t="s">
        <v>649</v>
      </c>
      <c r="D469" s="572">
        <v>16</v>
      </c>
      <c r="E469" s="144">
        <v>360</v>
      </c>
      <c r="F469" s="144">
        <f>IF((D469*E469)=0,"",(D469*E469))</f>
        <v>5760</v>
      </c>
      <c r="G469" s="153"/>
      <c r="H469" s="154"/>
      <c r="I469" s="155"/>
      <c r="J469" s="156"/>
      <c r="L469" s="162"/>
      <c r="N469" s="144"/>
      <c r="O469" s="852"/>
    </row>
    <row r="470" spans="1:15" s="157" customFormat="1">
      <c r="A470" s="254"/>
      <c r="B470" s="604"/>
      <c r="C470" s="152"/>
      <c r="D470" s="572"/>
      <c r="E470" s="144"/>
      <c r="F470" s="144"/>
      <c r="G470" s="153"/>
      <c r="H470" s="154"/>
      <c r="I470" s="155"/>
      <c r="J470" s="156"/>
      <c r="L470" s="162"/>
      <c r="N470" s="144"/>
      <c r="O470" s="852"/>
    </row>
    <row r="471" spans="1:15" s="157" customFormat="1" ht="27.6">
      <c r="A471" s="254" t="s">
        <v>1128</v>
      </c>
      <c r="B471" s="605" t="s">
        <v>2674</v>
      </c>
      <c r="C471" s="152" t="s">
        <v>649</v>
      </c>
      <c r="D471" s="572">
        <v>28</v>
      </c>
      <c r="E471" s="144">
        <v>2</v>
      </c>
      <c r="F471" s="144">
        <f>IF((D471*E471)=0,"",(D471*E471))</f>
        <v>56</v>
      </c>
      <c r="G471" s="153"/>
      <c r="H471" s="154"/>
      <c r="I471" s="155"/>
      <c r="J471" s="156"/>
      <c r="L471" s="162"/>
      <c r="N471" s="144"/>
      <c r="O471" s="852"/>
    </row>
    <row r="472" spans="1:15" s="149" customFormat="1">
      <c r="A472" s="269"/>
      <c r="B472" s="755"/>
      <c r="C472" s="152"/>
      <c r="D472" s="572"/>
      <c r="E472" s="144"/>
      <c r="F472" s="144" t="str">
        <f>IF((D472*E472)=0,"",(D472*E472))</f>
        <v/>
      </c>
      <c r="G472" s="153"/>
      <c r="H472" s="171"/>
      <c r="I472" s="172"/>
      <c r="J472" s="148"/>
      <c r="N472" s="144"/>
      <c r="O472" s="852"/>
    </row>
    <row r="473" spans="1:15" s="157" customFormat="1" ht="193.2">
      <c r="A473" s="254" t="s">
        <v>1129</v>
      </c>
      <c r="B473" s="605" t="s">
        <v>5107</v>
      </c>
      <c r="C473" s="152" t="s">
        <v>649</v>
      </c>
      <c r="D473" s="572">
        <v>20</v>
      </c>
      <c r="E473" s="144">
        <v>75</v>
      </c>
      <c r="F473" s="144">
        <f>IF((D473*E473)=0,"",(D473*E473))</f>
        <v>1500</v>
      </c>
      <c r="G473" s="153"/>
      <c r="H473" s="154"/>
      <c r="I473" s="155"/>
      <c r="J473" s="156"/>
      <c r="L473" s="162"/>
      <c r="N473" s="144"/>
      <c r="O473" s="852"/>
    </row>
    <row r="474" spans="1:15" s="157" customFormat="1">
      <c r="A474" s="254"/>
      <c r="B474" s="605"/>
      <c r="C474" s="152"/>
      <c r="D474" s="572"/>
      <c r="E474" s="144"/>
      <c r="F474" s="144"/>
      <c r="G474" s="603"/>
      <c r="H474" s="154"/>
      <c r="I474" s="155"/>
      <c r="J474" s="156"/>
      <c r="L474" s="162"/>
      <c r="N474" s="144"/>
      <c r="O474" s="852"/>
    </row>
    <row r="475" spans="1:15" s="157" customFormat="1" ht="409.6">
      <c r="A475" s="254" t="s">
        <v>1130</v>
      </c>
      <c r="B475" s="605" t="s">
        <v>4847</v>
      </c>
      <c r="C475" s="152" t="s">
        <v>649</v>
      </c>
      <c r="D475" s="572">
        <v>11</v>
      </c>
      <c r="E475" s="144">
        <v>680</v>
      </c>
      <c r="F475" s="144">
        <f>IF((D475*E475)=0,"",(D475*E475))</f>
        <v>7480</v>
      </c>
      <c r="G475" s="603"/>
      <c r="H475" s="154"/>
      <c r="I475" s="155"/>
      <c r="J475" s="156"/>
      <c r="L475" s="162"/>
      <c r="N475" s="144"/>
      <c r="O475" s="852"/>
    </row>
    <row r="476" spans="1:15" s="157" customFormat="1" ht="96.6">
      <c r="A476" s="254"/>
      <c r="B476" s="605" t="s">
        <v>5108</v>
      </c>
      <c r="C476" s="152"/>
      <c r="D476" s="572"/>
      <c r="E476" s="144"/>
      <c r="F476" s="144"/>
      <c r="G476" s="603"/>
      <c r="H476" s="154"/>
      <c r="I476" s="155"/>
      <c r="J476" s="156"/>
      <c r="L476" s="162"/>
      <c r="N476" s="144"/>
      <c r="O476" s="852"/>
    </row>
    <row r="477" spans="1:15" s="157" customFormat="1" ht="82.8">
      <c r="A477" s="254"/>
      <c r="B477" s="605" t="s">
        <v>4846</v>
      </c>
      <c r="C477" s="152"/>
      <c r="D477" s="572"/>
      <c r="E477" s="144"/>
      <c r="F477" s="144"/>
      <c r="G477" s="603"/>
      <c r="H477" s="154"/>
      <c r="I477" s="155"/>
      <c r="J477" s="156"/>
      <c r="L477" s="162"/>
      <c r="N477" s="144"/>
      <c r="O477" s="852"/>
    </row>
    <row r="478" spans="1:15" s="157" customFormat="1">
      <c r="A478" s="254"/>
      <c r="B478" s="605"/>
      <c r="C478" s="152"/>
      <c r="D478" s="572"/>
      <c r="E478" s="144"/>
      <c r="F478" s="144"/>
      <c r="G478" s="603"/>
      <c r="H478" s="154"/>
      <c r="I478" s="155"/>
      <c r="J478" s="156"/>
      <c r="L478" s="162"/>
      <c r="N478" s="144"/>
      <c r="O478" s="852"/>
    </row>
    <row r="479" spans="1:15" s="157" customFormat="1" ht="41.4">
      <c r="A479" s="254" t="s">
        <v>2675</v>
      </c>
      <c r="B479" s="605" t="s">
        <v>2677</v>
      </c>
      <c r="C479" s="564" t="s">
        <v>649</v>
      </c>
      <c r="D479" s="565">
        <v>11</v>
      </c>
      <c r="E479" s="566">
        <v>35</v>
      </c>
      <c r="F479" s="566">
        <f>IF((D479*E479)=0,"",(D479*E479))</f>
        <v>385</v>
      </c>
      <c r="G479" s="593"/>
      <c r="H479" s="154"/>
      <c r="I479" s="155"/>
      <c r="J479" s="156"/>
      <c r="L479" s="162"/>
      <c r="N479" s="566"/>
      <c r="O479" s="852"/>
    </row>
    <row r="480" spans="1:15" s="157" customFormat="1">
      <c r="A480" s="254"/>
      <c r="B480" s="605"/>
      <c r="C480" s="564"/>
      <c r="D480" s="565"/>
      <c r="E480" s="566"/>
      <c r="F480" s="566"/>
      <c r="G480" s="593"/>
      <c r="H480" s="154"/>
      <c r="I480" s="155"/>
      <c r="J480" s="156"/>
      <c r="L480" s="162"/>
      <c r="N480" s="566"/>
      <c r="O480" s="852"/>
    </row>
    <row r="481" spans="1:15" s="157" customFormat="1" ht="27.6">
      <c r="A481" s="254" t="s">
        <v>2676</v>
      </c>
      <c r="B481" s="605" t="s">
        <v>2679</v>
      </c>
      <c r="C481" s="564" t="s">
        <v>649</v>
      </c>
      <c r="D481" s="565">
        <v>5</v>
      </c>
      <c r="E481" s="566">
        <v>54</v>
      </c>
      <c r="F481" s="566">
        <f>IF((D481*E481)=0,"",(D481*E481))</f>
        <v>270</v>
      </c>
      <c r="G481" s="593"/>
      <c r="H481" s="154"/>
      <c r="I481" s="155"/>
      <c r="J481" s="156"/>
      <c r="L481" s="162"/>
      <c r="N481" s="566"/>
      <c r="O481" s="852"/>
    </row>
    <row r="482" spans="1:15" s="157" customFormat="1">
      <c r="A482" s="254"/>
      <c r="B482" s="605"/>
      <c r="C482" s="152"/>
      <c r="D482" s="572"/>
      <c r="E482" s="144"/>
      <c r="F482" s="144"/>
      <c r="G482" s="603"/>
      <c r="H482" s="154"/>
      <c r="I482" s="155"/>
      <c r="J482" s="156"/>
      <c r="L482" s="162"/>
      <c r="N482" s="144"/>
      <c r="O482" s="852"/>
    </row>
    <row r="483" spans="1:15" s="157" customFormat="1" ht="82.8">
      <c r="A483" s="254" t="s">
        <v>2678</v>
      </c>
      <c r="B483" s="749" t="s">
        <v>2491</v>
      </c>
      <c r="C483" s="564" t="s">
        <v>649</v>
      </c>
      <c r="D483" s="565">
        <v>8</v>
      </c>
      <c r="E483" s="566">
        <v>78</v>
      </c>
      <c r="F483" s="566">
        <f>IF((D483*E483)=0,"",(D483*E483))</f>
        <v>624</v>
      </c>
      <c r="G483" s="593"/>
      <c r="H483" s="154"/>
      <c r="I483" s="155"/>
      <c r="J483" s="156"/>
      <c r="L483" s="162"/>
      <c r="N483" s="566"/>
      <c r="O483" s="852"/>
    </row>
    <row r="484" spans="1:15" s="157" customFormat="1">
      <c r="A484" s="254"/>
      <c r="B484" s="605"/>
      <c r="C484" s="152"/>
      <c r="D484" s="572"/>
      <c r="E484" s="144"/>
      <c r="F484" s="144"/>
      <c r="G484" s="603"/>
      <c r="H484" s="154"/>
      <c r="I484" s="155"/>
      <c r="J484" s="156"/>
      <c r="L484" s="162"/>
      <c r="N484" s="144"/>
      <c r="O484" s="852"/>
    </row>
    <row r="485" spans="1:15" s="157" customFormat="1" ht="41.4">
      <c r="A485" s="254" t="s">
        <v>2680</v>
      </c>
      <c r="B485" s="605" t="s">
        <v>3144</v>
      </c>
      <c r="C485" s="564" t="s">
        <v>649</v>
      </c>
      <c r="D485" s="565">
        <v>20</v>
      </c>
      <c r="E485" s="566">
        <v>3.5</v>
      </c>
      <c r="F485" s="566">
        <f>IF((D485*E485)=0,"",(D485*E485))</f>
        <v>70</v>
      </c>
      <c r="G485" s="593"/>
      <c r="H485" s="154"/>
      <c r="I485" s="155"/>
      <c r="J485" s="156"/>
      <c r="L485" s="162"/>
      <c r="N485" s="566"/>
      <c r="O485" s="852"/>
    </row>
    <row r="486" spans="1:15" s="157" customFormat="1">
      <c r="A486" s="254"/>
      <c r="B486" s="605"/>
      <c r="C486" s="564"/>
      <c r="D486" s="565"/>
      <c r="E486" s="566"/>
      <c r="F486" s="566"/>
      <c r="G486" s="593"/>
      <c r="H486" s="154"/>
      <c r="I486" s="155"/>
      <c r="J486" s="156"/>
      <c r="L486" s="162"/>
      <c r="N486" s="566"/>
      <c r="O486" s="852"/>
    </row>
    <row r="487" spans="1:15" s="157" customFormat="1" ht="331.2">
      <c r="A487" s="254" t="s">
        <v>2681</v>
      </c>
      <c r="B487" s="606" t="s">
        <v>4154</v>
      </c>
      <c r="C487" s="152" t="s">
        <v>649</v>
      </c>
      <c r="D487" s="572">
        <v>5</v>
      </c>
      <c r="E487" s="144">
        <v>388</v>
      </c>
      <c r="F487" s="144">
        <f>IF((D487*E487)=0,"",(D487*E487))</f>
        <v>1940</v>
      </c>
      <c r="G487" s="593"/>
      <c r="H487" s="154"/>
      <c r="I487" s="155"/>
      <c r="J487" s="156"/>
      <c r="L487" s="162"/>
      <c r="N487" s="144"/>
      <c r="O487" s="852"/>
    </row>
    <row r="488" spans="1:15" s="157" customFormat="1">
      <c r="A488" s="595"/>
      <c r="B488" s="596"/>
      <c r="C488" s="597"/>
      <c r="D488" s="598"/>
      <c r="E488" s="599"/>
      <c r="F488" s="599"/>
      <c r="G488" s="153"/>
      <c r="H488" s="154"/>
      <c r="I488" s="155"/>
      <c r="J488" s="156"/>
      <c r="L488" s="162"/>
      <c r="N488" s="599"/>
      <c r="O488" s="852"/>
    </row>
    <row r="489" spans="1:15" s="157" customFormat="1">
      <c r="A489" s="269" t="str">
        <f>A467</f>
        <v>A.4.</v>
      </c>
      <c r="B489" s="753" t="str">
        <f>CONCATENATE(B467," ", "UKUPNO:")</f>
        <v>GARDEROBE I SANITARIJE - JASLIČKE SKUPINE UKUPNO:</v>
      </c>
      <c r="C489" s="152"/>
      <c r="D489" s="572"/>
      <c r="E489" s="144"/>
      <c r="F489" s="670">
        <f>SUM(F469:F488)</f>
        <v>18085</v>
      </c>
      <c r="G489" s="153"/>
      <c r="H489" s="154"/>
      <c r="I489" s="155"/>
      <c r="J489" s="156"/>
      <c r="L489" s="162"/>
      <c r="N489" s="144"/>
      <c r="O489" s="852"/>
    </row>
    <row r="490" spans="1:15" s="157" customFormat="1">
      <c r="A490" s="254"/>
      <c r="B490" s="159"/>
      <c r="C490" s="152"/>
      <c r="D490" s="572"/>
      <c r="E490" s="144"/>
      <c r="F490" s="144"/>
      <c r="G490" s="153"/>
      <c r="H490" s="154"/>
      <c r="I490" s="155"/>
      <c r="J490" s="156"/>
      <c r="L490" s="162"/>
      <c r="N490" s="144"/>
      <c r="O490" s="852"/>
    </row>
    <row r="491" spans="1:15" s="157" customFormat="1">
      <c r="A491" s="254"/>
      <c r="B491" s="159"/>
      <c r="C491" s="152"/>
      <c r="D491" s="572"/>
      <c r="E491" s="144"/>
      <c r="F491" s="144"/>
      <c r="G491" s="153"/>
      <c r="H491" s="154"/>
      <c r="I491" s="155"/>
      <c r="J491" s="156"/>
      <c r="L491" s="162"/>
      <c r="N491" s="144"/>
      <c r="O491" s="852"/>
    </row>
    <row r="492" spans="1:15" s="157" customFormat="1">
      <c r="A492" s="581" t="s">
        <v>1003</v>
      </c>
      <c r="B492" s="582" t="s">
        <v>4152</v>
      </c>
      <c r="C492" s="583"/>
      <c r="D492" s="584"/>
      <c r="E492" s="585"/>
      <c r="F492" s="586"/>
      <c r="G492" s="145"/>
      <c r="H492" s="154"/>
      <c r="I492" s="155"/>
      <c r="J492" s="156"/>
      <c r="L492" s="162"/>
      <c r="N492" s="585"/>
      <c r="O492" s="852"/>
    </row>
    <row r="493" spans="1:15" s="157" customFormat="1">
      <c r="A493" s="254"/>
      <c r="B493" s="159"/>
      <c r="C493" s="152"/>
      <c r="D493" s="572"/>
      <c r="E493" s="144"/>
      <c r="F493" s="144"/>
      <c r="G493" s="153"/>
      <c r="H493" s="154"/>
      <c r="I493" s="155"/>
      <c r="J493" s="156"/>
      <c r="L493" s="162"/>
      <c r="N493" s="144"/>
      <c r="O493" s="852"/>
    </row>
    <row r="494" spans="1:15" s="157" customFormat="1" ht="303.60000000000002">
      <c r="A494" s="254" t="s">
        <v>1004</v>
      </c>
      <c r="B494" s="604" t="s">
        <v>5109</v>
      </c>
      <c r="C494" s="152" t="s">
        <v>649</v>
      </c>
      <c r="D494" s="572">
        <v>20</v>
      </c>
      <c r="E494" s="144">
        <v>350</v>
      </c>
      <c r="F494" s="144">
        <f>IF((D494*E494)=0,"",(D494*E494))</f>
        <v>7000</v>
      </c>
      <c r="G494" s="153"/>
      <c r="H494" s="154"/>
      <c r="I494" s="155"/>
      <c r="J494" s="156"/>
      <c r="L494" s="162"/>
      <c r="N494" s="144"/>
      <c r="O494" s="852"/>
    </row>
    <row r="495" spans="1:15" s="157" customFormat="1">
      <c r="A495" s="254"/>
      <c r="B495" s="604"/>
      <c r="C495" s="152"/>
      <c r="D495" s="572"/>
      <c r="E495" s="144"/>
      <c r="F495" s="144"/>
      <c r="G495" s="153"/>
      <c r="H495" s="154"/>
      <c r="I495" s="155"/>
      <c r="J495" s="156"/>
      <c r="L495" s="162"/>
      <c r="N495" s="144"/>
      <c r="O495" s="852"/>
    </row>
    <row r="496" spans="1:15" s="157" customFormat="1" ht="27.6">
      <c r="A496" s="254" t="s">
        <v>1005</v>
      </c>
      <c r="B496" s="605" t="s">
        <v>2674</v>
      </c>
      <c r="C496" s="152" t="s">
        <v>649</v>
      </c>
      <c r="D496" s="572">
        <v>48</v>
      </c>
      <c r="E496" s="144">
        <v>2</v>
      </c>
      <c r="F496" s="144">
        <f>IF((D496*E496)=0,"",(D496*E496))</f>
        <v>96</v>
      </c>
      <c r="G496" s="153"/>
      <c r="H496" s="154"/>
      <c r="I496" s="155"/>
      <c r="J496" s="156"/>
      <c r="L496" s="162"/>
      <c r="N496" s="144"/>
      <c r="O496" s="852"/>
    </row>
    <row r="497" spans="1:15" s="157" customFormat="1">
      <c r="A497" s="269"/>
      <c r="B497" s="755"/>
      <c r="C497" s="152"/>
      <c r="D497" s="572"/>
      <c r="E497" s="144"/>
      <c r="F497" s="144" t="str">
        <f>IF((D497*E497)=0,"",(D497*E497))</f>
        <v/>
      </c>
      <c r="G497" s="153"/>
      <c r="H497" s="154"/>
      <c r="I497" s="155"/>
      <c r="J497" s="156"/>
      <c r="L497" s="162"/>
      <c r="N497" s="144"/>
      <c r="O497" s="852"/>
    </row>
    <row r="498" spans="1:15" s="157" customFormat="1" ht="193.2">
      <c r="A498" s="254" t="s">
        <v>1006</v>
      </c>
      <c r="B498" s="605" t="s">
        <v>5107</v>
      </c>
      <c r="C498" s="152" t="s">
        <v>649</v>
      </c>
      <c r="D498" s="572">
        <v>15</v>
      </c>
      <c r="E498" s="144">
        <v>80</v>
      </c>
      <c r="F498" s="144">
        <f>IF((D498*E498)=0,"",(D498*E498))</f>
        <v>1200</v>
      </c>
      <c r="G498" s="603"/>
      <c r="H498" s="154"/>
      <c r="I498" s="155"/>
      <c r="J498" s="156"/>
      <c r="L498" s="162"/>
      <c r="N498" s="144"/>
      <c r="O498" s="852"/>
    </row>
    <row r="499" spans="1:15" s="157" customFormat="1">
      <c r="A499" s="254"/>
      <c r="B499" s="605"/>
      <c r="C499" s="152"/>
      <c r="D499" s="572"/>
      <c r="E499" s="144"/>
      <c r="F499" s="144"/>
      <c r="G499" s="603"/>
      <c r="H499" s="154"/>
      <c r="I499" s="155"/>
      <c r="J499" s="156"/>
      <c r="L499" s="162"/>
      <c r="N499" s="144"/>
      <c r="O499" s="852"/>
    </row>
    <row r="500" spans="1:15" s="157" customFormat="1" ht="317.39999999999998">
      <c r="A500" s="254" t="s">
        <v>1007</v>
      </c>
      <c r="B500" s="605" t="s">
        <v>5110</v>
      </c>
      <c r="C500" s="152" t="s">
        <v>649</v>
      </c>
      <c r="D500" s="572">
        <v>4</v>
      </c>
      <c r="E500" s="144">
        <v>400</v>
      </c>
      <c r="F500" s="144">
        <f>IF((D500*E500)=0,"",(D500*E500))</f>
        <v>1600</v>
      </c>
      <c r="G500" s="603"/>
      <c r="H500" s="154"/>
      <c r="I500" s="155"/>
      <c r="J500" s="156"/>
      <c r="L500" s="162"/>
      <c r="N500" s="144"/>
      <c r="O500" s="852"/>
    </row>
    <row r="501" spans="1:15" s="157" customFormat="1">
      <c r="A501" s="254"/>
      <c r="B501" s="605"/>
      <c r="C501" s="152"/>
      <c r="D501" s="572"/>
      <c r="E501" s="144"/>
      <c r="F501" s="144"/>
      <c r="G501" s="603"/>
      <c r="H501" s="154"/>
      <c r="I501" s="155"/>
      <c r="J501" s="156"/>
      <c r="L501" s="162"/>
      <c r="N501" s="144"/>
      <c r="O501" s="852"/>
    </row>
    <row r="502" spans="1:15" s="157" customFormat="1" ht="41.4">
      <c r="A502" s="254" t="s">
        <v>1638</v>
      </c>
      <c r="B502" s="605" t="s">
        <v>3145</v>
      </c>
      <c r="C502" s="564" t="s">
        <v>649</v>
      </c>
      <c r="D502" s="565">
        <v>4</v>
      </c>
      <c r="E502" s="566">
        <v>54</v>
      </c>
      <c r="F502" s="566">
        <f>IF((D502*E502)=0,"",(D502*E502))</f>
        <v>216</v>
      </c>
      <c r="G502" s="593"/>
      <c r="H502" s="154"/>
      <c r="I502" s="155"/>
      <c r="J502" s="156"/>
      <c r="L502" s="162"/>
      <c r="N502" s="566"/>
      <c r="O502" s="852"/>
    </row>
    <row r="503" spans="1:15" s="157" customFormat="1">
      <c r="A503" s="254"/>
      <c r="B503" s="605"/>
      <c r="C503" s="152"/>
      <c r="D503" s="572"/>
      <c r="E503" s="144"/>
      <c r="F503" s="144"/>
      <c r="G503" s="603"/>
      <c r="H503" s="154"/>
      <c r="I503" s="155"/>
      <c r="J503" s="156"/>
      <c r="L503" s="162"/>
      <c r="N503" s="144"/>
      <c r="O503" s="852"/>
    </row>
    <row r="504" spans="1:15" s="157" customFormat="1" ht="82.8">
      <c r="A504" s="254" t="s">
        <v>1639</v>
      </c>
      <c r="B504" s="749" t="s">
        <v>2491</v>
      </c>
      <c r="C504" s="564" t="s">
        <v>649</v>
      </c>
      <c r="D504" s="565">
        <v>8</v>
      </c>
      <c r="E504" s="566">
        <v>78</v>
      </c>
      <c r="F504" s="566">
        <f>IF((D504*E504)=0,"",(D504*E504))</f>
        <v>624</v>
      </c>
      <c r="G504" s="593"/>
      <c r="H504" s="154"/>
      <c r="I504" s="155"/>
      <c r="J504" s="156"/>
      <c r="L504" s="162"/>
      <c r="N504" s="566"/>
      <c r="O504" s="852"/>
    </row>
    <row r="505" spans="1:15" s="157" customFormat="1">
      <c r="A505" s="254"/>
      <c r="B505" s="605"/>
      <c r="C505" s="152"/>
      <c r="D505" s="572"/>
      <c r="E505" s="144"/>
      <c r="F505" s="144"/>
      <c r="G505" s="603"/>
      <c r="H505" s="154"/>
      <c r="I505" s="155"/>
      <c r="J505" s="156"/>
      <c r="L505" s="162"/>
      <c r="N505" s="144"/>
      <c r="O505" s="852"/>
    </row>
    <row r="506" spans="1:15" s="157" customFormat="1" ht="27.6">
      <c r="A506" s="254" t="s">
        <v>1644</v>
      </c>
      <c r="B506" s="605" t="s">
        <v>2682</v>
      </c>
      <c r="C506" s="564" t="s">
        <v>649</v>
      </c>
      <c r="D506" s="565">
        <v>13</v>
      </c>
      <c r="E506" s="566">
        <v>3.5</v>
      </c>
      <c r="F506" s="566">
        <f>IF((D506*E506)=0,"",(D506*E506))</f>
        <v>45.5</v>
      </c>
      <c r="G506" s="593"/>
      <c r="H506" s="154"/>
      <c r="I506" s="155"/>
      <c r="J506" s="156"/>
      <c r="L506" s="162"/>
      <c r="N506" s="566"/>
      <c r="O506" s="852"/>
    </row>
    <row r="507" spans="1:15" s="157" customFormat="1">
      <c r="A507" s="254"/>
      <c r="B507" s="605"/>
      <c r="C507" s="564"/>
      <c r="D507" s="565"/>
      <c r="E507" s="566"/>
      <c r="F507" s="566"/>
      <c r="G507" s="593"/>
      <c r="H507" s="154"/>
      <c r="I507" s="155"/>
      <c r="J507" s="156"/>
      <c r="L507" s="162"/>
      <c r="N507" s="566"/>
      <c r="O507" s="852"/>
    </row>
    <row r="508" spans="1:15" s="157" customFormat="1" ht="331.2">
      <c r="A508" s="254" t="s">
        <v>1645</v>
      </c>
      <c r="B508" s="606" t="s">
        <v>4155</v>
      </c>
      <c r="C508" s="152" t="s">
        <v>649</v>
      </c>
      <c r="D508" s="572">
        <v>8</v>
      </c>
      <c r="E508" s="144">
        <v>300</v>
      </c>
      <c r="F508" s="144">
        <f>IF((D508*E508)=0,"",(D508*E508))</f>
        <v>2400</v>
      </c>
      <c r="G508" s="593"/>
      <c r="H508" s="154"/>
      <c r="I508" s="155"/>
      <c r="J508" s="156"/>
      <c r="L508" s="162"/>
      <c r="N508" s="144"/>
      <c r="O508" s="852"/>
    </row>
    <row r="509" spans="1:15" s="157" customFormat="1">
      <c r="A509" s="254"/>
      <c r="B509" s="604"/>
      <c r="C509" s="152"/>
      <c r="D509" s="572"/>
      <c r="E509" s="144"/>
      <c r="F509" s="144"/>
      <c r="G509" s="593"/>
      <c r="H509" s="154"/>
      <c r="I509" s="155"/>
      <c r="J509" s="156"/>
      <c r="L509" s="162"/>
      <c r="N509" s="144"/>
      <c r="O509" s="852"/>
    </row>
    <row r="510" spans="1:15" s="157" customFormat="1" ht="165.6">
      <c r="A510" s="254" t="s">
        <v>4153</v>
      </c>
      <c r="B510" s="612" t="s">
        <v>4823</v>
      </c>
      <c r="C510" s="152" t="s">
        <v>649</v>
      </c>
      <c r="D510" s="572">
        <v>2</v>
      </c>
      <c r="E510" s="144">
        <v>192</v>
      </c>
      <c r="F510" s="144">
        <f t="shared" ref="F510" si="0">IF((D510*E510)=0,"",(D510*E510))</f>
        <v>384</v>
      </c>
      <c r="G510" s="593"/>
      <c r="H510" s="154"/>
      <c r="I510" s="155"/>
      <c r="J510" s="156"/>
      <c r="L510" s="162"/>
      <c r="N510" s="144"/>
      <c r="O510" s="852"/>
    </row>
    <row r="511" spans="1:15" s="157" customFormat="1">
      <c r="A511" s="254"/>
      <c r="B511" s="612"/>
      <c r="C511" s="152"/>
      <c r="D511" s="572"/>
      <c r="E511" s="144"/>
      <c r="F511" s="144"/>
      <c r="G511" s="593"/>
      <c r="H511" s="154"/>
      <c r="I511" s="155"/>
      <c r="J511" s="156"/>
      <c r="L511" s="162"/>
      <c r="N511" s="144"/>
      <c r="O511" s="852"/>
    </row>
    <row r="512" spans="1:15" s="157" customFormat="1" ht="96.6">
      <c r="A512" s="254" t="s">
        <v>4207</v>
      </c>
      <c r="B512" s="274" t="s">
        <v>4811</v>
      </c>
      <c r="C512" s="879" t="s">
        <v>649</v>
      </c>
      <c r="D512" s="572">
        <v>2</v>
      </c>
      <c r="E512" s="144">
        <v>196</v>
      </c>
      <c r="F512" s="144">
        <f t="shared" ref="F512" si="1">IF((D512*E512)=0,"",(D512*E512))</f>
        <v>392</v>
      </c>
      <c r="G512" s="593"/>
      <c r="H512" s="154"/>
      <c r="I512" s="155"/>
      <c r="J512" s="156"/>
      <c r="L512" s="162"/>
      <c r="N512" s="144"/>
      <c r="O512" s="852"/>
    </row>
    <row r="513" spans="1:15" s="157" customFormat="1">
      <c r="A513" s="595"/>
      <c r="B513" s="596"/>
      <c r="C513" s="597"/>
      <c r="D513" s="598"/>
      <c r="E513" s="599"/>
      <c r="F513" s="599"/>
      <c r="G513" s="153"/>
      <c r="H513" s="154"/>
      <c r="I513" s="155"/>
      <c r="J513" s="156"/>
      <c r="L513" s="162"/>
      <c r="N513" s="599"/>
      <c r="O513" s="852"/>
    </row>
    <row r="514" spans="1:15" s="157" customFormat="1">
      <c r="A514" s="269" t="str">
        <f>A492</f>
        <v>A.5.</v>
      </c>
      <c r="B514" s="753" t="str">
        <f>CONCATENATE(B492," ", "UKUPNO:")</f>
        <v>GARDEROBE I SANITARIJE  - VRTIĆKE SKUPINE UKUPNO:</v>
      </c>
      <c r="C514" s="152"/>
      <c r="D514" s="572"/>
      <c r="E514" s="144"/>
      <c r="F514" s="670">
        <f>SUM(F494:F513)</f>
        <v>13957.5</v>
      </c>
      <c r="G514" s="153"/>
      <c r="H514" s="154"/>
      <c r="I514" s="155"/>
      <c r="J514" s="156"/>
      <c r="L514" s="162"/>
      <c r="N514" s="144"/>
      <c r="O514" s="852"/>
    </row>
    <row r="515" spans="1:15" s="157" customFormat="1">
      <c r="A515" s="269"/>
      <c r="B515" s="753"/>
      <c r="C515" s="152"/>
      <c r="D515" s="572"/>
      <c r="E515" s="144"/>
      <c r="F515" s="205"/>
      <c r="G515" s="153"/>
      <c r="H515" s="154"/>
      <c r="I515" s="155"/>
      <c r="J515" s="156"/>
      <c r="L515" s="162"/>
      <c r="N515" s="144"/>
      <c r="O515" s="852"/>
    </row>
    <row r="516" spans="1:15" s="157" customFormat="1" ht="14.4" thickBot="1">
      <c r="A516" s="607"/>
      <c r="B516" s="608"/>
      <c r="C516" s="609"/>
      <c r="D516" s="610"/>
      <c r="E516" s="611"/>
      <c r="F516" s="611"/>
      <c r="G516" s="153"/>
      <c r="H516" s="154"/>
      <c r="I516" s="155"/>
      <c r="J516" s="156"/>
      <c r="L516" s="162"/>
      <c r="N516" s="611"/>
      <c r="O516" s="852"/>
    </row>
    <row r="517" spans="1:15" s="157" customFormat="1">
      <c r="A517" s="269" t="str">
        <f>A77</f>
        <v>A.</v>
      </c>
      <c r="B517" s="753" t="str">
        <f>CONCATENATE(B77," ", "SVEUKUPNO:")</f>
        <v>SKUPNE JEDINICE, GARDEROBE I SANITARIJE SVEUKUPNO:</v>
      </c>
      <c r="C517" s="152"/>
      <c r="D517" s="572"/>
      <c r="E517" s="144"/>
      <c r="F517" s="670">
        <f>SUM(F186,F327,F464,F489,F514)</f>
        <v>155471</v>
      </c>
      <c r="G517" s="153"/>
      <c r="H517" s="154"/>
      <c r="I517" s="155"/>
      <c r="J517" s="156"/>
      <c r="L517" s="162"/>
      <c r="N517" s="144"/>
      <c r="O517" s="852"/>
    </row>
    <row r="518" spans="1:15" s="157" customFormat="1">
      <c r="A518" s="269"/>
      <c r="B518" s="753"/>
      <c r="C518" s="152"/>
      <c r="D518" s="572"/>
      <c r="E518" s="144"/>
      <c r="F518" s="205"/>
      <c r="G518" s="153"/>
      <c r="H518" s="154"/>
      <c r="I518" s="155"/>
      <c r="J518" s="156"/>
      <c r="L518" s="162"/>
      <c r="N518" s="144"/>
      <c r="O518" s="852"/>
    </row>
    <row r="519" spans="1:15" s="157" customFormat="1">
      <c r="A519" s="269"/>
      <c r="B519" s="753"/>
      <c r="C519" s="152"/>
      <c r="D519" s="572"/>
      <c r="E519" s="144"/>
      <c r="F519" s="205"/>
      <c r="G519" s="153"/>
      <c r="H519" s="154"/>
      <c r="I519" s="155"/>
      <c r="J519" s="156"/>
      <c r="L519" s="162"/>
      <c r="N519" s="144"/>
      <c r="O519" s="852"/>
    </row>
    <row r="520" spans="1:15" s="157" customFormat="1" ht="14.4" thickBot="1">
      <c r="A520" s="269"/>
      <c r="B520" s="753"/>
      <c r="C520" s="152"/>
      <c r="D520" s="572"/>
      <c r="E520" s="144"/>
      <c r="F520" s="205"/>
      <c r="G520" s="153"/>
      <c r="H520" s="154"/>
      <c r="I520" s="155"/>
      <c r="J520" s="156"/>
      <c r="L520" s="162"/>
      <c r="N520" s="144"/>
      <c r="O520" s="852"/>
    </row>
    <row r="521" spans="1:15" s="157" customFormat="1" ht="14.4" thickBot="1">
      <c r="A521" s="573" t="s">
        <v>750</v>
      </c>
      <c r="B521" s="574" t="s">
        <v>2683</v>
      </c>
      <c r="C521" s="575"/>
      <c r="D521" s="576"/>
      <c r="E521" s="577"/>
      <c r="F521" s="578"/>
      <c r="G521" s="153"/>
      <c r="H521" s="154"/>
      <c r="I521" s="155"/>
      <c r="J521" s="156"/>
      <c r="L521" s="162"/>
      <c r="N521" s="577"/>
      <c r="O521" s="852"/>
    </row>
    <row r="522" spans="1:15" s="157" customFormat="1">
      <c r="A522" s="269"/>
      <c r="B522" s="753"/>
      <c r="C522" s="152"/>
      <c r="D522" s="572"/>
      <c r="E522" s="144"/>
      <c r="F522" s="205"/>
      <c r="G522" s="153"/>
      <c r="H522" s="154"/>
      <c r="I522" s="155"/>
      <c r="J522" s="156"/>
      <c r="L522" s="162"/>
      <c r="N522" s="144"/>
      <c r="O522" s="852"/>
    </row>
    <row r="523" spans="1:15" s="157" customFormat="1">
      <c r="A523" s="269"/>
      <c r="B523" s="753"/>
      <c r="C523" s="152"/>
      <c r="D523" s="572"/>
      <c r="E523" s="144"/>
      <c r="F523" s="205"/>
      <c r="G523" s="153"/>
      <c r="H523" s="154"/>
      <c r="I523" s="155"/>
      <c r="J523" s="156"/>
      <c r="L523" s="162"/>
      <c r="N523" s="144"/>
      <c r="O523" s="852"/>
    </row>
    <row r="524" spans="1:15" s="157" customFormat="1">
      <c r="A524" s="581" t="s">
        <v>1017</v>
      </c>
      <c r="B524" s="582" t="s">
        <v>2684</v>
      </c>
      <c r="C524" s="583"/>
      <c r="D524" s="584"/>
      <c r="E524" s="585"/>
      <c r="F524" s="586"/>
      <c r="G524" s="153"/>
      <c r="H524" s="154"/>
      <c r="I524" s="155"/>
      <c r="J524" s="156"/>
      <c r="L524" s="162"/>
      <c r="N524" s="585"/>
      <c r="O524" s="852"/>
    </row>
    <row r="525" spans="1:15" s="157" customFormat="1">
      <c r="A525" s="254"/>
      <c r="B525" s="159"/>
      <c r="C525" s="152"/>
      <c r="D525" s="572"/>
      <c r="E525" s="144"/>
      <c r="F525" s="144"/>
      <c r="G525" s="153"/>
      <c r="H525" s="154"/>
      <c r="I525" s="155"/>
      <c r="J525" s="156"/>
      <c r="L525" s="162"/>
      <c r="N525" s="144"/>
      <c r="O525" s="852"/>
    </row>
    <row r="526" spans="1:15" s="157" customFormat="1" ht="82.8">
      <c r="A526" s="254" t="s">
        <v>1010</v>
      </c>
      <c r="B526" s="762" t="s">
        <v>4198</v>
      </c>
      <c r="C526" s="152" t="s">
        <v>670</v>
      </c>
      <c r="D526" s="572">
        <v>1</v>
      </c>
      <c r="E526" s="144">
        <v>182</v>
      </c>
      <c r="F526" s="144">
        <f t="shared" ref="F526" si="2">IF((D526*E526)=0,"",(D526*E526))</f>
        <v>182</v>
      </c>
      <c r="G526" s="153"/>
      <c r="H526" s="154"/>
      <c r="I526" s="155"/>
      <c r="J526" s="156"/>
      <c r="L526" s="162"/>
      <c r="N526" s="144"/>
      <c r="O526" s="852"/>
    </row>
    <row r="527" spans="1:15" s="157" customFormat="1">
      <c r="A527" s="254"/>
      <c r="B527" s="762"/>
      <c r="C527" s="152"/>
      <c r="D527" s="572"/>
      <c r="E527" s="144"/>
      <c r="F527" s="144"/>
      <c r="G527" s="153"/>
      <c r="H527" s="154"/>
      <c r="I527" s="155"/>
      <c r="J527" s="156"/>
      <c r="L527" s="162"/>
      <c r="N527" s="144"/>
      <c r="O527" s="852"/>
    </row>
    <row r="528" spans="1:15" s="157" customFormat="1" ht="69">
      <c r="A528" s="254" t="s">
        <v>1011</v>
      </c>
      <c r="B528" s="762" t="s">
        <v>5672</v>
      </c>
      <c r="C528" s="152" t="s">
        <v>649</v>
      </c>
      <c r="D528" s="572">
        <v>1</v>
      </c>
      <c r="E528" s="144">
        <v>459</v>
      </c>
      <c r="F528" s="144">
        <f t="shared" ref="F528" si="3">IF((D528*E528)=0,"",(D528*E528))</f>
        <v>459</v>
      </c>
      <c r="G528" s="153"/>
      <c r="H528" s="154"/>
      <c r="I528" s="155"/>
      <c r="J528" s="156"/>
      <c r="L528" s="162"/>
      <c r="N528" s="144"/>
      <c r="O528" s="852"/>
    </row>
    <row r="529" spans="1:15" s="157" customFormat="1">
      <c r="A529" s="254"/>
      <c r="B529" s="762"/>
      <c r="C529" s="152"/>
      <c r="D529" s="572"/>
      <c r="E529" s="144"/>
      <c r="F529" s="144"/>
      <c r="G529" s="153"/>
      <c r="H529" s="154"/>
      <c r="I529" s="155"/>
      <c r="J529" s="156"/>
      <c r="L529" s="162"/>
      <c r="N529" s="144"/>
      <c r="O529" s="852"/>
    </row>
    <row r="530" spans="1:15" s="157" customFormat="1" ht="193.2">
      <c r="A530" s="254" t="s">
        <v>1012</v>
      </c>
      <c r="B530" s="770" t="s">
        <v>4197</v>
      </c>
      <c r="C530" s="152" t="s">
        <v>649</v>
      </c>
      <c r="D530" s="572">
        <v>60</v>
      </c>
      <c r="E530" s="144">
        <v>24</v>
      </c>
      <c r="F530" s="144">
        <f t="shared" ref="F530" si="4">IF((D530*E530)=0,"",(D530*E530))</f>
        <v>1440</v>
      </c>
      <c r="G530" s="153"/>
      <c r="H530" s="154"/>
      <c r="I530" s="155"/>
      <c r="J530" s="156"/>
      <c r="L530" s="162"/>
      <c r="N530" s="144"/>
      <c r="O530" s="852"/>
    </row>
    <row r="531" spans="1:15" s="157" customFormat="1">
      <c r="A531" s="254"/>
      <c r="B531" s="770"/>
      <c r="C531" s="152"/>
      <c r="D531" s="572"/>
      <c r="E531" s="144"/>
      <c r="F531" s="144"/>
      <c r="G531" s="153"/>
      <c r="H531" s="154"/>
      <c r="I531" s="155"/>
      <c r="J531" s="156"/>
      <c r="L531" s="162"/>
      <c r="N531" s="144"/>
      <c r="O531" s="852"/>
    </row>
    <row r="532" spans="1:15" s="157" customFormat="1" ht="41.4">
      <c r="A532" s="254" t="s">
        <v>1013</v>
      </c>
      <c r="B532" s="770" t="s">
        <v>4200</v>
      </c>
      <c r="C532" s="152" t="s">
        <v>649</v>
      </c>
      <c r="D532" s="572">
        <v>4</v>
      </c>
      <c r="E532" s="144">
        <v>125</v>
      </c>
      <c r="F532" s="144">
        <f t="shared" ref="F532" si="5">IF((D532*E532)=0,"",(D532*E532))</f>
        <v>500</v>
      </c>
      <c r="G532" s="153"/>
      <c r="H532" s="154"/>
      <c r="I532" s="155"/>
      <c r="J532" s="156"/>
      <c r="L532" s="162"/>
      <c r="N532" s="144"/>
      <c r="O532" s="852"/>
    </row>
    <row r="533" spans="1:15" s="157" customFormat="1">
      <c r="A533" s="254"/>
      <c r="B533" s="770"/>
      <c r="C533" s="152"/>
      <c r="D533" s="572"/>
      <c r="E533" s="144"/>
      <c r="F533" s="144"/>
      <c r="G533" s="153"/>
      <c r="H533" s="154"/>
      <c r="I533" s="155"/>
      <c r="J533" s="156"/>
      <c r="L533" s="162"/>
      <c r="N533" s="144"/>
      <c r="O533" s="852"/>
    </row>
    <row r="534" spans="1:15" s="157" customFormat="1" ht="55.2">
      <c r="A534" s="254" t="s">
        <v>1014</v>
      </c>
      <c r="B534" s="770" t="s">
        <v>2685</v>
      </c>
      <c r="C534" s="152" t="s">
        <v>649</v>
      </c>
      <c r="D534" s="572">
        <v>1</v>
      </c>
      <c r="E534" s="144">
        <v>459</v>
      </c>
      <c r="F534" s="144">
        <f t="shared" ref="F534" si="6">IF((D534*E534)=0,"",(D534*E534))</f>
        <v>459</v>
      </c>
      <c r="G534" s="153"/>
      <c r="H534" s="154"/>
      <c r="I534" s="155"/>
      <c r="J534" s="156"/>
      <c r="L534" s="162"/>
      <c r="N534" s="144"/>
      <c r="O534" s="852"/>
    </row>
    <row r="535" spans="1:15" s="157" customFormat="1">
      <c r="A535" s="254"/>
      <c r="B535" s="770"/>
      <c r="C535" s="152"/>
      <c r="D535" s="572"/>
      <c r="E535" s="144"/>
      <c r="F535" s="144"/>
      <c r="G535" s="153"/>
      <c r="H535" s="154"/>
      <c r="I535" s="155"/>
      <c r="J535" s="156"/>
      <c r="L535" s="162"/>
      <c r="N535" s="144"/>
      <c r="O535" s="852"/>
    </row>
    <row r="536" spans="1:15" s="157" customFormat="1" ht="110.4">
      <c r="A536" s="254" t="s">
        <v>1015</v>
      </c>
      <c r="B536" s="770" t="s">
        <v>2686</v>
      </c>
      <c r="C536" s="152" t="s">
        <v>670</v>
      </c>
      <c r="D536" s="572">
        <v>1</v>
      </c>
      <c r="E536" s="144">
        <v>760</v>
      </c>
      <c r="F536" s="144">
        <f t="shared" ref="F536" si="7">IF((D536*E536)=0,"",(D536*E536))</f>
        <v>760</v>
      </c>
      <c r="G536" s="153"/>
      <c r="H536" s="154"/>
      <c r="I536" s="155"/>
      <c r="J536" s="156"/>
      <c r="L536" s="162"/>
      <c r="N536" s="144"/>
      <c r="O536" s="852"/>
    </row>
    <row r="537" spans="1:15" s="157" customFormat="1">
      <c r="A537" s="254"/>
      <c r="B537" s="770"/>
      <c r="C537" s="152"/>
      <c r="D537" s="572"/>
      <c r="E537" s="144"/>
      <c r="F537" s="144"/>
      <c r="G537" s="153"/>
      <c r="H537" s="154"/>
      <c r="I537" s="155"/>
      <c r="J537" s="156"/>
      <c r="L537" s="162"/>
      <c r="N537" s="144"/>
      <c r="O537" s="852"/>
    </row>
    <row r="538" spans="1:15" s="157" customFormat="1" ht="82.8">
      <c r="A538" s="254" t="s">
        <v>1016</v>
      </c>
      <c r="B538" s="770" t="s">
        <v>3146</v>
      </c>
      <c r="C538" s="152" t="s">
        <v>670</v>
      </c>
      <c r="D538" s="572">
        <v>1</v>
      </c>
      <c r="E538" s="144">
        <v>878</v>
      </c>
      <c r="F538" s="144">
        <f t="shared" ref="F538" si="8">IF((D538*E538)=0,"",(D538*E538))</f>
        <v>878</v>
      </c>
      <c r="G538" s="153"/>
      <c r="H538" s="154"/>
      <c r="I538" s="155"/>
      <c r="J538" s="156"/>
      <c r="L538" s="162"/>
      <c r="N538" s="144"/>
      <c r="O538" s="852"/>
    </row>
    <row r="539" spans="1:15" s="157" customFormat="1">
      <c r="A539" s="254"/>
      <c r="B539" s="762"/>
      <c r="C539" s="152"/>
      <c r="D539" s="572"/>
      <c r="E539" s="144"/>
      <c r="F539" s="144"/>
      <c r="G539" s="153"/>
      <c r="H539" s="154"/>
      <c r="I539" s="155"/>
      <c r="J539" s="156"/>
      <c r="L539" s="162"/>
      <c r="N539" s="144"/>
      <c r="O539" s="852"/>
    </row>
    <row r="540" spans="1:15" s="157" customFormat="1" ht="55.2">
      <c r="A540" s="254" t="s">
        <v>1053</v>
      </c>
      <c r="B540" s="762" t="s">
        <v>4199</v>
      </c>
      <c r="C540" s="152" t="s">
        <v>649</v>
      </c>
      <c r="D540" s="572">
        <v>2</v>
      </c>
      <c r="E540" s="144">
        <v>145</v>
      </c>
      <c r="F540" s="144">
        <f t="shared" ref="F540" si="9">IF((D540*E540)=0,"",(D540*E540))</f>
        <v>290</v>
      </c>
      <c r="G540" s="153"/>
      <c r="H540" s="154"/>
      <c r="I540" s="155"/>
      <c r="J540" s="156"/>
      <c r="L540" s="162"/>
      <c r="N540" s="144"/>
      <c r="O540" s="852"/>
    </row>
    <row r="541" spans="1:15" s="157" customFormat="1">
      <c r="A541" s="254"/>
      <c r="B541" s="770"/>
      <c r="C541" s="152"/>
      <c r="D541" s="572"/>
      <c r="E541" s="144"/>
      <c r="F541" s="144"/>
      <c r="G541" s="153"/>
      <c r="H541" s="154"/>
      <c r="I541" s="155"/>
      <c r="J541" s="156"/>
      <c r="L541" s="162"/>
      <c r="N541" s="144"/>
      <c r="O541" s="852"/>
    </row>
    <row r="542" spans="1:15" s="157" customFormat="1" ht="55.2">
      <c r="A542" s="254" t="s">
        <v>1054</v>
      </c>
      <c r="B542" s="770" t="s">
        <v>5159</v>
      </c>
      <c r="C542" s="152" t="s">
        <v>649</v>
      </c>
      <c r="D542" s="572">
        <v>1</v>
      </c>
      <c r="E542" s="144">
        <v>210</v>
      </c>
      <c r="F542" s="144">
        <f t="shared" ref="F542" si="10">IF((D542*E542)=0,"",(D542*E542))</f>
        <v>210</v>
      </c>
      <c r="G542" s="153"/>
      <c r="H542" s="154"/>
      <c r="I542" s="155"/>
      <c r="J542" s="156"/>
      <c r="L542" s="162"/>
      <c r="N542" s="144"/>
      <c r="O542" s="852"/>
    </row>
    <row r="543" spans="1:15" s="157" customFormat="1">
      <c r="A543" s="254"/>
      <c r="B543" s="744"/>
      <c r="C543" s="152"/>
      <c r="D543" s="572"/>
      <c r="E543" s="144"/>
      <c r="F543" s="144"/>
      <c r="G543" s="153"/>
      <c r="H543" s="154"/>
      <c r="I543" s="155"/>
      <c r="J543" s="156"/>
      <c r="L543" s="162"/>
      <c r="N543" s="144"/>
      <c r="O543" s="852"/>
    </row>
    <row r="544" spans="1:15" s="157" customFormat="1" ht="82.8">
      <c r="A544" s="254" t="s">
        <v>1055</v>
      </c>
      <c r="B544" s="762" t="s">
        <v>2698</v>
      </c>
      <c r="C544" s="152" t="s">
        <v>649</v>
      </c>
      <c r="D544" s="572">
        <v>5</v>
      </c>
      <c r="E544" s="144">
        <v>78</v>
      </c>
      <c r="F544" s="144">
        <f t="shared" ref="F544" si="11">IF((D544*E544)=0,"",(D544*E544))</f>
        <v>390</v>
      </c>
      <c r="G544" s="153"/>
      <c r="H544" s="154"/>
      <c r="I544" s="155"/>
      <c r="J544" s="156"/>
      <c r="L544" s="162"/>
      <c r="N544" s="144"/>
      <c r="O544" s="852"/>
    </row>
    <row r="545" spans="1:15" s="157" customFormat="1">
      <c r="A545" s="254"/>
      <c r="B545" s="744"/>
      <c r="C545" s="152"/>
      <c r="D545" s="572"/>
      <c r="E545" s="144"/>
      <c r="F545" s="144"/>
      <c r="G545" s="153"/>
      <c r="H545" s="154"/>
      <c r="I545" s="155"/>
      <c r="J545" s="156"/>
      <c r="L545" s="162"/>
      <c r="N545" s="144"/>
      <c r="O545" s="852"/>
    </row>
    <row r="546" spans="1:15" s="157" customFormat="1" ht="41.4">
      <c r="A546" s="254" t="s">
        <v>1724</v>
      </c>
      <c r="B546" s="588" t="s">
        <v>2496</v>
      </c>
      <c r="C546" s="152" t="s">
        <v>649</v>
      </c>
      <c r="D546" s="572">
        <v>1</v>
      </c>
      <c r="E546" s="144">
        <v>29</v>
      </c>
      <c r="F546" s="144">
        <f>IF((D546*E546)=0,"",(D546*E546))</f>
        <v>29</v>
      </c>
      <c r="G546" s="153"/>
      <c r="H546" s="154"/>
      <c r="I546" s="155"/>
      <c r="J546" s="156"/>
      <c r="L546" s="162"/>
      <c r="N546" s="144"/>
      <c r="O546" s="852"/>
    </row>
    <row r="547" spans="1:15" s="157" customFormat="1">
      <c r="A547" s="254"/>
      <c r="B547" s="744"/>
      <c r="C547" s="152"/>
      <c r="D547" s="572"/>
      <c r="E547" s="144"/>
      <c r="F547" s="144"/>
      <c r="G547" s="153"/>
      <c r="H547" s="154"/>
      <c r="I547" s="155"/>
      <c r="J547" s="156"/>
      <c r="L547" s="162"/>
      <c r="N547" s="144"/>
      <c r="O547" s="852"/>
    </row>
    <row r="548" spans="1:15" s="157" customFormat="1" ht="41.4">
      <c r="A548" s="254" t="s">
        <v>1738</v>
      </c>
      <c r="B548" s="744" t="s">
        <v>2699</v>
      </c>
      <c r="C548" s="152" t="s">
        <v>649</v>
      </c>
      <c r="D548" s="572">
        <v>1</v>
      </c>
      <c r="E548" s="144">
        <v>16</v>
      </c>
      <c r="F548" s="144">
        <f t="shared" ref="F548" si="12">IF((D548*E548)=0,"",(D548*E548))</f>
        <v>16</v>
      </c>
      <c r="G548" s="153"/>
      <c r="H548" s="154"/>
      <c r="I548" s="155"/>
      <c r="J548" s="156"/>
      <c r="L548" s="162"/>
      <c r="N548" s="144"/>
      <c r="O548" s="852"/>
    </row>
    <row r="549" spans="1:15" s="157" customFormat="1">
      <c r="A549" s="254"/>
      <c r="B549" s="744"/>
      <c r="C549" s="152"/>
      <c r="D549" s="572"/>
      <c r="E549" s="144"/>
      <c r="F549" s="144"/>
      <c r="G549" s="153"/>
      <c r="H549" s="154"/>
      <c r="I549" s="155"/>
      <c r="J549" s="156"/>
      <c r="L549" s="162"/>
      <c r="N549" s="144"/>
      <c r="O549" s="852"/>
    </row>
    <row r="550" spans="1:15" s="157" customFormat="1" ht="55.2">
      <c r="A550" s="254" t="s">
        <v>1739</v>
      </c>
      <c r="B550" s="744" t="s">
        <v>2700</v>
      </c>
      <c r="C550" s="152" t="s">
        <v>649</v>
      </c>
      <c r="D550" s="572">
        <v>1</v>
      </c>
      <c r="E550" s="144">
        <v>18</v>
      </c>
      <c r="F550" s="144">
        <f t="shared" ref="F550" si="13">IF((D550*E550)=0,"",(D550*E550))</f>
        <v>18</v>
      </c>
      <c r="G550" s="153"/>
      <c r="H550" s="154"/>
      <c r="I550" s="155"/>
      <c r="J550" s="156"/>
      <c r="L550" s="162"/>
      <c r="N550" s="144"/>
      <c r="O550" s="852"/>
    </row>
    <row r="551" spans="1:15" s="157" customFormat="1">
      <c r="A551" s="254"/>
      <c r="B551" s="744"/>
      <c r="C551" s="152"/>
      <c r="D551" s="572"/>
      <c r="E551" s="144"/>
      <c r="F551" s="144"/>
      <c r="G551" s="153"/>
      <c r="H551" s="154"/>
      <c r="I551" s="155"/>
      <c r="J551" s="156"/>
      <c r="L551" s="162"/>
      <c r="N551" s="144"/>
      <c r="O551" s="852"/>
    </row>
    <row r="552" spans="1:15" s="157" customFormat="1" ht="124.2">
      <c r="A552" s="254" t="s">
        <v>2689</v>
      </c>
      <c r="B552" s="744" t="s">
        <v>4812</v>
      </c>
      <c r="C552" s="152" t="s">
        <v>670</v>
      </c>
      <c r="D552" s="572">
        <v>1</v>
      </c>
      <c r="E552" s="144">
        <v>338</v>
      </c>
      <c r="F552" s="144">
        <f t="shared" ref="F552" si="14">IF((D552*E552)=0,"",(D552*E552))</f>
        <v>338</v>
      </c>
      <c r="G552" s="153"/>
      <c r="H552" s="154"/>
      <c r="I552" s="155"/>
      <c r="J552" s="156"/>
      <c r="L552" s="162"/>
      <c r="N552" s="144"/>
      <c r="O552" s="852"/>
    </row>
    <row r="553" spans="1:15" s="157" customFormat="1">
      <c r="A553" s="254"/>
      <c r="B553" s="744"/>
      <c r="C553" s="152"/>
      <c r="D553" s="572"/>
      <c r="E553" s="144"/>
      <c r="F553" s="144"/>
      <c r="G553" s="153"/>
      <c r="H553" s="154"/>
      <c r="I553" s="155"/>
      <c r="J553" s="156"/>
      <c r="L553" s="162"/>
      <c r="N553" s="144"/>
      <c r="O553" s="852"/>
    </row>
    <row r="554" spans="1:15" s="157" customFormat="1" ht="138">
      <c r="A554" s="254" t="s">
        <v>2690</v>
      </c>
      <c r="B554" s="744" t="s">
        <v>5160</v>
      </c>
      <c r="C554" s="152" t="s">
        <v>670</v>
      </c>
      <c r="D554" s="572">
        <v>1</v>
      </c>
      <c r="E554" s="144">
        <v>351</v>
      </c>
      <c r="F554" s="144">
        <f t="shared" ref="F554" si="15">IF((D554*E554)=0,"",(D554*E554))</f>
        <v>351</v>
      </c>
      <c r="G554" s="153"/>
      <c r="H554" s="154"/>
      <c r="I554" s="155"/>
      <c r="J554" s="156"/>
      <c r="L554" s="162"/>
      <c r="N554" s="144"/>
      <c r="O554" s="852"/>
    </row>
    <row r="555" spans="1:15" s="157" customFormat="1">
      <c r="A555" s="254"/>
      <c r="B555" s="744"/>
      <c r="C555" s="152"/>
      <c r="D555" s="572"/>
      <c r="E555" s="144"/>
      <c r="F555" s="144"/>
      <c r="G555" s="153"/>
      <c r="H555" s="154"/>
      <c r="I555" s="155"/>
      <c r="J555" s="156"/>
      <c r="L555" s="162"/>
      <c r="N555" s="144"/>
      <c r="O555" s="852"/>
    </row>
    <row r="556" spans="1:15" s="157" customFormat="1" ht="138">
      <c r="A556" s="254" t="s">
        <v>2691</v>
      </c>
      <c r="B556" s="744" t="s">
        <v>5161</v>
      </c>
      <c r="C556" s="152" t="s">
        <v>670</v>
      </c>
      <c r="D556" s="572">
        <v>1</v>
      </c>
      <c r="E556" s="144">
        <v>344</v>
      </c>
      <c r="F556" s="144">
        <f t="shared" ref="F556" si="16">IF((D556*E556)=0,"",(D556*E556))</f>
        <v>344</v>
      </c>
      <c r="G556" s="153"/>
      <c r="H556" s="154"/>
      <c r="I556" s="155"/>
      <c r="J556" s="156"/>
      <c r="L556" s="162"/>
      <c r="N556" s="144"/>
      <c r="O556" s="852"/>
    </row>
    <row r="557" spans="1:15" s="157" customFormat="1">
      <c r="A557" s="595"/>
      <c r="B557" s="596"/>
      <c r="C557" s="597"/>
      <c r="D557" s="598"/>
      <c r="E557" s="599"/>
      <c r="F557" s="599"/>
      <c r="G557" s="153"/>
      <c r="H557" s="154"/>
      <c r="I557" s="155"/>
      <c r="J557" s="156"/>
      <c r="L557" s="162"/>
      <c r="N557" s="599"/>
      <c r="O557" s="852"/>
    </row>
    <row r="558" spans="1:15" s="157" customFormat="1">
      <c r="A558" s="269" t="str">
        <f>A524</f>
        <v>B.1.</v>
      </c>
      <c r="B558" s="753" t="str">
        <f>CONCATENATE(B524," ", "UKUPNO:")</f>
        <v>PROSTOR VIŠE NAMJENA UKUPNO:</v>
      </c>
      <c r="C558" s="152"/>
      <c r="D558" s="572"/>
      <c r="E558" s="144"/>
      <c r="F558" s="670">
        <f>SUM(F526:F557)</f>
        <v>6664</v>
      </c>
      <c r="G558" s="153"/>
      <c r="H558" s="154"/>
      <c r="I558" s="155"/>
      <c r="J558" s="156"/>
      <c r="L558" s="162"/>
      <c r="N558" s="144"/>
      <c r="O558" s="852"/>
    </row>
    <row r="559" spans="1:15" s="157" customFormat="1">
      <c r="A559" s="269"/>
      <c r="B559" s="753"/>
      <c r="C559" s="152"/>
      <c r="D559" s="572"/>
      <c r="E559" s="144"/>
      <c r="F559" s="205"/>
      <c r="G559" s="153"/>
      <c r="H559" s="154"/>
      <c r="I559" s="155"/>
      <c r="J559" s="156"/>
      <c r="L559" s="162"/>
      <c r="N559" s="144"/>
      <c r="O559" s="852"/>
    </row>
    <row r="560" spans="1:15" s="157" customFormat="1">
      <c r="A560" s="269"/>
      <c r="B560" s="753"/>
      <c r="C560" s="152"/>
      <c r="D560" s="572"/>
      <c r="E560" s="144"/>
      <c r="F560" s="205"/>
      <c r="G560" s="153"/>
      <c r="H560" s="154"/>
      <c r="I560" s="155"/>
      <c r="J560" s="156"/>
      <c r="L560" s="162"/>
      <c r="N560" s="144"/>
      <c r="O560" s="852"/>
    </row>
    <row r="561" spans="1:15" s="157" customFormat="1">
      <c r="A561" s="581" t="s">
        <v>1056</v>
      </c>
      <c r="B561" s="582" t="s">
        <v>2701</v>
      </c>
      <c r="C561" s="583"/>
      <c r="D561" s="584"/>
      <c r="E561" s="585"/>
      <c r="F561" s="586"/>
      <c r="G561" s="153"/>
      <c r="H561" s="154"/>
      <c r="I561" s="155"/>
      <c r="J561" s="156"/>
      <c r="L561" s="162"/>
      <c r="N561" s="585"/>
      <c r="O561" s="852"/>
    </row>
    <row r="562" spans="1:15" s="157" customFormat="1">
      <c r="A562" s="254"/>
      <c r="B562" s="159"/>
      <c r="C562" s="152"/>
      <c r="D562" s="572"/>
      <c r="E562" s="144"/>
      <c r="F562" s="144"/>
      <c r="G562" s="153"/>
      <c r="H562" s="154"/>
      <c r="I562" s="155"/>
      <c r="J562" s="156"/>
      <c r="L562" s="162"/>
      <c r="N562" s="144"/>
      <c r="O562" s="852"/>
    </row>
    <row r="563" spans="1:15" s="157" customFormat="1" ht="151.80000000000001">
      <c r="A563" s="254" t="s">
        <v>1057</v>
      </c>
      <c r="B563" s="612" t="s">
        <v>5166</v>
      </c>
      <c r="C563" s="152" t="s">
        <v>649</v>
      </c>
      <c r="D563" s="572">
        <v>5</v>
      </c>
      <c r="E563" s="144">
        <v>68</v>
      </c>
      <c r="F563" s="144">
        <f t="shared" ref="F563" si="17">IF((D563*E563)=0,"",(D563*E563))</f>
        <v>340</v>
      </c>
      <c r="G563" s="153"/>
      <c r="H563" s="154"/>
      <c r="I563" s="155"/>
      <c r="J563" s="156"/>
      <c r="L563" s="162"/>
      <c r="N563" s="144"/>
      <c r="O563" s="852"/>
    </row>
    <row r="564" spans="1:15" s="157" customFormat="1">
      <c r="A564" s="254"/>
      <c r="B564" s="751"/>
      <c r="C564" s="152"/>
      <c r="D564" s="572"/>
      <c r="E564" s="144"/>
      <c r="F564" s="144"/>
      <c r="G564" s="153"/>
      <c r="H564" s="154"/>
      <c r="I564" s="155"/>
      <c r="J564" s="156"/>
      <c r="L564" s="162"/>
      <c r="N564" s="144"/>
      <c r="O564" s="852"/>
    </row>
    <row r="565" spans="1:15" s="157" customFormat="1" ht="96.6">
      <c r="A565" s="254" t="s">
        <v>1058</v>
      </c>
      <c r="B565" s="612" t="s">
        <v>5167</v>
      </c>
      <c r="C565" s="152" t="s">
        <v>649</v>
      </c>
      <c r="D565" s="572">
        <v>2</v>
      </c>
      <c r="E565" s="144">
        <v>120</v>
      </c>
      <c r="F565" s="144">
        <f t="shared" ref="F565" si="18">IF((D565*E565)=0,"",(D565*E565))</f>
        <v>240</v>
      </c>
      <c r="G565" s="153"/>
      <c r="H565" s="154"/>
      <c r="I565" s="155"/>
      <c r="J565" s="156"/>
      <c r="L565" s="162"/>
      <c r="N565" s="144"/>
      <c r="O565" s="852"/>
    </row>
    <row r="566" spans="1:15" s="157" customFormat="1">
      <c r="A566" s="254"/>
      <c r="B566" s="751"/>
      <c r="C566" s="152"/>
      <c r="D566" s="572"/>
      <c r="E566" s="144"/>
      <c r="F566" s="144"/>
      <c r="G566" s="153"/>
      <c r="H566" s="154"/>
      <c r="I566" s="155"/>
      <c r="J566" s="156"/>
      <c r="L566" s="162"/>
      <c r="N566" s="144"/>
      <c r="O566" s="852"/>
    </row>
    <row r="567" spans="1:15" s="157" customFormat="1" ht="82.8">
      <c r="A567" s="254" t="s">
        <v>1059</v>
      </c>
      <c r="B567" s="762" t="s">
        <v>2698</v>
      </c>
      <c r="C567" s="152" t="s">
        <v>649</v>
      </c>
      <c r="D567" s="572">
        <v>1</v>
      </c>
      <c r="E567" s="144">
        <v>78</v>
      </c>
      <c r="F567" s="144">
        <f t="shared" ref="F567" si="19">IF((D567*E567)=0,"",(D567*E567))</f>
        <v>78</v>
      </c>
      <c r="G567" s="153"/>
      <c r="H567" s="154"/>
      <c r="I567" s="155"/>
      <c r="J567" s="156"/>
      <c r="L567" s="162"/>
      <c r="N567" s="144"/>
      <c r="O567" s="852"/>
    </row>
    <row r="568" spans="1:15" s="157" customFormat="1">
      <c r="A568" s="254"/>
      <c r="B568" s="751"/>
      <c r="C568" s="152"/>
      <c r="D568" s="572"/>
      <c r="E568" s="144"/>
      <c r="F568" s="144"/>
      <c r="G568" s="153"/>
      <c r="H568" s="154"/>
      <c r="I568" s="155"/>
      <c r="J568" s="156"/>
      <c r="L568" s="162"/>
      <c r="N568" s="144"/>
      <c r="O568" s="852"/>
    </row>
    <row r="569" spans="1:15" s="157" customFormat="1" ht="41.4">
      <c r="A569" s="254" t="s">
        <v>2702</v>
      </c>
      <c r="B569" s="588" t="s">
        <v>2496</v>
      </c>
      <c r="C569" s="152" t="s">
        <v>649</v>
      </c>
      <c r="D569" s="572">
        <v>1</v>
      </c>
      <c r="E569" s="144">
        <v>29</v>
      </c>
      <c r="F569" s="144">
        <f>IF((D569*E569)=0,"",(D569*E569))</f>
        <v>29</v>
      </c>
      <c r="G569" s="153"/>
      <c r="H569" s="154"/>
      <c r="I569" s="155"/>
      <c r="J569" s="156"/>
      <c r="L569" s="162"/>
      <c r="N569" s="144"/>
      <c r="O569" s="852"/>
    </row>
    <row r="570" spans="1:15" s="157" customFormat="1">
      <c r="A570" s="595"/>
      <c r="B570" s="596"/>
      <c r="C570" s="597"/>
      <c r="D570" s="598"/>
      <c r="E570" s="599"/>
      <c r="F570" s="599"/>
      <c r="G570" s="153"/>
      <c r="H570" s="154"/>
      <c r="I570" s="155"/>
      <c r="J570" s="156"/>
      <c r="L570" s="162"/>
      <c r="N570" s="599"/>
      <c r="O570" s="852"/>
    </row>
    <row r="571" spans="1:15" s="157" customFormat="1">
      <c r="A571" s="269" t="str">
        <f>A561</f>
        <v>B.2.</v>
      </c>
      <c r="B571" s="753" t="str">
        <f>CONCATENATE(B561," ", "UKUPNO:")</f>
        <v>VIŠENAMJENSKI KOMUNIKACIJSKI PROSTOR UKUPNO:</v>
      </c>
      <c r="C571" s="152"/>
      <c r="D571" s="572"/>
      <c r="E571" s="144"/>
      <c r="F571" s="670">
        <f>SUM(F563:F570)</f>
        <v>687</v>
      </c>
      <c r="G571" s="153"/>
      <c r="H571" s="154"/>
      <c r="I571" s="155"/>
      <c r="J571" s="156"/>
      <c r="L571" s="162"/>
      <c r="N571" s="144"/>
      <c r="O571" s="852"/>
    </row>
    <row r="572" spans="1:15" s="157" customFormat="1">
      <c r="A572" s="269"/>
      <c r="B572" s="753"/>
      <c r="C572" s="152"/>
      <c r="D572" s="572"/>
      <c r="E572" s="144"/>
      <c r="F572" s="205"/>
      <c r="G572" s="153"/>
      <c r="H572" s="154"/>
      <c r="I572" s="155"/>
      <c r="J572" s="156"/>
      <c r="L572" s="162"/>
      <c r="N572" s="144"/>
      <c r="O572" s="852"/>
    </row>
    <row r="573" spans="1:15" s="157" customFormat="1">
      <c r="A573" s="269"/>
      <c r="B573" s="753"/>
      <c r="C573" s="152"/>
      <c r="D573" s="572"/>
      <c r="E573" s="144"/>
      <c r="F573" s="205"/>
      <c r="G573" s="153"/>
      <c r="H573" s="154"/>
      <c r="I573" s="155"/>
      <c r="J573" s="156"/>
      <c r="L573" s="162"/>
      <c r="N573" s="144"/>
      <c r="O573" s="852"/>
    </row>
    <row r="574" spans="1:15" s="157" customFormat="1">
      <c r="A574" s="581" t="s">
        <v>1064</v>
      </c>
      <c r="B574" s="582" t="s">
        <v>4182</v>
      </c>
      <c r="C574" s="583"/>
      <c r="D574" s="584"/>
      <c r="E574" s="585"/>
      <c r="F574" s="586"/>
      <c r="G574" s="153"/>
      <c r="H574" s="154"/>
      <c r="I574" s="155"/>
      <c r="J574" s="156"/>
      <c r="L574" s="162"/>
      <c r="N574" s="585"/>
      <c r="O574" s="852"/>
    </row>
    <row r="575" spans="1:15" s="157" customFormat="1">
      <c r="A575" s="254"/>
      <c r="B575" s="159"/>
      <c r="C575" s="152"/>
      <c r="D575" s="572"/>
      <c r="E575" s="144"/>
      <c r="F575" s="144"/>
      <c r="G575" s="153"/>
      <c r="H575" s="154"/>
      <c r="I575" s="155"/>
      <c r="J575" s="156"/>
      <c r="L575" s="162"/>
      <c r="N575" s="144"/>
      <c r="O575" s="852"/>
    </row>
    <row r="576" spans="1:15" s="157" customFormat="1" ht="124.2">
      <c r="A576" s="254" t="s">
        <v>1065</v>
      </c>
      <c r="B576" s="612" t="s">
        <v>4818</v>
      </c>
      <c r="C576" s="152" t="s">
        <v>649</v>
      </c>
      <c r="D576" s="572">
        <v>2</v>
      </c>
      <c r="E576" s="144">
        <v>68</v>
      </c>
      <c r="F576" s="144">
        <f t="shared" ref="F576" si="20">IF((D576*E576)=0,"",(D576*E576))</f>
        <v>136</v>
      </c>
      <c r="G576" s="153"/>
      <c r="H576" s="154"/>
      <c r="I576" s="155"/>
      <c r="J576" s="156"/>
      <c r="L576" s="162"/>
      <c r="N576" s="144"/>
      <c r="O576" s="852"/>
    </row>
    <row r="577" spans="1:15" s="157" customFormat="1">
      <c r="A577" s="254"/>
      <c r="B577" s="751"/>
      <c r="C577" s="152"/>
      <c r="D577" s="572"/>
      <c r="E577" s="144"/>
      <c r="F577" s="144"/>
      <c r="G577" s="153"/>
      <c r="H577" s="154"/>
      <c r="I577" s="155"/>
      <c r="J577" s="156"/>
      <c r="L577" s="162"/>
      <c r="N577" s="144"/>
      <c r="O577" s="852"/>
    </row>
    <row r="578" spans="1:15" s="157" customFormat="1" ht="69">
      <c r="A578" s="254" t="s">
        <v>1066</v>
      </c>
      <c r="B578" s="612" t="s">
        <v>4817</v>
      </c>
      <c r="C578" s="152" t="s">
        <v>649</v>
      </c>
      <c r="D578" s="572">
        <v>1</v>
      </c>
      <c r="E578" s="144">
        <v>120</v>
      </c>
      <c r="F578" s="144">
        <f t="shared" ref="F578" si="21">IF((D578*E578)=0,"",(D578*E578))</f>
        <v>120</v>
      </c>
      <c r="G578" s="153"/>
      <c r="H578" s="154"/>
      <c r="I578" s="155"/>
      <c r="J578" s="156"/>
      <c r="L578" s="162"/>
      <c r="N578" s="144"/>
      <c r="O578" s="852"/>
    </row>
    <row r="579" spans="1:15" s="157" customFormat="1">
      <c r="A579" s="254"/>
      <c r="B579" s="751"/>
      <c r="C579" s="152"/>
      <c r="D579" s="572"/>
      <c r="E579" s="144"/>
      <c r="F579" s="144"/>
      <c r="G579" s="153"/>
      <c r="H579" s="154"/>
      <c r="I579" s="155"/>
      <c r="J579" s="156"/>
      <c r="L579" s="162"/>
      <c r="N579" s="144"/>
      <c r="O579" s="852"/>
    </row>
    <row r="580" spans="1:15" s="157" customFormat="1" ht="82.8">
      <c r="A580" s="254" t="s">
        <v>1067</v>
      </c>
      <c r="B580" s="762" t="s">
        <v>2698</v>
      </c>
      <c r="C580" s="152" t="s">
        <v>649</v>
      </c>
      <c r="D580" s="572">
        <v>2</v>
      </c>
      <c r="E580" s="144">
        <v>78</v>
      </c>
      <c r="F580" s="144">
        <f t="shared" ref="F580" si="22">IF((D580*E580)=0,"",(D580*E580))</f>
        <v>156</v>
      </c>
      <c r="G580" s="153"/>
      <c r="H580" s="154"/>
      <c r="I580" s="155"/>
      <c r="J580" s="156"/>
      <c r="L580" s="162"/>
      <c r="N580" s="144"/>
      <c r="O580" s="852"/>
    </row>
    <row r="581" spans="1:15" s="157" customFormat="1">
      <c r="A581" s="254"/>
      <c r="B581" s="751"/>
      <c r="C581" s="152"/>
      <c r="D581" s="572"/>
      <c r="E581" s="144"/>
      <c r="F581" s="144"/>
      <c r="G581" s="153"/>
      <c r="H581" s="154"/>
      <c r="I581" s="155"/>
      <c r="J581" s="156"/>
      <c r="L581" s="162"/>
      <c r="N581" s="144"/>
      <c r="O581" s="852"/>
    </row>
    <row r="582" spans="1:15" s="157" customFormat="1" ht="41.4">
      <c r="A582" s="254" t="s">
        <v>4183</v>
      </c>
      <c r="B582" s="588" t="s">
        <v>2496</v>
      </c>
      <c r="C582" s="152" t="s">
        <v>649</v>
      </c>
      <c r="D582" s="572">
        <v>1</v>
      </c>
      <c r="E582" s="144">
        <v>29</v>
      </c>
      <c r="F582" s="144">
        <f>IF((D582*E582)=0,"",(D582*E582))</f>
        <v>29</v>
      </c>
      <c r="G582" s="153"/>
      <c r="H582" s="154"/>
      <c r="I582" s="155"/>
      <c r="J582" s="156"/>
      <c r="L582" s="162"/>
      <c r="N582" s="144"/>
      <c r="O582" s="852"/>
    </row>
    <row r="583" spans="1:15" s="157" customFormat="1">
      <c r="A583" s="595"/>
      <c r="B583" s="596"/>
      <c r="C583" s="597"/>
      <c r="D583" s="598"/>
      <c r="E583" s="599"/>
      <c r="F583" s="599"/>
      <c r="G583" s="153"/>
      <c r="H583" s="154"/>
      <c r="I583" s="155"/>
      <c r="J583" s="156"/>
      <c r="L583" s="162"/>
      <c r="N583" s="599"/>
      <c r="O583" s="852"/>
    </row>
    <row r="584" spans="1:15" s="157" customFormat="1">
      <c r="A584" s="269" t="str">
        <f>A574</f>
        <v>B.3.</v>
      </c>
      <c r="B584" s="753" t="str">
        <f>CONCATENATE(B574," ", "UKUPNO:")</f>
        <v>STUBIŠTE UKUPNO:</v>
      </c>
      <c r="C584" s="152"/>
      <c r="D584" s="572"/>
      <c r="E584" s="144"/>
      <c r="F584" s="670">
        <f>SUM(F575:F583)</f>
        <v>441</v>
      </c>
      <c r="G584" s="153"/>
      <c r="H584" s="154"/>
      <c r="I584" s="155"/>
      <c r="J584" s="156"/>
      <c r="L584" s="162"/>
      <c r="N584" s="144"/>
      <c r="O584" s="852"/>
    </row>
    <row r="585" spans="1:15" s="157" customFormat="1">
      <c r="A585" s="269"/>
      <c r="B585" s="753"/>
      <c r="C585" s="152"/>
      <c r="D585" s="572"/>
      <c r="E585" s="144"/>
      <c r="F585" s="205"/>
      <c r="G585" s="153"/>
      <c r="H585" s="154"/>
      <c r="I585" s="155"/>
      <c r="J585" s="156"/>
      <c r="L585" s="162"/>
      <c r="N585" s="144"/>
      <c r="O585" s="852"/>
    </row>
    <row r="586" spans="1:15" s="157" customFormat="1">
      <c r="A586" s="269"/>
      <c r="B586" s="753"/>
      <c r="C586" s="152"/>
      <c r="D586" s="572"/>
      <c r="E586" s="144"/>
      <c r="F586" s="205"/>
      <c r="G586" s="153"/>
      <c r="H586" s="154"/>
      <c r="I586" s="155"/>
      <c r="J586" s="156"/>
      <c r="L586" s="162"/>
      <c r="N586" s="144"/>
      <c r="O586" s="852"/>
    </row>
    <row r="587" spans="1:15" s="157" customFormat="1">
      <c r="A587" s="581" t="s">
        <v>1071</v>
      </c>
      <c r="B587" s="582" t="s">
        <v>2704</v>
      </c>
      <c r="C587" s="583"/>
      <c r="D587" s="584"/>
      <c r="E587" s="585"/>
      <c r="F587" s="586"/>
      <c r="G587" s="153"/>
      <c r="H587" s="154"/>
      <c r="I587" s="155"/>
      <c r="J587" s="156"/>
      <c r="L587" s="162"/>
      <c r="N587" s="585"/>
      <c r="O587" s="852"/>
    </row>
    <row r="588" spans="1:15" s="157" customFormat="1">
      <c r="A588" s="254"/>
      <c r="B588" s="159"/>
      <c r="C588" s="152"/>
      <c r="D588" s="572"/>
      <c r="E588" s="144"/>
      <c r="F588" s="144"/>
      <c r="G588" s="153"/>
      <c r="H588" s="154"/>
      <c r="I588" s="155"/>
      <c r="J588" s="156"/>
      <c r="L588" s="162"/>
      <c r="N588" s="144"/>
      <c r="O588" s="852"/>
    </row>
    <row r="589" spans="1:15" s="157" customFormat="1" ht="55.2">
      <c r="A589" s="254" t="s">
        <v>1072</v>
      </c>
      <c r="B589" s="749" t="s">
        <v>4819</v>
      </c>
      <c r="C589" s="152" t="s">
        <v>649</v>
      </c>
      <c r="D589" s="572">
        <v>1</v>
      </c>
      <c r="E589" s="144">
        <v>13.5</v>
      </c>
      <c r="F589" s="144">
        <f t="shared" ref="F589:F591" si="23">IF((D589*E589)=0,"",(D589*E589))</f>
        <v>13.5</v>
      </c>
      <c r="G589" s="153"/>
      <c r="H589" s="154"/>
      <c r="I589" s="155"/>
      <c r="J589" s="156"/>
      <c r="L589" s="162"/>
      <c r="N589" s="144"/>
      <c r="O589" s="852"/>
    </row>
    <row r="590" spans="1:15" s="157" customFormat="1">
      <c r="A590" s="254"/>
      <c r="B590" s="160"/>
      <c r="C590" s="152"/>
      <c r="D590" s="572"/>
      <c r="E590" s="144"/>
      <c r="F590" s="144" t="str">
        <f t="shared" si="23"/>
        <v/>
      </c>
      <c r="G590" s="153"/>
      <c r="H590" s="154"/>
      <c r="I590" s="155"/>
      <c r="J590" s="156"/>
      <c r="L590" s="162"/>
      <c r="N590" s="144"/>
      <c r="O590" s="852"/>
    </row>
    <row r="591" spans="1:15" s="157" customFormat="1" ht="27.6">
      <c r="A591" s="254" t="s">
        <v>1073</v>
      </c>
      <c r="B591" s="605" t="s">
        <v>2706</v>
      </c>
      <c r="C591" s="152" t="s">
        <v>649</v>
      </c>
      <c r="D591" s="572">
        <v>1</v>
      </c>
      <c r="E591" s="144">
        <v>29</v>
      </c>
      <c r="F591" s="144">
        <f t="shared" si="23"/>
        <v>29</v>
      </c>
      <c r="G591" s="153"/>
      <c r="H591" s="154"/>
      <c r="I591" s="155"/>
      <c r="J591" s="156"/>
      <c r="L591" s="162"/>
      <c r="N591" s="144"/>
      <c r="O591" s="852"/>
    </row>
    <row r="592" spans="1:15" s="157" customFormat="1">
      <c r="A592" s="595"/>
      <c r="B592" s="596"/>
      <c r="C592" s="597"/>
      <c r="D592" s="598"/>
      <c r="E592" s="599"/>
      <c r="F592" s="599"/>
      <c r="G592" s="153"/>
      <c r="H592" s="154"/>
      <c r="I592" s="155"/>
      <c r="J592" s="156"/>
      <c r="L592" s="162"/>
      <c r="N592" s="599"/>
      <c r="O592" s="852"/>
    </row>
    <row r="593" spans="1:15" s="157" customFormat="1">
      <c r="A593" s="269" t="str">
        <f>A587</f>
        <v>B.4.</v>
      </c>
      <c r="B593" s="753" t="str">
        <f>CONCATENATE(B587," ", "UKUPNO:")</f>
        <v>VJETROBRAN UKUPNO:</v>
      </c>
      <c r="C593" s="152"/>
      <c r="D593" s="572"/>
      <c r="E593" s="144"/>
      <c r="F593" s="670">
        <f>SUM(F589:F592)</f>
        <v>42.5</v>
      </c>
      <c r="G593" s="153"/>
      <c r="H593" s="154"/>
      <c r="I593" s="155"/>
      <c r="J593" s="156"/>
      <c r="L593" s="162"/>
      <c r="N593" s="144"/>
      <c r="O593" s="852"/>
    </row>
    <row r="594" spans="1:15" s="157" customFormat="1">
      <c r="A594" s="254"/>
      <c r="B594" s="765"/>
      <c r="C594" s="152"/>
      <c r="D594" s="572"/>
      <c r="E594" s="144"/>
      <c r="F594" s="144"/>
      <c r="G594" s="153"/>
      <c r="H594" s="154"/>
      <c r="I594" s="155"/>
      <c r="J594" s="156"/>
      <c r="L594" s="162"/>
      <c r="N594" s="144"/>
      <c r="O594" s="852"/>
    </row>
    <row r="595" spans="1:15" s="157" customFormat="1">
      <c r="A595" s="254"/>
      <c r="B595" s="765"/>
      <c r="C595" s="152"/>
      <c r="D595" s="572"/>
      <c r="E595" s="144"/>
      <c r="F595" s="144"/>
      <c r="G595" s="153"/>
      <c r="H595" s="154"/>
      <c r="I595" s="155"/>
      <c r="J595" s="156"/>
      <c r="L595" s="162"/>
      <c r="N595" s="144"/>
      <c r="O595" s="852"/>
    </row>
    <row r="596" spans="1:15" s="157" customFormat="1">
      <c r="A596" s="581" t="s">
        <v>1131</v>
      </c>
      <c r="B596" s="582" t="s">
        <v>4181</v>
      </c>
      <c r="C596" s="583"/>
      <c r="D596" s="584"/>
      <c r="E596" s="585"/>
      <c r="F596" s="586"/>
      <c r="G596" s="153"/>
      <c r="H596" s="154"/>
      <c r="I596" s="155"/>
      <c r="J596" s="156"/>
      <c r="L596" s="162"/>
      <c r="N596" s="585"/>
      <c r="O596" s="852"/>
    </row>
    <row r="597" spans="1:15" s="157" customFormat="1">
      <c r="A597" s="254"/>
      <c r="B597" s="159"/>
      <c r="C597" s="152"/>
      <c r="D597" s="572"/>
      <c r="E597" s="144"/>
      <c r="F597" s="144"/>
      <c r="G597" s="153"/>
      <c r="H597" s="154"/>
      <c r="I597" s="155"/>
      <c r="J597" s="156"/>
      <c r="L597" s="162"/>
      <c r="N597" s="144"/>
      <c r="O597" s="852"/>
    </row>
    <row r="598" spans="1:15" s="157" customFormat="1" ht="179.4">
      <c r="A598" s="254" t="s">
        <v>1132</v>
      </c>
      <c r="B598" s="612" t="s">
        <v>4820</v>
      </c>
      <c r="C598" s="152" t="s">
        <v>649</v>
      </c>
      <c r="D598" s="572">
        <v>1</v>
      </c>
      <c r="E598" s="144">
        <v>192</v>
      </c>
      <c r="F598" s="144">
        <f t="shared" ref="F598" si="24">IF((D598*E598)=0,"",(D598*E598))</f>
        <v>192</v>
      </c>
      <c r="G598" s="153"/>
      <c r="H598" s="154"/>
      <c r="I598" s="155"/>
      <c r="J598" s="156"/>
      <c r="L598" s="162"/>
      <c r="N598" s="144"/>
      <c r="O598" s="852"/>
    </row>
    <row r="599" spans="1:15" s="157" customFormat="1">
      <c r="A599" s="254"/>
      <c r="B599" s="612"/>
      <c r="C599" s="152"/>
      <c r="D599" s="572"/>
      <c r="E599" s="144"/>
      <c r="F599" s="144"/>
      <c r="G599" s="153"/>
      <c r="H599" s="154"/>
      <c r="I599" s="155"/>
      <c r="J599" s="156"/>
      <c r="L599" s="162"/>
      <c r="N599" s="144"/>
      <c r="O599" s="852"/>
    </row>
    <row r="600" spans="1:15" s="157" customFormat="1" ht="96.6">
      <c r="A600" s="254" t="s">
        <v>3438</v>
      </c>
      <c r="B600" s="274" t="s">
        <v>4824</v>
      </c>
      <c r="C600" s="152"/>
      <c r="D600" s="572"/>
      <c r="E600" s="144"/>
      <c r="F600" s="144"/>
      <c r="G600" s="153"/>
      <c r="H600" s="154"/>
      <c r="I600" s="155"/>
      <c r="J600" s="156"/>
      <c r="L600" s="162"/>
      <c r="N600" s="144"/>
      <c r="O600" s="852"/>
    </row>
    <row r="601" spans="1:15" s="157" customFormat="1">
      <c r="A601" s="254" t="s">
        <v>48</v>
      </c>
      <c r="B601" s="274" t="s">
        <v>3051</v>
      </c>
      <c r="C601" s="879" t="s">
        <v>649</v>
      </c>
      <c r="D601" s="572">
        <v>4</v>
      </c>
      <c r="E601" s="144">
        <v>196</v>
      </c>
      <c r="F601" s="144">
        <f t="shared" ref="F601:F602" si="25">IF((D601*E601)=0,"",(D601*E601))</f>
        <v>784</v>
      </c>
      <c r="G601" s="153"/>
      <c r="H601" s="154"/>
      <c r="I601" s="155"/>
      <c r="J601" s="156"/>
      <c r="L601" s="162"/>
      <c r="N601" s="144"/>
      <c r="O601" s="852"/>
    </row>
    <row r="602" spans="1:15" s="157" customFormat="1">
      <c r="A602" s="254" t="s">
        <v>49</v>
      </c>
      <c r="B602" s="274" t="s">
        <v>4163</v>
      </c>
      <c r="C602" s="879" t="s">
        <v>649</v>
      </c>
      <c r="D602" s="572">
        <v>2</v>
      </c>
      <c r="E602" s="144">
        <v>144</v>
      </c>
      <c r="F602" s="144">
        <f t="shared" si="25"/>
        <v>288</v>
      </c>
      <c r="G602" s="153"/>
      <c r="H602" s="154"/>
      <c r="I602" s="155"/>
      <c r="J602" s="156"/>
      <c r="L602" s="162"/>
      <c r="N602" s="144"/>
      <c r="O602" s="852"/>
    </row>
    <row r="603" spans="1:15" s="157" customFormat="1">
      <c r="A603" s="254"/>
      <c r="B603" s="274"/>
      <c r="C603" s="879"/>
      <c r="D603" s="572"/>
      <c r="E603" s="144"/>
      <c r="F603" s="144"/>
      <c r="G603" s="153"/>
      <c r="H603" s="154"/>
      <c r="I603" s="155"/>
      <c r="J603" s="156"/>
      <c r="L603" s="162"/>
      <c r="N603" s="144"/>
      <c r="O603" s="852"/>
    </row>
    <row r="604" spans="1:15" s="157" customFormat="1">
      <c r="A604" s="254"/>
      <c r="B604" s="274"/>
      <c r="C604" s="879"/>
      <c r="D604" s="572"/>
      <c r="E604" s="144"/>
      <c r="F604" s="144"/>
      <c r="G604" s="153"/>
      <c r="H604" s="154"/>
      <c r="I604" s="155"/>
      <c r="J604" s="156"/>
      <c r="L604" s="162"/>
      <c r="N604" s="144"/>
      <c r="O604" s="852"/>
    </row>
    <row r="605" spans="1:15" s="157" customFormat="1">
      <c r="A605" s="254"/>
      <c r="B605" s="770"/>
      <c r="C605" s="152"/>
      <c r="D605" s="572"/>
      <c r="E605" s="144"/>
      <c r="F605" s="144"/>
      <c r="G605" s="153"/>
      <c r="H605" s="154"/>
      <c r="I605" s="155"/>
      <c r="J605" s="156"/>
      <c r="L605" s="162"/>
      <c r="N605" s="144"/>
      <c r="O605" s="852"/>
    </row>
    <row r="606" spans="1:15" s="157" customFormat="1" ht="96.6">
      <c r="A606" s="254" t="s">
        <v>1133</v>
      </c>
      <c r="B606" s="770" t="s">
        <v>2687</v>
      </c>
      <c r="C606" s="152" t="s">
        <v>670</v>
      </c>
      <c r="D606" s="572">
        <v>1</v>
      </c>
      <c r="E606" s="144">
        <v>338</v>
      </c>
      <c r="F606" s="144">
        <f t="shared" ref="F606" si="26">IF((D606*E606)=0,"",(D606*E606))</f>
        <v>338</v>
      </c>
      <c r="G606" s="153"/>
      <c r="H606" s="154"/>
      <c r="I606" s="155"/>
      <c r="J606" s="156"/>
      <c r="L606" s="162"/>
      <c r="N606" s="144"/>
      <c r="O606" s="852"/>
    </row>
    <row r="607" spans="1:15" s="157" customFormat="1">
      <c r="A607" s="254"/>
      <c r="B607" s="770"/>
      <c r="C607" s="152"/>
      <c r="D607" s="572"/>
      <c r="E607" s="144"/>
      <c r="F607" s="144"/>
      <c r="G607" s="153"/>
      <c r="H607" s="154"/>
      <c r="I607" s="155"/>
      <c r="J607" s="156"/>
      <c r="L607" s="162"/>
      <c r="N607" s="144"/>
      <c r="O607" s="852"/>
    </row>
    <row r="608" spans="1:15" s="157" customFormat="1" ht="124.2">
      <c r="A608" s="254" t="s">
        <v>1788</v>
      </c>
      <c r="B608" s="770" t="s">
        <v>3157</v>
      </c>
      <c r="C608" s="152" t="s">
        <v>670</v>
      </c>
      <c r="D608" s="572">
        <v>1</v>
      </c>
      <c r="E608" s="144">
        <v>270</v>
      </c>
      <c r="F608" s="144">
        <f t="shared" ref="F608" si="27">IF((D608*E608)=0,"",(D608*E608))</f>
        <v>270</v>
      </c>
      <c r="G608" s="153"/>
      <c r="H608" s="154"/>
      <c r="I608" s="155"/>
      <c r="J608" s="156"/>
      <c r="L608" s="162"/>
      <c r="N608" s="144"/>
      <c r="O608" s="852"/>
    </row>
    <row r="609" spans="1:15" s="157" customFormat="1">
      <c r="A609" s="254"/>
      <c r="B609" s="744"/>
      <c r="C609" s="152"/>
      <c r="D609" s="572"/>
      <c r="E609" s="144"/>
      <c r="F609" s="144"/>
      <c r="G609" s="153"/>
      <c r="H609" s="154"/>
      <c r="I609" s="155"/>
      <c r="J609" s="156"/>
      <c r="L609" s="162"/>
      <c r="N609" s="144"/>
      <c r="O609" s="852"/>
    </row>
    <row r="610" spans="1:15" s="157" customFormat="1" ht="41.4">
      <c r="A610" s="254" t="s">
        <v>1792</v>
      </c>
      <c r="B610" s="744" t="s">
        <v>2692</v>
      </c>
      <c r="C610" s="152" t="s">
        <v>649</v>
      </c>
      <c r="D610" s="572">
        <v>10</v>
      </c>
      <c r="E610" s="144">
        <v>38</v>
      </c>
      <c r="F610" s="144">
        <f t="shared" ref="F610" si="28">IF((D610*E610)=0,"",(D610*E610))</f>
        <v>380</v>
      </c>
      <c r="G610" s="153"/>
      <c r="H610" s="154"/>
      <c r="I610" s="155"/>
      <c r="J610" s="156"/>
      <c r="L610" s="162"/>
      <c r="N610" s="144"/>
      <c r="O610" s="852"/>
    </row>
    <row r="611" spans="1:15" s="157" customFormat="1">
      <c r="A611" s="254"/>
      <c r="B611" s="744"/>
      <c r="C611" s="152"/>
      <c r="D611" s="572"/>
      <c r="E611" s="144"/>
      <c r="F611" s="144"/>
      <c r="G611" s="153"/>
      <c r="H611" s="154"/>
      <c r="I611" s="155"/>
      <c r="J611" s="156"/>
      <c r="L611" s="162"/>
      <c r="N611" s="144"/>
      <c r="O611" s="852"/>
    </row>
    <row r="612" spans="1:15" s="157" customFormat="1" ht="96.6">
      <c r="A612" s="254" t="s">
        <v>4201</v>
      </c>
      <c r="B612" s="771" t="s">
        <v>4822</v>
      </c>
      <c r="C612" s="152" t="s">
        <v>670</v>
      </c>
      <c r="D612" s="572">
        <v>1</v>
      </c>
      <c r="E612" s="144">
        <v>196</v>
      </c>
      <c r="F612" s="144">
        <f t="shared" ref="F612" si="29">IF((D612*E612)=0,"",(D612*E612))</f>
        <v>196</v>
      </c>
      <c r="G612" s="153"/>
      <c r="H612" s="154"/>
      <c r="I612" s="155"/>
      <c r="J612" s="156"/>
      <c r="L612" s="162"/>
      <c r="N612" s="144"/>
      <c r="O612" s="852"/>
    </row>
    <row r="613" spans="1:15" s="157" customFormat="1">
      <c r="A613" s="254"/>
      <c r="B613" s="771"/>
      <c r="C613" s="152"/>
      <c r="D613" s="572"/>
      <c r="E613" s="144"/>
      <c r="F613" s="144"/>
      <c r="G613" s="153"/>
      <c r="H613" s="154"/>
      <c r="I613" s="155"/>
      <c r="J613" s="156"/>
      <c r="L613" s="162"/>
      <c r="N613" s="144"/>
      <c r="O613" s="852"/>
    </row>
    <row r="614" spans="1:15" s="157" customFormat="1" ht="55.2">
      <c r="A614" s="254" t="s">
        <v>4202</v>
      </c>
      <c r="B614" s="744" t="s">
        <v>2693</v>
      </c>
      <c r="C614" s="152" t="s">
        <v>649</v>
      </c>
      <c r="D614" s="572">
        <v>1</v>
      </c>
      <c r="E614" s="144">
        <v>38</v>
      </c>
      <c r="F614" s="144">
        <f t="shared" ref="F614" si="30">IF((D614*E614)=0,"",(D614*E614))</f>
        <v>38</v>
      </c>
      <c r="G614" s="153"/>
      <c r="H614" s="154"/>
      <c r="I614" s="155"/>
      <c r="J614" s="156"/>
      <c r="L614" s="162"/>
      <c r="N614" s="144"/>
      <c r="O614" s="852"/>
    </row>
    <row r="615" spans="1:15" s="157" customFormat="1">
      <c r="A615" s="254"/>
      <c r="B615" s="744"/>
      <c r="C615" s="152"/>
      <c r="D615" s="572"/>
      <c r="E615" s="144"/>
      <c r="F615" s="144"/>
      <c r="G615" s="153"/>
      <c r="H615" s="154"/>
      <c r="I615" s="155"/>
      <c r="J615" s="156"/>
      <c r="L615" s="162"/>
      <c r="N615" s="144"/>
      <c r="O615" s="852"/>
    </row>
    <row r="616" spans="1:15" s="157" customFormat="1" ht="69">
      <c r="A616" s="254" t="s">
        <v>4206</v>
      </c>
      <c r="B616" s="771" t="s">
        <v>3149</v>
      </c>
      <c r="C616" s="152" t="s">
        <v>649</v>
      </c>
      <c r="D616" s="572">
        <v>1</v>
      </c>
      <c r="E616" s="144">
        <v>134</v>
      </c>
      <c r="F616" s="144">
        <f t="shared" ref="F616" si="31">IF((D616*E616)=0,"",(D616*E616))</f>
        <v>134</v>
      </c>
      <c r="G616" s="153"/>
      <c r="H616" s="154"/>
      <c r="I616" s="155"/>
      <c r="J616" s="156"/>
      <c r="L616" s="162"/>
      <c r="N616" s="144"/>
      <c r="O616" s="852"/>
    </row>
    <row r="617" spans="1:15" s="157" customFormat="1">
      <c r="A617" s="254"/>
      <c r="B617" s="771"/>
      <c r="C617" s="152"/>
      <c r="D617" s="572"/>
      <c r="E617" s="144"/>
      <c r="F617" s="144"/>
      <c r="G617" s="153"/>
      <c r="H617" s="154"/>
      <c r="I617" s="155"/>
      <c r="J617" s="156"/>
      <c r="L617" s="162"/>
      <c r="N617" s="144"/>
      <c r="O617" s="852"/>
    </row>
    <row r="618" spans="1:15" s="157" customFormat="1" ht="27.6">
      <c r="A618" s="254" t="s">
        <v>4153</v>
      </c>
      <c r="B618" s="744" t="s">
        <v>2694</v>
      </c>
      <c r="C618" s="152" t="s">
        <v>649</v>
      </c>
      <c r="D618" s="572">
        <v>4</v>
      </c>
      <c r="E618" s="144">
        <v>36</v>
      </c>
      <c r="F618" s="144">
        <f t="shared" ref="F618" si="32">IF((D618*E618)=0,"",(D618*E618))</f>
        <v>144</v>
      </c>
      <c r="G618" s="153"/>
      <c r="H618" s="154"/>
      <c r="I618" s="155"/>
      <c r="J618" s="156"/>
      <c r="L618" s="162"/>
      <c r="N618" s="144"/>
      <c r="O618" s="852"/>
    </row>
    <row r="619" spans="1:15" s="157" customFormat="1">
      <c r="A619" s="254"/>
      <c r="B619" s="744"/>
      <c r="C619" s="152"/>
      <c r="D619" s="572"/>
      <c r="E619" s="144"/>
      <c r="F619" s="144"/>
      <c r="G619" s="153"/>
      <c r="H619" s="154"/>
      <c r="I619" s="155"/>
      <c r="J619" s="156"/>
      <c r="L619" s="162"/>
      <c r="N619" s="144"/>
      <c r="O619" s="852"/>
    </row>
    <row r="620" spans="1:15" s="157" customFormat="1" ht="27.6">
      <c r="A620" s="254" t="s">
        <v>4207</v>
      </c>
      <c r="B620" s="744" t="s">
        <v>2695</v>
      </c>
      <c r="C620" s="152" t="s">
        <v>649</v>
      </c>
      <c r="D620" s="572">
        <v>4</v>
      </c>
      <c r="E620" s="144">
        <v>22</v>
      </c>
      <c r="F620" s="144">
        <f t="shared" ref="F620" si="33">IF((D620*E620)=0,"",(D620*E620))</f>
        <v>88</v>
      </c>
      <c r="G620" s="153"/>
      <c r="H620" s="154"/>
      <c r="I620" s="155"/>
      <c r="J620" s="156"/>
      <c r="L620" s="162"/>
      <c r="N620" s="144"/>
      <c r="O620" s="852"/>
    </row>
    <row r="621" spans="1:15" s="157" customFormat="1">
      <c r="A621" s="254"/>
      <c r="B621" s="744"/>
      <c r="C621" s="152"/>
      <c r="D621" s="572"/>
      <c r="E621" s="144"/>
      <c r="F621" s="144"/>
      <c r="G621" s="153"/>
      <c r="H621" s="154"/>
      <c r="I621" s="155"/>
      <c r="J621" s="156"/>
      <c r="L621" s="162"/>
      <c r="N621" s="144"/>
      <c r="O621" s="852"/>
    </row>
    <row r="622" spans="1:15" s="157" customFormat="1" ht="55.2">
      <c r="A622" s="254" t="s">
        <v>4208</v>
      </c>
      <c r="B622" s="744" t="s">
        <v>3150</v>
      </c>
      <c r="C622" s="152" t="s">
        <v>670</v>
      </c>
      <c r="D622" s="572">
        <v>2</v>
      </c>
      <c r="E622" s="144">
        <v>47</v>
      </c>
      <c r="F622" s="144">
        <f t="shared" ref="F622" si="34">IF((D622*E622)=0,"",(D622*E622))</f>
        <v>94</v>
      </c>
      <c r="G622" s="153"/>
      <c r="H622" s="154"/>
      <c r="I622" s="155"/>
      <c r="J622" s="156"/>
      <c r="L622" s="162"/>
      <c r="N622" s="144"/>
      <c r="O622" s="852"/>
    </row>
    <row r="623" spans="1:15" s="157" customFormat="1">
      <c r="A623" s="254"/>
      <c r="B623" s="744"/>
      <c r="C623" s="152"/>
      <c r="D623" s="572"/>
      <c r="E623" s="144"/>
      <c r="F623" s="144"/>
      <c r="G623" s="153"/>
      <c r="H623" s="154"/>
      <c r="I623" s="155"/>
      <c r="J623" s="156"/>
      <c r="L623" s="162"/>
      <c r="N623" s="144"/>
      <c r="O623" s="852"/>
    </row>
    <row r="624" spans="1:15" s="157" customFormat="1" ht="82.8">
      <c r="A624" s="254" t="s">
        <v>4209</v>
      </c>
      <c r="B624" s="744" t="s">
        <v>3159</v>
      </c>
      <c r="C624" s="152" t="s">
        <v>649</v>
      </c>
      <c r="D624" s="572">
        <v>4</v>
      </c>
      <c r="E624" s="144">
        <v>34</v>
      </c>
      <c r="F624" s="144">
        <f t="shared" ref="F624" si="35">IF((D624*E624)=0,"",(D624*E624))</f>
        <v>136</v>
      </c>
      <c r="G624" s="153"/>
      <c r="H624" s="154"/>
      <c r="I624" s="155"/>
      <c r="J624" s="156"/>
      <c r="L624" s="162"/>
      <c r="N624" s="144"/>
      <c r="O624" s="852"/>
    </row>
    <row r="625" spans="1:15" s="157" customFormat="1">
      <c r="A625" s="254"/>
      <c r="B625" s="771"/>
      <c r="C625" s="152"/>
      <c r="D625" s="572"/>
      <c r="E625" s="144"/>
      <c r="F625" s="144"/>
      <c r="G625" s="153"/>
      <c r="H625" s="154"/>
      <c r="I625" s="155"/>
      <c r="J625" s="156"/>
      <c r="L625" s="162"/>
      <c r="N625" s="144"/>
      <c r="O625" s="852"/>
    </row>
    <row r="626" spans="1:15" s="157" customFormat="1" ht="69">
      <c r="A626" s="254" t="s">
        <v>4210</v>
      </c>
      <c r="B626" s="744" t="s">
        <v>2696</v>
      </c>
      <c r="C626" s="152" t="s">
        <v>649</v>
      </c>
      <c r="D626" s="572">
        <v>1</v>
      </c>
      <c r="E626" s="144">
        <v>435</v>
      </c>
      <c r="F626" s="144">
        <f t="shared" ref="F626" si="36">IF((D626*E626)=0,"",(D626*E626))</f>
        <v>435</v>
      </c>
      <c r="G626" s="153"/>
      <c r="H626" s="154"/>
      <c r="I626" s="155"/>
      <c r="J626" s="156"/>
      <c r="L626" s="162"/>
      <c r="N626" s="144"/>
      <c r="O626" s="852"/>
    </row>
    <row r="627" spans="1:15" s="157" customFormat="1">
      <c r="A627" s="254"/>
      <c r="B627" s="744"/>
      <c r="C627" s="152"/>
      <c r="D627" s="572"/>
      <c r="E627" s="144"/>
      <c r="F627" s="144"/>
      <c r="G627" s="153"/>
      <c r="H627" s="154"/>
      <c r="I627" s="155"/>
      <c r="J627" s="156"/>
      <c r="L627" s="162"/>
      <c r="N627" s="144"/>
      <c r="O627" s="852"/>
    </row>
    <row r="628" spans="1:15" s="157" customFormat="1" ht="41.4">
      <c r="A628" s="254" t="s">
        <v>4211</v>
      </c>
      <c r="B628" s="744" t="s">
        <v>2697</v>
      </c>
      <c r="C628" s="152"/>
      <c r="D628" s="572"/>
      <c r="E628" s="144"/>
      <c r="F628" s="144"/>
      <c r="G628" s="153"/>
      <c r="H628" s="154"/>
      <c r="I628" s="155"/>
      <c r="J628" s="156"/>
      <c r="L628" s="162"/>
      <c r="N628" s="144"/>
      <c r="O628" s="852"/>
    </row>
    <row r="629" spans="1:15" s="157" customFormat="1" ht="69">
      <c r="A629" s="254" t="s">
        <v>48</v>
      </c>
      <c r="B629" s="744" t="s">
        <v>3160</v>
      </c>
      <c r="C629" s="152" t="s">
        <v>649</v>
      </c>
      <c r="D629" s="572">
        <v>1</v>
      </c>
      <c r="E629" s="144">
        <v>455</v>
      </c>
      <c r="F629" s="144">
        <f t="shared" ref="F629:F632" si="37">IF((D629*E629)=0,"",(D629*E629))</f>
        <v>455</v>
      </c>
      <c r="G629" s="153"/>
      <c r="H629" s="154"/>
      <c r="I629" s="155"/>
      <c r="J629" s="156"/>
      <c r="L629" s="162"/>
      <c r="N629" s="144"/>
      <c r="O629" s="852"/>
    </row>
    <row r="630" spans="1:15" s="157" customFormat="1" ht="41.4">
      <c r="A630" s="254" t="s">
        <v>49</v>
      </c>
      <c r="B630" s="744" t="s">
        <v>5163</v>
      </c>
      <c r="C630" s="152" t="s">
        <v>649</v>
      </c>
      <c r="D630" s="572">
        <v>1</v>
      </c>
      <c r="E630" s="144">
        <v>532</v>
      </c>
      <c r="F630" s="144">
        <f t="shared" si="37"/>
        <v>532</v>
      </c>
      <c r="G630" s="153"/>
      <c r="H630" s="154"/>
      <c r="I630" s="155"/>
      <c r="J630" s="156"/>
      <c r="L630" s="162"/>
      <c r="N630" s="144"/>
      <c r="O630" s="852"/>
    </row>
    <row r="631" spans="1:15" s="157" customFormat="1" ht="27.6">
      <c r="A631" s="254" t="s">
        <v>51</v>
      </c>
      <c r="B631" s="744" t="s">
        <v>5162</v>
      </c>
      <c r="C631" s="152" t="s">
        <v>649</v>
      </c>
      <c r="D631" s="572">
        <v>1</v>
      </c>
      <c r="E631" s="144">
        <v>459</v>
      </c>
      <c r="F631" s="144">
        <f t="shared" si="37"/>
        <v>459</v>
      </c>
      <c r="G631" s="153"/>
      <c r="H631" s="154"/>
      <c r="I631" s="155"/>
      <c r="J631" s="156"/>
      <c r="L631" s="162"/>
      <c r="N631" s="144"/>
      <c r="O631" s="852"/>
    </row>
    <row r="632" spans="1:15" s="157" customFormat="1" ht="27.6">
      <c r="A632" s="254" t="s">
        <v>53</v>
      </c>
      <c r="B632" s="744" t="s">
        <v>5164</v>
      </c>
      <c r="C632" s="152" t="s">
        <v>649</v>
      </c>
      <c r="D632" s="572">
        <v>1</v>
      </c>
      <c r="E632" s="144">
        <v>467</v>
      </c>
      <c r="F632" s="144">
        <f t="shared" si="37"/>
        <v>467</v>
      </c>
      <c r="G632" s="153"/>
      <c r="H632" s="154"/>
      <c r="I632" s="155"/>
      <c r="J632" s="156"/>
      <c r="L632" s="162"/>
      <c r="N632" s="144"/>
      <c r="O632" s="852"/>
    </row>
    <row r="633" spans="1:15" s="157" customFormat="1">
      <c r="A633" s="595"/>
      <c r="B633" s="596"/>
      <c r="C633" s="597"/>
      <c r="D633" s="598"/>
      <c r="E633" s="599"/>
      <c r="F633" s="599"/>
      <c r="G633" s="153"/>
      <c r="H633" s="154"/>
      <c r="I633" s="155"/>
      <c r="J633" s="156"/>
      <c r="L633" s="162"/>
      <c r="N633" s="599"/>
      <c r="O633" s="852"/>
    </row>
    <row r="634" spans="1:15" s="157" customFormat="1">
      <c r="A634" s="269" t="str">
        <f>A596</f>
        <v>B.5.</v>
      </c>
      <c r="B634" s="753" t="str">
        <f>CONCATENATE(B596," ", "UKUPNO:")</f>
        <v>SPREMIŠTE PVN 1 UKUPNO:</v>
      </c>
      <c r="C634" s="152"/>
      <c r="D634" s="572"/>
      <c r="E634" s="144"/>
      <c r="F634" s="670">
        <f>SUM(F598:F633)</f>
        <v>5430</v>
      </c>
      <c r="G634" s="153"/>
      <c r="H634" s="154"/>
      <c r="I634" s="155"/>
      <c r="J634" s="156"/>
      <c r="L634" s="162"/>
      <c r="N634" s="144"/>
      <c r="O634" s="852"/>
    </row>
    <row r="635" spans="1:15" s="157" customFormat="1">
      <c r="A635" s="254"/>
      <c r="B635" s="765"/>
      <c r="C635" s="152"/>
      <c r="D635" s="572"/>
      <c r="E635" s="144"/>
      <c r="F635" s="144"/>
      <c r="G635" s="153"/>
      <c r="H635" s="154"/>
      <c r="I635" s="155"/>
      <c r="J635" s="156"/>
      <c r="L635" s="162"/>
      <c r="N635" s="144"/>
      <c r="O635" s="852"/>
    </row>
    <row r="636" spans="1:15" s="157" customFormat="1">
      <c r="A636" s="254"/>
      <c r="B636" s="765"/>
      <c r="C636" s="152"/>
      <c r="D636" s="572"/>
      <c r="E636" s="144"/>
      <c r="F636" s="144"/>
      <c r="G636" s="153"/>
      <c r="H636" s="154"/>
      <c r="I636" s="155"/>
      <c r="J636" s="156"/>
      <c r="L636" s="162"/>
      <c r="N636" s="144"/>
      <c r="O636" s="852"/>
    </row>
    <row r="637" spans="1:15" s="157" customFormat="1">
      <c r="A637" s="581" t="s">
        <v>1134</v>
      </c>
      <c r="B637" s="582" t="s">
        <v>4180</v>
      </c>
      <c r="C637" s="583"/>
      <c r="D637" s="584"/>
      <c r="E637" s="585"/>
      <c r="F637" s="586"/>
      <c r="G637" s="153"/>
      <c r="H637" s="154"/>
      <c r="I637" s="155"/>
      <c r="J637" s="156"/>
      <c r="L637" s="162"/>
      <c r="N637" s="585"/>
      <c r="O637" s="852"/>
    </row>
    <row r="638" spans="1:15" s="157" customFormat="1">
      <c r="A638" s="254"/>
      <c r="B638" s="159"/>
      <c r="C638" s="152"/>
      <c r="D638" s="572"/>
      <c r="E638" s="144"/>
      <c r="F638" s="144"/>
      <c r="G638" s="153"/>
      <c r="H638" s="154"/>
      <c r="I638" s="155"/>
      <c r="J638" s="156"/>
      <c r="L638" s="162"/>
      <c r="N638" s="144"/>
      <c r="O638" s="852"/>
    </row>
    <row r="639" spans="1:15" s="157" customFormat="1" ht="165.6">
      <c r="A639" s="254" t="s">
        <v>2708</v>
      </c>
      <c r="B639" s="612" t="s">
        <v>4823</v>
      </c>
      <c r="C639" s="152" t="s">
        <v>649</v>
      </c>
      <c r="D639" s="572">
        <v>2</v>
      </c>
      <c r="E639" s="144">
        <v>192</v>
      </c>
      <c r="F639" s="144">
        <f t="shared" ref="F639" si="38">IF((D639*E639)=0,"",(D639*E639))</f>
        <v>384</v>
      </c>
      <c r="G639" s="153"/>
      <c r="H639" s="154"/>
      <c r="I639" s="155"/>
      <c r="J639" s="156"/>
      <c r="L639" s="162"/>
      <c r="N639" s="144"/>
      <c r="O639" s="852"/>
    </row>
    <row r="640" spans="1:15" s="157" customFormat="1">
      <c r="A640" s="254"/>
      <c r="B640" s="612"/>
      <c r="C640" s="152"/>
      <c r="D640" s="572"/>
      <c r="E640" s="144"/>
      <c r="F640" s="144"/>
      <c r="G640" s="153"/>
      <c r="H640" s="154"/>
      <c r="I640" s="155"/>
      <c r="J640" s="156"/>
      <c r="L640" s="162"/>
      <c r="N640" s="144"/>
      <c r="O640" s="852"/>
    </row>
    <row r="641" spans="1:15" s="157" customFormat="1" ht="110.4">
      <c r="A641" s="254" t="s">
        <v>2710</v>
      </c>
      <c r="B641" s="274" t="s">
        <v>4821</v>
      </c>
      <c r="C641" s="152"/>
      <c r="D641" s="572"/>
      <c r="E641" s="144"/>
      <c r="F641" s="144"/>
      <c r="G641" s="153"/>
      <c r="H641" s="154"/>
      <c r="I641" s="155"/>
      <c r="J641" s="156"/>
      <c r="L641" s="162"/>
      <c r="N641" s="144"/>
      <c r="O641" s="852"/>
    </row>
    <row r="642" spans="1:15" s="157" customFormat="1">
      <c r="A642" s="254" t="s">
        <v>48</v>
      </c>
      <c r="B642" s="274" t="s">
        <v>3051</v>
      </c>
      <c r="C642" s="879" t="s">
        <v>649</v>
      </c>
      <c r="D642" s="572">
        <v>3</v>
      </c>
      <c r="E642" s="144">
        <v>196</v>
      </c>
      <c r="F642" s="144">
        <f t="shared" ref="F642:F644" si="39">IF((D642*E642)=0,"",(D642*E642))</f>
        <v>588</v>
      </c>
      <c r="G642" s="153"/>
      <c r="H642" s="154"/>
      <c r="I642" s="155"/>
      <c r="J642" s="156"/>
      <c r="L642" s="162"/>
      <c r="N642" s="144"/>
      <c r="O642" s="852"/>
    </row>
    <row r="643" spans="1:15" s="157" customFormat="1">
      <c r="A643" s="254" t="s">
        <v>49</v>
      </c>
      <c r="B643" s="274" t="s">
        <v>3052</v>
      </c>
      <c r="C643" s="879" t="s">
        <v>649</v>
      </c>
      <c r="D643" s="572">
        <v>1</v>
      </c>
      <c r="E643" s="144">
        <v>181</v>
      </c>
      <c r="F643" s="144">
        <f t="shared" ref="F643" si="40">IF((D643*E643)=0,"",(D643*E643))</f>
        <v>181</v>
      </c>
      <c r="G643" s="153"/>
      <c r="H643" s="154"/>
      <c r="I643" s="155"/>
      <c r="J643" s="156"/>
      <c r="L643" s="162"/>
      <c r="N643" s="144"/>
      <c r="O643" s="852"/>
    </row>
    <row r="644" spans="1:15" s="157" customFormat="1">
      <c r="A644" s="254" t="s">
        <v>51</v>
      </c>
      <c r="B644" s="274" t="s">
        <v>3037</v>
      </c>
      <c r="C644" s="879" t="s">
        <v>649</v>
      </c>
      <c r="D644" s="572">
        <v>2</v>
      </c>
      <c r="E644" s="144">
        <v>178</v>
      </c>
      <c r="F644" s="144">
        <f t="shared" si="39"/>
        <v>356</v>
      </c>
      <c r="G644" s="153"/>
      <c r="H644" s="154"/>
      <c r="I644" s="155"/>
      <c r="J644" s="156"/>
      <c r="L644" s="162"/>
      <c r="N644" s="144"/>
      <c r="O644" s="852"/>
    </row>
    <row r="645" spans="1:15" s="157" customFormat="1">
      <c r="A645" s="254" t="s">
        <v>53</v>
      </c>
      <c r="B645" s="274" t="s">
        <v>3038</v>
      </c>
      <c r="C645" s="879" t="s">
        <v>649</v>
      </c>
      <c r="D645" s="572">
        <v>2</v>
      </c>
      <c r="E645" s="144">
        <v>135</v>
      </c>
      <c r="F645" s="144">
        <f t="shared" ref="F645" si="41">IF((D645*E645)=0,"",(D645*E645))</f>
        <v>270</v>
      </c>
      <c r="G645" s="153"/>
      <c r="H645" s="154"/>
      <c r="I645" s="155"/>
      <c r="J645" s="156"/>
      <c r="L645" s="162"/>
      <c r="N645" s="144"/>
      <c r="O645" s="852"/>
    </row>
    <row r="646" spans="1:15" s="157" customFormat="1">
      <c r="A646" s="254"/>
      <c r="B646" s="274"/>
      <c r="C646" s="879"/>
      <c r="D646" s="572"/>
      <c r="E646" s="144"/>
      <c r="F646" s="144"/>
      <c r="G646" s="153"/>
      <c r="H646" s="154"/>
      <c r="I646" s="155"/>
      <c r="J646" s="156"/>
      <c r="L646" s="162"/>
      <c r="N646" s="144"/>
      <c r="O646" s="852"/>
    </row>
    <row r="647" spans="1:15" s="157" customFormat="1" ht="220.8">
      <c r="A647" s="254" t="s">
        <v>2711</v>
      </c>
      <c r="B647" s="869" t="s">
        <v>5119</v>
      </c>
      <c r="C647" s="152" t="s">
        <v>649</v>
      </c>
      <c r="D647" s="572">
        <v>50</v>
      </c>
      <c r="E647" s="144">
        <v>58</v>
      </c>
      <c r="F647" s="144">
        <f t="shared" ref="F647" si="42">IF((D647*E647)=0,"",(D647*E647))</f>
        <v>2900</v>
      </c>
      <c r="G647" s="153"/>
      <c r="H647" s="154"/>
      <c r="I647" s="155"/>
      <c r="J647" s="156"/>
      <c r="L647" s="162"/>
      <c r="N647" s="144"/>
      <c r="O647" s="852"/>
    </row>
    <row r="648" spans="1:15" s="157" customFormat="1">
      <c r="A648" s="254"/>
      <c r="B648" s="274"/>
      <c r="C648" s="879"/>
      <c r="D648" s="572"/>
      <c r="E648" s="144"/>
      <c r="F648" s="144"/>
      <c r="G648" s="153"/>
      <c r="H648" s="154"/>
      <c r="I648" s="155"/>
      <c r="J648" s="156"/>
      <c r="L648" s="162"/>
      <c r="N648" s="144"/>
      <c r="O648" s="852"/>
    </row>
    <row r="649" spans="1:15" s="157" customFormat="1" ht="82.8">
      <c r="A649" s="254" t="s">
        <v>2713</v>
      </c>
      <c r="B649" s="751" t="s">
        <v>4212</v>
      </c>
      <c r="C649" s="564" t="s">
        <v>670</v>
      </c>
      <c r="D649" s="565">
        <v>4</v>
      </c>
      <c r="E649" s="566">
        <v>466</v>
      </c>
      <c r="F649" s="144">
        <f t="shared" ref="F649" si="43">IF((D649*E649)=0,"",(D649*E649))</f>
        <v>1864</v>
      </c>
      <c r="G649" s="153"/>
      <c r="H649" s="154"/>
      <c r="I649" s="155"/>
      <c r="J649" s="156"/>
      <c r="L649" s="162"/>
      <c r="N649" s="566"/>
      <c r="O649" s="852"/>
    </row>
    <row r="650" spans="1:15" s="157" customFormat="1">
      <c r="A650" s="254"/>
      <c r="B650" s="274"/>
      <c r="C650" s="564"/>
      <c r="D650" s="565"/>
      <c r="E650" s="566"/>
      <c r="F650" s="144"/>
      <c r="G650" s="153"/>
      <c r="H650" s="154"/>
      <c r="I650" s="155"/>
      <c r="J650" s="156"/>
      <c r="L650" s="162"/>
      <c r="N650" s="566"/>
      <c r="O650" s="852"/>
    </row>
    <row r="651" spans="1:15" s="157" customFormat="1" ht="55.2">
      <c r="A651" s="254" t="s">
        <v>2714</v>
      </c>
      <c r="B651" s="751" t="s">
        <v>4213</v>
      </c>
      <c r="C651" s="564" t="s">
        <v>670</v>
      </c>
      <c r="D651" s="565">
        <v>2</v>
      </c>
      <c r="E651" s="566">
        <v>185</v>
      </c>
      <c r="F651" s="144">
        <f t="shared" ref="F651" si="44">IF((D651*E651)=0,"",(D651*E651))</f>
        <v>370</v>
      </c>
      <c r="G651" s="153"/>
      <c r="H651" s="154"/>
      <c r="I651" s="155"/>
      <c r="J651" s="156"/>
      <c r="L651" s="162"/>
      <c r="N651" s="566"/>
      <c r="O651" s="852"/>
    </row>
    <row r="652" spans="1:15" s="157" customFormat="1">
      <c r="A652" s="254"/>
      <c r="B652" s="749"/>
      <c r="C652" s="564"/>
      <c r="D652" s="565"/>
      <c r="E652" s="566"/>
      <c r="F652" s="144"/>
      <c r="G652" s="153"/>
      <c r="H652" s="154"/>
      <c r="I652" s="155"/>
      <c r="J652" s="156"/>
      <c r="L652" s="162"/>
      <c r="N652" s="566"/>
      <c r="O652" s="852"/>
    </row>
    <row r="653" spans="1:15" s="157" customFormat="1" ht="55.2">
      <c r="A653" s="254" t="s">
        <v>4184</v>
      </c>
      <c r="B653" s="751" t="s">
        <v>4214</v>
      </c>
      <c r="C653" s="564" t="s">
        <v>670</v>
      </c>
      <c r="D653" s="565">
        <v>2</v>
      </c>
      <c r="E653" s="566">
        <v>137</v>
      </c>
      <c r="F653" s="144">
        <f t="shared" ref="F653" si="45">IF((D653*E653)=0,"",(D653*E653))</f>
        <v>274</v>
      </c>
      <c r="G653" s="153"/>
      <c r="H653" s="154"/>
      <c r="I653" s="155"/>
      <c r="J653" s="156"/>
      <c r="L653" s="162"/>
      <c r="N653" s="566"/>
      <c r="O653" s="852"/>
    </row>
    <row r="654" spans="1:15" s="157" customFormat="1">
      <c r="A654" s="254"/>
      <c r="B654" s="749"/>
      <c r="C654" s="564"/>
      <c r="D654" s="565"/>
      <c r="E654" s="926"/>
      <c r="F654" s="144"/>
      <c r="G654" s="153"/>
      <c r="H654" s="154"/>
      <c r="I654" s="155"/>
      <c r="J654" s="156"/>
      <c r="L654" s="162"/>
      <c r="N654" s="566"/>
      <c r="O654" s="852"/>
    </row>
    <row r="655" spans="1:15" s="157" customFormat="1" ht="82.8">
      <c r="A655" s="254" t="s">
        <v>4185</v>
      </c>
      <c r="B655" s="751" t="s">
        <v>4215</v>
      </c>
      <c r="C655" s="152" t="s">
        <v>670</v>
      </c>
      <c r="D655" s="572">
        <v>4</v>
      </c>
      <c r="E655" s="144">
        <v>365</v>
      </c>
      <c r="F655" s="144">
        <f t="shared" ref="F655" si="46">IF((D655*E655)=0,"",(D655*E655))</f>
        <v>1460</v>
      </c>
      <c r="G655" s="153"/>
      <c r="H655" s="154"/>
      <c r="I655" s="155"/>
      <c r="J655" s="156"/>
      <c r="L655" s="162"/>
      <c r="N655" s="144"/>
      <c r="O655" s="852"/>
    </row>
    <row r="656" spans="1:15" s="157" customFormat="1">
      <c r="A656" s="254"/>
      <c r="B656" s="749"/>
      <c r="C656" s="564"/>
      <c r="D656" s="565"/>
      <c r="E656" s="926"/>
      <c r="F656" s="144"/>
      <c r="G656" s="153"/>
      <c r="H656" s="154"/>
      <c r="I656" s="155"/>
      <c r="J656" s="156"/>
      <c r="L656" s="162"/>
      <c r="N656" s="566"/>
      <c r="O656" s="852"/>
    </row>
    <row r="657" spans="1:15" s="157" customFormat="1" ht="55.2">
      <c r="A657" s="254" t="s">
        <v>4186</v>
      </c>
      <c r="B657" s="752" t="s">
        <v>4216</v>
      </c>
      <c r="C657" s="152" t="s">
        <v>670</v>
      </c>
      <c r="D657" s="572">
        <v>2</v>
      </c>
      <c r="E657" s="144">
        <v>228</v>
      </c>
      <c r="F657" s="144">
        <f t="shared" ref="F657" si="47">IF((D657*E657)=0,"",(D657*E657))</f>
        <v>456</v>
      </c>
      <c r="G657" s="153"/>
      <c r="H657" s="154"/>
      <c r="I657" s="155"/>
      <c r="J657" s="156"/>
      <c r="L657" s="162"/>
      <c r="N657" s="144"/>
      <c r="O657" s="852"/>
    </row>
    <row r="658" spans="1:15" s="157" customFormat="1">
      <c r="A658" s="254"/>
      <c r="B658" s="749"/>
      <c r="C658" s="564"/>
      <c r="D658" s="565"/>
      <c r="E658" s="926"/>
      <c r="F658" s="144"/>
      <c r="G658" s="153"/>
      <c r="H658" s="154"/>
      <c r="I658" s="155"/>
      <c r="J658" s="156"/>
      <c r="L658" s="162"/>
      <c r="N658" s="566"/>
      <c r="O658" s="852"/>
    </row>
    <row r="659" spans="1:15" s="157" customFormat="1" ht="55.2">
      <c r="A659" s="254" t="s">
        <v>4187</v>
      </c>
      <c r="B659" s="751" t="s">
        <v>4217</v>
      </c>
      <c r="C659" s="564" t="s">
        <v>649</v>
      </c>
      <c r="D659" s="565">
        <v>3</v>
      </c>
      <c r="E659" s="566">
        <v>186</v>
      </c>
      <c r="F659" s="144">
        <f t="shared" ref="F659" si="48">IF((D659*E659)=0,"",(D659*E659))</f>
        <v>558</v>
      </c>
      <c r="G659" s="153"/>
      <c r="H659" s="154"/>
      <c r="I659" s="155"/>
      <c r="J659" s="156"/>
      <c r="L659" s="162"/>
      <c r="N659" s="566"/>
      <c r="O659" s="852"/>
    </row>
    <row r="660" spans="1:15" s="157" customFormat="1">
      <c r="A660" s="254"/>
      <c r="B660" s="749"/>
      <c r="C660" s="564"/>
      <c r="D660" s="565"/>
      <c r="E660" s="926"/>
      <c r="F660" s="144"/>
      <c r="G660" s="153"/>
      <c r="H660" s="154"/>
      <c r="I660" s="155"/>
      <c r="J660" s="156"/>
      <c r="L660" s="162"/>
      <c r="N660" s="566"/>
      <c r="O660" s="852"/>
    </row>
    <row r="661" spans="1:15" s="157" customFormat="1" ht="27.6">
      <c r="A661" s="254" t="s">
        <v>4188</v>
      </c>
      <c r="B661" s="751" t="s">
        <v>4218</v>
      </c>
      <c r="C661" s="564" t="s">
        <v>649</v>
      </c>
      <c r="D661" s="565">
        <v>20</v>
      </c>
      <c r="E661" s="566">
        <v>2</v>
      </c>
      <c r="F661" s="144">
        <f t="shared" ref="F661" si="49">IF((D661*E661)=0,"",(D661*E661))</f>
        <v>40</v>
      </c>
      <c r="G661" s="153"/>
      <c r="H661" s="154"/>
      <c r="I661" s="155"/>
      <c r="J661" s="156"/>
      <c r="L661" s="162"/>
      <c r="N661" s="566"/>
      <c r="O661" s="852"/>
    </row>
    <row r="662" spans="1:15" s="157" customFormat="1">
      <c r="A662" s="254"/>
      <c r="B662" s="749"/>
      <c r="C662" s="564"/>
      <c r="D662" s="565"/>
      <c r="E662" s="566"/>
      <c r="F662" s="144"/>
      <c r="G662" s="153"/>
      <c r="H662" s="154"/>
      <c r="I662" s="155"/>
      <c r="J662" s="156"/>
      <c r="L662" s="162"/>
      <c r="N662" s="566"/>
      <c r="O662" s="852"/>
    </row>
    <row r="663" spans="1:15" s="157" customFormat="1" ht="27.6">
      <c r="A663" s="254" t="s">
        <v>4189</v>
      </c>
      <c r="B663" s="751" t="s">
        <v>4219</v>
      </c>
      <c r="C663" s="564" t="s">
        <v>649</v>
      </c>
      <c r="D663" s="565">
        <v>6</v>
      </c>
      <c r="E663" s="566">
        <v>117</v>
      </c>
      <c r="F663" s="144">
        <f t="shared" ref="F663" si="50">IF((D663*E663)=0,"",(D663*E663))</f>
        <v>702</v>
      </c>
      <c r="G663" s="153"/>
      <c r="H663" s="154"/>
      <c r="I663" s="155"/>
      <c r="J663" s="156"/>
      <c r="L663" s="162"/>
      <c r="N663" s="566"/>
      <c r="O663" s="852"/>
    </row>
    <row r="664" spans="1:15" s="157" customFormat="1">
      <c r="A664" s="254"/>
      <c r="B664" s="749"/>
      <c r="C664" s="564"/>
      <c r="D664" s="565"/>
      <c r="E664" s="926"/>
      <c r="F664" s="144"/>
      <c r="G664" s="153"/>
      <c r="H664" s="154"/>
      <c r="I664" s="155"/>
      <c r="J664" s="156"/>
      <c r="L664" s="162"/>
      <c r="N664" s="566"/>
      <c r="O664" s="852"/>
    </row>
    <row r="665" spans="1:15" s="157" customFormat="1" ht="27.6">
      <c r="A665" s="254" t="s">
        <v>4190</v>
      </c>
      <c r="B665" s="751" t="s">
        <v>4220</v>
      </c>
      <c r="C665" s="564" t="s">
        <v>649</v>
      </c>
      <c r="D665" s="565">
        <v>20</v>
      </c>
      <c r="E665" s="566">
        <v>2.5</v>
      </c>
      <c r="F665" s="144">
        <f t="shared" ref="F665" si="51">IF((D665*E665)=0,"",(D665*E665))</f>
        <v>50</v>
      </c>
      <c r="G665" s="153"/>
      <c r="H665" s="154"/>
      <c r="I665" s="155"/>
      <c r="J665" s="156"/>
      <c r="L665" s="162"/>
      <c r="N665" s="566"/>
      <c r="O665" s="852"/>
    </row>
    <row r="666" spans="1:15" s="157" customFormat="1">
      <c r="A666" s="254"/>
      <c r="B666" s="749"/>
      <c r="C666" s="564"/>
      <c r="D666" s="565"/>
      <c r="E666" s="926"/>
      <c r="F666" s="144"/>
      <c r="G666" s="153"/>
      <c r="H666" s="154"/>
      <c r="I666" s="155"/>
      <c r="J666" s="156"/>
      <c r="L666" s="162"/>
      <c r="N666" s="566"/>
      <c r="O666" s="852"/>
    </row>
    <row r="667" spans="1:15" s="157" customFormat="1" ht="27.6">
      <c r="A667" s="254" t="s">
        <v>4191</v>
      </c>
      <c r="B667" s="751" t="s">
        <v>4221</v>
      </c>
      <c r="C667" s="564" t="s">
        <v>649</v>
      </c>
      <c r="D667" s="565">
        <v>20</v>
      </c>
      <c r="E667" s="566">
        <v>3.5</v>
      </c>
      <c r="F667" s="144">
        <f t="shared" ref="F667" si="52">IF((D667*E667)=0,"",(D667*E667))</f>
        <v>70</v>
      </c>
      <c r="G667" s="153"/>
      <c r="H667" s="154"/>
      <c r="I667" s="155"/>
      <c r="J667" s="156"/>
      <c r="L667" s="162"/>
      <c r="N667" s="566"/>
      <c r="O667" s="852"/>
    </row>
    <row r="668" spans="1:15" s="157" customFormat="1">
      <c r="A668" s="254"/>
      <c r="B668" s="749"/>
      <c r="C668" s="564"/>
      <c r="D668" s="565"/>
      <c r="E668" s="926"/>
      <c r="F668" s="144"/>
      <c r="G668" s="153"/>
      <c r="H668" s="154"/>
      <c r="I668" s="155"/>
      <c r="J668" s="156"/>
      <c r="L668" s="162"/>
      <c r="N668" s="566"/>
      <c r="O668" s="852"/>
    </row>
    <row r="669" spans="1:15" s="157" customFormat="1" ht="41.4">
      <c r="A669" s="254" t="s">
        <v>4192</v>
      </c>
      <c r="B669" s="751" t="s">
        <v>4222</v>
      </c>
      <c r="C669" s="564" t="s">
        <v>670</v>
      </c>
      <c r="D669" s="565">
        <v>10</v>
      </c>
      <c r="E669" s="566">
        <v>2.5</v>
      </c>
      <c r="F669" s="144">
        <f t="shared" ref="F669" si="53">IF((D669*E669)=0,"",(D669*E669))</f>
        <v>25</v>
      </c>
      <c r="G669" s="153"/>
      <c r="H669" s="154"/>
      <c r="I669" s="155"/>
      <c r="J669" s="156"/>
      <c r="L669" s="162"/>
      <c r="N669" s="566"/>
      <c r="O669" s="852"/>
    </row>
    <row r="670" spans="1:15" s="157" customFormat="1">
      <c r="A670" s="254"/>
      <c r="B670" s="749"/>
      <c r="C670" s="564"/>
      <c r="D670" s="565"/>
      <c r="E670" s="926"/>
      <c r="F670" s="144"/>
      <c r="G670" s="153"/>
      <c r="H670" s="154"/>
      <c r="I670" s="155"/>
      <c r="J670" s="156"/>
      <c r="L670" s="162"/>
      <c r="N670" s="566"/>
      <c r="O670" s="852"/>
    </row>
    <row r="671" spans="1:15" s="157" customFormat="1" ht="27.6">
      <c r="A671" s="254" t="s">
        <v>4193</v>
      </c>
      <c r="B671" s="751" t="s">
        <v>4223</v>
      </c>
      <c r="C671" s="564" t="s">
        <v>649</v>
      </c>
      <c r="D671" s="565">
        <v>20</v>
      </c>
      <c r="E671" s="566">
        <v>4</v>
      </c>
      <c r="F671" s="144">
        <f t="shared" ref="F671" si="54">IF((D671*E671)=0,"",(D671*E671))</f>
        <v>80</v>
      </c>
      <c r="G671" s="153"/>
      <c r="H671" s="154"/>
      <c r="I671" s="155"/>
      <c r="J671" s="156"/>
      <c r="L671" s="162"/>
      <c r="N671" s="566"/>
      <c r="O671" s="852"/>
    </row>
    <row r="672" spans="1:15" s="157" customFormat="1">
      <c r="A672" s="254"/>
      <c r="B672" s="749"/>
      <c r="C672" s="564"/>
      <c r="D672" s="565"/>
      <c r="E672" s="926"/>
      <c r="F672" s="144"/>
      <c r="G672" s="153"/>
      <c r="H672" s="154"/>
      <c r="I672" s="155"/>
      <c r="J672" s="156"/>
      <c r="L672" s="162"/>
      <c r="N672" s="566"/>
      <c r="O672" s="852"/>
    </row>
    <row r="673" spans="1:15" s="157" customFormat="1" ht="41.4">
      <c r="A673" s="254" t="s">
        <v>4194</v>
      </c>
      <c r="B673" s="751" t="s">
        <v>4224</v>
      </c>
      <c r="C673" s="564" t="s">
        <v>649</v>
      </c>
      <c r="D673" s="565">
        <v>20</v>
      </c>
      <c r="E673" s="566">
        <v>27</v>
      </c>
      <c r="F673" s="144">
        <f t="shared" ref="F673" si="55">IF((D673*E673)=0,"",(D673*E673))</f>
        <v>540</v>
      </c>
      <c r="G673" s="153"/>
      <c r="H673" s="154"/>
      <c r="I673" s="155"/>
      <c r="J673" s="156"/>
      <c r="L673" s="162"/>
      <c r="N673" s="566"/>
      <c r="O673" s="852"/>
    </row>
    <row r="674" spans="1:15" s="157" customFormat="1">
      <c r="A674" s="254"/>
      <c r="B674" s="749"/>
      <c r="C674" s="564"/>
      <c r="D674" s="565"/>
      <c r="E674" s="566"/>
      <c r="F674" s="144"/>
      <c r="G674" s="153"/>
      <c r="H674" s="154"/>
      <c r="I674" s="155"/>
      <c r="J674" s="156"/>
      <c r="L674" s="162"/>
      <c r="N674" s="566"/>
      <c r="O674" s="852"/>
    </row>
    <row r="675" spans="1:15" s="157" customFormat="1" ht="96.6">
      <c r="A675" s="254" t="s">
        <v>4195</v>
      </c>
      <c r="B675" s="751" t="s">
        <v>4825</v>
      </c>
      <c r="C675" s="564" t="s">
        <v>649</v>
      </c>
      <c r="D675" s="565">
        <v>12</v>
      </c>
      <c r="E675" s="566">
        <v>166</v>
      </c>
      <c r="F675" s="144">
        <f t="shared" ref="F675" si="56">IF((D675*E675)=0,"",(D675*E675))</f>
        <v>1992</v>
      </c>
      <c r="G675" s="153"/>
      <c r="H675" s="154"/>
      <c r="I675" s="155"/>
      <c r="J675" s="156"/>
      <c r="L675" s="162"/>
      <c r="N675" s="566"/>
      <c r="O675" s="852"/>
    </row>
    <row r="676" spans="1:15" s="157" customFormat="1">
      <c r="A676" s="254"/>
      <c r="B676" s="749"/>
      <c r="C676" s="564"/>
      <c r="D676" s="565"/>
      <c r="E676" s="566"/>
      <c r="F676" s="144"/>
      <c r="G676" s="153"/>
      <c r="H676" s="154"/>
      <c r="I676" s="155"/>
      <c r="J676" s="156"/>
      <c r="L676" s="162"/>
      <c r="N676" s="566"/>
      <c r="O676" s="852"/>
    </row>
    <row r="677" spans="1:15" s="157" customFormat="1" ht="55.2">
      <c r="A677" s="254" t="s">
        <v>4196</v>
      </c>
      <c r="B677" s="770" t="s">
        <v>3148</v>
      </c>
      <c r="C677" s="152" t="s">
        <v>649</v>
      </c>
      <c r="D677" s="572">
        <v>10</v>
      </c>
      <c r="E677" s="144">
        <v>86</v>
      </c>
      <c r="F677" s="144">
        <f t="shared" ref="F677" si="57">IF((D677*E677)=0,"",(D677*E677))</f>
        <v>860</v>
      </c>
      <c r="G677" s="153"/>
      <c r="H677" s="154"/>
      <c r="I677" s="155"/>
      <c r="J677" s="156"/>
      <c r="L677" s="162"/>
      <c r="N677" s="144"/>
      <c r="O677" s="852"/>
    </row>
    <row r="678" spans="1:15" s="157" customFormat="1">
      <c r="A678" s="254"/>
      <c r="B678" s="770"/>
      <c r="C678" s="152"/>
      <c r="D678" s="572"/>
      <c r="E678" s="144"/>
      <c r="F678" s="144"/>
      <c r="G678" s="153"/>
      <c r="H678" s="154"/>
      <c r="I678" s="155"/>
      <c r="J678" s="156"/>
      <c r="L678" s="162"/>
      <c r="N678" s="144"/>
      <c r="O678" s="852"/>
    </row>
    <row r="679" spans="1:15" s="157" customFormat="1" ht="41.4">
      <c r="A679" s="254" t="s">
        <v>4203</v>
      </c>
      <c r="B679" s="770" t="s">
        <v>2688</v>
      </c>
      <c r="C679" s="152" t="s">
        <v>649</v>
      </c>
      <c r="D679" s="572">
        <v>10</v>
      </c>
      <c r="E679" s="144">
        <v>95</v>
      </c>
      <c r="F679" s="144">
        <f t="shared" ref="F679" si="58">IF((D679*E679)=0,"",(D679*E679))</f>
        <v>950</v>
      </c>
      <c r="G679" s="153"/>
      <c r="H679" s="154"/>
      <c r="I679" s="155"/>
      <c r="J679" s="156"/>
      <c r="L679" s="162"/>
      <c r="N679" s="144"/>
      <c r="O679" s="852"/>
    </row>
    <row r="680" spans="1:15" s="157" customFormat="1">
      <c r="A680" s="254"/>
      <c r="B680" s="770"/>
      <c r="C680" s="152"/>
      <c r="D680" s="572"/>
      <c r="E680" s="144"/>
      <c r="F680" s="144"/>
      <c r="G680" s="153"/>
      <c r="H680" s="154"/>
      <c r="I680" s="155"/>
      <c r="J680" s="156"/>
      <c r="L680" s="162"/>
      <c r="N680" s="144"/>
      <c r="O680" s="852"/>
    </row>
    <row r="681" spans="1:15" s="157" customFormat="1" ht="82.8">
      <c r="A681" s="254" t="s">
        <v>4204</v>
      </c>
      <c r="B681" s="770" t="s">
        <v>3158</v>
      </c>
      <c r="C681" s="152" t="s">
        <v>649</v>
      </c>
      <c r="D681" s="572">
        <v>10</v>
      </c>
      <c r="E681" s="144">
        <v>66</v>
      </c>
      <c r="F681" s="144">
        <f t="shared" ref="F681" si="59">IF((D681*E681)=0,"",(D681*E681))</f>
        <v>660</v>
      </c>
      <c r="G681" s="153"/>
      <c r="H681" s="154"/>
      <c r="I681" s="155"/>
      <c r="J681" s="156"/>
      <c r="L681" s="162"/>
      <c r="N681" s="144"/>
      <c r="O681" s="852"/>
    </row>
    <row r="682" spans="1:15" s="157" customFormat="1">
      <c r="A682" s="254"/>
      <c r="B682" s="770"/>
      <c r="C682" s="152"/>
      <c r="D682" s="572"/>
      <c r="E682" s="144"/>
      <c r="F682" s="144"/>
      <c r="G682" s="153"/>
      <c r="H682" s="154"/>
      <c r="I682" s="155"/>
      <c r="J682" s="156"/>
      <c r="L682" s="162"/>
      <c r="N682" s="144"/>
      <c r="O682" s="852"/>
    </row>
    <row r="683" spans="1:15" s="157" customFormat="1" ht="55.2">
      <c r="A683" s="254" t="s">
        <v>4205</v>
      </c>
      <c r="B683" s="770" t="s">
        <v>3147</v>
      </c>
      <c r="C683" s="152" t="s">
        <v>670</v>
      </c>
      <c r="D683" s="572">
        <v>1</v>
      </c>
      <c r="E683" s="144">
        <v>458</v>
      </c>
      <c r="F683" s="144">
        <f t="shared" ref="F683" si="60">IF((D683*E683)=0,"",(D683*E683))</f>
        <v>458</v>
      </c>
      <c r="G683" s="153"/>
      <c r="H683" s="154"/>
      <c r="I683" s="155"/>
      <c r="J683" s="156"/>
      <c r="L683" s="162"/>
      <c r="N683" s="144"/>
      <c r="O683" s="852"/>
    </row>
    <row r="684" spans="1:15" s="157" customFormat="1">
      <c r="A684" s="595"/>
      <c r="B684" s="596"/>
      <c r="C684" s="597"/>
      <c r="D684" s="598"/>
      <c r="E684" s="599"/>
      <c r="F684" s="599"/>
      <c r="G684" s="153"/>
      <c r="H684" s="154"/>
      <c r="I684" s="155"/>
      <c r="J684" s="156"/>
      <c r="L684" s="162"/>
      <c r="N684" s="599"/>
      <c r="O684" s="852"/>
    </row>
    <row r="685" spans="1:15" s="157" customFormat="1">
      <c r="A685" s="269" t="str">
        <f>A637</f>
        <v>B.6.</v>
      </c>
      <c r="B685" s="753" t="str">
        <f>CONCATENATE(B637," ", "UKUPNO:")</f>
        <v>SPREMIŠTE PVN 2 UKUPNO:</v>
      </c>
      <c r="C685" s="152"/>
      <c r="D685" s="572"/>
      <c r="E685" s="144"/>
      <c r="F685" s="670">
        <f>SUM(F639:F684)</f>
        <v>16088</v>
      </c>
      <c r="G685" s="153"/>
      <c r="H685" s="154"/>
      <c r="I685" s="155"/>
      <c r="J685" s="156"/>
      <c r="L685" s="162"/>
      <c r="N685" s="144"/>
      <c r="O685" s="852"/>
    </row>
    <row r="686" spans="1:15" s="157" customFormat="1">
      <c r="A686" s="254"/>
      <c r="B686" s="765"/>
      <c r="C686" s="152"/>
      <c r="D686" s="572"/>
      <c r="E686" s="144"/>
      <c r="F686" s="144"/>
      <c r="G686" s="153"/>
      <c r="H686" s="154"/>
      <c r="I686" s="155"/>
      <c r="J686" s="156"/>
      <c r="L686" s="162"/>
      <c r="N686" s="144"/>
      <c r="O686" s="852"/>
    </row>
    <row r="687" spans="1:15" s="157" customFormat="1">
      <c r="A687" s="254"/>
      <c r="B687" s="765"/>
      <c r="C687" s="152"/>
      <c r="D687" s="572"/>
      <c r="E687" s="144"/>
      <c r="F687" s="144"/>
      <c r="G687" s="153"/>
      <c r="H687" s="154"/>
      <c r="I687" s="155"/>
      <c r="J687" s="156"/>
      <c r="L687" s="162"/>
      <c r="N687" s="144"/>
      <c r="O687" s="852"/>
    </row>
    <row r="688" spans="1:15" s="157" customFormat="1">
      <c r="A688" s="581" t="s">
        <v>1135</v>
      </c>
      <c r="B688" s="582" t="s">
        <v>2707</v>
      </c>
      <c r="C688" s="583"/>
      <c r="D688" s="584"/>
      <c r="E688" s="585"/>
      <c r="F688" s="586"/>
      <c r="G688" s="153"/>
      <c r="H688" s="154"/>
      <c r="I688" s="155"/>
      <c r="J688" s="156"/>
      <c r="L688" s="162"/>
      <c r="N688" s="585"/>
      <c r="O688" s="852"/>
    </row>
    <row r="689" spans="1:15" s="157" customFormat="1">
      <c r="A689" s="254"/>
      <c r="B689" s="159"/>
      <c r="C689" s="152"/>
      <c r="D689" s="572"/>
      <c r="E689" s="144"/>
      <c r="F689" s="144"/>
      <c r="G689" s="153"/>
      <c r="H689" s="154"/>
      <c r="I689" s="155"/>
      <c r="J689" s="156"/>
      <c r="L689" s="162"/>
      <c r="N689" s="144"/>
      <c r="O689" s="852"/>
    </row>
    <row r="690" spans="1:15" s="157" customFormat="1" ht="110.4">
      <c r="A690" s="254" t="s">
        <v>1136</v>
      </c>
      <c r="B690" s="612" t="s">
        <v>2709</v>
      </c>
      <c r="C690" s="152" t="s">
        <v>649</v>
      </c>
      <c r="D690" s="572">
        <v>1</v>
      </c>
      <c r="E690" s="144">
        <v>123</v>
      </c>
      <c r="F690" s="144">
        <f t="shared" ref="F690" si="61">IF((D690*E690)=0,"",(D690*E690))</f>
        <v>123</v>
      </c>
      <c r="G690" s="153"/>
      <c r="H690" s="154"/>
      <c r="I690" s="155"/>
      <c r="J690" s="156"/>
      <c r="L690" s="162"/>
      <c r="N690" s="144"/>
      <c r="O690" s="852"/>
    </row>
    <row r="691" spans="1:15" s="157" customFormat="1">
      <c r="A691" s="254"/>
      <c r="B691" s="762"/>
      <c r="C691" s="152"/>
      <c r="D691" s="572"/>
      <c r="E691" s="144"/>
      <c r="F691" s="144"/>
      <c r="G691" s="153"/>
      <c r="H691" s="154"/>
      <c r="I691" s="155"/>
      <c r="J691" s="156"/>
      <c r="L691" s="162"/>
      <c r="N691" s="144"/>
      <c r="O691" s="852"/>
    </row>
    <row r="692" spans="1:15" s="157" customFormat="1" ht="165.6">
      <c r="A692" s="254" t="s">
        <v>1137</v>
      </c>
      <c r="B692" s="612" t="s">
        <v>4225</v>
      </c>
      <c r="C692" s="152" t="s">
        <v>649</v>
      </c>
      <c r="D692" s="572">
        <v>1</v>
      </c>
      <c r="E692" s="144">
        <v>946</v>
      </c>
      <c r="F692" s="144">
        <f t="shared" ref="F692" si="62">IF((D692*E692)=0,"",(D692*E692))</f>
        <v>946</v>
      </c>
      <c r="G692" s="153"/>
      <c r="H692" s="154"/>
      <c r="I692" s="155"/>
      <c r="J692" s="156"/>
      <c r="L692" s="162"/>
      <c r="N692" s="144"/>
      <c r="O692" s="852"/>
    </row>
    <row r="693" spans="1:15" s="157" customFormat="1">
      <c r="A693" s="254"/>
      <c r="B693" s="880"/>
      <c r="C693" s="772"/>
      <c r="D693" s="773"/>
      <c r="E693" s="144"/>
      <c r="F693" s="144"/>
      <c r="G693" s="153"/>
      <c r="H693" s="154"/>
      <c r="I693" s="155"/>
      <c r="J693" s="156"/>
      <c r="L693" s="162"/>
      <c r="N693" s="144"/>
      <c r="O693" s="852"/>
    </row>
    <row r="694" spans="1:15" s="157" customFormat="1" ht="27.6">
      <c r="A694" s="254" t="s">
        <v>1138</v>
      </c>
      <c r="B694" s="612" t="s">
        <v>2712</v>
      </c>
      <c r="C694" s="152" t="s">
        <v>649</v>
      </c>
      <c r="D694" s="572">
        <v>1</v>
      </c>
      <c r="E694" s="144">
        <v>69</v>
      </c>
      <c r="F694" s="144">
        <f t="shared" ref="F694" si="63">IF((D694*E694)=0,"",(D694*E694))</f>
        <v>69</v>
      </c>
      <c r="G694" s="153"/>
      <c r="H694" s="154"/>
      <c r="I694" s="155"/>
      <c r="J694" s="156"/>
      <c r="L694" s="162"/>
      <c r="N694" s="144"/>
      <c r="O694" s="852"/>
    </row>
    <row r="695" spans="1:15" s="157" customFormat="1">
      <c r="A695" s="595"/>
      <c r="B695" s="596"/>
      <c r="C695" s="597"/>
      <c r="D695" s="598"/>
      <c r="E695" s="599"/>
      <c r="F695" s="599"/>
      <c r="G695" s="153"/>
      <c r="H695" s="154"/>
      <c r="I695" s="155"/>
      <c r="J695" s="156"/>
      <c r="L695" s="162"/>
      <c r="N695" s="599"/>
      <c r="O695" s="852"/>
    </row>
    <row r="696" spans="1:15" s="157" customFormat="1">
      <c r="A696" s="269" t="str">
        <f>A688</f>
        <v>B.7.</v>
      </c>
      <c r="B696" s="753" t="str">
        <f>CONCATENATE(B688," ", "UKUPNO:")</f>
        <v>MULTIMEDIJALNI UREĐAJI UKUPNO:</v>
      </c>
      <c r="C696" s="152"/>
      <c r="D696" s="572"/>
      <c r="E696" s="144"/>
      <c r="F696" s="670">
        <f>SUM(F690:F695)</f>
        <v>1138</v>
      </c>
      <c r="G696" s="153"/>
      <c r="H696" s="154"/>
      <c r="I696" s="155"/>
      <c r="J696" s="156"/>
      <c r="L696" s="162"/>
      <c r="N696" s="144"/>
      <c r="O696" s="852"/>
    </row>
    <row r="697" spans="1:15" s="157" customFormat="1">
      <c r="A697" s="254"/>
      <c r="B697" s="765"/>
      <c r="C697" s="152"/>
      <c r="D697" s="572"/>
      <c r="E697" s="144"/>
      <c r="F697" s="144"/>
      <c r="G697" s="153"/>
      <c r="H697" s="154"/>
      <c r="I697" s="155"/>
      <c r="J697" s="156"/>
      <c r="L697" s="162"/>
      <c r="N697" s="144"/>
      <c r="O697" s="852"/>
    </row>
    <row r="698" spans="1:15" s="157" customFormat="1" ht="14.4" thickBot="1">
      <c r="A698" s="607"/>
      <c r="B698" s="608"/>
      <c r="C698" s="609"/>
      <c r="D698" s="610"/>
      <c r="E698" s="611"/>
      <c r="F698" s="611"/>
      <c r="G698" s="153"/>
      <c r="H698" s="154"/>
      <c r="I698" s="155"/>
      <c r="J698" s="156"/>
      <c r="L698" s="162"/>
      <c r="N698" s="611"/>
      <c r="O698" s="852"/>
    </row>
    <row r="699" spans="1:15" s="157" customFormat="1">
      <c r="A699" s="269" t="str">
        <f>A521</f>
        <v>B.</v>
      </c>
      <c r="B699" s="753" t="str">
        <f>CONCATENATE(B521," ", "SVEUKUPNO:")</f>
        <v>PVN I KOMUNIKACIJE SVEUKUPNO:</v>
      </c>
      <c r="C699" s="152"/>
      <c r="D699" s="572"/>
      <c r="E699" s="144"/>
      <c r="F699" s="670">
        <f>SUM(F558,F571,F584,F593,F634,F685,F696)</f>
        <v>30490.5</v>
      </c>
      <c r="G699" s="153"/>
      <c r="H699" s="154"/>
      <c r="I699" s="155"/>
      <c r="J699" s="156"/>
      <c r="L699" s="162"/>
      <c r="N699" s="144"/>
      <c r="O699" s="852"/>
    </row>
    <row r="700" spans="1:15" s="157" customFormat="1">
      <c r="A700" s="269"/>
      <c r="B700" s="753"/>
      <c r="C700" s="152"/>
      <c r="D700" s="572"/>
      <c r="E700" s="144"/>
      <c r="F700" s="205"/>
      <c r="G700" s="153"/>
      <c r="H700" s="154"/>
      <c r="I700" s="155"/>
      <c r="J700" s="156"/>
      <c r="L700" s="162"/>
      <c r="N700" s="144"/>
      <c r="O700" s="852"/>
    </row>
    <row r="701" spans="1:15" s="157" customFormat="1">
      <c r="A701" s="269"/>
      <c r="B701" s="753"/>
      <c r="C701" s="152"/>
      <c r="D701" s="572"/>
      <c r="E701" s="144"/>
      <c r="F701" s="205"/>
      <c r="G701" s="153"/>
      <c r="H701" s="154"/>
      <c r="I701" s="155"/>
      <c r="J701" s="156"/>
      <c r="L701" s="162"/>
      <c r="N701" s="144"/>
      <c r="O701" s="852"/>
    </row>
    <row r="702" spans="1:15" s="157" customFormat="1" ht="14.4" thickBot="1">
      <c r="A702" s="254"/>
      <c r="B702" s="159"/>
      <c r="C702" s="152"/>
      <c r="D702" s="572"/>
      <c r="E702" s="144"/>
      <c r="F702" s="144"/>
      <c r="G702" s="153"/>
      <c r="H702" s="154"/>
      <c r="I702" s="155"/>
      <c r="J702" s="156"/>
      <c r="L702" s="162"/>
      <c r="N702" s="144"/>
      <c r="O702" s="852"/>
    </row>
    <row r="703" spans="1:15" s="149" customFormat="1" ht="14.4" thickBot="1">
      <c r="A703" s="573" t="s">
        <v>2715</v>
      </c>
      <c r="B703" s="574" t="s">
        <v>2716</v>
      </c>
      <c r="C703" s="575"/>
      <c r="D703" s="576"/>
      <c r="E703" s="577"/>
      <c r="F703" s="578"/>
      <c r="G703" s="145"/>
      <c r="H703" s="146"/>
      <c r="I703" s="147"/>
      <c r="J703" s="148"/>
      <c r="L703" s="579"/>
      <c r="N703" s="577"/>
      <c r="O703" s="852"/>
    </row>
    <row r="704" spans="1:15" s="149" customFormat="1">
      <c r="A704" s="269"/>
      <c r="B704" s="180"/>
      <c r="C704" s="142"/>
      <c r="D704" s="580"/>
      <c r="E704" s="144"/>
      <c r="F704" s="143"/>
      <c r="G704" s="145"/>
      <c r="H704" s="146"/>
      <c r="I704" s="147"/>
      <c r="J704" s="148"/>
      <c r="L704" s="579"/>
      <c r="N704" s="144"/>
      <c r="O704" s="852"/>
    </row>
    <row r="705" spans="1:15" s="157" customFormat="1">
      <c r="A705" s="254"/>
      <c r="B705" s="159"/>
      <c r="C705" s="152"/>
      <c r="D705" s="572"/>
      <c r="G705" s="153"/>
      <c r="H705" s="154"/>
      <c r="I705" s="155"/>
      <c r="J705" s="156"/>
      <c r="L705" s="162"/>
      <c r="N705" s="851"/>
      <c r="O705" s="852"/>
    </row>
    <row r="706" spans="1:15" s="149" customFormat="1">
      <c r="A706" s="581" t="s">
        <v>2717</v>
      </c>
      <c r="B706" s="582" t="s">
        <v>2718</v>
      </c>
      <c r="C706" s="583"/>
      <c r="D706" s="584"/>
      <c r="E706" s="761"/>
      <c r="F706" s="761"/>
      <c r="G706" s="145"/>
      <c r="H706" s="146"/>
      <c r="I706" s="147"/>
      <c r="J706" s="148"/>
      <c r="L706" s="579"/>
      <c r="N706" s="761"/>
      <c r="O706" s="852"/>
    </row>
    <row r="707" spans="1:15" s="157" customFormat="1">
      <c r="A707" s="254"/>
      <c r="B707" s="159"/>
      <c r="C707" s="152"/>
      <c r="D707" s="572"/>
      <c r="G707" s="153"/>
      <c r="H707" s="154"/>
      <c r="I707" s="155"/>
      <c r="J707" s="156"/>
      <c r="L707" s="162"/>
      <c r="N707" s="851"/>
      <c r="O707" s="852"/>
    </row>
    <row r="708" spans="1:15" s="157" customFormat="1" ht="179.4">
      <c r="A708" s="254" t="s">
        <v>2719</v>
      </c>
      <c r="B708" s="869" t="s">
        <v>5111</v>
      </c>
      <c r="C708" s="152" t="s">
        <v>649</v>
      </c>
      <c r="D708" s="572">
        <v>1</v>
      </c>
      <c r="E708" s="144">
        <v>225</v>
      </c>
      <c r="F708" s="144">
        <f>IF((D708*E708)=0,"",(D708*E708))</f>
        <v>225</v>
      </c>
      <c r="G708" s="153"/>
      <c r="H708" s="154"/>
      <c r="I708" s="155"/>
      <c r="J708" s="156"/>
      <c r="L708" s="162"/>
      <c r="N708" s="144"/>
      <c r="O708" s="852"/>
    </row>
    <row r="709" spans="1:15" s="157" customFormat="1">
      <c r="A709" s="254"/>
      <c r="B709" s="762"/>
      <c r="C709" s="152"/>
      <c r="D709" s="572"/>
      <c r="E709" s="144"/>
      <c r="F709" s="144"/>
      <c r="G709" s="153"/>
      <c r="H709" s="154"/>
      <c r="I709" s="155"/>
      <c r="J709" s="156"/>
      <c r="L709" s="162"/>
      <c r="N709" s="144"/>
      <c r="O709" s="852"/>
    </row>
    <row r="710" spans="1:15" s="157" customFormat="1" ht="151.80000000000001">
      <c r="A710" s="254" t="s">
        <v>2720</v>
      </c>
      <c r="B710" s="869" t="s">
        <v>5112</v>
      </c>
      <c r="C710" s="152" t="s">
        <v>649</v>
      </c>
      <c r="D710" s="572">
        <v>1</v>
      </c>
      <c r="E710" s="144">
        <v>155</v>
      </c>
      <c r="F710" s="144">
        <f>IF((D710*E710)=0,"",(D710*E710))</f>
        <v>155</v>
      </c>
      <c r="G710" s="153"/>
      <c r="H710" s="154"/>
      <c r="I710" s="155"/>
      <c r="J710" s="156"/>
      <c r="L710" s="162"/>
      <c r="N710" s="144"/>
      <c r="O710" s="852"/>
    </row>
    <row r="711" spans="1:15" s="157" customFormat="1">
      <c r="A711" s="254"/>
      <c r="B711" s="762"/>
      <c r="C711" s="152"/>
      <c r="D711" s="572"/>
      <c r="E711" s="144"/>
      <c r="F711" s="144"/>
      <c r="G711" s="153"/>
      <c r="H711" s="154"/>
      <c r="I711" s="155"/>
      <c r="J711" s="156"/>
      <c r="L711" s="162"/>
      <c r="N711" s="144"/>
      <c r="O711" s="852"/>
    </row>
    <row r="712" spans="1:15" s="157" customFormat="1" ht="96.6">
      <c r="A712" s="254" t="s">
        <v>2721</v>
      </c>
      <c r="B712" s="604" t="s">
        <v>5117</v>
      </c>
      <c r="C712" s="152" t="s">
        <v>649</v>
      </c>
      <c r="D712" s="572">
        <v>1</v>
      </c>
      <c r="E712" s="144">
        <v>184</v>
      </c>
      <c r="F712" s="144">
        <f>IF((D712*E712)=0,"",(D712*E712))</f>
        <v>184</v>
      </c>
      <c r="G712" s="153"/>
      <c r="H712" s="154"/>
      <c r="I712" s="155"/>
      <c r="J712" s="156"/>
      <c r="L712" s="162"/>
      <c r="N712" s="144"/>
      <c r="O712" s="852"/>
    </row>
    <row r="713" spans="1:15" s="157" customFormat="1">
      <c r="A713" s="254"/>
      <c r="B713" s="159"/>
      <c r="C713" s="152"/>
      <c r="D713" s="572"/>
      <c r="E713" s="144"/>
      <c r="F713" s="144" t="str">
        <f>IF((D713*E713)=0,"",(D713*E713))</f>
        <v/>
      </c>
      <c r="G713" s="153"/>
      <c r="H713" s="154"/>
      <c r="I713" s="155"/>
      <c r="J713" s="156"/>
      <c r="L713" s="162"/>
      <c r="N713" s="144"/>
      <c r="O713" s="852"/>
    </row>
    <row r="714" spans="1:15" s="157" customFormat="1" ht="207">
      <c r="A714" s="254" t="s">
        <v>2722</v>
      </c>
      <c r="B714" s="869" t="s">
        <v>5118</v>
      </c>
      <c r="C714" s="152" t="s">
        <v>649</v>
      </c>
      <c r="D714" s="572">
        <v>2</v>
      </c>
      <c r="E714" s="144">
        <v>58</v>
      </c>
      <c r="F714" s="144">
        <f>IF((D714*E714)=0,"",(D714*E714))</f>
        <v>116</v>
      </c>
      <c r="G714" s="153"/>
      <c r="H714" s="154"/>
      <c r="I714" s="155"/>
      <c r="J714" s="156"/>
      <c r="L714" s="162"/>
      <c r="N714" s="144"/>
      <c r="O714" s="852"/>
    </row>
    <row r="715" spans="1:15" s="157" customFormat="1">
      <c r="A715" s="254"/>
      <c r="B715" s="159"/>
      <c r="C715" s="152"/>
      <c r="D715" s="572"/>
      <c r="E715" s="144"/>
      <c r="F715" s="144"/>
      <c r="G715" s="153"/>
      <c r="H715" s="154"/>
      <c r="I715" s="155"/>
      <c r="J715" s="156"/>
      <c r="L715" s="162"/>
      <c r="N715" s="144"/>
      <c r="O715" s="852"/>
    </row>
    <row r="716" spans="1:15" s="157" customFormat="1" ht="234.6">
      <c r="A716" s="254" t="s">
        <v>2723</v>
      </c>
      <c r="B716" s="869" t="s">
        <v>5113</v>
      </c>
      <c r="C716" s="152" t="s">
        <v>649</v>
      </c>
      <c r="D716" s="572">
        <v>1</v>
      </c>
      <c r="E716" s="144">
        <v>720</v>
      </c>
      <c r="F716" s="144">
        <f t="shared" ref="F716:F730" si="64">IF((D716*E716)=0,"",(D716*E716))</f>
        <v>720</v>
      </c>
      <c r="G716" s="153"/>
      <c r="H716" s="154"/>
      <c r="I716" s="155"/>
      <c r="J716" s="156"/>
      <c r="L716" s="162"/>
      <c r="N716" s="144"/>
      <c r="O716" s="852"/>
    </row>
    <row r="717" spans="1:15" s="157" customFormat="1">
      <c r="A717" s="254"/>
      <c r="B717" s="159"/>
      <c r="C717" s="152"/>
      <c r="D717" s="572"/>
      <c r="E717" s="144"/>
      <c r="F717" s="144" t="str">
        <f t="shared" si="64"/>
        <v/>
      </c>
      <c r="G717" s="153"/>
      <c r="H717" s="154"/>
      <c r="I717" s="155"/>
      <c r="J717" s="156"/>
      <c r="L717" s="162"/>
      <c r="N717" s="144"/>
      <c r="O717" s="852"/>
    </row>
    <row r="718" spans="1:15" s="157" customFormat="1" ht="220.8">
      <c r="A718" s="254" t="s">
        <v>2724</v>
      </c>
      <c r="B718" s="869" t="s">
        <v>5114</v>
      </c>
      <c r="C718" s="152" t="s">
        <v>649</v>
      </c>
      <c r="D718" s="572">
        <v>1</v>
      </c>
      <c r="E718" s="144">
        <v>340</v>
      </c>
      <c r="F718" s="144">
        <f t="shared" si="64"/>
        <v>340</v>
      </c>
      <c r="G718" s="153"/>
      <c r="H718" s="154"/>
      <c r="I718" s="155"/>
      <c r="J718" s="156"/>
      <c r="L718" s="162"/>
      <c r="N718" s="144"/>
      <c r="O718" s="852"/>
    </row>
    <row r="719" spans="1:15" s="157" customFormat="1">
      <c r="A719" s="254"/>
      <c r="B719" s="159"/>
      <c r="C719" s="152"/>
      <c r="D719" s="572"/>
      <c r="E719" s="144"/>
      <c r="F719" s="144"/>
      <c r="G719" s="153"/>
      <c r="H719" s="154"/>
      <c r="I719" s="155"/>
      <c r="J719" s="156"/>
      <c r="L719" s="162"/>
      <c r="N719" s="144"/>
      <c r="O719" s="852"/>
    </row>
    <row r="720" spans="1:15" s="157" customFormat="1" ht="151.80000000000001">
      <c r="A720" s="254" t="s">
        <v>2725</v>
      </c>
      <c r="B720" s="869" t="s">
        <v>5115</v>
      </c>
      <c r="C720" s="152" t="s">
        <v>649</v>
      </c>
      <c r="D720" s="572">
        <v>1</v>
      </c>
      <c r="E720" s="144">
        <v>180</v>
      </c>
      <c r="F720" s="144">
        <f t="shared" ref="F720" si="65">IF((D720*E720)=0,"",(D720*E720))</f>
        <v>180</v>
      </c>
      <c r="G720" s="153"/>
      <c r="H720" s="154"/>
      <c r="I720" s="155"/>
      <c r="J720" s="156"/>
      <c r="L720" s="162"/>
      <c r="N720" s="144"/>
      <c r="O720" s="852"/>
    </row>
    <row r="721" spans="1:15" s="157" customFormat="1">
      <c r="A721" s="254"/>
      <c r="B721" s="159"/>
      <c r="C721" s="152"/>
      <c r="D721" s="572"/>
      <c r="E721" s="144"/>
      <c r="F721" s="144" t="str">
        <f t="shared" si="64"/>
        <v/>
      </c>
      <c r="G721" s="153"/>
      <c r="H721" s="154"/>
      <c r="I721" s="155"/>
      <c r="J721" s="156"/>
      <c r="L721" s="162"/>
      <c r="N721" s="144"/>
      <c r="O721" s="852"/>
    </row>
    <row r="722" spans="1:15" s="157" customFormat="1" ht="82.8">
      <c r="A722" s="254" t="s">
        <v>2726</v>
      </c>
      <c r="B722" s="762" t="s">
        <v>2698</v>
      </c>
      <c r="C722" s="152" t="s">
        <v>649</v>
      </c>
      <c r="D722" s="572">
        <v>1</v>
      </c>
      <c r="E722" s="144">
        <v>78</v>
      </c>
      <c r="F722" s="144">
        <f t="shared" si="64"/>
        <v>78</v>
      </c>
      <c r="G722" s="153"/>
      <c r="H722" s="154"/>
      <c r="I722" s="155"/>
      <c r="J722" s="156"/>
      <c r="L722" s="162"/>
      <c r="N722" s="144"/>
      <c r="O722" s="852"/>
    </row>
    <row r="723" spans="1:15" s="157" customFormat="1">
      <c r="A723" s="254"/>
      <c r="B723" s="159"/>
      <c r="C723" s="152"/>
      <c r="D723" s="572"/>
      <c r="E723" s="144"/>
      <c r="F723" s="144" t="str">
        <f t="shared" si="64"/>
        <v/>
      </c>
      <c r="G723" s="153"/>
      <c r="H723" s="154"/>
      <c r="I723" s="155"/>
      <c r="J723" s="156"/>
      <c r="L723" s="162"/>
      <c r="N723" s="144"/>
      <c r="O723" s="852"/>
    </row>
    <row r="724" spans="1:15" s="157" customFormat="1" ht="82.8">
      <c r="A724" s="254" t="s">
        <v>2727</v>
      </c>
      <c r="B724" s="762" t="s">
        <v>2728</v>
      </c>
      <c r="C724" s="152" t="s">
        <v>649</v>
      </c>
      <c r="D724" s="572">
        <v>1</v>
      </c>
      <c r="E724" s="144">
        <v>84</v>
      </c>
      <c r="F724" s="144">
        <f t="shared" si="64"/>
        <v>84</v>
      </c>
      <c r="G724" s="153"/>
      <c r="H724" s="154"/>
      <c r="I724" s="155"/>
      <c r="J724" s="156"/>
      <c r="L724" s="162"/>
      <c r="N724" s="144"/>
      <c r="O724" s="852"/>
    </row>
    <row r="725" spans="1:15" s="157" customFormat="1">
      <c r="A725" s="254"/>
      <c r="B725" s="159"/>
      <c r="C725" s="152"/>
      <c r="D725" s="572"/>
      <c r="E725" s="144"/>
      <c r="F725" s="144"/>
      <c r="G725" s="153"/>
      <c r="H725" s="154"/>
      <c r="I725" s="155"/>
      <c r="J725" s="156"/>
      <c r="L725" s="162"/>
      <c r="N725" s="144"/>
      <c r="O725" s="852"/>
    </row>
    <row r="726" spans="1:15" s="157" customFormat="1" ht="27.6">
      <c r="A726" s="254" t="s">
        <v>2729</v>
      </c>
      <c r="B726" s="762" t="s">
        <v>2730</v>
      </c>
      <c r="C726" s="152" t="s">
        <v>649</v>
      </c>
      <c r="D726" s="572">
        <v>1</v>
      </c>
      <c r="E726" s="144">
        <v>38</v>
      </c>
      <c r="F726" s="144">
        <f t="shared" si="64"/>
        <v>38</v>
      </c>
      <c r="G726" s="153"/>
      <c r="H726" s="154"/>
      <c r="I726" s="155"/>
      <c r="J726" s="156"/>
      <c r="L726" s="162"/>
      <c r="N726" s="144"/>
      <c r="O726" s="852"/>
    </row>
    <row r="727" spans="1:15" s="157" customFormat="1">
      <c r="A727" s="254"/>
      <c r="B727" s="159"/>
      <c r="C727" s="152"/>
      <c r="D727" s="572"/>
      <c r="E727" s="144"/>
      <c r="F727" s="144" t="str">
        <f t="shared" si="64"/>
        <v/>
      </c>
      <c r="G727" s="153"/>
      <c r="H727" s="154"/>
      <c r="I727" s="155"/>
      <c r="J727" s="156"/>
      <c r="L727" s="162"/>
      <c r="N727" s="144"/>
      <c r="O727" s="852"/>
    </row>
    <row r="728" spans="1:15" s="157" customFormat="1" ht="27.6">
      <c r="A728" s="254" t="s">
        <v>2731</v>
      </c>
      <c r="B728" s="612" t="s">
        <v>2732</v>
      </c>
      <c r="C728" s="152" t="s">
        <v>649</v>
      </c>
      <c r="D728" s="572">
        <v>1</v>
      </c>
      <c r="E728" s="144">
        <v>29</v>
      </c>
      <c r="F728" s="144">
        <f t="shared" si="64"/>
        <v>29</v>
      </c>
      <c r="G728" s="153"/>
      <c r="H728" s="154"/>
      <c r="I728" s="155"/>
      <c r="J728" s="156"/>
      <c r="L728" s="162"/>
      <c r="N728" s="144"/>
      <c r="O728" s="852"/>
    </row>
    <row r="729" spans="1:15" s="157" customFormat="1">
      <c r="A729" s="254"/>
      <c r="B729" s="612"/>
      <c r="C729" s="152"/>
      <c r="D729" s="572"/>
      <c r="E729" s="144"/>
      <c r="F729" s="144" t="str">
        <f t="shared" si="64"/>
        <v/>
      </c>
      <c r="G729" s="153"/>
      <c r="H729" s="154"/>
      <c r="I729" s="155"/>
      <c r="J729" s="156"/>
      <c r="L729" s="162"/>
      <c r="N729" s="144"/>
      <c r="O729" s="852"/>
    </row>
    <row r="730" spans="1:15" s="157" customFormat="1" ht="55.2">
      <c r="A730" s="254" t="s">
        <v>2733</v>
      </c>
      <c r="B730" s="763" t="s">
        <v>2734</v>
      </c>
      <c r="C730" s="152" t="s">
        <v>649</v>
      </c>
      <c r="D730" s="572">
        <v>1</v>
      </c>
      <c r="E730" s="144">
        <v>18</v>
      </c>
      <c r="F730" s="144">
        <f t="shared" si="64"/>
        <v>18</v>
      </c>
      <c r="G730" s="153"/>
      <c r="H730" s="154"/>
      <c r="I730" s="155"/>
      <c r="J730" s="156"/>
      <c r="L730" s="162"/>
      <c r="N730" s="144"/>
      <c r="O730" s="852"/>
    </row>
    <row r="731" spans="1:15" s="157" customFormat="1">
      <c r="A731" s="254"/>
      <c r="B731" s="763"/>
      <c r="C731" s="152"/>
      <c r="D731" s="572"/>
      <c r="E731" s="144"/>
      <c r="F731" s="144"/>
      <c r="G731" s="153"/>
      <c r="H731" s="154"/>
      <c r="I731" s="155"/>
      <c r="J731" s="156"/>
      <c r="L731" s="162"/>
      <c r="N731" s="144"/>
      <c r="O731" s="852"/>
    </row>
    <row r="732" spans="1:15" s="157" customFormat="1" ht="69">
      <c r="A732" s="254" t="s">
        <v>2735</v>
      </c>
      <c r="B732" s="612" t="s">
        <v>3151</v>
      </c>
      <c r="C732" s="152" t="s">
        <v>649</v>
      </c>
      <c r="D732" s="572">
        <v>1</v>
      </c>
      <c r="E732" s="144">
        <v>78</v>
      </c>
      <c r="F732" s="144">
        <f t="shared" ref="F732" si="66">IF((D732*E732)=0,"",(D732*E732))</f>
        <v>78</v>
      </c>
      <c r="G732" s="153"/>
      <c r="H732" s="154"/>
      <c r="I732" s="155"/>
      <c r="J732" s="156"/>
      <c r="L732" s="162"/>
      <c r="N732" s="144"/>
      <c r="O732" s="852"/>
    </row>
    <row r="733" spans="1:15" s="157" customFormat="1">
      <c r="A733" s="254"/>
      <c r="B733" s="612"/>
      <c r="C733" s="152"/>
      <c r="D733" s="572"/>
      <c r="E733" s="144"/>
      <c r="F733" s="144"/>
      <c r="G733" s="153"/>
      <c r="H733" s="154"/>
      <c r="I733" s="155"/>
      <c r="J733" s="156"/>
      <c r="L733" s="162"/>
      <c r="N733" s="144"/>
      <c r="O733" s="852"/>
    </row>
    <row r="734" spans="1:15" s="157" customFormat="1" ht="55.2">
      <c r="A734" s="254" t="s">
        <v>2736</v>
      </c>
      <c r="B734" s="612" t="s">
        <v>3152</v>
      </c>
      <c r="C734" s="152" t="s">
        <v>649</v>
      </c>
      <c r="D734" s="572">
        <v>1</v>
      </c>
      <c r="E734" s="144">
        <v>34</v>
      </c>
      <c r="F734" s="144">
        <f t="shared" ref="F734" si="67">IF((D734*E734)=0,"",(D734*E734))</f>
        <v>34</v>
      </c>
      <c r="G734" s="153"/>
      <c r="H734" s="154"/>
      <c r="I734" s="155"/>
      <c r="J734" s="156"/>
      <c r="L734" s="162"/>
      <c r="N734" s="144"/>
      <c r="O734" s="852"/>
    </row>
    <row r="735" spans="1:15" s="157" customFormat="1">
      <c r="A735" s="254"/>
      <c r="B735" s="612"/>
      <c r="C735" s="152"/>
      <c r="D735" s="572"/>
      <c r="E735" s="144"/>
      <c r="F735" s="144"/>
      <c r="G735" s="153"/>
      <c r="H735" s="154"/>
      <c r="I735" s="155"/>
      <c r="J735" s="156"/>
      <c r="L735" s="162"/>
      <c r="N735" s="144"/>
      <c r="O735" s="852"/>
    </row>
    <row r="736" spans="1:15" s="157" customFormat="1" ht="55.2">
      <c r="A736" s="254" t="s">
        <v>2737</v>
      </c>
      <c r="B736" s="612" t="s">
        <v>2738</v>
      </c>
      <c r="C736" s="152" t="s">
        <v>649</v>
      </c>
      <c r="D736" s="572">
        <v>1</v>
      </c>
      <c r="E736" s="144">
        <v>214</v>
      </c>
      <c r="F736" s="144">
        <f t="shared" ref="F736" si="68">IF((D736*E736)=0,"",(D736*E736))</f>
        <v>214</v>
      </c>
      <c r="G736" s="153"/>
      <c r="H736" s="154"/>
      <c r="I736" s="155"/>
      <c r="J736" s="156"/>
      <c r="L736" s="162"/>
      <c r="N736" s="144"/>
      <c r="O736" s="852"/>
    </row>
    <row r="737" spans="1:15" s="157" customFormat="1">
      <c r="A737" s="595"/>
      <c r="B737" s="596"/>
      <c r="C737" s="597"/>
      <c r="D737" s="598"/>
      <c r="E737" s="599"/>
      <c r="F737" s="599"/>
      <c r="G737" s="153"/>
      <c r="H737" s="154"/>
      <c r="I737" s="155"/>
      <c r="J737" s="156"/>
      <c r="L737" s="162"/>
      <c r="N737" s="599"/>
      <c r="O737" s="852"/>
    </row>
    <row r="738" spans="1:15" s="157" customFormat="1">
      <c r="A738" s="269" t="str">
        <f>A706</f>
        <v>C.1.</v>
      </c>
      <c r="B738" s="753" t="str">
        <f>CONCATENATE(B706," ", "UKUPNO:")</f>
        <v>SOBA RAVNATELJSTVA UKUPNO:</v>
      </c>
      <c r="C738" s="152"/>
      <c r="D738" s="572"/>
      <c r="E738" s="144"/>
      <c r="F738" s="670">
        <f>SUM(F708:F737)</f>
        <v>2493</v>
      </c>
      <c r="G738" s="153"/>
      <c r="H738" s="154"/>
      <c r="I738" s="155"/>
      <c r="J738" s="156"/>
      <c r="L738" s="162"/>
      <c r="N738" s="144"/>
      <c r="O738" s="852"/>
    </row>
    <row r="739" spans="1:15" s="157" customFormat="1">
      <c r="A739" s="254"/>
      <c r="B739" s="159"/>
      <c r="D739" s="764"/>
      <c r="G739" s="153"/>
      <c r="H739" s="154"/>
      <c r="I739" s="155"/>
      <c r="J739" s="156"/>
      <c r="L739" s="162"/>
      <c r="N739" s="851"/>
      <c r="O739" s="852"/>
    </row>
    <row r="740" spans="1:15" s="157" customFormat="1">
      <c r="A740" s="254"/>
      <c r="B740" s="159"/>
      <c r="D740" s="764"/>
      <c r="G740" s="153"/>
      <c r="H740" s="154"/>
      <c r="I740" s="155"/>
      <c r="J740" s="156"/>
      <c r="L740" s="162"/>
      <c r="N740" s="851"/>
      <c r="O740" s="852"/>
    </row>
    <row r="741" spans="1:15" s="157" customFormat="1">
      <c r="A741" s="581" t="s">
        <v>2739</v>
      </c>
      <c r="B741" s="582" t="s">
        <v>2740</v>
      </c>
      <c r="C741" s="583"/>
      <c r="D741" s="584"/>
      <c r="E741" s="761"/>
      <c r="F741" s="761"/>
      <c r="G741" s="153"/>
      <c r="H741" s="154"/>
      <c r="I741" s="155"/>
      <c r="J741" s="156"/>
      <c r="L741" s="162"/>
      <c r="N741" s="761"/>
      <c r="O741" s="852"/>
    </row>
    <row r="742" spans="1:15" s="157" customFormat="1">
      <c r="A742" s="254"/>
      <c r="B742" s="159"/>
      <c r="C742" s="152"/>
      <c r="D742" s="572"/>
      <c r="G742" s="153"/>
      <c r="H742" s="154"/>
      <c r="I742" s="155"/>
      <c r="J742" s="156"/>
      <c r="L742" s="162"/>
      <c r="N742" s="851"/>
      <c r="O742" s="852"/>
    </row>
    <row r="743" spans="1:15" s="157" customFormat="1" ht="179.4">
      <c r="A743" s="254" t="s">
        <v>2741</v>
      </c>
      <c r="B743" s="869" t="s">
        <v>5111</v>
      </c>
      <c r="C743" s="152" t="s">
        <v>649</v>
      </c>
      <c r="D743" s="572">
        <v>2</v>
      </c>
      <c r="E743" s="144">
        <v>225</v>
      </c>
      <c r="F743" s="144">
        <f>IF((D743*E743)=0,"",(D743*E743))</f>
        <v>450</v>
      </c>
      <c r="G743" s="153"/>
      <c r="H743" s="154"/>
      <c r="I743" s="155"/>
      <c r="J743" s="156"/>
      <c r="L743" s="162"/>
      <c r="N743" s="144"/>
      <c r="O743" s="852"/>
    </row>
    <row r="744" spans="1:15" s="157" customFormat="1">
      <c r="A744" s="254"/>
      <c r="B744" s="762"/>
      <c r="C744" s="152"/>
      <c r="D744" s="572"/>
      <c r="E744" s="144"/>
      <c r="F744" s="144"/>
      <c r="G744" s="153"/>
      <c r="H744" s="154"/>
      <c r="I744" s="155"/>
      <c r="J744" s="156"/>
      <c r="L744" s="162"/>
      <c r="N744" s="144"/>
      <c r="O744" s="852"/>
    </row>
    <row r="745" spans="1:15" s="157" customFormat="1" ht="151.80000000000001">
      <c r="A745" s="254" t="s">
        <v>2742</v>
      </c>
      <c r="B745" s="869" t="s">
        <v>5112</v>
      </c>
      <c r="C745" s="152" t="s">
        <v>649</v>
      </c>
      <c r="D745" s="572">
        <v>2</v>
      </c>
      <c r="E745" s="144">
        <v>155</v>
      </c>
      <c r="F745" s="144">
        <f>IF((D745*E745)=0,"",(D745*E745))</f>
        <v>310</v>
      </c>
      <c r="G745" s="153"/>
      <c r="H745" s="154"/>
      <c r="I745" s="155"/>
      <c r="J745" s="156"/>
      <c r="L745" s="162"/>
      <c r="N745" s="144"/>
      <c r="O745" s="852"/>
    </row>
    <row r="746" spans="1:15" s="157" customFormat="1">
      <c r="A746" s="254"/>
      <c r="B746" s="762"/>
      <c r="C746" s="152"/>
      <c r="D746" s="572"/>
      <c r="E746" s="144"/>
      <c r="F746" s="144"/>
      <c r="G746" s="153"/>
      <c r="H746" s="154"/>
      <c r="I746" s="155"/>
      <c r="J746" s="156"/>
      <c r="L746" s="162"/>
      <c r="N746" s="144"/>
      <c r="O746" s="852"/>
    </row>
    <row r="747" spans="1:15" s="157" customFormat="1" ht="96.6">
      <c r="A747" s="254" t="s">
        <v>2743</v>
      </c>
      <c r="B747" s="604" t="s">
        <v>5117</v>
      </c>
      <c r="C747" s="152" t="s">
        <v>649</v>
      </c>
      <c r="D747" s="572">
        <v>2</v>
      </c>
      <c r="E747" s="144">
        <v>184</v>
      </c>
      <c r="F747" s="144">
        <f>IF((D747*E747)=0,"",(D747*E747))</f>
        <v>368</v>
      </c>
      <c r="G747" s="153"/>
      <c r="H747" s="154"/>
      <c r="I747" s="155"/>
      <c r="J747" s="156"/>
      <c r="L747" s="162"/>
      <c r="N747" s="144"/>
      <c r="O747" s="852"/>
    </row>
    <row r="748" spans="1:15" s="157" customFormat="1">
      <c r="A748" s="254"/>
      <c r="B748" s="159"/>
      <c r="C748" s="152"/>
      <c r="D748" s="572"/>
      <c r="E748" s="144"/>
      <c r="F748" s="144" t="str">
        <f>IF((D748*E748)=0,"",(D748*E748))</f>
        <v/>
      </c>
      <c r="G748" s="153"/>
      <c r="H748" s="154"/>
      <c r="I748" s="155"/>
      <c r="J748" s="156"/>
      <c r="L748" s="162"/>
      <c r="N748" s="144"/>
      <c r="O748" s="852"/>
    </row>
    <row r="749" spans="1:15" s="157" customFormat="1" ht="207">
      <c r="A749" s="254" t="s">
        <v>2744</v>
      </c>
      <c r="B749" s="869" t="s">
        <v>5118</v>
      </c>
      <c r="C749" s="152" t="s">
        <v>649</v>
      </c>
      <c r="D749" s="572">
        <v>2</v>
      </c>
      <c r="E749" s="144">
        <v>58</v>
      </c>
      <c r="F749" s="144">
        <f>IF((D749*E749)=0,"",(D749*E749))</f>
        <v>116</v>
      </c>
      <c r="G749" s="153"/>
      <c r="H749" s="154"/>
      <c r="I749" s="155"/>
      <c r="J749" s="156"/>
      <c r="L749" s="162"/>
      <c r="N749" s="144"/>
      <c r="O749" s="852"/>
    </row>
    <row r="750" spans="1:15" s="157" customFormat="1">
      <c r="A750" s="254"/>
      <c r="B750" s="159"/>
      <c r="C750" s="152"/>
      <c r="D750" s="572"/>
      <c r="E750" s="144"/>
      <c r="F750" s="144"/>
      <c r="G750" s="153"/>
      <c r="H750" s="154"/>
      <c r="I750" s="155"/>
      <c r="J750" s="156"/>
      <c r="L750" s="162"/>
      <c r="N750" s="144"/>
      <c r="O750" s="852"/>
    </row>
    <row r="751" spans="1:15" s="157" customFormat="1" ht="234.6">
      <c r="A751" s="254" t="s">
        <v>2745</v>
      </c>
      <c r="B751" s="869" t="s">
        <v>5113</v>
      </c>
      <c r="C751" s="152" t="s">
        <v>649</v>
      </c>
      <c r="D751" s="572">
        <v>2</v>
      </c>
      <c r="E751" s="144">
        <v>720</v>
      </c>
      <c r="F751" s="144">
        <f t="shared" ref="F751:F753" si="69">IF((D751*E751)=0,"",(D751*E751))</f>
        <v>1440</v>
      </c>
      <c r="G751" s="153"/>
      <c r="H751" s="154"/>
      <c r="I751" s="155"/>
      <c r="J751" s="156"/>
      <c r="L751" s="162"/>
      <c r="N751" s="144"/>
      <c r="O751" s="852"/>
    </row>
    <row r="752" spans="1:15" s="157" customFormat="1">
      <c r="A752" s="254"/>
      <c r="B752" s="159"/>
      <c r="C752" s="152"/>
      <c r="D752" s="572"/>
      <c r="E752" s="144"/>
      <c r="F752" s="144" t="str">
        <f t="shared" si="69"/>
        <v/>
      </c>
      <c r="G752" s="153"/>
      <c r="H752" s="154"/>
      <c r="I752" s="155"/>
      <c r="J752" s="156"/>
      <c r="L752" s="162"/>
      <c r="N752" s="144"/>
      <c r="O752" s="852"/>
    </row>
    <row r="753" spans="1:15" s="157" customFormat="1" ht="220.8">
      <c r="A753" s="254" t="s">
        <v>2746</v>
      </c>
      <c r="B753" s="869" t="s">
        <v>5114</v>
      </c>
      <c r="C753" s="152" t="s">
        <v>649</v>
      </c>
      <c r="D753" s="572">
        <v>2</v>
      </c>
      <c r="E753" s="144">
        <v>340</v>
      </c>
      <c r="F753" s="144">
        <f t="shared" si="69"/>
        <v>680</v>
      </c>
      <c r="G753" s="153"/>
      <c r="H753" s="154"/>
      <c r="I753" s="155"/>
      <c r="J753" s="156"/>
      <c r="L753" s="162"/>
      <c r="N753" s="144"/>
      <c r="O753" s="852"/>
    </row>
    <row r="754" spans="1:15" s="157" customFormat="1">
      <c r="A754" s="254"/>
      <c r="B754" s="159"/>
      <c r="C754" s="152"/>
      <c r="D754" s="572"/>
      <c r="E754" s="144"/>
      <c r="F754" s="144"/>
      <c r="G754" s="153"/>
      <c r="H754" s="154"/>
      <c r="I754" s="155"/>
      <c r="J754" s="156"/>
      <c r="L754" s="162"/>
      <c r="N754" s="144"/>
      <c r="O754" s="852"/>
    </row>
    <row r="755" spans="1:15" s="157" customFormat="1" ht="151.80000000000001">
      <c r="A755" s="254" t="s">
        <v>2747</v>
      </c>
      <c r="B755" s="869" t="s">
        <v>5115</v>
      </c>
      <c r="C755" s="152" t="s">
        <v>649</v>
      </c>
      <c r="D755" s="572">
        <v>2</v>
      </c>
      <c r="E755" s="144">
        <v>180</v>
      </c>
      <c r="F755" s="144">
        <f t="shared" ref="F755:F759" si="70">IF((D755*E755)=0,"",(D755*E755))</f>
        <v>360</v>
      </c>
      <c r="G755" s="153"/>
      <c r="H755" s="154"/>
      <c r="I755" s="155"/>
      <c r="J755" s="156"/>
      <c r="L755" s="162"/>
      <c r="N755" s="144"/>
      <c r="O755" s="852"/>
    </row>
    <row r="756" spans="1:15" s="157" customFormat="1">
      <c r="A756" s="254"/>
      <c r="B756" s="159"/>
      <c r="C756" s="152"/>
      <c r="D756" s="572"/>
      <c r="E756" s="144"/>
      <c r="F756" s="144" t="str">
        <f t="shared" si="70"/>
        <v/>
      </c>
      <c r="G756" s="153"/>
      <c r="H756" s="154"/>
      <c r="I756" s="155"/>
      <c r="J756" s="156"/>
      <c r="L756" s="162"/>
      <c r="N756" s="144"/>
      <c r="O756" s="852"/>
    </row>
    <row r="757" spans="1:15" s="157" customFormat="1" ht="82.8">
      <c r="A757" s="254" t="s">
        <v>2748</v>
      </c>
      <c r="B757" s="762" t="s">
        <v>2698</v>
      </c>
      <c r="C757" s="152" t="s">
        <v>649</v>
      </c>
      <c r="D757" s="572">
        <v>2</v>
      </c>
      <c r="E757" s="144">
        <v>78</v>
      </c>
      <c r="F757" s="144">
        <f t="shared" si="70"/>
        <v>156</v>
      </c>
      <c r="G757" s="153"/>
      <c r="H757" s="154"/>
      <c r="I757" s="155"/>
      <c r="J757" s="156"/>
      <c r="L757" s="162"/>
      <c r="N757" s="144"/>
      <c r="O757" s="852"/>
    </row>
    <row r="758" spans="1:15" s="157" customFormat="1">
      <c r="A758" s="254"/>
      <c r="B758" s="159"/>
      <c r="C758" s="152"/>
      <c r="D758" s="572"/>
      <c r="E758" s="144"/>
      <c r="F758" s="144" t="str">
        <f t="shared" si="70"/>
        <v/>
      </c>
      <c r="G758" s="153"/>
      <c r="H758" s="154"/>
      <c r="I758" s="155"/>
      <c r="J758" s="156"/>
      <c r="L758" s="162"/>
      <c r="N758" s="144"/>
      <c r="O758" s="852"/>
    </row>
    <row r="759" spans="1:15" s="157" customFormat="1" ht="82.8">
      <c r="A759" s="254" t="s">
        <v>2749</v>
      </c>
      <c r="B759" s="762" t="s">
        <v>2728</v>
      </c>
      <c r="C759" s="152" t="s">
        <v>649</v>
      </c>
      <c r="D759" s="572">
        <v>2</v>
      </c>
      <c r="E759" s="144">
        <v>84</v>
      </c>
      <c r="F759" s="144">
        <f t="shared" si="70"/>
        <v>168</v>
      </c>
      <c r="G759" s="153"/>
      <c r="H759" s="154"/>
      <c r="I759" s="155"/>
      <c r="J759" s="156"/>
      <c r="L759" s="162"/>
      <c r="N759" s="144"/>
      <c r="O759" s="852"/>
    </row>
    <row r="760" spans="1:15" s="157" customFormat="1">
      <c r="A760" s="254"/>
      <c r="B760" s="159"/>
      <c r="C760" s="152"/>
      <c r="D760" s="572"/>
      <c r="E760" s="144"/>
      <c r="F760" s="144"/>
      <c r="G760" s="153"/>
      <c r="H760" s="154"/>
      <c r="I760" s="155"/>
      <c r="J760" s="156"/>
      <c r="L760" s="162"/>
      <c r="N760" s="144"/>
      <c r="O760" s="852"/>
    </row>
    <row r="761" spans="1:15" s="157" customFormat="1" ht="27.6">
      <c r="A761" s="254" t="s">
        <v>2750</v>
      </c>
      <c r="B761" s="762" t="s">
        <v>2730</v>
      </c>
      <c r="C761" s="152" t="s">
        <v>649</v>
      </c>
      <c r="D761" s="572">
        <v>2</v>
      </c>
      <c r="E761" s="144">
        <v>38</v>
      </c>
      <c r="F761" s="144">
        <f t="shared" ref="F761:F765" si="71">IF((D761*E761)=0,"",(D761*E761))</f>
        <v>76</v>
      </c>
      <c r="G761" s="153"/>
      <c r="H761" s="154"/>
      <c r="I761" s="155"/>
      <c r="J761" s="156"/>
      <c r="L761" s="162"/>
      <c r="N761" s="144"/>
      <c r="O761" s="852"/>
    </row>
    <row r="762" spans="1:15" s="157" customFormat="1">
      <c r="A762" s="254"/>
      <c r="B762" s="159"/>
      <c r="C762" s="152"/>
      <c r="D762" s="572"/>
      <c r="E762" s="144"/>
      <c r="F762" s="144" t="str">
        <f t="shared" si="71"/>
        <v/>
      </c>
      <c r="G762" s="153"/>
      <c r="H762" s="154"/>
      <c r="I762" s="155"/>
      <c r="J762" s="156"/>
      <c r="L762" s="162"/>
      <c r="N762" s="144"/>
      <c r="O762" s="852"/>
    </row>
    <row r="763" spans="1:15" s="157" customFormat="1" ht="27.6">
      <c r="A763" s="254" t="s">
        <v>2751</v>
      </c>
      <c r="B763" s="612" t="s">
        <v>2732</v>
      </c>
      <c r="C763" s="152" t="s">
        <v>649</v>
      </c>
      <c r="D763" s="572">
        <v>2</v>
      </c>
      <c r="E763" s="144">
        <v>29</v>
      </c>
      <c r="F763" s="144">
        <f t="shared" si="71"/>
        <v>58</v>
      </c>
      <c r="G763" s="153"/>
      <c r="H763" s="154"/>
      <c r="I763" s="155"/>
      <c r="J763" s="156"/>
      <c r="L763" s="162"/>
      <c r="N763" s="144"/>
      <c r="O763" s="852"/>
    </row>
    <row r="764" spans="1:15" s="157" customFormat="1">
      <c r="A764" s="254"/>
      <c r="B764" s="612"/>
      <c r="C764" s="152"/>
      <c r="D764" s="572"/>
      <c r="E764" s="144"/>
      <c r="F764" s="144" t="str">
        <f t="shared" si="71"/>
        <v/>
      </c>
      <c r="G764" s="153"/>
      <c r="H764" s="154"/>
      <c r="I764" s="155"/>
      <c r="J764" s="156"/>
      <c r="L764" s="162"/>
      <c r="N764" s="144"/>
      <c r="O764" s="852"/>
    </row>
    <row r="765" spans="1:15" s="157" customFormat="1" ht="55.2">
      <c r="A765" s="254" t="s">
        <v>2752</v>
      </c>
      <c r="B765" s="763" t="s">
        <v>2734</v>
      </c>
      <c r="C765" s="152" t="s">
        <v>649</v>
      </c>
      <c r="D765" s="572">
        <v>2</v>
      </c>
      <c r="E765" s="144">
        <v>18</v>
      </c>
      <c r="F765" s="144">
        <f t="shared" si="71"/>
        <v>36</v>
      </c>
      <c r="G765" s="153"/>
      <c r="H765" s="154"/>
      <c r="I765" s="155"/>
      <c r="J765" s="156"/>
      <c r="L765" s="162"/>
      <c r="N765" s="144"/>
      <c r="O765" s="852"/>
    </row>
    <row r="766" spans="1:15" s="157" customFormat="1">
      <c r="A766" s="254"/>
      <c r="B766" s="763"/>
      <c r="C766" s="152"/>
      <c r="D766" s="572"/>
      <c r="E766" s="144"/>
      <c r="F766" s="144"/>
      <c r="G766" s="153"/>
      <c r="H766" s="154"/>
      <c r="I766" s="155"/>
      <c r="J766" s="156"/>
      <c r="L766" s="162"/>
      <c r="N766" s="144"/>
      <c r="O766" s="852"/>
    </row>
    <row r="767" spans="1:15" s="157" customFormat="1" ht="69">
      <c r="A767" s="254" t="s">
        <v>2753</v>
      </c>
      <c r="B767" s="612" t="s">
        <v>3151</v>
      </c>
      <c r="C767" s="152" t="s">
        <v>649</v>
      </c>
      <c r="D767" s="572">
        <v>2</v>
      </c>
      <c r="E767" s="144">
        <v>78</v>
      </c>
      <c r="F767" s="144">
        <f t="shared" ref="F767" si="72">IF((D767*E767)=0,"",(D767*E767))</f>
        <v>156</v>
      </c>
      <c r="G767" s="153"/>
      <c r="H767" s="154"/>
      <c r="I767" s="155"/>
      <c r="J767" s="156"/>
      <c r="L767" s="162"/>
      <c r="N767" s="144"/>
      <c r="O767" s="852"/>
    </row>
    <row r="768" spans="1:15" s="157" customFormat="1">
      <c r="A768" s="254"/>
      <c r="B768" s="612"/>
      <c r="C768" s="152"/>
      <c r="D768" s="572"/>
      <c r="E768" s="144"/>
      <c r="F768" s="144"/>
      <c r="G768" s="153"/>
      <c r="H768" s="154"/>
      <c r="I768" s="155"/>
      <c r="J768" s="156"/>
      <c r="L768" s="162"/>
      <c r="N768" s="144"/>
      <c r="O768" s="852"/>
    </row>
    <row r="769" spans="1:15" s="157" customFormat="1" ht="55.2">
      <c r="A769" s="254" t="s">
        <v>2754</v>
      </c>
      <c r="B769" s="612" t="s">
        <v>3152</v>
      </c>
      <c r="C769" s="152" t="s">
        <v>649</v>
      </c>
      <c r="D769" s="572">
        <v>2</v>
      </c>
      <c r="E769" s="144">
        <v>34</v>
      </c>
      <c r="F769" s="144">
        <f t="shared" ref="F769" si="73">IF((D769*E769)=0,"",(D769*E769))</f>
        <v>68</v>
      </c>
      <c r="G769" s="153"/>
      <c r="H769" s="154"/>
      <c r="I769" s="155"/>
      <c r="J769" s="156"/>
      <c r="L769" s="162"/>
      <c r="N769" s="144"/>
      <c r="O769" s="852"/>
    </row>
    <row r="770" spans="1:15" s="157" customFormat="1">
      <c r="A770" s="254"/>
      <c r="B770" s="612"/>
      <c r="C770" s="152"/>
      <c r="D770" s="572"/>
      <c r="E770" s="144"/>
      <c r="F770" s="144"/>
      <c r="G770" s="153"/>
      <c r="H770" s="154"/>
      <c r="I770" s="155"/>
      <c r="J770" s="156"/>
      <c r="L770" s="162"/>
      <c r="N770" s="144"/>
      <c r="O770" s="852"/>
    </row>
    <row r="771" spans="1:15" s="157" customFormat="1" ht="41.4">
      <c r="A771" s="254" t="s">
        <v>2755</v>
      </c>
      <c r="B771" s="612" t="s">
        <v>2756</v>
      </c>
      <c r="C771" s="152" t="s">
        <v>649</v>
      </c>
      <c r="D771" s="572">
        <v>2</v>
      </c>
      <c r="E771" s="144">
        <v>214</v>
      </c>
      <c r="F771" s="144">
        <f t="shared" ref="F771" si="74">IF((D771*E771)=0,"",(D771*E771))</f>
        <v>428</v>
      </c>
      <c r="G771" s="153"/>
      <c r="H771" s="154"/>
      <c r="I771" s="155"/>
      <c r="J771" s="156"/>
      <c r="L771" s="162"/>
      <c r="N771" s="144"/>
      <c r="O771" s="852"/>
    </row>
    <row r="772" spans="1:15" s="157" customFormat="1">
      <c r="A772" s="595"/>
      <c r="B772" s="596"/>
      <c r="C772" s="597"/>
      <c r="D772" s="598"/>
      <c r="E772" s="599"/>
      <c r="F772" s="599"/>
      <c r="G772" s="153"/>
      <c r="H772" s="154"/>
      <c r="I772" s="155"/>
      <c r="J772" s="156"/>
      <c r="L772" s="162"/>
      <c r="N772" s="599"/>
      <c r="O772" s="852"/>
    </row>
    <row r="773" spans="1:15" s="157" customFormat="1">
      <c r="A773" s="269" t="str">
        <f>A741</f>
        <v>C.2.</v>
      </c>
      <c r="B773" s="753" t="str">
        <f>CONCATENATE(B741," ", "UKUPNO:")</f>
        <v>SOBE TAJNIŠTVA I RAČUNOVODSTVA UKUPNO:</v>
      </c>
      <c r="C773" s="152"/>
      <c r="D773" s="572"/>
      <c r="E773" s="144"/>
      <c r="F773" s="670">
        <f>SUM(F743:F772)</f>
        <v>4870</v>
      </c>
      <c r="G773" s="153"/>
      <c r="H773" s="154"/>
      <c r="I773" s="155"/>
      <c r="J773" s="156"/>
      <c r="L773" s="162"/>
      <c r="N773" s="144"/>
      <c r="O773" s="852"/>
    </row>
    <row r="774" spans="1:15" s="157" customFormat="1">
      <c r="A774" s="254"/>
      <c r="B774" s="159"/>
      <c r="C774" s="152"/>
      <c r="D774" s="572"/>
      <c r="G774" s="153"/>
      <c r="H774" s="154"/>
      <c r="I774" s="155"/>
      <c r="J774" s="156"/>
      <c r="L774" s="162"/>
      <c r="N774" s="851"/>
      <c r="O774" s="852"/>
    </row>
    <row r="775" spans="1:15" s="157" customFormat="1">
      <c r="A775" s="254"/>
      <c r="B775" s="159"/>
      <c r="C775" s="152"/>
      <c r="D775" s="572"/>
      <c r="G775" s="153"/>
      <c r="H775" s="154"/>
      <c r="I775" s="155"/>
      <c r="J775" s="156"/>
      <c r="L775" s="162"/>
      <c r="N775" s="851"/>
      <c r="O775" s="852"/>
    </row>
    <row r="776" spans="1:15" s="157" customFormat="1">
      <c r="A776" s="581" t="s">
        <v>2757</v>
      </c>
      <c r="B776" s="582" t="s">
        <v>2758</v>
      </c>
      <c r="C776" s="583"/>
      <c r="D776" s="584"/>
      <c r="E776" s="761"/>
      <c r="F776" s="761"/>
      <c r="G776" s="153"/>
      <c r="H776" s="154"/>
      <c r="I776" s="155"/>
      <c r="J776" s="156"/>
      <c r="L776" s="162"/>
      <c r="N776" s="761"/>
      <c r="O776" s="852"/>
    </row>
    <row r="777" spans="1:15" s="157" customFormat="1">
      <c r="A777" s="254"/>
      <c r="B777" s="159"/>
      <c r="C777" s="152"/>
      <c r="D777" s="572"/>
      <c r="G777" s="153"/>
      <c r="H777" s="154"/>
      <c r="I777" s="155"/>
      <c r="J777" s="156"/>
      <c r="L777" s="162"/>
      <c r="N777" s="851"/>
      <c r="O777" s="852"/>
    </row>
    <row r="778" spans="1:15" s="157" customFormat="1" ht="179.4">
      <c r="A778" s="254" t="s">
        <v>2759</v>
      </c>
      <c r="B778" s="869" t="s">
        <v>5111</v>
      </c>
      <c r="C778" s="152" t="s">
        <v>649</v>
      </c>
      <c r="D778" s="572">
        <v>1</v>
      </c>
      <c r="E778" s="144">
        <v>225</v>
      </c>
      <c r="F778" s="144">
        <f>IF((D778*E778)=0,"",(D778*E778))</f>
        <v>225</v>
      </c>
      <c r="G778" s="153"/>
      <c r="H778" s="154"/>
      <c r="I778" s="155"/>
      <c r="J778" s="156"/>
      <c r="L778" s="162"/>
      <c r="N778" s="144"/>
      <c r="O778" s="852"/>
    </row>
    <row r="779" spans="1:15" s="157" customFormat="1">
      <c r="A779" s="254"/>
      <c r="B779" s="762"/>
      <c r="C779" s="152"/>
      <c r="D779" s="572"/>
      <c r="E779" s="144"/>
      <c r="F779" s="144"/>
      <c r="G779" s="153"/>
      <c r="H779" s="154"/>
      <c r="I779" s="155"/>
      <c r="J779" s="156"/>
      <c r="L779" s="162"/>
      <c r="N779" s="144"/>
      <c r="O779" s="852"/>
    </row>
    <row r="780" spans="1:15" s="157" customFormat="1" ht="151.80000000000001">
      <c r="A780" s="254" t="s">
        <v>2760</v>
      </c>
      <c r="B780" s="869" t="s">
        <v>5112</v>
      </c>
      <c r="C780" s="152" t="s">
        <v>649</v>
      </c>
      <c r="D780" s="572">
        <v>1</v>
      </c>
      <c r="E780" s="144">
        <v>155</v>
      </c>
      <c r="F780" s="144">
        <f>IF((D780*E780)=0,"",(D780*E780))</f>
        <v>155</v>
      </c>
      <c r="G780" s="153"/>
      <c r="H780" s="154"/>
      <c r="I780" s="155"/>
      <c r="J780" s="156"/>
      <c r="L780" s="162"/>
      <c r="N780" s="144"/>
      <c r="O780" s="852"/>
    </row>
    <row r="781" spans="1:15" s="157" customFormat="1">
      <c r="A781" s="254"/>
      <c r="B781" s="762"/>
      <c r="C781" s="152"/>
      <c r="D781" s="572"/>
      <c r="E781" s="144"/>
      <c r="F781" s="144"/>
      <c r="G781" s="153"/>
      <c r="H781" s="154"/>
      <c r="I781" s="155"/>
      <c r="J781" s="156"/>
      <c r="L781" s="162"/>
      <c r="N781" s="144"/>
      <c r="O781" s="852"/>
    </row>
    <row r="782" spans="1:15" s="157" customFormat="1" ht="96.6">
      <c r="A782" s="254" t="s">
        <v>2761</v>
      </c>
      <c r="B782" s="604" t="s">
        <v>5117</v>
      </c>
      <c r="C782" s="152" t="s">
        <v>649</v>
      </c>
      <c r="D782" s="572">
        <v>1</v>
      </c>
      <c r="E782" s="144">
        <v>184</v>
      </c>
      <c r="F782" s="144">
        <f>IF((D782*E782)=0,"",(D782*E782))</f>
        <v>184</v>
      </c>
      <c r="G782" s="153"/>
      <c r="H782" s="154"/>
      <c r="I782" s="155"/>
      <c r="J782" s="156"/>
      <c r="L782" s="162"/>
      <c r="N782" s="144"/>
      <c r="O782" s="852"/>
    </row>
    <row r="783" spans="1:15" s="157" customFormat="1">
      <c r="A783" s="254"/>
      <c r="B783" s="159"/>
      <c r="C783" s="152"/>
      <c r="D783" s="572"/>
      <c r="E783" s="144"/>
      <c r="F783" s="144" t="str">
        <f>IF((D783*E783)=0,"",(D783*E783))</f>
        <v/>
      </c>
      <c r="G783" s="153"/>
      <c r="H783" s="154"/>
      <c r="I783" s="155"/>
      <c r="J783" s="156"/>
      <c r="L783" s="162"/>
      <c r="N783" s="144"/>
      <c r="O783" s="852"/>
    </row>
    <row r="784" spans="1:15" s="157" customFormat="1" ht="207">
      <c r="A784" s="254" t="s">
        <v>2762</v>
      </c>
      <c r="B784" s="869" t="s">
        <v>5118</v>
      </c>
      <c r="C784" s="152" t="s">
        <v>649</v>
      </c>
      <c r="D784" s="572">
        <v>2</v>
      </c>
      <c r="E784" s="144">
        <v>58</v>
      </c>
      <c r="F784" s="144">
        <f>IF((D784*E784)=0,"",(D784*E784))</f>
        <v>116</v>
      </c>
      <c r="G784" s="153"/>
      <c r="H784" s="154"/>
      <c r="I784" s="155"/>
      <c r="J784" s="156"/>
      <c r="L784" s="162"/>
      <c r="N784" s="144"/>
      <c r="O784" s="852"/>
    </row>
    <row r="785" spans="1:15" s="157" customFormat="1">
      <c r="A785" s="254"/>
      <c r="B785" s="159"/>
      <c r="C785" s="152"/>
      <c r="D785" s="572"/>
      <c r="E785" s="144"/>
      <c r="F785" s="144"/>
      <c r="G785" s="153"/>
      <c r="H785" s="154"/>
      <c r="I785" s="155"/>
      <c r="J785" s="156"/>
      <c r="L785" s="162"/>
      <c r="N785" s="144"/>
      <c r="O785" s="852"/>
    </row>
    <row r="786" spans="1:15" s="157" customFormat="1" ht="234.6">
      <c r="A786" s="254" t="s">
        <v>2763</v>
      </c>
      <c r="B786" s="869" t="s">
        <v>5113</v>
      </c>
      <c r="C786" s="152" t="s">
        <v>649</v>
      </c>
      <c r="D786" s="572">
        <v>1</v>
      </c>
      <c r="E786" s="144">
        <v>720</v>
      </c>
      <c r="F786" s="144">
        <f t="shared" ref="F786:F788" si="75">IF((D786*E786)=0,"",(D786*E786))</f>
        <v>720</v>
      </c>
      <c r="G786" s="153"/>
      <c r="H786" s="154"/>
      <c r="I786" s="155"/>
      <c r="J786" s="156"/>
      <c r="L786" s="162"/>
      <c r="N786" s="144"/>
      <c r="O786" s="852"/>
    </row>
    <row r="787" spans="1:15" s="157" customFormat="1">
      <c r="A787" s="254"/>
      <c r="B787" s="159"/>
      <c r="C787" s="152"/>
      <c r="D787" s="572"/>
      <c r="E787" s="144"/>
      <c r="F787" s="144" t="str">
        <f t="shared" si="75"/>
        <v/>
      </c>
      <c r="G787" s="153"/>
      <c r="H787" s="154"/>
      <c r="I787" s="155"/>
      <c r="J787" s="156"/>
      <c r="L787" s="162"/>
      <c r="N787" s="144"/>
      <c r="O787" s="852"/>
    </row>
    <row r="788" spans="1:15" s="157" customFormat="1" ht="220.8">
      <c r="A788" s="254" t="s">
        <v>2764</v>
      </c>
      <c r="B788" s="869" t="s">
        <v>5114</v>
      </c>
      <c r="C788" s="152" t="s">
        <v>649</v>
      </c>
      <c r="D788" s="572">
        <v>1</v>
      </c>
      <c r="E788" s="144">
        <v>340</v>
      </c>
      <c r="F788" s="144">
        <f t="shared" si="75"/>
        <v>340</v>
      </c>
      <c r="G788" s="153"/>
      <c r="H788" s="154"/>
      <c r="I788" s="155"/>
      <c r="J788" s="156"/>
      <c r="L788" s="162"/>
      <c r="N788" s="144"/>
      <c r="O788" s="852"/>
    </row>
    <row r="789" spans="1:15" s="157" customFormat="1">
      <c r="A789" s="254"/>
      <c r="B789" s="159"/>
      <c r="C789" s="152"/>
      <c r="D789" s="572"/>
      <c r="E789" s="144"/>
      <c r="F789" s="144"/>
      <c r="G789" s="153"/>
      <c r="H789" s="154"/>
      <c r="I789" s="155"/>
      <c r="J789" s="156"/>
      <c r="L789" s="162"/>
      <c r="N789" s="144"/>
      <c r="O789" s="852"/>
    </row>
    <row r="790" spans="1:15" s="157" customFormat="1" ht="151.80000000000001">
      <c r="A790" s="254" t="s">
        <v>2765</v>
      </c>
      <c r="B790" s="869" t="s">
        <v>5115</v>
      </c>
      <c r="C790" s="152" t="s">
        <v>649</v>
      </c>
      <c r="D790" s="572">
        <v>1</v>
      </c>
      <c r="E790" s="144">
        <v>180</v>
      </c>
      <c r="F790" s="144">
        <f t="shared" ref="F790:F794" si="76">IF((D790*E790)=0,"",(D790*E790))</f>
        <v>180</v>
      </c>
      <c r="G790" s="153"/>
      <c r="H790" s="154"/>
      <c r="I790" s="155"/>
      <c r="J790" s="156"/>
      <c r="L790" s="162"/>
      <c r="N790" s="144"/>
      <c r="O790" s="852"/>
    </row>
    <row r="791" spans="1:15" s="157" customFormat="1">
      <c r="A791" s="254"/>
      <c r="B791" s="159"/>
      <c r="C791" s="152"/>
      <c r="D791" s="572"/>
      <c r="E791" s="144"/>
      <c r="F791" s="144" t="str">
        <f t="shared" si="76"/>
        <v/>
      </c>
      <c r="G791" s="153"/>
      <c r="H791" s="154"/>
      <c r="I791" s="155"/>
      <c r="J791" s="156"/>
      <c r="L791" s="162"/>
      <c r="N791" s="144"/>
      <c r="O791" s="852"/>
    </row>
    <row r="792" spans="1:15" s="157" customFormat="1" ht="82.8">
      <c r="A792" s="254" t="s">
        <v>2766</v>
      </c>
      <c r="B792" s="762" t="s">
        <v>2698</v>
      </c>
      <c r="C792" s="152" t="s">
        <v>649</v>
      </c>
      <c r="D792" s="572">
        <v>1</v>
      </c>
      <c r="E792" s="144">
        <v>78</v>
      </c>
      <c r="F792" s="144">
        <f t="shared" si="76"/>
        <v>78</v>
      </c>
      <c r="G792" s="153"/>
      <c r="H792" s="154"/>
      <c r="I792" s="155"/>
      <c r="J792" s="156"/>
      <c r="L792" s="162"/>
      <c r="N792" s="144"/>
      <c r="O792" s="852"/>
    </row>
    <row r="793" spans="1:15" s="157" customFormat="1">
      <c r="A793" s="254"/>
      <c r="B793" s="159"/>
      <c r="C793" s="152"/>
      <c r="D793" s="572"/>
      <c r="E793" s="144"/>
      <c r="F793" s="144" t="str">
        <f t="shared" si="76"/>
        <v/>
      </c>
      <c r="G793" s="153"/>
      <c r="H793" s="154"/>
      <c r="I793" s="155"/>
      <c r="J793" s="156"/>
      <c r="L793" s="162"/>
      <c r="N793" s="144"/>
      <c r="O793" s="852"/>
    </row>
    <row r="794" spans="1:15" s="157" customFormat="1" ht="82.8">
      <c r="A794" s="254" t="s">
        <v>2767</v>
      </c>
      <c r="B794" s="762" t="s">
        <v>2728</v>
      </c>
      <c r="C794" s="152" t="s">
        <v>649</v>
      </c>
      <c r="D794" s="572">
        <v>1</v>
      </c>
      <c r="E794" s="144">
        <v>84</v>
      </c>
      <c r="F794" s="144">
        <f t="shared" si="76"/>
        <v>84</v>
      </c>
      <c r="G794" s="153"/>
      <c r="H794" s="154"/>
      <c r="I794" s="155"/>
      <c r="J794" s="156"/>
      <c r="L794" s="162"/>
      <c r="N794" s="144"/>
      <c r="O794" s="852"/>
    </row>
    <row r="795" spans="1:15" s="157" customFormat="1">
      <c r="A795" s="254"/>
      <c r="B795" s="159"/>
      <c r="C795" s="152"/>
      <c r="D795" s="572"/>
      <c r="E795" s="144"/>
      <c r="F795" s="144"/>
      <c r="G795" s="153"/>
      <c r="H795" s="154"/>
      <c r="I795" s="155"/>
      <c r="J795" s="156"/>
      <c r="L795" s="162"/>
      <c r="N795" s="144"/>
      <c r="O795" s="852"/>
    </row>
    <row r="796" spans="1:15" s="157" customFormat="1" ht="27.6">
      <c r="A796" s="254" t="s">
        <v>2768</v>
      </c>
      <c r="B796" s="762" t="s">
        <v>2730</v>
      </c>
      <c r="C796" s="152" t="s">
        <v>649</v>
      </c>
      <c r="D796" s="572">
        <v>1</v>
      </c>
      <c r="E796" s="144">
        <v>38</v>
      </c>
      <c r="F796" s="144">
        <f t="shared" ref="F796:F800" si="77">IF((D796*E796)=0,"",(D796*E796))</f>
        <v>38</v>
      </c>
      <c r="G796" s="153"/>
      <c r="H796" s="154"/>
      <c r="I796" s="155"/>
      <c r="J796" s="156"/>
      <c r="L796" s="162"/>
      <c r="N796" s="144"/>
      <c r="O796" s="852"/>
    </row>
    <row r="797" spans="1:15" s="157" customFormat="1">
      <c r="A797" s="254"/>
      <c r="B797" s="159"/>
      <c r="C797" s="152"/>
      <c r="D797" s="572"/>
      <c r="E797" s="144"/>
      <c r="F797" s="144" t="str">
        <f t="shared" si="77"/>
        <v/>
      </c>
      <c r="G797" s="153"/>
      <c r="H797" s="154"/>
      <c r="I797" s="155"/>
      <c r="J797" s="156"/>
      <c r="L797" s="162"/>
      <c r="N797" s="144"/>
      <c r="O797" s="852"/>
    </row>
    <row r="798" spans="1:15" s="157" customFormat="1" ht="27.6">
      <c r="A798" s="254" t="s">
        <v>2769</v>
      </c>
      <c r="B798" s="612" t="s">
        <v>2732</v>
      </c>
      <c r="C798" s="152" t="s">
        <v>649</v>
      </c>
      <c r="D798" s="572">
        <v>1</v>
      </c>
      <c r="E798" s="144">
        <v>29</v>
      </c>
      <c r="F798" s="144">
        <f t="shared" si="77"/>
        <v>29</v>
      </c>
      <c r="G798" s="153"/>
      <c r="H798" s="154"/>
      <c r="I798" s="155"/>
      <c r="J798" s="156"/>
      <c r="L798" s="162"/>
      <c r="N798" s="144"/>
      <c r="O798" s="852"/>
    </row>
    <row r="799" spans="1:15" s="157" customFormat="1">
      <c r="A799" s="254"/>
      <c r="B799" s="612"/>
      <c r="C799" s="152"/>
      <c r="D799" s="572"/>
      <c r="E799" s="144"/>
      <c r="F799" s="144" t="str">
        <f t="shared" si="77"/>
        <v/>
      </c>
      <c r="G799" s="153"/>
      <c r="H799" s="154"/>
      <c r="I799" s="155"/>
      <c r="J799" s="156"/>
      <c r="L799" s="162"/>
      <c r="N799" s="144"/>
      <c r="O799" s="852"/>
    </row>
    <row r="800" spans="1:15" s="157" customFormat="1" ht="55.2">
      <c r="A800" s="254" t="s">
        <v>2770</v>
      </c>
      <c r="B800" s="763" t="s">
        <v>2734</v>
      </c>
      <c r="C800" s="152" t="s">
        <v>649</v>
      </c>
      <c r="D800" s="572">
        <v>1</v>
      </c>
      <c r="E800" s="144">
        <v>18</v>
      </c>
      <c r="F800" s="144">
        <f t="shared" si="77"/>
        <v>18</v>
      </c>
      <c r="G800" s="153"/>
      <c r="H800" s="154"/>
      <c r="I800" s="155"/>
      <c r="J800" s="156"/>
      <c r="L800" s="162"/>
      <c r="N800" s="144"/>
      <c r="O800" s="852"/>
    </row>
    <row r="801" spans="1:15" s="157" customFormat="1">
      <c r="A801" s="254"/>
      <c r="B801" s="763"/>
      <c r="C801" s="152"/>
      <c r="D801" s="572"/>
      <c r="E801" s="144"/>
      <c r="F801" s="144"/>
      <c r="G801" s="153"/>
      <c r="H801" s="154"/>
      <c r="I801" s="155"/>
      <c r="J801" s="156"/>
      <c r="L801" s="162"/>
      <c r="N801" s="144"/>
      <c r="O801" s="852"/>
    </row>
    <row r="802" spans="1:15" s="157" customFormat="1" ht="69">
      <c r="A802" s="254" t="s">
        <v>2771</v>
      </c>
      <c r="B802" s="612" t="s">
        <v>3151</v>
      </c>
      <c r="C802" s="152" t="s">
        <v>649</v>
      </c>
      <c r="D802" s="572">
        <v>1</v>
      </c>
      <c r="E802" s="144">
        <v>78</v>
      </c>
      <c r="F802" s="144">
        <f t="shared" ref="F802" si="78">IF((D802*E802)=0,"",(D802*E802))</f>
        <v>78</v>
      </c>
      <c r="G802" s="153"/>
      <c r="H802" s="154"/>
      <c r="I802" s="155"/>
      <c r="J802" s="156"/>
      <c r="L802" s="162"/>
      <c r="N802" s="144"/>
      <c r="O802" s="852"/>
    </row>
    <row r="803" spans="1:15" s="157" customFormat="1">
      <c r="A803" s="254"/>
      <c r="B803" s="612"/>
      <c r="C803" s="152"/>
      <c r="D803" s="572"/>
      <c r="E803" s="144"/>
      <c r="F803" s="144"/>
      <c r="G803" s="153"/>
      <c r="H803" s="154"/>
      <c r="I803" s="155"/>
      <c r="J803" s="156"/>
      <c r="L803" s="162"/>
      <c r="N803" s="144"/>
      <c r="O803" s="852"/>
    </row>
    <row r="804" spans="1:15" s="157" customFormat="1" ht="55.2">
      <c r="A804" s="254" t="s">
        <v>2772</v>
      </c>
      <c r="B804" s="612" t="s">
        <v>3152</v>
      </c>
      <c r="C804" s="152" t="s">
        <v>649</v>
      </c>
      <c r="D804" s="572">
        <v>1</v>
      </c>
      <c r="E804" s="144">
        <v>34</v>
      </c>
      <c r="F804" s="144">
        <f t="shared" ref="F804" si="79">IF((D804*E804)=0,"",(D804*E804))</f>
        <v>34</v>
      </c>
      <c r="G804" s="153"/>
      <c r="H804" s="154"/>
      <c r="I804" s="155"/>
      <c r="J804" s="156"/>
      <c r="L804" s="162"/>
      <c r="N804" s="144"/>
      <c r="O804" s="852"/>
    </row>
    <row r="805" spans="1:15" s="157" customFormat="1">
      <c r="A805" s="254"/>
      <c r="B805" s="612"/>
      <c r="C805" s="152"/>
      <c r="D805" s="572"/>
      <c r="E805" s="144"/>
      <c r="F805" s="144"/>
      <c r="G805" s="153"/>
      <c r="H805" s="154"/>
      <c r="I805" s="155"/>
      <c r="J805" s="156"/>
      <c r="L805" s="162"/>
      <c r="N805" s="144"/>
      <c r="O805" s="852"/>
    </row>
    <row r="806" spans="1:15" s="157" customFormat="1" ht="41.4">
      <c r="A806" s="254" t="s">
        <v>2773</v>
      </c>
      <c r="B806" s="612" t="s">
        <v>2756</v>
      </c>
      <c r="C806" s="152" t="s">
        <v>649</v>
      </c>
      <c r="D806" s="572">
        <v>1</v>
      </c>
      <c r="E806" s="144">
        <v>214</v>
      </c>
      <c r="F806" s="144">
        <f t="shared" ref="F806" si="80">IF((D806*E806)=0,"",(D806*E806))</f>
        <v>214</v>
      </c>
      <c r="G806" s="153"/>
      <c r="H806" s="154"/>
      <c r="I806" s="155"/>
      <c r="J806" s="156"/>
      <c r="L806" s="162"/>
      <c r="N806" s="144"/>
      <c r="O806" s="852"/>
    </row>
    <row r="807" spans="1:15" s="157" customFormat="1">
      <c r="A807" s="254"/>
      <c r="B807" s="612"/>
      <c r="C807" s="152"/>
      <c r="D807" s="572"/>
      <c r="E807" s="144"/>
      <c r="F807" s="144"/>
      <c r="G807" s="153"/>
      <c r="H807" s="154"/>
      <c r="I807" s="155"/>
      <c r="J807" s="156"/>
      <c r="L807" s="162"/>
      <c r="N807" s="144"/>
      <c r="O807" s="852"/>
    </row>
    <row r="808" spans="1:15" s="157" customFormat="1" ht="193.2">
      <c r="A808" s="254" t="s">
        <v>2774</v>
      </c>
      <c r="B808" s="869" t="s">
        <v>5116</v>
      </c>
      <c r="C808" s="152" t="s">
        <v>649</v>
      </c>
      <c r="D808" s="572">
        <v>1</v>
      </c>
      <c r="E808" s="144">
        <v>115</v>
      </c>
      <c r="F808" s="144">
        <f t="shared" ref="F808:F810" si="81">IF((D808*E808)=0,"",(D808*E808))</f>
        <v>115</v>
      </c>
      <c r="G808" s="153"/>
      <c r="H808" s="154"/>
      <c r="I808" s="155"/>
      <c r="J808" s="156"/>
      <c r="L808" s="162"/>
      <c r="N808" s="144"/>
      <c r="O808" s="852"/>
    </row>
    <row r="809" spans="1:15" s="157" customFormat="1">
      <c r="A809" s="254"/>
      <c r="B809" s="159"/>
      <c r="C809" s="152"/>
      <c r="D809" s="572"/>
      <c r="E809" s="144"/>
      <c r="F809" s="144" t="str">
        <f t="shared" si="81"/>
        <v/>
      </c>
      <c r="G809" s="153"/>
      <c r="H809" s="154"/>
      <c r="I809" s="155"/>
      <c r="J809" s="156"/>
      <c r="L809" s="162"/>
      <c r="N809" s="144"/>
      <c r="O809" s="852"/>
    </row>
    <row r="810" spans="1:15" s="157" customFormat="1" ht="138">
      <c r="A810" s="254" t="s">
        <v>2775</v>
      </c>
      <c r="B810" s="602" t="s">
        <v>5190</v>
      </c>
      <c r="C810" s="152" t="s">
        <v>649</v>
      </c>
      <c r="D810" s="572">
        <v>2</v>
      </c>
      <c r="E810" s="144">
        <v>49</v>
      </c>
      <c r="F810" s="144">
        <f t="shared" si="81"/>
        <v>98</v>
      </c>
      <c r="G810" s="153"/>
      <c r="H810" s="154"/>
      <c r="I810" s="155"/>
      <c r="J810" s="156"/>
      <c r="L810" s="162"/>
      <c r="N810" s="144"/>
      <c r="O810" s="852"/>
    </row>
    <row r="811" spans="1:15" s="157" customFormat="1">
      <c r="A811" s="595"/>
      <c r="B811" s="596"/>
      <c r="C811" s="597"/>
      <c r="D811" s="598"/>
      <c r="E811" s="599"/>
      <c r="F811" s="599"/>
      <c r="G811" s="153"/>
      <c r="H811" s="154"/>
      <c r="I811" s="155"/>
      <c r="J811" s="156"/>
      <c r="L811" s="162"/>
      <c r="N811" s="599"/>
      <c r="O811" s="852"/>
    </row>
    <row r="812" spans="1:15" s="157" customFormat="1">
      <c r="A812" s="269" t="str">
        <f>A776</f>
        <v>C.3.</v>
      </c>
      <c r="B812" s="753" t="str">
        <f>CONCATENATE(B776," ", "UKUPNO:")</f>
        <v>SOBA PEDAGOGA UKUPNO:</v>
      </c>
      <c r="C812" s="152"/>
      <c r="D812" s="572"/>
      <c r="E812" s="144"/>
      <c r="F812" s="670">
        <f>SUM(F778:F811)</f>
        <v>2706</v>
      </c>
      <c r="G812" s="153"/>
      <c r="H812" s="154"/>
      <c r="I812" s="155"/>
      <c r="J812" s="156"/>
      <c r="L812" s="162"/>
      <c r="N812" s="144"/>
      <c r="O812" s="852"/>
    </row>
    <row r="813" spans="1:15" s="157" customFormat="1">
      <c r="A813" s="254"/>
      <c r="B813" s="762"/>
      <c r="C813" s="152"/>
      <c r="D813" s="572"/>
      <c r="E813" s="144"/>
      <c r="F813" s="144"/>
      <c r="G813" s="153"/>
      <c r="H813" s="154"/>
      <c r="I813" s="155"/>
      <c r="J813" s="156"/>
      <c r="L813" s="162"/>
      <c r="N813" s="144"/>
      <c r="O813" s="852"/>
    </row>
    <row r="814" spans="1:15" s="157" customFormat="1">
      <c r="A814" s="254"/>
      <c r="B814" s="762"/>
      <c r="C814" s="152"/>
      <c r="D814" s="572"/>
      <c r="E814" s="144"/>
      <c r="F814" s="144"/>
      <c r="G814" s="153"/>
      <c r="H814" s="154"/>
      <c r="I814" s="155"/>
      <c r="J814" s="156"/>
      <c r="L814" s="162"/>
      <c r="N814" s="144"/>
      <c r="O814" s="852"/>
    </row>
    <row r="815" spans="1:15" s="157" customFormat="1">
      <c r="A815" s="581" t="s">
        <v>2776</v>
      </c>
      <c r="B815" s="582" t="s">
        <v>2777</v>
      </c>
      <c r="C815" s="583"/>
      <c r="D815" s="584"/>
      <c r="E815" s="761"/>
      <c r="F815" s="761"/>
      <c r="G815" s="153"/>
      <c r="H815" s="154"/>
      <c r="I815" s="155"/>
      <c r="J815" s="156"/>
      <c r="L815" s="162"/>
      <c r="N815" s="761"/>
      <c r="O815" s="852"/>
    </row>
    <row r="816" spans="1:15" s="157" customFormat="1">
      <c r="A816" s="254"/>
      <c r="B816" s="159"/>
      <c r="C816" s="152"/>
      <c r="D816" s="572"/>
      <c r="G816" s="153"/>
      <c r="H816" s="154"/>
      <c r="I816" s="155"/>
      <c r="J816" s="156"/>
      <c r="L816" s="162"/>
      <c r="N816" s="851"/>
      <c r="O816" s="852"/>
    </row>
    <row r="817" spans="1:15" s="157" customFormat="1" ht="179.4">
      <c r="A817" s="254" t="s">
        <v>2778</v>
      </c>
      <c r="B817" s="869" t="s">
        <v>5111</v>
      </c>
      <c r="C817" s="152" t="s">
        <v>649</v>
      </c>
      <c r="D817" s="572">
        <v>1</v>
      </c>
      <c r="E817" s="144">
        <v>225</v>
      </c>
      <c r="F817" s="144">
        <f>IF((D817*E817)=0,"",(D817*E817))</f>
        <v>225</v>
      </c>
      <c r="G817" s="153"/>
      <c r="H817" s="154"/>
      <c r="I817" s="155"/>
      <c r="J817" s="156"/>
      <c r="L817" s="162"/>
      <c r="N817" s="144"/>
      <c r="O817" s="852"/>
    </row>
    <row r="818" spans="1:15" s="157" customFormat="1">
      <c r="A818" s="254"/>
      <c r="B818" s="762"/>
      <c r="C818" s="152"/>
      <c r="D818" s="572"/>
      <c r="E818" s="144"/>
      <c r="F818" s="144"/>
      <c r="G818" s="153"/>
      <c r="H818" s="154"/>
      <c r="I818" s="155"/>
      <c r="J818" s="156"/>
      <c r="L818" s="162"/>
      <c r="N818" s="144"/>
      <c r="O818" s="852"/>
    </row>
    <row r="819" spans="1:15" s="157" customFormat="1" ht="151.80000000000001">
      <c r="A819" s="254" t="s">
        <v>2779</v>
      </c>
      <c r="B819" s="869" t="s">
        <v>5112</v>
      </c>
      <c r="C819" s="152" t="s">
        <v>649</v>
      </c>
      <c r="D819" s="572">
        <v>1</v>
      </c>
      <c r="E819" s="144">
        <v>155</v>
      </c>
      <c r="F819" s="144">
        <f>IF((D819*E819)=0,"",(D819*E819))</f>
        <v>155</v>
      </c>
      <c r="G819" s="153"/>
      <c r="H819" s="154"/>
      <c r="I819" s="155"/>
      <c r="J819" s="156"/>
      <c r="L819" s="162"/>
      <c r="N819" s="144"/>
      <c r="O819" s="852"/>
    </row>
    <row r="820" spans="1:15" s="157" customFormat="1">
      <c r="A820" s="254"/>
      <c r="B820" s="762"/>
      <c r="C820" s="152"/>
      <c r="D820" s="572"/>
      <c r="E820" s="144"/>
      <c r="F820" s="144"/>
      <c r="G820" s="153"/>
      <c r="H820" s="154"/>
      <c r="I820" s="155"/>
      <c r="J820" s="156"/>
      <c r="L820" s="162"/>
      <c r="N820" s="144"/>
      <c r="O820" s="852"/>
    </row>
    <row r="821" spans="1:15" s="157" customFormat="1" ht="96.6">
      <c r="A821" s="254" t="s">
        <v>2780</v>
      </c>
      <c r="B821" s="604" t="s">
        <v>5117</v>
      </c>
      <c r="C821" s="152" t="s">
        <v>649</v>
      </c>
      <c r="D821" s="572">
        <v>1</v>
      </c>
      <c r="E821" s="144">
        <v>184</v>
      </c>
      <c r="F821" s="144">
        <f>IF((D821*E821)=0,"",(D821*E821))</f>
        <v>184</v>
      </c>
      <c r="G821" s="153"/>
      <c r="H821" s="154"/>
      <c r="I821" s="155"/>
      <c r="J821" s="156"/>
      <c r="L821" s="162"/>
      <c r="N821" s="144"/>
      <c r="O821" s="852"/>
    </row>
    <row r="822" spans="1:15" s="157" customFormat="1">
      <c r="A822" s="254"/>
      <c r="B822" s="159"/>
      <c r="C822" s="152"/>
      <c r="D822" s="572"/>
      <c r="E822" s="144"/>
      <c r="F822" s="144" t="str">
        <f>IF((D822*E822)=0,"",(D822*E822))</f>
        <v/>
      </c>
      <c r="G822" s="153"/>
      <c r="H822" s="154"/>
      <c r="I822" s="155"/>
      <c r="J822" s="156"/>
      <c r="L822" s="162"/>
      <c r="N822" s="144"/>
      <c r="O822" s="852"/>
    </row>
    <row r="823" spans="1:15" s="157" customFormat="1" ht="207">
      <c r="A823" s="254" t="s">
        <v>2781</v>
      </c>
      <c r="B823" s="869" t="s">
        <v>5118</v>
      </c>
      <c r="C823" s="152" t="s">
        <v>649</v>
      </c>
      <c r="D823" s="572">
        <v>1</v>
      </c>
      <c r="E823" s="144">
        <v>58</v>
      </c>
      <c r="F823" s="144">
        <f>IF((D823*E823)=0,"",(D823*E823))</f>
        <v>58</v>
      </c>
      <c r="G823" s="153"/>
      <c r="H823" s="154"/>
      <c r="I823" s="155"/>
      <c r="J823" s="156"/>
      <c r="L823" s="162"/>
      <c r="N823" s="144"/>
      <c r="O823" s="852"/>
    </row>
    <row r="824" spans="1:15" s="157" customFormat="1">
      <c r="A824" s="254"/>
      <c r="B824" s="159"/>
      <c r="C824" s="152"/>
      <c r="D824" s="572"/>
      <c r="E824" s="144"/>
      <c r="F824" s="144"/>
      <c r="G824" s="153"/>
      <c r="H824" s="154"/>
      <c r="I824" s="155"/>
      <c r="J824" s="156"/>
      <c r="L824" s="162"/>
      <c r="N824" s="144"/>
      <c r="O824" s="852"/>
    </row>
    <row r="825" spans="1:15" s="157" customFormat="1" ht="234.6">
      <c r="A825" s="254" t="s">
        <v>2782</v>
      </c>
      <c r="B825" s="869" t="s">
        <v>5113</v>
      </c>
      <c r="C825" s="152" t="s">
        <v>649</v>
      </c>
      <c r="D825" s="572">
        <v>1</v>
      </c>
      <c r="E825" s="144">
        <v>720</v>
      </c>
      <c r="F825" s="144">
        <f t="shared" ref="F825:F833" si="82">IF((D825*E825)=0,"",(D825*E825))</f>
        <v>720</v>
      </c>
      <c r="G825" s="153"/>
      <c r="H825" s="154"/>
      <c r="I825" s="155"/>
      <c r="J825" s="156"/>
      <c r="L825" s="162"/>
      <c r="N825" s="144"/>
      <c r="O825" s="852"/>
    </row>
    <row r="826" spans="1:15" s="157" customFormat="1">
      <c r="A826" s="254"/>
      <c r="B826" s="159"/>
      <c r="C826" s="152"/>
      <c r="D826" s="572"/>
      <c r="E826" s="144"/>
      <c r="F826" s="144" t="str">
        <f t="shared" si="82"/>
        <v/>
      </c>
      <c r="G826" s="153"/>
      <c r="H826" s="154"/>
      <c r="I826" s="155"/>
      <c r="J826" s="156"/>
      <c r="L826" s="162"/>
      <c r="N826" s="144"/>
      <c r="O826" s="852"/>
    </row>
    <row r="827" spans="1:15" s="157" customFormat="1" ht="220.8">
      <c r="A827" s="254" t="s">
        <v>2783</v>
      </c>
      <c r="B827" s="869" t="s">
        <v>5114</v>
      </c>
      <c r="C827" s="152" t="s">
        <v>649</v>
      </c>
      <c r="D827" s="572">
        <v>1</v>
      </c>
      <c r="E827" s="144">
        <v>340</v>
      </c>
      <c r="F827" s="144">
        <f t="shared" si="82"/>
        <v>340</v>
      </c>
      <c r="G827" s="153"/>
      <c r="H827" s="154"/>
      <c r="I827" s="155"/>
      <c r="J827" s="156"/>
      <c r="L827" s="162"/>
      <c r="N827" s="144"/>
      <c r="O827" s="852"/>
    </row>
    <row r="828" spans="1:15" s="157" customFormat="1">
      <c r="A828" s="254"/>
      <c r="B828" s="159"/>
      <c r="C828" s="152"/>
      <c r="D828" s="572"/>
      <c r="E828" s="144"/>
      <c r="F828" s="144"/>
      <c r="G828" s="153"/>
      <c r="H828" s="154"/>
      <c r="I828" s="155"/>
      <c r="J828" s="156"/>
      <c r="L828" s="162"/>
      <c r="N828" s="144"/>
      <c r="O828" s="852"/>
    </row>
    <row r="829" spans="1:15" s="157" customFormat="1" ht="151.80000000000001">
      <c r="A829" s="254" t="s">
        <v>2784</v>
      </c>
      <c r="B829" s="869" t="s">
        <v>5120</v>
      </c>
      <c r="C829" s="152" t="s">
        <v>649</v>
      </c>
      <c r="D829" s="572">
        <v>1</v>
      </c>
      <c r="E829" s="144">
        <v>180</v>
      </c>
      <c r="F829" s="144">
        <f t="shared" si="82"/>
        <v>180</v>
      </c>
      <c r="G829" s="153"/>
      <c r="H829" s="154"/>
      <c r="I829" s="155"/>
      <c r="J829" s="156"/>
      <c r="L829" s="162"/>
      <c r="N829" s="144"/>
      <c r="O829" s="852"/>
    </row>
    <row r="830" spans="1:15" s="157" customFormat="1">
      <c r="A830" s="254"/>
      <c r="B830" s="159"/>
      <c r="C830" s="152"/>
      <c r="D830" s="572"/>
      <c r="E830" s="144"/>
      <c r="F830" s="144"/>
      <c r="G830" s="153"/>
      <c r="H830" s="154"/>
      <c r="I830" s="155"/>
      <c r="J830" s="156"/>
      <c r="L830" s="162"/>
      <c r="N830" s="144"/>
      <c r="O830" s="852"/>
    </row>
    <row r="831" spans="1:15" s="157" customFormat="1" ht="82.8">
      <c r="A831" s="254" t="s">
        <v>2785</v>
      </c>
      <c r="B831" s="762" t="s">
        <v>2698</v>
      </c>
      <c r="C831" s="152" t="s">
        <v>649</v>
      </c>
      <c r="D831" s="572">
        <v>1</v>
      </c>
      <c r="E831" s="144">
        <v>78</v>
      </c>
      <c r="F831" s="144">
        <f t="shared" si="82"/>
        <v>78</v>
      </c>
      <c r="G831" s="153"/>
      <c r="H831" s="154"/>
      <c r="I831" s="155"/>
      <c r="J831" s="156"/>
      <c r="L831" s="162"/>
      <c r="N831" s="144"/>
      <c r="O831" s="852"/>
    </row>
    <row r="832" spans="1:15" s="157" customFormat="1">
      <c r="A832" s="254"/>
      <c r="B832" s="159"/>
      <c r="C832" s="152"/>
      <c r="D832" s="572"/>
      <c r="E832" s="144"/>
      <c r="F832" s="144" t="str">
        <f t="shared" si="82"/>
        <v/>
      </c>
      <c r="G832" s="153"/>
      <c r="H832" s="154"/>
      <c r="I832" s="155"/>
      <c r="J832" s="156"/>
      <c r="L832" s="162"/>
      <c r="N832" s="144"/>
      <c r="O832" s="852"/>
    </row>
    <row r="833" spans="1:15" s="157" customFormat="1" ht="82.8">
      <c r="A833" s="254" t="s">
        <v>2786</v>
      </c>
      <c r="B833" s="762" t="s">
        <v>2728</v>
      </c>
      <c r="C833" s="152" t="s">
        <v>649</v>
      </c>
      <c r="D833" s="572">
        <v>1</v>
      </c>
      <c r="E833" s="144">
        <v>84</v>
      </c>
      <c r="F833" s="144">
        <f t="shared" si="82"/>
        <v>84</v>
      </c>
      <c r="G833" s="153"/>
      <c r="H833" s="154"/>
      <c r="I833" s="155"/>
      <c r="J833" s="156"/>
      <c r="L833" s="162"/>
      <c r="N833" s="144"/>
      <c r="O833" s="852"/>
    </row>
    <row r="834" spans="1:15" s="157" customFormat="1">
      <c r="A834" s="254"/>
      <c r="B834" s="159"/>
      <c r="C834" s="152"/>
      <c r="D834" s="572"/>
      <c r="E834" s="144"/>
      <c r="F834" s="144"/>
      <c r="G834" s="153"/>
      <c r="H834" s="154"/>
      <c r="I834" s="155"/>
      <c r="J834" s="156"/>
      <c r="L834" s="162"/>
      <c r="N834" s="144"/>
      <c r="O834" s="852"/>
    </row>
    <row r="835" spans="1:15" s="157" customFormat="1" ht="27.6">
      <c r="A835" s="254" t="s">
        <v>2787</v>
      </c>
      <c r="B835" s="762" t="s">
        <v>2730</v>
      </c>
      <c r="C835" s="152" t="s">
        <v>649</v>
      </c>
      <c r="D835" s="572">
        <v>1</v>
      </c>
      <c r="E835" s="144">
        <v>38</v>
      </c>
      <c r="F835" s="144">
        <f t="shared" ref="F835:F839" si="83">IF((D835*E835)=0,"",(D835*E835))</f>
        <v>38</v>
      </c>
      <c r="G835" s="153"/>
      <c r="H835" s="154"/>
      <c r="I835" s="155"/>
      <c r="J835" s="156"/>
      <c r="L835" s="162"/>
      <c r="N835" s="144"/>
      <c r="O835" s="852"/>
    </row>
    <row r="836" spans="1:15" s="157" customFormat="1">
      <c r="A836" s="254"/>
      <c r="B836" s="159"/>
      <c r="C836" s="152"/>
      <c r="D836" s="572"/>
      <c r="E836" s="144"/>
      <c r="F836" s="144" t="str">
        <f t="shared" si="83"/>
        <v/>
      </c>
      <c r="G836" s="153"/>
      <c r="H836" s="154"/>
      <c r="I836" s="155"/>
      <c r="J836" s="156"/>
      <c r="L836" s="162"/>
      <c r="N836" s="144"/>
      <c r="O836" s="852"/>
    </row>
    <row r="837" spans="1:15" s="157" customFormat="1" ht="27.6">
      <c r="A837" s="254" t="s">
        <v>2788</v>
      </c>
      <c r="B837" s="605" t="s">
        <v>2679</v>
      </c>
      <c r="C837" s="564" t="s">
        <v>649</v>
      </c>
      <c r="D837" s="565">
        <v>1</v>
      </c>
      <c r="E837" s="566">
        <v>54</v>
      </c>
      <c r="F837" s="566">
        <f>IF((D837*E837)=0,"",(D837*E837))</f>
        <v>54</v>
      </c>
      <c r="G837" s="153"/>
      <c r="H837" s="154"/>
      <c r="I837" s="155"/>
      <c r="J837" s="156"/>
      <c r="L837" s="162"/>
      <c r="N837" s="566"/>
      <c r="O837" s="852"/>
    </row>
    <row r="838" spans="1:15" s="157" customFormat="1">
      <c r="A838" s="254"/>
      <c r="B838" s="612"/>
      <c r="C838" s="152"/>
      <c r="D838" s="572"/>
      <c r="E838" s="144"/>
      <c r="F838" s="144" t="str">
        <f t="shared" si="83"/>
        <v/>
      </c>
      <c r="G838" s="153"/>
      <c r="H838" s="154"/>
      <c r="I838" s="155"/>
      <c r="J838" s="156"/>
      <c r="L838" s="162"/>
      <c r="N838" s="144"/>
      <c r="O838" s="852"/>
    </row>
    <row r="839" spans="1:15" s="157" customFormat="1" ht="55.2">
      <c r="A839" s="254" t="s">
        <v>2789</v>
      </c>
      <c r="B839" s="763" t="s">
        <v>2734</v>
      </c>
      <c r="C839" s="152" t="s">
        <v>649</v>
      </c>
      <c r="D839" s="572">
        <v>1</v>
      </c>
      <c r="E839" s="144">
        <v>18</v>
      </c>
      <c r="F839" s="144">
        <f t="shared" si="83"/>
        <v>18</v>
      </c>
      <c r="G839" s="153"/>
      <c r="H839" s="154"/>
      <c r="I839" s="155"/>
      <c r="J839" s="156"/>
      <c r="L839" s="162"/>
      <c r="N839" s="144"/>
      <c r="O839" s="852"/>
    </row>
    <row r="840" spans="1:15" s="157" customFormat="1">
      <c r="A840" s="254"/>
      <c r="B840" s="763"/>
      <c r="C840" s="152"/>
      <c r="D840" s="572"/>
      <c r="E840" s="144"/>
      <c r="F840" s="144"/>
      <c r="G840" s="153"/>
      <c r="H840" s="154"/>
      <c r="I840" s="155"/>
      <c r="J840" s="156"/>
      <c r="L840" s="162"/>
      <c r="N840" s="144"/>
      <c r="O840" s="852"/>
    </row>
    <row r="841" spans="1:15" s="157" customFormat="1" ht="69">
      <c r="A841" s="254" t="s">
        <v>2790</v>
      </c>
      <c r="B841" s="612" t="s">
        <v>3151</v>
      </c>
      <c r="C841" s="152" t="s">
        <v>649</v>
      </c>
      <c r="D841" s="572">
        <v>1</v>
      </c>
      <c r="E841" s="144">
        <v>78</v>
      </c>
      <c r="F841" s="144">
        <f t="shared" ref="F841" si="84">IF((D841*E841)=0,"",(D841*E841))</f>
        <v>78</v>
      </c>
      <c r="G841" s="153"/>
      <c r="H841" s="154"/>
      <c r="I841" s="155"/>
      <c r="J841" s="156"/>
      <c r="L841" s="162"/>
      <c r="N841" s="144"/>
      <c r="O841" s="852"/>
    </row>
    <row r="842" spans="1:15" s="157" customFormat="1">
      <c r="A842" s="254"/>
      <c r="B842" s="612"/>
      <c r="C842" s="152"/>
      <c r="D842" s="572"/>
      <c r="E842" s="144"/>
      <c r="F842" s="144"/>
      <c r="G842" s="153"/>
      <c r="H842" s="154"/>
      <c r="I842" s="155"/>
      <c r="J842" s="156"/>
      <c r="L842" s="162"/>
      <c r="N842" s="144"/>
      <c r="O842" s="852"/>
    </row>
    <row r="843" spans="1:15" s="157" customFormat="1" ht="55.2">
      <c r="A843" s="254" t="s">
        <v>2791</v>
      </c>
      <c r="B843" s="612" t="s">
        <v>3152</v>
      </c>
      <c r="C843" s="152" t="s">
        <v>649</v>
      </c>
      <c r="D843" s="572">
        <v>1</v>
      </c>
      <c r="E843" s="144">
        <v>34</v>
      </c>
      <c r="F843" s="144">
        <f t="shared" ref="F843" si="85">IF((D843*E843)=0,"",(D843*E843))</f>
        <v>34</v>
      </c>
      <c r="G843" s="153"/>
      <c r="H843" s="154"/>
      <c r="I843" s="155"/>
      <c r="J843" s="156"/>
      <c r="L843" s="162"/>
      <c r="N843" s="144"/>
      <c r="O843" s="852"/>
    </row>
    <row r="844" spans="1:15" s="157" customFormat="1">
      <c r="A844" s="254"/>
      <c r="B844" s="612"/>
      <c r="C844" s="152"/>
      <c r="D844" s="572"/>
      <c r="E844" s="144"/>
      <c r="F844" s="144"/>
      <c r="G844" s="153"/>
      <c r="H844" s="154"/>
      <c r="I844" s="155"/>
      <c r="J844" s="156"/>
      <c r="L844" s="162"/>
      <c r="N844" s="144"/>
      <c r="O844" s="852"/>
    </row>
    <row r="845" spans="1:15" s="157" customFormat="1" ht="96.6">
      <c r="A845" s="254" t="s">
        <v>2791</v>
      </c>
      <c r="B845" s="612" t="s">
        <v>2792</v>
      </c>
      <c r="C845" s="152" t="s">
        <v>670</v>
      </c>
      <c r="D845" s="572">
        <v>1</v>
      </c>
      <c r="E845" s="144">
        <v>366</v>
      </c>
      <c r="F845" s="144">
        <f t="shared" ref="F845" si="86">IF((D845*E845)=0,"",(D845*E845))</f>
        <v>366</v>
      </c>
      <c r="G845" s="153"/>
      <c r="H845" s="154"/>
      <c r="I845" s="155"/>
      <c r="J845" s="156"/>
      <c r="L845" s="162"/>
      <c r="N845" s="144"/>
      <c r="O845" s="852"/>
    </row>
    <row r="846" spans="1:15" s="157" customFormat="1">
      <c r="A846" s="254"/>
      <c r="B846" s="612"/>
      <c r="C846" s="152"/>
      <c r="D846" s="572"/>
      <c r="E846" s="144"/>
      <c r="F846" s="144"/>
      <c r="G846" s="153"/>
      <c r="H846" s="154"/>
      <c r="I846" s="155"/>
      <c r="J846" s="156"/>
      <c r="L846" s="162"/>
      <c r="N846" s="144"/>
      <c r="O846" s="852"/>
    </row>
    <row r="847" spans="1:15" s="157" customFormat="1" ht="41.4">
      <c r="A847" s="254" t="s">
        <v>2773</v>
      </c>
      <c r="B847" s="612" t="s">
        <v>2756</v>
      </c>
      <c r="C847" s="152" t="s">
        <v>649</v>
      </c>
      <c r="D847" s="572">
        <v>1</v>
      </c>
      <c r="E847" s="144">
        <v>214</v>
      </c>
      <c r="F847" s="144">
        <f t="shared" ref="F847" si="87">IF((D847*E847)=0,"",(D847*E847))</f>
        <v>214</v>
      </c>
      <c r="G847" s="153"/>
      <c r="H847" s="154"/>
      <c r="I847" s="155"/>
      <c r="J847" s="156"/>
      <c r="L847" s="162"/>
      <c r="N847" s="144"/>
      <c r="O847" s="852"/>
    </row>
    <row r="848" spans="1:15" s="157" customFormat="1">
      <c r="A848" s="254"/>
      <c r="B848" s="612"/>
      <c r="C848" s="152"/>
      <c r="D848" s="572"/>
      <c r="E848" s="144"/>
      <c r="F848" s="144"/>
      <c r="G848" s="153"/>
      <c r="H848" s="154"/>
      <c r="I848" s="155"/>
      <c r="J848" s="156"/>
      <c r="L848" s="162"/>
      <c r="N848" s="144"/>
      <c r="O848" s="852"/>
    </row>
    <row r="849" spans="1:15" s="157" customFormat="1" ht="27.6">
      <c r="A849" s="254" t="s">
        <v>2793</v>
      </c>
      <c r="B849" s="612" t="s">
        <v>5382</v>
      </c>
      <c r="C849" s="152" t="s">
        <v>649</v>
      </c>
      <c r="D849" s="572">
        <v>1</v>
      </c>
      <c r="E849" s="144">
        <v>346</v>
      </c>
      <c r="F849" s="144">
        <f t="shared" ref="F849:F869" si="88">IF((D849*E849)=0,"",(D849*E849))</f>
        <v>346</v>
      </c>
      <c r="G849" s="153"/>
      <c r="H849" s="154"/>
      <c r="I849" s="155"/>
      <c r="J849" s="156"/>
      <c r="L849" s="162"/>
      <c r="N849" s="144"/>
      <c r="O849" s="852"/>
    </row>
    <row r="850" spans="1:15" s="157" customFormat="1">
      <c r="A850" s="254"/>
      <c r="B850" s="612"/>
      <c r="C850" s="152"/>
      <c r="D850" s="572"/>
      <c r="E850" s="144"/>
      <c r="F850" s="144"/>
      <c r="G850" s="153"/>
      <c r="H850" s="154"/>
      <c r="I850" s="155"/>
      <c r="J850" s="156"/>
      <c r="L850" s="162"/>
      <c r="N850" s="144"/>
      <c r="O850" s="852"/>
    </row>
    <row r="851" spans="1:15" s="157" customFormat="1" ht="69">
      <c r="A851" s="254" t="s">
        <v>2794</v>
      </c>
      <c r="B851" s="612" t="s">
        <v>5387</v>
      </c>
      <c r="C851" s="152" t="s">
        <v>649</v>
      </c>
      <c r="D851" s="572">
        <v>1</v>
      </c>
      <c r="E851" s="144">
        <v>85</v>
      </c>
      <c r="F851" s="144">
        <f t="shared" si="88"/>
        <v>85</v>
      </c>
      <c r="G851" s="153"/>
      <c r="H851" s="154"/>
      <c r="I851" s="155"/>
      <c r="J851" s="156"/>
      <c r="L851" s="162"/>
      <c r="N851" s="144"/>
      <c r="O851" s="852"/>
    </row>
    <row r="852" spans="1:15" s="157" customFormat="1">
      <c r="A852" s="254"/>
      <c r="B852" s="612"/>
      <c r="C852" s="152"/>
      <c r="D852" s="572"/>
      <c r="E852" s="144"/>
      <c r="F852" s="144"/>
      <c r="G852" s="153"/>
      <c r="H852" s="154"/>
      <c r="I852" s="155"/>
      <c r="J852" s="156"/>
      <c r="L852" s="162"/>
      <c r="N852" s="144"/>
      <c r="O852" s="852"/>
    </row>
    <row r="853" spans="1:15" s="157" customFormat="1" ht="55.2">
      <c r="A853" s="254" t="s">
        <v>2795</v>
      </c>
      <c r="B853" s="612" t="s">
        <v>5390</v>
      </c>
      <c r="C853" s="152" t="s">
        <v>649</v>
      </c>
      <c r="D853" s="572">
        <v>1</v>
      </c>
      <c r="E853" s="144">
        <v>48</v>
      </c>
      <c r="F853" s="144">
        <f t="shared" si="88"/>
        <v>48</v>
      </c>
      <c r="G853" s="153"/>
      <c r="H853" s="154"/>
      <c r="I853" s="155"/>
      <c r="J853" s="156"/>
      <c r="L853" s="162"/>
      <c r="N853" s="144"/>
      <c r="O853" s="852"/>
    </row>
    <row r="854" spans="1:15" s="157" customFormat="1">
      <c r="A854" s="254"/>
      <c r="B854" s="612"/>
      <c r="C854" s="152"/>
      <c r="D854" s="572"/>
      <c r="E854" s="144"/>
      <c r="F854" s="144"/>
      <c r="G854" s="153"/>
      <c r="H854" s="154"/>
      <c r="I854" s="155"/>
      <c r="J854" s="156"/>
      <c r="L854" s="162"/>
      <c r="N854" s="144"/>
      <c r="O854" s="852"/>
    </row>
    <row r="855" spans="1:15" s="157" customFormat="1" ht="27.6">
      <c r="A855" s="254" t="s">
        <v>2796</v>
      </c>
      <c r="B855" s="612" t="s">
        <v>5388</v>
      </c>
      <c r="C855" s="152" t="s">
        <v>649</v>
      </c>
      <c r="D855" s="572">
        <v>1</v>
      </c>
      <c r="E855" s="144">
        <v>44</v>
      </c>
      <c r="F855" s="144">
        <f t="shared" si="88"/>
        <v>44</v>
      </c>
      <c r="G855" s="153"/>
      <c r="H855" s="154"/>
      <c r="I855" s="155"/>
      <c r="J855" s="156"/>
      <c r="L855" s="162"/>
      <c r="N855" s="144"/>
      <c r="O855" s="852"/>
    </row>
    <row r="856" spans="1:15" s="157" customFormat="1">
      <c r="A856" s="254"/>
      <c r="B856" s="612"/>
      <c r="C856" s="152"/>
      <c r="D856" s="572"/>
      <c r="E856" s="144"/>
      <c r="F856" s="144"/>
      <c r="G856" s="153"/>
      <c r="H856" s="154"/>
      <c r="I856" s="155"/>
      <c r="J856" s="156"/>
      <c r="L856" s="162"/>
      <c r="N856" s="144"/>
      <c r="O856" s="852"/>
    </row>
    <row r="857" spans="1:15" s="157" customFormat="1" ht="27.6">
      <c r="A857" s="254" t="s">
        <v>2797</v>
      </c>
      <c r="B857" s="612" t="s">
        <v>5389</v>
      </c>
      <c r="C857" s="152" t="s">
        <v>649</v>
      </c>
      <c r="D857" s="572">
        <v>1</v>
      </c>
      <c r="E857" s="144">
        <v>263</v>
      </c>
      <c r="F857" s="144">
        <f t="shared" si="88"/>
        <v>263</v>
      </c>
      <c r="G857" s="153"/>
      <c r="H857" s="154"/>
      <c r="I857" s="155"/>
      <c r="J857" s="156"/>
      <c r="L857" s="162"/>
      <c r="N857" s="144"/>
      <c r="O857" s="852"/>
    </row>
    <row r="858" spans="1:15" s="157" customFormat="1">
      <c r="A858" s="254"/>
      <c r="B858" s="612"/>
      <c r="C858" s="152"/>
      <c r="D858" s="572"/>
      <c r="E858" s="144"/>
      <c r="F858" s="144"/>
      <c r="G858" s="153"/>
      <c r="H858" s="154"/>
      <c r="I858" s="155"/>
      <c r="J858" s="156"/>
      <c r="L858" s="162"/>
      <c r="N858" s="144"/>
      <c r="O858" s="852"/>
    </row>
    <row r="859" spans="1:15" s="157" customFormat="1" ht="27.6">
      <c r="A859" s="254" t="s">
        <v>2798</v>
      </c>
      <c r="B859" s="612" t="s">
        <v>5386</v>
      </c>
      <c r="C859" s="152" t="s">
        <v>649</v>
      </c>
      <c r="D859" s="572">
        <v>1</v>
      </c>
      <c r="E859" s="144">
        <v>458</v>
      </c>
      <c r="F859" s="144">
        <f t="shared" si="88"/>
        <v>458</v>
      </c>
      <c r="G859" s="153"/>
      <c r="H859" s="154"/>
      <c r="I859" s="155"/>
      <c r="J859" s="156"/>
      <c r="L859" s="162"/>
      <c r="N859" s="144"/>
      <c r="O859" s="852"/>
    </row>
    <row r="860" spans="1:15" s="157" customFormat="1">
      <c r="A860" s="254"/>
      <c r="B860" s="612"/>
      <c r="C860" s="152"/>
      <c r="D860" s="572"/>
      <c r="E860" s="144"/>
      <c r="F860" s="144"/>
      <c r="G860" s="153"/>
      <c r="H860" s="154"/>
      <c r="I860" s="155"/>
      <c r="J860" s="156"/>
      <c r="L860" s="162"/>
      <c r="N860" s="144"/>
      <c r="O860" s="852"/>
    </row>
    <row r="861" spans="1:15" s="157" customFormat="1" ht="27.6">
      <c r="A861" s="254" t="s">
        <v>2799</v>
      </c>
      <c r="B861" s="612" t="s">
        <v>5385</v>
      </c>
      <c r="C861" s="152" t="s">
        <v>649</v>
      </c>
      <c r="D861" s="572">
        <v>1</v>
      </c>
      <c r="E861" s="144">
        <v>35</v>
      </c>
      <c r="F861" s="144">
        <f t="shared" si="88"/>
        <v>35</v>
      </c>
      <c r="G861" s="153"/>
      <c r="H861" s="154"/>
      <c r="I861" s="155"/>
      <c r="J861" s="156"/>
      <c r="L861" s="162"/>
      <c r="N861" s="144"/>
      <c r="O861" s="852"/>
    </row>
    <row r="862" spans="1:15" s="157" customFormat="1">
      <c r="A862" s="254"/>
      <c r="B862" s="612"/>
      <c r="C862" s="152"/>
      <c r="D862" s="572"/>
      <c r="E862" s="144"/>
      <c r="F862" s="144"/>
      <c r="G862" s="153"/>
      <c r="H862" s="154"/>
      <c r="I862" s="155"/>
      <c r="J862" s="156"/>
      <c r="L862" s="162"/>
      <c r="N862" s="144"/>
      <c r="O862" s="852"/>
    </row>
    <row r="863" spans="1:15" s="157" customFormat="1" ht="27.6">
      <c r="A863" s="254" t="s">
        <v>2800</v>
      </c>
      <c r="B863" s="612" t="s">
        <v>5384</v>
      </c>
      <c r="C863" s="152" t="s">
        <v>649</v>
      </c>
      <c r="D863" s="572">
        <v>1</v>
      </c>
      <c r="E863" s="144">
        <v>8</v>
      </c>
      <c r="F863" s="144">
        <f t="shared" si="88"/>
        <v>8</v>
      </c>
      <c r="G863" s="153"/>
      <c r="H863" s="154"/>
      <c r="I863" s="155"/>
      <c r="J863" s="156"/>
      <c r="L863" s="162"/>
      <c r="N863" s="144"/>
      <c r="O863" s="852"/>
    </row>
    <row r="864" spans="1:15" s="157" customFormat="1">
      <c r="A864" s="254"/>
      <c r="B864" s="612"/>
      <c r="C864" s="152"/>
      <c r="D864" s="572"/>
      <c r="E864" s="144"/>
      <c r="F864" s="144"/>
      <c r="G864" s="153"/>
      <c r="H864" s="154"/>
      <c r="I864" s="155"/>
      <c r="J864" s="156"/>
      <c r="L864" s="162"/>
      <c r="N864" s="144"/>
      <c r="O864" s="852"/>
    </row>
    <row r="865" spans="1:15" s="157" customFormat="1" ht="69">
      <c r="A865" s="254" t="s">
        <v>2801</v>
      </c>
      <c r="B865" s="612" t="s">
        <v>5383</v>
      </c>
      <c r="C865" s="152" t="s">
        <v>649</v>
      </c>
      <c r="D865" s="572">
        <v>1</v>
      </c>
      <c r="E865" s="144">
        <v>36</v>
      </c>
      <c r="F865" s="144">
        <f t="shared" si="88"/>
        <v>36</v>
      </c>
      <c r="G865" s="153"/>
      <c r="H865" s="154"/>
      <c r="I865" s="155"/>
      <c r="J865" s="156"/>
      <c r="L865" s="162"/>
      <c r="N865" s="144"/>
      <c r="O865" s="852"/>
    </row>
    <row r="866" spans="1:15" s="157" customFormat="1">
      <c r="A866" s="254"/>
      <c r="B866" s="612"/>
      <c r="C866" s="152"/>
      <c r="D866" s="572"/>
      <c r="E866" s="144"/>
      <c r="F866" s="144"/>
      <c r="G866" s="153"/>
      <c r="H866" s="154"/>
      <c r="I866" s="155"/>
      <c r="J866" s="156"/>
      <c r="L866" s="162"/>
      <c r="N866" s="144"/>
      <c r="O866" s="852"/>
    </row>
    <row r="867" spans="1:15" s="157" customFormat="1" ht="41.4">
      <c r="A867" s="254" t="s">
        <v>2802</v>
      </c>
      <c r="B867" s="612" t="s">
        <v>5381</v>
      </c>
      <c r="C867" s="152" t="s">
        <v>649</v>
      </c>
      <c r="D867" s="572">
        <v>1</v>
      </c>
      <c r="E867" s="144">
        <v>14</v>
      </c>
      <c r="F867" s="144">
        <f t="shared" si="88"/>
        <v>14</v>
      </c>
      <c r="G867" s="153"/>
      <c r="H867" s="154"/>
      <c r="I867" s="155"/>
      <c r="J867" s="156"/>
      <c r="L867" s="162"/>
      <c r="N867" s="144"/>
      <c r="O867" s="852"/>
    </row>
    <row r="868" spans="1:15" s="157" customFormat="1">
      <c r="A868" s="254"/>
      <c r="B868" s="612"/>
      <c r="C868" s="152"/>
      <c r="D868" s="572"/>
      <c r="E868" s="144"/>
      <c r="F868" s="144"/>
      <c r="G868" s="153"/>
      <c r="H868" s="154"/>
      <c r="I868" s="155"/>
      <c r="J868" s="156"/>
      <c r="L868" s="162"/>
      <c r="N868" s="144"/>
      <c r="O868" s="852"/>
    </row>
    <row r="869" spans="1:15" s="157" customFormat="1" ht="27.6">
      <c r="A869" s="254" t="s">
        <v>4157</v>
      </c>
      <c r="B869" s="612" t="s">
        <v>2803</v>
      </c>
      <c r="C869" s="152" t="s">
        <v>649</v>
      </c>
      <c r="D869" s="572">
        <v>1</v>
      </c>
      <c r="E869" s="144">
        <v>231</v>
      </c>
      <c r="F869" s="144">
        <f t="shared" si="88"/>
        <v>231</v>
      </c>
      <c r="G869" s="153"/>
      <c r="H869" s="154"/>
      <c r="I869" s="155"/>
      <c r="J869" s="156"/>
      <c r="L869" s="162"/>
      <c r="N869" s="144"/>
      <c r="O869" s="852"/>
    </row>
    <row r="870" spans="1:15" s="157" customFormat="1">
      <c r="A870" s="595"/>
      <c r="B870" s="596"/>
      <c r="C870" s="597"/>
      <c r="D870" s="598"/>
      <c r="E870" s="599"/>
      <c r="F870" s="599"/>
      <c r="G870" s="153"/>
      <c r="H870" s="154"/>
      <c r="I870" s="155"/>
      <c r="J870" s="156"/>
      <c r="L870" s="162"/>
      <c r="N870" s="599"/>
      <c r="O870" s="852"/>
    </row>
    <row r="871" spans="1:15" s="157" customFormat="1">
      <c r="A871" s="269" t="str">
        <f>A815</f>
        <v>C.4.</v>
      </c>
      <c r="B871" s="753" t="str">
        <f>CONCATENATE(B815," ", "UKUPNO:")</f>
        <v>SOBA ZDRAVSTVENOG VODITELJA UKUPNO:</v>
      </c>
      <c r="C871" s="152"/>
      <c r="D871" s="572"/>
      <c r="E871" s="144"/>
      <c r="F871" s="670">
        <f>SUM(F817:F870)</f>
        <v>4394</v>
      </c>
      <c r="G871" s="153"/>
      <c r="H871" s="154"/>
      <c r="I871" s="155"/>
      <c r="J871" s="156"/>
      <c r="L871" s="162"/>
      <c r="N871" s="144"/>
      <c r="O871" s="852"/>
    </row>
    <row r="872" spans="1:15" s="157" customFormat="1">
      <c r="A872" s="254"/>
      <c r="B872" s="762"/>
      <c r="C872" s="152"/>
      <c r="D872" s="572"/>
      <c r="E872" s="144"/>
      <c r="F872" s="144"/>
      <c r="G872" s="153"/>
      <c r="H872" s="154"/>
      <c r="I872" s="155"/>
      <c r="J872" s="156"/>
      <c r="L872" s="162"/>
      <c r="N872" s="144"/>
      <c r="O872" s="852"/>
    </row>
    <row r="873" spans="1:15" s="157" customFormat="1">
      <c r="A873" s="254"/>
      <c r="B873" s="159"/>
      <c r="C873" s="152"/>
      <c r="D873" s="572"/>
      <c r="E873" s="144"/>
      <c r="F873" s="144"/>
      <c r="G873" s="153"/>
      <c r="H873" s="154"/>
      <c r="I873" s="155"/>
      <c r="J873" s="156"/>
      <c r="L873" s="162"/>
      <c r="N873" s="144"/>
      <c r="O873" s="852"/>
    </row>
    <row r="874" spans="1:15" s="149" customFormat="1">
      <c r="A874" s="581" t="s">
        <v>2804</v>
      </c>
      <c r="B874" s="582" t="s">
        <v>2805</v>
      </c>
      <c r="C874" s="583"/>
      <c r="D874" s="584"/>
      <c r="E874" s="585"/>
      <c r="F874" s="586"/>
      <c r="G874" s="145"/>
      <c r="H874" s="146"/>
      <c r="I874" s="147"/>
      <c r="J874" s="148"/>
      <c r="L874" s="579"/>
      <c r="N874" s="585"/>
      <c r="O874" s="852"/>
    </row>
    <row r="875" spans="1:15" s="157" customFormat="1">
      <c r="A875" s="254"/>
      <c r="B875" s="159"/>
      <c r="C875" s="152"/>
      <c r="D875" s="572"/>
      <c r="E875" s="144"/>
      <c r="F875" s="144"/>
      <c r="G875" s="153"/>
      <c r="H875" s="154"/>
      <c r="I875" s="155"/>
      <c r="J875" s="156"/>
      <c r="L875" s="162"/>
      <c r="N875" s="144"/>
      <c r="O875" s="852"/>
    </row>
    <row r="876" spans="1:15" s="157" customFormat="1" ht="179.4">
      <c r="A876" s="254" t="s">
        <v>2806</v>
      </c>
      <c r="B876" s="869" t="s">
        <v>5121</v>
      </c>
      <c r="C876" s="152" t="s">
        <v>649</v>
      </c>
      <c r="D876" s="572">
        <v>4</v>
      </c>
      <c r="E876" s="144">
        <v>190</v>
      </c>
      <c r="F876" s="144">
        <f>IF((D876*E876)=0,"",(D876*E876))</f>
        <v>760</v>
      </c>
      <c r="G876" s="153"/>
      <c r="H876" s="154"/>
      <c r="I876" s="155"/>
      <c r="J876" s="156"/>
      <c r="L876" s="162"/>
      <c r="N876" s="144"/>
      <c r="O876" s="852"/>
    </row>
    <row r="877" spans="1:15" s="157" customFormat="1">
      <c r="A877" s="254"/>
      <c r="B877" s="159"/>
      <c r="C877" s="152"/>
      <c r="D877" s="572"/>
      <c r="E877" s="144"/>
      <c r="F877" s="144"/>
      <c r="G877" s="153"/>
      <c r="H877" s="154"/>
      <c r="I877" s="155"/>
      <c r="J877" s="156"/>
      <c r="L877" s="162"/>
      <c r="N877" s="144"/>
      <c r="O877" s="852"/>
    </row>
    <row r="878" spans="1:15" s="157" customFormat="1" ht="220.8">
      <c r="A878" s="254" t="s">
        <v>2807</v>
      </c>
      <c r="B878" s="869" t="s">
        <v>5122</v>
      </c>
      <c r="C878" s="152" t="s">
        <v>649</v>
      </c>
      <c r="D878" s="572">
        <v>12</v>
      </c>
      <c r="E878" s="144">
        <v>58</v>
      </c>
      <c r="F878" s="144">
        <f t="shared" ref="F878" si="89">IF((D878*E878)=0,"",(D878*E878))</f>
        <v>696</v>
      </c>
      <c r="G878" s="153"/>
      <c r="H878" s="154"/>
      <c r="I878" s="155"/>
      <c r="J878" s="156"/>
      <c r="L878" s="162"/>
      <c r="N878" s="144"/>
      <c r="O878" s="852"/>
    </row>
    <row r="879" spans="1:15" s="157" customFormat="1">
      <c r="A879" s="254"/>
      <c r="B879" s="159"/>
      <c r="C879" s="152"/>
      <c r="D879" s="572"/>
      <c r="E879" s="144"/>
      <c r="F879" s="144"/>
      <c r="G879" s="153"/>
      <c r="H879" s="154"/>
      <c r="I879" s="155"/>
      <c r="J879" s="156"/>
      <c r="L879" s="162"/>
      <c r="N879" s="144"/>
      <c r="O879" s="852"/>
    </row>
    <row r="880" spans="1:15" s="157" customFormat="1" ht="234.6">
      <c r="A880" s="254" t="s">
        <v>2808</v>
      </c>
      <c r="B880" s="869" t="s">
        <v>5113</v>
      </c>
      <c r="C880" s="152" t="s">
        <v>649</v>
      </c>
      <c r="D880" s="572">
        <v>1</v>
      </c>
      <c r="E880" s="144">
        <v>720</v>
      </c>
      <c r="F880" s="144">
        <f t="shared" ref="F880" si="90">IF((D880*E880)=0,"",(D880*E880))</f>
        <v>720</v>
      </c>
      <c r="G880" s="153"/>
      <c r="H880" s="154"/>
      <c r="I880" s="155"/>
      <c r="J880" s="156"/>
      <c r="L880" s="162"/>
      <c r="N880" s="144"/>
      <c r="O880" s="852"/>
    </row>
    <row r="881" spans="1:15" s="157" customFormat="1">
      <c r="A881" s="254"/>
      <c r="B881" s="159"/>
      <c r="C881" s="152"/>
      <c r="D881" s="572"/>
      <c r="E881" s="144"/>
      <c r="F881" s="144"/>
      <c r="G881" s="153"/>
      <c r="H881" s="154"/>
      <c r="I881" s="155"/>
      <c r="J881" s="156"/>
      <c r="L881" s="162"/>
      <c r="N881" s="144"/>
      <c r="O881" s="852"/>
    </row>
    <row r="882" spans="1:15" s="157" customFormat="1" ht="220.8">
      <c r="A882" s="254" t="s">
        <v>2809</v>
      </c>
      <c r="B882" s="869" t="s">
        <v>5114</v>
      </c>
      <c r="C882" s="152" t="s">
        <v>649</v>
      </c>
      <c r="D882" s="572">
        <v>3</v>
      </c>
      <c r="E882" s="144">
        <v>340</v>
      </c>
      <c r="F882" s="144">
        <f t="shared" ref="F882" si="91">IF((D882*E882)=0,"",(D882*E882))</f>
        <v>1020</v>
      </c>
      <c r="G882" s="153"/>
      <c r="H882" s="154"/>
      <c r="I882" s="155"/>
      <c r="J882" s="156"/>
      <c r="L882" s="162"/>
      <c r="N882" s="144"/>
      <c r="O882" s="852"/>
    </row>
    <row r="883" spans="1:15" s="157" customFormat="1">
      <c r="A883" s="254"/>
      <c r="B883" s="159"/>
      <c r="C883" s="152"/>
      <c r="D883" s="572"/>
      <c r="E883" s="144"/>
      <c r="F883" s="144"/>
      <c r="G883" s="153"/>
      <c r="H883" s="154"/>
      <c r="I883" s="155"/>
      <c r="J883" s="156"/>
      <c r="L883" s="162"/>
      <c r="N883" s="144"/>
      <c r="O883" s="852"/>
    </row>
    <row r="884" spans="1:15" s="157" customFormat="1" ht="151.80000000000001">
      <c r="A884" s="254" t="s">
        <v>2810</v>
      </c>
      <c r="B884" s="869" t="s">
        <v>5115</v>
      </c>
      <c r="C884" s="152" t="s">
        <v>649</v>
      </c>
      <c r="D884" s="572">
        <v>3</v>
      </c>
      <c r="E884" s="144">
        <v>180</v>
      </c>
      <c r="F884" s="144">
        <f t="shared" ref="F884:F888" si="92">IF((D884*E884)=0,"",(D884*E884))</f>
        <v>540</v>
      </c>
      <c r="G884" s="153"/>
      <c r="H884" s="154"/>
      <c r="I884" s="155"/>
      <c r="J884" s="156"/>
      <c r="L884" s="162"/>
      <c r="N884" s="144"/>
      <c r="O884" s="852"/>
    </row>
    <row r="885" spans="1:15" s="157" customFormat="1">
      <c r="A885" s="254"/>
      <c r="B885" s="159"/>
      <c r="C885" s="152"/>
      <c r="D885" s="572"/>
      <c r="E885" s="144"/>
      <c r="F885" s="144" t="str">
        <f t="shared" si="92"/>
        <v/>
      </c>
      <c r="G885" s="153"/>
      <c r="H885" s="154"/>
      <c r="I885" s="155"/>
      <c r="J885" s="156"/>
      <c r="L885" s="162"/>
      <c r="N885" s="144"/>
      <c r="O885" s="852"/>
    </row>
    <row r="886" spans="1:15" s="157" customFormat="1" ht="82.8">
      <c r="A886" s="254" t="s">
        <v>2811</v>
      </c>
      <c r="B886" s="762" t="s">
        <v>2698</v>
      </c>
      <c r="C886" s="152" t="s">
        <v>649</v>
      </c>
      <c r="D886" s="572">
        <v>1</v>
      </c>
      <c r="E886" s="144">
        <v>78</v>
      </c>
      <c r="F886" s="144">
        <f t="shared" si="92"/>
        <v>78</v>
      </c>
      <c r="G886" s="153"/>
      <c r="H886" s="154"/>
      <c r="I886" s="155"/>
      <c r="J886" s="156"/>
      <c r="L886" s="162"/>
      <c r="N886" s="144"/>
      <c r="O886" s="852"/>
    </row>
    <row r="887" spans="1:15" s="157" customFormat="1">
      <c r="A887" s="254"/>
      <c r="B887" s="159"/>
      <c r="C887" s="152"/>
      <c r="D887" s="572"/>
      <c r="E887" s="144"/>
      <c r="F887" s="144" t="str">
        <f t="shared" si="92"/>
        <v/>
      </c>
      <c r="G887" s="153"/>
      <c r="H887" s="154"/>
      <c r="I887" s="155"/>
      <c r="J887" s="156"/>
      <c r="L887" s="162"/>
      <c r="N887" s="144"/>
      <c r="O887" s="852"/>
    </row>
    <row r="888" spans="1:15" s="157" customFormat="1" ht="82.8">
      <c r="A888" s="254" t="s">
        <v>2812</v>
      </c>
      <c r="B888" s="762" t="s">
        <v>2728</v>
      </c>
      <c r="C888" s="152" t="s">
        <v>649</v>
      </c>
      <c r="D888" s="572">
        <v>1</v>
      </c>
      <c r="E888" s="144">
        <v>84</v>
      </c>
      <c r="F888" s="144">
        <f t="shared" si="92"/>
        <v>84</v>
      </c>
      <c r="G888" s="153"/>
      <c r="H888" s="154"/>
      <c r="I888" s="155"/>
      <c r="J888" s="156"/>
      <c r="L888" s="162"/>
      <c r="N888" s="144"/>
      <c r="O888" s="852"/>
    </row>
    <row r="889" spans="1:15" s="157" customFormat="1">
      <c r="A889" s="254"/>
      <c r="B889" s="159"/>
      <c r="C889" s="152"/>
      <c r="D889" s="572"/>
      <c r="E889" s="144"/>
      <c r="F889" s="144"/>
      <c r="G889" s="153"/>
      <c r="H889" s="154"/>
      <c r="I889" s="155"/>
      <c r="J889" s="156"/>
      <c r="L889" s="162"/>
      <c r="N889" s="144"/>
      <c r="O889" s="852"/>
    </row>
    <row r="890" spans="1:15" s="157" customFormat="1" ht="27.6">
      <c r="A890" s="254" t="s">
        <v>2813</v>
      </c>
      <c r="B890" s="762" t="s">
        <v>2730</v>
      </c>
      <c r="C890" s="152" t="s">
        <v>649</v>
      </c>
      <c r="D890" s="572">
        <v>1</v>
      </c>
      <c r="E890" s="144">
        <v>38</v>
      </c>
      <c r="F890" s="144">
        <f t="shared" ref="F890:F894" si="93">IF((D890*E890)=0,"",(D890*E890))</f>
        <v>38</v>
      </c>
      <c r="G890" s="153"/>
      <c r="H890" s="154"/>
      <c r="I890" s="155"/>
      <c r="J890" s="156"/>
      <c r="L890" s="162"/>
      <c r="N890" s="144"/>
      <c r="O890" s="852"/>
    </row>
    <row r="891" spans="1:15" s="157" customFormat="1">
      <c r="A891" s="254"/>
      <c r="B891" s="159"/>
      <c r="C891" s="152"/>
      <c r="D891" s="572"/>
      <c r="E891" s="144"/>
      <c r="F891" s="144" t="str">
        <f t="shared" si="93"/>
        <v/>
      </c>
      <c r="G891" s="153"/>
      <c r="H891" s="154"/>
      <c r="I891" s="155"/>
      <c r="J891" s="156"/>
      <c r="L891" s="162"/>
      <c r="N891" s="144"/>
      <c r="O891" s="852"/>
    </row>
    <row r="892" spans="1:15" s="157" customFormat="1" ht="27.6">
      <c r="A892" s="254" t="s">
        <v>2814</v>
      </c>
      <c r="B892" s="612" t="s">
        <v>2732</v>
      </c>
      <c r="C892" s="152" t="s">
        <v>649</v>
      </c>
      <c r="D892" s="572">
        <v>1</v>
      </c>
      <c r="E892" s="144">
        <v>29</v>
      </c>
      <c r="F892" s="144">
        <f t="shared" si="93"/>
        <v>29</v>
      </c>
      <c r="G892" s="153"/>
      <c r="H892" s="154"/>
      <c r="I892" s="155"/>
      <c r="J892" s="156"/>
      <c r="L892" s="162"/>
      <c r="N892" s="144"/>
      <c r="O892" s="852"/>
    </row>
    <row r="893" spans="1:15" s="157" customFormat="1">
      <c r="A893" s="254"/>
      <c r="B893" s="612"/>
      <c r="C893" s="152"/>
      <c r="D893" s="572"/>
      <c r="E893" s="144"/>
      <c r="F893" s="144" t="str">
        <f t="shared" si="93"/>
        <v/>
      </c>
      <c r="G893" s="153"/>
      <c r="H893" s="154"/>
      <c r="I893" s="155"/>
      <c r="J893" s="156"/>
      <c r="L893" s="162"/>
      <c r="N893" s="144"/>
      <c r="O893" s="852"/>
    </row>
    <row r="894" spans="1:15" s="157" customFormat="1" ht="55.2">
      <c r="A894" s="254" t="s">
        <v>2815</v>
      </c>
      <c r="B894" s="763" t="s">
        <v>2734</v>
      </c>
      <c r="C894" s="152" t="s">
        <v>649</v>
      </c>
      <c r="D894" s="572">
        <v>1</v>
      </c>
      <c r="E894" s="144">
        <v>18</v>
      </c>
      <c r="F894" s="144">
        <f t="shared" si="93"/>
        <v>18</v>
      </c>
      <c r="G894" s="153"/>
      <c r="H894" s="154"/>
      <c r="I894" s="155"/>
      <c r="J894" s="156"/>
      <c r="L894" s="162"/>
      <c r="N894" s="144"/>
      <c r="O894" s="852"/>
    </row>
    <row r="895" spans="1:15" s="157" customFormat="1">
      <c r="A895" s="254"/>
      <c r="B895" s="159"/>
      <c r="C895" s="152"/>
      <c r="D895" s="572"/>
      <c r="E895" s="144"/>
      <c r="F895" s="144"/>
      <c r="G895" s="153"/>
      <c r="H895" s="154"/>
      <c r="I895" s="155"/>
      <c r="J895" s="156"/>
      <c r="L895" s="162"/>
      <c r="N895" s="144"/>
      <c r="O895" s="852"/>
    </row>
    <row r="896" spans="1:15" s="157" customFormat="1" ht="151.80000000000001">
      <c r="A896" s="254" t="s">
        <v>2816</v>
      </c>
      <c r="B896" s="612" t="s">
        <v>4158</v>
      </c>
      <c r="C896" s="152" t="s">
        <v>649</v>
      </c>
      <c r="D896" s="572">
        <v>1</v>
      </c>
      <c r="E896" s="144">
        <v>448</v>
      </c>
      <c r="F896" s="144">
        <f t="shared" ref="F896:F898" si="94">IF((D896*E896)=0,"",(D896*E896))</f>
        <v>448</v>
      </c>
      <c r="G896" s="153"/>
      <c r="H896" s="154"/>
      <c r="I896" s="155"/>
      <c r="J896" s="156"/>
      <c r="L896" s="162"/>
      <c r="N896" s="144"/>
      <c r="O896" s="852"/>
    </row>
    <row r="897" spans="1:15" s="157" customFormat="1">
      <c r="A897" s="254"/>
      <c r="B897" s="612"/>
      <c r="C897" s="152"/>
      <c r="D897" s="572"/>
      <c r="E897" s="144"/>
      <c r="F897" s="144"/>
      <c r="G897" s="153"/>
      <c r="H897" s="154"/>
      <c r="I897" s="155"/>
      <c r="J897" s="156"/>
      <c r="L897" s="162"/>
      <c r="N897" s="144"/>
      <c r="O897" s="852"/>
    </row>
    <row r="898" spans="1:15" s="157" customFormat="1" ht="41.4">
      <c r="A898" s="254" t="s">
        <v>2817</v>
      </c>
      <c r="B898" s="612" t="s">
        <v>4067</v>
      </c>
      <c r="C898" s="152" t="s">
        <v>649</v>
      </c>
      <c r="D898" s="572">
        <v>1</v>
      </c>
      <c r="E898" s="144">
        <v>46</v>
      </c>
      <c r="F898" s="144">
        <f t="shared" si="94"/>
        <v>46</v>
      </c>
      <c r="G898" s="153"/>
      <c r="H898" s="154"/>
      <c r="I898" s="155"/>
      <c r="J898" s="156"/>
      <c r="L898" s="162"/>
      <c r="N898" s="144"/>
      <c r="O898" s="852"/>
    </row>
    <row r="899" spans="1:15" s="157" customFormat="1">
      <c r="A899" s="254"/>
      <c r="B899" s="612"/>
      <c r="C899" s="152"/>
      <c r="D899" s="572"/>
      <c r="E899" s="144"/>
      <c r="F899" s="144"/>
      <c r="G899" s="153"/>
      <c r="H899" s="154"/>
      <c r="I899" s="155"/>
      <c r="J899" s="156"/>
      <c r="L899" s="162"/>
      <c r="N899" s="144"/>
      <c r="O899" s="852"/>
    </row>
    <row r="900" spans="1:15" s="157" customFormat="1" ht="220.8">
      <c r="A900" s="254" t="s">
        <v>2818</v>
      </c>
      <c r="B900" s="612" t="s">
        <v>2819</v>
      </c>
      <c r="C900" s="152" t="s">
        <v>670</v>
      </c>
      <c r="D900" s="572">
        <v>1</v>
      </c>
      <c r="E900" s="144">
        <v>2560</v>
      </c>
      <c r="F900" s="144">
        <f t="shared" ref="F900" si="95">IF((D900*E900)=0,"",(D900*E900))</f>
        <v>2560</v>
      </c>
      <c r="G900" s="153"/>
      <c r="H900" s="154"/>
      <c r="I900" s="155"/>
      <c r="J900" s="156"/>
      <c r="L900" s="162"/>
      <c r="N900" s="144"/>
      <c r="O900" s="852"/>
    </row>
    <row r="901" spans="1:15" s="157" customFormat="1">
      <c r="A901" s="254"/>
      <c r="B901" s="612"/>
      <c r="C901" s="152"/>
      <c r="D901" s="572"/>
      <c r="E901" s="144"/>
      <c r="F901" s="144"/>
      <c r="G901" s="153"/>
      <c r="H901" s="154"/>
      <c r="I901" s="155"/>
      <c r="J901" s="156"/>
      <c r="L901" s="162"/>
      <c r="N901" s="144"/>
      <c r="O901" s="852"/>
    </row>
    <row r="902" spans="1:15" s="157" customFormat="1" ht="27.6">
      <c r="A902" s="254" t="s">
        <v>3055</v>
      </c>
      <c r="B902" s="744" t="s">
        <v>3054</v>
      </c>
      <c r="C902" s="152" t="s">
        <v>649</v>
      </c>
      <c r="D902" s="572">
        <v>1</v>
      </c>
      <c r="E902" s="144">
        <v>16</v>
      </c>
      <c r="F902" s="144">
        <f t="shared" ref="F902" si="96">IF((D902*E902)=0,"",(D902*E902))</f>
        <v>16</v>
      </c>
      <c r="G902" s="153"/>
      <c r="H902" s="154"/>
      <c r="I902" s="155"/>
      <c r="J902" s="156"/>
      <c r="L902" s="162"/>
      <c r="N902" s="144"/>
      <c r="O902" s="852"/>
    </row>
    <row r="903" spans="1:15" s="157" customFormat="1">
      <c r="A903" s="595"/>
      <c r="B903" s="596"/>
      <c r="C903" s="597"/>
      <c r="D903" s="598"/>
      <c r="E903" s="599"/>
      <c r="F903" s="599"/>
      <c r="G903" s="153"/>
      <c r="H903" s="154"/>
      <c r="I903" s="155"/>
      <c r="J903" s="156"/>
      <c r="L903" s="162"/>
      <c r="N903" s="599"/>
      <c r="O903" s="852"/>
    </row>
    <row r="904" spans="1:15" s="157" customFormat="1">
      <c r="A904" s="269" t="str">
        <f>A874</f>
        <v>C.5.</v>
      </c>
      <c r="B904" s="753" t="str">
        <f>CONCATENATE(B874," ", "UKUPNO:")</f>
        <v>SOBA ZA ODGAJATELJE UKUPNO:</v>
      </c>
      <c r="C904" s="152"/>
      <c r="D904" s="572"/>
      <c r="E904" s="144"/>
      <c r="F904" s="670">
        <f>SUM(F876:F903)</f>
        <v>7053</v>
      </c>
      <c r="G904" s="153"/>
      <c r="H904" s="154"/>
      <c r="I904" s="155"/>
      <c r="J904" s="156"/>
      <c r="L904" s="162"/>
      <c r="N904" s="144"/>
      <c r="O904" s="852"/>
    </row>
    <row r="905" spans="1:15" s="157" customFormat="1">
      <c r="A905" s="254"/>
      <c r="B905" s="744"/>
      <c r="C905" s="152"/>
      <c r="D905" s="572"/>
      <c r="E905" s="144"/>
      <c r="F905" s="144"/>
      <c r="G905" s="153"/>
      <c r="H905" s="154"/>
      <c r="I905" s="155"/>
      <c r="J905" s="156"/>
      <c r="L905" s="162"/>
      <c r="N905" s="144"/>
      <c r="O905" s="852"/>
    </row>
    <row r="906" spans="1:15" s="157" customFormat="1">
      <c r="A906" s="269"/>
      <c r="B906" s="753"/>
      <c r="C906" s="152"/>
      <c r="D906" s="572"/>
      <c r="E906" s="144"/>
      <c r="F906" s="205"/>
      <c r="G906" s="153"/>
      <c r="H906" s="154"/>
      <c r="I906" s="155"/>
      <c r="J906" s="156"/>
      <c r="L906" s="162"/>
      <c r="N906" s="144"/>
      <c r="O906" s="852"/>
    </row>
    <row r="907" spans="1:15" s="157" customFormat="1">
      <c r="A907" s="581" t="s">
        <v>2820</v>
      </c>
      <c r="B907" s="582" t="s">
        <v>2821</v>
      </c>
      <c r="C907" s="583"/>
      <c r="D907" s="584"/>
      <c r="E907" s="585"/>
      <c r="F907" s="586"/>
      <c r="G907" s="153"/>
      <c r="H907" s="154"/>
      <c r="I907" s="155"/>
      <c r="J907" s="156"/>
      <c r="L907" s="162"/>
      <c r="N907" s="585"/>
      <c r="O907" s="852"/>
    </row>
    <row r="908" spans="1:15" s="157" customFormat="1">
      <c r="A908" s="254"/>
      <c r="B908" s="159"/>
      <c r="C908" s="152"/>
      <c r="D908" s="572"/>
      <c r="E908" s="144"/>
      <c r="F908" s="144"/>
      <c r="G908" s="153"/>
      <c r="H908" s="154"/>
      <c r="I908" s="155"/>
      <c r="J908" s="156"/>
      <c r="L908" s="162"/>
      <c r="N908" s="144"/>
      <c r="O908" s="852"/>
    </row>
    <row r="909" spans="1:15" s="157" customFormat="1" ht="110.4">
      <c r="A909" s="254" t="s">
        <v>2822</v>
      </c>
      <c r="B909" s="274" t="s">
        <v>3153</v>
      </c>
      <c r="C909" s="152" t="s">
        <v>649</v>
      </c>
      <c r="D909" s="572">
        <v>2</v>
      </c>
      <c r="E909" s="144">
        <v>120</v>
      </c>
      <c r="F909" s="144">
        <f t="shared" ref="F909" si="97">IF((D909*E909)=0,"",(D909*E909))</f>
        <v>240</v>
      </c>
      <c r="G909" s="153"/>
      <c r="H909" s="154"/>
      <c r="I909" s="155"/>
      <c r="J909" s="156"/>
      <c r="L909" s="162"/>
      <c r="N909" s="144"/>
      <c r="O909" s="852"/>
    </row>
    <row r="910" spans="1:15" s="157" customFormat="1">
      <c r="A910" s="254"/>
      <c r="B910" s="274"/>
      <c r="C910" s="152"/>
      <c r="D910" s="572"/>
      <c r="E910" s="144"/>
      <c r="F910" s="144"/>
      <c r="G910" s="153"/>
      <c r="H910" s="154"/>
      <c r="I910" s="155"/>
      <c r="J910" s="156"/>
      <c r="L910" s="162"/>
      <c r="N910" s="144"/>
      <c r="O910" s="852"/>
    </row>
    <row r="911" spans="1:15" s="157" customFormat="1" ht="179.4">
      <c r="A911" s="254" t="s">
        <v>2823</v>
      </c>
      <c r="B911" s="612" t="s">
        <v>4826</v>
      </c>
      <c r="C911" s="152" t="s">
        <v>649</v>
      </c>
      <c r="D911" s="572">
        <v>2</v>
      </c>
      <c r="E911" s="144">
        <v>192</v>
      </c>
      <c r="F911" s="144">
        <f t="shared" ref="F911" si="98">IF((D911*E911)=0,"",(D911*E911))</f>
        <v>384</v>
      </c>
      <c r="G911" s="153"/>
      <c r="H911" s="154"/>
      <c r="I911" s="155"/>
      <c r="J911" s="156"/>
      <c r="L911" s="162"/>
      <c r="N911" s="144"/>
      <c r="O911" s="852"/>
    </row>
    <row r="912" spans="1:15" s="157" customFormat="1">
      <c r="A912" s="254"/>
      <c r="B912" s="612"/>
      <c r="C912" s="152"/>
      <c r="D912" s="572"/>
      <c r="E912" s="144"/>
      <c r="F912" s="144"/>
      <c r="G912" s="153"/>
      <c r="H912" s="154"/>
      <c r="I912" s="155"/>
      <c r="J912" s="156"/>
      <c r="L912" s="162"/>
      <c r="N912" s="144"/>
      <c r="O912" s="852"/>
    </row>
    <row r="913" spans="1:15" s="157" customFormat="1" ht="110.4">
      <c r="A913" s="254" t="s">
        <v>2824</v>
      </c>
      <c r="B913" s="612" t="s">
        <v>4827</v>
      </c>
      <c r="C913" s="152" t="s">
        <v>649</v>
      </c>
      <c r="D913" s="572">
        <v>2</v>
      </c>
      <c r="E913" s="144">
        <v>236</v>
      </c>
      <c r="F913" s="144">
        <f t="shared" ref="F913" si="99">IF((D913*E913)=0,"",(D913*E913))</f>
        <v>472</v>
      </c>
      <c r="G913" s="153"/>
      <c r="H913" s="154"/>
      <c r="I913" s="155"/>
      <c r="J913" s="156"/>
      <c r="L913" s="162"/>
      <c r="N913" s="144"/>
      <c r="O913" s="852"/>
    </row>
    <row r="914" spans="1:15" s="157" customFormat="1">
      <c r="A914" s="595"/>
      <c r="B914" s="596"/>
      <c r="C914" s="597"/>
      <c r="D914" s="598"/>
      <c r="E914" s="599"/>
      <c r="F914" s="599"/>
      <c r="G914" s="153"/>
      <c r="H914" s="154"/>
      <c r="I914" s="155"/>
      <c r="J914" s="156"/>
      <c r="L914" s="162"/>
      <c r="N914" s="599"/>
      <c r="O914" s="852"/>
    </row>
    <row r="915" spans="1:15" s="157" customFormat="1">
      <c r="A915" s="269" t="str">
        <f>A907</f>
        <v>C.6.</v>
      </c>
      <c r="B915" s="753" t="str">
        <f>CONCATENATE(B907," ", "UKUPNO:")</f>
        <v>SPREMIŠTE  UKUPNO:</v>
      </c>
      <c r="C915" s="152"/>
      <c r="D915" s="572"/>
      <c r="E915" s="144"/>
      <c r="F915" s="670">
        <f>SUM(F909:F914)</f>
        <v>1096</v>
      </c>
      <c r="G915" s="153"/>
      <c r="H915" s="154"/>
      <c r="I915" s="155"/>
      <c r="J915" s="156"/>
      <c r="L915" s="162"/>
      <c r="N915" s="144"/>
      <c r="O915" s="852"/>
    </row>
    <row r="916" spans="1:15" s="157" customFormat="1">
      <c r="A916" s="269"/>
      <c r="B916" s="753"/>
      <c r="C916" s="152"/>
      <c r="D916" s="572"/>
      <c r="E916" s="144"/>
      <c r="F916" s="205"/>
      <c r="G916" s="153"/>
      <c r="H916" s="154"/>
      <c r="I916" s="155"/>
      <c r="J916" s="156"/>
      <c r="L916" s="162"/>
      <c r="N916" s="144"/>
      <c r="O916" s="852"/>
    </row>
    <row r="917" spans="1:15" s="157" customFormat="1">
      <c r="A917" s="269"/>
      <c r="B917" s="753"/>
      <c r="C917" s="152"/>
      <c r="D917" s="572"/>
      <c r="E917" s="144"/>
      <c r="F917" s="205"/>
      <c r="G917" s="153"/>
      <c r="H917" s="154"/>
      <c r="I917" s="155"/>
      <c r="J917" s="156"/>
      <c r="L917" s="162"/>
      <c r="N917" s="144"/>
      <c r="O917" s="852"/>
    </row>
    <row r="918" spans="1:15" s="157" customFormat="1">
      <c r="A918" s="581" t="s">
        <v>2825</v>
      </c>
      <c r="B918" s="582" t="s">
        <v>2826</v>
      </c>
      <c r="C918" s="583"/>
      <c r="D918" s="584"/>
      <c r="E918" s="585"/>
      <c r="F918" s="586"/>
      <c r="G918" s="153"/>
      <c r="H918" s="154"/>
      <c r="I918" s="155"/>
      <c r="J918" s="156"/>
      <c r="L918" s="162"/>
      <c r="N918" s="585"/>
      <c r="O918" s="852"/>
    </row>
    <row r="919" spans="1:15" s="157" customFormat="1">
      <c r="A919" s="254"/>
      <c r="B919" s="159"/>
      <c r="C919" s="152"/>
      <c r="D919" s="572"/>
      <c r="E919" s="144"/>
      <c r="F919" s="144"/>
      <c r="G919" s="153"/>
      <c r="H919" s="154"/>
      <c r="I919" s="155"/>
      <c r="J919" s="156"/>
      <c r="L919" s="162"/>
      <c r="N919" s="144"/>
      <c r="O919" s="852"/>
    </row>
    <row r="920" spans="1:15" s="157" customFormat="1" ht="179.4">
      <c r="A920" s="254" t="s">
        <v>2827</v>
      </c>
      <c r="B920" s="604" t="s">
        <v>2828</v>
      </c>
      <c r="C920" s="152" t="s">
        <v>649</v>
      </c>
      <c r="D920" s="572">
        <v>10</v>
      </c>
      <c r="E920" s="144">
        <v>156</v>
      </c>
      <c r="F920" s="144">
        <f t="shared" ref="F920" si="100">IF((D920*E920)=0,"",(D920*E920))</f>
        <v>1560</v>
      </c>
      <c r="G920" s="153"/>
      <c r="H920" s="154"/>
      <c r="I920" s="155"/>
      <c r="J920" s="156"/>
      <c r="L920" s="162"/>
      <c r="N920" s="144"/>
      <c r="O920" s="852"/>
    </row>
    <row r="921" spans="1:15" s="157" customFormat="1">
      <c r="A921" s="595"/>
      <c r="B921" s="596"/>
      <c r="C921" s="597"/>
      <c r="D921" s="598"/>
      <c r="E921" s="599"/>
      <c r="F921" s="599"/>
      <c r="G921" s="153"/>
      <c r="H921" s="154"/>
      <c r="I921" s="155"/>
      <c r="J921" s="156"/>
      <c r="L921" s="162"/>
      <c r="N921" s="599"/>
      <c r="O921" s="852"/>
    </row>
    <row r="922" spans="1:15" s="157" customFormat="1">
      <c r="A922" s="269" t="str">
        <f>A918</f>
        <v>C.7.</v>
      </c>
      <c r="B922" s="753" t="str">
        <f>CONCATENATE(B918," ", "UKUPNO:")</f>
        <v>GARDEROBE I SANITARIJE ODGOJITELJA UKUPNO:</v>
      </c>
      <c r="C922" s="152"/>
      <c r="D922" s="572"/>
      <c r="E922" s="144"/>
      <c r="F922" s="670">
        <f>SUM(F920:F921)</f>
        <v>1560</v>
      </c>
      <c r="G922" s="153"/>
      <c r="H922" s="154"/>
      <c r="I922" s="155"/>
      <c r="J922" s="156"/>
      <c r="L922" s="162"/>
      <c r="N922" s="144"/>
      <c r="O922" s="852"/>
    </row>
    <row r="923" spans="1:15" s="157" customFormat="1">
      <c r="A923" s="269"/>
      <c r="B923" s="753"/>
      <c r="C923" s="152"/>
      <c r="D923" s="572"/>
      <c r="E923" s="144"/>
      <c r="F923" s="205"/>
      <c r="G923" s="153"/>
      <c r="H923" s="154"/>
      <c r="I923" s="155"/>
      <c r="J923" s="156"/>
      <c r="L923" s="162"/>
      <c r="N923" s="144"/>
      <c r="O923" s="852"/>
    </row>
    <row r="924" spans="1:15" s="157" customFormat="1">
      <c r="A924" s="254"/>
      <c r="B924" s="159"/>
      <c r="D924" s="764"/>
      <c r="G924" s="153"/>
      <c r="H924" s="154"/>
      <c r="I924" s="155"/>
      <c r="J924" s="156"/>
      <c r="L924" s="162"/>
      <c r="N924" s="851"/>
      <c r="O924" s="852"/>
    </row>
    <row r="925" spans="1:15" s="157" customFormat="1">
      <c r="A925" s="581" t="s">
        <v>2829</v>
      </c>
      <c r="B925" s="582" t="s">
        <v>2830</v>
      </c>
      <c r="C925" s="583"/>
      <c r="D925" s="584"/>
      <c r="E925" s="585"/>
      <c r="F925" s="586"/>
      <c r="G925" s="153"/>
      <c r="H925" s="154"/>
      <c r="I925" s="155"/>
      <c r="J925" s="156"/>
      <c r="L925" s="162"/>
      <c r="N925" s="585"/>
      <c r="O925" s="852"/>
    </row>
    <row r="926" spans="1:15" s="157" customFormat="1">
      <c r="A926" s="254"/>
      <c r="B926" s="159"/>
      <c r="C926" s="152"/>
      <c r="D926" s="572"/>
      <c r="E926" s="144"/>
      <c r="F926" s="144"/>
      <c r="G926" s="153"/>
      <c r="H926" s="154"/>
      <c r="I926" s="155"/>
      <c r="J926" s="156"/>
      <c r="L926" s="162"/>
      <c r="N926" s="144"/>
      <c r="O926" s="852"/>
    </row>
    <row r="927" spans="1:15" s="157" customFormat="1">
      <c r="A927" s="254" t="s">
        <v>2831</v>
      </c>
      <c r="B927" s="763" t="s">
        <v>2832</v>
      </c>
      <c r="C927" s="152"/>
      <c r="D927" s="572"/>
      <c r="E927" s="144"/>
      <c r="F927" s="144"/>
      <c r="G927" s="153"/>
      <c r="H927" s="154"/>
      <c r="I927" s="155"/>
      <c r="J927" s="156"/>
      <c r="L927" s="162"/>
      <c r="N927" s="144"/>
      <c r="O927" s="852"/>
    </row>
    <row r="928" spans="1:15" s="157" customFormat="1" ht="165.6">
      <c r="A928" s="254"/>
      <c r="B928" s="604" t="s">
        <v>4160</v>
      </c>
      <c r="C928" s="152"/>
      <c r="D928" s="572"/>
      <c r="E928" s="144"/>
      <c r="F928" s="144"/>
      <c r="G928" s="153"/>
      <c r="H928" s="154"/>
      <c r="I928" s="155"/>
      <c r="J928" s="156"/>
      <c r="L928" s="162"/>
      <c r="N928" s="144"/>
      <c r="O928" s="852"/>
    </row>
    <row r="929" spans="1:15" s="157" customFormat="1" ht="27.6">
      <c r="A929" s="254"/>
      <c r="B929" s="604" t="s">
        <v>4161</v>
      </c>
      <c r="C929" s="881"/>
      <c r="D929" s="882"/>
      <c r="E929" s="144"/>
      <c r="F929" s="144"/>
      <c r="G929" s="153"/>
      <c r="H929" s="154"/>
      <c r="I929" s="155"/>
      <c r="J929" s="156"/>
      <c r="L929" s="162"/>
      <c r="N929" s="144"/>
      <c r="O929" s="852"/>
    </row>
    <row r="930" spans="1:15" s="157" customFormat="1" ht="27.6">
      <c r="A930" s="254"/>
      <c r="B930" s="604" t="s">
        <v>2833</v>
      </c>
      <c r="C930" s="881"/>
      <c r="D930" s="882"/>
      <c r="E930" s="144"/>
      <c r="F930" s="144"/>
      <c r="G930" s="153"/>
      <c r="H930" s="154"/>
      <c r="I930" s="155"/>
      <c r="J930" s="156"/>
      <c r="L930" s="162"/>
      <c r="N930" s="144"/>
      <c r="O930" s="852"/>
    </row>
    <row r="931" spans="1:15" s="157" customFormat="1">
      <c r="A931" s="254"/>
      <c r="B931" s="604" t="s">
        <v>2834</v>
      </c>
      <c r="C931" s="881"/>
      <c r="D931" s="882"/>
      <c r="E931" s="144"/>
      <c r="F931" s="144"/>
      <c r="G931" s="153"/>
      <c r="H931" s="154"/>
      <c r="I931" s="155"/>
      <c r="J931" s="156"/>
      <c r="L931" s="162"/>
      <c r="N931" s="144"/>
      <c r="O931" s="852"/>
    </row>
    <row r="932" spans="1:15" s="157" customFormat="1">
      <c r="A932" s="254"/>
      <c r="B932" s="604" t="s">
        <v>2835</v>
      </c>
      <c r="C932" s="152" t="s">
        <v>670</v>
      </c>
      <c r="D932" s="572">
        <v>6</v>
      </c>
      <c r="E932" s="144">
        <v>886</v>
      </c>
      <c r="F932" s="144">
        <f t="shared" ref="F932" si="101">IF((D932*E932)=0,"",(D932*E932))</f>
        <v>5316</v>
      </c>
      <c r="G932" s="153"/>
      <c r="H932" s="154"/>
      <c r="I932" s="155"/>
      <c r="J932" s="156"/>
      <c r="L932" s="162"/>
      <c r="N932" s="144"/>
      <c r="O932" s="852"/>
    </row>
    <row r="933" spans="1:15" s="157" customFormat="1">
      <c r="A933" s="254"/>
      <c r="B933" s="880"/>
      <c r="C933" s="881"/>
      <c r="D933" s="882"/>
      <c r="E933" s="144"/>
      <c r="F933" s="144"/>
      <c r="G933" s="153"/>
      <c r="H933" s="154"/>
      <c r="I933" s="155"/>
      <c r="J933" s="156"/>
      <c r="L933" s="162"/>
      <c r="N933" s="144"/>
      <c r="O933" s="852"/>
    </row>
    <row r="934" spans="1:15" s="157" customFormat="1" ht="138">
      <c r="A934" s="254" t="s">
        <v>2836</v>
      </c>
      <c r="B934" s="763" t="s">
        <v>4159</v>
      </c>
      <c r="C934" s="152" t="s">
        <v>649</v>
      </c>
      <c r="D934" s="572">
        <v>4</v>
      </c>
      <c r="E934" s="144">
        <v>618</v>
      </c>
      <c r="F934" s="144">
        <f t="shared" ref="F934" si="102">IF((D934*E934)=0,"",(D934*E934))</f>
        <v>2472</v>
      </c>
      <c r="G934" s="153"/>
      <c r="H934" s="154"/>
      <c r="I934" s="155"/>
      <c r="J934" s="156"/>
      <c r="L934" s="162"/>
      <c r="N934" s="144"/>
      <c r="O934" s="852"/>
    </row>
    <row r="935" spans="1:15" s="157" customFormat="1">
      <c r="A935" s="254"/>
      <c r="B935" s="604"/>
      <c r="C935" s="152"/>
      <c r="D935" s="572"/>
      <c r="E935" s="144"/>
      <c r="F935" s="144"/>
      <c r="G935" s="153"/>
      <c r="H935" s="154"/>
      <c r="I935" s="155"/>
      <c r="J935" s="156"/>
      <c r="L935" s="162"/>
      <c r="N935" s="144"/>
      <c r="O935" s="852"/>
    </row>
    <row r="936" spans="1:15" s="157" customFormat="1" ht="317.39999999999998">
      <c r="A936" s="254" t="s">
        <v>2837</v>
      </c>
      <c r="B936" s="605" t="s">
        <v>2838</v>
      </c>
      <c r="C936" s="152" t="s">
        <v>670</v>
      </c>
      <c r="D936" s="572">
        <v>10</v>
      </c>
      <c r="E936" s="144">
        <v>75</v>
      </c>
      <c r="F936" s="144">
        <f t="shared" ref="F936" si="103">IF((D936*E936)=0,"",(D936*E936))</f>
        <v>750</v>
      </c>
      <c r="G936" s="153"/>
      <c r="H936" s="154"/>
      <c r="I936" s="155"/>
      <c r="J936" s="156"/>
      <c r="L936" s="162"/>
      <c r="N936" s="144"/>
      <c r="O936" s="852"/>
    </row>
    <row r="937" spans="1:15" s="157" customFormat="1">
      <c r="A937" s="595"/>
      <c r="B937" s="596"/>
      <c r="C937" s="597"/>
      <c r="D937" s="598"/>
      <c r="E937" s="599"/>
      <c r="F937" s="599"/>
      <c r="G937" s="153"/>
      <c r="H937" s="154"/>
      <c r="I937" s="155"/>
      <c r="J937" s="156"/>
      <c r="L937" s="162"/>
      <c r="N937" s="599"/>
      <c r="O937" s="852"/>
    </row>
    <row r="938" spans="1:15" s="157" customFormat="1">
      <c r="A938" s="269" t="str">
        <f>A925</f>
        <v>C.8.</v>
      </c>
      <c r="B938" s="753" t="str">
        <f>CONCATENATE(B925," ", "UKUPNO:")</f>
        <v>INFORMATIČKA OPREMA UKUPNO:</v>
      </c>
      <c r="C938" s="152"/>
      <c r="D938" s="572"/>
      <c r="E938" s="144"/>
      <c r="F938" s="670">
        <f>SUM(F927:F937)</f>
        <v>8538</v>
      </c>
      <c r="G938" s="153"/>
      <c r="H938" s="154"/>
      <c r="I938" s="155"/>
      <c r="J938" s="156"/>
      <c r="L938" s="162"/>
      <c r="N938" s="144"/>
      <c r="O938" s="852"/>
    </row>
    <row r="939" spans="1:15" s="157" customFormat="1">
      <c r="A939" s="254"/>
      <c r="B939" s="765"/>
      <c r="C939" s="152"/>
      <c r="D939" s="572"/>
      <c r="E939" s="144"/>
      <c r="F939" s="144"/>
      <c r="G939" s="153"/>
      <c r="H939" s="154"/>
      <c r="I939" s="155"/>
      <c r="J939" s="156"/>
      <c r="L939" s="162"/>
      <c r="N939" s="144"/>
      <c r="O939" s="852"/>
    </row>
    <row r="940" spans="1:15" s="157" customFormat="1" ht="14.4" thickBot="1">
      <c r="A940" s="607"/>
      <c r="B940" s="608"/>
      <c r="C940" s="609"/>
      <c r="D940" s="610"/>
      <c r="E940" s="611"/>
      <c r="F940" s="611"/>
      <c r="G940" s="153"/>
      <c r="H940" s="154"/>
      <c r="I940" s="155"/>
      <c r="J940" s="156"/>
      <c r="L940" s="162"/>
      <c r="N940" s="611"/>
      <c r="O940" s="852"/>
    </row>
    <row r="941" spans="1:15" s="157" customFormat="1">
      <c r="A941" s="269" t="str">
        <f>A703</f>
        <v>C.</v>
      </c>
      <c r="B941" s="753" t="str">
        <f>CONCATENATE(B703," ", "SVEUKUPNO:")</f>
        <v>OSOBLJE SVEUKUPNO:</v>
      </c>
      <c r="C941" s="152"/>
      <c r="D941" s="572"/>
      <c r="E941" s="144"/>
      <c r="F941" s="670">
        <f>SUM(F738,F773,F812,F871,F904,F915,F922,F938)</f>
        <v>32710</v>
      </c>
      <c r="G941" s="153"/>
      <c r="H941" s="154"/>
      <c r="I941" s="155"/>
      <c r="J941" s="156"/>
      <c r="L941" s="162"/>
      <c r="N941" s="144"/>
      <c r="O941" s="852"/>
    </row>
    <row r="942" spans="1:15" s="157" customFormat="1">
      <c r="A942" s="254"/>
      <c r="B942" s="159"/>
      <c r="D942" s="764"/>
      <c r="G942" s="153"/>
      <c r="H942" s="154"/>
      <c r="I942" s="155"/>
      <c r="J942" s="156"/>
      <c r="L942" s="162"/>
      <c r="N942" s="851"/>
      <c r="O942" s="852"/>
    </row>
    <row r="943" spans="1:15" s="157" customFormat="1">
      <c r="A943" s="254"/>
      <c r="B943" s="159"/>
      <c r="D943" s="764"/>
      <c r="G943" s="153"/>
      <c r="H943" s="154"/>
      <c r="I943" s="155"/>
      <c r="J943" s="156"/>
      <c r="L943" s="162"/>
      <c r="N943" s="851"/>
      <c r="O943" s="852"/>
    </row>
    <row r="944" spans="1:15" s="157" customFormat="1" ht="14.4" thickBot="1">
      <c r="A944" s="254"/>
      <c r="B944" s="159"/>
      <c r="D944" s="764"/>
      <c r="G944" s="153"/>
      <c r="H944" s="154"/>
      <c r="I944" s="155"/>
      <c r="J944" s="156"/>
      <c r="L944" s="162"/>
      <c r="N944" s="851"/>
      <c r="O944" s="852"/>
    </row>
    <row r="945" spans="1:15" s="149" customFormat="1" ht="14.4" thickBot="1">
      <c r="A945" s="573" t="s">
        <v>2839</v>
      </c>
      <c r="B945" s="574" t="s">
        <v>2840</v>
      </c>
      <c r="C945" s="575"/>
      <c r="D945" s="576"/>
      <c r="E945" s="577"/>
      <c r="F945" s="578"/>
      <c r="G945" s="145"/>
      <c r="H945" s="146"/>
      <c r="I945" s="147"/>
      <c r="J945" s="148"/>
      <c r="L945" s="579"/>
      <c r="N945" s="577"/>
      <c r="O945" s="852"/>
    </row>
    <row r="946" spans="1:15" s="149" customFormat="1">
      <c r="A946" s="269"/>
      <c r="B946" s="180"/>
      <c r="C946" s="142"/>
      <c r="D946" s="580"/>
      <c r="E946" s="144"/>
      <c r="F946" s="143"/>
      <c r="G946" s="145"/>
      <c r="H946" s="146"/>
      <c r="I946" s="147"/>
      <c r="J946" s="148"/>
      <c r="L946" s="579"/>
      <c r="N946" s="144"/>
      <c r="O946" s="852"/>
    </row>
    <row r="947" spans="1:15" s="149" customFormat="1">
      <c r="A947" s="269"/>
      <c r="B947" s="180"/>
      <c r="C947" s="142"/>
      <c r="D947" s="580"/>
      <c r="E947" s="144"/>
      <c r="F947" s="143"/>
      <c r="G947" s="145"/>
      <c r="H947" s="146"/>
      <c r="I947" s="147"/>
      <c r="J947" s="148"/>
      <c r="L947" s="579"/>
      <c r="N947" s="144"/>
      <c r="O947" s="852"/>
    </row>
    <row r="948" spans="1:15" s="149" customFormat="1">
      <c r="A948" s="581" t="s">
        <v>2841</v>
      </c>
      <c r="B948" s="582" t="s">
        <v>2842</v>
      </c>
      <c r="C948" s="583"/>
      <c r="D948" s="584"/>
      <c r="E948" s="585"/>
      <c r="F948" s="586"/>
      <c r="G948" s="145"/>
      <c r="H948" s="146"/>
      <c r="I948" s="147"/>
      <c r="J948" s="148"/>
      <c r="L948" s="579"/>
      <c r="N948" s="585"/>
      <c r="O948" s="852"/>
    </row>
    <row r="949" spans="1:15" s="157" customFormat="1">
      <c r="A949" s="254"/>
      <c r="B949" s="159"/>
      <c r="C949" s="152"/>
      <c r="D949" s="572"/>
      <c r="E949" s="144"/>
      <c r="F949" s="144"/>
      <c r="G949" s="153"/>
      <c r="H949" s="154"/>
      <c r="I949" s="155"/>
      <c r="J949" s="156"/>
      <c r="N949" s="144"/>
      <c r="O949" s="852"/>
    </row>
    <row r="950" spans="1:15" s="157" customFormat="1">
      <c r="A950" s="254" t="s">
        <v>2843</v>
      </c>
      <c r="B950" s="605" t="s">
        <v>5651</v>
      </c>
      <c r="C950" s="152" t="s">
        <v>649</v>
      </c>
      <c r="D950" s="572">
        <v>200</v>
      </c>
      <c r="E950" s="144">
        <v>6.9</v>
      </c>
      <c r="F950" s="144">
        <f t="shared" ref="F950" si="104">IF((D950*E950)=0,"",(D950*E950))</f>
        <v>1380</v>
      </c>
      <c r="G950" s="153"/>
      <c r="H950" s="154"/>
      <c r="I950" s="155"/>
      <c r="J950" s="156"/>
      <c r="N950" s="144"/>
      <c r="O950" s="852"/>
    </row>
    <row r="951" spans="1:15" s="157" customFormat="1">
      <c r="A951" s="254"/>
      <c r="B951" s="605"/>
      <c r="C951" s="152"/>
      <c r="D951" s="572"/>
      <c r="E951" s="144"/>
      <c r="F951" s="144"/>
      <c r="G951" s="153"/>
      <c r="H951" s="154"/>
      <c r="I951" s="155"/>
      <c r="J951" s="156"/>
      <c r="N951" s="144"/>
      <c r="O951" s="852"/>
    </row>
    <row r="952" spans="1:15" s="157" customFormat="1">
      <c r="A952" s="254" t="s">
        <v>2844</v>
      </c>
      <c r="B952" s="605" t="s">
        <v>5655</v>
      </c>
      <c r="C952" s="152" t="s">
        <v>649</v>
      </c>
      <c r="D952" s="572">
        <v>200</v>
      </c>
      <c r="E952" s="144">
        <v>6.6</v>
      </c>
      <c r="F952" s="144">
        <f t="shared" ref="F952:F954" si="105">IF((D952*E952)=0,"",(D952*E952))</f>
        <v>1320</v>
      </c>
      <c r="G952" s="153"/>
      <c r="H952" s="154"/>
      <c r="I952" s="155"/>
      <c r="J952" s="156"/>
      <c r="N952" s="144"/>
      <c r="O952" s="852"/>
    </row>
    <row r="953" spans="1:15" s="157" customFormat="1">
      <c r="A953" s="254"/>
      <c r="B953" s="605"/>
      <c r="C953" s="152"/>
      <c r="D953" s="572"/>
      <c r="E953" s="144"/>
      <c r="F953" s="144"/>
      <c r="G953" s="153"/>
      <c r="H953" s="154"/>
      <c r="I953" s="155"/>
      <c r="J953" s="156"/>
      <c r="N953" s="144"/>
      <c r="O953" s="852"/>
    </row>
    <row r="954" spans="1:15" s="157" customFormat="1">
      <c r="A954" s="254" t="s">
        <v>2845</v>
      </c>
      <c r="B954" s="605" t="s">
        <v>5652</v>
      </c>
      <c r="C954" s="152" t="s">
        <v>649</v>
      </c>
      <c r="D954" s="572">
        <v>200</v>
      </c>
      <c r="E954" s="144">
        <v>9.3699999999999992</v>
      </c>
      <c r="F954" s="144">
        <f t="shared" si="105"/>
        <v>1873.9999999999998</v>
      </c>
      <c r="G954" s="153"/>
      <c r="H954" s="154"/>
      <c r="I954" s="155"/>
      <c r="J954" s="156"/>
      <c r="N954" s="144"/>
      <c r="O954" s="852"/>
    </row>
    <row r="955" spans="1:15" s="157" customFormat="1">
      <c r="A955" s="254"/>
      <c r="B955" s="605"/>
      <c r="C955" s="152"/>
      <c r="D955" s="572"/>
      <c r="E955" s="144"/>
      <c r="F955" s="144"/>
      <c r="G955" s="153"/>
      <c r="H955" s="154"/>
      <c r="I955" s="155"/>
      <c r="J955" s="156"/>
      <c r="N955" s="144"/>
      <c r="O955" s="852"/>
    </row>
    <row r="956" spans="1:15" s="157" customFormat="1">
      <c r="A956" s="254" t="s">
        <v>2846</v>
      </c>
      <c r="B956" s="605" t="s">
        <v>5653</v>
      </c>
      <c r="C956" s="152" t="s">
        <v>649</v>
      </c>
      <c r="D956" s="572">
        <v>200</v>
      </c>
      <c r="E956" s="144">
        <v>8.5</v>
      </c>
      <c r="F956" s="144">
        <f t="shared" ref="F956:F1082" si="106">IF((D956*E956)=0,"",(D956*E956))</f>
        <v>1700</v>
      </c>
      <c r="G956" s="153"/>
      <c r="H956" s="154"/>
      <c r="I956" s="155"/>
      <c r="J956" s="156"/>
      <c r="N956" s="144"/>
      <c r="O956" s="852"/>
    </row>
    <row r="957" spans="1:15" s="157" customFormat="1">
      <c r="A957" s="254"/>
      <c r="B957" s="605"/>
      <c r="C957" s="152"/>
      <c r="D957" s="572"/>
      <c r="E957" s="144"/>
      <c r="F957" s="144"/>
      <c r="G957" s="153"/>
      <c r="H957" s="154"/>
      <c r="I957" s="155"/>
      <c r="J957" s="156"/>
      <c r="N957" s="144"/>
      <c r="O957" s="852"/>
    </row>
    <row r="958" spans="1:15" s="157" customFormat="1">
      <c r="A958" s="254" t="s">
        <v>2847</v>
      </c>
      <c r="B958" s="605" t="s">
        <v>5654</v>
      </c>
      <c r="C958" s="152" t="s">
        <v>649</v>
      </c>
      <c r="D958" s="572">
        <v>20</v>
      </c>
      <c r="E958" s="144">
        <v>22.9</v>
      </c>
      <c r="F958" s="144">
        <f t="shared" si="106"/>
        <v>458</v>
      </c>
      <c r="G958" s="153"/>
      <c r="H958" s="154"/>
      <c r="I958" s="155"/>
      <c r="J958" s="156"/>
      <c r="N958" s="144"/>
      <c r="O958" s="852"/>
    </row>
    <row r="959" spans="1:15" s="157" customFormat="1">
      <c r="A959" s="254"/>
      <c r="B959" s="605"/>
      <c r="C959" s="152"/>
      <c r="D959" s="572"/>
      <c r="E959" s="144"/>
      <c r="F959" s="144"/>
      <c r="G959" s="153"/>
      <c r="H959" s="154"/>
      <c r="I959" s="155"/>
      <c r="J959" s="156"/>
      <c r="N959" s="144"/>
      <c r="O959" s="852"/>
    </row>
    <row r="960" spans="1:15" s="157" customFormat="1">
      <c r="A960" s="254" t="s">
        <v>2848</v>
      </c>
      <c r="B960" s="605" t="s">
        <v>5646</v>
      </c>
      <c r="C960" s="152" t="s">
        <v>649</v>
      </c>
      <c r="D960" s="572">
        <v>30</v>
      </c>
      <c r="E960" s="144">
        <v>28.34</v>
      </c>
      <c r="F960" s="144">
        <f t="shared" si="106"/>
        <v>850.2</v>
      </c>
      <c r="G960" s="153"/>
      <c r="H960" s="154"/>
      <c r="I960" s="155"/>
      <c r="J960" s="156"/>
      <c r="N960" s="144"/>
      <c r="O960" s="852"/>
    </row>
    <row r="961" spans="1:15" s="157" customFormat="1">
      <c r="A961" s="254"/>
      <c r="B961" s="605"/>
      <c r="C961" s="152"/>
      <c r="D961" s="572"/>
      <c r="E961" s="144"/>
      <c r="F961" s="144"/>
      <c r="G961" s="153"/>
      <c r="H961" s="154"/>
      <c r="I961" s="155"/>
      <c r="J961" s="156"/>
      <c r="N961" s="144"/>
      <c r="O961" s="852"/>
    </row>
    <row r="962" spans="1:15" s="157" customFormat="1">
      <c r="A962" s="254" t="s">
        <v>2849</v>
      </c>
      <c r="B962" s="605" t="s">
        <v>5647</v>
      </c>
      <c r="C962" s="152" t="s">
        <v>649</v>
      </c>
      <c r="D962" s="572">
        <v>30</v>
      </c>
      <c r="E962" s="144">
        <v>10.92</v>
      </c>
      <c r="F962" s="144">
        <f t="shared" si="106"/>
        <v>327.60000000000002</v>
      </c>
      <c r="G962" s="153"/>
      <c r="H962" s="154"/>
      <c r="I962" s="155"/>
      <c r="J962" s="156"/>
      <c r="N962" s="144"/>
      <c r="O962" s="852"/>
    </row>
    <row r="963" spans="1:15" s="157" customFormat="1">
      <c r="A963" s="254"/>
      <c r="B963" s="605"/>
      <c r="C963" s="152"/>
      <c r="D963" s="572"/>
      <c r="E963" s="144"/>
      <c r="F963" s="144"/>
      <c r="G963" s="153"/>
      <c r="H963" s="154"/>
      <c r="I963" s="155"/>
      <c r="J963" s="156"/>
      <c r="N963" s="144"/>
      <c r="O963" s="852"/>
    </row>
    <row r="964" spans="1:15" s="157" customFormat="1">
      <c r="A964" s="254" t="s">
        <v>2850</v>
      </c>
      <c r="B964" s="605" t="s">
        <v>2851</v>
      </c>
      <c r="C964" s="152" t="s">
        <v>649</v>
      </c>
      <c r="D964" s="572">
        <v>200</v>
      </c>
      <c r="E964" s="144">
        <v>1.74</v>
      </c>
      <c r="F964" s="144">
        <f t="shared" si="106"/>
        <v>348</v>
      </c>
      <c r="G964" s="153"/>
      <c r="H964" s="154"/>
      <c r="I964" s="155"/>
      <c r="J964" s="156"/>
      <c r="N964" s="144"/>
      <c r="O964" s="852"/>
    </row>
    <row r="965" spans="1:15" s="157" customFormat="1">
      <c r="A965" s="254"/>
      <c r="B965" s="605"/>
      <c r="C965" s="152"/>
      <c r="D965" s="572"/>
      <c r="E965" s="144"/>
      <c r="F965" s="144"/>
      <c r="G965" s="153"/>
      <c r="H965" s="154"/>
      <c r="I965" s="155"/>
      <c r="J965" s="156"/>
      <c r="N965" s="144"/>
      <c r="O965" s="852"/>
    </row>
    <row r="966" spans="1:15" s="157" customFormat="1">
      <c r="A966" s="254" t="s">
        <v>2852</v>
      </c>
      <c r="B966" s="605" t="s">
        <v>2853</v>
      </c>
      <c r="C966" s="152" t="s">
        <v>649</v>
      </c>
      <c r="D966" s="572">
        <v>200</v>
      </c>
      <c r="E966" s="144">
        <v>1.74</v>
      </c>
      <c r="F966" s="144">
        <f t="shared" si="106"/>
        <v>348</v>
      </c>
      <c r="G966" s="153"/>
      <c r="H966" s="154"/>
      <c r="I966" s="155"/>
      <c r="J966" s="156"/>
      <c r="N966" s="144"/>
      <c r="O966" s="852"/>
    </row>
    <row r="967" spans="1:15" s="157" customFormat="1">
      <c r="A967" s="254"/>
      <c r="B967" s="605"/>
      <c r="C967" s="152"/>
      <c r="D967" s="572"/>
      <c r="E967" s="144"/>
      <c r="F967" s="144"/>
      <c r="G967" s="153"/>
      <c r="H967" s="154"/>
      <c r="I967" s="155"/>
      <c r="J967" s="156"/>
      <c r="N967" s="144"/>
      <c r="O967" s="852"/>
    </row>
    <row r="968" spans="1:15" s="157" customFormat="1">
      <c r="A968" s="254" t="s">
        <v>2854</v>
      </c>
      <c r="B968" s="605" t="s">
        <v>2855</v>
      </c>
      <c r="C968" s="152" t="s">
        <v>649</v>
      </c>
      <c r="D968" s="572">
        <v>200</v>
      </c>
      <c r="E968" s="144">
        <v>3.05</v>
      </c>
      <c r="F968" s="144">
        <f t="shared" si="106"/>
        <v>610</v>
      </c>
      <c r="G968" s="153"/>
      <c r="H968" s="154"/>
      <c r="I968" s="155"/>
      <c r="J968" s="156"/>
      <c r="N968" s="144"/>
      <c r="O968" s="852"/>
    </row>
    <row r="969" spans="1:15" s="157" customFormat="1">
      <c r="A969" s="254"/>
      <c r="B969" s="605"/>
      <c r="C969" s="152"/>
      <c r="D969" s="572"/>
      <c r="E969" s="144"/>
      <c r="F969" s="144"/>
      <c r="G969" s="153"/>
      <c r="H969" s="154"/>
      <c r="I969" s="155"/>
      <c r="J969" s="156"/>
      <c r="N969" s="144"/>
      <c r="O969" s="852"/>
    </row>
    <row r="970" spans="1:15" s="157" customFormat="1">
      <c r="A970" s="254" t="s">
        <v>2856</v>
      </c>
      <c r="B970" s="605" t="s">
        <v>2857</v>
      </c>
      <c r="C970" s="152" t="s">
        <v>649</v>
      </c>
      <c r="D970" s="572">
        <v>200</v>
      </c>
      <c r="E970" s="144">
        <v>0.9</v>
      </c>
      <c r="F970" s="144">
        <f t="shared" si="106"/>
        <v>180</v>
      </c>
      <c r="G970" s="153"/>
      <c r="H970" s="154"/>
      <c r="I970" s="155"/>
      <c r="J970" s="156"/>
      <c r="N970" s="144"/>
      <c r="O970" s="852"/>
    </row>
    <row r="971" spans="1:15" s="157" customFormat="1">
      <c r="A971" s="254"/>
      <c r="B971" s="605"/>
      <c r="C971" s="152"/>
      <c r="D971" s="572"/>
      <c r="E971" s="144"/>
      <c r="F971" s="144"/>
      <c r="G971" s="153"/>
      <c r="H971" s="154"/>
      <c r="I971" s="155"/>
      <c r="J971" s="156"/>
      <c r="N971" s="144"/>
      <c r="O971" s="852"/>
    </row>
    <row r="972" spans="1:15" s="157" customFormat="1">
      <c r="A972" s="254" t="s">
        <v>2858</v>
      </c>
      <c r="B972" s="605" t="s">
        <v>2859</v>
      </c>
      <c r="C972" s="152" t="s">
        <v>649</v>
      </c>
      <c r="D972" s="572">
        <v>30</v>
      </c>
      <c r="E972" s="144">
        <v>0.76</v>
      </c>
      <c r="F972" s="144">
        <f t="shared" si="106"/>
        <v>22.8</v>
      </c>
      <c r="G972" s="153"/>
      <c r="H972" s="154"/>
      <c r="I972" s="155"/>
      <c r="J972" s="156"/>
      <c r="N972" s="144"/>
      <c r="O972" s="852"/>
    </row>
    <row r="973" spans="1:15" s="157" customFormat="1">
      <c r="A973" s="254"/>
      <c r="B973" s="605"/>
      <c r="C973" s="152"/>
      <c r="D973" s="572"/>
      <c r="E973" s="144"/>
      <c r="F973" s="144"/>
      <c r="G973" s="153"/>
      <c r="H973" s="154"/>
      <c r="I973" s="155"/>
      <c r="J973" s="156"/>
      <c r="N973" s="144"/>
      <c r="O973" s="852"/>
    </row>
    <row r="974" spans="1:15" s="157" customFormat="1">
      <c r="A974" s="254" t="s">
        <v>2860</v>
      </c>
      <c r="B974" s="605" t="s">
        <v>2861</v>
      </c>
      <c r="C974" s="152" t="s">
        <v>649</v>
      </c>
      <c r="D974" s="572">
        <v>200</v>
      </c>
      <c r="E974" s="144">
        <v>0.99</v>
      </c>
      <c r="F974" s="144">
        <f t="shared" si="106"/>
        <v>198</v>
      </c>
      <c r="G974" s="153"/>
      <c r="H974" s="154"/>
      <c r="I974" s="155"/>
      <c r="J974" s="156"/>
      <c r="N974" s="144"/>
      <c r="O974" s="852"/>
    </row>
    <row r="975" spans="1:15" s="157" customFormat="1">
      <c r="A975" s="254"/>
      <c r="B975" s="605"/>
      <c r="C975" s="152"/>
      <c r="D975" s="572"/>
      <c r="E975" s="144"/>
      <c r="F975" s="144"/>
      <c r="G975" s="153"/>
      <c r="H975" s="154"/>
      <c r="I975" s="155"/>
      <c r="J975" s="156"/>
      <c r="N975" s="144"/>
      <c r="O975" s="852"/>
    </row>
    <row r="976" spans="1:15" s="157" customFormat="1">
      <c r="A976" s="254" t="s">
        <v>2862</v>
      </c>
      <c r="B976" s="605" t="s">
        <v>2863</v>
      </c>
      <c r="C976" s="152" t="s">
        <v>649</v>
      </c>
      <c r="D976" s="572">
        <v>100</v>
      </c>
      <c r="E976" s="144">
        <v>0.95</v>
      </c>
      <c r="F976" s="144">
        <f t="shared" si="106"/>
        <v>95</v>
      </c>
      <c r="G976" s="153"/>
      <c r="H976" s="154"/>
      <c r="I976" s="155"/>
      <c r="J976" s="156"/>
      <c r="N976" s="144"/>
      <c r="O976" s="852"/>
    </row>
    <row r="977" spans="1:15" s="157" customFormat="1">
      <c r="A977" s="254"/>
      <c r="B977" s="605"/>
      <c r="C977" s="152"/>
      <c r="D977" s="572"/>
      <c r="E977" s="144"/>
      <c r="F977" s="144"/>
      <c r="G977" s="153"/>
      <c r="H977" s="154"/>
      <c r="I977" s="155"/>
      <c r="J977" s="156"/>
      <c r="N977" s="144"/>
      <c r="O977" s="852"/>
    </row>
    <row r="978" spans="1:15" s="157" customFormat="1">
      <c r="A978" s="254" t="s">
        <v>2864</v>
      </c>
      <c r="B978" s="605" t="s">
        <v>5648</v>
      </c>
      <c r="C978" s="152" t="s">
        <v>649</v>
      </c>
      <c r="D978" s="572">
        <v>30</v>
      </c>
      <c r="E978" s="144">
        <v>23.09</v>
      </c>
      <c r="F978" s="144">
        <f t="shared" si="106"/>
        <v>692.7</v>
      </c>
      <c r="G978" s="153"/>
      <c r="H978" s="154"/>
      <c r="I978" s="155"/>
      <c r="J978" s="156"/>
      <c r="N978" s="144"/>
      <c r="O978" s="852"/>
    </row>
    <row r="979" spans="1:15" s="157" customFormat="1">
      <c r="A979" s="254"/>
      <c r="B979" s="605"/>
      <c r="C979" s="152"/>
      <c r="D979" s="572"/>
      <c r="E979" s="144"/>
      <c r="F979" s="144"/>
      <c r="G979" s="153"/>
      <c r="H979" s="154"/>
      <c r="I979" s="155"/>
      <c r="J979" s="156"/>
      <c r="N979" s="144"/>
      <c r="O979" s="852"/>
    </row>
    <row r="980" spans="1:15" s="157" customFormat="1">
      <c r="A980" s="254" t="s">
        <v>2865</v>
      </c>
      <c r="B980" s="605" t="s">
        <v>4813</v>
      </c>
      <c r="C980" s="152" t="s">
        <v>2866</v>
      </c>
      <c r="D980" s="572">
        <v>20</v>
      </c>
      <c r="E980" s="144">
        <v>10.23</v>
      </c>
      <c r="F980" s="144">
        <f t="shared" si="106"/>
        <v>204.60000000000002</v>
      </c>
      <c r="G980" s="153"/>
      <c r="H980" s="154"/>
      <c r="I980" s="155"/>
      <c r="J980" s="156"/>
      <c r="N980" s="144"/>
      <c r="O980" s="852"/>
    </row>
    <row r="981" spans="1:15" s="157" customFormat="1">
      <c r="A981" s="254"/>
      <c r="B981" s="605"/>
      <c r="C981" s="152"/>
      <c r="D981" s="572"/>
      <c r="E981" s="144"/>
      <c r="F981" s="144"/>
      <c r="G981" s="153"/>
      <c r="H981" s="154"/>
      <c r="I981" s="155"/>
      <c r="J981" s="156"/>
      <c r="N981" s="144"/>
      <c r="O981" s="852"/>
    </row>
    <row r="982" spans="1:15" s="157" customFormat="1">
      <c r="A982" s="254" t="s">
        <v>2867</v>
      </c>
      <c r="B982" s="605" t="s">
        <v>2868</v>
      </c>
      <c r="C982" s="152" t="s">
        <v>649</v>
      </c>
      <c r="D982" s="572">
        <v>4</v>
      </c>
      <c r="E982" s="144">
        <v>115.9</v>
      </c>
      <c r="F982" s="144">
        <f t="shared" si="106"/>
        <v>463.6</v>
      </c>
      <c r="G982" s="153"/>
      <c r="H982" s="154"/>
      <c r="I982" s="155"/>
      <c r="J982" s="156"/>
      <c r="N982" s="144"/>
      <c r="O982" s="852"/>
    </row>
    <row r="983" spans="1:15" s="157" customFormat="1">
      <c r="A983" s="254"/>
      <c r="B983" s="605"/>
      <c r="C983" s="152"/>
      <c r="D983" s="572"/>
      <c r="E983" s="144"/>
      <c r="F983" s="144"/>
      <c r="G983" s="153"/>
      <c r="H983" s="154"/>
      <c r="I983" s="155"/>
      <c r="J983" s="156"/>
      <c r="N983" s="144"/>
      <c r="O983" s="852"/>
    </row>
    <row r="984" spans="1:15" s="157" customFormat="1">
      <c r="A984" s="254" t="s">
        <v>2869</v>
      </c>
      <c r="B984" s="605" t="s">
        <v>2870</v>
      </c>
      <c r="C984" s="152" t="s">
        <v>649</v>
      </c>
      <c r="D984" s="572">
        <v>4</v>
      </c>
      <c r="E984" s="144">
        <v>66.61</v>
      </c>
      <c r="F984" s="144">
        <f t="shared" si="106"/>
        <v>266.44</v>
      </c>
      <c r="G984" s="153"/>
      <c r="H984" s="154"/>
      <c r="I984" s="155"/>
      <c r="J984" s="156"/>
      <c r="N984" s="144"/>
      <c r="O984" s="852"/>
    </row>
    <row r="985" spans="1:15" s="157" customFormat="1">
      <c r="A985" s="254"/>
      <c r="B985" s="605"/>
      <c r="C985" s="152"/>
      <c r="D985" s="572"/>
      <c r="E985" s="144"/>
      <c r="F985" s="144"/>
      <c r="G985" s="153"/>
      <c r="H985" s="154"/>
      <c r="I985" s="155"/>
      <c r="J985" s="156"/>
      <c r="N985" s="144"/>
      <c r="O985" s="852"/>
    </row>
    <row r="986" spans="1:15" s="157" customFormat="1" ht="27.6">
      <c r="A986" s="254" t="s">
        <v>2871</v>
      </c>
      <c r="B986" s="605" t="s">
        <v>2872</v>
      </c>
      <c r="C986" s="152" t="s">
        <v>649</v>
      </c>
      <c r="D986" s="572">
        <v>4</v>
      </c>
      <c r="E986" s="144">
        <v>71.09</v>
      </c>
      <c r="F986" s="144">
        <f t="shared" si="106"/>
        <v>284.36</v>
      </c>
      <c r="G986" s="153"/>
      <c r="H986" s="154"/>
      <c r="I986" s="155"/>
      <c r="J986" s="156"/>
      <c r="N986" s="144"/>
      <c r="O986" s="852"/>
    </row>
    <row r="987" spans="1:15" s="157" customFormat="1">
      <c r="A987" s="254"/>
      <c r="B987" s="605"/>
      <c r="C987" s="152"/>
      <c r="D987" s="572"/>
      <c r="E987" s="144"/>
      <c r="F987" s="144"/>
      <c r="G987" s="153"/>
      <c r="H987" s="154"/>
      <c r="I987" s="155"/>
      <c r="J987" s="156"/>
      <c r="N987" s="144"/>
      <c r="O987" s="852"/>
    </row>
    <row r="988" spans="1:15" s="157" customFormat="1">
      <c r="A988" s="254" t="s">
        <v>2873</v>
      </c>
      <c r="B988" s="605" t="s">
        <v>2874</v>
      </c>
      <c r="C988" s="152" t="s">
        <v>649</v>
      </c>
      <c r="D988" s="572">
        <v>2</v>
      </c>
      <c r="E988" s="144">
        <v>144.25</v>
      </c>
      <c r="F988" s="144">
        <f t="shared" si="106"/>
        <v>288.5</v>
      </c>
      <c r="G988" s="153"/>
      <c r="H988" s="154"/>
      <c r="I988" s="155"/>
      <c r="J988" s="156"/>
      <c r="N988" s="144"/>
      <c r="O988" s="852"/>
    </row>
    <row r="989" spans="1:15" s="157" customFormat="1">
      <c r="A989" s="254"/>
      <c r="B989" s="605"/>
      <c r="C989" s="152"/>
      <c r="D989" s="572"/>
      <c r="E989" s="144"/>
      <c r="F989" s="144"/>
      <c r="G989" s="153"/>
      <c r="H989" s="154"/>
      <c r="I989" s="155"/>
      <c r="J989" s="156"/>
      <c r="N989" s="144"/>
      <c r="O989" s="852"/>
    </row>
    <row r="990" spans="1:15" s="157" customFormat="1">
      <c r="A990" s="254" t="s">
        <v>2875</v>
      </c>
      <c r="B990" s="605" t="s">
        <v>2876</v>
      </c>
      <c r="C990" s="152" t="s">
        <v>649</v>
      </c>
      <c r="D990" s="572">
        <v>2</v>
      </c>
      <c r="E990" s="144">
        <v>175.18</v>
      </c>
      <c r="F990" s="144">
        <f t="shared" si="106"/>
        <v>350.36</v>
      </c>
      <c r="G990" s="153"/>
      <c r="H990" s="154"/>
      <c r="I990" s="155"/>
      <c r="J990" s="156"/>
      <c r="N990" s="144"/>
      <c r="O990" s="852"/>
    </row>
    <row r="991" spans="1:15" s="157" customFormat="1">
      <c r="A991" s="254"/>
      <c r="B991" s="605"/>
      <c r="C991" s="152"/>
      <c r="D991" s="572"/>
      <c r="E991" s="144"/>
      <c r="F991" s="144"/>
      <c r="G991" s="153"/>
      <c r="H991" s="154"/>
      <c r="I991" s="155"/>
      <c r="J991" s="156"/>
      <c r="N991" s="144"/>
      <c r="O991" s="852"/>
    </row>
    <row r="992" spans="1:15" s="157" customFormat="1" ht="27.6">
      <c r="A992" s="254" t="s">
        <v>2877</v>
      </c>
      <c r="B992" s="605" t="s">
        <v>2878</v>
      </c>
      <c r="C992" s="152" t="s">
        <v>649</v>
      </c>
      <c r="D992" s="572">
        <v>2</v>
      </c>
      <c r="E992" s="144">
        <v>158.84</v>
      </c>
      <c r="F992" s="144">
        <f t="shared" si="106"/>
        <v>317.68</v>
      </c>
      <c r="G992" s="153"/>
      <c r="H992" s="154"/>
      <c r="I992" s="155"/>
      <c r="J992" s="156"/>
      <c r="N992" s="144"/>
      <c r="O992" s="852"/>
    </row>
    <row r="993" spans="1:15" s="157" customFormat="1">
      <c r="A993" s="254"/>
      <c r="B993" s="605"/>
      <c r="C993" s="152"/>
      <c r="D993" s="572"/>
      <c r="E993" s="144"/>
      <c r="F993" s="144"/>
      <c r="G993" s="153"/>
      <c r="H993" s="154"/>
      <c r="I993" s="155"/>
      <c r="J993" s="156"/>
      <c r="N993" s="144"/>
      <c r="O993" s="852"/>
    </row>
    <row r="994" spans="1:15" s="157" customFormat="1" ht="27.6">
      <c r="A994" s="254" t="s">
        <v>2879</v>
      </c>
      <c r="B994" s="605" t="s">
        <v>2880</v>
      </c>
      <c r="C994" s="152" t="s">
        <v>649</v>
      </c>
      <c r="D994" s="572">
        <v>2</v>
      </c>
      <c r="E994" s="144">
        <v>183.14</v>
      </c>
      <c r="F994" s="144">
        <f t="shared" si="106"/>
        <v>366.28</v>
      </c>
      <c r="G994" s="153"/>
      <c r="H994" s="154"/>
      <c r="I994" s="155"/>
      <c r="J994" s="156"/>
      <c r="N994" s="144"/>
      <c r="O994" s="852"/>
    </row>
    <row r="995" spans="1:15" s="157" customFormat="1">
      <c r="A995" s="254"/>
      <c r="B995" s="605"/>
      <c r="C995" s="152"/>
      <c r="D995" s="572"/>
      <c r="E995" s="144"/>
      <c r="F995" s="144"/>
      <c r="G995" s="153"/>
      <c r="H995" s="154"/>
      <c r="I995" s="155"/>
      <c r="J995" s="156"/>
      <c r="N995" s="144"/>
      <c r="O995" s="852"/>
    </row>
    <row r="996" spans="1:15" s="157" customFormat="1">
      <c r="A996" s="254" t="s">
        <v>2881</v>
      </c>
      <c r="B996" s="605" t="s">
        <v>2882</v>
      </c>
      <c r="C996" s="152" t="s">
        <v>649</v>
      </c>
      <c r="D996" s="572">
        <v>2</v>
      </c>
      <c r="E996" s="144">
        <v>28.23</v>
      </c>
      <c r="F996" s="144">
        <f t="shared" si="106"/>
        <v>56.46</v>
      </c>
      <c r="G996" s="153"/>
      <c r="H996" s="154"/>
      <c r="I996" s="155"/>
      <c r="J996" s="156"/>
      <c r="N996" s="144"/>
      <c r="O996" s="852"/>
    </row>
    <row r="997" spans="1:15" s="157" customFormat="1">
      <c r="A997" s="254"/>
      <c r="B997" s="605"/>
      <c r="C997" s="152"/>
      <c r="D997" s="572"/>
      <c r="E997" s="144"/>
      <c r="F997" s="144"/>
      <c r="G997" s="153"/>
      <c r="H997" s="154"/>
      <c r="I997" s="155"/>
      <c r="J997" s="156"/>
      <c r="N997" s="144"/>
      <c r="O997" s="852"/>
    </row>
    <row r="998" spans="1:15" s="157" customFormat="1">
      <c r="A998" s="254" t="s">
        <v>3072</v>
      </c>
      <c r="B998" s="605" t="s">
        <v>2883</v>
      </c>
      <c r="C998" s="152" t="s">
        <v>649</v>
      </c>
      <c r="D998" s="572">
        <v>4</v>
      </c>
      <c r="E998" s="144">
        <v>35.68</v>
      </c>
      <c r="F998" s="144">
        <f t="shared" si="106"/>
        <v>142.72</v>
      </c>
      <c r="G998" s="153"/>
      <c r="H998" s="154"/>
      <c r="I998" s="155"/>
      <c r="J998" s="156"/>
      <c r="N998" s="144"/>
      <c r="O998" s="852"/>
    </row>
    <row r="999" spans="1:15" s="157" customFormat="1">
      <c r="A999" s="254"/>
      <c r="B999" s="605"/>
      <c r="C999" s="152"/>
      <c r="D999" s="572"/>
      <c r="E999" s="144"/>
      <c r="F999" s="144"/>
      <c r="G999" s="153"/>
      <c r="H999" s="154"/>
      <c r="I999" s="155"/>
      <c r="J999" s="156"/>
      <c r="N999" s="144"/>
      <c r="O999" s="852"/>
    </row>
    <row r="1000" spans="1:15" s="157" customFormat="1">
      <c r="A1000" s="254" t="s">
        <v>2884</v>
      </c>
      <c r="B1000" s="605" t="s">
        <v>2885</v>
      </c>
      <c r="C1000" s="152" t="s">
        <v>649</v>
      </c>
      <c r="D1000" s="572">
        <v>4</v>
      </c>
      <c r="E1000" s="144">
        <v>63.76</v>
      </c>
      <c r="F1000" s="144">
        <f t="shared" si="106"/>
        <v>255.04</v>
      </c>
      <c r="G1000" s="153"/>
      <c r="H1000" s="154"/>
      <c r="I1000" s="155"/>
      <c r="J1000" s="156"/>
      <c r="N1000" s="144"/>
      <c r="O1000" s="852"/>
    </row>
    <row r="1001" spans="1:15" s="157" customFormat="1">
      <c r="A1001" s="254"/>
      <c r="B1001" s="605"/>
      <c r="C1001" s="152"/>
      <c r="D1001" s="572"/>
      <c r="E1001" s="144"/>
      <c r="F1001" s="144"/>
      <c r="G1001" s="153"/>
      <c r="H1001" s="154"/>
      <c r="I1001" s="155"/>
      <c r="J1001" s="156"/>
      <c r="N1001" s="144"/>
      <c r="O1001" s="852"/>
    </row>
    <row r="1002" spans="1:15" s="157" customFormat="1">
      <c r="A1002" s="254" t="s">
        <v>2886</v>
      </c>
      <c r="B1002" s="605" t="s">
        <v>2887</v>
      </c>
      <c r="C1002" s="152" t="s">
        <v>649</v>
      </c>
      <c r="D1002" s="572">
        <v>4</v>
      </c>
      <c r="E1002" s="144">
        <v>126.51</v>
      </c>
      <c r="F1002" s="144">
        <f t="shared" si="106"/>
        <v>506.04</v>
      </c>
      <c r="G1002" s="153"/>
      <c r="H1002" s="154"/>
      <c r="I1002" s="155"/>
      <c r="J1002" s="156"/>
      <c r="N1002" s="144"/>
      <c r="O1002" s="852"/>
    </row>
    <row r="1003" spans="1:15" s="157" customFormat="1">
      <c r="A1003" s="254"/>
      <c r="B1003" s="605"/>
      <c r="C1003" s="152"/>
      <c r="D1003" s="572"/>
      <c r="E1003" s="144"/>
      <c r="F1003" s="144"/>
      <c r="G1003" s="153"/>
      <c r="H1003" s="154"/>
      <c r="I1003" s="155"/>
      <c r="J1003" s="156"/>
      <c r="N1003" s="144"/>
      <c r="O1003" s="852"/>
    </row>
    <row r="1004" spans="1:15" s="157" customFormat="1">
      <c r="A1004" s="254" t="s">
        <v>2888</v>
      </c>
      <c r="B1004" s="605" t="s">
        <v>2889</v>
      </c>
      <c r="C1004" s="152" t="s">
        <v>649</v>
      </c>
      <c r="D1004" s="572">
        <v>2</v>
      </c>
      <c r="E1004" s="144">
        <v>151.66999999999999</v>
      </c>
      <c r="F1004" s="144">
        <f t="shared" si="106"/>
        <v>303.33999999999997</v>
      </c>
      <c r="G1004" s="153"/>
      <c r="H1004" s="154"/>
      <c r="I1004" s="155"/>
      <c r="J1004" s="156"/>
      <c r="N1004" s="144"/>
      <c r="O1004" s="852"/>
    </row>
    <row r="1005" spans="1:15" s="157" customFormat="1">
      <c r="A1005" s="254"/>
      <c r="B1005" s="605"/>
      <c r="C1005" s="152"/>
      <c r="D1005" s="572"/>
      <c r="E1005" s="144"/>
      <c r="F1005" s="144"/>
      <c r="G1005" s="153"/>
      <c r="H1005" s="154"/>
      <c r="I1005" s="155"/>
      <c r="J1005" s="156"/>
      <c r="N1005" s="144"/>
      <c r="O1005" s="852"/>
    </row>
    <row r="1006" spans="1:15" s="157" customFormat="1">
      <c r="A1006" s="254" t="s">
        <v>2890</v>
      </c>
      <c r="B1006" s="605" t="s">
        <v>2891</v>
      </c>
      <c r="C1006" s="152" t="s">
        <v>649</v>
      </c>
      <c r="D1006" s="572">
        <v>5</v>
      </c>
      <c r="E1006" s="144">
        <v>67.05</v>
      </c>
      <c r="F1006" s="144">
        <f t="shared" si="106"/>
        <v>335.25</v>
      </c>
      <c r="G1006" s="153"/>
      <c r="H1006" s="154"/>
      <c r="I1006" s="155"/>
      <c r="J1006" s="156"/>
      <c r="N1006" s="144"/>
      <c r="O1006" s="852"/>
    </row>
    <row r="1007" spans="1:15" s="157" customFormat="1">
      <c r="A1007" s="254"/>
      <c r="B1007" s="605"/>
      <c r="C1007" s="152"/>
      <c r="D1007" s="572"/>
      <c r="E1007" s="144"/>
      <c r="F1007" s="144"/>
      <c r="G1007" s="153"/>
      <c r="H1007" s="154"/>
      <c r="I1007" s="155"/>
      <c r="J1007" s="156"/>
      <c r="N1007" s="144"/>
      <c r="O1007" s="852"/>
    </row>
    <row r="1008" spans="1:15" s="157" customFormat="1">
      <c r="A1008" s="254" t="s">
        <v>2892</v>
      </c>
      <c r="B1008" s="605" t="s">
        <v>2893</v>
      </c>
      <c r="C1008" s="152" t="s">
        <v>649</v>
      </c>
      <c r="D1008" s="572">
        <v>5</v>
      </c>
      <c r="E1008" s="144">
        <v>19.53</v>
      </c>
      <c r="F1008" s="144">
        <f t="shared" si="106"/>
        <v>97.65</v>
      </c>
      <c r="G1008" s="153"/>
      <c r="H1008" s="154"/>
      <c r="I1008" s="155"/>
      <c r="J1008" s="156"/>
      <c r="N1008" s="144"/>
      <c r="O1008" s="852"/>
    </row>
    <row r="1009" spans="1:15" s="157" customFormat="1">
      <c r="A1009" s="254"/>
      <c r="B1009" s="605"/>
      <c r="C1009" s="152"/>
      <c r="D1009" s="572"/>
      <c r="E1009" s="144"/>
      <c r="F1009" s="144"/>
      <c r="G1009" s="153"/>
      <c r="H1009" s="154"/>
      <c r="I1009" s="155"/>
      <c r="J1009" s="156"/>
      <c r="N1009" s="144"/>
      <c r="O1009" s="852"/>
    </row>
    <row r="1010" spans="1:15" s="157" customFormat="1" ht="41.4">
      <c r="A1010" s="254" t="s">
        <v>2894</v>
      </c>
      <c r="B1010" s="605" t="s">
        <v>5650</v>
      </c>
      <c r="C1010" s="152" t="s">
        <v>649</v>
      </c>
      <c r="D1010" s="572">
        <v>10</v>
      </c>
      <c r="E1010" s="144">
        <v>34.369999999999997</v>
      </c>
      <c r="F1010" s="144">
        <f t="shared" si="106"/>
        <v>343.7</v>
      </c>
      <c r="G1010" s="153"/>
      <c r="H1010" s="154"/>
      <c r="I1010" s="155"/>
      <c r="J1010" s="156"/>
      <c r="N1010" s="144"/>
      <c r="O1010" s="852"/>
    </row>
    <row r="1011" spans="1:15" s="157" customFormat="1">
      <c r="A1011" s="254"/>
      <c r="B1011" s="605"/>
      <c r="C1011" s="152"/>
      <c r="D1011" s="572"/>
      <c r="E1011" s="144"/>
      <c r="F1011" s="144"/>
      <c r="G1011" s="153"/>
      <c r="H1011" s="154"/>
      <c r="I1011" s="155"/>
      <c r="J1011" s="156"/>
      <c r="N1011" s="144"/>
      <c r="O1011" s="852"/>
    </row>
    <row r="1012" spans="1:15" s="157" customFormat="1" ht="41.4">
      <c r="A1012" s="254" t="s">
        <v>2895</v>
      </c>
      <c r="B1012" s="605" t="s">
        <v>5673</v>
      </c>
      <c r="C1012" s="152" t="s">
        <v>649</v>
      </c>
      <c r="D1012" s="572">
        <v>5</v>
      </c>
      <c r="E1012" s="144">
        <v>24.85</v>
      </c>
      <c r="F1012" s="144">
        <f t="shared" si="106"/>
        <v>124.25</v>
      </c>
      <c r="G1012" s="153"/>
      <c r="H1012" s="154"/>
      <c r="I1012" s="155"/>
      <c r="J1012" s="156"/>
      <c r="N1012" s="144"/>
      <c r="O1012" s="852"/>
    </row>
    <row r="1013" spans="1:15" s="157" customFormat="1">
      <c r="A1013" s="254"/>
      <c r="B1013" s="605"/>
      <c r="C1013" s="152"/>
      <c r="D1013" s="572"/>
      <c r="E1013" s="144"/>
      <c r="F1013" s="144"/>
      <c r="G1013" s="153"/>
      <c r="H1013" s="154"/>
      <c r="I1013" s="155"/>
      <c r="J1013" s="156"/>
      <c r="N1013" s="144"/>
      <c r="O1013" s="852"/>
    </row>
    <row r="1014" spans="1:15" s="157" customFormat="1" ht="41.4">
      <c r="A1014" s="254" t="s">
        <v>2896</v>
      </c>
      <c r="B1014" s="605" t="s">
        <v>5649</v>
      </c>
      <c r="C1014" s="152" t="s">
        <v>649</v>
      </c>
      <c r="D1014" s="572">
        <v>10</v>
      </c>
      <c r="E1014" s="144">
        <v>17.68</v>
      </c>
      <c r="F1014" s="144">
        <f t="shared" si="106"/>
        <v>176.8</v>
      </c>
      <c r="G1014" s="153"/>
      <c r="H1014" s="154"/>
      <c r="I1014" s="155"/>
      <c r="J1014" s="156"/>
      <c r="N1014" s="144"/>
      <c r="O1014" s="852"/>
    </row>
    <row r="1015" spans="1:15" s="157" customFormat="1">
      <c r="A1015" s="254"/>
      <c r="B1015" s="605"/>
      <c r="C1015" s="152"/>
      <c r="D1015" s="572"/>
      <c r="E1015" s="144"/>
      <c r="F1015" s="144"/>
      <c r="G1015" s="153"/>
      <c r="H1015" s="154"/>
      <c r="I1015" s="155"/>
      <c r="J1015" s="156"/>
      <c r="N1015" s="144"/>
      <c r="O1015" s="852"/>
    </row>
    <row r="1016" spans="1:15" s="157" customFormat="1">
      <c r="A1016" s="254" t="s">
        <v>2897</v>
      </c>
      <c r="B1016" s="605" t="s">
        <v>2898</v>
      </c>
      <c r="C1016" s="152" t="s">
        <v>649</v>
      </c>
      <c r="D1016" s="572">
        <v>10</v>
      </c>
      <c r="E1016" s="144">
        <v>61.52</v>
      </c>
      <c r="F1016" s="144">
        <f t="shared" si="106"/>
        <v>615.20000000000005</v>
      </c>
      <c r="G1016" s="153"/>
      <c r="H1016" s="154"/>
      <c r="I1016" s="155"/>
      <c r="J1016" s="156"/>
      <c r="N1016" s="144"/>
      <c r="O1016" s="852"/>
    </row>
    <row r="1017" spans="1:15" s="157" customFormat="1">
      <c r="A1017" s="254"/>
      <c r="B1017" s="605"/>
      <c r="C1017" s="152"/>
      <c r="D1017" s="572"/>
      <c r="E1017" s="144"/>
      <c r="F1017" s="144"/>
      <c r="G1017" s="153"/>
      <c r="H1017" s="154"/>
      <c r="I1017" s="155"/>
      <c r="J1017" s="156"/>
      <c r="N1017" s="144"/>
      <c r="O1017" s="852"/>
    </row>
    <row r="1018" spans="1:15" s="157" customFormat="1">
      <c r="A1018" s="254" t="s">
        <v>2899</v>
      </c>
      <c r="B1018" s="605" t="s">
        <v>2900</v>
      </c>
      <c r="C1018" s="152" t="s">
        <v>649</v>
      </c>
      <c r="D1018" s="572">
        <v>5</v>
      </c>
      <c r="E1018" s="144">
        <v>23.69</v>
      </c>
      <c r="F1018" s="144">
        <f t="shared" si="106"/>
        <v>118.45</v>
      </c>
      <c r="G1018" s="153"/>
      <c r="H1018" s="154"/>
      <c r="I1018" s="155"/>
      <c r="J1018" s="156"/>
      <c r="N1018" s="144"/>
      <c r="O1018" s="852"/>
    </row>
    <row r="1019" spans="1:15" s="157" customFormat="1">
      <c r="A1019" s="254"/>
      <c r="B1019" s="605"/>
      <c r="C1019" s="152"/>
      <c r="D1019" s="572"/>
      <c r="E1019" s="144"/>
      <c r="F1019" s="144"/>
      <c r="G1019" s="153"/>
      <c r="H1019" s="154"/>
      <c r="I1019" s="155"/>
      <c r="J1019" s="156"/>
      <c r="N1019" s="144"/>
      <c r="O1019" s="852"/>
    </row>
    <row r="1020" spans="1:15" s="157" customFormat="1">
      <c r="A1020" s="254" t="s">
        <v>2901</v>
      </c>
      <c r="B1020" s="605" t="s">
        <v>2902</v>
      </c>
      <c r="C1020" s="152" t="s">
        <v>649</v>
      </c>
      <c r="D1020" s="572">
        <v>3</v>
      </c>
      <c r="E1020" s="144">
        <v>10.98</v>
      </c>
      <c r="F1020" s="144">
        <f t="shared" si="106"/>
        <v>32.94</v>
      </c>
      <c r="G1020" s="153"/>
      <c r="H1020" s="154"/>
      <c r="I1020" s="155"/>
      <c r="J1020" s="156"/>
      <c r="N1020" s="144"/>
      <c r="O1020" s="852"/>
    </row>
    <row r="1021" spans="1:15" s="157" customFormat="1">
      <c r="A1021" s="254"/>
      <c r="B1021" s="605"/>
      <c r="C1021" s="152"/>
      <c r="D1021" s="572"/>
      <c r="E1021" s="144"/>
      <c r="F1021" s="144"/>
      <c r="G1021" s="153"/>
      <c r="H1021" s="154"/>
      <c r="I1021" s="155"/>
      <c r="J1021" s="156"/>
      <c r="N1021" s="144"/>
      <c r="O1021" s="852"/>
    </row>
    <row r="1022" spans="1:15" s="157" customFormat="1">
      <c r="A1022" s="254" t="s">
        <v>2903</v>
      </c>
      <c r="B1022" s="605" t="s">
        <v>2904</v>
      </c>
      <c r="C1022" s="152" t="s">
        <v>649</v>
      </c>
      <c r="D1022" s="572">
        <v>3</v>
      </c>
      <c r="E1022" s="144">
        <v>10.77</v>
      </c>
      <c r="F1022" s="144">
        <f t="shared" si="106"/>
        <v>32.31</v>
      </c>
      <c r="G1022" s="153"/>
      <c r="H1022" s="154"/>
      <c r="I1022" s="155"/>
      <c r="J1022" s="156"/>
      <c r="N1022" s="144"/>
      <c r="O1022" s="852"/>
    </row>
    <row r="1023" spans="1:15" s="157" customFormat="1">
      <c r="A1023" s="254"/>
      <c r="B1023" s="605"/>
      <c r="C1023" s="152"/>
      <c r="D1023" s="572"/>
      <c r="E1023" s="144"/>
      <c r="F1023" s="144"/>
      <c r="G1023" s="153"/>
      <c r="H1023" s="154"/>
      <c r="I1023" s="155"/>
      <c r="J1023" s="156"/>
      <c r="N1023" s="144"/>
      <c r="O1023" s="852"/>
    </row>
    <row r="1024" spans="1:15" s="157" customFormat="1">
      <c r="A1024" s="254" t="s">
        <v>2905</v>
      </c>
      <c r="B1024" s="605" t="s">
        <v>2906</v>
      </c>
      <c r="C1024" s="152" t="s">
        <v>649</v>
      </c>
      <c r="D1024" s="572">
        <v>3</v>
      </c>
      <c r="E1024" s="144">
        <v>8.07</v>
      </c>
      <c r="F1024" s="144">
        <f t="shared" si="106"/>
        <v>24.21</v>
      </c>
      <c r="G1024" s="153"/>
      <c r="H1024" s="154"/>
      <c r="I1024" s="155"/>
      <c r="J1024" s="156"/>
      <c r="N1024" s="144"/>
      <c r="O1024" s="852"/>
    </row>
    <row r="1025" spans="1:15" s="157" customFormat="1">
      <c r="A1025" s="254"/>
      <c r="B1025" s="605"/>
      <c r="C1025" s="152"/>
      <c r="D1025" s="572"/>
      <c r="E1025" s="144"/>
      <c r="F1025" s="144"/>
      <c r="G1025" s="153"/>
      <c r="H1025" s="154"/>
      <c r="I1025" s="155"/>
      <c r="J1025" s="156"/>
      <c r="N1025" s="144"/>
      <c r="O1025" s="852"/>
    </row>
    <row r="1026" spans="1:15" s="157" customFormat="1">
      <c r="A1026" s="254" t="s">
        <v>2907</v>
      </c>
      <c r="B1026" s="605" t="s">
        <v>2908</v>
      </c>
      <c r="C1026" s="152" t="s">
        <v>649</v>
      </c>
      <c r="D1026" s="572">
        <v>3</v>
      </c>
      <c r="E1026" s="144">
        <v>5.49</v>
      </c>
      <c r="F1026" s="144">
        <f t="shared" si="106"/>
        <v>16.47</v>
      </c>
      <c r="G1026" s="153"/>
      <c r="H1026" s="154"/>
      <c r="I1026" s="155"/>
      <c r="J1026" s="156"/>
      <c r="N1026" s="144"/>
      <c r="O1026" s="852"/>
    </row>
    <row r="1027" spans="1:15" s="157" customFormat="1">
      <c r="A1027" s="254"/>
      <c r="B1027" s="605"/>
      <c r="C1027" s="152"/>
      <c r="D1027" s="572"/>
      <c r="E1027" s="144"/>
      <c r="F1027" s="144"/>
      <c r="G1027" s="153"/>
      <c r="H1027" s="154"/>
      <c r="I1027" s="155"/>
      <c r="J1027" s="156"/>
      <c r="N1027" s="144"/>
      <c r="O1027" s="852"/>
    </row>
    <row r="1028" spans="1:15" s="157" customFormat="1">
      <c r="A1028" s="254" t="s">
        <v>2909</v>
      </c>
      <c r="B1028" s="605" t="s">
        <v>2910</v>
      </c>
      <c r="C1028" s="152" t="s">
        <v>649</v>
      </c>
      <c r="D1028" s="572">
        <v>1</v>
      </c>
      <c r="E1028" s="144">
        <v>13.26</v>
      </c>
      <c r="F1028" s="144">
        <f t="shared" si="106"/>
        <v>13.26</v>
      </c>
      <c r="G1028" s="153"/>
      <c r="H1028" s="154"/>
      <c r="I1028" s="155"/>
      <c r="J1028" s="156"/>
      <c r="N1028" s="144"/>
      <c r="O1028" s="852"/>
    </row>
    <row r="1029" spans="1:15" s="157" customFormat="1">
      <c r="A1029" s="254"/>
      <c r="B1029" s="605"/>
      <c r="C1029" s="152"/>
      <c r="D1029" s="572"/>
      <c r="E1029" s="144"/>
      <c r="F1029" s="144"/>
      <c r="G1029" s="153"/>
      <c r="H1029" s="154"/>
      <c r="I1029" s="155"/>
      <c r="J1029" s="156"/>
      <c r="N1029" s="144"/>
      <c r="O1029" s="852"/>
    </row>
    <row r="1030" spans="1:15" s="157" customFormat="1">
      <c r="A1030" s="254" t="s">
        <v>2911</v>
      </c>
      <c r="B1030" s="605" t="s">
        <v>2912</v>
      </c>
      <c r="C1030" s="152" t="s">
        <v>649</v>
      </c>
      <c r="D1030" s="572">
        <v>20</v>
      </c>
      <c r="E1030" s="144">
        <v>1.62</v>
      </c>
      <c r="F1030" s="144">
        <f t="shared" si="106"/>
        <v>32.400000000000006</v>
      </c>
      <c r="G1030" s="153"/>
      <c r="H1030" s="154"/>
      <c r="I1030" s="155"/>
      <c r="J1030" s="156"/>
      <c r="N1030" s="144"/>
      <c r="O1030" s="852"/>
    </row>
    <row r="1031" spans="1:15" s="157" customFormat="1">
      <c r="A1031" s="254"/>
      <c r="B1031" s="605"/>
      <c r="C1031" s="152"/>
      <c r="D1031" s="572"/>
      <c r="E1031" s="144"/>
      <c r="F1031" s="144"/>
      <c r="G1031" s="153"/>
      <c r="H1031" s="154"/>
      <c r="I1031" s="155"/>
      <c r="J1031" s="156"/>
      <c r="N1031" s="144"/>
      <c r="O1031" s="852"/>
    </row>
    <row r="1032" spans="1:15" s="157" customFormat="1">
      <c r="A1032" s="254" t="s">
        <v>2913</v>
      </c>
      <c r="B1032" s="605" t="s">
        <v>2914</v>
      </c>
      <c r="C1032" s="152" t="s">
        <v>649</v>
      </c>
      <c r="D1032" s="572">
        <v>3</v>
      </c>
      <c r="E1032" s="144">
        <v>6.78</v>
      </c>
      <c r="F1032" s="144">
        <f t="shared" si="106"/>
        <v>20.34</v>
      </c>
      <c r="G1032" s="153"/>
      <c r="H1032" s="154"/>
      <c r="I1032" s="155"/>
      <c r="J1032" s="156"/>
      <c r="N1032" s="144"/>
      <c r="O1032" s="852"/>
    </row>
    <row r="1033" spans="1:15" s="157" customFormat="1">
      <c r="A1033" s="254"/>
      <c r="B1033" s="605"/>
      <c r="C1033" s="152"/>
      <c r="D1033" s="572"/>
      <c r="E1033" s="144"/>
      <c r="F1033" s="144"/>
      <c r="G1033" s="153"/>
      <c r="H1033" s="154"/>
      <c r="I1033" s="155"/>
      <c r="J1033" s="156"/>
      <c r="N1033" s="144"/>
      <c r="O1033" s="852"/>
    </row>
    <row r="1034" spans="1:15" s="157" customFormat="1">
      <c r="A1034" s="254" t="s">
        <v>2915</v>
      </c>
      <c r="B1034" s="605" t="s">
        <v>2916</v>
      </c>
      <c r="C1034" s="152" t="s">
        <v>649</v>
      </c>
      <c r="D1034" s="572">
        <v>4</v>
      </c>
      <c r="E1034" s="144">
        <v>4.7699999999999996</v>
      </c>
      <c r="F1034" s="144">
        <f t="shared" si="106"/>
        <v>19.079999999999998</v>
      </c>
      <c r="G1034" s="153"/>
      <c r="H1034" s="154"/>
      <c r="I1034" s="155"/>
      <c r="J1034" s="156"/>
      <c r="N1034" s="144"/>
      <c r="O1034" s="852"/>
    </row>
    <row r="1035" spans="1:15" s="157" customFormat="1">
      <c r="A1035" s="254"/>
      <c r="B1035" s="605"/>
      <c r="C1035" s="152"/>
      <c r="D1035" s="572"/>
      <c r="E1035" s="144"/>
      <c r="F1035" s="144"/>
      <c r="G1035" s="153"/>
      <c r="H1035" s="154"/>
      <c r="I1035" s="155"/>
      <c r="J1035" s="156"/>
      <c r="N1035" s="144"/>
      <c r="O1035" s="852"/>
    </row>
    <row r="1036" spans="1:15" s="157" customFormat="1">
      <c r="A1036" s="254" t="s">
        <v>2917</v>
      </c>
      <c r="B1036" s="605" t="s">
        <v>2918</v>
      </c>
      <c r="C1036" s="152" t="s">
        <v>649</v>
      </c>
      <c r="D1036" s="572">
        <v>4</v>
      </c>
      <c r="E1036" s="144">
        <v>10.84</v>
      </c>
      <c r="F1036" s="144">
        <f t="shared" si="106"/>
        <v>43.36</v>
      </c>
      <c r="G1036" s="153"/>
      <c r="H1036" s="154"/>
      <c r="I1036" s="155"/>
      <c r="J1036" s="156"/>
      <c r="N1036" s="144"/>
      <c r="O1036" s="852"/>
    </row>
    <row r="1037" spans="1:15" s="157" customFormat="1">
      <c r="A1037" s="254"/>
      <c r="B1037" s="605"/>
      <c r="C1037" s="152"/>
      <c r="D1037" s="572"/>
      <c r="E1037" s="144"/>
      <c r="F1037" s="144"/>
      <c r="G1037" s="153"/>
      <c r="H1037" s="154"/>
      <c r="I1037" s="155"/>
      <c r="J1037" s="156"/>
      <c r="N1037" s="144"/>
      <c r="O1037" s="852"/>
    </row>
    <row r="1038" spans="1:15" s="157" customFormat="1">
      <c r="A1038" s="254" t="s">
        <v>2919</v>
      </c>
      <c r="B1038" s="605" t="s">
        <v>2920</v>
      </c>
      <c r="C1038" s="152" t="s">
        <v>649</v>
      </c>
      <c r="D1038" s="572">
        <v>4</v>
      </c>
      <c r="E1038" s="144">
        <v>14.38</v>
      </c>
      <c r="F1038" s="144">
        <f t="shared" si="106"/>
        <v>57.52</v>
      </c>
      <c r="G1038" s="153"/>
      <c r="H1038" s="154"/>
      <c r="I1038" s="155"/>
      <c r="J1038" s="156"/>
      <c r="N1038" s="144"/>
      <c r="O1038" s="852"/>
    </row>
    <row r="1039" spans="1:15" s="157" customFormat="1">
      <c r="A1039" s="254"/>
      <c r="B1039" s="605"/>
      <c r="C1039" s="152"/>
      <c r="D1039" s="572"/>
      <c r="E1039" s="144"/>
      <c r="F1039" s="144"/>
      <c r="G1039" s="153"/>
      <c r="H1039" s="154"/>
      <c r="I1039" s="155"/>
      <c r="J1039" s="156"/>
      <c r="N1039" s="144"/>
      <c r="O1039" s="852"/>
    </row>
    <row r="1040" spans="1:15" s="157" customFormat="1">
      <c r="A1040" s="254" t="s">
        <v>2921</v>
      </c>
      <c r="B1040" s="605" t="s">
        <v>2922</v>
      </c>
      <c r="C1040" s="152" t="s">
        <v>649</v>
      </c>
      <c r="D1040" s="572">
        <v>2</v>
      </c>
      <c r="E1040" s="144">
        <v>20.78</v>
      </c>
      <c r="F1040" s="144">
        <f t="shared" si="106"/>
        <v>41.56</v>
      </c>
      <c r="G1040" s="153"/>
      <c r="H1040" s="154"/>
      <c r="I1040" s="155"/>
      <c r="J1040" s="156"/>
      <c r="N1040" s="144"/>
      <c r="O1040" s="852"/>
    </row>
    <row r="1041" spans="1:15" s="157" customFormat="1">
      <c r="A1041" s="254"/>
      <c r="B1041" s="605"/>
      <c r="C1041" s="152"/>
      <c r="D1041" s="572"/>
      <c r="E1041" s="144"/>
      <c r="F1041" s="144"/>
      <c r="G1041" s="153"/>
      <c r="H1041" s="154"/>
      <c r="I1041" s="155"/>
      <c r="J1041" s="156"/>
      <c r="N1041" s="144"/>
      <c r="O1041" s="852"/>
    </row>
    <row r="1042" spans="1:15" s="157" customFormat="1">
      <c r="A1042" s="254" t="s">
        <v>2923</v>
      </c>
      <c r="B1042" s="605" t="s">
        <v>2924</v>
      </c>
      <c r="C1042" s="152" t="s">
        <v>649</v>
      </c>
      <c r="D1042" s="572">
        <v>2</v>
      </c>
      <c r="E1042" s="144">
        <v>60.29</v>
      </c>
      <c r="F1042" s="144">
        <f t="shared" si="106"/>
        <v>120.58</v>
      </c>
      <c r="G1042" s="153"/>
      <c r="H1042" s="154"/>
      <c r="I1042" s="155"/>
      <c r="J1042" s="156"/>
      <c r="N1042" s="144"/>
      <c r="O1042" s="852"/>
    </row>
    <row r="1043" spans="1:15" s="157" customFormat="1">
      <c r="A1043" s="254"/>
      <c r="B1043" s="605"/>
      <c r="C1043" s="152"/>
      <c r="D1043" s="572"/>
      <c r="E1043" s="144"/>
      <c r="F1043" s="144"/>
      <c r="G1043" s="153"/>
      <c r="H1043" s="154"/>
      <c r="I1043" s="155"/>
      <c r="J1043" s="156"/>
      <c r="N1043" s="144"/>
      <c r="O1043" s="852"/>
    </row>
    <row r="1044" spans="1:15" s="157" customFormat="1">
      <c r="A1044" s="254" t="s">
        <v>2925</v>
      </c>
      <c r="B1044" s="605" t="s">
        <v>2926</v>
      </c>
      <c r="C1044" s="152" t="s">
        <v>649</v>
      </c>
      <c r="D1044" s="572">
        <v>2</v>
      </c>
      <c r="E1044" s="144">
        <v>81.39</v>
      </c>
      <c r="F1044" s="144">
        <f t="shared" si="106"/>
        <v>162.78</v>
      </c>
      <c r="G1044" s="153"/>
      <c r="H1044" s="154"/>
      <c r="I1044" s="155"/>
      <c r="J1044" s="156"/>
      <c r="N1044" s="144"/>
      <c r="O1044" s="852"/>
    </row>
    <row r="1045" spans="1:15" s="157" customFormat="1">
      <c r="A1045" s="254"/>
      <c r="B1045" s="605"/>
      <c r="C1045" s="152"/>
      <c r="D1045" s="572"/>
      <c r="E1045" s="144"/>
      <c r="F1045" s="144"/>
      <c r="G1045" s="153"/>
      <c r="H1045" s="154"/>
      <c r="I1045" s="155"/>
      <c r="J1045" s="156"/>
      <c r="N1045" s="144"/>
      <c r="O1045" s="852"/>
    </row>
    <row r="1046" spans="1:15" s="157" customFormat="1">
      <c r="A1046" s="254" t="s">
        <v>2927</v>
      </c>
      <c r="B1046" s="605" t="s">
        <v>2928</v>
      </c>
      <c r="C1046" s="152" t="s">
        <v>649</v>
      </c>
      <c r="D1046" s="572">
        <v>3</v>
      </c>
      <c r="E1046" s="144">
        <v>20.45</v>
      </c>
      <c r="F1046" s="144">
        <f t="shared" si="106"/>
        <v>61.349999999999994</v>
      </c>
      <c r="G1046" s="153"/>
      <c r="H1046" s="154"/>
      <c r="I1046" s="155"/>
      <c r="J1046" s="156"/>
      <c r="N1046" s="144"/>
      <c r="O1046" s="852"/>
    </row>
    <row r="1047" spans="1:15" s="157" customFormat="1">
      <c r="A1047" s="254"/>
      <c r="B1047" s="605"/>
      <c r="C1047" s="152"/>
      <c r="D1047" s="572"/>
      <c r="E1047" s="144"/>
      <c r="F1047" s="144"/>
      <c r="G1047" s="153"/>
      <c r="H1047" s="154"/>
      <c r="I1047" s="155"/>
      <c r="J1047" s="156"/>
      <c r="N1047" s="144"/>
      <c r="O1047" s="852"/>
    </row>
    <row r="1048" spans="1:15" s="157" customFormat="1">
      <c r="A1048" s="254" t="s">
        <v>2929</v>
      </c>
      <c r="B1048" s="605" t="s">
        <v>2930</v>
      </c>
      <c r="C1048" s="152" t="s">
        <v>649</v>
      </c>
      <c r="D1048" s="572">
        <v>3</v>
      </c>
      <c r="E1048" s="144">
        <v>28.01</v>
      </c>
      <c r="F1048" s="144">
        <f t="shared" si="106"/>
        <v>84.03</v>
      </c>
      <c r="G1048" s="153"/>
      <c r="H1048" s="154"/>
      <c r="I1048" s="155"/>
      <c r="J1048" s="156"/>
      <c r="N1048" s="144"/>
      <c r="O1048" s="852"/>
    </row>
    <row r="1049" spans="1:15" s="157" customFormat="1">
      <c r="A1049" s="254"/>
      <c r="B1049" s="605"/>
      <c r="C1049" s="152"/>
      <c r="D1049" s="572"/>
      <c r="E1049" s="144"/>
      <c r="F1049" s="144"/>
      <c r="G1049" s="153"/>
      <c r="H1049" s="154"/>
      <c r="I1049" s="155"/>
      <c r="J1049" s="156"/>
      <c r="N1049" s="144"/>
      <c r="O1049" s="852"/>
    </row>
    <row r="1050" spans="1:15" s="157" customFormat="1">
      <c r="A1050" s="254" t="s">
        <v>2931</v>
      </c>
      <c r="B1050" s="605" t="s">
        <v>2932</v>
      </c>
      <c r="C1050" s="152" t="s">
        <v>649</v>
      </c>
      <c r="D1050" s="572">
        <v>3</v>
      </c>
      <c r="E1050" s="144">
        <v>51.94</v>
      </c>
      <c r="F1050" s="144">
        <f t="shared" si="106"/>
        <v>155.82</v>
      </c>
      <c r="G1050" s="153"/>
      <c r="H1050" s="154"/>
      <c r="I1050" s="155"/>
      <c r="J1050" s="156"/>
      <c r="N1050" s="144"/>
      <c r="O1050" s="852"/>
    </row>
    <row r="1051" spans="1:15" s="157" customFormat="1">
      <c r="A1051" s="254"/>
      <c r="B1051" s="605"/>
      <c r="C1051" s="152"/>
      <c r="D1051" s="572"/>
      <c r="E1051" s="144"/>
      <c r="F1051" s="144"/>
      <c r="G1051" s="153"/>
      <c r="H1051" s="154"/>
      <c r="I1051" s="155"/>
      <c r="J1051" s="156"/>
      <c r="N1051" s="144"/>
      <c r="O1051" s="852"/>
    </row>
    <row r="1052" spans="1:15" s="157" customFormat="1">
      <c r="A1052" s="254" t="s">
        <v>2933</v>
      </c>
      <c r="B1052" s="605" t="s">
        <v>2934</v>
      </c>
      <c r="C1052" s="152" t="s">
        <v>649</v>
      </c>
      <c r="D1052" s="572">
        <v>12</v>
      </c>
      <c r="E1052" s="144">
        <v>23.68</v>
      </c>
      <c r="F1052" s="144">
        <f t="shared" si="106"/>
        <v>284.15999999999997</v>
      </c>
      <c r="G1052" s="153"/>
      <c r="H1052" s="154"/>
      <c r="I1052" s="155"/>
      <c r="J1052" s="156"/>
      <c r="N1052" s="144"/>
      <c r="O1052" s="852"/>
    </row>
    <row r="1053" spans="1:15" s="157" customFormat="1">
      <c r="A1053" s="254"/>
      <c r="B1053" s="605"/>
      <c r="C1053" s="152"/>
      <c r="D1053" s="572"/>
      <c r="E1053" s="144"/>
      <c r="F1053" s="144"/>
      <c r="G1053" s="153"/>
      <c r="H1053" s="154"/>
      <c r="I1053" s="155"/>
      <c r="J1053" s="156"/>
      <c r="N1053" s="144"/>
      <c r="O1053" s="852"/>
    </row>
    <row r="1054" spans="1:15" s="157" customFormat="1">
      <c r="A1054" s="254" t="s">
        <v>2935</v>
      </c>
      <c r="B1054" s="605" t="s">
        <v>2936</v>
      </c>
      <c r="C1054" s="152" t="s">
        <v>649</v>
      </c>
      <c r="D1054" s="572">
        <v>2</v>
      </c>
      <c r="E1054" s="144">
        <v>22.75</v>
      </c>
      <c r="F1054" s="144">
        <f t="shared" si="106"/>
        <v>45.5</v>
      </c>
      <c r="G1054" s="153"/>
      <c r="H1054" s="154"/>
      <c r="I1054" s="155"/>
      <c r="J1054" s="156"/>
      <c r="N1054" s="144"/>
      <c r="O1054" s="852"/>
    </row>
    <row r="1055" spans="1:15" s="157" customFormat="1">
      <c r="A1055" s="254"/>
      <c r="B1055" s="605"/>
      <c r="C1055" s="152"/>
      <c r="D1055" s="572"/>
      <c r="E1055" s="144"/>
      <c r="F1055" s="144"/>
      <c r="G1055" s="153"/>
      <c r="H1055" s="154"/>
      <c r="I1055" s="155"/>
      <c r="J1055" s="156"/>
      <c r="N1055" s="144"/>
      <c r="O1055" s="852"/>
    </row>
    <row r="1056" spans="1:15" s="157" customFormat="1">
      <c r="A1056" s="254" t="s">
        <v>2937</v>
      </c>
      <c r="B1056" s="605" t="s">
        <v>2938</v>
      </c>
      <c r="C1056" s="152" t="s">
        <v>649</v>
      </c>
      <c r="D1056" s="572">
        <v>5</v>
      </c>
      <c r="E1056" s="144">
        <v>8.4</v>
      </c>
      <c r="F1056" s="144">
        <f t="shared" si="106"/>
        <v>42</v>
      </c>
      <c r="G1056" s="153"/>
      <c r="H1056" s="154"/>
      <c r="I1056" s="155"/>
      <c r="J1056" s="156"/>
      <c r="N1056" s="144"/>
      <c r="O1056" s="852"/>
    </row>
    <row r="1057" spans="1:15" s="157" customFormat="1">
      <c r="A1057" s="254"/>
      <c r="B1057" s="605"/>
      <c r="C1057" s="152"/>
      <c r="D1057" s="572"/>
      <c r="E1057" s="144"/>
      <c r="F1057" s="144"/>
      <c r="G1057" s="153"/>
      <c r="H1057" s="154"/>
      <c r="I1057" s="155"/>
      <c r="J1057" s="156"/>
      <c r="N1057" s="144"/>
      <c r="O1057" s="852"/>
    </row>
    <row r="1058" spans="1:15" s="157" customFormat="1">
      <c r="A1058" s="254" t="s">
        <v>2939</v>
      </c>
      <c r="B1058" s="605" t="s">
        <v>2940</v>
      </c>
      <c r="C1058" s="152" t="s">
        <v>649</v>
      </c>
      <c r="D1058" s="572">
        <v>5</v>
      </c>
      <c r="E1058" s="144">
        <v>11.98</v>
      </c>
      <c r="F1058" s="144">
        <f t="shared" si="106"/>
        <v>59.900000000000006</v>
      </c>
      <c r="G1058" s="153"/>
      <c r="H1058" s="154"/>
      <c r="I1058" s="155"/>
      <c r="J1058" s="156"/>
      <c r="N1058" s="144"/>
      <c r="O1058" s="852"/>
    </row>
    <row r="1059" spans="1:15" s="157" customFormat="1">
      <c r="A1059" s="254"/>
      <c r="B1059" s="605"/>
      <c r="C1059" s="152"/>
      <c r="D1059" s="572"/>
      <c r="E1059" s="144"/>
      <c r="F1059" s="144"/>
      <c r="G1059" s="153"/>
      <c r="H1059" s="154"/>
      <c r="I1059" s="155"/>
      <c r="J1059" s="156"/>
      <c r="N1059" s="144"/>
      <c r="O1059" s="852"/>
    </row>
    <row r="1060" spans="1:15" s="157" customFormat="1">
      <c r="A1060" s="254" t="s">
        <v>2941</v>
      </c>
      <c r="B1060" s="605" t="s">
        <v>2942</v>
      </c>
      <c r="C1060" s="152" t="s">
        <v>649</v>
      </c>
      <c r="D1060" s="572">
        <v>4</v>
      </c>
      <c r="E1060" s="144">
        <v>6.36</v>
      </c>
      <c r="F1060" s="144">
        <f t="shared" si="106"/>
        <v>25.44</v>
      </c>
      <c r="G1060" s="153"/>
      <c r="H1060" s="154"/>
      <c r="I1060" s="155"/>
      <c r="J1060" s="156"/>
      <c r="N1060" s="144"/>
      <c r="O1060" s="852"/>
    </row>
    <row r="1061" spans="1:15" s="157" customFormat="1">
      <c r="A1061" s="254"/>
      <c r="B1061" s="605"/>
      <c r="C1061" s="152"/>
      <c r="D1061" s="572"/>
      <c r="E1061" s="144"/>
      <c r="F1061" s="144"/>
      <c r="G1061" s="153"/>
      <c r="H1061" s="154"/>
      <c r="I1061" s="155"/>
      <c r="J1061" s="156"/>
      <c r="N1061" s="144"/>
      <c r="O1061" s="852"/>
    </row>
    <row r="1062" spans="1:15" s="157" customFormat="1">
      <c r="A1062" s="254" t="s">
        <v>2943</v>
      </c>
      <c r="B1062" s="605" t="s">
        <v>2944</v>
      </c>
      <c r="C1062" s="152" t="s">
        <v>649</v>
      </c>
      <c r="D1062" s="572">
        <v>3</v>
      </c>
      <c r="E1062" s="144">
        <v>9.0500000000000007</v>
      </c>
      <c r="F1062" s="144">
        <f t="shared" si="106"/>
        <v>27.150000000000002</v>
      </c>
      <c r="G1062" s="153"/>
      <c r="H1062" s="154"/>
      <c r="I1062" s="155"/>
      <c r="J1062" s="156"/>
      <c r="N1062" s="144"/>
      <c r="O1062" s="852"/>
    </row>
    <row r="1063" spans="1:15" s="157" customFormat="1">
      <c r="A1063" s="254"/>
      <c r="B1063" s="605"/>
      <c r="C1063" s="152"/>
      <c r="D1063" s="572"/>
      <c r="E1063" s="144"/>
      <c r="F1063" s="144"/>
      <c r="G1063" s="153"/>
      <c r="H1063" s="154"/>
      <c r="I1063" s="155"/>
      <c r="J1063" s="156"/>
      <c r="N1063" s="144"/>
      <c r="O1063" s="852"/>
    </row>
    <row r="1064" spans="1:15" s="157" customFormat="1">
      <c r="A1064" s="254" t="s">
        <v>2945</v>
      </c>
      <c r="B1064" s="605" t="s">
        <v>2946</v>
      </c>
      <c r="C1064" s="152" t="s">
        <v>649</v>
      </c>
      <c r="D1064" s="572">
        <v>2</v>
      </c>
      <c r="E1064" s="144">
        <v>10.67</v>
      </c>
      <c r="F1064" s="144">
        <f t="shared" si="106"/>
        <v>21.34</v>
      </c>
      <c r="G1064" s="153"/>
      <c r="H1064" s="154"/>
      <c r="I1064" s="155"/>
      <c r="J1064" s="156"/>
      <c r="N1064" s="144"/>
      <c r="O1064" s="852"/>
    </row>
    <row r="1065" spans="1:15" s="157" customFormat="1">
      <c r="A1065" s="254"/>
      <c r="B1065" s="605"/>
      <c r="C1065" s="152"/>
      <c r="D1065" s="572"/>
      <c r="E1065" s="144"/>
      <c r="F1065" s="144"/>
      <c r="G1065" s="153"/>
      <c r="H1065" s="154"/>
      <c r="I1065" s="155"/>
      <c r="J1065" s="156"/>
      <c r="N1065" s="144"/>
      <c r="O1065" s="852"/>
    </row>
    <row r="1066" spans="1:15" s="157" customFormat="1">
      <c r="A1066" s="254" t="s">
        <v>2947</v>
      </c>
      <c r="B1066" s="605" t="s">
        <v>2948</v>
      </c>
      <c r="C1066" s="152" t="s">
        <v>649</v>
      </c>
      <c r="D1066" s="572">
        <v>2</v>
      </c>
      <c r="E1066" s="144">
        <v>25.62</v>
      </c>
      <c r="F1066" s="144">
        <f t="shared" si="106"/>
        <v>51.24</v>
      </c>
      <c r="G1066" s="153"/>
      <c r="H1066" s="154"/>
      <c r="I1066" s="155"/>
      <c r="J1066" s="156"/>
      <c r="N1066" s="144"/>
      <c r="O1066" s="852"/>
    </row>
    <row r="1067" spans="1:15" s="157" customFormat="1">
      <c r="A1067" s="254"/>
      <c r="B1067" s="605"/>
      <c r="C1067" s="152"/>
      <c r="D1067" s="572"/>
      <c r="E1067" s="144"/>
      <c r="F1067" s="144"/>
      <c r="G1067" s="153"/>
      <c r="H1067" s="154"/>
      <c r="I1067" s="155"/>
      <c r="J1067" s="156"/>
      <c r="N1067" s="144"/>
      <c r="O1067" s="852"/>
    </row>
    <row r="1068" spans="1:15" s="157" customFormat="1">
      <c r="A1068" s="254" t="s">
        <v>2949</v>
      </c>
      <c r="B1068" s="605" t="s">
        <v>2950</v>
      </c>
      <c r="C1068" s="152" t="s">
        <v>649</v>
      </c>
      <c r="D1068" s="572">
        <v>1</v>
      </c>
      <c r="E1068" s="144">
        <v>24.27</v>
      </c>
      <c r="F1068" s="144">
        <f t="shared" si="106"/>
        <v>24.27</v>
      </c>
      <c r="G1068" s="153"/>
      <c r="H1068" s="154"/>
      <c r="I1068" s="155"/>
      <c r="J1068" s="156"/>
      <c r="N1068" s="144"/>
      <c r="O1068" s="852"/>
    </row>
    <row r="1069" spans="1:15" s="157" customFormat="1">
      <c r="A1069" s="254"/>
      <c r="B1069" s="605"/>
      <c r="C1069" s="152"/>
      <c r="D1069" s="572"/>
      <c r="E1069" s="144"/>
      <c r="F1069" s="144"/>
      <c r="G1069" s="153"/>
      <c r="H1069" s="154"/>
      <c r="I1069" s="155"/>
      <c r="J1069" s="156"/>
      <c r="N1069" s="144"/>
      <c r="O1069" s="852"/>
    </row>
    <row r="1070" spans="1:15" s="157" customFormat="1">
      <c r="A1070" s="254" t="s">
        <v>2951</v>
      </c>
      <c r="B1070" s="605" t="s">
        <v>2952</v>
      </c>
      <c r="C1070" s="152" t="s">
        <v>649</v>
      </c>
      <c r="D1070" s="572">
        <v>2</v>
      </c>
      <c r="E1070" s="144">
        <v>32.39</v>
      </c>
      <c r="F1070" s="144">
        <f t="shared" si="106"/>
        <v>64.78</v>
      </c>
      <c r="G1070" s="153"/>
      <c r="H1070" s="154"/>
      <c r="I1070" s="155"/>
      <c r="J1070" s="156"/>
      <c r="N1070" s="144"/>
      <c r="O1070" s="852"/>
    </row>
    <row r="1071" spans="1:15" s="157" customFormat="1">
      <c r="A1071" s="254"/>
      <c r="B1071" s="605"/>
      <c r="C1071" s="152"/>
      <c r="D1071" s="572"/>
      <c r="E1071" s="144"/>
      <c r="F1071" s="144"/>
      <c r="G1071" s="153"/>
      <c r="H1071" s="154"/>
      <c r="I1071" s="155"/>
      <c r="J1071" s="156"/>
      <c r="N1071" s="144"/>
      <c r="O1071" s="852"/>
    </row>
    <row r="1072" spans="1:15" s="157" customFormat="1">
      <c r="A1072" s="254" t="s">
        <v>2953</v>
      </c>
      <c r="B1072" s="605" t="s">
        <v>2954</v>
      </c>
      <c r="C1072" s="152" t="s">
        <v>649</v>
      </c>
      <c r="D1072" s="572">
        <v>2</v>
      </c>
      <c r="E1072" s="144">
        <v>28.53</v>
      </c>
      <c r="F1072" s="144">
        <f t="shared" si="106"/>
        <v>57.06</v>
      </c>
      <c r="G1072" s="153"/>
      <c r="H1072" s="154"/>
      <c r="I1072" s="155"/>
      <c r="J1072" s="156"/>
      <c r="N1072" s="144"/>
      <c r="O1072" s="852"/>
    </row>
    <row r="1073" spans="1:15" s="157" customFormat="1">
      <c r="A1073" s="254"/>
      <c r="B1073" s="605"/>
      <c r="C1073" s="152"/>
      <c r="D1073" s="572"/>
      <c r="E1073" s="144"/>
      <c r="F1073" s="144"/>
      <c r="G1073" s="153"/>
      <c r="H1073" s="154"/>
      <c r="I1073" s="155"/>
      <c r="J1073" s="156"/>
      <c r="N1073" s="144"/>
      <c r="O1073" s="852"/>
    </row>
    <row r="1074" spans="1:15" s="157" customFormat="1">
      <c r="A1074" s="254" t="s">
        <v>2955</v>
      </c>
      <c r="B1074" s="605" t="s">
        <v>2956</v>
      </c>
      <c r="C1074" s="152" t="s">
        <v>649</v>
      </c>
      <c r="D1074" s="572">
        <v>3</v>
      </c>
      <c r="E1074" s="144">
        <v>3.23</v>
      </c>
      <c r="F1074" s="144">
        <f t="shared" si="106"/>
        <v>9.69</v>
      </c>
      <c r="G1074" s="153"/>
      <c r="H1074" s="154"/>
      <c r="I1074" s="155"/>
      <c r="J1074" s="156"/>
      <c r="N1074" s="144"/>
      <c r="O1074" s="852"/>
    </row>
    <row r="1075" spans="1:15" s="157" customFormat="1">
      <c r="A1075" s="254"/>
      <c r="B1075" s="605"/>
      <c r="C1075" s="152"/>
      <c r="D1075" s="572"/>
      <c r="E1075" s="144"/>
      <c r="F1075" s="144"/>
      <c r="G1075" s="153"/>
      <c r="H1075" s="154"/>
      <c r="I1075" s="155"/>
      <c r="J1075" s="156"/>
      <c r="N1075" s="144"/>
      <c r="O1075" s="852"/>
    </row>
    <row r="1076" spans="1:15" s="157" customFormat="1">
      <c r="A1076" s="254" t="s">
        <v>2957</v>
      </c>
      <c r="B1076" s="605" t="s">
        <v>2958</v>
      </c>
      <c r="C1076" s="152" t="s">
        <v>649</v>
      </c>
      <c r="D1076" s="572">
        <v>3</v>
      </c>
      <c r="E1076" s="144">
        <v>5.39</v>
      </c>
      <c r="F1076" s="144">
        <f t="shared" si="106"/>
        <v>16.169999999999998</v>
      </c>
      <c r="G1076" s="153"/>
      <c r="H1076" s="154"/>
      <c r="I1076" s="155"/>
      <c r="J1076" s="156"/>
      <c r="N1076" s="144"/>
      <c r="O1076" s="852"/>
    </row>
    <row r="1077" spans="1:15" s="157" customFormat="1">
      <c r="A1077" s="254"/>
      <c r="B1077" s="605"/>
      <c r="C1077" s="152"/>
      <c r="D1077" s="572"/>
      <c r="E1077" s="144"/>
      <c r="F1077" s="144"/>
      <c r="G1077" s="153"/>
      <c r="H1077" s="154"/>
      <c r="I1077" s="155"/>
      <c r="J1077" s="156"/>
      <c r="N1077" s="144"/>
      <c r="O1077" s="852"/>
    </row>
    <row r="1078" spans="1:15" s="157" customFormat="1">
      <c r="A1078" s="254" t="s">
        <v>2959</v>
      </c>
      <c r="B1078" s="605" t="s">
        <v>2960</v>
      </c>
      <c r="C1078" s="152" t="s">
        <v>649</v>
      </c>
      <c r="D1078" s="572">
        <v>2</v>
      </c>
      <c r="E1078" s="144">
        <v>26.38</v>
      </c>
      <c r="F1078" s="144">
        <f t="shared" si="106"/>
        <v>52.76</v>
      </c>
      <c r="G1078" s="153"/>
      <c r="H1078" s="154"/>
      <c r="I1078" s="155"/>
      <c r="J1078" s="156"/>
      <c r="N1078" s="144"/>
      <c r="O1078" s="852"/>
    </row>
    <row r="1079" spans="1:15" s="157" customFormat="1">
      <c r="A1079" s="254"/>
      <c r="B1079" s="605"/>
      <c r="C1079" s="152"/>
      <c r="D1079" s="572"/>
      <c r="E1079" s="144"/>
      <c r="F1079" s="144"/>
      <c r="G1079" s="153"/>
      <c r="H1079" s="154"/>
      <c r="I1079" s="155"/>
      <c r="J1079" s="156"/>
      <c r="N1079" s="144"/>
      <c r="O1079" s="852"/>
    </row>
    <row r="1080" spans="1:15" s="157" customFormat="1">
      <c r="A1080" s="254" t="s">
        <v>2961</v>
      </c>
      <c r="B1080" s="605" t="s">
        <v>2962</v>
      </c>
      <c r="C1080" s="152" t="s">
        <v>649</v>
      </c>
      <c r="D1080" s="572">
        <v>2</v>
      </c>
      <c r="E1080" s="144">
        <v>6.47</v>
      </c>
      <c r="F1080" s="144">
        <f t="shared" si="106"/>
        <v>12.94</v>
      </c>
      <c r="G1080" s="153"/>
      <c r="H1080" s="154"/>
      <c r="I1080" s="155"/>
      <c r="J1080" s="156"/>
      <c r="N1080" s="144"/>
      <c r="O1080" s="852"/>
    </row>
    <row r="1081" spans="1:15" s="157" customFormat="1">
      <c r="A1081" s="254"/>
      <c r="B1081" s="605"/>
      <c r="C1081" s="152"/>
      <c r="D1081" s="572"/>
      <c r="E1081" s="144"/>
      <c r="F1081" s="144"/>
      <c r="G1081" s="153"/>
      <c r="H1081" s="154"/>
      <c r="I1081" s="155"/>
      <c r="J1081" s="156"/>
      <c r="N1081" s="144"/>
      <c r="O1081" s="852"/>
    </row>
    <row r="1082" spans="1:15" s="157" customFormat="1">
      <c r="A1082" s="254" t="s">
        <v>2963</v>
      </c>
      <c r="B1082" s="605" t="s">
        <v>2964</v>
      </c>
      <c r="C1082" s="152" t="s">
        <v>649</v>
      </c>
      <c r="D1082" s="572">
        <v>4</v>
      </c>
      <c r="E1082" s="144">
        <v>5.71</v>
      </c>
      <c r="F1082" s="144">
        <f t="shared" si="106"/>
        <v>22.84</v>
      </c>
      <c r="G1082" s="153"/>
      <c r="H1082" s="154"/>
      <c r="I1082" s="155"/>
      <c r="J1082" s="156"/>
      <c r="N1082" s="144"/>
      <c r="O1082" s="852"/>
    </row>
    <row r="1083" spans="1:15" s="157" customFormat="1">
      <c r="A1083" s="254"/>
      <c r="B1083" s="605"/>
      <c r="C1083" s="152"/>
      <c r="D1083" s="572"/>
      <c r="E1083" s="144"/>
      <c r="F1083" s="144"/>
      <c r="G1083" s="153"/>
      <c r="H1083" s="154"/>
      <c r="I1083" s="155"/>
      <c r="J1083" s="156"/>
      <c r="N1083" s="144"/>
      <c r="O1083" s="852"/>
    </row>
    <row r="1084" spans="1:15" s="157" customFormat="1">
      <c r="A1084" s="254" t="s">
        <v>2965</v>
      </c>
      <c r="B1084" s="605" t="s">
        <v>2966</v>
      </c>
      <c r="C1084" s="152" t="s">
        <v>649</v>
      </c>
      <c r="D1084" s="572">
        <v>3</v>
      </c>
      <c r="E1084" s="144">
        <v>9.69</v>
      </c>
      <c r="F1084" s="144">
        <f t="shared" ref="F1084:F1132" si="107">IF((D1084*E1084)=0,"",(D1084*E1084))</f>
        <v>29.07</v>
      </c>
      <c r="G1084" s="153"/>
      <c r="H1084" s="154"/>
      <c r="I1084" s="155"/>
      <c r="J1084" s="156"/>
      <c r="N1084" s="144"/>
      <c r="O1084" s="852"/>
    </row>
    <row r="1085" spans="1:15" s="157" customFormat="1">
      <c r="A1085" s="254"/>
      <c r="B1085" s="605"/>
      <c r="C1085" s="152"/>
      <c r="D1085" s="572"/>
      <c r="E1085" s="144"/>
      <c r="F1085" s="144"/>
      <c r="G1085" s="153"/>
      <c r="H1085" s="154"/>
      <c r="I1085" s="155"/>
      <c r="J1085" s="156"/>
      <c r="N1085" s="144"/>
      <c r="O1085" s="852"/>
    </row>
    <row r="1086" spans="1:15" s="157" customFormat="1">
      <c r="A1086" s="254" t="s">
        <v>2967</v>
      </c>
      <c r="B1086" s="605" t="s">
        <v>2968</v>
      </c>
      <c r="C1086" s="152" t="s">
        <v>649</v>
      </c>
      <c r="D1086" s="572">
        <v>3</v>
      </c>
      <c r="E1086" s="144">
        <v>13.24</v>
      </c>
      <c r="F1086" s="144">
        <f t="shared" si="107"/>
        <v>39.72</v>
      </c>
      <c r="G1086" s="153"/>
      <c r="H1086" s="154"/>
      <c r="I1086" s="155"/>
      <c r="J1086" s="156"/>
      <c r="N1086" s="144"/>
      <c r="O1086" s="852"/>
    </row>
    <row r="1087" spans="1:15" s="157" customFormat="1">
      <c r="A1087" s="254"/>
      <c r="B1087" s="605"/>
      <c r="C1087" s="152"/>
      <c r="D1087" s="572"/>
      <c r="E1087" s="144"/>
      <c r="F1087" s="144"/>
      <c r="G1087" s="153"/>
      <c r="H1087" s="154"/>
      <c r="I1087" s="155"/>
      <c r="J1087" s="156"/>
      <c r="N1087" s="144"/>
      <c r="O1087" s="852"/>
    </row>
    <row r="1088" spans="1:15" s="157" customFormat="1">
      <c r="A1088" s="254" t="s">
        <v>2969</v>
      </c>
      <c r="B1088" s="605" t="s">
        <v>2970</v>
      </c>
      <c r="C1088" s="152" t="s">
        <v>649</v>
      </c>
      <c r="D1088" s="572">
        <v>2</v>
      </c>
      <c r="E1088" s="144">
        <v>7.86</v>
      </c>
      <c r="F1088" s="144">
        <f t="shared" si="107"/>
        <v>15.72</v>
      </c>
      <c r="G1088" s="153"/>
      <c r="H1088" s="154"/>
      <c r="I1088" s="155"/>
      <c r="J1088" s="156"/>
      <c r="N1088" s="144"/>
      <c r="O1088" s="852"/>
    </row>
    <row r="1089" spans="1:15" s="157" customFormat="1">
      <c r="A1089" s="254"/>
      <c r="B1089" s="605"/>
      <c r="C1089" s="152"/>
      <c r="D1089" s="572"/>
      <c r="E1089" s="144"/>
      <c r="F1089" s="144"/>
      <c r="G1089" s="153"/>
      <c r="H1089" s="154"/>
      <c r="I1089" s="155"/>
      <c r="J1089" s="156"/>
      <c r="N1089" s="144"/>
      <c r="O1089" s="852"/>
    </row>
    <row r="1090" spans="1:15" s="157" customFormat="1">
      <c r="A1090" s="254" t="s">
        <v>2971</v>
      </c>
      <c r="B1090" s="605" t="s">
        <v>2972</v>
      </c>
      <c r="C1090" s="152" t="s">
        <v>649</v>
      </c>
      <c r="D1090" s="572">
        <v>6</v>
      </c>
      <c r="E1090" s="144">
        <v>8.07</v>
      </c>
      <c r="F1090" s="144">
        <f t="shared" si="107"/>
        <v>48.42</v>
      </c>
      <c r="G1090" s="153"/>
      <c r="H1090" s="154"/>
      <c r="I1090" s="155"/>
      <c r="J1090" s="156"/>
      <c r="N1090" s="144"/>
      <c r="O1090" s="852"/>
    </row>
    <row r="1091" spans="1:15" s="157" customFormat="1">
      <c r="A1091" s="254"/>
      <c r="B1091" s="605"/>
      <c r="C1091" s="152"/>
      <c r="D1091" s="572"/>
      <c r="E1091" s="144"/>
      <c r="F1091" s="144"/>
      <c r="G1091" s="153"/>
      <c r="H1091" s="154"/>
      <c r="I1091" s="155"/>
      <c r="J1091" s="156"/>
      <c r="N1091" s="144"/>
      <c r="O1091" s="852"/>
    </row>
    <row r="1092" spans="1:15" s="157" customFormat="1">
      <c r="A1092" s="254" t="s">
        <v>2973</v>
      </c>
      <c r="B1092" s="605" t="s">
        <v>2974</v>
      </c>
      <c r="C1092" s="152" t="s">
        <v>649</v>
      </c>
      <c r="D1092" s="572">
        <v>6</v>
      </c>
      <c r="E1092" s="144">
        <v>3.55</v>
      </c>
      <c r="F1092" s="144">
        <f t="shared" si="107"/>
        <v>21.299999999999997</v>
      </c>
      <c r="G1092" s="153"/>
      <c r="H1092" s="154"/>
      <c r="I1092" s="155"/>
      <c r="J1092" s="156"/>
      <c r="N1092" s="144"/>
      <c r="O1092" s="852"/>
    </row>
    <row r="1093" spans="1:15" s="157" customFormat="1">
      <c r="A1093" s="254"/>
      <c r="B1093" s="605"/>
      <c r="C1093" s="152"/>
      <c r="D1093" s="572"/>
      <c r="E1093" s="144"/>
      <c r="F1093" s="144"/>
      <c r="G1093" s="153"/>
      <c r="H1093" s="154"/>
      <c r="I1093" s="155"/>
      <c r="J1093" s="156"/>
      <c r="N1093" s="144"/>
      <c r="O1093" s="852"/>
    </row>
    <row r="1094" spans="1:15" s="157" customFormat="1">
      <c r="A1094" s="254" t="s">
        <v>2975</v>
      </c>
      <c r="B1094" s="605" t="s">
        <v>2976</v>
      </c>
      <c r="C1094" s="152" t="s">
        <v>649</v>
      </c>
      <c r="D1094" s="572">
        <v>6</v>
      </c>
      <c r="E1094" s="144">
        <v>4.3099999999999996</v>
      </c>
      <c r="F1094" s="144">
        <f t="shared" si="107"/>
        <v>25.86</v>
      </c>
      <c r="G1094" s="153"/>
      <c r="H1094" s="154"/>
      <c r="I1094" s="155"/>
      <c r="J1094" s="156"/>
      <c r="N1094" s="144"/>
      <c r="O1094" s="852"/>
    </row>
    <row r="1095" spans="1:15" s="157" customFormat="1">
      <c r="A1095" s="254"/>
      <c r="B1095" s="605"/>
      <c r="C1095" s="152"/>
      <c r="D1095" s="572"/>
      <c r="E1095" s="144"/>
      <c r="F1095" s="144"/>
      <c r="G1095" s="153"/>
      <c r="H1095" s="154"/>
      <c r="I1095" s="155"/>
      <c r="J1095" s="156"/>
      <c r="N1095" s="144"/>
      <c r="O1095" s="852"/>
    </row>
    <row r="1096" spans="1:15" s="157" customFormat="1">
      <c r="A1096" s="254" t="s">
        <v>2977</v>
      </c>
      <c r="B1096" s="605" t="s">
        <v>2978</v>
      </c>
      <c r="C1096" s="152" t="s">
        <v>649</v>
      </c>
      <c r="D1096" s="572">
        <v>6</v>
      </c>
      <c r="E1096" s="144">
        <v>2.85</v>
      </c>
      <c r="F1096" s="144">
        <f t="shared" si="107"/>
        <v>17.100000000000001</v>
      </c>
      <c r="G1096" s="153"/>
      <c r="H1096" s="154"/>
      <c r="I1096" s="155"/>
      <c r="J1096" s="156"/>
      <c r="N1096" s="144"/>
      <c r="O1096" s="852"/>
    </row>
    <row r="1097" spans="1:15" s="157" customFormat="1">
      <c r="A1097" s="254"/>
      <c r="B1097" s="605"/>
      <c r="C1097" s="152"/>
      <c r="D1097" s="572"/>
      <c r="E1097" s="144"/>
      <c r="F1097" s="144"/>
      <c r="G1097" s="153"/>
      <c r="H1097" s="154"/>
      <c r="I1097" s="155"/>
      <c r="J1097" s="156"/>
      <c r="N1097" s="144"/>
      <c r="O1097" s="852"/>
    </row>
    <row r="1098" spans="1:15" s="157" customFormat="1">
      <c r="A1098" s="254" t="s">
        <v>2979</v>
      </c>
      <c r="B1098" s="605" t="s">
        <v>2980</v>
      </c>
      <c r="C1098" s="152" t="s">
        <v>649</v>
      </c>
      <c r="D1098" s="572">
        <v>6</v>
      </c>
      <c r="E1098" s="144">
        <v>5.6</v>
      </c>
      <c r="F1098" s="144">
        <f t="shared" si="107"/>
        <v>33.599999999999994</v>
      </c>
      <c r="G1098" s="153"/>
      <c r="H1098" s="154"/>
      <c r="I1098" s="155"/>
      <c r="J1098" s="156"/>
      <c r="N1098" s="144"/>
      <c r="O1098" s="852"/>
    </row>
    <row r="1099" spans="1:15" s="157" customFormat="1">
      <c r="A1099" s="254"/>
      <c r="B1099" s="605"/>
      <c r="C1099" s="152"/>
      <c r="D1099" s="572"/>
      <c r="E1099" s="144"/>
      <c r="F1099" s="144"/>
      <c r="G1099" s="153"/>
      <c r="H1099" s="154"/>
      <c r="I1099" s="155"/>
      <c r="J1099" s="156"/>
      <c r="N1099" s="144"/>
      <c r="O1099" s="852"/>
    </row>
    <row r="1100" spans="1:15" s="157" customFormat="1">
      <c r="A1100" s="254" t="s">
        <v>2981</v>
      </c>
      <c r="B1100" s="605" t="s">
        <v>2982</v>
      </c>
      <c r="C1100" s="152" t="s">
        <v>649</v>
      </c>
      <c r="D1100" s="572">
        <v>10</v>
      </c>
      <c r="E1100" s="144">
        <v>3.98</v>
      </c>
      <c r="F1100" s="144">
        <f t="shared" si="107"/>
        <v>39.799999999999997</v>
      </c>
      <c r="G1100" s="153"/>
      <c r="H1100" s="154"/>
      <c r="I1100" s="155"/>
      <c r="J1100" s="156"/>
      <c r="N1100" s="144"/>
      <c r="O1100" s="852"/>
    </row>
    <row r="1101" spans="1:15" s="157" customFormat="1">
      <c r="A1101" s="254"/>
      <c r="B1101" s="605"/>
      <c r="C1101" s="152"/>
      <c r="D1101" s="572"/>
      <c r="E1101" s="144"/>
      <c r="F1101" s="144"/>
      <c r="G1101" s="153"/>
      <c r="H1101" s="154"/>
      <c r="I1101" s="155"/>
      <c r="J1101" s="156"/>
      <c r="N1101" s="144"/>
      <c r="O1101" s="852"/>
    </row>
    <row r="1102" spans="1:15" s="157" customFormat="1">
      <c r="A1102" s="254" t="s">
        <v>2983</v>
      </c>
      <c r="B1102" s="605" t="s">
        <v>2984</v>
      </c>
      <c r="C1102" s="152" t="s">
        <v>649</v>
      </c>
      <c r="D1102" s="572">
        <v>2</v>
      </c>
      <c r="E1102" s="144">
        <v>39.380000000000003</v>
      </c>
      <c r="F1102" s="144">
        <f t="shared" si="107"/>
        <v>78.760000000000005</v>
      </c>
      <c r="G1102" s="153"/>
      <c r="H1102" s="154"/>
      <c r="I1102" s="155"/>
      <c r="J1102" s="156"/>
      <c r="N1102" s="144"/>
      <c r="O1102" s="852"/>
    </row>
    <row r="1103" spans="1:15" s="157" customFormat="1">
      <c r="A1103" s="254"/>
      <c r="B1103" s="605"/>
      <c r="C1103" s="152"/>
      <c r="D1103" s="572"/>
      <c r="E1103" s="144"/>
      <c r="F1103" s="144"/>
      <c r="G1103" s="153"/>
      <c r="H1103" s="154"/>
      <c r="I1103" s="155"/>
      <c r="J1103" s="156"/>
      <c r="N1103" s="144"/>
      <c r="O1103" s="852"/>
    </row>
    <row r="1104" spans="1:15" s="157" customFormat="1">
      <c r="A1104" s="254" t="s">
        <v>2985</v>
      </c>
      <c r="B1104" s="605" t="s">
        <v>2986</v>
      </c>
      <c r="C1104" s="152" t="s">
        <v>649</v>
      </c>
      <c r="D1104" s="572">
        <v>2</v>
      </c>
      <c r="E1104" s="144">
        <v>24.84</v>
      </c>
      <c r="F1104" s="144">
        <f t="shared" si="107"/>
        <v>49.68</v>
      </c>
      <c r="G1104" s="153"/>
      <c r="H1104" s="154"/>
      <c r="I1104" s="155"/>
      <c r="J1104" s="156"/>
      <c r="N1104" s="144"/>
      <c r="O1104" s="852"/>
    </row>
    <row r="1105" spans="1:15" s="157" customFormat="1">
      <c r="A1105" s="254"/>
      <c r="B1105" s="605"/>
      <c r="C1105" s="152"/>
      <c r="D1105" s="572"/>
      <c r="E1105" s="144"/>
      <c r="F1105" s="144"/>
      <c r="G1105" s="153"/>
      <c r="H1105" s="154"/>
      <c r="I1105" s="155"/>
      <c r="J1105" s="156"/>
      <c r="N1105" s="144"/>
      <c r="O1105" s="852"/>
    </row>
    <row r="1106" spans="1:15" s="157" customFormat="1">
      <c r="A1106" s="254" t="s">
        <v>2987</v>
      </c>
      <c r="B1106" s="605" t="s">
        <v>2988</v>
      </c>
      <c r="C1106" s="152" t="s">
        <v>649</v>
      </c>
      <c r="D1106" s="572">
        <v>6</v>
      </c>
      <c r="E1106" s="144">
        <v>6.94</v>
      </c>
      <c r="F1106" s="144">
        <f t="shared" si="107"/>
        <v>41.64</v>
      </c>
      <c r="G1106" s="153"/>
      <c r="H1106" s="154"/>
      <c r="I1106" s="155"/>
      <c r="J1106" s="156"/>
      <c r="N1106" s="144"/>
      <c r="O1106" s="852"/>
    </row>
    <row r="1107" spans="1:15" s="157" customFormat="1">
      <c r="A1107" s="254"/>
      <c r="B1107" s="605"/>
      <c r="C1107" s="152"/>
      <c r="D1107" s="572"/>
      <c r="E1107" s="144"/>
      <c r="F1107" s="144"/>
      <c r="G1107" s="153"/>
      <c r="H1107" s="154"/>
      <c r="I1107" s="155"/>
      <c r="J1107" s="156"/>
      <c r="N1107" s="144"/>
      <c r="O1107" s="852"/>
    </row>
    <row r="1108" spans="1:15" s="157" customFormat="1">
      <c r="A1108" s="254" t="s">
        <v>2989</v>
      </c>
      <c r="B1108" s="605" t="s">
        <v>2990</v>
      </c>
      <c r="C1108" s="152" t="s">
        <v>649</v>
      </c>
      <c r="D1108" s="572">
        <v>3</v>
      </c>
      <c r="E1108" s="144">
        <v>23.15</v>
      </c>
      <c r="F1108" s="144">
        <f t="shared" si="107"/>
        <v>69.449999999999989</v>
      </c>
      <c r="G1108" s="153"/>
      <c r="H1108" s="154"/>
      <c r="I1108" s="155"/>
      <c r="J1108" s="156"/>
      <c r="N1108" s="144"/>
      <c r="O1108" s="852"/>
    </row>
    <row r="1109" spans="1:15" s="157" customFormat="1">
      <c r="A1109" s="254"/>
      <c r="B1109" s="605"/>
      <c r="C1109" s="152"/>
      <c r="D1109" s="572"/>
      <c r="E1109" s="144"/>
      <c r="F1109" s="144"/>
      <c r="G1109" s="153"/>
      <c r="H1109" s="154"/>
      <c r="I1109" s="155"/>
      <c r="J1109" s="156"/>
      <c r="N1109" s="144"/>
      <c r="O1109" s="852"/>
    </row>
    <row r="1110" spans="1:15" s="157" customFormat="1" ht="27.6">
      <c r="A1110" s="254" t="s">
        <v>2991</v>
      </c>
      <c r="B1110" s="605" t="s">
        <v>5439</v>
      </c>
      <c r="C1110" s="152" t="s">
        <v>649</v>
      </c>
      <c r="D1110" s="572">
        <v>200</v>
      </c>
      <c r="E1110" s="144">
        <v>0.82</v>
      </c>
      <c r="F1110" s="144">
        <f t="shared" si="107"/>
        <v>164</v>
      </c>
      <c r="G1110" s="153"/>
      <c r="H1110" s="760"/>
      <c r="I1110" s="155"/>
      <c r="J1110" s="156"/>
      <c r="N1110" s="144"/>
      <c r="O1110" s="852"/>
    </row>
    <row r="1111" spans="1:15" s="157" customFormat="1">
      <c r="A1111" s="254"/>
      <c r="B1111" s="605"/>
      <c r="C1111" s="152"/>
      <c r="D1111" s="572"/>
      <c r="E1111" s="144"/>
      <c r="F1111" s="144"/>
      <c r="G1111" s="153"/>
      <c r="H1111" s="760"/>
      <c r="I1111" s="155"/>
      <c r="J1111" s="156"/>
      <c r="N1111" s="144"/>
      <c r="O1111" s="852"/>
    </row>
    <row r="1112" spans="1:15" s="157" customFormat="1">
      <c r="A1112" s="254" t="s">
        <v>2992</v>
      </c>
      <c r="B1112" s="605" t="s">
        <v>5393</v>
      </c>
      <c r="C1112" s="152" t="s">
        <v>649</v>
      </c>
      <c r="D1112" s="572">
        <v>200</v>
      </c>
      <c r="E1112" s="144">
        <v>2.16</v>
      </c>
      <c r="F1112" s="144">
        <f t="shared" si="107"/>
        <v>432</v>
      </c>
      <c r="G1112" s="153"/>
      <c r="H1112" s="760"/>
      <c r="I1112" s="155"/>
      <c r="J1112" s="156"/>
      <c r="N1112" s="144"/>
      <c r="O1112" s="852"/>
    </row>
    <row r="1113" spans="1:15" s="157" customFormat="1">
      <c r="A1113" s="254"/>
      <c r="B1113" s="605"/>
      <c r="C1113" s="152"/>
      <c r="D1113" s="572"/>
      <c r="E1113" s="144"/>
      <c r="F1113" s="144"/>
      <c r="G1113" s="153"/>
      <c r="H1113" s="154"/>
      <c r="I1113" s="155"/>
      <c r="J1113" s="156"/>
      <c r="N1113" s="144"/>
      <c r="O1113" s="852"/>
    </row>
    <row r="1114" spans="1:15" s="157" customFormat="1">
      <c r="A1114" s="254" t="s">
        <v>2993</v>
      </c>
      <c r="B1114" s="605" t="s">
        <v>2994</v>
      </c>
      <c r="C1114" s="152" t="s">
        <v>649</v>
      </c>
      <c r="D1114" s="572">
        <v>1</v>
      </c>
      <c r="E1114" s="144">
        <v>108.52</v>
      </c>
      <c r="F1114" s="144">
        <f t="shared" si="107"/>
        <v>108.52</v>
      </c>
      <c r="G1114" s="153"/>
      <c r="H1114" s="154"/>
      <c r="I1114" s="155"/>
      <c r="J1114" s="156"/>
      <c r="N1114" s="144"/>
      <c r="O1114" s="852"/>
    </row>
    <row r="1115" spans="1:15" s="157" customFormat="1">
      <c r="A1115" s="254"/>
      <c r="B1115" s="605"/>
      <c r="C1115" s="152"/>
      <c r="D1115" s="572"/>
      <c r="E1115" s="144"/>
      <c r="F1115" s="144"/>
      <c r="G1115" s="153"/>
      <c r="H1115" s="154"/>
      <c r="I1115" s="155"/>
      <c r="J1115" s="156"/>
      <c r="N1115" s="144"/>
      <c r="O1115" s="852"/>
    </row>
    <row r="1116" spans="1:15" s="157" customFormat="1">
      <c r="A1116" s="254" t="s">
        <v>2995</v>
      </c>
      <c r="B1116" s="605" t="s">
        <v>5391</v>
      </c>
      <c r="C1116" s="152" t="s">
        <v>649</v>
      </c>
      <c r="D1116" s="572">
        <v>2</v>
      </c>
      <c r="E1116" s="144">
        <v>5.93</v>
      </c>
      <c r="F1116" s="144">
        <f t="shared" si="107"/>
        <v>11.86</v>
      </c>
      <c r="G1116" s="153"/>
      <c r="H1116" s="154"/>
      <c r="I1116" s="155"/>
      <c r="J1116" s="156"/>
      <c r="N1116" s="144"/>
      <c r="O1116" s="852"/>
    </row>
    <row r="1117" spans="1:15" s="157" customFormat="1">
      <c r="A1117" s="254"/>
      <c r="B1117" s="605"/>
      <c r="C1117" s="152"/>
      <c r="D1117" s="572"/>
      <c r="E1117" s="144"/>
      <c r="F1117" s="144"/>
      <c r="G1117" s="153"/>
      <c r="H1117" s="154"/>
      <c r="I1117" s="155"/>
      <c r="J1117" s="156"/>
      <c r="N1117" s="144"/>
      <c r="O1117" s="852"/>
    </row>
    <row r="1118" spans="1:15" s="157" customFormat="1">
      <c r="A1118" s="254" t="s">
        <v>2996</v>
      </c>
      <c r="B1118" s="605" t="s">
        <v>5392</v>
      </c>
      <c r="C1118" s="152" t="s">
        <v>649</v>
      </c>
      <c r="D1118" s="572">
        <v>5</v>
      </c>
      <c r="E1118" s="144">
        <v>28.01</v>
      </c>
      <c r="F1118" s="144">
        <f t="shared" si="107"/>
        <v>140.05000000000001</v>
      </c>
      <c r="G1118" s="153"/>
      <c r="H1118" s="154"/>
      <c r="I1118" s="155"/>
      <c r="J1118" s="156"/>
      <c r="N1118" s="144"/>
      <c r="O1118" s="852"/>
    </row>
    <row r="1119" spans="1:15" s="157" customFormat="1">
      <c r="A1119" s="254"/>
      <c r="B1119" s="605"/>
      <c r="C1119" s="152"/>
      <c r="D1119" s="572"/>
      <c r="E1119" s="144"/>
      <c r="F1119" s="144"/>
      <c r="G1119" s="153"/>
      <c r="H1119" s="154"/>
      <c r="I1119" s="155"/>
      <c r="J1119" s="156"/>
      <c r="N1119" s="144"/>
      <c r="O1119" s="852"/>
    </row>
    <row r="1120" spans="1:15" s="157" customFormat="1">
      <c r="A1120" s="254" t="s">
        <v>2997</v>
      </c>
      <c r="B1120" s="605" t="s">
        <v>2998</v>
      </c>
      <c r="C1120" s="152" t="s">
        <v>649</v>
      </c>
      <c r="D1120" s="572">
        <v>1</v>
      </c>
      <c r="E1120" s="144">
        <v>2.69</v>
      </c>
      <c r="F1120" s="144">
        <f t="shared" si="107"/>
        <v>2.69</v>
      </c>
      <c r="G1120" s="153"/>
      <c r="H1120" s="154"/>
      <c r="I1120" s="155"/>
      <c r="J1120" s="156"/>
      <c r="N1120" s="144"/>
      <c r="O1120" s="852"/>
    </row>
    <row r="1121" spans="1:15" s="157" customFormat="1">
      <c r="A1121" s="254"/>
      <c r="B1121" s="605"/>
      <c r="C1121" s="152"/>
      <c r="D1121" s="572"/>
      <c r="E1121" s="144"/>
      <c r="F1121" s="144"/>
      <c r="G1121" s="153"/>
      <c r="H1121" s="154"/>
      <c r="I1121" s="155"/>
      <c r="J1121" s="156"/>
      <c r="N1121" s="144"/>
      <c r="O1121" s="852"/>
    </row>
    <row r="1122" spans="1:15" s="157" customFormat="1">
      <c r="A1122" s="254" t="s">
        <v>2999</v>
      </c>
      <c r="B1122" s="605" t="s">
        <v>3000</v>
      </c>
      <c r="C1122" s="152" t="s">
        <v>649</v>
      </c>
      <c r="D1122" s="572">
        <v>2</v>
      </c>
      <c r="E1122" s="144">
        <v>1.84</v>
      </c>
      <c r="F1122" s="144">
        <f t="shared" si="107"/>
        <v>3.68</v>
      </c>
      <c r="G1122" s="153"/>
      <c r="H1122" s="154"/>
      <c r="I1122" s="155"/>
      <c r="J1122" s="156"/>
      <c r="N1122" s="144"/>
      <c r="O1122" s="852"/>
    </row>
    <row r="1123" spans="1:15" s="157" customFormat="1">
      <c r="A1123" s="254"/>
      <c r="B1123" s="605"/>
      <c r="C1123" s="152"/>
      <c r="D1123" s="572"/>
      <c r="E1123" s="144"/>
      <c r="F1123" s="144"/>
      <c r="G1123" s="153"/>
      <c r="H1123" s="154"/>
      <c r="I1123" s="155"/>
      <c r="J1123" s="156"/>
      <c r="N1123" s="144"/>
      <c r="O1123" s="852"/>
    </row>
    <row r="1124" spans="1:15" s="157" customFormat="1">
      <c r="A1124" s="254" t="s">
        <v>3001</v>
      </c>
      <c r="B1124" s="605" t="s">
        <v>5396</v>
      </c>
      <c r="C1124" s="152" t="s">
        <v>649</v>
      </c>
      <c r="D1124" s="572">
        <v>20</v>
      </c>
      <c r="E1124" s="144">
        <v>10.4</v>
      </c>
      <c r="F1124" s="144">
        <f t="shared" si="107"/>
        <v>208</v>
      </c>
      <c r="G1124" s="153"/>
      <c r="H1124" s="154"/>
      <c r="I1124" s="155"/>
      <c r="J1124" s="156"/>
      <c r="N1124" s="144"/>
      <c r="O1124" s="852"/>
    </row>
    <row r="1125" spans="1:15" s="157" customFormat="1">
      <c r="A1125" s="254"/>
      <c r="B1125" s="605"/>
      <c r="C1125" s="152"/>
      <c r="D1125" s="572"/>
      <c r="E1125" s="144"/>
      <c r="F1125" s="144"/>
      <c r="G1125" s="153"/>
      <c r="H1125" s="154"/>
      <c r="I1125" s="155"/>
      <c r="J1125" s="156"/>
      <c r="N1125" s="144"/>
      <c r="O1125" s="852"/>
    </row>
    <row r="1126" spans="1:15" s="157" customFormat="1">
      <c r="A1126" s="254" t="s">
        <v>3002</v>
      </c>
      <c r="B1126" s="605" t="s">
        <v>5394</v>
      </c>
      <c r="C1126" s="152" t="s">
        <v>649</v>
      </c>
      <c r="D1126" s="572">
        <v>10</v>
      </c>
      <c r="E1126" s="144">
        <v>16.43</v>
      </c>
      <c r="F1126" s="144">
        <f t="shared" si="107"/>
        <v>164.3</v>
      </c>
      <c r="G1126" s="153"/>
      <c r="H1126" s="154"/>
      <c r="I1126" s="155"/>
      <c r="J1126" s="156"/>
      <c r="N1126" s="144"/>
      <c r="O1126" s="852"/>
    </row>
    <row r="1127" spans="1:15" s="157" customFormat="1">
      <c r="A1127" s="254"/>
      <c r="B1127" s="605"/>
      <c r="C1127" s="152"/>
      <c r="D1127" s="572"/>
      <c r="E1127" s="144"/>
      <c r="F1127" s="144"/>
      <c r="G1127" s="153"/>
      <c r="H1127" s="154"/>
      <c r="I1127" s="155"/>
      <c r="J1127" s="156"/>
      <c r="N1127" s="144"/>
      <c r="O1127" s="852"/>
    </row>
    <row r="1128" spans="1:15" s="157" customFormat="1">
      <c r="A1128" s="254" t="s">
        <v>3003</v>
      </c>
      <c r="B1128" s="605" t="s">
        <v>5395</v>
      </c>
      <c r="C1128" s="152" t="s">
        <v>649</v>
      </c>
      <c r="D1128" s="572">
        <v>10</v>
      </c>
      <c r="E1128" s="144">
        <v>22.83</v>
      </c>
      <c r="F1128" s="144">
        <f t="shared" si="107"/>
        <v>228.29999999999998</v>
      </c>
      <c r="G1128" s="153"/>
      <c r="H1128" s="154"/>
      <c r="I1128" s="155"/>
      <c r="J1128" s="156"/>
      <c r="N1128" s="144"/>
      <c r="O1128" s="852"/>
    </row>
    <row r="1129" spans="1:15" s="157" customFormat="1">
      <c r="A1129" s="254"/>
      <c r="B1129" s="605"/>
      <c r="C1129" s="152"/>
      <c r="D1129" s="572"/>
      <c r="E1129" s="144"/>
      <c r="F1129" s="144"/>
      <c r="G1129" s="153"/>
      <c r="H1129" s="154"/>
      <c r="I1129" s="155"/>
      <c r="J1129" s="156"/>
      <c r="N1129" s="144"/>
      <c r="O1129" s="852"/>
    </row>
    <row r="1130" spans="1:15" s="157" customFormat="1">
      <c r="A1130" s="254" t="s">
        <v>3004</v>
      </c>
      <c r="B1130" s="605" t="s">
        <v>3005</v>
      </c>
      <c r="C1130" s="152" t="s">
        <v>649</v>
      </c>
      <c r="D1130" s="572">
        <v>4</v>
      </c>
      <c r="E1130" s="144">
        <v>1.51</v>
      </c>
      <c r="F1130" s="144">
        <f t="shared" si="107"/>
        <v>6.04</v>
      </c>
      <c r="G1130" s="153"/>
      <c r="H1130" s="154"/>
      <c r="I1130" s="155"/>
      <c r="J1130" s="156"/>
      <c r="N1130" s="144"/>
      <c r="O1130" s="852"/>
    </row>
    <row r="1131" spans="1:15" s="157" customFormat="1">
      <c r="A1131" s="254"/>
      <c r="B1131" s="605"/>
      <c r="C1131" s="152"/>
      <c r="D1131" s="572"/>
      <c r="E1131" s="144"/>
      <c r="F1131" s="144"/>
      <c r="G1131" s="153"/>
      <c r="H1131" s="154"/>
      <c r="I1131" s="155"/>
      <c r="J1131" s="156"/>
      <c r="N1131" s="144"/>
      <c r="O1131" s="852"/>
    </row>
    <row r="1132" spans="1:15" s="157" customFormat="1">
      <c r="A1132" s="254" t="s">
        <v>3006</v>
      </c>
      <c r="B1132" s="605" t="s">
        <v>3007</v>
      </c>
      <c r="C1132" s="152" t="s">
        <v>649</v>
      </c>
      <c r="D1132" s="572">
        <v>2</v>
      </c>
      <c r="E1132" s="144">
        <v>9.3699999999999992</v>
      </c>
      <c r="F1132" s="144">
        <f t="shared" si="107"/>
        <v>18.739999999999998</v>
      </c>
      <c r="G1132" s="153"/>
      <c r="H1132" s="154"/>
      <c r="I1132" s="155"/>
      <c r="J1132" s="156"/>
      <c r="N1132" s="144"/>
      <c r="O1132" s="852"/>
    </row>
    <row r="1133" spans="1:15" s="157" customFormat="1">
      <c r="A1133" s="595"/>
      <c r="B1133" s="596"/>
      <c r="C1133" s="597"/>
      <c r="D1133" s="598"/>
      <c r="E1133" s="599"/>
      <c r="F1133" s="599"/>
      <c r="G1133" s="153"/>
      <c r="H1133" s="161"/>
      <c r="I1133" s="155"/>
      <c r="J1133" s="156"/>
      <c r="L1133" s="162"/>
      <c r="N1133" s="599"/>
      <c r="O1133" s="852"/>
    </row>
    <row r="1134" spans="1:15" s="157" customFormat="1">
      <c r="A1134" s="269" t="str">
        <f>A948</f>
        <v>D.1.</v>
      </c>
      <c r="B1134" s="753" t="str">
        <f>CONCATENATE(B948," ", "UKUPNO:")</f>
        <v>DODATNI PRIBOR ZA KUHINJU UKUPNO:</v>
      </c>
      <c r="C1134" s="152"/>
      <c r="D1134" s="572"/>
      <c r="E1134" s="144"/>
      <c r="F1134" s="670">
        <f>SUM(F950:F1133)</f>
        <v>19754.569999999992</v>
      </c>
      <c r="G1134" s="153"/>
      <c r="H1134" s="161"/>
      <c r="I1134" s="155"/>
      <c r="J1134" s="156"/>
      <c r="L1134" s="162"/>
      <c r="N1134" s="144"/>
      <c r="O1134" s="852"/>
    </row>
    <row r="1135" spans="1:15" s="157" customFormat="1">
      <c r="A1135" s="254"/>
      <c r="B1135" s="160"/>
      <c r="D1135" s="764"/>
      <c r="H1135" s="161"/>
      <c r="I1135" s="161"/>
      <c r="J1135" s="156"/>
      <c r="L1135" s="162"/>
      <c r="N1135" s="851"/>
      <c r="O1135" s="852"/>
    </row>
    <row r="1136" spans="1:15" s="157" customFormat="1">
      <c r="A1136" s="254"/>
      <c r="B1136" s="160"/>
      <c r="D1136" s="764"/>
      <c r="H1136" s="161"/>
      <c r="I1136" s="161"/>
      <c r="J1136" s="156"/>
      <c r="L1136" s="162"/>
      <c r="N1136" s="851"/>
      <c r="O1136" s="852"/>
    </row>
    <row r="1137" spans="1:15" s="157" customFormat="1" ht="27.6">
      <c r="A1137" s="581" t="s">
        <v>3008</v>
      </c>
      <c r="B1137" s="582" t="s">
        <v>3009</v>
      </c>
      <c r="C1137" s="583"/>
      <c r="D1137" s="584"/>
      <c r="E1137" s="585"/>
      <c r="F1137" s="586"/>
      <c r="H1137" s="161"/>
      <c r="I1137" s="161"/>
      <c r="J1137" s="156"/>
      <c r="L1137" s="162"/>
      <c r="N1137" s="585"/>
      <c r="O1137" s="852"/>
    </row>
    <row r="1138" spans="1:15" s="157" customFormat="1">
      <c r="A1138" s="254"/>
      <c r="B1138" s="159"/>
      <c r="C1138" s="152"/>
      <c r="D1138" s="572"/>
      <c r="E1138" s="144"/>
      <c r="F1138" s="144"/>
      <c r="H1138" s="161"/>
      <c r="I1138" s="161"/>
      <c r="J1138" s="156"/>
      <c r="L1138" s="162"/>
      <c r="N1138" s="144"/>
      <c r="O1138" s="852"/>
    </row>
    <row r="1139" spans="1:15" s="157" customFormat="1" ht="179.4">
      <c r="A1139" s="254" t="s">
        <v>3010</v>
      </c>
      <c r="B1139" s="604" t="s">
        <v>2828</v>
      </c>
      <c r="C1139" s="152" t="s">
        <v>649</v>
      </c>
      <c r="D1139" s="572">
        <v>4</v>
      </c>
      <c r="E1139" s="144">
        <v>156</v>
      </c>
      <c r="F1139" s="144">
        <f t="shared" ref="F1139" si="108">IF((D1139*E1139)=0,"",(D1139*E1139))</f>
        <v>624</v>
      </c>
      <c r="H1139" s="161"/>
      <c r="I1139" s="161"/>
      <c r="J1139" s="156"/>
      <c r="L1139" s="162"/>
      <c r="N1139" s="144"/>
      <c r="O1139" s="852"/>
    </row>
    <row r="1140" spans="1:15" s="157" customFormat="1">
      <c r="A1140" s="595"/>
      <c r="B1140" s="596"/>
      <c r="C1140" s="597"/>
      <c r="D1140" s="598"/>
      <c r="E1140" s="599"/>
      <c r="F1140" s="599"/>
      <c r="H1140" s="161"/>
      <c r="I1140" s="161"/>
      <c r="J1140" s="156"/>
      <c r="L1140" s="162"/>
      <c r="N1140" s="599"/>
      <c r="O1140" s="852"/>
    </row>
    <row r="1141" spans="1:15" s="157" customFormat="1">
      <c r="A1141" s="269" t="str">
        <f>A1137</f>
        <v>D.2.</v>
      </c>
      <c r="B1141" s="753" t="str">
        <f>CONCATENATE(B1137," ", "UKUPNO:")</f>
        <v>GARDEROBE I SANITARIJE KUHINJSKOG I TEHNIČKOG OSOBLJA UKUPNO:</v>
      </c>
      <c r="C1141" s="152"/>
      <c r="D1141" s="572"/>
      <c r="E1141" s="144"/>
      <c r="F1141" s="670">
        <f>SUM(F1139:F1140)</f>
        <v>624</v>
      </c>
      <c r="H1141" s="161"/>
      <c r="I1141" s="161"/>
      <c r="J1141" s="156"/>
      <c r="L1141" s="162"/>
      <c r="N1141" s="144"/>
      <c r="O1141" s="852"/>
    </row>
    <row r="1142" spans="1:15" s="157" customFormat="1">
      <c r="A1142" s="269"/>
      <c r="B1142" s="753"/>
      <c r="C1142" s="152"/>
      <c r="D1142" s="572"/>
      <c r="E1142" s="144"/>
      <c r="F1142" s="205"/>
      <c r="H1142" s="161"/>
      <c r="I1142" s="161"/>
      <c r="J1142" s="156"/>
      <c r="L1142" s="162"/>
      <c r="N1142" s="144"/>
      <c r="O1142" s="852"/>
    </row>
    <row r="1143" spans="1:15" s="157" customFormat="1">
      <c r="A1143" s="269"/>
      <c r="B1143" s="753"/>
      <c r="C1143" s="152"/>
      <c r="D1143" s="572"/>
      <c r="E1143" s="144"/>
      <c r="F1143" s="205"/>
      <c r="H1143" s="161"/>
      <c r="I1143" s="161"/>
      <c r="J1143" s="156"/>
      <c r="L1143" s="162"/>
      <c r="N1143" s="144"/>
      <c r="O1143" s="852"/>
    </row>
    <row r="1144" spans="1:15" s="157" customFormat="1">
      <c r="A1144" s="581" t="s">
        <v>3011</v>
      </c>
      <c r="B1144" s="582" t="s">
        <v>2704</v>
      </c>
      <c r="C1144" s="583"/>
      <c r="D1144" s="584"/>
      <c r="E1144" s="585"/>
      <c r="F1144" s="586"/>
      <c r="H1144" s="161"/>
      <c r="I1144" s="161"/>
      <c r="J1144" s="156"/>
      <c r="L1144" s="162"/>
      <c r="N1144" s="585"/>
      <c r="O1144" s="852"/>
    </row>
    <row r="1145" spans="1:15" s="157" customFormat="1">
      <c r="A1145" s="254"/>
      <c r="B1145" s="159"/>
      <c r="C1145" s="152"/>
      <c r="D1145" s="572"/>
      <c r="E1145" s="144"/>
      <c r="F1145" s="144"/>
      <c r="H1145" s="161"/>
      <c r="I1145" s="161"/>
      <c r="J1145" s="156"/>
      <c r="L1145" s="162"/>
      <c r="N1145" s="144"/>
      <c r="O1145" s="852"/>
    </row>
    <row r="1146" spans="1:15" s="157" customFormat="1" ht="82.8">
      <c r="A1146" s="254" t="s">
        <v>3012</v>
      </c>
      <c r="B1146" s="762" t="s">
        <v>2698</v>
      </c>
      <c r="C1146" s="152" t="s">
        <v>649</v>
      </c>
      <c r="D1146" s="572">
        <v>1</v>
      </c>
      <c r="E1146" s="144">
        <v>78</v>
      </c>
      <c r="F1146" s="144">
        <f t="shared" ref="F1146:F1150" si="109">IF((D1146*E1146)=0,"",(D1146*E1146))</f>
        <v>78</v>
      </c>
      <c r="H1146" s="161"/>
      <c r="I1146" s="161"/>
      <c r="J1146" s="156"/>
      <c r="L1146" s="162"/>
      <c r="N1146" s="144"/>
      <c r="O1146" s="852"/>
    </row>
    <row r="1147" spans="1:15" s="157" customFormat="1">
      <c r="A1147" s="254"/>
      <c r="B1147" s="160"/>
      <c r="C1147" s="152"/>
      <c r="D1147" s="572"/>
      <c r="E1147" s="144"/>
      <c r="F1147" s="144" t="str">
        <f t="shared" si="109"/>
        <v/>
      </c>
      <c r="H1147" s="161"/>
      <c r="I1147" s="161"/>
      <c r="J1147" s="156"/>
      <c r="L1147" s="162"/>
      <c r="N1147" s="144"/>
      <c r="O1147" s="852"/>
    </row>
    <row r="1148" spans="1:15" s="157" customFormat="1" ht="41.4">
      <c r="A1148" s="254" t="s">
        <v>3013</v>
      </c>
      <c r="B1148" s="749" t="s">
        <v>2705</v>
      </c>
      <c r="C1148" s="152" t="s">
        <v>649</v>
      </c>
      <c r="D1148" s="572">
        <v>1</v>
      </c>
      <c r="E1148" s="144">
        <v>13.5</v>
      </c>
      <c r="F1148" s="144">
        <f t="shared" si="109"/>
        <v>13.5</v>
      </c>
      <c r="H1148" s="161"/>
      <c r="I1148" s="161"/>
      <c r="J1148" s="156"/>
      <c r="L1148" s="162"/>
      <c r="N1148" s="144"/>
      <c r="O1148" s="852"/>
    </row>
    <row r="1149" spans="1:15" s="157" customFormat="1">
      <c r="A1149" s="254"/>
      <c r="B1149" s="160"/>
      <c r="C1149" s="152"/>
      <c r="D1149" s="572"/>
      <c r="E1149" s="144"/>
      <c r="F1149" s="144" t="str">
        <f t="shared" si="109"/>
        <v/>
      </c>
      <c r="H1149" s="161"/>
      <c r="I1149" s="161"/>
      <c r="J1149" s="156"/>
      <c r="L1149" s="162"/>
      <c r="N1149" s="144"/>
      <c r="O1149" s="852"/>
    </row>
    <row r="1150" spans="1:15" s="157" customFormat="1" ht="27.6">
      <c r="A1150" s="254" t="s">
        <v>3014</v>
      </c>
      <c r="B1150" s="605" t="s">
        <v>2706</v>
      </c>
      <c r="C1150" s="152" t="s">
        <v>649</v>
      </c>
      <c r="D1150" s="572">
        <v>1</v>
      </c>
      <c r="E1150" s="144">
        <v>29</v>
      </c>
      <c r="F1150" s="144">
        <f t="shared" si="109"/>
        <v>29</v>
      </c>
      <c r="H1150" s="161"/>
      <c r="I1150" s="161"/>
      <c r="J1150" s="156"/>
      <c r="L1150" s="162"/>
      <c r="N1150" s="144"/>
      <c r="O1150" s="852"/>
    </row>
    <row r="1151" spans="1:15" s="157" customFormat="1">
      <c r="A1151" s="595"/>
      <c r="B1151" s="596"/>
      <c r="C1151" s="597"/>
      <c r="D1151" s="598"/>
      <c r="E1151" s="599"/>
      <c r="F1151" s="599"/>
      <c r="H1151" s="161"/>
      <c r="I1151" s="161"/>
      <c r="J1151" s="156"/>
      <c r="L1151" s="162"/>
      <c r="N1151" s="599"/>
      <c r="O1151" s="852"/>
    </row>
    <row r="1152" spans="1:15" s="157" customFormat="1">
      <c r="A1152" s="269" t="str">
        <f>A1144</f>
        <v>D.3.</v>
      </c>
      <c r="B1152" s="753" t="str">
        <f>CONCATENATE(B1144," ", "UKUPNO:")</f>
        <v>VJETROBRAN UKUPNO:</v>
      </c>
      <c r="C1152" s="152"/>
      <c r="D1152" s="572"/>
      <c r="E1152" s="144"/>
      <c r="F1152" s="670">
        <f>SUM(F1146:F1151)</f>
        <v>120.5</v>
      </c>
      <c r="H1152" s="161"/>
      <c r="I1152" s="161"/>
      <c r="J1152" s="156"/>
      <c r="L1152" s="162"/>
      <c r="N1152" s="144"/>
      <c r="O1152" s="852"/>
    </row>
    <row r="1153" spans="1:15" s="157" customFormat="1">
      <c r="A1153" s="254"/>
      <c r="B1153" s="160"/>
      <c r="D1153" s="764"/>
      <c r="H1153" s="161"/>
      <c r="I1153" s="161"/>
      <c r="J1153" s="156"/>
      <c r="L1153" s="162"/>
      <c r="N1153" s="851"/>
      <c r="O1153" s="852"/>
    </row>
    <row r="1154" spans="1:15" s="157" customFormat="1">
      <c r="A1154" s="254"/>
      <c r="B1154" s="160"/>
      <c r="D1154" s="764"/>
      <c r="H1154" s="161"/>
      <c r="I1154" s="161"/>
      <c r="J1154" s="156"/>
      <c r="L1154" s="162"/>
      <c r="N1154" s="851"/>
      <c r="O1154" s="852"/>
    </row>
    <row r="1155" spans="1:15" s="157" customFormat="1">
      <c r="A1155" s="581" t="s">
        <v>3015</v>
      </c>
      <c r="B1155" s="582" t="s">
        <v>3016</v>
      </c>
      <c r="C1155" s="583"/>
      <c r="D1155" s="584"/>
      <c r="E1155" s="585"/>
      <c r="F1155" s="586"/>
      <c r="H1155" s="161"/>
      <c r="I1155" s="161"/>
      <c r="J1155" s="156"/>
      <c r="L1155" s="162"/>
      <c r="N1155" s="585"/>
      <c r="O1155" s="852"/>
    </row>
    <row r="1156" spans="1:15" s="157" customFormat="1">
      <c r="A1156" s="254"/>
      <c r="B1156" s="159"/>
      <c r="C1156" s="152"/>
      <c r="D1156" s="572"/>
      <c r="E1156" s="144"/>
      <c r="F1156" s="144"/>
      <c r="H1156" s="161"/>
      <c r="I1156" s="161"/>
      <c r="J1156" s="156"/>
      <c r="L1156" s="162"/>
      <c r="N1156" s="144"/>
      <c r="O1156" s="852"/>
    </row>
    <row r="1157" spans="1:15" s="157" customFormat="1" ht="165.6">
      <c r="A1157" s="254" t="s">
        <v>3017</v>
      </c>
      <c r="B1157" s="612" t="s">
        <v>4823</v>
      </c>
      <c r="C1157" s="152" t="s">
        <v>649</v>
      </c>
      <c r="D1157" s="572">
        <v>1</v>
      </c>
      <c r="E1157" s="144">
        <v>192</v>
      </c>
      <c r="F1157" s="144">
        <f t="shared" ref="F1157" si="110">IF((D1157*E1157)=0,"",(D1157*E1157))</f>
        <v>192</v>
      </c>
      <c r="H1157" s="161"/>
      <c r="I1157" s="161"/>
      <c r="J1157" s="156"/>
      <c r="L1157" s="162"/>
      <c r="N1157" s="144"/>
      <c r="O1157" s="852"/>
    </row>
    <row r="1158" spans="1:15" s="157" customFormat="1">
      <c r="A1158" s="254"/>
      <c r="B1158" s="612"/>
      <c r="C1158" s="152"/>
      <c r="D1158" s="572"/>
      <c r="E1158" s="144"/>
      <c r="F1158" s="144"/>
      <c r="H1158" s="161"/>
      <c r="I1158" s="161"/>
      <c r="J1158" s="156"/>
      <c r="L1158" s="162"/>
      <c r="N1158" s="144"/>
      <c r="O1158" s="852"/>
    </row>
    <row r="1159" spans="1:15" s="157" customFormat="1" ht="110.4">
      <c r="A1159" s="254" t="s">
        <v>3018</v>
      </c>
      <c r="B1159" s="274" t="s">
        <v>4162</v>
      </c>
      <c r="C1159" s="152"/>
      <c r="D1159" s="572"/>
      <c r="E1159" s="144"/>
      <c r="F1159" s="144"/>
      <c r="H1159" s="161"/>
      <c r="I1159" s="161"/>
      <c r="J1159" s="156"/>
      <c r="L1159" s="162"/>
      <c r="N1159" s="144"/>
      <c r="O1159" s="852"/>
    </row>
    <row r="1160" spans="1:15" s="157" customFormat="1">
      <c r="A1160" s="254" t="s">
        <v>48</v>
      </c>
      <c r="B1160" s="274" t="s">
        <v>3038</v>
      </c>
      <c r="C1160" s="152" t="s">
        <v>649</v>
      </c>
      <c r="D1160" s="572">
        <v>1</v>
      </c>
      <c r="E1160" s="144">
        <v>158</v>
      </c>
      <c r="F1160" s="144">
        <f t="shared" ref="F1160:F1161" si="111">IF((D1160*E1160)=0,"",(D1160*E1160))</f>
        <v>158</v>
      </c>
      <c r="H1160" s="161"/>
      <c r="I1160" s="161"/>
      <c r="J1160" s="156"/>
      <c r="L1160" s="162"/>
      <c r="N1160" s="144"/>
      <c r="O1160" s="852"/>
    </row>
    <row r="1161" spans="1:15" s="157" customFormat="1">
      <c r="A1161" s="254" t="s">
        <v>49</v>
      </c>
      <c r="B1161" s="274" t="s">
        <v>4163</v>
      </c>
      <c r="C1161" s="152" t="s">
        <v>649</v>
      </c>
      <c r="D1161" s="572">
        <v>2</v>
      </c>
      <c r="E1161" s="144">
        <v>144</v>
      </c>
      <c r="F1161" s="144">
        <f t="shared" si="111"/>
        <v>288</v>
      </c>
      <c r="H1161" s="161"/>
      <c r="I1161" s="161"/>
      <c r="J1161" s="156"/>
      <c r="L1161" s="162"/>
      <c r="N1161" s="144"/>
      <c r="O1161" s="852"/>
    </row>
    <row r="1162" spans="1:15" s="157" customFormat="1">
      <c r="A1162" s="254"/>
      <c r="B1162" s="274"/>
      <c r="C1162" s="152"/>
      <c r="D1162" s="572"/>
      <c r="E1162" s="144"/>
      <c r="F1162" s="144"/>
      <c r="H1162" s="161"/>
      <c r="I1162" s="161"/>
      <c r="J1162" s="156"/>
      <c r="L1162" s="162"/>
      <c r="N1162" s="144"/>
      <c r="O1162" s="852"/>
    </row>
    <row r="1163" spans="1:15" s="157" customFormat="1">
      <c r="A1163" s="254" t="s">
        <v>3018</v>
      </c>
      <c r="B1163" s="274" t="s">
        <v>3019</v>
      </c>
      <c r="C1163" s="152" t="s">
        <v>649</v>
      </c>
      <c r="D1163" s="572">
        <v>2</v>
      </c>
      <c r="E1163" s="144">
        <v>26</v>
      </c>
      <c r="F1163" s="144">
        <f t="shared" ref="F1163" si="112">IF((D1163*E1163)=0,"",(D1163*E1163))</f>
        <v>52</v>
      </c>
      <c r="H1163" s="161"/>
      <c r="I1163" s="161"/>
      <c r="J1163" s="156"/>
      <c r="L1163" s="162"/>
      <c r="N1163" s="144"/>
      <c r="O1163" s="852"/>
    </row>
    <row r="1164" spans="1:15" s="157" customFormat="1">
      <c r="A1164" s="254"/>
      <c r="B1164" s="274"/>
      <c r="C1164" s="152"/>
      <c r="D1164" s="572"/>
      <c r="E1164" s="144"/>
      <c r="F1164" s="144"/>
      <c r="H1164" s="161"/>
      <c r="I1164" s="161"/>
      <c r="J1164" s="156"/>
      <c r="L1164" s="162"/>
      <c r="N1164" s="144"/>
      <c r="O1164" s="852"/>
    </row>
    <row r="1165" spans="1:15" s="157" customFormat="1">
      <c r="A1165" s="254" t="s">
        <v>3020</v>
      </c>
      <c r="B1165" s="274" t="s">
        <v>3021</v>
      </c>
      <c r="C1165" s="152" t="s">
        <v>649</v>
      </c>
      <c r="D1165" s="572">
        <v>2</v>
      </c>
      <c r="E1165" s="144">
        <v>44</v>
      </c>
      <c r="F1165" s="144">
        <f t="shared" ref="F1165:F1181" si="113">IF((D1165*E1165)=0,"",(D1165*E1165))</f>
        <v>88</v>
      </c>
      <c r="H1165" s="161"/>
      <c r="I1165" s="161"/>
      <c r="J1165" s="156"/>
      <c r="L1165" s="162"/>
      <c r="N1165" s="144"/>
      <c r="O1165" s="852"/>
    </row>
    <row r="1166" spans="1:15" s="157" customFormat="1">
      <c r="A1166" s="254"/>
      <c r="B1166" s="274"/>
      <c r="C1166" s="152"/>
      <c r="D1166" s="572"/>
      <c r="E1166" s="144"/>
      <c r="F1166" s="144"/>
      <c r="H1166" s="161"/>
      <c r="I1166" s="161"/>
      <c r="J1166" s="156"/>
      <c r="L1166" s="162"/>
      <c r="N1166" s="144"/>
      <c r="O1166" s="852"/>
    </row>
    <row r="1167" spans="1:15" s="157" customFormat="1">
      <c r="A1167" s="254" t="s">
        <v>3022</v>
      </c>
      <c r="B1167" s="274" t="s">
        <v>3023</v>
      </c>
      <c r="C1167" s="152" t="s">
        <v>649</v>
      </c>
      <c r="D1167" s="572">
        <v>1</v>
      </c>
      <c r="E1167" s="144">
        <v>76</v>
      </c>
      <c r="F1167" s="144">
        <f t="shared" si="113"/>
        <v>76</v>
      </c>
      <c r="H1167" s="161"/>
      <c r="I1167" s="161"/>
      <c r="J1167" s="156"/>
      <c r="L1167" s="162"/>
      <c r="N1167" s="144"/>
      <c r="O1167" s="852"/>
    </row>
    <row r="1168" spans="1:15" s="157" customFormat="1">
      <c r="A1168" s="254"/>
      <c r="B1168" s="274"/>
      <c r="C1168" s="152"/>
      <c r="D1168" s="572"/>
      <c r="E1168" s="144"/>
      <c r="F1168" s="144"/>
      <c r="H1168" s="161"/>
      <c r="I1168" s="161"/>
      <c r="J1168" s="156"/>
      <c r="L1168" s="162"/>
      <c r="N1168" s="144"/>
      <c r="O1168" s="852"/>
    </row>
    <row r="1169" spans="1:15" s="157" customFormat="1">
      <c r="A1169" s="254" t="s">
        <v>3024</v>
      </c>
      <c r="B1169" s="274" t="s">
        <v>3025</v>
      </c>
      <c r="C1169" s="152" t="s">
        <v>649</v>
      </c>
      <c r="D1169" s="572">
        <v>1</v>
      </c>
      <c r="E1169" s="144">
        <v>73</v>
      </c>
      <c r="F1169" s="144">
        <f t="shared" si="113"/>
        <v>73</v>
      </c>
      <c r="H1169" s="161"/>
      <c r="I1169" s="161"/>
      <c r="J1169" s="156"/>
      <c r="L1169" s="162"/>
      <c r="N1169" s="144"/>
      <c r="O1169" s="852"/>
    </row>
    <row r="1170" spans="1:15" s="157" customFormat="1">
      <c r="A1170" s="254"/>
      <c r="B1170" s="274"/>
      <c r="C1170" s="152"/>
      <c r="D1170" s="572"/>
      <c r="E1170" s="144"/>
      <c r="F1170" s="144"/>
      <c r="H1170" s="161"/>
      <c r="I1170" s="161"/>
      <c r="J1170" s="156"/>
      <c r="L1170" s="162"/>
      <c r="N1170" s="144"/>
      <c r="O1170" s="852"/>
    </row>
    <row r="1171" spans="1:15" s="157" customFormat="1">
      <c r="A1171" s="254" t="s">
        <v>3026</v>
      </c>
      <c r="B1171" s="274" t="s">
        <v>5674</v>
      </c>
      <c r="C1171" s="152" t="s">
        <v>649</v>
      </c>
      <c r="D1171" s="572">
        <v>2</v>
      </c>
      <c r="E1171" s="144">
        <v>33</v>
      </c>
      <c r="F1171" s="144">
        <f t="shared" si="113"/>
        <v>66</v>
      </c>
      <c r="H1171" s="161"/>
      <c r="I1171" s="161"/>
      <c r="J1171" s="156"/>
      <c r="L1171" s="162"/>
      <c r="N1171" s="144"/>
      <c r="O1171" s="852"/>
    </row>
    <row r="1172" spans="1:15" s="157" customFormat="1">
      <c r="A1172" s="254"/>
      <c r="B1172" s="274"/>
      <c r="C1172" s="152"/>
      <c r="D1172" s="572"/>
      <c r="E1172" s="144"/>
      <c r="F1172" s="144"/>
      <c r="H1172" s="161"/>
      <c r="I1172" s="161"/>
      <c r="J1172" s="156"/>
      <c r="L1172" s="162"/>
      <c r="N1172" s="144"/>
      <c r="O1172" s="852"/>
    </row>
    <row r="1173" spans="1:15" s="157" customFormat="1" ht="110.4">
      <c r="A1173" s="254" t="s">
        <v>3027</v>
      </c>
      <c r="B1173" s="274" t="s">
        <v>5675</v>
      </c>
      <c r="C1173" s="152" t="s">
        <v>649</v>
      </c>
      <c r="D1173" s="572">
        <v>1</v>
      </c>
      <c r="E1173" s="144">
        <v>575</v>
      </c>
      <c r="F1173" s="144">
        <f t="shared" si="113"/>
        <v>575</v>
      </c>
      <c r="H1173" s="161"/>
      <c r="I1173" s="161"/>
      <c r="J1173" s="156"/>
      <c r="L1173" s="162"/>
      <c r="N1173" s="144"/>
      <c r="O1173" s="852"/>
    </row>
    <row r="1174" spans="1:15" s="157" customFormat="1">
      <c r="A1174" s="254"/>
      <c r="B1174" s="274"/>
      <c r="C1174" s="152"/>
      <c r="D1174" s="572"/>
      <c r="E1174" s="144"/>
      <c r="F1174" s="144"/>
      <c r="H1174" s="161"/>
      <c r="I1174" s="161"/>
      <c r="J1174" s="156"/>
      <c r="L1174" s="162"/>
      <c r="N1174" s="144"/>
      <c r="O1174" s="852"/>
    </row>
    <row r="1175" spans="1:15" s="157" customFormat="1" ht="82.8">
      <c r="A1175" s="254" t="s">
        <v>3028</v>
      </c>
      <c r="B1175" s="274" t="s">
        <v>5676</v>
      </c>
      <c r="C1175" s="152" t="s">
        <v>649</v>
      </c>
      <c r="D1175" s="572">
        <v>1</v>
      </c>
      <c r="E1175" s="144">
        <v>559</v>
      </c>
      <c r="F1175" s="144">
        <f t="shared" si="113"/>
        <v>559</v>
      </c>
      <c r="H1175" s="161"/>
      <c r="I1175" s="161"/>
      <c r="J1175" s="156"/>
      <c r="L1175" s="162"/>
      <c r="N1175" s="144"/>
      <c r="O1175" s="852"/>
    </row>
    <row r="1176" spans="1:15" s="157" customFormat="1">
      <c r="A1176" s="254"/>
      <c r="B1176" s="274"/>
      <c r="C1176" s="152"/>
      <c r="D1176" s="572"/>
      <c r="E1176" s="144"/>
      <c r="F1176" s="144"/>
      <c r="H1176" s="161"/>
      <c r="I1176" s="161"/>
      <c r="J1176" s="156"/>
      <c r="L1176" s="162"/>
      <c r="N1176" s="144"/>
      <c r="O1176" s="852"/>
    </row>
    <row r="1177" spans="1:15" s="157" customFormat="1" ht="165.6">
      <c r="A1177" s="254" t="s">
        <v>3029</v>
      </c>
      <c r="B1177" s="274" t="s">
        <v>5677</v>
      </c>
      <c r="C1177" s="152" t="s">
        <v>649</v>
      </c>
      <c r="D1177" s="572">
        <v>1</v>
      </c>
      <c r="E1177" s="144">
        <v>5000</v>
      </c>
      <c r="F1177" s="144">
        <f t="shared" si="113"/>
        <v>5000</v>
      </c>
      <c r="H1177" s="161"/>
      <c r="I1177" s="161"/>
      <c r="J1177" s="156"/>
      <c r="L1177" s="162"/>
      <c r="N1177" s="144"/>
      <c r="O1177" s="852"/>
    </row>
    <row r="1178" spans="1:15" s="157" customFormat="1">
      <c r="A1178" s="254"/>
      <c r="B1178" s="274"/>
      <c r="C1178" s="152"/>
      <c r="D1178" s="572"/>
      <c r="E1178" s="144"/>
      <c r="F1178" s="144"/>
      <c r="H1178" s="161"/>
      <c r="I1178" s="161"/>
      <c r="J1178" s="156"/>
      <c r="L1178" s="162"/>
      <c r="N1178" s="144"/>
      <c r="O1178" s="852"/>
    </row>
    <row r="1179" spans="1:15" s="157" customFormat="1" ht="179.4">
      <c r="A1179" s="254" t="s">
        <v>3030</v>
      </c>
      <c r="B1179" s="274" t="s">
        <v>5678</v>
      </c>
      <c r="C1179" s="152" t="s">
        <v>649</v>
      </c>
      <c r="D1179" s="572">
        <v>1</v>
      </c>
      <c r="E1179" s="144">
        <v>7000</v>
      </c>
      <c r="F1179" s="144">
        <f t="shared" si="113"/>
        <v>7000</v>
      </c>
      <c r="H1179" s="161"/>
      <c r="I1179" s="161"/>
      <c r="J1179" s="156"/>
      <c r="L1179" s="162"/>
      <c r="N1179" s="144"/>
      <c r="O1179" s="852"/>
    </row>
    <row r="1180" spans="1:15" s="157" customFormat="1">
      <c r="A1180" s="254"/>
      <c r="B1180" s="274"/>
      <c r="C1180" s="152"/>
      <c r="D1180" s="572"/>
      <c r="E1180" s="144"/>
      <c r="F1180" s="144"/>
      <c r="H1180" s="161"/>
      <c r="I1180" s="161"/>
      <c r="J1180" s="156"/>
      <c r="L1180" s="162"/>
      <c r="N1180" s="144"/>
      <c r="O1180" s="852"/>
    </row>
    <row r="1181" spans="1:15" s="157" customFormat="1" ht="96.6">
      <c r="A1181" s="254" t="s">
        <v>3031</v>
      </c>
      <c r="B1181" s="274" t="s">
        <v>5679</v>
      </c>
      <c r="C1181" s="152" t="s">
        <v>649</v>
      </c>
      <c r="D1181" s="572">
        <v>1</v>
      </c>
      <c r="E1181" s="144">
        <v>436</v>
      </c>
      <c r="F1181" s="144">
        <f t="shared" si="113"/>
        <v>436</v>
      </c>
      <c r="H1181" s="161"/>
      <c r="I1181" s="161"/>
      <c r="J1181" s="156"/>
      <c r="L1181" s="162"/>
      <c r="N1181" s="144"/>
      <c r="O1181" s="852"/>
    </row>
    <row r="1182" spans="1:15" s="157" customFormat="1">
      <c r="A1182" s="595"/>
      <c r="B1182" s="596"/>
      <c r="C1182" s="597"/>
      <c r="D1182" s="598"/>
      <c r="E1182" s="599"/>
      <c r="F1182" s="599"/>
      <c r="H1182" s="161"/>
      <c r="I1182" s="161"/>
      <c r="J1182" s="156"/>
      <c r="L1182" s="162"/>
      <c r="N1182" s="599"/>
      <c r="O1182" s="852"/>
    </row>
    <row r="1183" spans="1:15" s="157" customFormat="1">
      <c r="A1183" s="269" t="str">
        <f>A1155</f>
        <v>D.4.</v>
      </c>
      <c r="B1183" s="753" t="str">
        <f>CONCATENATE(B1155," ", "UKUPNO:")</f>
        <v>SPREMIŠTE ČIŠĆENJE UKUPNO:</v>
      </c>
      <c r="C1183" s="152"/>
      <c r="D1183" s="572"/>
      <c r="E1183" s="144"/>
      <c r="F1183" s="670">
        <f>SUM(F1157:F1182)</f>
        <v>14563</v>
      </c>
      <c r="H1183" s="161"/>
      <c r="I1183" s="161"/>
      <c r="J1183" s="156"/>
      <c r="L1183" s="162"/>
      <c r="N1183" s="144"/>
      <c r="O1183" s="852"/>
    </row>
    <row r="1184" spans="1:15" s="157" customFormat="1">
      <c r="A1184" s="254"/>
      <c r="B1184" s="160"/>
      <c r="D1184" s="764"/>
      <c r="H1184" s="161"/>
      <c r="I1184" s="161"/>
      <c r="J1184" s="156"/>
      <c r="L1184" s="162"/>
      <c r="N1184" s="851"/>
      <c r="O1184" s="852"/>
    </row>
    <row r="1185" spans="1:15" s="157" customFormat="1">
      <c r="A1185" s="254"/>
      <c r="B1185" s="160"/>
      <c r="C1185" s="152"/>
      <c r="D1185" s="572"/>
      <c r="E1185" s="144"/>
      <c r="F1185" s="144"/>
      <c r="G1185" s="153"/>
      <c r="H1185" s="161"/>
      <c r="I1185" s="161"/>
      <c r="J1185" s="156"/>
      <c r="L1185" s="162"/>
      <c r="N1185" s="144"/>
      <c r="O1185" s="852"/>
    </row>
    <row r="1186" spans="1:15" s="149" customFormat="1">
      <c r="A1186" s="581" t="s">
        <v>3032</v>
      </c>
      <c r="B1186" s="601" t="s">
        <v>3033</v>
      </c>
      <c r="C1186" s="583"/>
      <c r="D1186" s="584"/>
      <c r="E1186" s="761"/>
      <c r="F1186" s="761"/>
      <c r="G1186" s="145"/>
      <c r="H1186" s="146"/>
      <c r="I1186" s="147"/>
      <c r="J1186" s="148"/>
      <c r="L1186" s="579"/>
      <c r="N1186" s="761"/>
      <c r="O1186" s="852"/>
    </row>
    <row r="1187" spans="1:15" s="157" customFormat="1">
      <c r="A1187" s="254"/>
      <c r="B1187" s="159"/>
      <c r="C1187" s="152"/>
      <c r="D1187" s="572"/>
      <c r="E1187" s="144"/>
      <c r="F1187" s="144"/>
      <c r="G1187" s="153"/>
      <c r="H1187" s="154"/>
      <c r="I1187" s="155"/>
      <c r="J1187" s="156"/>
      <c r="N1187" s="144"/>
      <c r="O1187" s="852"/>
    </row>
    <row r="1188" spans="1:15" s="157" customFormat="1" ht="41.4">
      <c r="A1188" s="254" t="s">
        <v>3053</v>
      </c>
      <c r="B1188" s="766" t="s">
        <v>3034</v>
      </c>
      <c r="C1188" s="152" t="s">
        <v>649</v>
      </c>
      <c r="D1188" s="572">
        <v>3</v>
      </c>
      <c r="E1188" s="144">
        <v>66</v>
      </c>
      <c r="F1188" s="144">
        <f t="shared" ref="F1188" si="114">IF((D1188*E1188)=0,"",(D1188*E1188))</f>
        <v>198</v>
      </c>
      <c r="G1188" s="153"/>
      <c r="H1188" s="161"/>
      <c r="I1188" s="155"/>
      <c r="J1188" s="156"/>
      <c r="L1188" s="162"/>
      <c r="N1188" s="144"/>
      <c r="O1188" s="852"/>
    </row>
    <row r="1189" spans="1:15" s="157" customFormat="1">
      <c r="A1189" s="595"/>
      <c r="B1189" s="596"/>
      <c r="C1189" s="597"/>
      <c r="D1189" s="598"/>
      <c r="E1189" s="599"/>
      <c r="F1189" s="599"/>
      <c r="G1189" s="153"/>
      <c r="H1189" s="161"/>
      <c r="I1189" s="155"/>
      <c r="J1189" s="156"/>
      <c r="L1189" s="162"/>
      <c r="N1189" s="599"/>
      <c r="O1189" s="852"/>
    </row>
    <row r="1190" spans="1:15" s="157" customFormat="1">
      <c r="A1190" s="269" t="str">
        <f>A1186</f>
        <v>D.5.</v>
      </c>
      <c r="B1190" s="753" t="str">
        <f>CONCATENATE(B1186," ", "UKUPNO:")</f>
        <v>PROSTORIJA ZA PRIVREMENO ODLAGANJE OTPADA UKUPNO:</v>
      </c>
      <c r="C1190" s="152"/>
      <c r="D1190" s="572"/>
      <c r="E1190" s="144"/>
      <c r="F1190" s="670">
        <f>SUM(F1188:F1189)</f>
        <v>198</v>
      </c>
      <c r="G1190" s="153"/>
      <c r="H1190" s="161"/>
      <c r="I1190" s="155"/>
      <c r="J1190" s="156"/>
      <c r="L1190" s="162"/>
      <c r="N1190" s="144"/>
      <c r="O1190" s="852"/>
    </row>
    <row r="1191" spans="1:15" s="157" customFormat="1">
      <c r="A1191" s="254"/>
      <c r="B1191" s="751"/>
      <c r="C1191" s="152"/>
      <c r="D1191" s="572"/>
      <c r="G1191" s="153"/>
      <c r="H1191" s="161"/>
      <c r="I1191" s="155"/>
      <c r="J1191" s="156"/>
      <c r="L1191" s="162"/>
      <c r="N1191" s="851"/>
      <c r="O1191" s="852"/>
    </row>
    <row r="1192" spans="1:15" s="157" customFormat="1">
      <c r="A1192" s="254"/>
      <c r="B1192" s="751"/>
      <c r="C1192" s="152"/>
      <c r="D1192" s="572"/>
      <c r="G1192" s="153"/>
      <c r="H1192" s="161"/>
      <c r="I1192" s="155"/>
      <c r="J1192" s="156"/>
      <c r="L1192" s="162"/>
      <c r="N1192" s="851"/>
      <c r="O1192" s="852"/>
    </row>
    <row r="1193" spans="1:15" s="157" customFormat="1">
      <c r="A1193" s="581" t="s">
        <v>3035</v>
      </c>
      <c r="B1193" s="601" t="s">
        <v>3036</v>
      </c>
      <c r="C1193" s="583"/>
      <c r="D1193" s="584"/>
      <c r="E1193" s="761"/>
      <c r="F1193" s="761"/>
      <c r="G1193" s="153"/>
      <c r="H1193" s="161"/>
      <c r="I1193" s="155"/>
      <c r="J1193" s="156"/>
      <c r="L1193" s="162"/>
      <c r="N1193" s="761"/>
      <c r="O1193" s="852"/>
    </row>
    <row r="1194" spans="1:15" s="157" customFormat="1">
      <c r="A1194" s="254"/>
      <c r="B1194" s="159"/>
      <c r="C1194" s="152"/>
      <c r="D1194" s="572"/>
      <c r="E1194" s="144"/>
      <c r="F1194" s="144"/>
      <c r="G1194" s="153"/>
      <c r="H1194" s="161"/>
      <c r="I1194" s="155"/>
      <c r="J1194" s="156"/>
      <c r="L1194" s="162"/>
      <c r="N1194" s="144"/>
      <c r="O1194" s="852"/>
    </row>
    <row r="1195" spans="1:15" s="157" customFormat="1" ht="165.6">
      <c r="A1195" s="254" t="s">
        <v>3074</v>
      </c>
      <c r="B1195" s="767" t="s">
        <v>5680</v>
      </c>
      <c r="C1195" s="879" t="s">
        <v>649</v>
      </c>
      <c r="D1195" s="572">
        <v>1</v>
      </c>
      <c r="E1195" s="144">
        <v>862</v>
      </c>
      <c r="F1195" s="144">
        <f t="shared" ref="F1195:F1197" si="115">IF((D1195*E1195)=0,"",(D1195*E1195))</f>
        <v>862</v>
      </c>
      <c r="G1195" s="153"/>
      <c r="H1195" s="161"/>
      <c r="I1195" s="155"/>
      <c r="J1195" s="156"/>
      <c r="L1195" s="162"/>
      <c r="N1195" s="144"/>
      <c r="O1195" s="852"/>
    </row>
    <row r="1196" spans="1:15" s="157" customFormat="1">
      <c r="A1196" s="254"/>
      <c r="B1196" s="767"/>
      <c r="C1196" s="879"/>
      <c r="D1196" s="572"/>
      <c r="E1196" s="144"/>
      <c r="F1196" s="144"/>
      <c r="G1196" s="153"/>
      <c r="H1196" s="161"/>
      <c r="I1196" s="155"/>
      <c r="J1196" s="156"/>
      <c r="L1196" s="162"/>
      <c r="N1196" s="144"/>
      <c r="O1196" s="852"/>
    </row>
    <row r="1197" spans="1:15" s="157" customFormat="1" ht="41.4">
      <c r="A1197" s="254" t="s">
        <v>3075</v>
      </c>
      <c r="B1197" s="767" t="s">
        <v>5681</v>
      </c>
      <c r="C1197" s="879" t="s">
        <v>649</v>
      </c>
      <c r="D1197" s="572">
        <v>1</v>
      </c>
      <c r="E1197" s="144">
        <v>58</v>
      </c>
      <c r="F1197" s="144">
        <f t="shared" si="115"/>
        <v>58</v>
      </c>
      <c r="G1197" s="153"/>
      <c r="H1197" s="161"/>
      <c r="I1197" s="155"/>
      <c r="J1197" s="156"/>
      <c r="L1197" s="162"/>
      <c r="N1197" s="144"/>
      <c r="O1197" s="852"/>
    </row>
    <row r="1198" spans="1:15" s="157" customFormat="1">
      <c r="A1198" s="254"/>
      <c r="B1198" s="767"/>
      <c r="C1198" s="879"/>
      <c r="D1198" s="572"/>
      <c r="E1198" s="144"/>
      <c r="F1198" s="144"/>
      <c r="G1198" s="153"/>
      <c r="H1198" s="161"/>
      <c r="I1198" s="155"/>
      <c r="J1198" s="156"/>
      <c r="L1198" s="162"/>
      <c r="N1198" s="144"/>
      <c r="O1198" s="852"/>
    </row>
    <row r="1199" spans="1:15" s="157" customFormat="1" ht="110.4">
      <c r="A1199" s="254" t="s">
        <v>3076</v>
      </c>
      <c r="B1199" s="274" t="s">
        <v>4821</v>
      </c>
      <c r="C1199" s="879"/>
      <c r="D1199" s="572"/>
      <c r="E1199" s="144"/>
      <c r="F1199" s="144"/>
      <c r="G1199" s="153"/>
      <c r="H1199" s="161"/>
      <c r="I1199" s="155"/>
      <c r="J1199" s="156"/>
      <c r="L1199" s="162"/>
      <c r="N1199" s="144"/>
      <c r="O1199" s="852"/>
    </row>
    <row r="1200" spans="1:15" s="157" customFormat="1">
      <c r="A1200" s="254" t="s">
        <v>48</v>
      </c>
      <c r="B1200" s="274" t="s">
        <v>3038</v>
      </c>
      <c r="C1200" s="879" t="s">
        <v>649</v>
      </c>
      <c r="D1200" s="572">
        <v>1</v>
      </c>
      <c r="E1200" s="144">
        <v>158</v>
      </c>
      <c r="F1200" s="144">
        <f t="shared" ref="F1200" si="116">IF((D1200*E1200)=0,"",(D1200*E1200))</f>
        <v>158</v>
      </c>
      <c r="G1200" s="153"/>
      <c r="H1200" s="161"/>
      <c r="I1200" s="155"/>
      <c r="J1200" s="156"/>
      <c r="L1200" s="162"/>
      <c r="N1200" s="144"/>
      <c r="O1200" s="852"/>
    </row>
    <row r="1201" spans="1:15" s="157" customFormat="1">
      <c r="A1201" s="254" t="s">
        <v>49</v>
      </c>
      <c r="B1201" s="274" t="s">
        <v>4163</v>
      </c>
      <c r="C1201" s="879" t="s">
        <v>649</v>
      </c>
      <c r="D1201" s="572">
        <v>1</v>
      </c>
      <c r="E1201" s="144">
        <v>144</v>
      </c>
      <c r="F1201" s="144">
        <f t="shared" ref="F1201" si="117">IF((D1201*E1201)=0,"",(D1201*E1201))</f>
        <v>144</v>
      </c>
      <c r="G1201" s="153"/>
      <c r="H1201" s="161"/>
      <c r="I1201" s="155"/>
      <c r="J1201" s="156"/>
      <c r="L1201" s="162"/>
      <c r="N1201" s="144"/>
      <c r="O1201" s="852"/>
    </row>
    <row r="1202" spans="1:15" s="157" customFormat="1">
      <c r="A1202" s="254"/>
      <c r="B1202" s="274"/>
      <c r="C1202" s="879"/>
      <c r="D1202" s="572"/>
      <c r="E1202" s="144"/>
      <c r="F1202" s="144"/>
      <c r="G1202" s="153"/>
      <c r="H1202" s="161"/>
      <c r="I1202" s="155"/>
      <c r="J1202" s="156"/>
      <c r="L1202" s="162"/>
      <c r="N1202" s="144"/>
      <c r="O1202" s="852"/>
    </row>
    <row r="1203" spans="1:15" s="157" customFormat="1" ht="179.4">
      <c r="A1203" s="254" t="s">
        <v>3077</v>
      </c>
      <c r="B1203" s="612" t="s">
        <v>4820</v>
      </c>
      <c r="C1203" s="879" t="s">
        <v>649</v>
      </c>
      <c r="D1203" s="572">
        <v>1</v>
      </c>
      <c r="E1203" s="144">
        <v>192</v>
      </c>
      <c r="F1203" s="144">
        <f t="shared" ref="F1203:F1315" si="118">IF((D1203*E1203)=0,"",(D1203*E1203))</f>
        <v>192</v>
      </c>
      <c r="G1203" s="153"/>
      <c r="H1203" s="161"/>
      <c r="I1203" s="155"/>
      <c r="J1203" s="156"/>
      <c r="L1203" s="162"/>
      <c r="N1203" s="144"/>
      <c r="O1203" s="852"/>
    </row>
    <row r="1204" spans="1:15" s="157" customFormat="1">
      <c r="A1204" s="254"/>
      <c r="B1204" s="612"/>
      <c r="C1204" s="879"/>
      <c r="D1204" s="572"/>
      <c r="E1204" s="144"/>
      <c r="F1204" s="144"/>
      <c r="G1204" s="153"/>
      <c r="H1204" s="161"/>
      <c r="I1204" s="155"/>
      <c r="J1204" s="156"/>
      <c r="L1204" s="162"/>
      <c r="N1204" s="144"/>
      <c r="O1204" s="852"/>
    </row>
    <row r="1205" spans="1:15" s="157" customFormat="1" ht="165.6">
      <c r="A1205" s="254" t="s">
        <v>3078</v>
      </c>
      <c r="B1205" s="604" t="s">
        <v>3039</v>
      </c>
      <c r="C1205" s="879" t="s">
        <v>649</v>
      </c>
      <c r="D1205" s="572">
        <v>1</v>
      </c>
      <c r="E1205" s="144">
        <v>85</v>
      </c>
      <c r="F1205" s="144">
        <f t="shared" si="118"/>
        <v>85</v>
      </c>
      <c r="G1205" s="153"/>
      <c r="H1205" s="161"/>
      <c r="I1205" s="155"/>
      <c r="J1205" s="156"/>
      <c r="L1205" s="162"/>
      <c r="N1205" s="144"/>
      <c r="O1205" s="852"/>
    </row>
    <row r="1206" spans="1:15" s="157" customFormat="1">
      <c r="A1206" s="254"/>
      <c r="B1206" s="604"/>
      <c r="C1206" s="879"/>
      <c r="D1206" s="572"/>
      <c r="E1206" s="144"/>
      <c r="F1206" s="144"/>
      <c r="G1206" s="153"/>
      <c r="H1206" s="161"/>
      <c r="I1206" s="155"/>
      <c r="J1206" s="156"/>
      <c r="L1206" s="162"/>
      <c r="N1206" s="144"/>
      <c r="O1206" s="852"/>
    </row>
    <row r="1207" spans="1:15" s="157" customFormat="1" ht="179.4">
      <c r="A1207" s="254" t="s">
        <v>3079</v>
      </c>
      <c r="B1207" s="767" t="s">
        <v>5682</v>
      </c>
      <c r="C1207" s="879" t="s">
        <v>649</v>
      </c>
      <c r="D1207" s="572">
        <v>2</v>
      </c>
      <c r="E1207" s="144">
        <v>565</v>
      </c>
      <c r="F1207" s="144">
        <f t="shared" si="118"/>
        <v>1130</v>
      </c>
      <c r="G1207" s="153"/>
      <c r="H1207" s="161"/>
      <c r="I1207" s="155"/>
      <c r="J1207" s="156"/>
      <c r="L1207" s="162"/>
      <c r="N1207" s="144"/>
      <c r="O1207" s="852"/>
    </row>
    <row r="1208" spans="1:15" s="157" customFormat="1">
      <c r="A1208" s="254"/>
      <c r="B1208" s="767"/>
      <c r="C1208" s="879"/>
      <c r="D1208" s="572"/>
      <c r="E1208" s="144"/>
      <c r="F1208" s="144"/>
      <c r="G1208" s="153"/>
      <c r="H1208" s="161"/>
      <c r="I1208" s="155"/>
      <c r="J1208" s="156"/>
      <c r="L1208" s="162"/>
      <c r="N1208" s="144"/>
      <c r="O1208" s="852"/>
    </row>
    <row r="1209" spans="1:15" s="157" customFormat="1" ht="41.4">
      <c r="A1209" s="254" t="s">
        <v>3080</v>
      </c>
      <c r="B1209" s="767" t="s">
        <v>5397</v>
      </c>
      <c r="C1209" s="879" t="s">
        <v>649</v>
      </c>
      <c r="D1209" s="572">
        <v>1</v>
      </c>
      <c r="E1209" s="144">
        <v>22</v>
      </c>
      <c r="F1209" s="144">
        <f t="shared" si="118"/>
        <v>22</v>
      </c>
      <c r="G1209" s="153"/>
      <c r="H1209" s="161"/>
      <c r="I1209" s="155"/>
      <c r="J1209" s="156"/>
      <c r="L1209" s="162"/>
      <c r="N1209" s="144"/>
      <c r="O1209" s="852"/>
    </row>
    <row r="1210" spans="1:15" s="157" customFormat="1">
      <c r="A1210" s="254"/>
      <c r="B1210" s="872"/>
      <c r="C1210" s="879"/>
      <c r="D1210" s="572"/>
      <c r="E1210" s="144"/>
      <c r="F1210" s="144"/>
      <c r="G1210" s="153"/>
      <c r="H1210" s="161"/>
      <c r="I1210" s="155"/>
      <c r="J1210" s="156"/>
      <c r="L1210" s="162"/>
      <c r="N1210" s="144"/>
      <c r="O1210" s="852"/>
    </row>
    <row r="1211" spans="1:15" s="157" customFormat="1" ht="55.2">
      <c r="A1211" s="254" t="s">
        <v>3081</v>
      </c>
      <c r="B1211" s="767" t="s">
        <v>5683</v>
      </c>
      <c r="C1211" s="879" t="s">
        <v>649</v>
      </c>
      <c r="D1211" s="572">
        <v>1</v>
      </c>
      <c r="E1211" s="144">
        <v>14</v>
      </c>
      <c r="F1211" s="144">
        <f t="shared" si="118"/>
        <v>14</v>
      </c>
      <c r="G1211" s="153"/>
      <c r="H1211" s="161"/>
      <c r="I1211" s="155"/>
      <c r="J1211" s="156"/>
      <c r="L1211" s="162"/>
      <c r="N1211" s="144"/>
      <c r="O1211" s="852"/>
    </row>
    <row r="1212" spans="1:15" s="157" customFormat="1">
      <c r="A1212" s="254"/>
      <c r="B1212" s="872"/>
      <c r="C1212" s="879"/>
      <c r="D1212" s="572"/>
      <c r="E1212" s="144"/>
      <c r="F1212" s="144"/>
      <c r="G1212" s="153"/>
      <c r="H1212" s="161"/>
      <c r="I1212" s="155"/>
      <c r="J1212" s="156"/>
      <c r="L1212" s="162"/>
      <c r="N1212" s="144"/>
      <c r="O1212" s="852"/>
    </row>
    <row r="1213" spans="1:15" s="157" customFormat="1" ht="41.4">
      <c r="A1213" s="254" t="s">
        <v>3082</v>
      </c>
      <c r="B1213" s="767" t="s">
        <v>5411</v>
      </c>
      <c r="C1213" s="879" t="s">
        <v>649</v>
      </c>
      <c r="D1213" s="572">
        <v>1</v>
      </c>
      <c r="E1213" s="144">
        <v>24</v>
      </c>
      <c r="F1213" s="144">
        <f t="shared" si="118"/>
        <v>24</v>
      </c>
      <c r="G1213" s="153"/>
      <c r="H1213" s="161"/>
      <c r="I1213" s="155"/>
      <c r="J1213" s="156"/>
      <c r="L1213" s="162"/>
      <c r="N1213" s="144"/>
      <c r="O1213" s="852"/>
    </row>
    <row r="1214" spans="1:15" s="157" customFormat="1">
      <c r="A1214" s="254"/>
      <c r="B1214" s="872"/>
      <c r="C1214" s="879"/>
      <c r="D1214" s="572"/>
      <c r="E1214" s="144"/>
      <c r="F1214" s="144"/>
      <c r="G1214" s="153"/>
      <c r="H1214" s="161"/>
      <c r="I1214" s="155"/>
      <c r="J1214" s="156"/>
      <c r="L1214" s="162"/>
      <c r="N1214" s="144"/>
      <c r="O1214" s="852"/>
    </row>
    <row r="1215" spans="1:15" s="157" customFormat="1" ht="41.4">
      <c r="A1215" s="254" t="s">
        <v>3083</v>
      </c>
      <c r="B1215" s="767" t="s">
        <v>5412</v>
      </c>
      <c r="C1215" s="879" t="s">
        <v>649</v>
      </c>
      <c r="D1215" s="572">
        <v>1</v>
      </c>
      <c r="E1215" s="144">
        <v>18</v>
      </c>
      <c r="F1215" s="144">
        <f t="shared" si="118"/>
        <v>18</v>
      </c>
      <c r="G1215" s="153"/>
      <c r="H1215" s="161"/>
      <c r="I1215" s="155"/>
      <c r="J1215" s="156"/>
      <c r="L1215" s="162"/>
      <c r="N1215" s="144"/>
      <c r="O1215" s="852"/>
    </row>
    <row r="1216" spans="1:15" s="157" customFormat="1">
      <c r="A1216" s="254"/>
      <c r="B1216" s="872"/>
      <c r="C1216" s="879"/>
      <c r="D1216" s="572"/>
      <c r="E1216" s="144"/>
      <c r="F1216" s="144"/>
      <c r="G1216" s="153"/>
      <c r="H1216" s="161"/>
      <c r="I1216" s="155"/>
      <c r="J1216" s="156"/>
      <c r="L1216" s="162"/>
      <c r="N1216" s="144"/>
      <c r="O1216" s="852"/>
    </row>
    <row r="1217" spans="1:15" s="157" customFormat="1" ht="41.4">
      <c r="A1217" s="254" t="s">
        <v>3084</v>
      </c>
      <c r="B1217" s="767" t="s">
        <v>5398</v>
      </c>
      <c r="C1217" s="879" t="s">
        <v>649</v>
      </c>
      <c r="D1217" s="572">
        <v>1</v>
      </c>
      <c r="E1217" s="144">
        <v>26</v>
      </c>
      <c r="F1217" s="144">
        <f t="shared" si="118"/>
        <v>26</v>
      </c>
      <c r="G1217" s="153"/>
      <c r="H1217" s="161"/>
      <c r="I1217" s="155"/>
      <c r="J1217" s="156"/>
      <c r="L1217" s="162"/>
      <c r="N1217" s="144"/>
      <c r="O1217" s="852"/>
    </row>
    <row r="1218" spans="1:15" s="157" customFormat="1">
      <c r="A1218" s="254"/>
      <c r="B1218" s="872"/>
      <c r="C1218" s="879"/>
      <c r="D1218" s="572"/>
      <c r="E1218" s="144"/>
      <c r="F1218" s="144"/>
      <c r="G1218" s="153"/>
      <c r="H1218" s="161"/>
      <c r="I1218" s="155"/>
      <c r="J1218" s="156"/>
      <c r="L1218" s="162"/>
      <c r="N1218" s="144"/>
      <c r="O1218" s="852"/>
    </row>
    <row r="1219" spans="1:15" s="157" customFormat="1" ht="27.6">
      <c r="A1219" s="254" t="s">
        <v>3085</v>
      </c>
      <c r="B1219" s="767" t="s">
        <v>5413</v>
      </c>
      <c r="C1219" s="879" t="s">
        <v>649</v>
      </c>
      <c r="D1219" s="572">
        <v>1</v>
      </c>
      <c r="E1219" s="144">
        <v>6</v>
      </c>
      <c r="F1219" s="144">
        <f t="shared" si="118"/>
        <v>6</v>
      </c>
      <c r="G1219" s="153"/>
      <c r="H1219" s="161"/>
      <c r="I1219" s="155"/>
      <c r="J1219" s="156"/>
      <c r="L1219" s="162"/>
      <c r="N1219" s="144"/>
      <c r="O1219" s="852"/>
    </row>
    <row r="1220" spans="1:15" s="157" customFormat="1">
      <c r="A1220" s="254"/>
      <c r="B1220" s="872"/>
      <c r="C1220" s="879"/>
      <c r="D1220" s="572"/>
      <c r="E1220" s="144"/>
      <c r="F1220" s="144"/>
      <c r="G1220" s="153"/>
      <c r="H1220" s="161"/>
      <c r="I1220" s="155"/>
      <c r="J1220" s="156"/>
      <c r="L1220" s="162"/>
      <c r="N1220" s="144"/>
      <c r="O1220" s="852"/>
    </row>
    <row r="1221" spans="1:15" s="157" customFormat="1" ht="69">
      <c r="A1221" s="254" t="s">
        <v>3086</v>
      </c>
      <c r="B1221" s="767" t="s">
        <v>5433</v>
      </c>
      <c r="C1221" s="879" t="s">
        <v>649</v>
      </c>
      <c r="D1221" s="572">
        <v>1</v>
      </c>
      <c r="E1221" s="144">
        <v>16</v>
      </c>
      <c r="F1221" s="144">
        <f t="shared" si="118"/>
        <v>16</v>
      </c>
      <c r="G1221" s="153"/>
      <c r="H1221" s="161"/>
      <c r="I1221" s="155"/>
      <c r="J1221" s="156"/>
      <c r="L1221" s="162"/>
      <c r="N1221" s="144"/>
      <c r="O1221" s="852"/>
    </row>
    <row r="1222" spans="1:15" s="157" customFormat="1">
      <c r="A1222" s="254"/>
      <c r="B1222" s="872"/>
      <c r="C1222" s="879"/>
      <c r="D1222" s="572"/>
      <c r="E1222" s="144"/>
      <c r="F1222" s="144"/>
      <c r="G1222" s="153"/>
      <c r="H1222" s="161"/>
      <c r="I1222" s="155"/>
      <c r="J1222" s="156"/>
      <c r="L1222" s="162"/>
      <c r="N1222" s="144"/>
      <c r="O1222" s="852"/>
    </row>
    <row r="1223" spans="1:15" s="157" customFormat="1" ht="27.6">
      <c r="A1223" s="254" t="s">
        <v>3087</v>
      </c>
      <c r="B1223" s="767" t="s">
        <v>5414</v>
      </c>
      <c r="C1223" s="879" t="s">
        <v>649</v>
      </c>
      <c r="D1223" s="572">
        <v>1</v>
      </c>
      <c r="E1223" s="144">
        <v>22</v>
      </c>
      <c r="F1223" s="144">
        <f t="shared" si="118"/>
        <v>22</v>
      </c>
      <c r="G1223" s="153"/>
      <c r="H1223" s="161"/>
      <c r="I1223" s="155"/>
      <c r="J1223" s="156"/>
      <c r="L1223" s="162"/>
      <c r="N1223" s="144"/>
      <c r="O1223" s="852"/>
    </row>
    <row r="1224" spans="1:15" s="157" customFormat="1">
      <c r="A1224" s="254"/>
      <c r="B1224" s="872"/>
      <c r="C1224" s="879"/>
      <c r="D1224" s="572"/>
      <c r="E1224" s="144"/>
      <c r="F1224" s="144"/>
      <c r="G1224" s="153"/>
      <c r="H1224" s="161"/>
      <c r="I1224" s="155"/>
      <c r="J1224" s="156"/>
      <c r="L1224" s="162"/>
      <c r="N1224" s="144"/>
      <c r="O1224" s="852"/>
    </row>
    <row r="1225" spans="1:15" s="157" customFormat="1" ht="41.4">
      <c r="A1225" s="254" t="s">
        <v>3088</v>
      </c>
      <c r="B1225" s="767" t="s">
        <v>5415</v>
      </c>
      <c r="C1225" s="879" t="s">
        <v>649</v>
      </c>
      <c r="D1225" s="572">
        <v>1</v>
      </c>
      <c r="E1225" s="144">
        <v>15</v>
      </c>
      <c r="F1225" s="144">
        <f t="shared" si="118"/>
        <v>15</v>
      </c>
      <c r="G1225" s="153"/>
      <c r="H1225" s="161"/>
      <c r="I1225" s="155"/>
      <c r="J1225" s="156"/>
      <c r="L1225" s="162"/>
      <c r="N1225" s="144"/>
      <c r="O1225" s="852"/>
    </row>
    <row r="1226" spans="1:15" s="157" customFormat="1">
      <c r="A1226" s="254"/>
      <c r="B1226" s="872"/>
      <c r="C1226" s="879"/>
      <c r="D1226" s="572"/>
      <c r="E1226" s="144"/>
      <c r="F1226" s="144"/>
      <c r="G1226" s="153"/>
      <c r="H1226" s="161"/>
      <c r="I1226" s="155"/>
      <c r="J1226" s="156"/>
      <c r="L1226" s="162"/>
      <c r="N1226" s="144"/>
      <c r="O1226" s="852"/>
    </row>
    <row r="1227" spans="1:15" s="157" customFormat="1" ht="55.2">
      <c r="A1227" s="254" t="s">
        <v>3089</v>
      </c>
      <c r="B1227" s="767" t="s">
        <v>5416</v>
      </c>
      <c r="C1227" s="879" t="s">
        <v>649</v>
      </c>
      <c r="D1227" s="572">
        <v>1</v>
      </c>
      <c r="E1227" s="144">
        <v>11</v>
      </c>
      <c r="F1227" s="144">
        <f t="shared" si="118"/>
        <v>11</v>
      </c>
      <c r="G1227" s="153"/>
      <c r="H1227" s="161"/>
      <c r="I1227" s="155"/>
      <c r="J1227" s="156"/>
      <c r="L1227" s="162"/>
      <c r="N1227" s="144"/>
      <c r="O1227" s="852"/>
    </row>
    <row r="1228" spans="1:15" s="157" customFormat="1">
      <c r="A1228" s="254"/>
      <c r="B1228" s="872"/>
      <c r="C1228" s="879"/>
      <c r="D1228" s="572"/>
      <c r="E1228" s="144"/>
      <c r="F1228" s="144"/>
      <c r="G1228" s="153"/>
      <c r="H1228" s="161"/>
      <c r="I1228" s="155"/>
      <c r="J1228" s="156"/>
      <c r="L1228" s="162"/>
      <c r="N1228" s="144"/>
      <c r="O1228" s="852"/>
    </row>
    <row r="1229" spans="1:15" s="157" customFormat="1" ht="41.4">
      <c r="A1229" s="254" t="s">
        <v>3090</v>
      </c>
      <c r="B1229" s="767" t="s">
        <v>5440</v>
      </c>
      <c r="C1229" s="879" t="s">
        <v>649</v>
      </c>
      <c r="D1229" s="572">
        <v>1</v>
      </c>
      <c r="E1229" s="144">
        <v>178</v>
      </c>
      <c r="F1229" s="144">
        <f t="shared" si="118"/>
        <v>178</v>
      </c>
      <c r="G1229" s="153"/>
      <c r="H1229" s="161"/>
      <c r="I1229" s="155"/>
      <c r="J1229" s="156"/>
      <c r="L1229" s="162"/>
      <c r="N1229" s="144"/>
      <c r="O1229" s="852"/>
    </row>
    <row r="1230" spans="1:15" s="157" customFormat="1">
      <c r="A1230" s="254"/>
      <c r="B1230" s="872"/>
      <c r="C1230" s="879"/>
      <c r="D1230" s="572"/>
      <c r="E1230" s="144"/>
      <c r="F1230" s="144"/>
      <c r="G1230" s="153"/>
      <c r="H1230" s="161"/>
      <c r="I1230" s="155"/>
      <c r="J1230" s="156"/>
      <c r="L1230" s="162"/>
      <c r="N1230" s="144"/>
      <c r="O1230" s="852"/>
    </row>
    <row r="1231" spans="1:15" s="157" customFormat="1" ht="69">
      <c r="A1231" s="254" t="s">
        <v>3091</v>
      </c>
      <c r="B1231" s="767" t="s">
        <v>5432</v>
      </c>
      <c r="C1231" s="879" t="s">
        <v>649</v>
      </c>
      <c r="D1231" s="572">
        <v>1</v>
      </c>
      <c r="E1231" s="144">
        <v>6</v>
      </c>
      <c r="F1231" s="144">
        <f t="shared" si="118"/>
        <v>6</v>
      </c>
      <c r="G1231" s="153"/>
      <c r="H1231" s="161"/>
      <c r="I1231" s="155"/>
      <c r="J1231" s="156"/>
      <c r="L1231" s="162"/>
      <c r="N1231" s="144"/>
      <c r="O1231" s="852"/>
    </row>
    <row r="1232" spans="1:15" s="157" customFormat="1">
      <c r="A1232" s="254"/>
      <c r="B1232" s="872"/>
      <c r="C1232" s="879"/>
      <c r="D1232" s="572"/>
      <c r="E1232" s="144"/>
      <c r="F1232" s="144"/>
      <c r="G1232" s="153"/>
      <c r="H1232" s="161"/>
      <c r="I1232" s="155"/>
      <c r="J1232" s="156"/>
      <c r="L1232" s="162"/>
      <c r="N1232" s="144"/>
      <c r="O1232" s="852"/>
    </row>
    <row r="1233" spans="1:15" s="157" customFormat="1" ht="41.4">
      <c r="A1233" s="254" t="s">
        <v>3092</v>
      </c>
      <c r="B1233" s="767" t="s">
        <v>5417</v>
      </c>
      <c r="C1233" s="879" t="s">
        <v>649</v>
      </c>
      <c r="D1233" s="572">
        <v>1</v>
      </c>
      <c r="E1233" s="144">
        <v>16</v>
      </c>
      <c r="F1233" s="144">
        <f t="shared" si="118"/>
        <v>16</v>
      </c>
      <c r="G1233" s="153"/>
      <c r="H1233" s="161"/>
      <c r="I1233" s="155"/>
      <c r="J1233" s="156"/>
      <c r="L1233" s="162"/>
      <c r="N1233" s="144"/>
      <c r="O1233" s="852"/>
    </row>
    <row r="1234" spans="1:15" s="157" customFormat="1">
      <c r="A1234" s="254"/>
      <c r="B1234" s="872"/>
      <c r="C1234" s="879"/>
      <c r="D1234" s="572"/>
      <c r="E1234" s="144"/>
      <c r="F1234" s="144"/>
      <c r="G1234" s="153"/>
      <c r="H1234" s="161"/>
      <c r="I1234" s="155"/>
      <c r="J1234" s="156"/>
      <c r="L1234" s="162"/>
      <c r="N1234" s="144"/>
      <c r="O1234" s="852"/>
    </row>
    <row r="1235" spans="1:15" s="157" customFormat="1" ht="27.6">
      <c r="A1235" s="254" t="s">
        <v>3093</v>
      </c>
      <c r="B1235" s="767" t="s">
        <v>5684</v>
      </c>
      <c r="C1235" s="879" t="s">
        <v>649</v>
      </c>
      <c r="D1235" s="572">
        <v>1</v>
      </c>
      <c r="E1235" s="144">
        <v>14</v>
      </c>
      <c r="F1235" s="144">
        <f t="shared" si="118"/>
        <v>14</v>
      </c>
      <c r="G1235" s="153"/>
      <c r="H1235" s="161"/>
      <c r="I1235" s="155"/>
      <c r="J1235" s="156"/>
      <c r="L1235" s="162"/>
      <c r="N1235" s="144"/>
      <c r="O1235" s="852"/>
    </row>
    <row r="1236" spans="1:15" s="157" customFormat="1">
      <c r="A1236" s="254"/>
      <c r="B1236" s="872"/>
      <c r="C1236" s="879"/>
      <c r="D1236" s="572"/>
      <c r="E1236" s="144"/>
      <c r="F1236" s="144"/>
      <c r="G1236" s="153"/>
      <c r="H1236" s="161"/>
      <c r="I1236" s="155"/>
      <c r="J1236" s="156"/>
      <c r="L1236" s="162"/>
      <c r="N1236" s="144"/>
      <c r="O1236" s="852"/>
    </row>
    <row r="1237" spans="1:15" s="157" customFormat="1" ht="41.4">
      <c r="A1237" s="254" t="s">
        <v>3094</v>
      </c>
      <c r="B1237" s="767" t="s">
        <v>5418</v>
      </c>
      <c r="C1237" s="879" t="s">
        <v>649</v>
      </c>
      <c r="D1237" s="572">
        <v>1</v>
      </c>
      <c r="E1237" s="144">
        <v>49</v>
      </c>
      <c r="F1237" s="144">
        <f t="shared" si="118"/>
        <v>49</v>
      </c>
      <c r="G1237" s="153"/>
      <c r="H1237" s="161"/>
      <c r="I1237" s="155"/>
      <c r="J1237" s="156"/>
      <c r="L1237" s="162"/>
      <c r="N1237" s="144"/>
      <c r="O1237" s="852"/>
    </row>
    <row r="1238" spans="1:15" s="157" customFormat="1">
      <c r="A1238" s="254"/>
      <c r="B1238" s="872"/>
      <c r="C1238" s="879"/>
      <c r="D1238" s="572"/>
      <c r="E1238" s="144"/>
      <c r="F1238" s="144"/>
      <c r="G1238" s="153"/>
      <c r="H1238" s="161"/>
      <c r="I1238" s="155"/>
      <c r="J1238" s="156"/>
      <c r="L1238" s="162"/>
      <c r="N1238" s="144"/>
      <c r="O1238" s="852"/>
    </row>
    <row r="1239" spans="1:15" s="157" customFormat="1" ht="41.4">
      <c r="A1239" s="254" t="s">
        <v>3095</v>
      </c>
      <c r="B1239" s="767" t="s">
        <v>5410</v>
      </c>
      <c r="C1239" s="879" t="s">
        <v>649</v>
      </c>
      <c r="D1239" s="572">
        <v>1</v>
      </c>
      <c r="E1239" s="144">
        <v>55</v>
      </c>
      <c r="F1239" s="144">
        <f t="shared" si="118"/>
        <v>55</v>
      </c>
      <c r="G1239" s="153"/>
      <c r="H1239" s="161"/>
      <c r="I1239" s="155"/>
      <c r="J1239" s="156"/>
      <c r="L1239" s="162"/>
      <c r="N1239" s="144"/>
      <c r="O1239" s="852"/>
    </row>
    <row r="1240" spans="1:15" s="157" customFormat="1">
      <c r="A1240" s="254"/>
      <c r="B1240" s="872"/>
      <c r="C1240" s="879"/>
      <c r="D1240" s="572"/>
      <c r="E1240" s="144"/>
      <c r="F1240" s="144"/>
      <c r="G1240" s="153"/>
      <c r="H1240" s="161"/>
      <c r="I1240" s="155"/>
      <c r="J1240" s="156"/>
      <c r="L1240" s="162"/>
      <c r="N1240" s="144"/>
      <c r="O1240" s="852"/>
    </row>
    <row r="1241" spans="1:15" s="157" customFormat="1" ht="55.2">
      <c r="A1241" s="254" t="s">
        <v>3096</v>
      </c>
      <c r="B1241" s="767" t="s">
        <v>5408</v>
      </c>
      <c r="C1241" s="879" t="s">
        <v>649</v>
      </c>
      <c r="D1241" s="572">
        <v>1</v>
      </c>
      <c r="E1241" s="144">
        <v>82</v>
      </c>
      <c r="F1241" s="144">
        <f t="shared" si="118"/>
        <v>82</v>
      </c>
      <c r="G1241" s="153"/>
      <c r="H1241" s="161"/>
      <c r="I1241" s="155"/>
      <c r="J1241" s="156"/>
      <c r="L1241" s="162"/>
      <c r="N1241" s="144"/>
      <c r="O1241" s="852"/>
    </row>
    <row r="1242" spans="1:15" s="157" customFormat="1">
      <c r="A1242" s="254"/>
      <c r="B1242" s="872"/>
      <c r="C1242" s="879"/>
      <c r="D1242" s="572"/>
      <c r="E1242" s="144"/>
      <c r="F1242" s="144"/>
      <c r="G1242" s="153"/>
      <c r="H1242" s="161"/>
      <c r="I1242" s="155"/>
      <c r="J1242" s="156"/>
      <c r="L1242" s="162"/>
      <c r="N1242" s="144"/>
      <c r="O1242" s="852"/>
    </row>
    <row r="1243" spans="1:15" s="157" customFormat="1" ht="41.4">
      <c r="A1243" s="254" t="s">
        <v>3097</v>
      </c>
      <c r="B1243" s="767" t="s">
        <v>5409</v>
      </c>
      <c r="C1243" s="879" t="s">
        <v>649</v>
      </c>
      <c r="D1243" s="572">
        <v>1</v>
      </c>
      <c r="E1243" s="144">
        <v>46</v>
      </c>
      <c r="F1243" s="144">
        <f t="shared" si="118"/>
        <v>46</v>
      </c>
      <c r="G1243" s="153"/>
      <c r="H1243" s="161"/>
      <c r="I1243" s="155"/>
      <c r="J1243" s="156"/>
      <c r="L1243" s="162"/>
      <c r="N1243" s="144"/>
      <c r="O1243" s="852"/>
    </row>
    <row r="1244" spans="1:15" s="157" customFormat="1">
      <c r="A1244" s="254"/>
      <c r="B1244" s="872"/>
      <c r="C1244" s="879"/>
      <c r="D1244" s="572"/>
      <c r="E1244" s="144"/>
      <c r="F1244" s="144"/>
      <c r="G1244" s="153"/>
      <c r="H1244" s="161"/>
      <c r="I1244" s="155"/>
      <c r="J1244" s="156"/>
      <c r="L1244" s="162"/>
      <c r="N1244" s="144"/>
      <c r="O1244" s="852"/>
    </row>
    <row r="1245" spans="1:15" s="157" customFormat="1" ht="55.2">
      <c r="A1245" s="254" t="s">
        <v>3098</v>
      </c>
      <c r="B1245" s="767" t="s">
        <v>5407</v>
      </c>
      <c r="C1245" s="879" t="s">
        <v>649</v>
      </c>
      <c r="D1245" s="572">
        <v>1</v>
      </c>
      <c r="E1245" s="144">
        <v>66</v>
      </c>
      <c r="F1245" s="144">
        <f t="shared" si="118"/>
        <v>66</v>
      </c>
      <c r="G1245" s="153"/>
      <c r="H1245" s="161"/>
      <c r="I1245" s="155"/>
      <c r="J1245" s="156"/>
      <c r="L1245" s="162"/>
      <c r="N1245" s="144"/>
      <c r="O1245" s="852"/>
    </row>
    <row r="1246" spans="1:15" s="157" customFormat="1">
      <c r="A1246" s="254"/>
      <c r="B1246" s="872"/>
      <c r="C1246" s="879"/>
      <c r="D1246" s="572"/>
      <c r="E1246" s="144"/>
      <c r="F1246" s="144"/>
      <c r="G1246" s="153"/>
      <c r="H1246" s="161"/>
      <c r="I1246" s="155"/>
      <c r="J1246" s="156"/>
      <c r="L1246" s="162"/>
      <c r="N1246" s="144"/>
      <c r="O1246" s="852"/>
    </row>
    <row r="1247" spans="1:15" s="157" customFormat="1" ht="41.4">
      <c r="A1247" s="254" t="s">
        <v>3099</v>
      </c>
      <c r="B1247" s="767" t="s">
        <v>5406</v>
      </c>
      <c r="C1247" s="879" t="s">
        <v>649</v>
      </c>
      <c r="D1247" s="572">
        <v>1</v>
      </c>
      <c r="E1247" s="144">
        <v>255</v>
      </c>
      <c r="F1247" s="144">
        <f t="shared" si="118"/>
        <v>255</v>
      </c>
      <c r="G1247" s="153"/>
      <c r="H1247" s="161"/>
      <c r="I1247" s="155"/>
      <c r="J1247" s="156"/>
      <c r="L1247" s="162"/>
      <c r="N1247" s="144"/>
      <c r="O1247" s="852"/>
    </row>
    <row r="1248" spans="1:15" s="157" customFormat="1">
      <c r="A1248" s="254"/>
      <c r="B1248" s="872"/>
      <c r="C1248" s="879"/>
      <c r="D1248" s="572"/>
      <c r="E1248" s="144"/>
      <c r="F1248" s="144"/>
      <c r="G1248" s="153"/>
      <c r="H1248" s="161"/>
      <c r="I1248" s="155"/>
      <c r="J1248" s="156"/>
      <c r="L1248" s="162"/>
      <c r="N1248" s="144"/>
      <c r="O1248" s="852"/>
    </row>
    <row r="1249" spans="1:15" s="157" customFormat="1" ht="41.4">
      <c r="A1249" s="254" t="s">
        <v>3100</v>
      </c>
      <c r="B1249" s="767" t="s">
        <v>5401</v>
      </c>
      <c r="C1249" s="879" t="s">
        <v>649</v>
      </c>
      <c r="D1249" s="572">
        <v>1</v>
      </c>
      <c r="E1249" s="144">
        <v>87</v>
      </c>
      <c r="F1249" s="144">
        <f t="shared" si="118"/>
        <v>87</v>
      </c>
      <c r="G1249" s="153"/>
      <c r="H1249" s="161"/>
      <c r="I1249" s="155"/>
      <c r="J1249" s="156"/>
      <c r="L1249" s="162"/>
      <c r="N1249" s="144"/>
      <c r="O1249" s="852"/>
    </row>
    <row r="1250" spans="1:15" s="157" customFormat="1">
      <c r="A1250" s="254"/>
      <c r="B1250" s="872"/>
      <c r="C1250" s="879"/>
      <c r="D1250" s="572"/>
      <c r="E1250" s="144"/>
      <c r="F1250" s="144"/>
      <c r="G1250" s="153"/>
      <c r="H1250" s="161"/>
      <c r="I1250" s="155"/>
      <c r="J1250" s="156"/>
      <c r="L1250" s="162"/>
      <c r="N1250" s="144"/>
      <c r="O1250" s="852"/>
    </row>
    <row r="1251" spans="1:15" s="157" customFormat="1" ht="27.6">
      <c r="A1251" s="254" t="s">
        <v>3101</v>
      </c>
      <c r="B1251" s="767" t="s">
        <v>5402</v>
      </c>
      <c r="C1251" s="879" t="s">
        <v>649</v>
      </c>
      <c r="D1251" s="572">
        <v>1</v>
      </c>
      <c r="E1251" s="144">
        <v>18</v>
      </c>
      <c r="F1251" s="144">
        <f t="shared" si="118"/>
        <v>18</v>
      </c>
      <c r="G1251" s="153"/>
      <c r="H1251" s="161"/>
      <c r="I1251" s="155"/>
      <c r="J1251" s="156"/>
      <c r="L1251" s="162"/>
      <c r="N1251" s="144"/>
      <c r="O1251" s="852"/>
    </row>
    <row r="1252" spans="1:15" s="157" customFormat="1">
      <c r="A1252" s="254"/>
      <c r="B1252" s="872"/>
      <c r="C1252" s="879"/>
      <c r="D1252" s="572"/>
      <c r="E1252" s="144"/>
      <c r="F1252" s="144"/>
      <c r="G1252" s="153"/>
      <c r="H1252" s="161"/>
      <c r="I1252" s="155"/>
      <c r="J1252" s="156"/>
      <c r="L1252" s="162"/>
      <c r="N1252" s="144"/>
      <c r="O1252" s="852"/>
    </row>
    <row r="1253" spans="1:15" s="157" customFormat="1" ht="27.6">
      <c r="A1253" s="254" t="s">
        <v>3102</v>
      </c>
      <c r="B1253" s="767" t="s">
        <v>5405</v>
      </c>
      <c r="C1253" s="879" t="s">
        <v>649</v>
      </c>
      <c r="D1253" s="572">
        <v>1</v>
      </c>
      <c r="E1253" s="144">
        <v>35</v>
      </c>
      <c r="F1253" s="144">
        <f t="shared" si="118"/>
        <v>35</v>
      </c>
      <c r="G1253" s="153"/>
      <c r="H1253" s="161"/>
      <c r="I1253" s="155"/>
      <c r="J1253" s="156"/>
      <c r="L1253" s="162"/>
      <c r="N1253" s="144"/>
      <c r="O1253" s="852"/>
    </row>
    <row r="1254" spans="1:15" s="157" customFormat="1">
      <c r="A1254" s="254"/>
      <c r="B1254" s="872"/>
      <c r="C1254" s="879"/>
      <c r="D1254" s="572"/>
      <c r="E1254" s="144"/>
      <c r="F1254" s="144"/>
      <c r="G1254" s="153"/>
      <c r="H1254" s="161"/>
      <c r="I1254" s="155"/>
      <c r="J1254" s="156"/>
      <c r="L1254" s="162"/>
      <c r="N1254" s="144"/>
      <c r="O1254" s="852"/>
    </row>
    <row r="1255" spans="1:15" s="157" customFormat="1" ht="41.4">
      <c r="A1255" s="254" t="s">
        <v>3103</v>
      </c>
      <c r="B1255" s="767" t="s">
        <v>5404</v>
      </c>
      <c r="C1255" s="879" t="s">
        <v>649</v>
      </c>
      <c r="D1255" s="572">
        <v>3</v>
      </c>
      <c r="E1255" s="144">
        <v>4</v>
      </c>
      <c r="F1255" s="144">
        <f t="shared" si="118"/>
        <v>12</v>
      </c>
      <c r="G1255" s="153"/>
      <c r="H1255" s="161"/>
      <c r="I1255" s="155"/>
      <c r="J1255" s="156"/>
      <c r="L1255" s="162"/>
      <c r="N1255" s="144"/>
      <c r="O1255" s="852"/>
    </row>
    <row r="1256" spans="1:15" s="157" customFormat="1">
      <c r="A1256" s="254"/>
      <c r="B1256" s="872"/>
      <c r="C1256" s="879"/>
      <c r="D1256" s="572"/>
      <c r="E1256" s="144"/>
      <c r="F1256" s="144"/>
      <c r="G1256" s="153"/>
      <c r="H1256" s="161"/>
      <c r="I1256" s="155"/>
      <c r="J1256" s="156"/>
      <c r="L1256" s="162"/>
      <c r="N1256" s="144"/>
      <c r="O1256" s="852"/>
    </row>
    <row r="1257" spans="1:15" s="157" customFormat="1" ht="41.4">
      <c r="A1257" s="254" t="s">
        <v>3104</v>
      </c>
      <c r="B1257" s="767" t="s">
        <v>5403</v>
      </c>
      <c r="C1257" s="879" t="s">
        <v>649</v>
      </c>
      <c r="D1257" s="572">
        <v>1</v>
      </c>
      <c r="E1257" s="144">
        <v>19</v>
      </c>
      <c r="F1257" s="144">
        <f t="shared" si="118"/>
        <v>19</v>
      </c>
      <c r="G1257" s="153"/>
      <c r="H1257" s="161"/>
      <c r="I1257" s="155"/>
      <c r="J1257" s="156"/>
      <c r="L1257" s="162"/>
      <c r="N1257" s="144"/>
      <c r="O1257" s="852"/>
    </row>
    <row r="1258" spans="1:15" s="157" customFormat="1">
      <c r="A1258" s="254"/>
      <c r="B1258" s="872"/>
      <c r="C1258" s="879"/>
      <c r="D1258" s="572"/>
      <c r="E1258" s="144"/>
      <c r="F1258" s="144"/>
      <c r="G1258" s="153"/>
      <c r="H1258" s="161"/>
      <c r="I1258" s="155"/>
      <c r="J1258" s="156"/>
      <c r="L1258" s="162"/>
      <c r="N1258" s="144"/>
      <c r="O1258" s="852"/>
    </row>
    <row r="1259" spans="1:15" s="157" customFormat="1">
      <c r="A1259" s="254" t="s">
        <v>3105</v>
      </c>
      <c r="B1259" s="872" t="s">
        <v>5419</v>
      </c>
      <c r="C1259" s="879" t="s">
        <v>649</v>
      </c>
      <c r="D1259" s="572">
        <v>1</v>
      </c>
      <c r="E1259" s="144">
        <v>8</v>
      </c>
      <c r="F1259" s="144">
        <f t="shared" si="118"/>
        <v>8</v>
      </c>
      <c r="G1259" s="153"/>
      <c r="H1259" s="161"/>
      <c r="I1259" s="155"/>
      <c r="J1259" s="156"/>
      <c r="L1259" s="162"/>
      <c r="N1259" s="144"/>
      <c r="O1259" s="852"/>
    </row>
    <row r="1260" spans="1:15" s="157" customFormat="1">
      <c r="A1260" s="254"/>
      <c r="B1260" s="872"/>
      <c r="C1260" s="879"/>
      <c r="D1260" s="572"/>
      <c r="E1260" s="144"/>
      <c r="F1260" s="144"/>
      <c r="G1260" s="153"/>
      <c r="H1260" s="161"/>
      <c r="I1260" s="155"/>
      <c r="J1260" s="156"/>
      <c r="L1260" s="162"/>
      <c r="N1260" s="144"/>
      <c r="O1260" s="852"/>
    </row>
    <row r="1261" spans="1:15" s="157" customFormat="1">
      <c r="A1261" s="254" t="s">
        <v>3106</v>
      </c>
      <c r="B1261" s="872" t="s">
        <v>5420</v>
      </c>
      <c r="C1261" s="879" t="s">
        <v>649</v>
      </c>
      <c r="D1261" s="572">
        <v>1</v>
      </c>
      <c r="E1261" s="144">
        <v>7</v>
      </c>
      <c r="F1261" s="144">
        <f t="shared" si="118"/>
        <v>7</v>
      </c>
      <c r="G1261" s="153"/>
      <c r="H1261" s="161"/>
      <c r="I1261" s="155"/>
      <c r="J1261" s="156"/>
      <c r="L1261" s="162"/>
      <c r="N1261" s="144"/>
      <c r="O1261" s="852"/>
    </row>
    <row r="1262" spans="1:15" s="157" customFormat="1">
      <c r="A1262" s="254"/>
      <c r="B1262" s="872"/>
      <c r="C1262" s="879"/>
      <c r="D1262" s="572"/>
      <c r="E1262" s="144"/>
      <c r="F1262" s="144"/>
      <c r="G1262" s="153"/>
      <c r="H1262" s="161"/>
      <c r="I1262" s="155"/>
      <c r="J1262" s="156"/>
      <c r="L1262" s="162"/>
      <c r="N1262" s="144"/>
      <c r="O1262" s="852"/>
    </row>
    <row r="1263" spans="1:15" s="157" customFormat="1">
      <c r="A1263" s="254" t="s">
        <v>3107</v>
      </c>
      <c r="B1263" s="872" t="s">
        <v>5421</v>
      </c>
      <c r="C1263" s="879" t="s">
        <v>649</v>
      </c>
      <c r="D1263" s="572">
        <v>1</v>
      </c>
      <c r="E1263" s="144">
        <v>8</v>
      </c>
      <c r="F1263" s="144">
        <f t="shared" si="118"/>
        <v>8</v>
      </c>
      <c r="G1263" s="153"/>
      <c r="H1263" s="161"/>
      <c r="I1263" s="155"/>
      <c r="J1263" s="156"/>
      <c r="L1263" s="162"/>
      <c r="N1263" s="144"/>
      <c r="O1263" s="852"/>
    </row>
    <row r="1264" spans="1:15" s="157" customFormat="1">
      <c r="A1264" s="254"/>
      <c r="B1264" s="872"/>
      <c r="C1264" s="879"/>
      <c r="D1264" s="572"/>
      <c r="E1264" s="144"/>
      <c r="F1264" s="144"/>
      <c r="G1264" s="153"/>
      <c r="H1264" s="161"/>
      <c r="I1264" s="155"/>
      <c r="J1264" s="156"/>
      <c r="L1264" s="162"/>
      <c r="N1264" s="144"/>
      <c r="O1264" s="852"/>
    </row>
    <row r="1265" spans="1:15" s="157" customFormat="1">
      <c r="A1265" s="254" t="s">
        <v>3108</v>
      </c>
      <c r="B1265" s="872" t="s">
        <v>5422</v>
      </c>
      <c r="C1265" s="879" t="s">
        <v>649</v>
      </c>
      <c r="D1265" s="572">
        <v>1</v>
      </c>
      <c r="E1265" s="144">
        <v>6</v>
      </c>
      <c r="F1265" s="144">
        <f t="shared" si="118"/>
        <v>6</v>
      </c>
      <c r="G1265" s="153"/>
      <c r="H1265" s="161"/>
      <c r="I1265" s="155"/>
      <c r="J1265" s="156"/>
      <c r="L1265" s="162"/>
      <c r="N1265" s="144"/>
      <c r="O1265" s="852"/>
    </row>
    <row r="1266" spans="1:15" s="157" customFormat="1">
      <c r="A1266" s="254"/>
      <c r="B1266" s="872"/>
      <c r="C1266" s="879"/>
      <c r="D1266" s="572"/>
      <c r="E1266" s="144"/>
      <c r="F1266" s="144"/>
      <c r="G1266" s="153"/>
      <c r="H1266" s="161"/>
      <c r="I1266" s="155"/>
      <c r="J1266" s="156"/>
      <c r="L1266" s="162"/>
      <c r="N1266" s="144"/>
      <c r="O1266" s="852"/>
    </row>
    <row r="1267" spans="1:15" s="157" customFormat="1" ht="41.4">
      <c r="A1267" s="254" t="s">
        <v>3109</v>
      </c>
      <c r="B1267" s="767" t="s">
        <v>5685</v>
      </c>
      <c r="C1267" s="879" t="s">
        <v>649</v>
      </c>
      <c r="D1267" s="572">
        <v>1</v>
      </c>
      <c r="E1267" s="144">
        <v>12</v>
      </c>
      <c r="F1267" s="144">
        <f t="shared" si="118"/>
        <v>12</v>
      </c>
      <c r="G1267" s="153"/>
      <c r="H1267" s="161"/>
      <c r="I1267" s="155"/>
      <c r="J1267" s="156"/>
      <c r="L1267" s="162"/>
      <c r="N1267" s="144"/>
      <c r="O1267" s="852"/>
    </row>
    <row r="1268" spans="1:15" s="157" customFormat="1">
      <c r="A1268" s="254"/>
      <c r="B1268" s="872"/>
      <c r="C1268" s="879"/>
      <c r="D1268" s="572"/>
      <c r="E1268" s="144"/>
      <c r="F1268" s="144"/>
      <c r="G1268" s="153"/>
      <c r="H1268" s="161"/>
      <c r="I1268" s="155"/>
      <c r="J1268" s="156"/>
      <c r="L1268" s="162"/>
      <c r="N1268" s="144"/>
      <c r="O1268" s="852"/>
    </row>
    <row r="1269" spans="1:15" s="157" customFormat="1" ht="41.4">
      <c r="A1269" s="254" t="s">
        <v>3110</v>
      </c>
      <c r="B1269" s="767" t="s">
        <v>5424</v>
      </c>
      <c r="C1269" s="879" t="s">
        <v>649</v>
      </c>
      <c r="D1269" s="572">
        <v>1</v>
      </c>
      <c r="E1269" s="144">
        <v>4</v>
      </c>
      <c r="F1269" s="144">
        <f t="shared" si="118"/>
        <v>4</v>
      </c>
      <c r="G1269" s="153"/>
      <c r="H1269" s="161"/>
      <c r="I1269" s="155"/>
      <c r="J1269" s="156"/>
      <c r="L1269" s="162"/>
      <c r="N1269" s="144"/>
      <c r="O1269" s="852"/>
    </row>
    <row r="1270" spans="1:15" s="157" customFormat="1">
      <c r="A1270" s="254"/>
      <c r="B1270" s="872"/>
      <c r="C1270" s="879"/>
      <c r="D1270" s="572"/>
      <c r="E1270" s="144"/>
      <c r="F1270" s="144"/>
      <c r="G1270" s="153"/>
      <c r="H1270" s="161"/>
      <c r="I1270" s="155"/>
      <c r="J1270" s="156"/>
      <c r="L1270" s="162"/>
      <c r="N1270" s="144"/>
      <c r="O1270" s="852"/>
    </row>
    <row r="1271" spans="1:15" s="157" customFormat="1" ht="41.4">
      <c r="A1271" s="254" t="s">
        <v>3111</v>
      </c>
      <c r="B1271" s="767" t="s">
        <v>5423</v>
      </c>
      <c r="C1271" s="879" t="s">
        <v>649</v>
      </c>
      <c r="D1271" s="572">
        <v>1</v>
      </c>
      <c r="E1271" s="144">
        <v>23</v>
      </c>
      <c r="F1271" s="144">
        <f t="shared" si="118"/>
        <v>23</v>
      </c>
      <c r="G1271" s="153"/>
      <c r="H1271" s="161"/>
      <c r="I1271" s="155"/>
      <c r="J1271" s="156"/>
      <c r="L1271" s="162"/>
      <c r="N1271" s="144"/>
      <c r="O1271" s="852"/>
    </row>
    <row r="1272" spans="1:15" s="157" customFormat="1">
      <c r="A1272" s="254"/>
      <c r="B1272" s="872"/>
      <c r="C1272" s="879"/>
      <c r="D1272" s="572"/>
      <c r="E1272" s="144"/>
      <c r="F1272" s="144"/>
      <c r="G1272" s="153"/>
      <c r="H1272" s="161"/>
      <c r="I1272" s="155"/>
      <c r="J1272" s="156"/>
      <c r="L1272" s="162"/>
      <c r="N1272" s="144"/>
      <c r="O1272" s="852"/>
    </row>
    <row r="1273" spans="1:15" s="157" customFormat="1" ht="41.4">
      <c r="A1273" s="254" t="s">
        <v>3112</v>
      </c>
      <c r="B1273" s="767" t="s">
        <v>5425</v>
      </c>
      <c r="C1273" s="879" t="s">
        <v>649</v>
      </c>
      <c r="D1273" s="572">
        <v>1</v>
      </c>
      <c r="E1273" s="144">
        <v>8</v>
      </c>
      <c r="F1273" s="144">
        <f t="shared" si="118"/>
        <v>8</v>
      </c>
      <c r="G1273" s="153"/>
      <c r="H1273" s="161"/>
      <c r="I1273" s="155"/>
      <c r="J1273" s="156"/>
      <c r="L1273" s="162"/>
      <c r="N1273" s="144"/>
      <c r="O1273" s="852"/>
    </row>
    <row r="1274" spans="1:15" s="157" customFormat="1">
      <c r="A1274" s="254"/>
      <c r="B1274" s="872"/>
      <c r="C1274" s="879"/>
      <c r="D1274" s="572"/>
      <c r="E1274" s="144"/>
      <c r="F1274" s="144"/>
      <c r="G1274" s="153"/>
      <c r="H1274" s="161"/>
      <c r="I1274" s="155"/>
      <c r="J1274" s="156"/>
      <c r="L1274" s="162"/>
      <c r="N1274" s="144"/>
      <c r="O1274" s="852"/>
    </row>
    <row r="1275" spans="1:15" s="157" customFormat="1" ht="41.4">
      <c r="A1275" s="254" t="s">
        <v>3113</v>
      </c>
      <c r="B1275" s="767" t="s">
        <v>5426</v>
      </c>
      <c r="C1275" s="879" t="s">
        <v>649</v>
      </c>
      <c r="D1275" s="572">
        <v>1</v>
      </c>
      <c r="E1275" s="144">
        <v>7</v>
      </c>
      <c r="F1275" s="144">
        <f t="shared" si="118"/>
        <v>7</v>
      </c>
      <c r="G1275" s="153"/>
      <c r="H1275" s="161"/>
      <c r="I1275" s="155"/>
      <c r="J1275" s="156"/>
      <c r="L1275" s="162"/>
      <c r="N1275" s="144"/>
      <c r="O1275" s="852"/>
    </row>
    <row r="1276" spans="1:15" s="157" customFormat="1">
      <c r="A1276" s="254"/>
      <c r="B1276" s="872"/>
      <c r="C1276" s="879"/>
      <c r="D1276" s="572"/>
      <c r="E1276" s="144"/>
      <c r="F1276" s="144"/>
      <c r="G1276" s="153"/>
      <c r="H1276" s="161"/>
      <c r="I1276" s="155"/>
      <c r="J1276" s="156"/>
      <c r="L1276" s="162"/>
      <c r="N1276" s="144"/>
      <c r="O1276" s="852"/>
    </row>
    <row r="1277" spans="1:15" s="157" customFormat="1" ht="41.4">
      <c r="A1277" s="254" t="s">
        <v>3114</v>
      </c>
      <c r="B1277" s="767" t="s">
        <v>5400</v>
      </c>
      <c r="C1277" s="879" t="s">
        <v>649</v>
      </c>
      <c r="D1277" s="572">
        <v>1</v>
      </c>
      <c r="E1277" s="144">
        <v>88</v>
      </c>
      <c r="F1277" s="144">
        <f t="shared" si="118"/>
        <v>88</v>
      </c>
      <c r="G1277" s="153"/>
      <c r="H1277" s="161"/>
      <c r="I1277" s="155"/>
      <c r="J1277" s="156"/>
      <c r="L1277" s="162"/>
      <c r="N1277" s="144"/>
      <c r="O1277" s="852"/>
    </row>
    <row r="1278" spans="1:15" s="157" customFormat="1">
      <c r="A1278" s="254"/>
      <c r="B1278" s="872"/>
      <c r="C1278" s="879"/>
      <c r="D1278" s="572"/>
      <c r="E1278" s="144"/>
      <c r="F1278" s="144"/>
      <c r="G1278" s="153"/>
      <c r="H1278" s="161"/>
      <c r="I1278" s="155"/>
      <c r="J1278" s="156"/>
      <c r="L1278" s="162"/>
      <c r="N1278" s="144"/>
      <c r="O1278" s="852"/>
    </row>
    <row r="1279" spans="1:15" s="157" customFormat="1" ht="41.4">
      <c r="A1279" s="254" t="s">
        <v>3115</v>
      </c>
      <c r="B1279" s="873" t="s">
        <v>5427</v>
      </c>
      <c r="C1279" s="879" t="s">
        <v>649</v>
      </c>
      <c r="D1279" s="572">
        <v>1</v>
      </c>
      <c r="E1279" s="144">
        <v>252</v>
      </c>
      <c r="F1279" s="144">
        <f t="shared" si="118"/>
        <v>252</v>
      </c>
      <c r="G1279" s="153"/>
      <c r="H1279" s="161"/>
      <c r="I1279" s="155"/>
      <c r="J1279" s="156"/>
      <c r="L1279" s="162"/>
      <c r="N1279" s="144"/>
      <c r="O1279" s="852"/>
    </row>
    <row r="1280" spans="1:15" s="157" customFormat="1">
      <c r="A1280" s="254"/>
      <c r="B1280" s="872"/>
      <c r="C1280" s="879"/>
      <c r="D1280" s="572"/>
      <c r="E1280" s="144"/>
      <c r="F1280" s="144"/>
      <c r="G1280" s="153"/>
      <c r="H1280" s="161"/>
      <c r="I1280" s="155"/>
      <c r="J1280" s="156"/>
      <c r="L1280" s="162"/>
      <c r="N1280" s="144"/>
      <c r="O1280" s="852"/>
    </row>
    <row r="1281" spans="1:15" s="157" customFormat="1">
      <c r="A1281" s="254" t="s">
        <v>3116</v>
      </c>
      <c r="B1281" s="872" t="s">
        <v>5428</v>
      </c>
      <c r="C1281" s="879" t="s">
        <v>649</v>
      </c>
      <c r="D1281" s="572">
        <v>1</v>
      </c>
      <c r="E1281" s="144">
        <v>36</v>
      </c>
      <c r="F1281" s="144">
        <f t="shared" si="118"/>
        <v>36</v>
      </c>
      <c r="G1281" s="153"/>
      <c r="H1281" s="161"/>
      <c r="I1281" s="155"/>
      <c r="J1281" s="156"/>
      <c r="L1281" s="162"/>
      <c r="N1281" s="144"/>
      <c r="O1281" s="852"/>
    </row>
    <row r="1282" spans="1:15" s="157" customFormat="1">
      <c r="A1282" s="254"/>
      <c r="B1282" s="872"/>
      <c r="C1282" s="879"/>
      <c r="D1282" s="572"/>
      <c r="E1282" s="144"/>
      <c r="F1282" s="144"/>
      <c r="G1282" s="153"/>
      <c r="H1282" s="161"/>
      <c r="I1282" s="155"/>
      <c r="J1282" s="156"/>
      <c r="L1282" s="162"/>
      <c r="N1282" s="144"/>
      <c r="O1282" s="852"/>
    </row>
    <row r="1283" spans="1:15" s="157" customFormat="1">
      <c r="A1283" s="254" t="s">
        <v>3117</v>
      </c>
      <c r="B1283" s="872" t="s">
        <v>5430</v>
      </c>
      <c r="C1283" s="879" t="s">
        <v>649</v>
      </c>
      <c r="D1283" s="572">
        <v>1</v>
      </c>
      <c r="E1283" s="144">
        <v>26</v>
      </c>
      <c r="F1283" s="144">
        <f t="shared" si="118"/>
        <v>26</v>
      </c>
      <c r="G1283" s="153"/>
      <c r="H1283" s="161"/>
      <c r="I1283" s="155"/>
      <c r="J1283" s="156"/>
      <c r="L1283" s="162"/>
      <c r="N1283" s="144"/>
      <c r="O1283" s="852"/>
    </row>
    <row r="1284" spans="1:15" s="157" customFormat="1">
      <c r="A1284" s="254"/>
      <c r="B1284" s="872"/>
      <c r="C1284" s="879"/>
      <c r="D1284" s="572"/>
      <c r="E1284" s="144"/>
      <c r="F1284" s="144"/>
      <c r="G1284" s="153"/>
      <c r="H1284" s="161"/>
      <c r="I1284" s="155"/>
      <c r="J1284" s="156"/>
      <c r="L1284" s="162"/>
      <c r="N1284" s="144"/>
      <c r="O1284" s="852"/>
    </row>
    <row r="1285" spans="1:15" s="157" customFormat="1" ht="41.4">
      <c r="A1285" s="254" t="s">
        <v>3118</v>
      </c>
      <c r="B1285" s="767" t="s">
        <v>5429</v>
      </c>
      <c r="C1285" s="879" t="s">
        <v>649</v>
      </c>
      <c r="D1285" s="572">
        <v>1</v>
      </c>
      <c r="E1285" s="144">
        <v>9</v>
      </c>
      <c r="F1285" s="144">
        <f t="shared" si="118"/>
        <v>9</v>
      </c>
      <c r="G1285" s="153"/>
      <c r="H1285" s="161"/>
      <c r="I1285" s="155"/>
      <c r="J1285" s="156"/>
      <c r="L1285" s="162"/>
      <c r="N1285" s="144"/>
      <c r="O1285" s="852"/>
    </row>
    <row r="1286" spans="1:15" s="157" customFormat="1">
      <c r="A1286" s="254"/>
      <c r="B1286" s="872"/>
      <c r="C1286" s="879"/>
      <c r="D1286" s="572"/>
      <c r="E1286" s="144"/>
      <c r="F1286" s="144"/>
      <c r="G1286" s="153"/>
      <c r="H1286" s="161"/>
      <c r="I1286" s="155"/>
      <c r="J1286" s="156"/>
      <c r="L1286" s="162"/>
      <c r="N1286" s="144"/>
      <c r="O1286" s="852"/>
    </row>
    <row r="1287" spans="1:15" s="157" customFormat="1" ht="69">
      <c r="A1287" s="254" t="s">
        <v>3119</v>
      </c>
      <c r="B1287" s="767" t="s">
        <v>5431</v>
      </c>
      <c r="C1287" s="879" t="s">
        <v>649</v>
      </c>
      <c r="D1287" s="572">
        <v>1</v>
      </c>
      <c r="E1287" s="144">
        <v>16</v>
      </c>
      <c r="F1287" s="144">
        <f t="shared" si="118"/>
        <v>16</v>
      </c>
      <c r="G1287" s="153"/>
      <c r="H1287" s="161"/>
      <c r="I1287" s="155"/>
      <c r="J1287" s="156"/>
      <c r="L1287" s="162"/>
      <c r="N1287" s="144"/>
      <c r="O1287" s="852"/>
    </row>
    <row r="1288" spans="1:15" s="157" customFormat="1">
      <c r="A1288" s="254"/>
      <c r="B1288" s="872"/>
      <c r="C1288" s="879"/>
      <c r="D1288" s="572"/>
      <c r="E1288" s="144"/>
      <c r="F1288" s="144"/>
      <c r="G1288" s="153"/>
      <c r="H1288" s="161"/>
      <c r="I1288" s="155"/>
      <c r="J1288" s="156"/>
      <c r="L1288" s="162"/>
      <c r="N1288" s="144"/>
      <c r="O1288" s="852"/>
    </row>
    <row r="1289" spans="1:15" s="157" customFormat="1" ht="41.4">
      <c r="A1289" s="254" t="s">
        <v>3120</v>
      </c>
      <c r="B1289" s="767" t="s">
        <v>5434</v>
      </c>
      <c r="C1289" s="879" t="s">
        <v>649</v>
      </c>
      <c r="D1289" s="572">
        <v>2</v>
      </c>
      <c r="E1289" s="144">
        <v>36</v>
      </c>
      <c r="F1289" s="144">
        <f t="shared" si="118"/>
        <v>72</v>
      </c>
      <c r="G1289" s="153"/>
      <c r="H1289" s="161"/>
      <c r="I1289" s="155"/>
      <c r="J1289" s="156"/>
      <c r="L1289" s="162"/>
      <c r="N1289" s="144"/>
      <c r="O1289" s="852"/>
    </row>
    <row r="1290" spans="1:15" s="157" customFormat="1">
      <c r="A1290" s="254"/>
      <c r="B1290" s="872"/>
      <c r="C1290" s="879"/>
      <c r="D1290" s="572"/>
      <c r="E1290" s="144"/>
      <c r="F1290" s="144"/>
      <c r="G1290" s="153"/>
      <c r="H1290" s="161"/>
      <c r="I1290" s="155"/>
      <c r="J1290" s="156"/>
      <c r="L1290" s="162"/>
      <c r="N1290" s="144"/>
      <c r="O1290" s="852"/>
    </row>
    <row r="1291" spans="1:15" s="157" customFormat="1">
      <c r="A1291" s="254" t="s">
        <v>3121</v>
      </c>
      <c r="B1291" s="872" t="s">
        <v>3040</v>
      </c>
      <c r="C1291" s="879" t="s">
        <v>649</v>
      </c>
      <c r="D1291" s="572">
        <v>40</v>
      </c>
      <c r="E1291" s="144">
        <v>1.5</v>
      </c>
      <c r="F1291" s="144">
        <f t="shared" si="118"/>
        <v>60</v>
      </c>
      <c r="G1291" s="153"/>
      <c r="H1291" s="161"/>
      <c r="I1291" s="155"/>
      <c r="J1291" s="156"/>
      <c r="L1291" s="162"/>
      <c r="N1291" s="144"/>
      <c r="O1291" s="852"/>
    </row>
    <row r="1292" spans="1:15" s="157" customFormat="1">
      <c r="A1292" s="254"/>
      <c r="B1292" s="872"/>
      <c r="C1292" s="879"/>
      <c r="D1292" s="572"/>
      <c r="E1292" s="144"/>
      <c r="F1292" s="144"/>
      <c r="G1292" s="153"/>
      <c r="H1292" s="161"/>
      <c r="I1292" s="155"/>
      <c r="J1292" s="156"/>
      <c r="L1292" s="162"/>
      <c r="N1292" s="144"/>
      <c r="O1292" s="852"/>
    </row>
    <row r="1293" spans="1:15" s="157" customFormat="1" ht="41.4">
      <c r="A1293" s="254" t="s">
        <v>3122</v>
      </c>
      <c r="B1293" s="767" t="s">
        <v>5686</v>
      </c>
      <c r="C1293" s="879" t="s">
        <v>649</v>
      </c>
      <c r="D1293" s="572">
        <v>1</v>
      </c>
      <c r="E1293" s="144">
        <v>23</v>
      </c>
      <c r="F1293" s="144">
        <f t="shared" si="118"/>
        <v>23</v>
      </c>
      <c r="G1293" s="153"/>
      <c r="H1293" s="161"/>
      <c r="I1293" s="155"/>
      <c r="J1293" s="156"/>
      <c r="L1293" s="162"/>
      <c r="N1293" s="144"/>
      <c r="O1293" s="852"/>
    </row>
    <row r="1294" spans="1:15" s="157" customFormat="1">
      <c r="A1294" s="254"/>
      <c r="B1294" s="872"/>
      <c r="C1294" s="879"/>
      <c r="D1294" s="572"/>
      <c r="E1294" s="144"/>
      <c r="F1294" s="144"/>
      <c r="G1294" s="153"/>
      <c r="H1294" s="161"/>
      <c r="I1294" s="155"/>
      <c r="J1294" s="156"/>
      <c r="L1294" s="162"/>
      <c r="N1294" s="144"/>
      <c r="O1294" s="852"/>
    </row>
    <row r="1295" spans="1:15" s="157" customFormat="1" ht="27.6">
      <c r="A1295" s="254" t="s">
        <v>3123</v>
      </c>
      <c r="B1295" s="767" t="s">
        <v>5435</v>
      </c>
      <c r="C1295" s="879" t="s">
        <v>649</v>
      </c>
      <c r="D1295" s="572">
        <v>1</v>
      </c>
      <c r="E1295" s="144">
        <v>52</v>
      </c>
      <c r="F1295" s="144">
        <f t="shared" si="118"/>
        <v>52</v>
      </c>
      <c r="G1295" s="153"/>
      <c r="H1295" s="161"/>
      <c r="I1295" s="155"/>
      <c r="J1295" s="156"/>
      <c r="L1295" s="162"/>
      <c r="N1295" s="144"/>
      <c r="O1295" s="852"/>
    </row>
    <row r="1296" spans="1:15" s="157" customFormat="1">
      <c r="A1296" s="254"/>
      <c r="B1296" s="872"/>
      <c r="C1296" s="879"/>
      <c r="D1296" s="572"/>
      <c r="E1296" s="144"/>
      <c r="F1296" s="144"/>
      <c r="G1296" s="153"/>
      <c r="H1296" s="161"/>
      <c r="I1296" s="155"/>
      <c r="J1296" s="156"/>
      <c r="L1296" s="162"/>
      <c r="N1296" s="144"/>
      <c r="O1296" s="852"/>
    </row>
    <row r="1297" spans="1:15" s="157" customFormat="1" ht="27.6">
      <c r="A1297" s="254" t="s">
        <v>3124</v>
      </c>
      <c r="B1297" s="767" t="s">
        <v>5399</v>
      </c>
      <c r="C1297" s="879" t="s">
        <v>649</v>
      </c>
      <c r="D1297" s="572">
        <v>1</v>
      </c>
      <c r="E1297" s="144">
        <v>54</v>
      </c>
      <c r="F1297" s="144">
        <f t="shared" si="118"/>
        <v>54</v>
      </c>
      <c r="G1297" s="153"/>
      <c r="H1297" s="161"/>
      <c r="I1297" s="155"/>
      <c r="J1297" s="156"/>
      <c r="L1297" s="162"/>
      <c r="N1297" s="144"/>
      <c r="O1297" s="852"/>
    </row>
    <row r="1298" spans="1:15" s="157" customFormat="1">
      <c r="A1298" s="254"/>
      <c r="B1298" s="872"/>
      <c r="C1298" s="879"/>
      <c r="D1298" s="572"/>
      <c r="E1298" s="144"/>
      <c r="F1298" s="144"/>
      <c r="G1298" s="153"/>
      <c r="H1298" s="161"/>
      <c r="I1298" s="155"/>
      <c r="J1298" s="156"/>
      <c r="L1298" s="162"/>
      <c r="N1298" s="144"/>
      <c r="O1298" s="852"/>
    </row>
    <row r="1299" spans="1:15" s="157" customFormat="1" ht="41.4">
      <c r="A1299" s="254" t="s">
        <v>3125</v>
      </c>
      <c r="B1299" s="767" t="s">
        <v>5436</v>
      </c>
      <c r="C1299" s="879" t="s">
        <v>649</v>
      </c>
      <c r="D1299" s="572">
        <v>1</v>
      </c>
      <c r="E1299" s="144">
        <v>247</v>
      </c>
      <c r="F1299" s="144">
        <f t="shared" si="118"/>
        <v>247</v>
      </c>
      <c r="G1299" s="153"/>
      <c r="H1299" s="161"/>
      <c r="I1299" s="155"/>
      <c r="J1299" s="156"/>
      <c r="L1299" s="162"/>
      <c r="N1299" s="144"/>
      <c r="O1299" s="852"/>
    </row>
    <row r="1300" spans="1:15" s="157" customFormat="1">
      <c r="A1300" s="254"/>
      <c r="B1300" s="768"/>
      <c r="C1300" s="879"/>
      <c r="D1300" s="572"/>
      <c r="E1300" s="144"/>
      <c r="F1300" s="144"/>
      <c r="G1300" s="153"/>
      <c r="H1300" s="161"/>
      <c r="I1300" s="155"/>
      <c r="J1300" s="156"/>
      <c r="L1300" s="162"/>
      <c r="N1300" s="144"/>
      <c r="O1300" s="852"/>
    </row>
    <row r="1301" spans="1:15" s="157" customFormat="1" ht="110.4">
      <c r="A1301" s="254" t="s">
        <v>3126</v>
      </c>
      <c r="B1301" s="767" t="s">
        <v>5687</v>
      </c>
      <c r="C1301" s="879" t="s">
        <v>649</v>
      </c>
      <c r="D1301" s="572">
        <v>1</v>
      </c>
      <c r="E1301" s="144">
        <v>114</v>
      </c>
      <c r="F1301" s="144">
        <f t="shared" si="118"/>
        <v>114</v>
      </c>
      <c r="G1301" s="153"/>
      <c r="H1301" s="161"/>
      <c r="I1301" s="155"/>
      <c r="J1301" s="156"/>
      <c r="L1301" s="162"/>
      <c r="N1301" s="144"/>
      <c r="O1301" s="852"/>
    </row>
    <row r="1302" spans="1:15" s="157" customFormat="1">
      <c r="A1302" s="254"/>
      <c r="B1302" s="767"/>
      <c r="C1302" s="879"/>
      <c r="D1302" s="572"/>
      <c r="E1302" s="144"/>
      <c r="F1302" s="144"/>
      <c r="G1302" s="153"/>
      <c r="H1302" s="161"/>
      <c r="I1302" s="155"/>
      <c r="J1302" s="156"/>
      <c r="L1302" s="162"/>
      <c r="N1302" s="144"/>
      <c r="O1302" s="852"/>
    </row>
    <row r="1303" spans="1:15" s="157" customFormat="1" ht="165.6">
      <c r="A1303" s="254" t="s">
        <v>3127</v>
      </c>
      <c r="B1303" s="767" t="s">
        <v>5688</v>
      </c>
      <c r="C1303" s="879" t="s">
        <v>649</v>
      </c>
      <c r="D1303" s="572">
        <v>1</v>
      </c>
      <c r="E1303" s="144">
        <v>155</v>
      </c>
      <c r="F1303" s="144">
        <f t="shared" si="118"/>
        <v>155</v>
      </c>
      <c r="G1303" s="153"/>
      <c r="H1303" s="161"/>
      <c r="I1303" s="155"/>
      <c r="J1303" s="156"/>
      <c r="L1303" s="162"/>
      <c r="N1303" s="144"/>
      <c r="O1303" s="852"/>
    </row>
    <row r="1304" spans="1:15" s="157" customFormat="1">
      <c r="A1304" s="254"/>
      <c r="B1304" s="767"/>
      <c r="C1304" s="879"/>
      <c r="D1304" s="572"/>
      <c r="E1304" s="144"/>
      <c r="F1304" s="144"/>
      <c r="G1304" s="153"/>
      <c r="H1304" s="161"/>
      <c r="I1304" s="155"/>
      <c r="J1304" s="156"/>
      <c r="L1304" s="162"/>
      <c r="N1304" s="144"/>
      <c r="O1304" s="852"/>
    </row>
    <row r="1305" spans="1:15" s="157" customFormat="1">
      <c r="A1305" s="254" t="s">
        <v>3128</v>
      </c>
      <c r="B1305" s="768" t="s">
        <v>5437</v>
      </c>
      <c r="C1305" s="879" t="s">
        <v>649</v>
      </c>
      <c r="D1305" s="572">
        <v>1</v>
      </c>
      <c r="E1305" s="144">
        <v>4</v>
      </c>
      <c r="F1305" s="144">
        <f t="shared" si="118"/>
        <v>4</v>
      </c>
      <c r="G1305" s="153"/>
      <c r="H1305" s="161"/>
      <c r="I1305" s="155"/>
      <c r="J1305" s="156"/>
      <c r="L1305" s="162"/>
      <c r="N1305" s="144"/>
      <c r="O1305" s="852"/>
    </row>
    <row r="1306" spans="1:15" s="157" customFormat="1">
      <c r="A1306" s="254"/>
      <c r="B1306" s="768"/>
      <c r="C1306" s="879"/>
      <c r="D1306" s="572"/>
      <c r="E1306" s="144"/>
      <c r="F1306" s="144"/>
      <c r="G1306" s="153"/>
      <c r="H1306" s="161"/>
      <c r="I1306" s="155"/>
      <c r="J1306" s="156"/>
      <c r="L1306" s="162"/>
      <c r="N1306" s="144"/>
      <c r="O1306" s="852"/>
    </row>
    <row r="1307" spans="1:15" s="157" customFormat="1" ht="41.4">
      <c r="A1307" s="254" t="s">
        <v>3129</v>
      </c>
      <c r="B1307" s="874" t="s">
        <v>5438</v>
      </c>
      <c r="C1307" s="879" t="s">
        <v>649</v>
      </c>
      <c r="D1307" s="572">
        <v>1</v>
      </c>
      <c r="E1307" s="144">
        <v>21</v>
      </c>
      <c r="F1307" s="144">
        <f t="shared" si="118"/>
        <v>21</v>
      </c>
      <c r="G1307" s="153"/>
      <c r="H1307" s="161"/>
      <c r="I1307" s="155"/>
      <c r="J1307" s="156"/>
      <c r="L1307" s="162"/>
      <c r="N1307" s="144"/>
      <c r="O1307" s="852"/>
    </row>
    <row r="1308" spans="1:15" s="157" customFormat="1">
      <c r="A1308" s="254"/>
      <c r="B1308" s="768"/>
      <c r="C1308" s="879"/>
      <c r="D1308" s="572"/>
      <c r="E1308" s="144"/>
      <c r="F1308" s="144"/>
      <c r="G1308" s="153"/>
      <c r="H1308" s="161"/>
      <c r="I1308" s="155"/>
      <c r="J1308" s="156"/>
      <c r="L1308" s="162"/>
      <c r="N1308" s="144"/>
      <c r="O1308" s="852"/>
    </row>
    <row r="1309" spans="1:15" s="157" customFormat="1">
      <c r="A1309" s="254" t="s">
        <v>3130</v>
      </c>
      <c r="B1309" s="768" t="s">
        <v>5689</v>
      </c>
      <c r="C1309" s="879" t="s">
        <v>649</v>
      </c>
      <c r="D1309" s="572">
        <v>2</v>
      </c>
      <c r="E1309" s="144">
        <v>9</v>
      </c>
      <c r="F1309" s="144">
        <f t="shared" si="118"/>
        <v>18</v>
      </c>
      <c r="G1309" s="153"/>
      <c r="H1309" s="161"/>
      <c r="I1309" s="155"/>
      <c r="J1309" s="156"/>
      <c r="L1309" s="162"/>
      <c r="N1309" s="144"/>
      <c r="O1309" s="852"/>
    </row>
    <row r="1310" spans="1:15" s="157" customFormat="1">
      <c r="A1310" s="254"/>
      <c r="B1310" s="768"/>
      <c r="C1310" s="879"/>
      <c r="D1310" s="572"/>
      <c r="E1310" s="144"/>
      <c r="F1310" s="144"/>
      <c r="G1310" s="153"/>
      <c r="H1310" s="161"/>
      <c r="I1310" s="155"/>
      <c r="J1310" s="156"/>
      <c r="L1310" s="162"/>
      <c r="N1310" s="144"/>
      <c r="O1310" s="852"/>
    </row>
    <row r="1311" spans="1:15" s="157" customFormat="1">
      <c r="A1311" s="254" t="s">
        <v>3131</v>
      </c>
      <c r="B1311" s="768" t="s">
        <v>5690</v>
      </c>
      <c r="C1311" s="879" t="s">
        <v>649</v>
      </c>
      <c r="D1311" s="572">
        <v>2</v>
      </c>
      <c r="E1311" s="144">
        <v>12</v>
      </c>
      <c r="F1311" s="144">
        <f t="shared" si="118"/>
        <v>24</v>
      </c>
      <c r="G1311" s="153"/>
      <c r="H1311" s="161"/>
      <c r="I1311" s="155"/>
      <c r="J1311" s="156"/>
      <c r="L1311" s="162"/>
      <c r="N1311" s="144"/>
      <c r="O1311" s="852"/>
    </row>
    <row r="1312" spans="1:15" s="157" customFormat="1">
      <c r="A1312" s="254"/>
      <c r="B1312" s="768"/>
      <c r="C1312" s="879"/>
      <c r="D1312" s="572"/>
      <c r="E1312" s="144"/>
      <c r="F1312" s="144"/>
      <c r="G1312" s="153"/>
      <c r="H1312" s="161"/>
      <c r="I1312" s="155"/>
      <c r="J1312" s="156"/>
      <c r="L1312" s="162"/>
      <c r="N1312" s="144"/>
      <c r="O1312" s="852"/>
    </row>
    <row r="1313" spans="1:15" s="157" customFormat="1" ht="41.4">
      <c r="A1313" s="254" t="s">
        <v>3132</v>
      </c>
      <c r="B1313" s="767" t="s">
        <v>5691</v>
      </c>
      <c r="C1313" s="879" t="s">
        <v>649</v>
      </c>
      <c r="D1313" s="572">
        <v>1</v>
      </c>
      <c r="E1313" s="144">
        <v>119</v>
      </c>
      <c r="F1313" s="144">
        <f t="shared" si="118"/>
        <v>119</v>
      </c>
      <c r="G1313" s="153"/>
      <c r="H1313" s="161"/>
      <c r="I1313" s="155"/>
      <c r="J1313" s="156"/>
      <c r="L1313" s="162"/>
      <c r="N1313" s="144"/>
      <c r="O1313" s="852"/>
    </row>
    <row r="1314" spans="1:15" s="157" customFormat="1">
      <c r="A1314" s="254"/>
      <c r="B1314" s="767"/>
      <c r="C1314" s="879"/>
      <c r="D1314" s="572"/>
      <c r="E1314" s="144"/>
      <c r="F1314" s="144"/>
      <c r="G1314" s="153"/>
      <c r="H1314" s="161"/>
      <c r="I1314" s="155"/>
      <c r="J1314" s="156"/>
      <c r="L1314" s="162"/>
      <c r="N1314" s="144"/>
      <c r="O1314" s="852"/>
    </row>
    <row r="1315" spans="1:15" s="157" customFormat="1">
      <c r="A1315" s="254" t="s">
        <v>3133</v>
      </c>
      <c r="B1315" s="767" t="s">
        <v>3041</v>
      </c>
      <c r="C1315" s="879" t="s">
        <v>649</v>
      </c>
      <c r="D1315" s="572">
        <v>1</v>
      </c>
      <c r="E1315" s="144">
        <v>65</v>
      </c>
      <c r="F1315" s="144">
        <f t="shared" si="118"/>
        <v>65</v>
      </c>
      <c r="G1315" s="153"/>
      <c r="H1315" s="161"/>
      <c r="I1315" s="155"/>
      <c r="J1315" s="156"/>
      <c r="L1315" s="162"/>
      <c r="N1315" s="144"/>
      <c r="O1315" s="852"/>
    </row>
    <row r="1316" spans="1:15" s="157" customFormat="1">
      <c r="A1316" s="254"/>
      <c r="B1316" s="767"/>
      <c r="C1316" s="879"/>
      <c r="D1316" s="572"/>
      <c r="E1316" s="144"/>
      <c r="F1316" s="144"/>
      <c r="G1316" s="153"/>
      <c r="H1316" s="161"/>
      <c r="I1316" s="155"/>
      <c r="J1316" s="156"/>
      <c r="L1316" s="162"/>
      <c r="N1316" s="144"/>
      <c r="O1316" s="852"/>
    </row>
    <row r="1317" spans="1:15" s="157" customFormat="1" ht="82.8">
      <c r="A1317" s="254" t="s">
        <v>3134</v>
      </c>
      <c r="B1317" s="762" t="s">
        <v>2698</v>
      </c>
      <c r="C1317" s="152" t="s">
        <v>649</v>
      </c>
      <c r="D1317" s="572">
        <v>1</v>
      </c>
      <c r="E1317" s="144">
        <v>78</v>
      </c>
      <c r="F1317" s="144">
        <f t="shared" ref="F1317" si="119">IF((D1317*E1317)=0,"",(D1317*E1317))</f>
        <v>78</v>
      </c>
      <c r="G1317" s="153"/>
      <c r="H1317" s="161"/>
      <c r="I1317" s="155"/>
      <c r="J1317" s="156"/>
      <c r="L1317" s="162"/>
      <c r="N1317" s="144"/>
      <c r="O1317" s="852"/>
    </row>
    <row r="1318" spans="1:15" s="157" customFormat="1">
      <c r="A1318" s="254"/>
      <c r="B1318" s="744"/>
      <c r="C1318" s="152"/>
      <c r="D1318" s="572"/>
      <c r="E1318" s="144"/>
      <c r="F1318" s="144"/>
      <c r="G1318" s="153"/>
      <c r="H1318" s="161"/>
      <c r="I1318" s="155"/>
      <c r="J1318" s="156"/>
      <c r="L1318" s="162"/>
      <c r="N1318" s="144"/>
      <c r="O1318" s="852"/>
    </row>
    <row r="1319" spans="1:15" s="157" customFormat="1" ht="41.4">
      <c r="A1319" s="254" t="s">
        <v>3135</v>
      </c>
      <c r="B1319" s="588" t="s">
        <v>2496</v>
      </c>
      <c r="C1319" s="152" t="s">
        <v>649</v>
      </c>
      <c r="D1319" s="572">
        <v>1</v>
      </c>
      <c r="E1319" s="144">
        <v>29</v>
      </c>
      <c r="F1319" s="144">
        <f>IF((D1319*E1319)=0,"",(D1319*E1319))</f>
        <v>29</v>
      </c>
      <c r="G1319" s="153"/>
      <c r="H1319" s="161"/>
      <c r="I1319" s="155"/>
      <c r="J1319" s="156"/>
      <c r="L1319" s="162"/>
      <c r="N1319" s="144"/>
      <c r="O1319" s="852"/>
    </row>
    <row r="1320" spans="1:15" s="157" customFormat="1">
      <c r="A1320" s="254"/>
      <c r="B1320" s="744"/>
      <c r="C1320" s="152"/>
      <c r="D1320" s="572"/>
      <c r="E1320" s="144"/>
      <c r="F1320" s="144"/>
      <c r="G1320" s="153"/>
      <c r="H1320" s="161"/>
      <c r="I1320" s="155"/>
      <c r="J1320" s="156"/>
      <c r="L1320" s="162"/>
      <c r="N1320" s="144"/>
      <c r="O1320" s="852"/>
    </row>
    <row r="1321" spans="1:15" s="157" customFormat="1" ht="27.6">
      <c r="A1321" s="254" t="s">
        <v>3136</v>
      </c>
      <c r="B1321" s="744" t="s">
        <v>3054</v>
      </c>
      <c r="C1321" s="152" t="s">
        <v>649</v>
      </c>
      <c r="D1321" s="572">
        <v>1</v>
      </c>
      <c r="E1321" s="144">
        <v>16</v>
      </c>
      <c r="F1321" s="144">
        <f t="shared" ref="F1321" si="120">IF((D1321*E1321)=0,"",(D1321*E1321))</f>
        <v>16</v>
      </c>
      <c r="G1321" s="153"/>
      <c r="H1321" s="161"/>
      <c r="I1321" s="155"/>
      <c r="J1321" s="156"/>
      <c r="L1321" s="162"/>
      <c r="N1321" s="144"/>
      <c r="O1321" s="852"/>
    </row>
    <row r="1322" spans="1:15" s="157" customFormat="1">
      <c r="A1322" s="254"/>
      <c r="B1322" s="744"/>
      <c r="C1322" s="152"/>
      <c r="D1322" s="572"/>
      <c r="E1322" s="144"/>
      <c r="F1322" s="144"/>
      <c r="G1322" s="153"/>
      <c r="H1322" s="161"/>
      <c r="I1322" s="155"/>
      <c r="J1322" s="156"/>
      <c r="L1322" s="162"/>
      <c r="N1322" s="144"/>
      <c r="O1322" s="852"/>
    </row>
    <row r="1323" spans="1:15" s="157" customFormat="1" ht="55.2">
      <c r="A1323" s="254" t="s">
        <v>3137</v>
      </c>
      <c r="B1323" s="744" t="s">
        <v>2700</v>
      </c>
      <c r="C1323" s="152" t="s">
        <v>649</v>
      </c>
      <c r="D1323" s="572">
        <v>1</v>
      </c>
      <c r="E1323" s="144">
        <v>18</v>
      </c>
      <c r="F1323" s="144">
        <f t="shared" ref="F1323" si="121">IF((D1323*E1323)=0,"",(D1323*E1323))</f>
        <v>18</v>
      </c>
      <c r="G1323" s="153"/>
      <c r="H1323" s="161"/>
      <c r="I1323" s="155"/>
      <c r="J1323" s="156"/>
      <c r="L1323" s="162"/>
      <c r="N1323" s="144"/>
      <c r="O1323" s="852"/>
    </row>
    <row r="1324" spans="1:15" s="157" customFormat="1">
      <c r="A1324" s="595"/>
      <c r="B1324" s="769"/>
      <c r="C1324" s="883"/>
      <c r="D1324" s="598"/>
      <c r="E1324" s="599"/>
      <c r="F1324" s="599"/>
      <c r="G1324" s="153"/>
      <c r="H1324" s="161"/>
      <c r="I1324" s="155"/>
      <c r="J1324" s="156"/>
      <c r="L1324" s="162"/>
      <c r="N1324" s="599"/>
      <c r="O1324" s="852"/>
    </row>
    <row r="1325" spans="1:15" s="157" customFormat="1">
      <c r="A1325" s="269" t="str">
        <f>A1193</f>
        <v>D.6.</v>
      </c>
      <c r="B1325" s="753" t="str">
        <f>CONCATENATE(B1193," ", "UKUPNO:")</f>
        <v>DOMAR UKUPNO:</v>
      </c>
      <c r="C1325" s="152"/>
      <c r="D1325" s="572"/>
      <c r="E1325" s="144"/>
      <c r="F1325" s="670">
        <f>SUM(F1195:F1324)</f>
        <v>5420</v>
      </c>
      <c r="G1325" s="153"/>
      <c r="H1325" s="161"/>
      <c r="I1325" s="155"/>
      <c r="J1325" s="156"/>
      <c r="L1325" s="162"/>
      <c r="N1325" s="144"/>
      <c r="O1325" s="852"/>
    </row>
    <row r="1326" spans="1:15" s="157" customFormat="1">
      <c r="A1326" s="254"/>
      <c r="B1326" s="767"/>
      <c r="C1326" s="879"/>
      <c r="D1326" s="572"/>
      <c r="E1326" s="144"/>
      <c r="F1326" s="144"/>
      <c r="G1326" s="153"/>
      <c r="H1326" s="161"/>
      <c r="I1326" s="155"/>
      <c r="J1326" s="156"/>
      <c r="L1326" s="162"/>
      <c r="N1326" s="144"/>
      <c r="O1326" s="852"/>
    </row>
    <row r="1327" spans="1:15" s="157" customFormat="1">
      <c r="A1327" s="254"/>
      <c r="B1327" s="767"/>
      <c r="C1327" s="879"/>
      <c r="D1327" s="572"/>
      <c r="E1327" s="144"/>
      <c r="F1327" s="144"/>
      <c r="G1327" s="153"/>
      <c r="H1327" s="161"/>
      <c r="I1327" s="155"/>
      <c r="J1327" s="156"/>
      <c r="L1327" s="162"/>
      <c r="N1327" s="144"/>
      <c r="O1327" s="852"/>
    </row>
    <row r="1328" spans="1:15" s="157" customFormat="1">
      <c r="A1328" s="581" t="s">
        <v>3042</v>
      </c>
      <c r="B1328" s="582" t="s">
        <v>3047</v>
      </c>
      <c r="C1328" s="583"/>
      <c r="D1328" s="584"/>
      <c r="E1328" s="585"/>
      <c r="F1328" s="586"/>
      <c r="G1328" s="153"/>
      <c r="H1328" s="161"/>
      <c r="I1328" s="155"/>
      <c r="J1328" s="156"/>
      <c r="L1328" s="162"/>
      <c r="N1328" s="585"/>
      <c r="O1328" s="852"/>
    </row>
    <row r="1329" spans="1:15" s="157" customFormat="1">
      <c r="A1329" s="254"/>
      <c r="B1329" s="159"/>
      <c r="C1329" s="152"/>
      <c r="D1329" s="572"/>
      <c r="E1329" s="144"/>
      <c r="F1329" s="144"/>
      <c r="G1329" s="153"/>
      <c r="H1329" s="161"/>
      <c r="I1329" s="155"/>
      <c r="J1329" s="156"/>
      <c r="L1329" s="162"/>
      <c r="N1329" s="144"/>
      <c r="O1329" s="852"/>
    </row>
    <row r="1330" spans="1:15" s="157" customFormat="1" ht="165.6">
      <c r="A1330" s="254" t="s">
        <v>3043</v>
      </c>
      <c r="B1330" s="869" t="s">
        <v>5165</v>
      </c>
      <c r="C1330" s="152" t="s">
        <v>649</v>
      </c>
      <c r="D1330" s="572">
        <v>4</v>
      </c>
      <c r="E1330" s="144">
        <v>160</v>
      </c>
      <c r="F1330" s="144">
        <f t="shared" ref="F1330:F1336" si="122">IF((D1330*E1330)=0,"",(D1330*E1330))</f>
        <v>640</v>
      </c>
      <c r="G1330" s="153"/>
      <c r="H1330" s="161"/>
      <c r="I1330" s="155"/>
      <c r="J1330" s="156"/>
      <c r="L1330" s="162"/>
      <c r="N1330" s="144"/>
      <c r="O1330" s="852"/>
    </row>
    <row r="1331" spans="1:15" s="157" customFormat="1">
      <c r="A1331" s="254"/>
      <c r="B1331" s="762"/>
      <c r="C1331" s="152"/>
      <c r="D1331" s="572"/>
      <c r="E1331" s="144"/>
      <c r="F1331" s="144"/>
      <c r="G1331" s="153"/>
      <c r="H1331" s="161"/>
      <c r="I1331" s="155"/>
      <c r="J1331" s="156"/>
      <c r="L1331" s="162"/>
      <c r="N1331" s="144"/>
      <c r="O1331" s="852"/>
    </row>
    <row r="1332" spans="1:15" s="157" customFormat="1" ht="207">
      <c r="A1332" s="254" t="s">
        <v>3044</v>
      </c>
      <c r="B1332" s="869" t="s">
        <v>5118</v>
      </c>
      <c r="C1332" s="152" t="s">
        <v>649</v>
      </c>
      <c r="D1332" s="572">
        <v>8</v>
      </c>
      <c r="E1332" s="144">
        <v>58</v>
      </c>
      <c r="F1332" s="144">
        <f t="shared" si="122"/>
        <v>464</v>
      </c>
      <c r="G1332" s="153"/>
      <c r="H1332" s="161"/>
      <c r="I1332" s="155"/>
      <c r="J1332" s="156"/>
      <c r="L1332" s="162"/>
      <c r="N1332" s="144"/>
      <c r="O1332" s="852"/>
    </row>
    <row r="1333" spans="1:15" s="157" customFormat="1">
      <c r="A1333" s="254"/>
      <c r="B1333" s="160"/>
      <c r="C1333" s="152"/>
      <c r="D1333" s="572"/>
      <c r="E1333" s="144"/>
      <c r="F1333" s="144"/>
      <c r="G1333" s="153"/>
      <c r="H1333" s="161"/>
      <c r="I1333" s="155"/>
      <c r="J1333" s="156"/>
      <c r="L1333" s="162"/>
      <c r="N1333" s="144"/>
      <c r="O1333" s="852"/>
    </row>
    <row r="1334" spans="1:15" s="157" customFormat="1" ht="82.8">
      <c r="A1334" s="254" t="s">
        <v>3045</v>
      </c>
      <c r="B1334" s="762" t="s">
        <v>2698</v>
      </c>
      <c r="C1334" s="152" t="s">
        <v>649</v>
      </c>
      <c r="D1334" s="572">
        <v>1</v>
      </c>
      <c r="E1334" s="144">
        <v>78</v>
      </c>
      <c r="F1334" s="144">
        <f t="shared" ref="F1334" si="123">IF((D1334*E1334)=0,"",(D1334*E1334))</f>
        <v>78</v>
      </c>
      <c r="G1334" s="153"/>
      <c r="H1334" s="161"/>
      <c r="I1334" s="155"/>
      <c r="J1334" s="156"/>
      <c r="L1334" s="162"/>
      <c r="N1334" s="144"/>
      <c r="O1334" s="852"/>
    </row>
    <row r="1335" spans="1:15" s="157" customFormat="1">
      <c r="A1335" s="254"/>
      <c r="B1335" s="160"/>
      <c r="C1335" s="152"/>
      <c r="D1335" s="572"/>
      <c r="E1335" s="144"/>
      <c r="F1335" s="144"/>
      <c r="G1335" s="153"/>
      <c r="H1335" s="161"/>
      <c r="I1335" s="155"/>
      <c r="J1335" s="156"/>
      <c r="L1335" s="162"/>
      <c r="N1335" s="144"/>
      <c r="O1335" s="852"/>
    </row>
    <row r="1336" spans="1:15" s="157" customFormat="1" ht="27.6">
      <c r="A1336" s="254" t="s">
        <v>4164</v>
      </c>
      <c r="B1336" s="605" t="s">
        <v>2706</v>
      </c>
      <c r="C1336" s="152" t="s">
        <v>649</v>
      </c>
      <c r="D1336" s="572">
        <v>1</v>
      </c>
      <c r="E1336" s="144">
        <v>29</v>
      </c>
      <c r="F1336" s="144">
        <f t="shared" si="122"/>
        <v>29</v>
      </c>
      <c r="G1336" s="153"/>
      <c r="H1336" s="161"/>
      <c r="I1336" s="155"/>
      <c r="J1336" s="156"/>
      <c r="L1336" s="162"/>
      <c r="N1336" s="144"/>
      <c r="O1336" s="852"/>
    </row>
    <row r="1337" spans="1:15" s="157" customFormat="1">
      <c r="A1337" s="595"/>
      <c r="B1337" s="596"/>
      <c r="C1337" s="597"/>
      <c r="D1337" s="598"/>
      <c r="E1337" s="599"/>
      <c r="F1337" s="599"/>
      <c r="G1337" s="153"/>
      <c r="H1337" s="161"/>
      <c r="I1337" s="155"/>
      <c r="J1337" s="156"/>
      <c r="L1337" s="162"/>
      <c r="N1337" s="599"/>
      <c r="O1337" s="852"/>
    </row>
    <row r="1338" spans="1:15" s="157" customFormat="1">
      <c r="A1338" s="269" t="str">
        <f>A1328</f>
        <v>D.7.</v>
      </c>
      <c r="B1338" s="753" t="str">
        <f>CONCATENATE(B1328," ", "UKUPNO:")</f>
        <v>PROSTOR ZA ODMOR UKUPNO:</v>
      </c>
      <c r="C1338" s="152"/>
      <c r="D1338" s="572"/>
      <c r="E1338" s="144"/>
      <c r="F1338" s="670">
        <f>SUM(F1330:F1337)</f>
        <v>1211</v>
      </c>
      <c r="G1338" s="153"/>
      <c r="H1338" s="161"/>
      <c r="I1338" s="155"/>
      <c r="J1338" s="156"/>
      <c r="L1338" s="162"/>
      <c r="N1338" s="144"/>
      <c r="O1338" s="852"/>
    </row>
    <row r="1339" spans="1:15" s="157" customFormat="1">
      <c r="A1339" s="254"/>
      <c r="B1339" s="767"/>
      <c r="C1339" s="879"/>
      <c r="D1339" s="572"/>
      <c r="E1339" s="144"/>
      <c r="F1339" s="144"/>
      <c r="G1339" s="153"/>
      <c r="H1339" s="161"/>
      <c r="I1339" s="155"/>
      <c r="J1339" s="156"/>
      <c r="L1339" s="162"/>
      <c r="N1339" s="144"/>
      <c r="O1339" s="852"/>
    </row>
    <row r="1340" spans="1:15" s="157" customFormat="1">
      <c r="A1340" s="254"/>
      <c r="B1340" s="767"/>
      <c r="C1340" s="879"/>
      <c r="D1340" s="572"/>
      <c r="E1340" s="144"/>
      <c r="F1340" s="144"/>
      <c r="G1340" s="153"/>
      <c r="H1340" s="161"/>
      <c r="I1340" s="155"/>
      <c r="J1340" s="156"/>
      <c r="L1340" s="162"/>
      <c r="N1340" s="144"/>
      <c r="O1340" s="852"/>
    </row>
    <row r="1341" spans="1:15" s="157" customFormat="1">
      <c r="A1341" s="581" t="s">
        <v>3046</v>
      </c>
      <c r="B1341" s="601" t="s">
        <v>3048</v>
      </c>
      <c r="C1341" s="583"/>
      <c r="D1341" s="584"/>
      <c r="E1341" s="761"/>
      <c r="F1341" s="761"/>
      <c r="G1341" s="153"/>
      <c r="H1341" s="161"/>
      <c r="I1341" s="155"/>
      <c r="J1341" s="156"/>
      <c r="L1341" s="162"/>
      <c r="N1341" s="761"/>
      <c r="O1341" s="852"/>
    </row>
    <row r="1342" spans="1:15" s="157" customFormat="1">
      <c r="A1342" s="254"/>
      <c r="B1342" s="159"/>
      <c r="C1342" s="152"/>
      <c r="D1342" s="572"/>
      <c r="E1342" s="144"/>
      <c r="F1342" s="144"/>
      <c r="G1342" s="153"/>
      <c r="H1342" s="161"/>
      <c r="I1342" s="155"/>
      <c r="J1342" s="156"/>
      <c r="L1342" s="162"/>
      <c r="N1342" s="144"/>
      <c r="O1342" s="852"/>
    </row>
    <row r="1343" spans="1:15" s="157" customFormat="1" ht="110.4">
      <c r="A1343" s="254" t="s">
        <v>4165</v>
      </c>
      <c r="B1343" s="274" t="s">
        <v>4821</v>
      </c>
      <c r="C1343" s="879"/>
      <c r="D1343" s="572"/>
      <c r="E1343" s="144"/>
      <c r="F1343" s="144"/>
      <c r="G1343" s="153"/>
      <c r="H1343" s="161"/>
      <c r="I1343" s="155"/>
      <c r="J1343" s="156"/>
      <c r="L1343" s="162"/>
      <c r="N1343" s="144"/>
      <c r="O1343" s="852"/>
    </row>
    <row r="1344" spans="1:15" s="157" customFormat="1">
      <c r="A1344" s="254" t="s">
        <v>48</v>
      </c>
      <c r="B1344" s="274" t="s">
        <v>3037</v>
      </c>
      <c r="C1344" s="879" t="s">
        <v>649</v>
      </c>
      <c r="D1344" s="572">
        <v>2</v>
      </c>
      <c r="E1344" s="144">
        <v>100</v>
      </c>
      <c r="F1344" s="144">
        <f t="shared" ref="F1344:F1345" si="124">IF((D1344*E1344)=0,"",(D1344*E1344))</f>
        <v>200</v>
      </c>
      <c r="G1344" s="153"/>
      <c r="H1344" s="161"/>
      <c r="I1344" s="155"/>
      <c r="J1344" s="156"/>
      <c r="L1344" s="162"/>
      <c r="N1344" s="144"/>
      <c r="O1344" s="852"/>
    </row>
    <row r="1345" spans="1:15" s="157" customFormat="1">
      <c r="A1345" s="254" t="s">
        <v>49</v>
      </c>
      <c r="B1345" s="274" t="s">
        <v>4179</v>
      </c>
      <c r="C1345" s="879" t="s">
        <v>649</v>
      </c>
      <c r="D1345" s="572">
        <v>2</v>
      </c>
      <c r="E1345" s="144">
        <v>120</v>
      </c>
      <c r="F1345" s="144">
        <f t="shared" si="124"/>
        <v>240</v>
      </c>
      <c r="G1345" s="153"/>
      <c r="H1345" s="161"/>
      <c r="I1345" s="155"/>
      <c r="J1345" s="156"/>
      <c r="L1345" s="162"/>
      <c r="N1345" s="144"/>
      <c r="O1345" s="852"/>
    </row>
    <row r="1346" spans="1:15" s="157" customFormat="1">
      <c r="A1346" s="254"/>
      <c r="B1346" s="767"/>
      <c r="C1346" s="879"/>
      <c r="D1346" s="572"/>
      <c r="E1346" s="144"/>
      <c r="F1346" s="144"/>
      <c r="G1346" s="153"/>
      <c r="H1346" s="161"/>
      <c r="I1346" s="155"/>
      <c r="J1346" s="156"/>
      <c r="L1346" s="162"/>
      <c r="N1346" s="144"/>
      <c r="O1346" s="852"/>
    </row>
    <row r="1347" spans="1:15" s="157" customFormat="1" ht="55.2">
      <c r="A1347" s="254" t="s">
        <v>4166</v>
      </c>
      <c r="B1347" s="767" t="s">
        <v>5692</v>
      </c>
      <c r="C1347" s="879" t="s">
        <v>649</v>
      </c>
      <c r="D1347" s="572">
        <v>1</v>
      </c>
      <c r="E1347" s="144">
        <v>42</v>
      </c>
      <c r="F1347" s="144">
        <f>IF((D1347*E1347)=0,"",(D1347*E1347))</f>
        <v>42</v>
      </c>
      <c r="G1347" s="153"/>
      <c r="H1347" s="161"/>
      <c r="I1347" s="155"/>
      <c r="J1347" s="156"/>
      <c r="L1347" s="162"/>
      <c r="N1347" s="144"/>
      <c r="O1347" s="852"/>
    </row>
    <row r="1348" spans="1:15" s="157" customFormat="1">
      <c r="A1348" s="254"/>
      <c r="B1348" s="767"/>
      <c r="C1348" s="879"/>
      <c r="D1348" s="572"/>
      <c r="E1348" s="144"/>
      <c r="F1348" s="144"/>
      <c r="G1348" s="153"/>
      <c r="H1348" s="161"/>
      <c r="I1348" s="155"/>
      <c r="J1348" s="156"/>
      <c r="L1348" s="162"/>
      <c r="N1348" s="144"/>
      <c r="O1348" s="852"/>
    </row>
    <row r="1349" spans="1:15" s="157" customFormat="1" ht="55.2">
      <c r="A1349" s="254" t="s">
        <v>4167</v>
      </c>
      <c r="B1349" s="767" t="s">
        <v>5693</v>
      </c>
      <c r="C1349" s="879" t="s">
        <v>649</v>
      </c>
      <c r="D1349" s="572">
        <v>1</v>
      </c>
      <c r="E1349" s="144">
        <v>36</v>
      </c>
      <c r="F1349" s="144">
        <f>IF((D1349*E1349)=0,"",(D1349*E1349))</f>
        <v>36</v>
      </c>
      <c r="G1349" s="153"/>
      <c r="H1349" s="161"/>
      <c r="I1349" s="155"/>
      <c r="J1349" s="156"/>
      <c r="L1349" s="162"/>
      <c r="N1349" s="144"/>
      <c r="O1349" s="852"/>
    </row>
    <row r="1350" spans="1:15" s="157" customFormat="1">
      <c r="A1350" s="254"/>
      <c r="B1350" s="767"/>
      <c r="C1350" s="879"/>
      <c r="D1350" s="572"/>
      <c r="E1350" s="144"/>
      <c r="F1350" s="144"/>
      <c r="G1350" s="153"/>
      <c r="H1350" s="161"/>
      <c r="I1350" s="155"/>
      <c r="J1350" s="156"/>
      <c r="L1350" s="162"/>
      <c r="N1350" s="144"/>
      <c r="O1350" s="852"/>
    </row>
    <row r="1351" spans="1:15" s="157" customFormat="1" ht="41.4">
      <c r="A1351" s="254" t="s">
        <v>4168</v>
      </c>
      <c r="B1351" s="767" t="s">
        <v>5694</v>
      </c>
      <c r="C1351" s="879" t="s">
        <v>649</v>
      </c>
      <c r="D1351" s="572">
        <v>1</v>
      </c>
      <c r="E1351" s="144">
        <v>25</v>
      </c>
      <c r="F1351" s="144">
        <f>IF((D1351*E1351)=0,"",(D1351*E1351))</f>
        <v>25</v>
      </c>
      <c r="G1351" s="153"/>
      <c r="H1351" s="161"/>
      <c r="I1351" s="155"/>
      <c r="J1351" s="156"/>
      <c r="L1351" s="162"/>
      <c r="N1351" s="144"/>
      <c r="O1351" s="852"/>
    </row>
    <row r="1352" spans="1:15" s="157" customFormat="1">
      <c r="A1352" s="254"/>
      <c r="B1352" s="767"/>
      <c r="C1352" s="879"/>
      <c r="D1352" s="572"/>
      <c r="E1352" s="144"/>
      <c r="F1352" s="144"/>
      <c r="G1352" s="153"/>
      <c r="H1352" s="161"/>
      <c r="I1352" s="155"/>
      <c r="J1352" s="156"/>
      <c r="L1352" s="162"/>
      <c r="N1352" s="144"/>
      <c r="O1352" s="852"/>
    </row>
    <row r="1353" spans="1:15" s="157" customFormat="1" ht="27.6">
      <c r="A1353" s="254" t="s">
        <v>4169</v>
      </c>
      <c r="B1353" s="767" t="s">
        <v>5695</v>
      </c>
      <c r="C1353" s="879" t="s">
        <v>649</v>
      </c>
      <c r="D1353" s="572">
        <v>2</v>
      </c>
      <c r="E1353" s="144">
        <v>19</v>
      </c>
      <c r="F1353" s="144">
        <f>IF((D1353*E1353)=0,"",(D1353*E1353))</f>
        <v>38</v>
      </c>
      <c r="G1353" s="153"/>
      <c r="H1353" s="161"/>
      <c r="I1353" s="155"/>
      <c r="J1353" s="156"/>
      <c r="L1353" s="162"/>
      <c r="N1353" s="144"/>
      <c r="O1353" s="852"/>
    </row>
    <row r="1354" spans="1:15" s="157" customFormat="1">
      <c r="A1354" s="254"/>
      <c r="B1354" s="767"/>
      <c r="C1354" s="879"/>
      <c r="D1354" s="572"/>
      <c r="E1354" s="144"/>
      <c r="F1354" s="144"/>
      <c r="G1354" s="153"/>
      <c r="H1354" s="161"/>
      <c r="I1354" s="155"/>
      <c r="J1354" s="156"/>
      <c r="L1354" s="162"/>
      <c r="N1354" s="144"/>
      <c r="O1354" s="852"/>
    </row>
    <row r="1355" spans="1:15" s="157" customFormat="1">
      <c r="A1355" s="254" t="s">
        <v>4170</v>
      </c>
      <c r="B1355" s="767" t="s">
        <v>5696</v>
      </c>
      <c r="C1355" s="879" t="s">
        <v>649</v>
      </c>
      <c r="D1355" s="572">
        <v>1</v>
      </c>
      <c r="E1355" s="144">
        <v>45</v>
      </c>
      <c r="F1355" s="144">
        <f>IF((D1355*E1355)=0,"",(D1355*E1355))</f>
        <v>45</v>
      </c>
      <c r="G1355" s="153"/>
      <c r="H1355" s="161"/>
      <c r="I1355" s="155"/>
      <c r="J1355" s="156"/>
      <c r="L1355" s="162"/>
      <c r="N1355" s="144"/>
      <c r="O1355" s="852"/>
    </row>
    <row r="1356" spans="1:15" s="157" customFormat="1">
      <c r="A1356" s="254"/>
      <c r="B1356" s="767"/>
      <c r="C1356" s="879"/>
      <c r="D1356" s="572"/>
      <c r="E1356" s="144"/>
      <c r="F1356" s="144"/>
      <c r="G1356" s="153"/>
      <c r="H1356" s="161"/>
      <c r="I1356" s="155"/>
      <c r="J1356" s="156"/>
      <c r="L1356" s="162"/>
      <c r="N1356" s="144"/>
      <c r="O1356" s="852"/>
    </row>
    <row r="1357" spans="1:15" s="157" customFormat="1" ht="41.4">
      <c r="A1357" s="254" t="s">
        <v>4171</v>
      </c>
      <c r="B1357" s="767" t="s">
        <v>5697</v>
      </c>
      <c r="C1357" s="879" t="s">
        <v>649</v>
      </c>
      <c r="D1357" s="572">
        <v>1</v>
      </c>
      <c r="E1357" s="144">
        <v>56</v>
      </c>
      <c r="F1357" s="144">
        <f>IF((D1357*E1357)=0,"",(D1357*E1357))</f>
        <v>56</v>
      </c>
      <c r="G1357" s="153"/>
      <c r="H1357" s="161"/>
      <c r="I1357" s="155"/>
      <c r="J1357" s="156"/>
      <c r="L1357" s="162"/>
      <c r="N1357" s="144"/>
      <c r="O1357" s="852"/>
    </row>
    <row r="1358" spans="1:15" s="157" customFormat="1">
      <c r="A1358" s="254"/>
      <c r="B1358" s="767"/>
      <c r="C1358" s="879"/>
      <c r="D1358" s="572"/>
      <c r="E1358" s="144"/>
      <c r="F1358" s="144"/>
      <c r="G1358" s="153"/>
      <c r="H1358" s="161"/>
      <c r="I1358" s="155"/>
      <c r="J1358" s="156"/>
      <c r="L1358" s="162"/>
      <c r="N1358" s="144"/>
      <c r="O1358" s="852"/>
    </row>
    <row r="1359" spans="1:15" s="157" customFormat="1" ht="124.2">
      <c r="A1359" s="254" t="s">
        <v>4172</v>
      </c>
      <c r="B1359" s="767" t="s">
        <v>5698</v>
      </c>
      <c r="C1359" s="879" t="s">
        <v>649</v>
      </c>
      <c r="D1359" s="572">
        <v>1</v>
      </c>
      <c r="E1359" s="144">
        <v>784</v>
      </c>
      <c r="F1359" s="144">
        <f>IF((D1359*E1359)=0,"",(D1359*E1359))</f>
        <v>784</v>
      </c>
      <c r="G1359" s="153"/>
      <c r="H1359" s="161"/>
      <c r="I1359" s="155"/>
      <c r="J1359" s="156"/>
      <c r="L1359" s="162"/>
      <c r="N1359" s="144"/>
      <c r="O1359" s="852"/>
    </row>
    <row r="1360" spans="1:15" s="157" customFormat="1">
      <c r="A1360" s="254"/>
      <c r="B1360" s="767"/>
      <c r="C1360" s="879"/>
      <c r="D1360" s="572"/>
      <c r="E1360" s="144"/>
      <c r="F1360" s="144"/>
      <c r="G1360" s="153"/>
      <c r="H1360" s="161"/>
      <c r="I1360" s="155"/>
      <c r="J1360" s="156"/>
      <c r="L1360" s="162"/>
      <c r="N1360" s="144"/>
      <c r="O1360" s="852"/>
    </row>
    <row r="1361" spans="1:15" s="157" customFormat="1" ht="96.6">
      <c r="A1361" s="254" t="s">
        <v>4173</v>
      </c>
      <c r="B1361" s="767" t="s">
        <v>5699</v>
      </c>
      <c r="C1361" s="879" t="s">
        <v>649</v>
      </c>
      <c r="D1361" s="572">
        <v>1</v>
      </c>
      <c r="E1361" s="144">
        <v>188</v>
      </c>
      <c r="F1361" s="144">
        <f t="shared" ref="F1361" si="125">IF((D1361*E1361)=0,"",(D1361*E1361))</f>
        <v>188</v>
      </c>
      <c r="G1361" s="153"/>
      <c r="H1361" s="161"/>
      <c r="I1361" s="155"/>
      <c r="J1361" s="156"/>
      <c r="L1361" s="162"/>
      <c r="N1361" s="144"/>
      <c r="O1361" s="852"/>
    </row>
    <row r="1362" spans="1:15" s="157" customFormat="1">
      <c r="A1362" s="254"/>
      <c r="B1362" s="767"/>
      <c r="C1362" s="879"/>
      <c r="D1362" s="572"/>
      <c r="E1362" s="144"/>
      <c r="F1362" s="144"/>
      <c r="G1362" s="153"/>
      <c r="H1362" s="161"/>
      <c r="I1362" s="155"/>
      <c r="J1362" s="156"/>
      <c r="L1362" s="162"/>
      <c r="N1362" s="144"/>
      <c r="O1362" s="852"/>
    </row>
    <row r="1363" spans="1:15" s="157" customFormat="1" ht="55.2">
      <c r="A1363" s="254" t="s">
        <v>4174</v>
      </c>
      <c r="B1363" s="767" t="s">
        <v>5700</v>
      </c>
      <c r="C1363" s="879" t="s">
        <v>649</v>
      </c>
      <c r="D1363" s="572">
        <v>1</v>
      </c>
      <c r="E1363" s="144">
        <v>214</v>
      </c>
      <c r="F1363" s="144">
        <f t="shared" ref="F1363" si="126">IF((D1363*E1363)=0,"",(D1363*E1363))</f>
        <v>214</v>
      </c>
      <c r="G1363" s="153"/>
      <c r="H1363" s="161"/>
      <c r="I1363" s="155"/>
      <c r="J1363" s="156"/>
      <c r="L1363" s="162"/>
      <c r="N1363" s="144"/>
      <c r="O1363" s="852"/>
    </row>
    <row r="1364" spans="1:15" s="157" customFormat="1">
      <c r="A1364" s="254"/>
      <c r="B1364" s="767"/>
      <c r="C1364" s="879"/>
      <c r="D1364" s="572"/>
      <c r="E1364" s="144"/>
      <c r="F1364" s="144"/>
      <c r="G1364" s="153"/>
      <c r="H1364" s="161"/>
      <c r="I1364" s="155"/>
      <c r="J1364" s="156"/>
      <c r="L1364" s="162"/>
      <c r="N1364" s="144"/>
      <c r="O1364" s="852"/>
    </row>
    <row r="1365" spans="1:15" s="157" customFormat="1" ht="82.8">
      <c r="A1365" s="254" t="s">
        <v>4175</v>
      </c>
      <c r="B1365" s="767" t="s">
        <v>5701</v>
      </c>
      <c r="C1365" s="879" t="s">
        <v>649</v>
      </c>
      <c r="D1365" s="572">
        <v>1</v>
      </c>
      <c r="E1365" s="144">
        <v>134</v>
      </c>
      <c r="F1365" s="144">
        <f t="shared" ref="F1365" si="127">IF((D1365*E1365)=0,"",(D1365*E1365))</f>
        <v>134</v>
      </c>
      <c r="G1365" s="153"/>
      <c r="H1365" s="161"/>
      <c r="I1365" s="155"/>
      <c r="J1365" s="156"/>
      <c r="L1365" s="162"/>
      <c r="N1365" s="144"/>
      <c r="O1365" s="852"/>
    </row>
    <row r="1366" spans="1:15" s="157" customFormat="1">
      <c r="A1366" s="254"/>
      <c r="B1366" s="767"/>
      <c r="C1366" s="879"/>
      <c r="D1366" s="572"/>
      <c r="E1366" s="144"/>
      <c r="F1366" s="144"/>
      <c r="G1366" s="153"/>
      <c r="H1366" s="161"/>
      <c r="I1366" s="155"/>
      <c r="J1366" s="156"/>
      <c r="L1366" s="162"/>
      <c r="N1366" s="144"/>
      <c r="O1366" s="852"/>
    </row>
    <row r="1367" spans="1:15" s="157" customFormat="1" ht="82.8">
      <c r="A1367" s="254" t="s">
        <v>4176</v>
      </c>
      <c r="B1367" s="767" t="s">
        <v>3154</v>
      </c>
      <c r="C1367" s="879" t="s">
        <v>649</v>
      </c>
      <c r="D1367" s="572">
        <v>1</v>
      </c>
      <c r="E1367" s="144">
        <v>199</v>
      </c>
      <c r="F1367" s="144">
        <f t="shared" ref="F1367" si="128">IF((D1367*E1367)=0,"",(D1367*E1367))</f>
        <v>199</v>
      </c>
      <c r="G1367" s="153"/>
      <c r="H1367" s="161"/>
      <c r="I1367" s="155"/>
      <c r="J1367" s="156"/>
      <c r="L1367" s="162"/>
      <c r="N1367" s="144"/>
      <c r="O1367" s="852"/>
    </row>
    <row r="1368" spans="1:15" s="157" customFormat="1">
      <c r="A1368" s="254"/>
      <c r="B1368" s="767"/>
      <c r="C1368" s="879"/>
      <c r="D1368" s="572"/>
      <c r="E1368" s="144"/>
      <c r="F1368" s="144"/>
      <c r="G1368" s="153"/>
      <c r="H1368" s="161"/>
      <c r="I1368" s="155"/>
      <c r="J1368" s="156"/>
      <c r="L1368" s="162"/>
      <c r="N1368" s="144"/>
      <c r="O1368" s="852"/>
    </row>
    <row r="1369" spans="1:15" s="157" customFormat="1" ht="27.6">
      <c r="A1369" s="254" t="s">
        <v>4177</v>
      </c>
      <c r="B1369" s="767" t="s">
        <v>3049</v>
      </c>
      <c r="C1369" s="879" t="s">
        <v>649</v>
      </c>
      <c r="D1369" s="572">
        <v>1</v>
      </c>
      <c r="E1369" s="144">
        <v>287</v>
      </c>
      <c r="F1369" s="144">
        <f t="shared" ref="F1369" si="129">IF((D1369*E1369)=0,"",(D1369*E1369))</f>
        <v>287</v>
      </c>
      <c r="G1369" s="153"/>
      <c r="H1369" s="161"/>
      <c r="I1369" s="155"/>
      <c r="J1369" s="156"/>
      <c r="L1369" s="162"/>
      <c r="N1369" s="144"/>
      <c r="O1369" s="852"/>
    </row>
    <row r="1370" spans="1:15" s="157" customFormat="1">
      <c r="A1370" s="254"/>
      <c r="B1370" s="767"/>
      <c r="C1370" s="879"/>
      <c r="D1370" s="572"/>
      <c r="E1370" s="144"/>
      <c r="F1370" s="144"/>
      <c r="G1370" s="153"/>
      <c r="H1370" s="161"/>
      <c r="I1370" s="155"/>
      <c r="J1370" s="156"/>
      <c r="L1370" s="162"/>
      <c r="N1370" s="144"/>
      <c r="O1370" s="852"/>
    </row>
    <row r="1371" spans="1:15" s="157" customFormat="1">
      <c r="A1371" s="254" t="s">
        <v>4178</v>
      </c>
      <c r="B1371" s="767" t="s">
        <v>3155</v>
      </c>
      <c r="C1371" s="879" t="s">
        <v>649</v>
      </c>
      <c r="D1371" s="572">
        <v>1</v>
      </c>
      <c r="E1371" s="144">
        <v>58</v>
      </c>
      <c r="F1371" s="144">
        <f t="shared" ref="F1371" si="130">IF((D1371*E1371)=0,"",(D1371*E1371))</f>
        <v>58</v>
      </c>
      <c r="G1371" s="153"/>
      <c r="H1371" s="161"/>
      <c r="I1371" s="155"/>
      <c r="J1371" s="156"/>
      <c r="L1371" s="162"/>
      <c r="N1371" s="144"/>
      <c r="O1371" s="852"/>
    </row>
    <row r="1372" spans="1:15" s="157" customFormat="1">
      <c r="A1372" s="595"/>
      <c r="B1372" s="596"/>
      <c r="C1372" s="597"/>
      <c r="D1372" s="598"/>
      <c r="E1372" s="599"/>
      <c r="F1372" s="599"/>
      <c r="G1372" s="153"/>
      <c r="H1372" s="161"/>
      <c r="I1372" s="155"/>
      <c r="J1372" s="156"/>
      <c r="L1372" s="162"/>
      <c r="N1372" s="851"/>
      <c r="O1372" s="851"/>
    </row>
    <row r="1373" spans="1:15" s="157" customFormat="1">
      <c r="A1373" s="269" t="str">
        <f>A1341</f>
        <v>D.8.</v>
      </c>
      <c r="B1373" s="753" t="str">
        <f>CONCATENATE(B1341," ", "UKUPNO:")</f>
        <v>SPREMIŠTE ZA ODRŽAVANJE DVORIŠTA UKUPNO:</v>
      </c>
      <c r="C1373" s="152"/>
      <c r="D1373" s="572"/>
      <c r="E1373" s="144"/>
      <c r="F1373" s="670">
        <f>SUM(F1343:F1372)</f>
        <v>2546</v>
      </c>
      <c r="G1373" s="153"/>
      <c r="H1373" s="161"/>
      <c r="I1373" s="155"/>
      <c r="J1373" s="156"/>
      <c r="L1373" s="162"/>
      <c r="N1373" s="851"/>
      <c r="O1373" s="851"/>
    </row>
    <row r="1374" spans="1:15" s="157" customFormat="1">
      <c r="A1374" s="254"/>
      <c r="B1374" s="767"/>
      <c r="C1374" s="879"/>
      <c r="D1374" s="572"/>
      <c r="E1374" s="144"/>
      <c r="F1374" s="144"/>
      <c r="G1374" s="153"/>
      <c r="H1374" s="161"/>
      <c r="I1374" s="155"/>
      <c r="J1374" s="156"/>
      <c r="L1374" s="162"/>
      <c r="N1374" s="851"/>
      <c r="O1374" s="851"/>
    </row>
    <row r="1375" spans="1:15" s="157" customFormat="1" ht="14.4" thickBot="1">
      <c r="A1375" s="607"/>
      <c r="B1375" s="608"/>
      <c r="C1375" s="609"/>
      <c r="D1375" s="610"/>
      <c r="E1375" s="611"/>
      <c r="F1375" s="611"/>
      <c r="G1375" s="153"/>
      <c r="H1375" s="161"/>
      <c r="I1375" s="155"/>
      <c r="J1375" s="156"/>
      <c r="L1375" s="162"/>
      <c r="N1375" s="851"/>
      <c r="O1375" s="851"/>
    </row>
    <row r="1376" spans="1:15" s="157" customFormat="1">
      <c r="A1376" s="269" t="str">
        <f>A945</f>
        <v>D.</v>
      </c>
      <c r="B1376" s="753" t="str">
        <f>CONCATENATE(B945," ", "SVEUKUPNO:")</f>
        <v>GOSPODARSKI PROSTORI SVEUKUPNO:</v>
      </c>
      <c r="C1376" s="152"/>
      <c r="D1376" s="572"/>
      <c r="E1376" s="144"/>
      <c r="F1376" s="670">
        <f>SUM(F1134,F1141,F1152,F1183,F1190,F1325,F1338,F1373)</f>
        <v>44437.069999999992</v>
      </c>
      <c r="G1376" s="153"/>
      <c r="H1376" s="161"/>
      <c r="I1376" s="155"/>
      <c r="J1376" s="156"/>
      <c r="L1376" s="162"/>
      <c r="N1376" s="851"/>
      <c r="O1376" s="851"/>
    </row>
    <row r="1377" spans="1:15" s="157" customFormat="1">
      <c r="A1377" s="254"/>
      <c r="B1377" s="160"/>
      <c r="C1377" s="152"/>
      <c r="D1377" s="572"/>
      <c r="E1377" s="144"/>
      <c r="F1377" s="144"/>
      <c r="G1377" s="153"/>
      <c r="H1377" s="161"/>
      <c r="I1377" s="161"/>
      <c r="J1377" s="156"/>
      <c r="L1377" s="162"/>
      <c r="N1377" s="851"/>
      <c r="O1377" s="851"/>
    </row>
    <row r="1378" spans="1:15" s="157" customFormat="1">
      <c r="A1378" s="254"/>
      <c r="B1378" s="160"/>
      <c r="C1378" s="152"/>
      <c r="D1378" s="572"/>
      <c r="E1378" s="144"/>
      <c r="F1378" s="144"/>
      <c r="G1378" s="153"/>
      <c r="H1378" s="161"/>
      <c r="I1378" s="161"/>
      <c r="J1378" s="156"/>
      <c r="L1378" s="162"/>
      <c r="N1378" s="851"/>
      <c r="O1378" s="851"/>
    </row>
    <row r="1379" spans="1:15" s="157" customFormat="1" ht="14.4" thickBot="1">
      <c r="A1379" s="254"/>
      <c r="B1379" s="160"/>
      <c r="C1379" s="152"/>
      <c r="D1379" s="572"/>
      <c r="E1379" s="144"/>
      <c r="F1379" s="144"/>
      <c r="G1379" s="153"/>
      <c r="H1379" s="161"/>
      <c r="I1379" s="161"/>
      <c r="J1379" s="156"/>
      <c r="L1379" s="162"/>
      <c r="N1379" s="851"/>
      <c r="O1379" s="851"/>
    </row>
    <row r="1380" spans="1:15" s="157" customFormat="1" ht="16.2" thickBot="1">
      <c r="A1380" s="613" t="s">
        <v>682</v>
      </c>
      <c r="B1380" s="614" t="s">
        <v>889</v>
      </c>
      <c r="C1380" s="756"/>
      <c r="D1380" s="757"/>
      <c r="E1380" s="756"/>
      <c r="F1380" s="615"/>
      <c r="G1380" s="153"/>
      <c r="H1380" s="161"/>
      <c r="I1380" s="161"/>
      <c r="J1380" s="156"/>
      <c r="L1380" s="162"/>
      <c r="N1380" s="851"/>
      <c r="O1380" s="851"/>
    </row>
    <row r="1381" spans="1:15" s="157" customFormat="1">
      <c r="A1381" s="254"/>
      <c r="B1381" s="160"/>
      <c r="C1381" s="152"/>
      <c r="D1381" s="572"/>
      <c r="E1381" s="144"/>
      <c r="F1381" s="144"/>
      <c r="G1381" s="153"/>
      <c r="H1381" s="161"/>
      <c r="I1381" s="161"/>
      <c r="J1381" s="156"/>
      <c r="L1381" s="162"/>
      <c r="N1381" s="851"/>
      <c r="O1381" s="851"/>
    </row>
    <row r="1382" spans="1:15" s="157" customFormat="1">
      <c r="A1382" s="254"/>
      <c r="B1382" s="160"/>
      <c r="C1382" s="152"/>
      <c r="D1382" s="572"/>
      <c r="E1382" s="144"/>
      <c r="F1382" s="144"/>
      <c r="G1382" s="153"/>
      <c r="H1382" s="161"/>
      <c r="I1382" s="161"/>
      <c r="J1382" s="156"/>
      <c r="L1382" s="162"/>
      <c r="N1382" s="851"/>
      <c r="O1382" s="851"/>
    </row>
    <row r="1383" spans="1:15" s="157" customFormat="1" ht="14.4">
      <c r="A1383" s="616" t="str">
        <f>A77</f>
        <v>A.</v>
      </c>
      <c r="B1383" s="617" t="str">
        <f>B77</f>
        <v>SKUPNE JEDINICE, GARDEROBE I SANITARIJE</v>
      </c>
      <c r="C1383" s="618"/>
      <c r="D1383" s="619"/>
      <c r="E1383" s="620"/>
      <c r="F1383" s="853">
        <f>SUM(F1384:F1388)</f>
        <v>155471</v>
      </c>
      <c r="G1383" s="153"/>
      <c r="H1383" s="161"/>
      <c r="I1383" s="161"/>
      <c r="J1383" s="156"/>
      <c r="L1383" s="162"/>
      <c r="N1383" s="851"/>
      <c r="O1383" s="851"/>
    </row>
    <row r="1384" spans="1:15" s="157" customFormat="1">
      <c r="A1384" s="621" t="str">
        <f>A80</f>
        <v>A.1.</v>
      </c>
      <c r="B1384" s="622" t="str">
        <f>B80</f>
        <v>SKUPNE JEDINICE JASLICA</v>
      </c>
      <c r="C1384" s="623"/>
      <c r="D1384" s="624"/>
      <c r="E1384" s="625"/>
      <c r="F1384" s="854">
        <f>F186</f>
        <v>65302.5</v>
      </c>
      <c r="G1384" s="153"/>
      <c r="H1384" s="161"/>
      <c r="I1384" s="161"/>
      <c r="J1384" s="156"/>
      <c r="L1384" s="162"/>
      <c r="N1384" s="851"/>
      <c r="O1384" s="851"/>
    </row>
    <row r="1385" spans="1:15" s="157" customFormat="1">
      <c r="A1385" s="558" t="str">
        <f>A189</f>
        <v>A.2.</v>
      </c>
      <c r="B1385" s="626" t="str">
        <f>B189</f>
        <v xml:space="preserve">SKUPNE JEDINICE VRTIĆA (MLAĐA  I SREDNJA VRTIĆKA SKUPINA) </v>
      </c>
      <c r="C1385" s="623"/>
      <c r="D1385" s="624"/>
      <c r="E1385" s="625"/>
      <c r="F1385" s="854">
        <f>F327</f>
        <v>30226</v>
      </c>
      <c r="G1385" s="153"/>
      <c r="H1385" s="161"/>
      <c r="I1385" s="161"/>
      <c r="J1385" s="156"/>
      <c r="L1385" s="162"/>
      <c r="N1385" s="851"/>
      <c r="O1385" s="851"/>
    </row>
    <row r="1386" spans="1:15" s="157" customFormat="1">
      <c r="A1386" s="558" t="str">
        <f>A330</f>
        <v>A.3.</v>
      </c>
      <c r="B1386" s="626" t="str">
        <f>B330</f>
        <v>SKUPNE JEDINICE VRTIĆA (STARIJA I PREDŠKOLSKA VRTIĆKA SKUPINA)</v>
      </c>
      <c r="C1386" s="623"/>
      <c r="D1386" s="624"/>
      <c r="E1386" s="625"/>
      <c r="F1386" s="854">
        <f>F464</f>
        <v>27900</v>
      </c>
      <c r="G1386" s="153"/>
      <c r="H1386" s="161"/>
      <c r="I1386" s="161"/>
      <c r="J1386" s="156"/>
      <c r="L1386" s="162"/>
      <c r="N1386" s="851"/>
      <c r="O1386" s="851"/>
    </row>
    <row r="1387" spans="1:15" s="157" customFormat="1">
      <c r="A1387" s="558" t="str">
        <f>A467</f>
        <v>A.4.</v>
      </c>
      <c r="B1387" s="626" t="str">
        <f>B467</f>
        <v>GARDEROBE I SANITARIJE - JASLIČKE SKUPINE</v>
      </c>
      <c r="C1387" s="273"/>
      <c r="D1387" s="560"/>
      <c r="E1387" s="169"/>
      <c r="F1387" s="854">
        <f>F489</f>
        <v>18085</v>
      </c>
      <c r="G1387" s="153"/>
      <c r="H1387" s="161"/>
      <c r="I1387" s="161"/>
      <c r="J1387" s="156"/>
      <c r="L1387" s="162"/>
      <c r="N1387" s="851"/>
      <c r="O1387" s="851"/>
    </row>
    <row r="1388" spans="1:15" s="157" customFormat="1">
      <c r="A1388" s="558" t="str">
        <f>A492</f>
        <v>A.5.</v>
      </c>
      <c r="B1388" s="622" t="str">
        <f>B492</f>
        <v>GARDEROBE I SANITARIJE  - VRTIĆKE SKUPINE</v>
      </c>
      <c r="C1388" s="273"/>
      <c r="D1388" s="560"/>
      <c r="E1388" s="169"/>
      <c r="F1388" s="854">
        <f>F514</f>
        <v>13957.5</v>
      </c>
      <c r="G1388" s="153"/>
      <c r="H1388" s="161"/>
      <c r="I1388" s="161"/>
      <c r="J1388" s="156"/>
      <c r="L1388" s="162"/>
      <c r="N1388" s="851"/>
      <c r="O1388" s="851"/>
    </row>
    <row r="1389" spans="1:15" s="157" customFormat="1">
      <c r="A1389" s="254"/>
      <c r="B1389" s="160"/>
      <c r="C1389" s="152"/>
      <c r="D1389" s="572"/>
      <c r="E1389" s="144"/>
      <c r="F1389" s="144"/>
      <c r="G1389" s="153"/>
      <c r="H1389" s="161"/>
      <c r="I1389" s="161"/>
      <c r="J1389" s="156"/>
      <c r="L1389" s="162"/>
      <c r="N1389" s="851"/>
      <c r="O1389" s="851"/>
    </row>
    <row r="1390" spans="1:15" s="157" customFormat="1">
      <c r="A1390" s="254"/>
      <c r="B1390" s="160"/>
      <c r="C1390" s="152"/>
      <c r="D1390" s="572"/>
      <c r="E1390" s="144"/>
      <c r="F1390" s="144"/>
      <c r="G1390" s="153"/>
      <c r="H1390" s="161"/>
      <c r="I1390" s="161"/>
      <c r="J1390" s="156"/>
      <c r="L1390" s="162"/>
      <c r="N1390" s="851"/>
      <c r="O1390" s="851"/>
    </row>
    <row r="1391" spans="1:15" s="157" customFormat="1" ht="14.4">
      <c r="A1391" s="616" t="str">
        <f>A521</f>
        <v>B.</v>
      </c>
      <c r="B1391" s="627" t="str">
        <f>B521</f>
        <v>PVN I KOMUNIKACIJE</v>
      </c>
      <c r="C1391" s="618"/>
      <c r="D1391" s="619"/>
      <c r="E1391" s="620"/>
      <c r="F1391" s="853">
        <f>SUM(F1392:F1398)</f>
        <v>30490.5</v>
      </c>
      <c r="G1391" s="153"/>
      <c r="H1391" s="161"/>
      <c r="I1391" s="161"/>
      <c r="J1391" s="156"/>
      <c r="L1391" s="162"/>
      <c r="N1391" s="851"/>
      <c r="O1391" s="851"/>
    </row>
    <row r="1392" spans="1:15" s="157" customFormat="1">
      <c r="A1392" s="558" t="str">
        <f>A524</f>
        <v>B.1.</v>
      </c>
      <c r="B1392" s="559" t="str">
        <f>B524</f>
        <v>PROSTOR VIŠE NAMJENA</v>
      </c>
      <c r="C1392" s="623"/>
      <c r="D1392" s="624"/>
      <c r="E1392" s="625"/>
      <c r="F1392" s="854">
        <f>F558</f>
        <v>6664</v>
      </c>
      <c r="G1392" s="153"/>
      <c r="H1392" s="161"/>
      <c r="I1392" s="161"/>
      <c r="J1392" s="156"/>
      <c r="L1392" s="162"/>
      <c r="N1392" s="851"/>
      <c r="O1392" s="851"/>
    </row>
    <row r="1393" spans="1:15" s="157" customFormat="1">
      <c r="A1393" s="558" t="str">
        <f>A561</f>
        <v>B.2.</v>
      </c>
      <c r="B1393" s="622" t="str">
        <f>B561</f>
        <v>VIŠENAMJENSKI KOMUNIKACIJSKI PROSTOR</v>
      </c>
      <c r="C1393" s="623"/>
      <c r="D1393" s="624"/>
      <c r="E1393" s="625"/>
      <c r="F1393" s="854">
        <f>F571</f>
        <v>687</v>
      </c>
      <c r="G1393" s="153"/>
      <c r="H1393" s="161"/>
      <c r="I1393" s="161"/>
      <c r="J1393" s="156"/>
      <c r="L1393" s="162"/>
      <c r="N1393" s="851"/>
      <c r="O1393" s="851"/>
    </row>
    <row r="1394" spans="1:15" s="157" customFormat="1">
      <c r="A1394" s="558" t="str">
        <f>A574</f>
        <v>B.3.</v>
      </c>
      <c r="B1394" s="622" t="str">
        <f>B574</f>
        <v>STUBIŠTE</v>
      </c>
      <c r="C1394" s="623"/>
      <c r="D1394" s="624"/>
      <c r="E1394" s="625"/>
      <c r="F1394" s="854">
        <f>F584</f>
        <v>441</v>
      </c>
      <c r="G1394" s="153"/>
      <c r="H1394" s="161"/>
      <c r="I1394" s="161"/>
      <c r="J1394" s="156"/>
      <c r="L1394" s="162"/>
      <c r="N1394" s="851"/>
      <c r="O1394" s="851"/>
    </row>
    <row r="1395" spans="1:15" s="157" customFormat="1">
      <c r="A1395" s="558" t="str">
        <f>A587</f>
        <v>B.4.</v>
      </c>
      <c r="B1395" s="622" t="str">
        <f>B587</f>
        <v>VJETROBRAN</v>
      </c>
      <c r="C1395" s="623"/>
      <c r="D1395" s="624"/>
      <c r="E1395" s="625"/>
      <c r="F1395" s="854">
        <f>F593</f>
        <v>42.5</v>
      </c>
      <c r="G1395" s="153"/>
      <c r="H1395" s="161"/>
      <c r="I1395" s="161"/>
      <c r="J1395" s="156"/>
      <c r="L1395" s="162"/>
      <c r="N1395" s="851"/>
      <c r="O1395" s="851"/>
    </row>
    <row r="1396" spans="1:15" s="157" customFormat="1">
      <c r="A1396" s="558" t="str">
        <f>A596</f>
        <v>B.5.</v>
      </c>
      <c r="B1396" s="559" t="str">
        <f>B596</f>
        <v>SPREMIŠTE PVN 1</v>
      </c>
      <c r="C1396" s="623"/>
      <c r="D1396" s="624"/>
      <c r="E1396" s="625"/>
      <c r="F1396" s="854">
        <f>F634</f>
        <v>5430</v>
      </c>
      <c r="G1396" s="153"/>
      <c r="H1396" s="161"/>
      <c r="I1396" s="161"/>
      <c r="J1396" s="156"/>
      <c r="L1396" s="162"/>
      <c r="N1396" s="851"/>
      <c r="O1396" s="851"/>
    </row>
    <row r="1397" spans="1:15" s="157" customFormat="1">
      <c r="A1397" s="558" t="str">
        <f>A637</f>
        <v>B.6.</v>
      </c>
      <c r="B1397" s="622" t="str">
        <f>B637</f>
        <v>SPREMIŠTE PVN 2</v>
      </c>
      <c r="C1397" s="623"/>
      <c r="D1397" s="624"/>
      <c r="E1397" s="625"/>
      <c r="F1397" s="854">
        <f>F685</f>
        <v>16088</v>
      </c>
      <c r="G1397" s="153"/>
      <c r="H1397" s="161"/>
      <c r="I1397" s="161"/>
      <c r="J1397" s="156"/>
      <c r="L1397" s="162"/>
      <c r="N1397" s="851"/>
      <c r="O1397" s="851"/>
    </row>
    <row r="1398" spans="1:15" s="157" customFormat="1">
      <c r="A1398" s="558" t="str">
        <f>A688</f>
        <v>B.7.</v>
      </c>
      <c r="B1398" s="559" t="str">
        <f>B688</f>
        <v>MULTIMEDIJALNI UREĐAJI</v>
      </c>
      <c r="C1398" s="623"/>
      <c r="D1398" s="624"/>
      <c r="E1398" s="625"/>
      <c r="F1398" s="854">
        <f>F696</f>
        <v>1138</v>
      </c>
      <c r="G1398" s="153"/>
      <c r="H1398" s="161"/>
      <c r="I1398" s="161"/>
      <c r="J1398" s="156"/>
      <c r="L1398" s="162"/>
      <c r="N1398" s="851"/>
      <c r="O1398" s="851"/>
    </row>
    <row r="1399" spans="1:15" s="157" customFormat="1">
      <c r="A1399" s="254"/>
      <c r="B1399" s="160"/>
      <c r="C1399" s="152"/>
      <c r="D1399" s="572"/>
      <c r="E1399" s="144"/>
      <c r="F1399" s="144"/>
      <c r="G1399" s="153"/>
      <c r="H1399" s="161"/>
      <c r="I1399" s="161"/>
      <c r="J1399" s="156"/>
      <c r="L1399" s="162"/>
      <c r="N1399" s="851"/>
      <c r="O1399" s="851"/>
    </row>
    <row r="1400" spans="1:15" s="157" customFormat="1">
      <c r="A1400" s="254"/>
      <c r="B1400" s="160"/>
      <c r="C1400" s="152"/>
      <c r="D1400" s="572"/>
      <c r="E1400" s="144"/>
      <c r="F1400" s="144"/>
      <c r="G1400" s="153"/>
      <c r="H1400" s="161"/>
      <c r="I1400" s="161"/>
      <c r="J1400" s="156"/>
      <c r="L1400" s="162"/>
      <c r="N1400" s="851"/>
      <c r="O1400" s="851"/>
    </row>
    <row r="1401" spans="1:15" s="157" customFormat="1" ht="14.4">
      <c r="A1401" s="616" t="str">
        <f>A703</f>
        <v>C.</v>
      </c>
      <c r="B1401" s="617" t="str">
        <f>B703</f>
        <v>OSOBLJE</v>
      </c>
      <c r="C1401" s="618"/>
      <c r="D1401" s="619"/>
      <c r="E1401" s="620"/>
      <c r="F1401" s="853">
        <f>SUM(F1402:F1409)</f>
        <v>32710</v>
      </c>
      <c r="G1401" s="153"/>
      <c r="H1401" s="161"/>
      <c r="I1401" s="161"/>
      <c r="J1401" s="156"/>
      <c r="L1401" s="162"/>
      <c r="N1401" s="851"/>
      <c r="O1401" s="851"/>
    </row>
    <row r="1402" spans="1:15" s="157" customFormat="1">
      <c r="A1402" s="558" t="str">
        <f>A706</f>
        <v>C.1.</v>
      </c>
      <c r="B1402" s="626" t="str">
        <f>B706</f>
        <v>SOBA RAVNATELJSTVA</v>
      </c>
      <c r="C1402" s="623"/>
      <c r="D1402" s="624"/>
      <c r="E1402" s="625"/>
      <c r="F1402" s="854">
        <f>F738</f>
        <v>2493</v>
      </c>
      <c r="G1402" s="153"/>
      <c r="H1402" s="161"/>
      <c r="I1402" s="161"/>
      <c r="J1402" s="156"/>
      <c r="L1402" s="162"/>
      <c r="N1402" s="851"/>
      <c r="O1402" s="851"/>
    </row>
    <row r="1403" spans="1:15" s="157" customFormat="1">
      <c r="A1403" s="558" t="str">
        <f>A741</f>
        <v>C.2.</v>
      </c>
      <c r="B1403" s="622" t="str">
        <f>B741</f>
        <v>SOBE TAJNIŠTVA I RAČUNOVODSTVA</v>
      </c>
      <c r="C1403" s="623"/>
      <c r="D1403" s="624"/>
      <c r="E1403" s="625"/>
      <c r="F1403" s="854">
        <f>F773</f>
        <v>4870</v>
      </c>
      <c r="G1403" s="153"/>
      <c r="H1403" s="161"/>
      <c r="I1403" s="161"/>
      <c r="J1403" s="156"/>
      <c r="L1403" s="162"/>
      <c r="N1403" s="851"/>
      <c r="O1403" s="851"/>
    </row>
    <row r="1404" spans="1:15" s="157" customFormat="1">
      <c r="A1404" s="558" t="str">
        <f>A776</f>
        <v>C.3.</v>
      </c>
      <c r="B1404" s="622" t="str">
        <f>B776</f>
        <v>SOBA PEDAGOGA</v>
      </c>
      <c r="C1404" s="623"/>
      <c r="D1404" s="624"/>
      <c r="E1404" s="625"/>
      <c r="F1404" s="854">
        <f>F812</f>
        <v>2706</v>
      </c>
      <c r="G1404" s="153"/>
      <c r="H1404" s="161"/>
      <c r="I1404" s="161"/>
      <c r="J1404" s="156"/>
      <c r="L1404" s="162"/>
      <c r="N1404" s="851"/>
      <c r="O1404" s="851"/>
    </row>
    <row r="1405" spans="1:15" s="157" customFormat="1">
      <c r="A1405" s="558" t="str">
        <f>A815</f>
        <v>C.4.</v>
      </c>
      <c r="B1405" s="622" t="str">
        <f>B815</f>
        <v>SOBA ZDRAVSTVENOG VODITELJA</v>
      </c>
      <c r="C1405" s="623"/>
      <c r="D1405" s="624"/>
      <c r="E1405" s="625"/>
      <c r="F1405" s="854">
        <f>F871</f>
        <v>4394</v>
      </c>
      <c r="G1405" s="153"/>
      <c r="H1405" s="161"/>
      <c r="I1405" s="161"/>
      <c r="J1405" s="156"/>
      <c r="L1405" s="162"/>
      <c r="N1405" s="851"/>
      <c r="O1405" s="851"/>
    </row>
    <row r="1406" spans="1:15" s="157" customFormat="1">
      <c r="A1406" s="558" t="str">
        <f>A874</f>
        <v>C.5.</v>
      </c>
      <c r="B1406" s="626" t="str">
        <f>B874</f>
        <v>SOBA ZA ODGAJATELJE</v>
      </c>
      <c r="C1406" s="623"/>
      <c r="D1406" s="624"/>
      <c r="E1406" s="625"/>
      <c r="F1406" s="854">
        <f>F904</f>
        <v>7053</v>
      </c>
      <c r="G1406" s="153"/>
      <c r="H1406" s="161"/>
      <c r="I1406" s="161"/>
      <c r="J1406" s="156"/>
      <c r="L1406" s="162"/>
      <c r="N1406" s="851"/>
      <c r="O1406" s="851"/>
    </row>
    <row r="1407" spans="1:15" s="157" customFormat="1">
      <c r="A1407" s="558" t="str">
        <f>A907</f>
        <v>C.6.</v>
      </c>
      <c r="B1407" s="622" t="str">
        <f>B907</f>
        <v xml:space="preserve">SPREMIŠTE </v>
      </c>
      <c r="C1407" s="623"/>
      <c r="D1407" s="624"/>
      <c r="E1407" s="625"/>
      <c r="F1407" s="854">
        <f>F915</f>
        <v>1096</v>
      </c>
      <c r="G1407" s="153"/>
      <c r="H1407" s="161"/>
      <c r="I1407" s="161"/>
      <c r="J1407" s="156"/>
      <c r="L1407" s="162"/>
      <c r="N1407" s="851"/>
      <c r="O1407" s="851"/>
    </row>
    <row r="1408" spans="1:15" s="157" customFormat="1">
      <c r="A1408" s="558" t="str">
        <f>A918</f>
        <v>C.7.</v>
      </c>
      <c r="B1408" s="622" t="str">
        <f>B918</f>
        <v>GARDEROBE I SANITARIJE ODGOJITELJA</v>
      </c>
      <c r="C1408" s="623"/>
      <c r="D1408" s="624"/>
      <c r="E1408" s="625"/>
      <c r="F1408" s="854">
        <f>F922</f>
        <v>1560</v>
      </c>
      <c r="G1408" s="153"/>
      <c r="H1408" s="161"/>
      <c r="I1408" s="161"/>
      <c r="J1408" s="156"/>
      <c r="L1408" s="162"/>
      <c r="N1408" s="851"/>
      <c r="O1408" s="851"/>
    </row>
    <row r="1409" spans="1:15" s="157" customFormat="1">
      <c r="A1409" s="558" t="str">
        <f>A925</f>
        <v>C.8.</v>
      </c>
      <c r="B1409" s="622" t="str">
        <f>B925</f>
        <v>INFORMATIČKA OPREMA</v>
      </c>
      <c r="C1409" s="623"/>
      <c r="D1409" s="624"/>
      <c r="E1409" s="625"/>
      <c r="F1409" s="854">
        <f>F938</f>
        <v>8538</v>
      </c>
      <c r="G1409" s="153"/>
      <c r="H1409" s="161"/>
      <c r="I1409" s="161"/>
      <c r="J1409" s="156"/>
      <c r="L1409" s="162"/>
      <c r="N1409" s="851"/>
      <c r="O1409" s="851"/>
    </row>
    <row r="1410" spans="1:15" s="157" customFormat="1">
      <c r="A1410" s="254"/>
      <c r="B1410" s="160"/>
      <c r="C1410" s="152"/>
      <c r="D1410" s="572"/>
      <c r="E1410" s="144"/>
      <c r="F1410" s="144"/>
      <c r="G1410" s="153"/>
      <c r="H1410" s="161"/>
      <c r="I1410" s="161"/>
      <c r="J1410" s="156"/>
      <c r="L1410" s="162"/>
      <c r="N1410" s="851"/>
      <c r="O1410" s="851"/>
    </row>
    <row r="1411" spans="1:15" s="157" customFormat="1">
      <c r="A1411" s="558"/>
      <c r="B1411" s="626"/>
      <c r="C1411" s="273"/>
      <c r="D1411" s="560"/>
      <c r="E1411" s="169"/>
      <c r="F1411" s="561"/>
      <c r="G1411" s="153"/>
      <c r="H1411" s="161"/>
      <c r="I1411" s="161"/>
      <c r="J1411" s="156"/>
      <c r="L1411" s="162"/>
      <c r="N1411" s="851"/>
      <c r="O1411" s="851"/>
    </row>
    <row r="1412" spans="1:15" s="157" customFormat="1" ht="14.4">
      <c r="A1412" s="616" t="str">
        <f>A945</f>
        <v>D.</v>
      </c>
      <c r="B1412" s="617" t="str">
        <f>B945</f>
        <v>GOSPODARSKI PROSTORI</v>
      </c>
      <c r="C1412" s="618"/>
      <c r="D1412" s="619"/>
      <c r="E1412" s="620"/>
      <c r="F1412" s="853">
        <f>SUM(F1413:F1420)</f>
        <v>44437.069999999992</v>
      </c>
      <c r="G1412" s="153"/>
      <c r="H1412" s="161"/>
      <c r="I1412" s="161"/>
      <c r="J1412" s="156"/>
      <c r="L1412" s="162"/>
      <c r="N1412" s="851"/>
      <c r="O1412" s="851"/>
    </row>
    <row r="1413" spans="1:15" s="157" customFormat="1">
      <c r="A1413" s="558" t="str">
        <f>A948</f>
        <v>D.1.</v>
      </c>
      <c r="B1413" s="626" t="str">
        <f>B948</f>
        <v>DODATNI PRIBOR ZA KUHINJU</v>
      </c>
      <c r="C1413" s="623"/>
      <c r="D1413" s="624"/>
      <c r="E1413" s="625"/>
      <c r="F1413" s="854">
        <f>F1134</f>
        <v>19754.569999999992</v>
      </c>
      <c r="G1413" s="153"/>
      <c r="H1413" s="161"/>
      <c r="I1413" s="161"/>
      <c r="J1413" s="156"/>
      <c r="L1413" s="162"/>
      <c r="N1413" s="851"/>
      <c r="O1413" s="851"/>
    </row>
    <row r="1414" spans="1:15" s="157" customFormat="1">
      <c r="A1414" s="558" t="str">
        <f>A1137</f>
        <v>D.2.</v>
      </c>
      <c r="B1414" s="622" t="str">
        <f>B1137</f>
        <v>GARDEROBE I SANITARIJE KUHINJSKOG I TEHNIČKOG OSOBLJA</v>
      </c>
      <c r="C1414" s="623"/>
      <c r="D1414" s="624"/>
      <c r="E1414" s="625"/>
      <c r="F1414" s="854">
        <f>F1141</f>
        <v>624</v>
      </c>
      <c r="G1414" s="153"/>
      <c r="H1414" s="161"/>
      <c r="I1414" s="161"/>
      <c r="J1414" s="156"/>
      <c r="L1414" s="162"/>
      <c r="N1414" s="851"/>
      <c r="O1414" s="851"/>
    </row>
    <row r="1415" spans="1:15" s="157" customFormat="1">
      <c r="A1415" s="558" t="str">
        <f>A1144</f>
        <v>D.3.</v>
      </c>
      <c r="B1415" s="622" t="str">
        <f>B1144</f>
        <v>VJETROBRAN</v>
      </c>
      <c r="C1415" s="623"/>
      <c r="D1415" s="624"/>
      <c r="E1415" s="625"/>
      <c r="F1415" s="854">
        <f>F1152</f>
        <v>120.5</v>
      </c>
      <c r="G1415" s="153"/>
      <c r="H1415" s="161"/>
      <c r="I1415" s="161"/>
      <c r="J1415" s="156"/>
      <c r="L1415" s="162"/>
      <c r="N1415" s="851"/>
      <c r="O1415" s="851"/>
    </row>
    <row r="1416" spans="1:15" s="157" customFormat="1">
      <c r="A1416" s="558" t="str">
        <f>A1155</f>
        <v>D.4.</v>
      </c>
      <c r="B1416" s="622" t="str">
        <f>B1155</f>
        <v>SPREMIŠTE ČIŠĆENJE</v>
      </c>
      <c r="C1416" s="623"/>
      <c r="D1416" s="624"/>
      <c r="E1416" s="625"/>
      <c r="F1416" s="854">
        <f>F1183</f>
        <v>14563</v>
      </c>
      <c r="G1416" s="153"/>
      <c r="H1416" s="161"/>
      <c r="I1416" s="161"/>
      <c r="J1416" s="156"/>
      <c r="L1416" s="162"/>
      <c r="N1416" s="851"/>
      <c r="O1416" s="851"/>
    </row>
    <row r="1417" spans="1:15" s="157" customFormat="1">
      <c r="A1417" s="558" t="str">
        <f>A1186</f>
        <v>D.5.</v>
      </c>
      <c r="B1417" s="626" t="str">
        <f>B1186</f>
        <v>PROSTORIJA ZA PRIVREMENO ODLAGANJE OTPADA</v>
      </c>
      <c r="C1417" s="623"/>
      <c r="D1417" s="624"/>
      <c r="E1417" s="625"/>
      <c r="F1417" s="854">
        <f>F1190</f>
        <v>198</v>
      </c>
      <c r="G1417" s="153"/>
      <c r="H1417" s="161"/>
      <c r="I1417" s="161"/>
      <c r="J1417" s="156"/>
      <c r="L1417" s="162"/>
      <c r="N1417" s="851"/>
      <c r="O1417" s="851"/>
    </row>
    <row r="1418" spans="1:15" s="157" customFormat="1">
      <c r="A1418" s="558" t="str">
        <f>A1193</f>
        <v>D.6.</v>
      </c>
      <c r="B1418" s="622" t="str">
        <f>B1193</f>
        <v>DOMAR</v>
      </c>
      <c r="C1418" s="623"/>
      <c r="D1418" s="624"/>
      <c r="E1418" s="625"/>
      <c r="F1418" s="854">
        <f>F1325</f>
        <v>5420</v>
      </c>
      <c r="G1418" s="153"/>
      <c r="H1418" s="161"/>
      <c r="I1418" s="161"/>
      <c r="J1418" s="156"/>
      <c r="L1418" s="162"/>
      <c r="N1418" s="851"/>
      <c r="O1418" s="851"/>
    </row>
    <row r="1419" spans="1:15" s="157" customFormat="1">
      <c r="A1419" s="558" t="str">
        <f>A1328</f>
        <v>D.7.</v>
      </c>
      <c r="B1419" s="559" t="str">
        <f>B1328</f>
        <v>PROSTOR ZA ODMOR</v>
      </c>
      <c r="C1419" s="623"/>
      <c r="D1419" s="624"/>
      <c r="E1419" s="625"/>
      <c r="F1419" s="854">
        <f>F1338</f>
        <v>1211</v>
      </c>
      <c r="G1419" s="153"/>
      <c r="H1419" s="161"/>
      <c r="I1419" s="161"/>
      <c r="J1419" s="156"/>
      <c r="L1419" s="162"/>
      <c r="N1419" s="851"/>
      <c r="O1419" s="851"/>
    </row>
    <row r="1420" spans="1:15" s="157" customFormat="1">
      <c r="A1420" s="558" t="str">
        <f>A1341</f>
        <v>D.8.</v>
      </c>
      <c r="B1420" s="622" t="str">
        <f>B1341</f>
        <v>SPREMIŠTE ZA ODRŽAVANJE DVORIŠTA</v>
      </c>
      <c r="C1420" s="623"/>
      <c r="D1420" s="624"/>
      <c r="E1420" s="625"/>
      <c r="F1420" s="854">
        <f>F1373</f>
        <v>2546</v>
      </c>
      <c r="G1420" s="153"/>
      <c r="H1420" s="161"/>
      <c r="I1420" s="161"/>
      <c r="J1420" s="156"/>
      <c r="L1420" s="162"/>
      <c r="N1420" s="851"/>
      <c r="O1420" s="851"/>
    </row>
    <row r="1421" spans="1:15" s="157" customFormat="1">
      <c r="A1421" s="558"/>
      <c r="B1421" s="626"/>
      <c r="C1421" s="623"/>
      <c r="D1421" s="624"/>
      <c r="E1421" s="625"/>
      <c r="F1421" s="561"/>
      <c r="G1421" s="153"/>
      <c r="H1421" s="161"/>
      <c r="I1421" s="161"/>
      <c r="J1421" s="156"/>
      <c r="L1421" s="162"/>
      <c r="N1421" s="851"/>
      <c r="O1421" s="851"/>
    </row>
    <row r="1422" spans="1:15" s="157" customFormat="1" ht="14.4" thickBot="1">
      <c r="A1422" s="558"/>
      <c r="B1422" s="626"/>
      <c r="C1422" s="273"/>
      <c r="D1422" s="560"/>
      <c r="E1422" s="169"/>
      <c r="F1422" s="561"/>
      <c r="G1422" s="153"/>
      <c r="H1422" s="161"/>
      <c r="I1422" s="161"/>
      <c r="J1422" s="156"/>
      <c r="L1422" s="162"/>
      <c r="N1422" s="851"/>
      <c r="O1422" s="851"/>
    </row>
    <row r="1423" spans="1:15" s="157" customFormat="1" ht="16.2" thickBot="1">
      <c r="A1423" s="613" t="s">
        <v>686</v>
      </c>
      <c r="B1423" s="614" t="s">
        <v>3050</v>
      </c>
      <c r="C1423" s="756"/>
      <c r="D1423" s="757"/>
      <c r="E1423" s="756"/>
      <c r="F1423" s="855">
        <f>SUM(F1383,F1391,F1401,F1412)</f>
        <v>263108.57</v>
      </c>
      <c r="G1423" s="153"/>
      <c r="H1423" s="629"/>
      <c r="I1423" s="161"/>
      <c r="J1423" s="156"/>
      <c r="L1423" s="162"/>
      <c r="N1423" s="851"/>
      <c r="O1423" s="851"/>
    </row>
    <row r="1424" spans="1:15" s="157" customFormat="1">
      <c r="A1424" s="131"/>
      <c r="B1424" s="159"/>
      <c r="C1424" s="133"/>
      <c r="D1424" s="562"/>
      <c r="E1424" s="135"/>
      <c r="F1424" s="135"/>
      <c r="G1424" s="153"/>
      <c r="H1424" s="161"/>
      <c r="I1424" s="161"/>
      <c r="J1424" s="156"/>
      <c r="L1424" s="162"/>
      <c r="N1424" s="851"/>
      <c r="O1424" s="851"/>
    </row>
    <row r="1425" spans="1:15" s="157" customFormat="1">
      <c r="A1425" s="254"/>
      <c r="B1425" s="160"/>
      <c r="C1425" s="152"/>
      <c r="D1425" s="572"/>
      <c r="E1425" s="144"/>
      <c r="F1425" s="144"/>
      <c r="G1425" s="153"/>
      <c r="H1425" s="161"/>
      <c r="I1425" s="161"/>
      <c r="J1425" s="156"/>
      <c r="L1425" s="162"/>
      <c r="N1425" s="851"/>
      <c r="O1425" s="851"/>
    </row>
    <row r="1426" spans="1:15" s="157" customFormat="1">
      <c r="A1426" s="254"/>
      <c r="B1426" s="160"/>
      <c r="C1426" s="152"/>
      <c r="D1426" s="572"/>
      <c r="E1426" s="144"/>
      <c r="F1426" s="144"/>
      <c r="G1426" s="153"/>
      <c r="H1426" s="161"/>
      <c r="I1426" s="161"/>
      <c r="J1426" s="156"/>
      <c r="L1426" s="162"/>
      <c r="N1426" s="851"/>
      <c r="O1426" s="851"/>
    </row>
    <row r="1427" spans="1:15" s="157" customFormat="1">
      <c r="A1427" s="254"/>
      <c r="B1427" s="160"/>
      <c r="C1427" s="152"/>
      <c r="D1427" s="572"/>
      <c r="E1427" s="144"/>
      <c r="F1427" s="144"/>
      <c r="G1427" s="153"/>
      <c r="H1427" s="161"/>
      <c r="I1427" s="161"/>
      <c r="J1427" s="156"/>
      <c r="L1427" s="162"/>
      <c r="N1427" s="851"/>
      <c r="O1427" s="851"/>
    </row>
    <row r="1428" spans="1:15" s="157" customFormat="1">
      <c r="A1428" s="254"/>
      <c r="B1428" s="160"/>
      <c r="C1428" s="152"/>
      <c r="D1428" s="572"/>
      <c r="E1428" s="144"/>
      <c r="F1428" s="144"/>
      <c r="G1428" s="153"/>
      <c r="H1428" s="161"/>
      <c r="I1428" s="161"/>
      <c r="J1428" s="156"/>
      <c r="L1428" s="162"/>
      <c r="N1428" s="851"/>
      <c r="O1428" s="851"/>
    </row>
    <row r="1429" spans="1:15" s="157" customFormat="1">
      <c r="A1429" s="254"/>
      <c r="B1429" s="160"/>
      <c r="C1429" s="152"/>
      <c r="D1429" s="572"/>
      <c r="E1429" s="144"/>
      <c r="F1429" s="144"/>
      <c r="G1429" s="153"/>
      <c r="H1429" s="161"/>
      <c r="I1429" s="161"/>
      <c r="J1429" s="156"/>
      <c r="L1429" s="162"/>
      <c r="N1429" s="851"/>
      <c r="O1429" s="851"/>
    </row>
    <row r="1430" spans="1:15" s="157" customFormat="1">
      <c r="A1430" s="254"/>
      <c r="B1430" s="160"/>
      <c r="C1430" s="152"/>
      <c r="D1430" s="572"/>
      <c r="E1430" s="144"/>
      <c r="F1430" s="144"/>
      <c r="G1430" s="153"/>
      <c r="H1430" s="161"/>
      <c r="I1430" s="161"/>
      <c r="J1430" s="156"/>
      <c r="L1430" s="162"/>
      <c r="N1430" s="851"/>
      <c r="O1430" s="851"/>
    </row>
    <row r="1431" spans="1:15" s="157" customFormat="1">
      <c r="A1431" s="254"/>
      <c r="B1431" s="160"/>
      <c r="C1431" s="152"/>
      <c r="D1431" s="572"/>
      <c r="E1431" s="144"/>
      <c r="F1431" s="144"/>
      <c r="G1431" s="153"/>
      <c r="H1431" s="161"/>
      <c r="I1431" s="161"/>
      <c r="J1431" s="156"/>
      <c r="L1431" s="162"/>
      <c r="N1431" s="851"/>
      <c r="O1431" s="851"/>
    </row>
    <row r="1432" spans="1:15" s="157" customFormat="1">
      <c r="A1432" s="254"/>
      <c r="B1432" s="160"/>
      <c r="C1432" s="152"/>
      <c r="D1432" s="572"/>
      <c r="E1432" s="144"/>
      <c r="F1432" s="144"/>
      <c r="G1432" s="153"/>
      <c r="H1432" s="161"/>
      <c r="I1432" s="161"/>
      <c r="J1432" s="156"/>
      <c r="L1432" s="162"/>
      <c r="N1432" s="851"/>
      <c r="O1432" s="851"/>
    </row>
  </sheetData>
  <mergeCells count="1">
    <mergeCell ref="A1:F1"/>
  </mergeCells>
  <pageMargins left="0.78740157480314965" right="0.39370078740157483" top="0.39370078740157483" bottom="1.1811023622047245" header="0.39370078740157483" footer="0.59055118110236227"/>
  <pageSetup paperSize="9" scale="98" orientation="portrait" r:id="rId1"/>
  <headerFooter alignWithMargins="0">
    <oddFooter>&amp;L&amp;"-,Uobičajeno"&amp;9&amp;A&amp;C&amp;"-,Uobičajeno"&amp;9DJEČJI VRTIĆ LEKENIK&amp;R&amp;"-,Uobičajeno"str.: &amp;"-,Podebljano"&amp;P/&amp;N</oddFooter>
  </headerFooter>
  <rowBreaks count="17" manualBreakCount="17">
    <brk id="35" max="5" man="1"/>
    <brk id="76" max="5" man="1"/>
    <brk id="175" max="5" man="1"/>
    <brk id="466" max="5" man="1"/>
    <brk id="491" max="5" man="1"/>
    <brk id="568" max="5" man="1"/>
    <brk id="595" max="5" man="1"/>
    <brk id="627" max="5" man="1"/>
    <brk id="687" max="5" man="1"/>
    <brk id="844" max="5" man="1"/>
    <brk id="860" max="5" man="1"/>
    <brk id="873" max="5" man="1"/>
    <brk id="924" max="5" man="1"/>
    <brk id="944" max="5" man="1"/>
    <brk id="1143" max="5" man="1"/>
    <brk id="1185" max="5" man="1"/>
    <brk id="1379"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Radni listovi</vt:lpstr>
      </vt:variant>
      <vt:variant>
        <vt:i4>12</vt:i4>
      </vt:variant>
      <vt:variant>
        <vt:lpstr>Imenovani rasponi</vt:lpstr>
      </vt:variant>
      <vt:variant>
        <vt:i4>22</vt:i4>
      </vt:variant>
    </vt:vector>
  </HeadingPairs>
  <TitlesOfParts>
    <vt:vector size="34" baseType="lpstr">
      <vt:lpstr>naslovnica</vt:lpstr>
      <vt:lpstr>rekapitulacija</vt:lpstr>
      <vt:lpstr>OUT</vt:lpstr>
      <vt:lpstr>1.GOR</vt:lpstr>
      <vt:lpstr>2.Krajobraz</vt:lpstr>
      <vt:lpstr>3.ViO</vt:lpstr>
      <vt:lpstr>4.Strojarstvo</vt:lpstr>
      <vt:lpstr>5.Elektro</vt:lpstr>
      <vt:lpstr>6.Vatrodojava</vt:lpstr>
      <vt:lpstr>7.Dizalo</vt:lpstr>
      <vt:lpstr>8.Kuhinja-praonica</vt:lpstr>
      <vt:lpstr>9.Opremanje</vt:lpstr>
      <vt:lpstr>'1.GOR'!Ispis_naslova</vt:lpstr>
      <vt:lpstr>'2.Krajobraz'!Ispis_naslova</vt:lpstr>
      <vt:lpstr>'3.ViO'!Ispis_naslova</vt:lpstr>
      <vt:lpstr>'4.Strojarstvo'!Ispis_naslova</vt:lpstr>
      <vt:lpstr>'5.Elektro'!Ispis_naslova</vt:lpstr>
      <vt:lpstr>'6.Vatrodojava'!Ispis_naslova</vt:lpstr>
      <vt:lpstr>'7.Dizalo'!Ispis_naslova</vt:lpstr>
      <vt:lpstr>'8.Kuhinja-praonica'!Ispis_naslova</vt:lpstr>
      <vt:lpstr>'9.Opremanje'!Ispis_naslova</vt:lpstr>
      <vt:lpstr>OUT!Ispis_naslova</vt:lpstr>
      <vt:lpstr>'1.GOR'!Podrucje_ispisa</vt:lpstr>
      <vt:lpstr>'2.Krajobraz'!Podrucje_ispisa</vt:lpstr>
      <vt:lpstr>'3.ViO'!Podrucje_ispisa</vt:lpstr>
      <vt:lpstr>'4.Strojarstvo'!Podrucje_ispisa</vt:lpstr>
      <vt:lpstr>'5.Elektro'!Podrucje_ispisa</vt:lpstr>
      <vt:lpstr>'6.Vatrodojava'!Podrucje_ispisa</vt:lpstr>
      <vt:lpstr>'7.Dizalo'!Podrucje_ispisa</vt:lpstr>
      <vt:lpstr>'8.Kuhinja-praonica'!Podrucje_ispisa</vt:lpstr>
      <vt:lpstr>'9.Opremanje'!Podrucje_ispisa</vt:lpstr>
      <vt:lpstr>naslovnica!Podrucje_ispisa</vt:lpstr>
      <vt:lpstr>OUT!Podrucje_ispisa</vt:lpstr>
      <vt:lpstr>rekapitulacija!Podrucje_ispisa</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dc:creator>
  <cp:lastModifiedBy>office</cp:lastModifiedBy>
  <cp:lastPrinted>2024-12-24T08:35:02Z</cp:lastPrinted>
  <dcterms:created xsi:type="dcterms:W3CDTF">2004-09-15T21:03:06Z</dcterms:created>
  <dcterms:modified xsi:type="dcterms:W3CDTF">2025-03-12T18:38:01Z</dcterms:modified>
</cp:coreProperties>
</file>