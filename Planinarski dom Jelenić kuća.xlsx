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codeName="ThisWorkbook" checkCompatibility="1" defaultThemeVersion="124226"/>
  <mc:AlternateContent xmlns:mc="http://schemas.openxmlformats.org/markup-compatibility/2006">
    <mc:Choice Requires="x15">
      <x15ac:absPath xmlns:x15ac="http://schemas.microsoft.com/office/spreadsheetml/2010/11/ac" url="C:\Users\kristina\Downloads\"/>
    </mc:Choice>
  </mc:AlternateContent>
  <xr:revisionPtr revIDLastSave="0" documentId="13_ncr:1_{875CDD91-C9B4-4336-A591-68937D5059A1}" xr6:coauthVersionLast="47" xr6:coauthVersionMax="47" xr10:uidLastSave="{00000000-0000-0000-0000-000000000000}"/>
  <bookViews>
    <workbookView xWindow="-108" yWindow="-108" windowWidth="23256" windowHeight="13896" tabRatio="907" firstSheet="42" activeTab="43" xr2:uid="{00000000-000D-0000-FFFF-FFFF00000000}"/>
  </bookViews>
  <sheets>
    <sheet name="XXXXXX" sheetId="1" state="hidden" r:id="rId1"/>
    <sheet name="NASLOVNICA" sheetId="36" r:id="rId2"/>
    <sheet name="OPĆI UVJETI" sheetId="120" r:id="rId3"/>
    <sheet name="A_I_RUŠENJE I DEMONTAŽE" sheetId="65" r:id="rId4"/>
    <sheet name="A_II_ ZEMLJANI" sheetId="66" r:id="rId5"/>
    <sheet name="A_III_ BETONSKI I AB" sheetId="67" r:id="rId6"/>
    <sheet name="A_IV_ ZIDARSKI RADOVI" sheetId="68" r:id="rId7"/>
    <sheet name="A_V_ IZOLATERSKI RADOVI" sheetId="69" r:id="rId8"/>
    <sheet name="A_VI_METALNE KONSTRUKCIJE" sheetId="70" r:id="rId9"/>
    <sheet name="A_VII_TESARSKI RADOVI" sheetId="91" r:id="rId10"/>
    <sheet name="B_I_LIMARSKI RADOVI" sheetId="71" r:id="rId11"/>
    <sheet name="B_II_POKRIVAČKI RADOVI" sheetId="103" r:id="rId12"/>
    <sheet name="B_III_STOLARSKI RADOVI" sheetId="73" r:id="rId13"/>
    <sheet name="B_IV_BRAVARSKI RADOVI " sheetId="74" r:id="rId14"/>
    <sheet name="B_V_ ZAVRŠNI ZIDARSKI RADOVI" sheetId="75" r:id="rId15"/>
    <sheet name="B_VI_ GIPSARSKI RADOVI" sheetId="76" r:id="rId16"/>
    <sheet name="B_VII_RADOVI NA PROČELJU" sheetId="77" r:id="rId17"/>
    <sheet name="B.VII KAMENOREZAČKI RADOVI" sheetId="104" r:id="rId18"/>
    <sheet name="B_X_ KERAMIČARSKI RADOVI" sheetId="78" r:id="rId19"/>
    <sheet name="B_XI_ SOBOSLIKARSKI RADOVI" sheetId="79" r:id="rId20"/>
    <sheet name="B_XIII_ PODOPOLAGAČKI RADOVI" sheetId="80" r:id="rId21"/>
    <sheet name="B_XIV_KONZERVATORSKI RADOVI" sheetId="105" r:id="rId22"/>
    <sheet name="B_XVI_ ISPITIVANJE" sheetId="82" r:id="rId23"/>
    <sheet name="REKAPITULACIJA GRAĐ.OBRT." sheetId="83" r:id="rId24"/>
    <sheet name="MANIPULATIVNE POVRŠINE" sheetId="106" r:id="rId25"/>
    <sheet name="REKAPITULACIJA MANIPULATIVNE" sheetId="107" r:id="rId26"/>
    <sheet name="VODOOPSKRBA, ODVODNJA I VATROZA" sheetId="108" r:id="rId27"/>
    <sheet name="REKAPITULACIJA VIO I VATROZAŠT." sheetId="109" r:id="rId28"/>
    <sheet name="STROJARSKE INST. - VRV I DT" sheetId="114" r:id="rId29"/>
    <sheet name="STROJARSKE INST. - STROJARNICA" sheetId="115" r:id="rId30"/>
    <sheet name="STROJARSKE INST. - RADIJATORI" sheetId="116" r:id="rId31"/>
    <sheet name="STROJARSKE INST. - ODSIS" sheetId="117" r:id="rId32"/>
    <sheet name="STROJARSKE INST. - EL.PODNO" sheetId="118" r:id="rId33"/>
    <sheet name="REKAPITULACIJA STROJ. INST." sheetId="119" r:id="rId34"/>
    <sheet name="ELEKTRO E.1" sheetId="110" r:id="rId35"/>
    <sheet name="ELEKTRO E.2" sheetId="111" r:id="rId36"/>
    <sheet name="REKAPITULACIJA ELEKTROTEHN. IN." sheetId="112" r:id="rId37"/>
    <sheet name="KRAJOBRAZ" sheetId="113" r:id="rId38"/>
    <sheet name="TZ PP " sheetId="126" r:id="rId39"/>
    <sheet name="TZ VN" sheetId="127" r:id="rId40"/>
    <sheet name="TZ KP " sheetId="128" r:id="rId41"/>
    <sheet name="REKAPITULACIJA Tehnička zastita" sheetId="129" r:id="rId42"/>
    <sheet name="B_XV_ OPREMA PROSTORA" sheetId="125" r:id="rId43"/>
    <sheet name="REKAPITULACIJA" sheetId="99" r:id="rId44"/>
  </sheets>
  <externalReferences>
    <externalReference r:id="rId45"/>
  </externalReferences>
  <definedNames>
    <definedName name="_" localSheetId="42">#REF!</definedName>
    <definedName name="_">#REF!</definedName>
    <definedName name="__" localSheetId="42">#REF!</definedName>
    <definedName name="__">#REF!</definedName>
    <definedName name="_____" localSheetId="42">#REF!</definedName>
    <definedName name="_____">#REF!</definedName>
    <definedName name="_________" localSheetId="42">#REF!</definedName>
    <definedName name="_________">#REF!</definedName>
    <definedName name="___________" localSheetId="42">#REF!</definedName>
    <definedName name="___________">#REF!</definedName>
    <definedName name="_________________" localSheetId="42">#REF!</definedName>
    <definedName name="_________________">#REF!</definedName>
    <definedName name="_______________________" localSheetId="42">#REF!</definedName>
    <definedName name="_______________________">#REF!</definedName>
    <definedName name="___IEJBVO" localSheetId="42">#REF!</definedName>
    <definedName name="___IEJBVO">#REF!</definedName>
    <definedName name="__GL" localSheetId="42">#REF!</definedName>
    <definedName name="__GL">#REF!</definedName>
    <definedName name="_HKJB" localSheetId="42">#REF!</definedName>
    <definedName name="_HKJB">#REF!</definedName>
    <definedName name="_KKJ" localSheetId="42">#REF!</definedName>
    <definedName name="_KKJ">#REF!</definedName>
    <definedName name="ABHGBN" localSheetId="42">#REF!</definedName>
    <definedName name="ABHGBN">#REF!</definedName>
    <definedName name="BETONSKI_I_ARM.BETONSKI_RADOVI" localSheetId="42">#REF!</definedName>
    <definedName name="BETONSKI_I_ARM.BETONSKI_RADOVI">#REF!</definedName>
    <definedName name="BRAVARIJA_SKLONIŠTA" localSheetId="42">#REF!</definedName>
    <definedName name="BRAVARIJA_SKLONIŠTA">#REF!</definedName>
    <definedName name="CRNA_BRAVARIJA" localSheetId="42">#REF!</definedName>
    <definedName name="CRNA_BRAVARIJA">#REF!</definedName>
    <definedName name="ČELIČNA_KONSTRUKCIJA" localSheetId="42">#REF!</definedName>
    <definedName name="ČELIČNA_KONSTRUKCIJA">#REF!</definedName>
    <definedName name="ČPEOJGPOE" localSheetId="42">#REF!</definedName>
    <definedName name="ČPEOJGPOE">#REF!</definedName>
    <definedName name="dabnbn" localSheetId="42">#REF!</definedName>
    <definedName name="dabnbn">#REF!</definedName>
    <definedName name="DHB" localSheetId="42">#REF!</definedName>
    <definedName name="DHB">#REF!</definedName>
    <definedName name="DIMNJACI" localSheetId="42">#REF!</definedName>
    <definedName name="DIMNJACI">#REF!</definedName>
    <definedName name="DIZALA" localSheetId="42">#REF!</definedName>
    <definedName name="DIZALA">#REF!</definedName>
    <definedName name="E" localSheetId="42">#REF!</definedName>
    <definedName name="E">#REF!</definedName>
    <definedName name="Excel_BuiltIn_Print_Area_15_1" localSheetId="9">#REF!</definedName>
    <definedName name="Excel_BuiltIn_Print_Area_15_1" localSheetId="42">#REF!</definedName>
    <definedName name="Excel_BuiltIn_Print_Area_15_1" localSheetId="1">#REF!</definedName>
    <definedName name="Excel_BuiltIn_Print_Area_15_1">#REF!</definedName>
    <definedName name="Excel_BuiltIn_Print_Area_8_1" localSheetId="9">#REF!</definedName>
    <definedName name="Excel_BuiltIn_Print_Area_8_1" localSheetId="42">#REF!</definedName>
    <definedName name="Excel_BuiltIn_Print_Area_8_1" localSheetId="1">#REF!</definedName>
    <definedName name="Excel_BuiltIn_Print_Area_8_1">#REF!</definedName>
    <definedName name="FASADERSKI_RADOVI" localSheetId="42">#REF!</definedName>
    <definedName name="FASADERSKI_RADOVI">#REF!</definedName>
    <definedName name="FGHGF" localSheetId="42">#REF!</definedName>
    <definedName name="FGHGF">#REF!</definedName>
    <definedName name="gfn" localSheetId="42">#REF!</definedName>
    <definedName name="gfn">#REF!</definedName>
    <definedName name="INOX_BRAVARIJA" localSheetId="42">#REF!</definedName>
    <definedName name="INOX_BRAVARIJA">#REF!</definedName>
    <definedName name="IZOLACIJE" localSheetId="42">#REF!</definedName>
    <definedName name="IZOLACIJE">#REF!</definedName>
    <definedName name="IZOLATERSKI_RADOVI" localSheetId="42">#REF!</definedName>
    <definedName name="IZOLATERSKI_RADOVI">#REF!</definedName>
    <definedName name="KAMENARSKI_RADOVI" localSheetId="42">#REF!</definedName>
    <definedName name="KAMENARSKI_RADOVI">#REF!</definedName>
    <definedName name="KERAMIČARSKI_I_KAMENARSKI_RADOVI" localSheetId="42">#REF!</definedName>
    <definedName name="KERAMIČARSKI_I_KAMENARSKI_RADOVI">#REF!</definedName>
    <definedName name="KERAMIČARSKI_RADOVI" localSheetId="42">#REF!</definedName>
    <definedName name="KERAMIČARSKI_RADOVI">#REF!</definedName>
    <definedName name="KROVOPOKRIVAČKI_RADOVI" localSheetId="42">#REF!</definedName>
    <definedName name="KROVOPOKRIVAČKI_RADOVI">#REF!</definedName>
    <definedName name="LIMARSKI_RADOVI" localSheetId="42">#REF!</definedName>
    <definedName name="LIMARSKI_RADOVI">#REF!</definedName>
    <definedName name="lkdnblk" localSheetId="42">#REF!</definedName>
    <definedName name="lkdnblk">#REF!</definedName>
    <definedName name="MIOJWOJJJOJ" localSheetId="42">#REF!</definedName>
    <definedName name="MIOJWOJJJOJ">#REF!</definedName>
    <definedName name="NEHRĐAJUĆA_BRAVARIJA" localSheetId="42">#REF!</definedName>
    <definedName name="NEHRĐAJUĆA_BRAVARIJA">#REF!</definedName>
    <definedName name="OSTALI_RADOVI" localSheetId="42">#REF!</definedName>
    <definedName name="OSTALI_RADOVI">#REF!</definedName>
    <definedName name="PILOTI" localSheetId="42">#REF!</definedName>
    <definedName name="PILOTI">#REF!</definedName>
    <definedName name="PODOVI" localSheetId="42">#REF!</definedName>
    <definedName name="PODOVI">#REF!</definedName>
    <definedName name="_xlnm.Print_Area" localSheetId="3">'A_I_RUŠENJE I DEMONTAŽE'!$A$1:$F$46</definedName>
    <definedName name="_xlnm.Print_Area" localSheetId="4">'A_II_ ZEMLJANI'!$A$1:$F$31</definedName>
    <definedName name="_xlnm.Print_Area" localSheetId="5">'A_III_ BETONSKI I AB'!$A$1:$F$108</definedName>
    <definedName name="_xlnm.Print_Area" localSheetId="7">'A_V_ IZOLATERSKI RADOVI'!$A$1:$F$26</definedName>
    <definedName name="_xlnm.Print_Area" localSheetId="8">'A_VI_METALNE KONSTRUKCIJE'!$A$1:$F$32</definedName>
    <definedName name="_xlnm.Print_Area" localSheetId="9">'A_VII_TESARSKI RADOVI'!$A$1:$F$21</definedName>
    <definedName name="_xlnm.Print_Area" localSheetId="10">'B_I_LIMARSKI RADOVI'!$A$1:$F$31</definedName>
    <definedName name="_xlnm.Print_Area" localSheetId="11">'B_II_POKRIVAČKI RADOVI'!$A$1:$F$14</definedName>
    <definedName name="_xlnm.Print_Area" localSheetId="12">'B_III_STOLARSKI RADOVI'!$A$1:$F$146</definedName>
    <definedName name="_xlnm.Print_Area" localSheetId="13">'B_IV_BRAVARSKI RADOVI '!$A$1:$F$14</definedName>
    <definedName name="_xlnm.Print_Area" localSheetId="14">'B_V_ ZAVRŠNI ZIDARSKI RADOVI'!$A$1:$F$33</definedName>
    <definedName name="_xlnm.Print_Area" localSheetId="15">'B_VI_ GIPSARSKI RADOVI'!$A$1:$F$37</definedName>
    <definedName name="_xlnm.Print_Area" localSheetId="16">'B_VII_RADOVI NA PROČELJU'!$A$1:$F$27</definedName>
    <definedName name="_xlnm.Print_Area" localSheetId="18">'B_X_ KERAMIČARSKI RADOVI'!$A$1:$F$23</definedName>
    <definedName name="_xlnm.Print_Area" localSheetId="19">'B_XI_ SOBOSLIKARSKI RADOVI'!$A$1:$F$16</definedName>
    <definedName name="_xlnm.Print_Area" localSheetId="20">'B_XIII_ PODOPOLAGAČKI RADOVI'!$A$1:$F$27</definedName>
    <definedName name="_xlnm.Print_Area" localSheetId="42">'B_XV_ OPREMA PROSTORA'!$A$1:$F$146</definedName>
    <definedName name="_xlnm.Print_Area" localSheetId="22">'B_XVI_ ISPITIVANJE'!$A$1:$F$21</definedName>
    <definedName name="_xlnm.Print_Area" localSheetId="34">'ELEKTRO E.1'!$A$1:$F$175</definedName>
    <definedName name="_xlnm.Print_Area" localSheetId="35">'ELEKTRO E.2'!$A$1:$F$544</definedName>
    <definedName name="_xlnm.Print_Area" localSheetId="1">NASLOVNICA!$A$2:$C$32</definedName>
    <definedName name="_xlnm.Print_Area" localSheetId="2">'OPĆI UVJETI'!$A$1:$D$46</definedName>
    <definedName name="_xlnm.Print_Area" localSheetId="43">REKAPITULACIJA!$A$2:$C$26</definedName>
    <definedName name="_xlnm.Print_Area" localSheetId="23">'REKAPITULACIJA GRAĐ.OBRT.'!$A$1:$D$53</definedName>
    <definedName name="_xlnm.Print_Area" localSheetId="33">'REKAPITULACIJA STROJ. INST.'!$A$1:$H$66</definedName>
    <definedName name="_xlnm.Print_Area" localSheetId="32">'STROJARSKE INST. - EL.PODNO'!$A$1:$F$28</definedName>
    <definedName name="_xlnm.Print_Area" localSheetId="31">'STROJARSKE INST. - ODSIS'!$A$1:$F$120</definedName>
    <definedName name="_xlnm.Print_Area" localSheetId="30">'STROJARSKE INST. - RADIJATORI'!$A$1:$F$141</definedName>
    <definedName name="_xlnm.Print_Area" localSheetId="29">'STROJARSKE INST. - STROJARNICA'!$A$1:$F$166</definedName>
    <definedName name="_xlnm.Print_Area" localSheetId="28">'STROJARSKE INST. - VRV I DT'!$A$1:$F$240</definedName>
    <definedName name="PREGRADNE_STIJENE" localSheetId="42">#REF!</definedName>
    <definedName name="PREGRADNE_STIJENE">#REF!</definedName>
    <definedName name="Print_Area_MI" localSheetId="42">#REF!</definedName>
    <definedName name="Print_Area_MI" localSheetId="1">#REF!</definedName>
    <definedName name="Print_Area_MI">#REF!</definedName>
    <definedName name="PROTUPOŽARNA_BRAVARIJA" localSheetId="42">#REF!</definedName>
    <definedName name="PROTUPOŽARNA_BRAVARIJA">#REF!</definedName>
    <definedName name="R_E_K_A_P_I_T_U_L_A_C_I_J_A" localSheetId="42">#REF!</definedName>
    <definedName name="R_E_K_A_P_I_T_U_L_A_C_I_J_A">#REF!</definedName>
    <definedName name="RTG_BRAVARIJA" localSheetId="42">#REF!</definedName>
    <definedName name="RTG_BRAVARIJA">#REF!</definedName>
    <definedName name="RTSHJRWJ" localSheetId="42">#REF!</definedName>
    <definedName name="RTSHJRWJ">#REF!</definedName>
    <definedName name="RUŠENJA_I_PRILAGODBE_GRAĐEVINSKIH_ELEMENATA_POSTOJEĆIH_GRAĐEVINA" localSheetId="42">#REF!</definedName>
    <definedName name="RUŠENJA_I_PRILAGODBE_GRAĐEVINSKIH_ELEMENATA_POSTOJEĆIH_GRAĐEVINA">#REF!</definedName>
    <definedName name="SOBOSLIKARSKI_RADOVI" localSheetId="42">#REF!</definedName>
    <definedName name="SOBOSLIKARSKI_RADOVI">#REF!</definedName>
    <definedName name="SPUŠTENI_STROPOVI" localSheetId="42">#REF!</definedName>
    <definedName name="SPUŠTENI_STROPOVI">#REF!</definedName>
    <definedName name="STOLARSKI_RADOVI" localSheetId="42">#REF!</definedName>
    <definedName name="STOLARSKI_RADOVI">#REF!</definedName>
    <definedName name="UKLANJANJE_OBJEKATA_I_IZGRADNJA_PRIVREMENE_SAOBRAČAJNICE" localSheetId="42">#REF!</definedName>
    <definedName name="UKLANJANJE_OBJEKATA_I_IZGRADNJA_PRIVREMENE_SAOBRAČAJNICE">#REF!</definedName>
    <definedName name="UNUTARNJA_ALUMINIJSKA__BRAVARIJA" localSheetId="42">#REF!</definedName>
    <definedName name="UNUTARNJA_ALUMINIJSKA__BRAVARIJA">#REF!</definedName>
    <definedName name="UNUTARNJA_ALUMINIJSKA_BRAVARIJA" localSheetId="42">#REF!</definedName>
    <definedName name="UNUTARNJA_ALUMINIJSKA_BRAVARIJA">#REF!</definedName>
    <definedName name="VANJSKA_ALUMINIJSKA__BRAVARIJA" localSheetId="42">#REF!</definedName>
    <definedName name="VANJSKA_ALUMINIJSKA__BRAVARIJA">#REF!</definedName>
    <definedName name="VANJSKA_ALUMINIJSKA_BRAVARIJA" localSheetId="42">#REF!</definedName>
    <definedName name="VANJSKA_ALUMINIJSKA_BRAVARIJA">#REF!</definedName>
    <definedName name="ZEMLJANI_RADOVI" localSheetId="42">#REF!</definedName>
    <definedName name="ZEMLJANI_RADOVI">#REF!</definedName>
    <definedName name="ZIDARSKI_RADOVI" localSheetId="42">#REF!</definedName>
    <definedName name="ZIDARSKI_RADOV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25" l="1"/>
  <c r="E11" i="125"/>
  <c r="E13" i="125"/>
  <c r="E15" i="125"/>
  <c r="E17" i="125"/>
  <c r="E19" i="125"/>
  <c r="E20" i="125"/>
  <c r="E24" i="125"/>
  <c r="E25" i="125"/>
  <c r="E26" i="125"/>
  <c r="E27" i="125"/>
  <c r="E28" i="125"/>
  <c r="E29" i="125"/>
  <c r="E30" i="125"/>
  <c r="E31" i="125"/>
  <c r="E32" i="125"/>
  <c r="E33" i="125"/>
  <c r="E34" i="125"/>
  <c r="E35" i="125"/>
  <c r="E37" i="125"/>
  <c r="E39" i="125"/>
  <c r="E42" i="125"/>
  <c r="E43" i="125"/>
  <c r="E44" i="125"/>
  <c r="E47" i="125"/>
  <c r="E48" i="125"/>
  <c r="E53" i="125"/>
  <c r="E54" i="125"/>
  <c r="E55" i="125"/>
  <c r="E57" i="125"/>
  <c r="E59" i="125"/>
  <c r="E61" i="125"/>
  <c r="E64" i="125"/>
  <c r="E65" i="125"/>
  <c r="E67" i="125"/>
  <c r="E69" i="125"/>
  <c r="E75" i="125"/>
  <c r="E76" i="125"/>
  <c r="E81" i="125"/>
  <c r="E82" i="125"/>
  <c r="E85" i="125"/>
  <c r="E86" i="125"/>
  <c r="E87" i="125"/>
  <c r="E89" i="125"/>
  <c r="E91" i="125"/>
  <c r="E93" i="125"/>
  <c r="E95" i="125"/>
  <c r="E98" i="125"/>
  <c r="E99" i="125"/>
  <c r="E101" i="125"/>
  <c r="E103" i="125"/>
  <c r="E106" i="125"/>
  <c r="E107" i="125"/>
  <c r="E110" i="125"/>
  <c r="F110" i="125" s="1"/>
  <c r="E111" i="125"/>
  <c r="F111" i="125" s="1"/>
  <c r="E114" i="125"/>
  <c r="E115" i="125"/>
  <c r="E121" i="125"/>
  <c r="E122" i="125"/>
  <c r="E124" i="125"/>
  <c r="E126" i="125"/>
  <c r="E128" i="125"/>
  <c r="E131" i="125"/>
  <c r="E134" i="125"/>
  <c r="F9" i="128"/>
  <c r="F10" i="128"/>
  <c r="F15" i="128"/>
  <c r="F16" i="128"/>
  <c r="F17" i="128"/>
  <c r="F18" i="128"/>
  <c r="F22" i="128"/>
  <c r="F28" i="128"/>
  <c r="F29" i="128"/>
  <c r="F30" i="128"/>
  <c r="F31" i="128"/>
  <c r="F32" i="128"/>
  <c r="F33" i="128"/>
  <c r="F41" i="128"/>
  <c r="F43" i="128"/>
  <c r="F44" i="128"/>
  <c r="E46" i="128"/>
  <c r="F21" i="128"/>
  <c r="F36" i="128"/>
  <c r="F42" i="128"/>
  <c r="E8" i="127"/>
  <c r="E9" i="127"/>
  <c r="E10" i="127"/>
  <c r="F10" i="127" s="1"/>
  <c r="E11" i="127"/>
  <c r="F11" i="127" s="1"/>
  <c r="E12" i="127"/>
  <c r="E13" i="127"/>
  <c r="E14" i="127"/>
  <c r="E15" i="127"/>
  <c r="E16" i="127"/>
  <c r="F16" i="127" s="1"/>
  <c r="E17" i="127"/>
  <c r="E18" i="127"/>
  <c r="F18" i="127" s="1"/>
  <c r="E19" i="127"/>
  <c r="E20" i="127"/>
  <c r="E21" i="127"/>
  <c r="E22" i="127"/>
  <c r="E23" i="127"/>
  <c r="E24" i="127"/>
  <c r="E25" i="127"/>
  <c r="F25" i="127" s="1"/>
  <c r="E26" i="127"/>
  <c r="F26" i="127" s="1"/>
  <c r="E27" i="127"/>
  <c r="E28" i="127"/>
  <c r="F28" i="127" s="1"/>
  <c r="E29" i="127"/>
  <c r="F29" i="127" s="1"/>
  <c r="E30" i="127"/>
  <c r="F30" i="127" s="1"/>
  <c r="E31" i="127"/>
  <c r="F31" i="127" s="1"/>
  <c r="E32" i="127"/>
  <c r="E33" i="127"/>
  <c r="E34" i="127"/>
  <c r="E35" i="127"/>
  <c r="E36" i="127"/>
  <c r="E37" i="127"/>
  <c r="E38" i="127"/>
  <c r="F38" i="127" s="1"/>
  <c r="E39" i="127"/>
  <c r="F39" i="127" s="1"/>
  <c r="E40" i="127"/>
  <c r="E41" i="127"/>
  <c r="E42" i="127"/>
  <c r="E43" i="127"/>
  <c r="E44" i="127"/>
  <c r="E45" i="127"/>
  <c r="E46" i="127"/>
  <c r="F46" i="127" s="1"/>
  <c r="E47" i="127"/>
  <c r="F47" i="127" s="1"/>
  <c r="E51" i="127"/>
  <c r="F51" i="127" s="1"/>
  <c r="E52" i="127"/>
  <c r="F52" i="127" s="1"/>
  <c r="E53" i="127"/>
  <c r="E54" i="127"/>
  <c r="E55" i="127"/>
  <c r="F55" i="127" s="1"/>
  <c r="E56" i="127"/>
  <c r="F56" i="127" s="1"/>
  <c r="E57" i="127"/>
  <c r="F57" i="127" s="1"/>
  <c r="E58" i="127"/>
  <c r="F58" i="127" s="1"/>
  <c r="E59" i="127"/>
  <c r="E60" i="127"/>
  <c r="E61" i="127"/>
  <c r="E62" i="127"/>
  <c r="E63" i="127"/>
  <c r="E64" i="127"/>
  <c r="E65" i="127"/>
  <c r="F65" i="127" s="1"/>
  <c r="E66" i="127"/>
  <c r="F66" i="127" s="1"/>
  <c r="E67" i="127"/>
  <c r="E68" i="127"/>
  <c r="E69" i="127"/>
  <c r="E70" i="127"/>
  <c r="F22" i="127"/>
  <c r="F34" i="127"/>
  <c r="F40" i="127"/>
  <c r="F41" i="127"/>
  <c r="F42" i="127"/>
  <c r="F61" i="127"/>
  <c r="F62" i="127"/>
  <c r="F67" i="127"/>
  <c r="F68" i="127"/>
  <c r="F69" i="127"/>
  <c r="E8" i="126"/>
  <c r="E9" i="126"/>
  <c r="E10" i="126"/>
  <c r="E11" i="126"/>
  <c r="E12" i="126"/>
  <c r="F12" i="126" s="1"/>
  <c r="E13" i="126"/>
  <c r="F13" i="126" s="1"/>
  <c r="E14" i="126"/>
  <c r="F14" i="126" s="1"/>
  <c r="E15" i="126"/>
  <c r="F15" i="126" s="1"/>
  <c r="E16" i="126"/>
  <c r="E17" i="126"/>
  <c r="E18" i="126"/>
  <c r="F18" i="126" s="1"/>
  <c r="E19" i="126"/>
  <c r="F19" i="126" s="1"/>
  <c r="E20" i="126"/>
  <c r="E21" i="126"/>
  <c r="E22" i="126"/>
  <c r="E23" i="126"/>
  <c r="E24" i="126"/>
  <c r="F24" i="126" s="1"/>
  <c r="E25" i="126"/>
  <c r="F25" i="126" s="1"/>
  <c r="E26" i="126"/>
  <c r="F26" i="126" s="1"/>
  <c r="E27" i="126"/>
  <c r="F27" i="126" s="1"/>
  <c r="E28" i="126"/>
  <c r="E29" i="126"/>
  <c r="E30" i="126"/>
  <c r="F30" i="126" s="1"/>
  <c r="E34" i="126"/>
  <c r="F34" i="126" s="1"/>
  <c r="E35" i="126"/>
  <c r="E36" i="126"/>
  <c r="E37" i="126"/>
  <c r="E38" i="126"/>
  <c r="E39" i="126"/>
  <c r="F39" i="126" s="1"/>
  <c r="E40" i="126"/>
  <c r="F40" i="126" s="1"/>
  <c r="E41" i="126"/>
  <c r="F41" i="126" s="1"/>
  <c r="E42" i="126"/>
  <c r="F42" i="126" s="1"/>
  <c r="E43" i="126"/>
  <c r="E44" i="126"/>
  <c r="E45" i="126"/>
  <c r="F45" i="126" s="1"/>
  <c r="E46" i="126"/>
  <c r="F46" i="126" s="1"/>
  <c r="E47" i="126"/>
  <c r="E48" i="126"/>
  <c r="E49" i="126"/>
  <c r="E50" i="126"/>
  <c r="E51" i="126"/>
  <c r="F51" i="126" s="1"/>
  <c r="E36" i="113"/>
  <c r="E49" i="113"/>
  <c r="E57" i="113"/>
  <c r="E71" i="113"/>
  <c r="E79" i="113"/>
  <c r="E85" i="113"/>
  <c r="E90" i="113"/>
  <c r="E103" i="113"/>
  <c r="E107" i="113"/>
  <c r="E123" i="113"/>
  <c r="E132" i="113"/>
  <c r="E140" i="113"/>
  <c r="E148" i="113"/>
  <c r="E157" i="113"/>
  <c r="E165" i="113"/>
  <c r="E172" i="113"/>
  <c r="E180" i="113"/>
  <c r="E191" i="113"/>
  <c r="E197" i="113"/>
  <c r="E203" i="113"/>
  <c r="E208" i="113"/>
  <c r="E224" i="113"/>
  <c r="E225" i="113"/>
  <c r="E226" i="113"/>
  <c r="E227" i="113"/>
  <c r="E233" i="113"/>
  <c r="E234" i="113"/>
  <c r="E235" i="113"/>
  <c r="E236" i="113"/>
  <c r="E237" i="113"/>
  <c r="E238" i="113"/>
  <c r="E239" i="113"/>
  <c r="E240" i="113"/>
  <c r="E241" i="113"/>
  <c r="E247" i="113"/>
  <c r="E248" i="113"/>
  <c r="E249" i="113"/>
  <c r="E250" i="113"/>
  <c r="E251" i="113"/>
  <c r="E252" i="113"/>
  <c r="E253" i="113"/>
  <c r="E262" i="113"/>
  <c r="E264" i="113"/>
  <c r="E266" i="113"/>
  <c r="E274" i="113"/>
  <c r="E276" i="113"/>
  <c r="E278" i="113"/>
  <c r="E280" i="113"/>
  <c r="E282" i="113"/>
  <c r="E291" i="113"/>
  <c r="E293" i="113"/>
  <c r="F13" i="111"/>
  <c r="F14" i="111"/>
  <c r="F15" i="111"/>
  <c r="F16" i="111"/>
  <c r="F17" i="111"/>
  <c r="F18" i="111"/>
  <c r="F20" i="111"/>
  <c r="F21" i="111"/>
  <c r="F22" i="111"/>
  <c r="F26" i="111"/>
  <c r="F27" i="111"/>
  <c r="F28" i="111"/>
  <c r="F29" i="111"/>
  <c r="F30" i="111"/>
  <c r="F31" i="111"/>
  <c r="F33" i="111"/>
  <c r="F34" i="111"/>
  <c r="F35" i="111"/>
  <c r="F43" i="111"/>
  <c r="F44" i="111"/>
  <c r="F45" i="111"/>
  <c r="F54" i="111"/>
  <c r="F55" i="111"/>
  <c r="F56" i="111"/>
  <c r="F57" i="111"/>
  <c r="F58" i="111"/>
  <c r="F59" i="111"/>
  <c r="F60" i="111"/>
  <c r="F61" i="111"/>
  <c r="F62" i="111"/>
  <c r="F63" i="111"/>
  <c r="F70" i="111"/>
  <c r="F71" i="111"/>
  <c r="F72" i="111"/>
  <c r="F73" i="111"/>
  <c r="F74" i="111"/>
  <c r="F75" i="111"/>
  <c r="F78" i="111"/>
  <c r="F79" i="111"/>
  <c r="F80" i="111"/>
  <c r="F81" i="111"/>
  <c r="F85" i="111"/>
  <c r="F86" i="111"/>
  <c r="F87" i="111"/>
  <c r="F94" i="111"/>
  <c r="F95" i="111"/>
  <c r="F96" i="111"/>
  <c r="F97" i="111"/>
  <c r="F98" i="111"/>
  <c r="F99" i="111"/>
  <c r="F100" i="111"/>
  <c r="F103" i="111"/>
  <c r="F104" i="111"/>
  <c r="F105" i="111"/>
  <c r="F111" i="111"/>
  <c r="F112" i="111"/>
  <c r="F116" i="111"/>
  <c r="F117" i="111"/>
  <c r="F121" i="111"/>
  <c r="F122" i="111"/>
  <c r="F123" i="111"/>
  <c r="F124" i="111"/>
  <c r="F125" i="111"/>
  <c r="F126" i="111"/>
  <c r="F127" i="111"/>
  <c r="F132" i="111"/>
  <c r="F137" i="111"/>
  <c r="F138" i="111"/>
  <c r="F139" i="111"/>
  <c r="F148" i="111"/>
  <c r="F149" i="111"/>
  <c r="F150" i="111"/>
  <c r="F151" i="111"/>
  <c r="F158" i="111"/>
  <c r="F159" i="111"/>
  <c r="F160" i="111"/>
  <c r="F161" i="111"/>
  <c r="F162" i="111"/>
  <c r="F163" i="111"/>
  <c r="F164" i="111"/>
  <c r="F165" i="111"/>
  <c r="F166" i="111"/>
  <c r="F168" i="111"/>
  <c r="F169" i="111"/>
  <c r="F170" i="111"/>
  <c r="F179" i="111"/>
  <c r="F186" i="111"/>
  <c r="F197" i="111"/>
  <c r="F207" i="111"/>
  <c r="F209" i="111"/>
  <c r="F210" i="111"/>
  <c r="F211" i="111"/>
  <c r="F212" i="111"/>
  <c r="F213" i="111"/>
  <c r="F257" i="111"/>
  <c r="F269" i="111"/>
  <c r="F270" i="111"/>
  <c r="F271" i="111"/>
  <c r="F272" i="111"/>
  <c r="F273" i="111"/>
  <c r="F274" i="111"/>
  <c r="F282" i="111"/>
  <c r="F283" i="111"/>
  <c r="F284" i="111"/>
  <c r="F285" i="111"/>
  <c r="F286" i="111"/>
  <c r="F288" i="111"/>
  <c r="F289" i="111"/>
  <c r="F290" i="111"/>
  <c r="F291" i="111"/>
  <c r="F297" i="111"/>
  <c r="F302" i="111"/>
  <c r="F303" i="111"/>
  <c r="F307" i="111"/>
  <c r="F308" i="111"/>
  <c r="F311" i="111"/>
  <c r="F312" i="111"/>
  <c r="F323" i="111"/>
  <c r="F324" i="111"/>
  <c r="F325" i="111"/>
  <c r="F332" i="111"/>
  <c r="F333" i="111"/>
  <c r="F338" i="111"/>
  <c r="F339" i="111"/>
  <c r="F340" i="111"/>
  <c r="F341" i="111"/>
  <c r="F342" i="111"/>
  <c r="F343" i="111"/>
  <c r="F344" i="111"/>
  <c r="F345" i="111"/>
  <c r="F349" i="111"/>
  <c r="F350" i="111"/>
  <c r="F351" i="111"/>
  <c r="F352" i="111"/>
  <c r="F353" i="111"/>
  <c r="F354" i="111"/>
  <c r="F355" i="111"/>
  <c r="F356" i="111"/>
  <c r="F357" i="111"/>
  <c r="F361" i="111"/>
  <c r="F362" i="111"/>
  <c r="F365" i="111"/>
  <c r="F366" i="111"/>
  <c r="F368" i="111"/>
  <c r="F369" i="111"/>
  <c r="F370" i="111"/>
  <c r="F378" i="111"/>
  <c r="F379" i="111"/>
  <c r="F380" i="111"/>
  <c r="F381" i="111"/>
  <c r="F382" i="111"/>
  <c r="F383" i="111"/>
  <c r="F384" i="111"/>
  <c r="F390" i="111"/>
  <c r="F391" i="111"/>
  <c r="F395" i="111"/>
  <c r="F396" i="111"/>
  <c r="F397" i="111"/>
  <c r="F398" i="111"/>
  <c r="F404" i="111"/>
  <c r="F405" i="111"/>
  <c r="F406" i="111"/>
  <c r="F407" i="111"/>
  <c r="F408" i="111"/>
  <c r="F409" i="111"/>
  <c r="F410" i="111"/>
  <c r="F414" i="111"/>
  <c r="F415" i="111"/>
  <c r="F419" i="111"/>
  <c r="F420" i="111"/>
  <c r="F421" i="111"/>
  <c r="F422" i="111"/>
  <c r="F430" i="111"/>
  <c r="F431" i="111"/>
  <c r="F432" i="111"/>
  <c r="F433" i="111"/>
  <c r="F434" i="111"/>
  <c r="F439" i="111"/>
  <c r="F441" i="111"/>
  <c r="F442" i="111"/>
  <c r="F446" i="111"/>
  <c r="F448" i="111"/>
  <c r="F449" i="111"/>
  <c r="F450" i="111"/>
  <c r="F452" i="111"/>
  <c r="F453" i="111"/>
  <c r="F458" i="111"/>
  <c r="F461" i="111"/>
  <c r="F462" i="111"/>
  <c r="F463" i="111"/>
  <c r="F464" i="111"/>
  <c r="F468" i="111"/>
  <c r="F469" i="111"/>
  <c r="F470" i="111"/>
  <c r="F472" i="111"/>
  <c r="F473" i="111"/>
  <c r="F474" i="111"/>
  <c r="F475" i="111"/>
  <c r="F476" i="111"/>
  <c r="F477" i="111"/>
  <c r="F483" i="111"/>
  <c r="F484" i="111"/>
  <c r="F485" i="111"/>
  <c r="F486" i="111"/>
  <c r="F487" i="111"/>
  <c r="F488" i="111"/>
  <c r="F489" i="111"/>
  <c r="F491" i="111"/>
  <c r="F501" i="111"/>
  <c r="F502" i="111"/>
  <c r="F503" i="111"/>
  <c r="F513" i="111"/>
  <c r="F514" i="111"/>
  <c r="F515" i="111"/>
  <c r="F519" i="111"/>
  <c r="F520" i="111"/>
  <c r="F49" i="111"/>
  <c r="F50" i="111"/>
  <c r="F51" i="111"/>
  <c r="F82" i="111"/>
  <c r="F83" i="111"/>
  <c r="F84" i="111"/>
  <c r="F106" i="111"/>
  <c r="F107" i="111"/>
  <c r="F108" i="111"/>
  <c r="F109" i="111"/>
  <c r="F110" i="111"/>
  <c r="F133" i="111"/>
  <c r="F134" i="111"/>
  <c r="F135" i="111"/>
  <c r="F136" i="111"/>
  <c r="F145" i="111"/>
  <c r="F146" i="111"/>
  <c r="F147" i="111"/>
  <c r="F173" i="111"/>
  <c r="F174" i="111"/>
  <c r="F175" i="111"/>
  <c r="F176" i="111"/>
  <c r="F177" i="111"/>
  <c r="F280" i="111"/>
  <c r="F281" i="111"/>
  <c r="F321" i="111"/>
  <c r="F326" i="111"/>
  <c r="F327" i="111"/>
  <c r="F328" i="111"/>
  <c r="F363" i="111"/>
  <c r="F364" i="111"/>
  <c r="F392" i="111"/>
  <c r="F393" i="111"/>
  <c r="F394" i="111"/>
  <c r="F416" i="111"/>
  <c r="F417" i="111"/>
  <c r="F418" i="111"/>
  <c r="F428" i="111"/>
  <c r="F429" i="111"/>
  <c r="F440" i="111"/>
  <c r="F455" i="111"/>
  <c r="F459" i="111"/>
  <c r="F460" i="111"/>
  <c r="F481" i="111"/>
  <c r="F482" i="111"/>
  <c r="F496" i="111"/>
  <c r="F497" i="111"/>
  <c r="F498" i="111"/>
  <c r="F499" i="111"/>
  <c r="F500" i="111"/>
  <c r="F510" i="111"/>
  <c r="F511" i="111"/>
  <c r="F512" i="111"/>
  <c r="E7" i="110"/>
  <c r="E8" i="110"/>
  <c r="E9" i="110"/>
  <c r="E10" i="110"/>
  <c r="E11" i="110"/>
  <c r="E12" i="110"/>
  <c r="E20" i="110"/>
  <c r="E21" i="110"/>
  <c r="F21" i="110" s="1"/>
  <c r="E27" i="110"/>
  <c r="F27" i="110" s="1"/>
  <c r="E28" i="110"/>
  <c r="F28" i="110" s="1"/>
  <c r="E34" i="110"/>
  <c r="F34" i="110" s="1"/>
  <c r="E35" i="110"/>
  <c r="F35" i="110" s="1"/>
  <c r="E41" i="110"/>
  <c r="E42" i="110"/>
  <c r="E48" i="110"/>
  <c r="E49" i="110"/>
  <c r="F49" i="110" s="1"/>
  <c r="E55" i="110"/>
  <c r="F55" i="110" s="1"/>
  <c r="E56" i="110"/>
  <c r="F56" i="110" s="1"/>
  <c r="E62" i="110"/>
  <c r="F62" i="110" s="1"/>
  <c r="E63" i="110"/>
  <c r="F63" i="110" s="1"/>
  <c r="E65" i="110"/>
  <c r="F65" i="110" s="1"/>
  <c r="E66" i="110"/>
  <c r="F66" i="110" s="1"/>
  <c r="E67" i="110"/>
  <c r="F67" i="110" s="1"/>
  <c r="E68" i="110"/>
  <c r="F68" i="110" s="1"/>
  <c r="E69" i="110"/>
  <c r="E71" i="110"/>
  <c r="E73" i="110"/>
  <c r="E74" i="110"/>
  <c r="E75" i="110"/>
  <c r="E76" i="110"/>
  <c r="E77" i="110"/>
  <c r="E78" i="110"/>
  <c r="E79" i="110"/>
  <c r="E80" i="110"/>
  <c r="E81" i="110"/>
  <c r="E82" i="110"/>
  <c r="F82" i="110" s="1"/>
  <c r="E84" i="110"/>
  <c r="E85" i="110"/>
  <c r="E87" i="110"/>
  <c r="E88" i="110"/>
  <c r="E89" i="110"/>
  <c r="E90" i="110"/>
  <c r="E91" i="110"/>
  <c r="E92" i="110"/>
  <c r="E93" i="110"/>
  <c r="E94" i="110"/>
  <c r="F94" i="110" s="1"/>
  <c r="E95" i="110"/>
  <c r="F95" i="110" s="1"/>
  <c r="E96" i="110"/>
  <c r="F96" i="110" s="1"/>
  <c r="E97" i="110"/>
  <c r="E98" i="110"/>
  <c r="E99" i="110"/>
  <c r="E100" i="110"/>
  <c r="E101" i="110"/>
  <c r="E106" i="110"/>
  <c r="F106" i="110" s="1"/>
  <c r="E108" i="110"/>
  <c r="F108" i="110" s="1"/>
  <c r="E109" i="110"/>
  <c r="F109" i="110" s="1"/>
  <c r="E110" i="110"/>
  <c r="F110" i="110" s="1"/>
  <c r="E111" i="110"/>
  <c r="F111" i="110" s="1"/>
  <c r="E112" i="110"/>
  <c r="F112" i="110" s="1"/>
  <c r="E113" i="110"/>
  <c r="F113" i="110" s="1"/>
  <c r="E114" i="110"/>
  <c r="E115" i="110"/>
  <c r="E116" i="110"/>
  <c r="E117" i="110"/>
  <c r="F117" i="110" s="1"/>
  <c r="E118" i="110"/>
  <c r="F118" i="110" s="1"/>
  <c r="E119" i="110"/>
  <c r="F119" i="110" s="1"/>
  <c r="E120" i="110"/>
  <c r="F120" i="110" s="1"/>
  <c r="E121" i="110"/>
  <c r="F121" i="110" s="1"/>
  <c r="E122" i="110"/>
  <c r="F122" i="110" s="1"/>
  <c r="E123" i="110"/>
  <c r="F123" i="110" s="1"/>
  <c r="E124" i="110"/>
  <c r="F124" i="110" s="1"/>
  <c r="E125" i="110"/>
  <c r="F125" i="110" s="1"/>
  <c r="E126" i="110"/>
  <c r="E127" i="110"/>
  <c r="E130" i="110"/>
  <c r="E131" i="110"/>
  <c r="F131" i="110" s="1"/>
  <c r="E132" i="110"/>
  <c r="F132" i="110" s="1"/>
  <c r="E133" i="110"/>
  <c r="F133" i="110" s="1"/>
  <c r="E134" i="110"/>
  <c r="F134" i="110" s="1"/>
  <c r="E143" i="110"/>
  <c r="F143" i="110" s="1"/>
  <c r="E144" i="110"/>
  <c r="E146" i="110"/>
  <c r="E147" i="110"/>
  <c r="F147" i="110" s="1"/>
  <c r="E148" i="110"/>
  <c r="F148" i="110" s="1"/>
  <c r="E149" i="110"/>
  <c r="E150" i="110"/>
  <c r="E151" i="110"/>
  <c r="E152" i="110"/>
  <c r="E153" i="110"/>
  <c r="E156" i="110"/>
  <c r="F156" i="110" s="1"/>
  <c r="E157" i="110"/>
  <c r="F157" i="110" s="1"/>
  <c r="E158" i="110"/>
  <c r="F158" i="110" s="1"/>
  <c r="E159" i="110"/>
  <c r="F159" i="110" s="1"/>
  <c r="E160" i="110"/>
  <c r="F160" i="110" s="1"/>
  <c r="E163" i="110"/>
  <c r="E164" i="110"/>
  <c r="F164" i="110" s="1"/>
  <c r="E167" i="110"/>
  <c r="E184" i="108"/>
  <c r="E12" i="105"/>
  <c r="E15" i="105"/>
  <c r="E18" i="105"/>
  <c r="E21" i="105"/>
  <c r="E24" i="105"/>
  <c r="E25" i="105"/>
  <c r="E26" i="105"/>
  <c r="E27" i="105"/>
  <c r="E28" i="105"/>
  <c r="E29" i="105"/>
  <c r="E30" i="105"/>
  <c r="E31" i="105"/>
  <c r="E36" i="105"/>
  <c r="E37" i="105"/>
  <c r="E40" i="105"/>
  <c r="E41" i="105"/>
  <c r="E44" i="105"/>
  <c r="E45" i="105"/>
  <c r="E48" i="105"/>
  <c r="E49" i="105"/>
  <c r="E52" i="105"/>
  <c r="E53" i="105"/>
  <c r="E56" i="105"/>
  <c r="E57" i="105"/>
  <c r="E60" i="105"/>
  <c r="E61" i="105"/>
  <c r="E65" i="105"/>
  <c r="E68" i="105"/>
  <c r="E13" i="80"/>
  <c r="E14" i="80"/>
  <c r="E17" i="80"/>
  <c r="E20" i="80"/>
  <c r="E21" i="80"/>
  <c r="E24" i="80"/>
  <c r="E25" i="80"/>
  <c r="E8" i="79"/>
  <c r="E9" i="79"/>
  <c r="E10" i="79"/>
  <c r="E13" i="79"/>
  <c r="E14" i="79"/>
  <c r="E8" i="78"/>
  <c r="E9" i="78"/>
  <c r="E12" i="78"/>
  <c r="E15" i="78"/>
  <c r="E18" i="78"/>
  <c r="E21" i="78"/>
  <c r="E11" i="77"/>
  <c r="E15" i="77"/>
  <c r="E18" i="77"/>
  <c r="E19" i="77"/>
  <c r="E22" i="77"/>
  <c r="E25" i="77"/>
  <c r="E8" i="76"/>
  <c r="E9" i="76"/>
  <c r="E10" i="76"/>
  <c r="E13" i="76"/>
  <c r="E14" i="76"/>
  <c r="E17" i="76"/>
  <c r="E20" i="76"/>
  <c r="E21" i="76"/>
  <c r="E24" i="76"/>
  <c r="E25" i="76"/>
  <c r="E32" i="76"/>
  <c r="E35" i="76"/>
  <c r="E9" i="75"/>
  <c r="E10" i="75"/>
  <c r="E11" i="75"/>
  <c r="E14" i="75"/>
  <c r="E15" i="75"/>
  <c r="E16" i="75"/>
  <c r="E17" i="75"/>
  <c r="E18" i="75"/>
  <c r="E22" i="75"/>
  <c r="E25" i="75"/>
  <c r="E28" i="75"/>
  <c r="E31" i="75"/>
  <c r="E53" i="73"/>
  <c r="E54" i="73"/>
  <c r="E57" i="73"/>
  <c r="E60" i="73"/>
  <c r="E63" i="73"/>
  <c r="E66" i="73"/>
  <c r="E67" i="73"/>
  <c r="E70" i="73"/>
  <c r="E73" i="73"/>
  <c r="E76" i="73"/>
  <c r="E79" i="73"/>
  <c r="E82" i="73"/>
  <c r="E85" i="73"/>
  <c r="E86" i="73"/>
  <c r="E89" i="73"/>
  <c r="E92" i="73"/>
  <c r="E95" i="73"/>
  <c r="E98" i="73"/>
  <c r="E101" i="73"/>
  <c r="E106" i="73"/>
  <c r="E107" i="73"/>
  <c r="E110" i="73"/>
  <c r="E111" i="73"/>
  <c r="E114" i="73"/>
  <c r="E115" i="73"/>
  <c r="E116" i="73"/>
  <c r="E117" i="73"/>
  <c r="E120" i="73"/>
  <c r="E121" i="73"/>
  <c r="E124" i="73"/>
  <c r="E127" i="73"/>
  <c r="E130" i="73"/>
  <c r="E133" i="73"/>
  <c r="E136" i="73"/>
  <c r="E139" i="73"/>
  <c r="E142" i="73"/>
  <c r="E143" i="73"/>
  <c r="E144" i="73"/>
  <c r="E12" i="71"/>
  <c r="E15" i="71"/>
  <c r="E18" i="71"/>
  <c r="E21" i="71"/>
  <c r="E24" i="71"/>
  <c r="E25" i="71"/>
  <c r="E29" i="71"/>
  <c r="E8" i="70"/>
  <c r="E11" i="70"/>
  <c r="E15" i="70"/>
  <c r="E16" i="70"/>
  <c r="E19" i="70"/>
  <c r="E23" i="70"/>
  <c r="E24" i="70"/>
  <c r="E25" i="70"/>
  <c r="E26" i="70"/>
  <c r="E27" i="70"/>
  <c r="E30" i="70"/>
  <c r="E8" i="69"/>
  <c r="E11" i="69"/>
  <c r="E12" i="69"/>
  <c r="E16" i="69"/>
  <c r="E17" i="69"/>
  <c r="E21" i="69"/>
  <c r="E22" i="69"/>
  <c r="E23" i="69"/>
  <c r="E24" i="69"/>
  <c r="E8" i="68"/>
  <c r="E9" i="68"/>
  <c r="E10" i="68"/>
  <c r="E13" i="68"/>
  <c r="E14" i="68"/>
  <c r="E10" i="67"/>
  <c r="E11" i="67"/>
  <c r="E14" i="67"/>
  <c r="E15" i="67"/>
  <c r="E20" i="67"/>
  <c r="E21" i="67"/>
  <c r="E24" i="67"/>
  <c r="E25" i="67"/>
  <c r="E28" i="67"/>
  <c r="E29" i="67"/>
  <c r="E32" i="67"/>
  <c r="E33" i="67"/>
  <c r="E36" i="67"/>
  <c r="E37" i="67"/>
  <c r="E40" i="67"/>
  <c r="E41" i="67"/>
  <c r="E44" i="67"/>
  <c r="E45" i="67"/>
  <c r="E48" i="67"/>
  <c r="E49" i="67"/>
  <c r="E52" i="67"/>
  <c r="E53" i="67"/>
  <c r="E56" i="67"/>
  <c r="E59" i="67"/>
  <c r="E60" i="67"/>
  <c r="E61" i="67"/>
  <c r="E64" i="67"/>
  <c r="E65" i="67"/>
  <c r="E68" i="67"/>
  <c r="E69" i="67"/>
  <c r="E72" i="67"/>
  <c r="E73" i="67"/>
  <c r="E76" i="67"/>
  <c r="E79" i="67"/>
  <c r="E80" i="67"/>
  <c r="E81" i="67"/>
  <c r="E84" i="67"/>
  <c r="E85" i="67"/>
  <c r="E88" i="67"/>
  <c r="E89" i="67"/>
  <c r="E92" i="67"/>
  <c r="E93" i="67"/>
  <c r="E96" i="67"/>
  <c r="E99" i="67"/>
  <c r="E100" i="67"/>
  <c r="E101" i="67"/>
  <c r="E102" i="67"/>
  <c r="E103" i="67"/>
  <c r="E104" i="67"/>
  <c r="E105" i="67"/>
  <c r="E106" i="67"/>
  <c r="E8" i="66"/>
  <c r="E11" i="66"/>
  <c r="E14" i="66"/>
  <c r="E17" i="66"/>
  <c r="E20" i="66"/>
  <c r="E23" i="66"/>
  <c r="E26" i="66"/>
  <c r="E29" i="66"/>
  <c r="F40" i="128"/>
  <c r="F39" i="128"/>
  <c r="F38" i="128"/>
  <c r="F37" i="128"/>
  <c r="F35" i="128"/>
  <c r="F34" i="128"/>
  <c r="F24" i="128"/>
  <c r="F23" i="128"/>
  <c r="F20" i="128"/>
  <c r="F19" i="128"/>
  <c r="F14" i="128"/>
  <c r="F13" i="128"/>
  <c r="F12" i="128"/>
  <c r="F11" i="128"/>
  <c r="F8" i="128"/>
  <c r="F7" i="128"/>
  <c r="F64" i="127"/>
  <c r="F63" i="127"/>
  <c r="F60" i="127"/>
  <c r="F59" i="127"/>
  <c r="F54" i="127"/>
  <c r="F53" i="127"/>
  <c r="F45" i="127"/>
  <c r="F44" i="127"/>
  <c r="F37" i="127"/>
  <c r="F36" i="127"/>
  <c r="F35" i="127"/>
  <c r="F33" i="127"/>
  <c r="F32" i="127"/>
  <c r="F27" i="127"/>
  <c r="D24" i="127"/>
  <c r="D23" i="127"/>
  <c r="F23" i="127" s="1"/>
  <c r="F21" i="127"/>
  <c r="F20" i="127"/>
  <c r="D19" i="127"/>
  <c r="D17" i="127"/>
  <c r="D15" i="127"/>
  <c r="F15" i="127" s="1"/>
  <c r="F14" i="127"/>
  <c r="F13" i="127"/>
  <c r="F12" i="127"/>
  <c r="F9" i="127"/>
  <c r="F8" i="127"/>
  <c r="F50" i="126"/>
  <c r="F49" i="126"/>
  <c r="F48" i="126"/>
  <c r="F47" i="126"/>
  <c r="F44" i="126"/>
  <c r="F43" i="126"/>
  <c r="F38" i="126"/>
  <c r="F37" i="126"/>
  <c r="F36" i="126"/>
  <c r="F35" i="126"/>
  <c r="F29" i="126"/>
  <c r="F28" i="126"/>
  <c r="F23" i="126"/>
  <c r="F22" i="126"/>
  <c r="F21" i="126"/>
  <c r="F20" i="126"/>
  <c r="F17" i="126"/>
  <c r="F16" i="126"/>
  <c r="F11" i="126"/>
  <c r="F10" i="126"/>
  <c r="F9" i="126"/>
  <c r="F8" i="126"/>
  <c r="F9" i="111"/>
  <c r="F10" i="111"/>
  <c r="F8" i="111"/>
  <c r="F23" i="111"/>
  <c r="F24" i="111"/>
  <c r="F25" i="111"/>
  <c r="F36" i="111"/>
  <c r="F37" i="111"/>
  <c r="F38" i="111"/>
  <c r="F40" i="111"/>
  <c r="F41" i="111"/>
  <c r="F42" i="111"/>
  <c r="F52" i="111"/>
  <c r="F53" i="111"/>
  <c r="F64" i="111"/>
  <c r="F65" i="111"/>
  <c r="F66" i="111"/>
  <c r="F67" i="111"/>
  <c r="F68" i="111"/>
  <c r="F69" i="111"/>
  <c r="F76" i="111"/>
  <c r="F77" i="111"/>
  <c r="F88" i="111"/>
  <c r="F89" i="111"/>
  <c r="F90" i="111"/>
  <c r="F91" i="111"/>
  <c r="F92" i="111"/>
  <c r="F93" i="111"/>
  <c r="F101" i="111"/>
  <c r="F102" i="111"/>
  <c r="F113" i="111"/>
  <c r="F114" i="111"/>
  <c r="F115" i="111"/>
  <c r="F128" i="111"/>
  <c r="F129" i="111"/>
  <c r="F130" i="111"/>
  <c r="F131" i="111"/>
  <c r="F140" i="111"/>
  <c r="F141" i="111"/>
  <c r="F142" i="111"/>
  <c r="F143" i="111"/>
  <c r="F144" i="111"/>
  <c r="F152" i="111"/>
  <c r="F167" i="111"/>
  <c r="F171" i="111"/>
  <c r="F172" i="111"/>
  <c r="F157" i="111"/>
  <c r="F155" i="111"/>
  <c r="F183" i="111"/>
  <c r="F184" i="111"/>
  <c r="F185" i="111"/>
  <c r="F182" i="111"/>
  <c r="F248" i="111"/>
  <c r="F252" i="111"/>
  <c r="F254" i="111"/>
  <c r="F256" i="111"/>
  <c r="F275" i="111"/>
  <c r="F276" i="111"/>
  <c r="F277" i="111"/>
  <c r="F278" i="111"/>
  <c r="F279" i="111"/>
  <c r="F287" i="111"/>
  <c r="F251" i="111"/>
  <c r="F313" i="111"/>
  <c r="F314" i="111"/>
  <c r="F315" i="111"/>
  <c r="F318" i="111"/>
  <c r="F320" i="111"/>
  <c r="F329" i="111"/>
  <c r="F330" i="111"/>
  <c r="F346" i="111"/>
  <c r="F347" i="111"/>
  <c r="F348" i="111"/>
  <c r="F358" i="111"/>
  <c r="F359" i="111"/>
  <c r="F360" i="111"/>
  <c r="F374" i="111"/>
  <c r="F375" i="111"/>
  <c r="F376" i="111"/>
  <c r="F377" i="111"/>
  <c r="F373" i="111"/>
  <c r="F388" i="111"/>
  <c r="F389" i="111"/>
  <c r="F399" i="111"/>
  <c r="F400" i="111"/>
  <c r="F401" i="111"/>
  <c r="F402" i="111"/>
  <c r="F403" i="111"/>
  <c r="F411" i="111"/>
  <c r="F412" i="111"/>
  <c r="F413" i="111"/>
  <c r="F423" i="111"/>
  <c r="F424" i="111"/>
  <c r="F425" i="111"/>
  <c r="F426" i="111"/>
  <c r="F427" i="111"/>
  <c r="F435" i="111"/>
  <c r="F436" i="111"/>
  <c r="F437" i="111"/>
  <c r="F438" i="111"/>
  <c r="F447" i="111"/>
  <c r="F451" i="111"/>
  <c r="F454" i="111"/>
  <c r="F387" i="111"/>
  <c r="F492" i="111"/>
  <c r="F465" i="111"/>
  <c r="F466" i="111"/>
  <c r="F467" i="111"/>
  <c r="F478" i="111"/>
  <c r="F479" i="111"/>
  <c r="F480" i="111"/>
  <c r="F490" i="111"/>
  <c r="F504" i="111"/>
  <c r="F505" i="111"/>
  <c r="F495" i="111"/>
  <c r="F509" i="111"/>
  <c r="F508" i="111"/>
  <c r="F167" i="110"/>
  <c r="F163" i="110"/>
  <c r="F152" i="110"/>
  <c r="F153" i="110"/>
  <c r="F149" i="110"/>
  <c r="F150" i="110"/>
  <c r="F151" i="110"/>
  <c r="F144" i="110"/>
  <c r="F146" i="110"/>
  <c r="F114" i="110"/>
  <c r="F115" i="110"/>
  <c r="F116" i="110"/>
  <c r="F126" i="110"/>
  <c r="F127" i="110"/>
  <c r="F130" i="110"/>
  <c r="F97" i="110"/>
  <c r="F98" i="110"/>
  <c r="F99" i="110"/>
  <c r="F100" i="110"/>
  <c r="F101" i="110"/>
  <c r="F69" i="110"/>
  <c r="F71" i="110"/>
  <c r="F73" i="110"/>
  <c r="F74" i="110"/>
  <c r="F75" i="110"/>
  <c r="F76" i="110"/>
  <c r="F77" i="110"/>
  <c r="F78" i="110"/>
  <c r="F79" i="110"/>
  <c r="F80" i="110"/>
  <c r="F81" i="110"/>
  <c r="F84" i="110"/>
  <c r="F85" i="110"/>
  <c r="F86" i="110"/>
  <c r="F87" i="110"/>
  <c r="F88" i="110"/>
  <c r="F89" i="110"/>
  <c r="F90" i="110"/>
  <c r="F91" i="110"/>
  <c r="F92" i="110"/>
  <c r="F93" i="110"/>
  <c r="F48" i="110"/>
  <c r="F41" i="110"/>
  <c r="F42" i="110"/>
  <c r="F20" i="110"/>
  <c r="F12" i="110"/>
  <c r="F8" i="110"/>
  <c r="F9" i="110"/>
  <c r="F10" i="110"/>
  <c r="F11" i="110"/>
  <c r="F7" i="110"/>
  <c r="F24" i="127" l="1"/>
  <c r="F17" i="127"/>
  <c r="F48" i="127" s="1"/>
  <c r="F75" i="127" s="1"/>
  <c r="F19" i="127"/>
  <c r="F11" i="111"/>
  <c r="F521" i="111"/>
  <c r="F165" i="110"/>
  <c r="F153" i="111"/>
  <c r="F493" i="111"/>
  <c r="F371" i="111"/>
  <c r="F161" i="110"/>
  <c r="F46" i="111"/>
  <c r="F180" i="111"/>
  <c r="F456" i="111"/>
  <c r="F189" i="111"/>
  <c r="F118" i="111"/>
  <c r="F154" i="110"/>
  <c r="F385" i="111"/>
  <c r="F215" i="111"/>
  <c r="F135" i="110"/>
  <c r="F516" i="111"/>
  <c r="F334" i="111"/>
  <c r="F298" i="111"/>
  <c r="F25" i="128"/>
  <c r="F50" i="128" s="1"/>
  <c r="F70" i="127"/>
  <c r="F77" i="127" s="1"/>
  <c r="F45" i="128"/>
  <c r="F52" i="128" s="1"/>
  <c r="F52" i="126"/>
  <c r="F60" i="126" s="1"/>
  <c r="F31" i="126"/>
  <c r="F58" i="126" s="1"/>
  <c r="F506" i="111"/>
  <c r="F134" i="125"/>
  <c r="F131" i="125"/>
  <c r="F128" i="125"/>
  <c r="F127" i="125"/>
  <c r="F126" i="125"/>
  <c r="F124" i="125"/>
  <c r="F122" i="125"/>
  <c r="F121" i="125"/>
  <c r="F115" i="125"/>
  <c r="F114" i="125"/>
  <c r="F107" i="125"/>
  <c r="F106" i="125"/>
  <c r="F103" i="125"/>
  <c r="F101" i="125"/>
  <c r="F99" i="125"/>
  <c r="F98" i="125"/>
  <c r="F95" i="125"/>
  <c r="F93" i="125"/>
  <c r="F91" i="125"/>
  <c r="F89" i="125"/>
  <c r="F87" i="125"/>
  <c r="F86" i="125"/>
  <c r="F85" i="125"/>
  <c r="F82" i="125"/>
  <c r="F81" i="125"/>
  <c r="F76" i="125"/>
  <c r="F75" i="125"/>
  <c r="F69" i="125"/>
  <c r="F67" i="125"/>
  <c r="F65" i="125"/>
  <c r="F64" i="125"/>
  <c r="F63" i="125"/>
  <c r="F61" i="125"/>
  <c r="F59" i="125"/>
  <c r="F57" i="125"/>
  <c r="F55" i="125"/>
  <c r="F54" i="125"/>
  <c r="F53" i="125"/>
  <c r="F48" i="125"/>
  <c r="F47" i="125"/>
  <c r="F44" i="125"/>
  <c r="F43" i="125"/>
  <c r="F42" i="125"/>
  <c r="F39" i="125"/>
  <c r="F37" i="125"/>
  <c r="F35" i="125"/>
  <c r="F34" i="125"/>
  <c r="F33" i="125"/>
  <c r="F32" i="125"/>
  <c r="F31" i="125"/>
  <c r="F30" i="125"/>
  <c r="F29" i="125"/>
  <c r="F28" i="125"/>
  <c r="F27" i="125"/>
  <c r="F26" i="125"/>
  <c r="F25" i="125"/>
  <c r="F24" i="125"/>
  <c r="F20" i="125"/>
  <c r="F19" i="125"/>
  <c r="F17" i="125"/>
  <c r="F15" i="125"/>
  <c r="F13" i="125"/>
  <c r="F11" i="125"/>
  <c r="F10" i="125"/>
  <c r="F136" i="125" l="1"/>
  <c r="F54" i="128"/>
  <c r="F11" i="129" s="1"/>
  <c r="F79" i="127"/>
  <c r="F9" i="129" s="1"/>
  <c r="F63" i="126"/>
  <c r="F7" i="129" s="1"/>
  <c r="C20" i="99"/>
  <c r="F234" i="114"/>
  <c r="F231" i="114"/>
  <c r="F227" i="114"/>
  <c r="F224" i="114"/>
  <c r="F221" i="114"/>
  <c r="F18" i="129" l="1"/>
  <c r="C18" i="99" s="1"/>
  <c r="F16" i="65"/>
  <c r="F18" i="65"/>
  <c r="F21" i="65"/>
  <c r="F23" i="65"/>
  <c r="F24" i="65"/>
  <c r="F25" i="65"/>
  <c r="F28" i="65"/>
  <c r="F31" i="65"/>
  <c r="F34" i="65"/>
  <c r="F37" i="65"/>
  <c r="F39" i="65"/>
  <c r="F41" i="65"/>
  <c r="F44" i="65"/>
  <c r="F46" i="65" l="1"/>
  <c r="F117" i="73"/>
  <c r="F116" i="73"/>
  <c r="F22" i="118" l="1"/>
  <c r="F20" i="118"/>
  <c r="F18" i="118"/>
  <c r="F16" i="118"/>
  <c r="F14" i="118"/>
  <c r="F12" i="118"/>
  <c r="F114" i="117"/>
  <c r="F111" i="117"/>
  <c r="F107" i="117"/>
  <c r="F102" i="117"/>
  <c r="F98" i="117"/>
  <c r="F94" i="117"/>
  <c r="F89" i="117"/>
  <c r="F76" i="117"/>
  <c r="F72" i="117"/>
  <c r="F67" i="117"/>
  <c r="F66" i="117"/>
  <c r="F62" i="117"/>
  <c r="F48" i="117"/>
  <c r="F44" i="117"/>
  <c r="F39" i="117"/>
  <c r="F34" i="117"/>
  <c r="F18" i="117"/>
  <c r="F135" i="116"/>
  <c r="F130" i="116"/>
  <c r="F127" i="116"/>
  <c r="F123" i="116"/>
  <c r="F119" i="116"/>
  <c r="F115" i="116"/>
  <c r="F111" i="116"/>
  <c r="F107" i="116"/>
  <c r="F94" i="116"/>
  <c r="D69" i="116"/>
  <c r="D74" i="116" s="1"/>
  <c r="F65" i="116"/>
  <c r="F64" i="116"/>
  <c r="F63" i="116"/>
  <c r="F62" i="116"/>
  <c r="F61" i="116"/>
  <c r="F60" i="116"/>
  <c r="F28" i="116"/>
  <c r="F27" i="116"/>
  <c r="F26" i="116"/>
  <c r="F25" i="116"/>
  <c r="F24" i="116"/>
  <c r="F21" i="116"/>
  <c r="F160" i="115"/>
  <c r="F156" i="115"/>
  <c r="F152" i="115"/>
  <c r="F147" i="115"/>
  <c r="F144" i="115"/>
  <c r="F140" i="115"/>
  <c r="F136" i="115"/>
  <c r="F132" i="115"/>
  <c r="F128" i="115"/>
  <c r="F124" i="115"/>
  <c r="F120" i="115"/>
  <c r="F107" i="115"/>
  <c r="F103" i="115"/>
  <c r="F102" i="115"/>
  <c r="F97" i="115"/>
  <c r="F96" i="115"/>
  <c r="F91" i="115"/>
  <c r="F88" i="115"/>
  <c r="F84" i="115"/>
  <c r="F78" i="115"/>
  <c r="F77" i="115"/>
  <c r="F70" i="115"/>
  <c r="F65" i="115"/>
  <c r="F60" i="115"/>
  <c r="F56" i="115"/>
  <c r="F52" i="115"/>
  <c r="F47" i="115"/>
  <c r="F46" i="115"/>
  <c r="F41" i="115"/>
  <c r="F40" i="115"/>
  <c r="F35" i="115"/>
  <c r="F30" i="115"/>
  <c r="F214" i="114"/>
  <c r="F210" i="114"/>
  <c r="F206" i="114"/>
  <c r="F202" i="114"/>
  <c r="F186" i="114"/>
  <c r="F185" i="114"/>
  <c r="F179" i="114"/>
  <c r="F173" i="114"/>
  <c r="F128" i="114"/>
  <c r="F124" i="114"/>
  <c r="F119" i="114"/>
  <c r="F111" i="114"/>
  <c r="F110" i="114"/>
  <c r="F109" i="114"/>
  <c r="F108" i="114"/>
  <c r="F107" i="114"/>
  <c r="F106" i="114"/>
  <c r="F101" i="114"/>
  <c r="F96" i="114"/>
  <c r="F93" i="114"/>
  <c r="F85" i="114"/>
  <c r="F78" i="114"/>
  <c r="F62" i="114"/>
  <c r="F42" i="114"/>
  <c r="E194" i="114" l="1"/>
  <c r="E34" i="116"/>
  <c r="E25" i="117"/>
  <c r="E27" i="118"/>
  <c r="E19" i="119" s="1"/>
  <c r="E52" i="117"/>
  <c r="E118" i="117"/>
  <c r="E81" i="117"/>
  <c r="D79" i="116"/>
  <c r="F74" i="116"/>
  <c r="F69" i="116"/>
  <c r="E140" i="116"/>
  <c r="E165" i="115"/>
  <c r="E112" i="115"/>
  <c r="E239" i="114"/>
  <c r="E133" i="114"/>
  <c r="E10" i="119" l="1"/>
  <c r="E7" i="119"/>
  <c r="E16" i="119"/>
  <c r="D84" i="116"/>
  <c r="F79" i="116"/>
  <c r="D89" i="116" l="1"/>
  <c r="F89" i="116" s="1"/>
  <c r="F84" i="116"/>
  <c r="E99" i="116" l="1"/>
  <c r="E13" i="119" s="1"/>
  <c r="F543" i="111" l="1"/>
  <c r="F541" i="111"/>
  <c r="F540" i="111"/>
  <c r="F539" i="111"/>
  <c r="F538" i="111"/>
  <c r="F537" i="111"/>
  <c r="F536" i="111"/>
  <c r="F535" i="111"/>
  <c r="F534" i="111"/>
  <c r="F533" i="111"/>
  <c r="B533" i="111"/>
  <c r="F532" i="111"/>
  <c r="F531" i="111"/>
  <c r="F530" i="111"/>
  <c r="F529" i="111"/>
  <c r="F528" i="111"/>
  <c r="F527" i="111"/>
  <c r="F174" i="110"/>
  <c r="F173" i="110"/>
  <c r="F172" i="110"/>
  <c r="F171" i="110"/>
  <c r="F170" i="110"/>
  <c r="F175" i="110" l="1"/>
  <c r="F5" i="112" s="1"/>
  <c r="F293" i="113" l="1"/>
  <c r="F291" i="113"/>
  <c r="F282" i="113"/>
  <c r="F280" i="113"/>
  <c r="F278" i="113"/>
  <c r="F276" i="113"/>
  <c r="F274" i="113"/>
  <c r="F266" i="113"/>
  <c r="F264" i="113"/>
  <c r="F262" i="113"/>
  <c r="F253" i="113"/>
  <c r="F252" i="113"/>
  <c r="F251" i="113"/>
  <c r="F250" i="113"/>
  <c r="F249" i="113"/>
  <c r="F248" i="113"/>
  <c r="F247" i="113"/>
  <c r="F241" i="113"/>
  <c r="F240" i="113"/>
  <c r="F239" i="113"/>
  <c r="F238" i="113"/>
  <c r="F237" i="113"/>
  <c r="F236" i="113"/>
  <c r="F235" i="113"/>
  <c r="F234" i="113"/>
  <c r="F233" i="113"/>
  <c r="F227" i="113"/>
  <c r="F226" i="113"/>
  <c r="F225" i="113"/>
  <c r="F224" i="113"/>
  <c r="F208" i="113"/>
  <c r="F203" i="113"/>
  <c r="F197" i="113"/>
  <c r="F191" i="113"/>
  <c r="F180" i="113"/>
  <c r="F172" i="113"/>
  <c r="F165" i="113"/>
  <c r="F157" i="113"/>
  <c r="F148" i="113"/>
  <c r="F140" i="113"/>
  <c r="F132" i="113"/>
  <c r="F123" i="113"/>
  <c r="F107" i="113"/>
  <c r="F103" i="113"/>
  <c r="F90" i="113"/>
  <c r="F85" i="113"/>
  <c r="F79" i="113"/>
  <c r="F71" i="113"/>
  <c r="F57" i="113"/>
  <c r="F49" i="113"/>
  <c r="F36" i="113"/>
  <c r="F268" i="113" l="1"/>
  <c r="F313" i="113" s="1"/>
  <c r="F111" i="113"/>
  <c r="F310" i="113" s="1"/>
  <c r="F255" i="113"/>
  <c r="F312" i="113" s="1"/>
  <c r="F60" i="113"/>
  <c r="F308" i="113" s="1"/>
  <c r="F298" i="113"/>
  <c r="F315" i="113" s="1"/>
  <c r="F285" i="113"/>
  <c r="F314" i="113" s="1"/>
  <c r="F93" i="113"/>
  <c r="F309" i="113" s="1"/>
  <c r="F211" i="113"/>
  <c r="F311" i="113" s="1"/>
  <c r="F318" i="113" l="1"/>
  <c r="C16" i="99" l="1"/>
  <c r="E24" i="119" l="1"/>
  <c r="C12" i="99" s="1"/>
  <c r="F338" i="108" l="1"/>
  <c r="F337" i="108"/>
  <c r="F336" i="108"/>
  <c r="F335" i="108"/>
  <c r="F331" i="108"/>
  <c r="F322" i="108"/>
  <c r="F318" i="108"/>
  <c r="F315" i="108"/>
  <c r="F311" i="108"/>
  <c r="F308" i="108"/>
  <c r="F305" i="108"/>
  <c r="F302" i="108"/>
  <c r="F299" i="108"/>
  <c r="F296" i="108"/>
  <c r="F293" i="108"/>
  <c r="F290" i="108"/>
  <c r="F287" i="108"/>
  <c r="F281" i="108"/>
  <c r="F271" i="108"/>
  <c r="F257" i="108"/>
  <c r="F253" i="108"/>
  <c r="F249" i="108"/>
  <c r="F245" i="108"/>
  <c r="F241" i="108"/>
  <c r="F236" i="108"/>
  <c r="F232" i="108"/>
  <c r="F231" i="108"/>
  <c r="F225" i="108"/>
  <c r="F224" i="108"/>
  <c r="F223" i="108"/>
  <c r="F219" i="108"/>
  <c r="F213" i="108"/>
  <c r="F207" i="108"/>
  <c r="F206" i="108"/>
  <c r="F205" i="108"/>
  <c r="F198" i="108"/>
  <c r="F194" i="108"/>
  <c r="F184" i="108"/>
  <c r="F180" i="108"/>
  <c r="F177" i="108"/>
  <c r="F174" i="108"/>
  <c r="F171" i="108"/>
  <c r="F168" i="108"/>
  <c r="F167" i="108"/>
  <c r="F163" i="108"/>
  <c r="F160" i="108"/>
  <c r="F157" i="108"/>
  <c r="F154" i="108"/>
  <c r="F151" i="108"/>
  <c r="F148" i="108"/>
  <c r="F145" i="108"/>
  <c r="F135" i="108"/>
  <c r="F134" i="108"/>
  <c r="F133" i="108"/>
  <c r="F127" i="108"/>
  <c r="F126" i="108"/>
  <c r="F125" i="108"/>
  <c r="F120" i="108"/>
  <c r="F119" i="108"/>
  <c r="F118" i="108"/>
  <c r="F117" i="108"/>
  <c r="F112" i="108"/>
  <c r="F111" i="108"/>
  <c r="F110" i="108"/>
  <c r="F98" i="108"/>
  <c r="F94" i="108"/>
  <c r="F91" i="108"/>
  <c r="F86" i="108"/>
  <c r="F83" i="108"/>
  <c r="F82" i="108"/>
  <c r="F81" i="108"/>
  <c r="F77" i="108"/>
  <c r="F76" i="108"/>
  <c r="F75" i="108"/>
  <c r="F74" i="108"/>
  <c r="F70" i="108"/>
  <c r="F66" i="108"/>
  <c r="F65" i="108"/>
  <c r="F64" i="108"/>
  <c r="F63" i="108"/>
  <c r="F59" i="108"/>
  <c r="F58" i="108"/>
  <c r="F57" i="108"/>
  <c r="F55" i="108"/>
  <c r="F54" i="108"/>
  <c r="F53" i="108"/>
  <c r="F52" i="108"/>
  <c r="F39" i="108"/>
  <c r="F36" i="108"/>
  <c r="F33" i="108"/>
  <c r="F30" i="108"/>
  <c r="F27" i="108"/>
  <c r="F24" i="108"/>
  <c r="F21" i="108"/>
  <c r="B14" i="108"/>
  <c r="F12" i="108"/>
  <c r="F14" i="108" s="1"/>
  <c r="F88" i="108" l="1"/>
  <c r="G10" i="109" s="1"/>
  <c r="F44" i="108"/>
  <c r="G8" i="109" s="1"/>
  <c r="F324" i="108"/>
  <c r="G18" i="109" s="1"/>
  <c r="G6" i="109"/>
  <c r="F100" i="108"/>
  <c r="G12" i="109" s="1"/>
  <c r="F186" i="108"/>
  <c r="G14" i="109" s="1"/>
  <c r="F259" i="108"/>
  <c r="G16" i="109" s="1"/>
  <c r="F340" i="108"/>
  <c r="G20" i="109" s="1"/>
  <c r="G22" i="109" l="1"/>
  <c r="F110" i="106"/>
  <c r="F112" i="106" s="1"/>
  <c r="F15" i="107" s="1"/>
  <c r="F94" i="106"/>
  <c r="F96" i="106" s="1"/>
  <c r="F13" i="107" s="1"/>
  <c r="F85" i="106"/>
  <c r="F82" i="106"/>
  <c r="F77" i="106"/>
  <c r="F76" i="106"/>
  <c r="F72" i="106"/>
  <c r="F61" i="106"/>
  <c r="F58" i="106"/>
  <c r="F57" i="106"/>
  <c r="F56" i="106"/>
  <c r="F55" i="106"/>
  <c r="B47" i="106"/>
  <c r="F45" i="106"/>
  <c r="F40" i="106"/>
  <c r="F37" i="106"/>
  <c r="F36" i="106"/>
  <c r="F32" i="106"/>
  <c r="F28" i="106"/>
  <c r="B20" i="106"/>
  <c r="F17" i="106"/>
  <c r="F13" i="106"/>
  <c r="C10" i="99" l="1"/>
  <c r="F63" i="106"/>
  <c r="F9" i="107" s="1"/>
  <c r="F87" i="106"/>
  <c r="F11" i="107" s="1"/>
  <c r="F47" i="106"/>
  <c r="F7" i="107" s="1"/>
  <c r="F20" i="106"/>
  <c r="F5" i="107" s="1"/>
  <c r="F19" i="107" l="1"/>
  <c r="C8" i="99" s="1"/>
  <c r="F12" i="105" l="1"/>
  <c r="F53" i="73" l="1"/>
  <c r="F61" i="105" l="1"/>
  <c r="F60" i="105"/>
  <c r="F57" i="105"/>
  <c r="F56" i="105"/>
  <c r="F31" i="105"/>
  <c r="F30" i="105"/>
  <c r="F29" i="105"/>
  <c r="F28" i="105"/>
  <c r="F27" i="105"/>
  <c r="F26" i="105"/>
  <c r="F25" i="105"/>
  <c r="F24" i="105"/>
  <c r="F68" i="105"/>
  <c r="F65" i="105"/>
  <c r="F53" i="105"/>
  <c r="F52" i="105"/>
  <c r="F49" i="105"/>
  <c r="F48" i="105"/>
  <c r="F45" i="105"/>
  <c r="F44" i="105"/>
  <c r="F41" i="105"/>
  <c r="F40" i="105"/>
  <c r="F37" i="105"/>
  <c r="F36" i="105"/>
  <c r="F21" i="105"/>
  <c r="F18" i="105"/>
  <c r="F15" i="105"/>
  <c r="F70" i="105" l="1"/>
  <c r="C43" i="83" s="1"/>
  <c r="F106" i="67" l="1"/>
  <c r="F105" i="67"/>
  <c r="F104" i="67"/>
  <c r="F103" i="67"/>
  <c r="F102" i="67"/>
  <c r="F101" i="67"/>
  <c r="F100" i="67"/>
  <c r="F16" i="70"/>
  <c r="F15" i="70"/>
  <c r="F23" i="70"/>
  <c r="F27" i="70"/>
  <c r="F18" i="75" l="1"/>
  <c r="F17" i="75"/>
  <c r="F16" i="75"/>
  <c r="F15" i="75"/>
  <c r="F14" i="75"/>
  <c r="F133" i="73"/>
  <c r="F136" i="73"/>
  <c r="F130" i="73"/>
  <c r="F127" i="73"/>
  <c r="F124" i="73"/>
  <c r="F101" i="73"/>
  <c r="F98" i="73"/>
  <c r="F22" i="77"/>
  <c r="F19" i="77"/>
  <c r="F21" i="80"/>
  <c r="F20" i="80"/>
  <c r="F8" i="104"/>
  <c r="F10" i="104" s="1"/>
  <c r="C35" i="83" s="1"/>
  <c r="F11" i="75"/>
  <c r="F12" i="74"/>
  <c r="F14" i="74" s="1"/>
  <c r="C27" i="83" l="1"/>
  <c r="F95" i="73"/>
  <c r="F92" i="73"/>
  <c r="F89" i="73"/>
  <c r="F86" i="73"/>
  <c r="F85" i="73"/>
  <c r="F82" i="73"/>
  <c r="F79" i="73"/>
  <c r="F76" i="73"/>
  <c r="F73" i="73"/>
  <c r="F70" i="73"/>
  <c r="F67" i="73"/>
  <c r="F66" i="73"/>
  <c r="F63" i="73"/>
  <c r="F57" i="73"/>
  <c r="F60" i="73"/>
  <c r="F54" i="73"/>
  <c r="F143" i="73"/>
  <c r="F121" i="73"/>
  <c r="F115" i="73"/>
  <c r="F111" i="73"/>
  <c r="F110" i="73"/>
  <c r="F107" i="73"/>
  <c r="F11" i="103"/>
  <c r="F16" i="91"/>
  <c r="F29" i="71"/>
  <c r="F25" i="71"/>
  <c r="F24" i="71"/>
  <c r="F21" i="71"/>
  <c r="F18" i="71"/>
  <c r="F12" i="71"/>
  <c r="F17" i="69" l="1"/>
  <c r="F14" i="68"/>
  <c r="F10" i="68"/>
  <c r="F9" i="68"/>
  <c r="F37" i="67"/>
  <c r="F36" i="67"/>
  <c r="F33" i="67"/>
  <c r="F32" i="67"/>
  <c r="F25" i="67"/>
  <c r="F24" i="67"/>
  <c r="F96" i="67"/>
  <c r="F76" i="67"/>
  <c r="F85" i="67"/>
  <c r="F84" i="67"/>
  <c r="F61" i="67"/>
  <c r="F81" i="67"/>
  <c r="F56" i="67"/>
  <c r="F12" i="103" l="1"/>
  <c r="F10" i="91" l="1"/>
  <c r="F9" i="91"/>
  <c r="F30" i="70"/>
  <c r="F26" i="70"/>
  <c r="F25" i="70"/>
  <c r="F24" i="70"/>
  <c r="F19" i="70"/>
  <c r="F41" i="67"/>
  <c r="F40" i="67"/>
  <c r="F13" i="68"/>
  <c r="F73" i="67"/>
  <c r="F72" i="67"/>
  <c r="F53" i="67"/>
  <c r="F52" i="67"/>
  <c r="F65" i="67"/>
  <c r="F64" i="67"/>
  <c r="F49" i="67"/>
  <c r="F48" i="67"/>
  <c r="F15" i="67"/>
  <c r="F14" i="67"/>
  <c r="F11" i="67"/>
  <c r="F10" i="67"/>
  <c r="F19" i="91" l="1"/>
  <c r="F18" i="91"/>
  <c r="F17" i="91"/>
  <c r="F19" i="82" l="1"/>
  <c r="F10" i="82"/>
  <c r="F35" i="76"/>
  <c r="F10" i="103"/>
  <c r="F9" i="103"/>
  <c r="F8" i="103"/>
  <c r="F14" i="103" l="1"/>
  <c r="C23" i="83" s="1"/>
  <c r="F15" i="71" l="1"/>
  <c r="F31" i="71" s="1"/>
  <c r="C21" i="83" s="1"/>
  <c r="F13" i="91" l="1"/>
  <c r="F12" i="91"/>
  <c r="F11" i="91"/>
  <c r="F12" i="69" l="1"/>
  <c r="F24" i="69"/>
  <c r="F11" i="69"/>
  <c r="F93" i="67"/>
  <c r="F92" i="67"/>
  <c r="F89" i="67" l="1"/>
  <c r="F88" i="67"/>
  <c r="F80" i="67"/>
  <c r="F79" i="67"/>
  <c r="F60" i="67"/>
  <c r="F59" i="67"/>
  <c r="F69" i="67"/>
  <c r="F68" i="67"/>
  <c r="F45" i="67"/>
  <c r="F44" i="67"/>
  <c r="F8" i="66" l="1"/>
  <c r="F14" i="80" l="1"/>
  <c r="F13" i="80"/>
  <c r="F18" i="77"/>
  <c r="F15" i="77"/>
  <c r="F11" i="77"/>
  <c r="F8" i="70" l="1"/>
  <c r="F16" i="69" l="1"/>
  <c r="F11" i="66" l="1"/>
  <c r="F14" i="66"/>
  <c r="F17" i="66"/>
  <c r="F20" i="66"/>
  <c r="F23" i="66"/>
  <c r="F26" i="66"/>
  <c r="F29" i="66"/>
  <c r="F31" i="66" l="1"/>
  <c r="C9" i="83" s="1"/>
  <c r="F17" i="76" l="1"/>
  <c r="F25" i="77" l="1"/>
  <c r="F27" i="77" s="1"/>
  <c r="F10" i="79" l="1"/>
  <c r="F106" i="73" l="1"/>
  <c r="F21" i="76" l="1"/>
  <c r="F21" i="67" l="1"/>
  <c r="F20" i="67"/>
  <c r="F11" i="70"/>
  <c r="F32" i="70" s="1"/>
  <c r="F17" i="80" l="1"/>
  <c r="F9" i="78" l="1"/>
  <c r="F8" i="78"/>
  <c r="F20" i="76"/>
  <c r="C33" i="83" l="1"/>
  <c r="F144" i="73"/>
  <c r="F142" i="73"/>
  <c r="F139" i="73"/>
  <c r="F114" i="73" l="1"/>
  <c r="F8" i="91" l="1"/>
  <c r="F14" i="91"/>
  <c r="F15" i="91"/>
  <c r="F21" i="91" l="1"/>
  <c r="C19" i="83" s="1"/>
  <c r="F9" i="79" l="1"/>
  <c r="F8" i="68" l="1"/>
  <c r="F16" i="68" l="1"/>
  <c r="C13" i="83" s="1"/>
  <c r="F32" i="76"/>
  <c r="F29" i="67" l="1"/>
  <c r="F28" i="67"/>
  <c r="F13" i="82" l="1"/>
  <c r="F16" i="82"/>
  <c r="F24" i="80"/>
  <c r="F25" i="80"/>
  <c r="F8" i="79"/>
  <c r="F13" i="79"/>
  <c r="F14" i="79"/>
  <c r="F12" i="78"/>
  <c r="F15" i="78"/>
  <c r="F18" i="78"/>
  <c r="F21" i="78"/>
  <c r="F8" i="76"/>
  <c r="F9" i="76"/>
  <c r="F10" i="76"/>
  <c r="F13" i="76"/>
  <c r="F14" i="76"/>
  <c r="F24" i="76"/>
  <c r="F25" i="76"/>
  <c r="F9" i="75"/>
  <c r="F10" i="75"/>
  <c r="F22" i="75"/>
  <c r="F25" i="75"/>
  <c r="F28" i="75"/>
  <c r="F31" i="75"/>
  <c r="F120" i="73"/>
  <c r="F146" i="73" s="1"/>
  <c r="C17" i="83"/>
  <c r="F8" i="69"/>
  <c r="F21" i="69"/>
  <c r="F22" i="69"/>
  <c r="F23" i="69"/>
  <c r="F99" i="67"/>
  <c r="F108" i="67" s="1"/>
  <c r="C7" i="83"/>
  <c r="F33" i="75" l="1"/>
  <c r="C29" i="83" s="1"/>
  <c r="C25" i="83"/>
  <c r="F27" i="80"/>
  <c r="C41" i="83" s="1"/>
  <c r="F21" i="82"/>
  <c r="C45" i="83" s="1"/>
  <c r="F16" i="79"/>
  <c r="C39" i="83" s="1"/>
  <c r="F23" i="78"/>
  <c r="C37" i="83" s="1"/>
  <c r="F37" i="76"/>
  <c r="C31" i="83" s="1"/>
  <c r="F26" i="69"/>
  <c r="C15" i="83" s="1"/>
  <c r="C11" i="83"/>
  <c r="C47" i="83" l="1"/>
  <c r="C6" i="99" s="1"/>
  <c r="F542" i="111"/>
  <c r="F544" i="111"/>
  <c r="F6" i="112" s="1"/>
  <c r="F7" i="112" s="1"/>
  <c r="C14" i="99" s="1"/>
  <c r="C22" i="99" l="1"/>
  <c r="C24" i="99" s="1"/>
  <c r="C26" i="99" s="1"/>
</calcChain>
</file>

<file path=xl/sharedStrings.xml><?xml version="1.0" encoding="utf-8"?>
<sst xmlns="http://schemas.openxmlformats.org/spreadsheetml/2006/main" count="5027" uniqueCount="2604">
  <si>
    <t>IZOLIRANA POVRŠINA</t>
  </si>
  <si>
    <t>G</t>
  </si>
  <si>
    <t>H</t>
  </si>
  <si>
    <t>B.V.</t>
  </si>
  <si>
    <t>ZAVRŠNI ZIDARSKI RADOVI</t>
  </si>
  <si>
    <t>BETONSKI I ARMIRANOBETONSKI RADOVI</t>
  </si>
  <si>
    <t>IZOLATERSKI RADOVI</t>
  </si>
  <si>
    <t>LIMARSKI RADOVI</t>
  </si>
  <si>
    <t>STOLARSKI RADOVI</t>
  </si>
  <si>
    <t>KOM</t>
  </si>
  <si>
    <t>A.II.</t>
  </si>
  <si>
    <t>PRIPREMNI I ZEMLJANI RADOVI</t>
  </si>
  <si>
    <t>A</t>
  </si>
  <si>
    <t>B</t>
  </si>
  <si>
    <t>C</t>
  </si>
  <si>
    <t>D</t>
  </si>
  <si>
    <t>A.III.</t>
  </si>
  <si>
    <t>BETONSKI I ARMIRANOBETONSKI</t>
  </si>
  <si>
    <t>KG</t>
  </si>
  <si>
    <t>A.V.</t>
  </si>
  <si>
    <t xml:space="preserve">IZOLATERSKI RADOVI </t>
  </si>
  <si>
    <t>E</t>
  </si>
  <si>
    <t>B.I.</t>
  </si>
  <si>
    <t xml:space="preserve">LIMARSKI RADOVI </t>
  </si>
  <si>
    <t>B.III.</t>
  </si>
  <si>
    <t xml:space="preserve">STOLARSKI RADOVI </t>
  </si>
  <si>
    <t>I</t>
  </si>
  <si>
    <t>komplet</t>
  </si>
  <si>
    <t>J</t>
  </si>
  <si>
    <t>kom</t>
  </si>
  <si>
    <t>kg</t>
  </si>
  <si>
    <t>KOMPLET</t>
  </si>
  <si>
    <t>RADOVI DEMONTAŽE I UKLANJANJA OBUHVAĆAJU SLIJEDEĆE:</t>
  </si>
  <si>
    <t>OPIS GRAĐEVINE:</t>
  </si>
  <si>
    <t>UVODNA NAPOMENA:</t>
  </si>
  <si>
    <t>RUŠENJA I DEMONTAŽE</t>
  </si>
  <si>
    <t>A.I.</t>
  </si>
  <si>
    <t>OBRAČUN U SRASLOM STANJU</t>
  </si>
  <si>
    <t>OPLATE</t>
  </si>
  <si>
    <t xml:space="preserve">DAŠČANE NEBLANJANE OPLATE </t>
  </si>
  <si>
    <t>ZIDARSKI RADOVI</t>
  </si>
  <si>
    <t>A.IV.</t>
  </si>
  <si>
    <t xml:space="preserve">METALNE KONSTRUKCIJE </t>
  </si>
  <si>
    <t>A.VI.</t>
  </si>
  <si>
    <t>KOMADA</t>
  </si>
  <si>
    <t xml:space="preserve">POKRIVAČKI RADOVI </t>
  </si>
  <si>
    <t>B.II.</t>
  </si>
  <si>
    <t>STOL.ST. 5</t>
  </si>
  <si>
    <t>STOL.ST. 3</t>
  </si>
  <si>
    <t>3 Koordinirati svoje aktivnosti sa sa ostalim sudionicima u projektu a prema 
 terminskom planu.</t>
  </si>
  <si>
    <t>1 Projektiranje, izrada i ugradba svih dijelova koji čine integralnu, sigurnu i vodonepropusnu fasadu prema nacrtima i ovom opisu.</t>
  </si>
  <si>
    <t xml:space="preserve">Dobavljač otvora na fasadi ima slijedeće obveze:
(fasada= prozori, vrata, prozorske/fasadne/podizno-klizne stijene)
</t>
  </si>
  <si>
    <t xml:space="preserve">NAPOMENE: SVE MJERE POTREBNO JE PROVJERITI U NARAVI!
</t>
  </si>
  <si>
    <t xml:space="preserve">BRAVARSKI RADOVI </t>
  </si>
  <si>
    <t>B.IV.</t>
  </si>
  <si>
    <t>R/S</t>
  </si>
  <si>
    <t>obračun sukladno ovjernim građevnim dnevnicima - predvidivo</t>
  </si>
  <si>
    <t>REVIZIJSKA OKNA S POKLOPCEM DIMENZIJA 60/60 CM</t>
  </si>
  <si>
    <t>STROPA</t>
  </si>
  <si>
    <t>DOPLATA ZA VLAGOOTPORNE PLOČE U JEDOM SLOJU</t>
  </si>
  <si>
    <t>ZIDA</t>
  </si>
  <si>
    <t>DOPLATA ZA IZRADU POJAČANIH RUBOVA OTVORA ZA MONTAŽU BRAVARIJE I STIJENA</t>
  </si>
  <si>
    <t>GIPSARSKI RADOVI</t>
  </si>
  <si>
    <t>B.VI.</t>
  </si>
  <si>
    <t>B.VII.</t>
  </si>
  <si>
    <t>KERAMIČARSKI RADOVI</t>
  </si>
  <si>
    <t>B.X.</t>
  </si>
  <si>
    <t>LIČENJE STROPA U BIJELO</t>
  </si>
  <si>
    <t>PRIPREMA OŽBUKNE PODLOGE (gletanje+impregnacija)</t>
  </si>
  <si>
    <t>PRIPREMA OŽBUKNE PODLOGE ZIDA (gletanje+impregnacija)</t>
  </si>
  <si>
    <t>SOBOSLIKARSKI RADOVI</t>
  </si>
  <si>
    <t>B.XI.</t>
  </si>
  <si>
    <t>OKVIR OD INOX 'L' PROFILA VISINE SUKLADNO PONUĐENOM OTIRAČU UPUŠTEN U ESTRIH</t>
  </si>
  <si>
    <t>OTIRAČ</t>
  </si>
  <si>
    <t xml:space="preserve">PODNE OBLOGE </t>
  </si>
  <si>
    <t>PODOPOLAGAČKI RADOVI</t>
  </si>
  <si>
    <t>B.XIII.</t>
  </si>
  <si>
    <t>ISPITIVANJA</t>
  </si>
  <si>
    <t>B.XV</t>
  </si>
  <si>
    <t>B.XIV.</t>
  </si>
  <si>
    <t>SOBOSLIKARSKI I LIČILAČKI RADOVI</t>
  </si>
  <si>
    <t>BRAVARSKI RADOVI</t>
  </si>
  <si>
    <t>B.IV</t>
  </si>
  <si>
    <t>POKRIVAČKI RADOVI</t>
  </si>
  <si>
    <t>METALNE KONSTRUKCIJE</t>
  </si>
  <si>
    <t>RADOVI DEMONTAŽE I RUŠENJA</t>
  </si>
  <si>
    <t xml:space="preserve">OPLATE </t>
  </si>
  <si>
    <t>B.XVI.</t>
  </si>
  <si>
    <t>LIČENJE ZIDA U TONU PO IZBORU</t>
  </si>
  <si>
    <t>F</t>
  </si>
  <si>
    <t>PRIJE NUĐENJA RADOVA NA UKLANJANJU GRAĐEVINE POTREBNO SE DETALJNO UPOZNATI SA STANJEM NA TERENU.</t>
  </si>
  <si>
    <t>K</t>
  </si>
  <si>
    <t>PVC GRAĐEVINSKA FOLIJA</t>
  </si>
  <si>
    <t>TESARSKI RADOVI</t>
  </si>
  <si>
    <t>A.VII.</t>
  </si>
  <si>
    <t>KROVNE LJEPENKE</t>
  </si>
  <si>
    <t>XPS SLOJ DEBLJINE 10+5 CM IZMJENIČNO SLOŽENIH PLOČA</t>
  </si>
  <si>
    <t>M'</t>
  </si>
  <si>
    <t>ESTRIH PROJEKTNE DEBLJINE 6,5 CM</t>
  </si>
  <si>
    <t>- PARNA BRANA - LJEPLJENA PO PREKLOPIMA, µ &gt; 1.000.000</t>
  </si>
  <si>
    <t>- GIPSKARTONSKA PLOČA D=1,25 CM</t>
  </si>
  <si>
    <t>- GIPSKARTONSKA VATROOTPORNA PLOČA D=1,25 CM - na pocinčanim čeličnim C profilima 100 mm postavljenim poprečno na sekundarne profile</t>
  </si>
  <si>
    <t>PROTUKLIZIH ALU PROFILA NA GAZIŠTIMA STUBIŠTA</t>
  </si>
  <si>
    <t>BETONA C 12/15</t>
  </si>
  <si>
    <t>DOPLATA ZA PARNU BRANU PREMA NEGRIJANOM PROSTORU</t>
  </si>
  <si>
    <t>- PAROPROPUSNA FOLIJA</t>
  </si>
  <si>
    <t>ESTRIH PROJEKTNE DEBLJINE 5,5 CM</t>
  </si>
  <si>
    <t xml:space="preserve">LIČENJE ZIDA NEŠKODLJIVOM VISOKO PERIVOM BOJOM U TONU PO IZBORU IZ RAL PALETE. BOJA TREBA BITI OTPORNA NA MOKRO ČIŠĆENJE UOBIČAJENIM SREDSTVIMA ZA ČIŠĆENJE I MEDICINSKIM DEZINFEKCIJSKIM SREDSTVIMA. DOBRE OTPORNOSTI NA HABANJE.  ZAVRŠNOG IZGLEDA BEZ SJAJA (MAT). SADRŽAJ LAKO HLAPLJIVIH ORGANSKIH TVARI U OKVIRU ZAKONOM PROPISANIH NORMATIVA. </t>
  </si>
  <si>
    <t>L</t>
  </si>
  <si>
    <t>RADOVI NA PROČELJU</t>
  </si>
  <si>
    <t>IZLAZAK OVLAŠTENOG GEOMEHANIČARA I PREGLED TEMELJNIH ISKOPA S UPISOM U GRAĐEVINSKI DNEVNIK.</t>
  </si>
  <si>
    <t>GEODETSKO SNIMANJE, NACRTI I OBRAČUN SVIH ZEMLJANIH RADOVA OD STRANE OVLAŠTENOG INŽENJERA GEODEZIJE S UPISOM U GRAĐEVINSKI DNEVNIK</t>
  </si>
  <si>
    <t xml:space="preserve">GLATKE OPLATE </t>
  </si>
  <si>
    <t xml:space="preserve">EPS-T - d= 2 CM </t>
  </si>
  <si>
    <t xml:space="preserve">XPS SLOJ DEBLJINE 20 CM </t>
  </si>
  <si>
    <t>A.IX.</t>
  </si>
  <si>
    <t>Preklapanje svih izolacionih folija (najmanje 100 mm) izvesti na objektu uz mehaničko učvršćenje i potrebnu toplinsku izolaciju. Izvoditelj radova obavezan je ispravno izabrati sve izolacijske materijale na unutarnjoj i vanjskoj strani fasade i to biti u stanju dokazati.</t>
  </si>
  <si>
    <t>STAVKA UKLJUČUJE SLIJEDEĆE:</t>
  </si>
  <si>
    <t>HOLKELA - SPOJA ZIDA I PODA</t>
  </si>
  <si>
    <t>NAPOMENA:</t>
  </si>
  <si>
    <t>m'</t>
  </si>
  <si>
    <t>PDV 25%:</t>
  </si>
  <si>
    <t>- TEMELJNOG PREMAZA</t>
  </si>
  <si>
    <t>- OSNOVNOG SLOJA</t>
  </si>
  <si>
    <t>BITUMENSKA TRAKE KVALITETE GV 4 + HLADNI BITUMENSKI PREMAZ</t>
  </si>
  <si>
    <t>ČEPASTA MEMBRANA OD POLIETILENA VISOKE GUSTOĆE (HDPE), OTPORNA NA UDARCE + ZAŠTITNI SLOJ GEOTEKSTILA 300G/M2</t>
  </si>
  <si>
    <t>OPĆI UVJETI SU SASTAVNI DIO SVAKE POJEDINE STAVKE. Sve što je navedeno u njima, a nije u pojedinačnom opisu stavke smatra se uključenim u jediničnu cijenu.</t>
  </si>
  <si>
    <t>Točnu količinu i raspored elemenata potkonstrukcije za solarne sisteme daje odabrani proizvođač krovnog sustava nakon odabira konkretnog modela panela. Konstrukciju izvoditi stručno i isključivo prema uputama proizvođača. Stavka uključuje postavu i montažu svih elemenata do potpune funkcionalnosti zaprojektiranu sunčanu elektranu, paneli postavljeni u nagibu krova.</t>
  </si>
  <si>
    <t>POTKROVNA FOLIJA POLOŽENA NA NOSIVU DAŠČANU OBLOGU</t>
  </si>
  <si>
    <t>BITUMENSKA TRAKA S ULOŠKOM KROVNOG KARTONA - SEKUNDARNI KROV</t>
  </si>
  <si>
    <t>STOL.ST. 6</t>
  </si>
  <si>
    <t>STOL.ST. 8</t>
  </si>
  <si>
    <t>Toplinska izolacija debljine 200 mm</t>
  </si>
  <si>
    <t>Toplinska izolacija debljine 50 mm - špalete otvora</t>
  </si>
  <si>
    <t>STOL.ST. 9</t>
  </si>
  <si>
    <t>POCINČANA ČELIČNA MEHANIČKA SIDRA</t>
  </si>
  <si>
    <t>IZRADA RADIONIČKIH NACRTA</t>
  </si>
  <si>
    <t>Svi radionički spojevi konstrukcije  izvode se zavarivanjem, a montažni spojevi na gradilištu vijcima k.v. 8.8.; sve prema radioničkoj dokumentaciji.</t>
  </si>
  <si>
    <t>pocinčana čelična mehanička sidra  - M16/50</t>
  </si>
  <si>
    <t xml:space="preserve"> PROZORI I FIKSNA POLJA  </t>
  </si>
  <si>
    <t xml:space="preserve"> </t>
  </si>
  <si>
    <t>TIPOVI OSTAKLJENJA</t>
  </si>
  <si>
    <t xml:space="preserve">UGRADNJA </t>
  </si>
  <si>
    <t>U slučaju RAL ugradnje s ekspanzijskim trakama, bočno i s gornje strane izvesti multifunkcionalnom eksp. trakom, iznutra dodatno zabrtviti akrilnom parnom branom. S donje strane izvana koristiti  vodonepropusnu butilnu foliju, iznutra foliju parnu branu.</t>
  </si>
  <si>
    <t xml:space="preserve">U cijeni stavke uključiti komplet sav potreban rad i materijal prema opisu u troškovniku, kao i sve dodatne radove i materijale potrebne da se izradi kompletna fasada kao oblikovna i funkcionalna cjelina. Svi spojni limovi, opšavi, tolinske izolacije, hidroizolacije i parne brane koje se prema pravilima struke ugrađuju, sastavni su dio ove stavke. </t>
  </si>
  <si>
    <t>Redni         broj</t>
  </si>
  <si>
    <t>Opis rada</t>
  </si>
  <si>
    <t>Jedinična mjera</t>
  </si>
  <si>
    <t>Količina</t>
  </si>
  <si>
    <t>Cijena u eurima</t>
  </si>
  <si>
    <t>Jedinična</t>
  </si>
  <si>
    <t>Ukupna</t>
  </si>
  <si>
    <t>DJELOMIČNO UKLANJANJE GRAĐEVINSKIH DIJELOVA ZATEČENE ZGRADE</t>
  </si>
  <si>
    <t>REŠENJA I DEMONTAŽE UKUPNO</t>
  </si>
  <si>
    <t>PRIPREMNI I ZEMLJANI UKUPNO</t>
  </si>
  <si>
    <t>RADOVI PRIJE UKLANJANJA DIJELA GRAĐEVINE</t>
  </si>
  <si>
    <t>RADOVI NAKON UKLANJANJA DIJELA GRAĐEVINE</t>
  </si>
  <si>
    <t>BETONSKI I ARMIRANOBETONSKI UKUPNO</t>
  </si>
  <si>
    <t xml:space="preserve">RUBNE OPLATE </t>
  </si>
  <si>
    <t>EUR</t>
  </si>
  <si>
    <t xml:space="preserve">METALNE KONSTRUKCIJE UKUPNO </t>
  </si>
  <si>
    <t>NAZIDNICA 16/14</t>
  </si>
  <si>
    <t>NAZIDNICA 18/20</t>
  </si>
  <si>
    <t>GREDA 14/18</t>
  </si>
  <si>
    <t>GREDA 8/16</t>
  </si>
  <si>
    <t>GREDA UVALA 18/16</t>
  </si>
  <si>
    <t>OSB PLOČA 1.8 CM</t>
  </si>
  <si>
    <t>TESARSKI RADOVI UKUPNO</t>
  </si>
  <si>
    <t>IZOLATERSKI RADOVI UKUPNO</t>
  </si>
  <si>
    <t>ZIDARSKI  UKUPNO</t>
  </si>
  <si>
    <t xml:space="preserve">                  LIMARSKI UKUPNO</t>
  </si>
  <si>
    <r>
      <t xml:space="preserve">Dobava i ugradnja </t>
    </r>
    <r>
      <rPr>
        <b/>
        <sz val="10"/>
        <rFont val="Microsoft Sans Serif"/>
        <family val="2"/>
      </rPr>
      <t>potkonstrukcije za fotonaponske panele</t>
    </r>
    <r>
      <rPr>
        <sz val="10"/>
        <rFont val="Microsoft Sans Serif"/>
        <family val="2"/>
      </rPr>
      <t xml:space="preserve"> sastavljen od</t>
    </r>
    <r>
      <rPr>
        <b/>
        <sz val="10"/>
        <rFont val="Microsoft Sans Serif"/>
        <family val="2"/>
      </rPr>
      <t xml:space="preserve">:
</t>
    </r>
    <r>
      <rPr>
        <sz val="10"/>
        <rFont val="Microsoft Sans Serif"/>
        <family val="2"/>
      </rPr>
      <t xml:space="preserve">- aluminijskih držača za postavu na potkonstrukciju s varijabilnim držačem podesivim u svim smjerovima, uklj. spojne vijke. Pričvršćenje obostrano vijcima radi lakše montaže nosivog profila.
- nosivih profila od aluminija (profilirane šine) za velika statička opterećenja.
- spojnih aluminijskih elemenata za brzo i sigurno spajanje nosivih profila, sa brušenim rupama za montažu stezaljke modula. 
- ostali spojni elementi (klip za električni kabel, srednje i završne spojnice za pričvršćenje modula, spojnice za nosivi profil, set specijalnog ljepila). 
</t>
    </r>
  </si>
  <si>
    <r>
      <t>M</t>
    </r>
    <r>
      <rPr>
        <vertAlign val="superscript"/>
        <sz val="10"/>
        <rFont val="Microsoft Sans Serif"/>
        <family val="2"/>
      </rPr>
      <t>3</t>
    </r>
  </si>
  <si>
    <r>
      <t>M</t>
    </r>
    <r>
      <rPr>
        <vertAlign val="superscript"/>
        <sz val="10"/>
        <rFont val="Microsoft Sans Serif"/>
        <family val="2"/>
      </rPr>
      <t>2</t>
    </r>
  </si>
  <si>
    <r>
      <t xml:space="preserve">Izrada </t>
    </r>
    <r>
      <rPr>
        <b/>
        <sz val="10"/>
        <rFont val="Microsoft Sans Serif"/>
        <family val="2"/>
      </rPr>
      <t>radioničkih nacrta čelične konstrukcije za pridržanje zida uličnog pročelja.</t>
    </r>
    <r>
      <rPr>
        <sz val="10"/>
        <rFont val="Microsoft Sans Serif"/>
        <family val="2"/>
      </rPr>
      <t xml:space="preserve"> Nacrte je potrebno pregledati i ovjeriti od strane projektanta glavnog projekta.</t>
    </r>
  </si>
  <si>
    <r>
      <t xml:space="preserve">Izrada </t>
    </r>
    <r>
      <rPr>
        <b/>
        <sz val="10"/>
        <rFont val="Microsoft Sans Serif"/>
        <family val="2"/>
      </rPr>
      <t>radioničkih nacrta za stavku 1.</t>
    </r>
    <r>
      <rPr>
        <sz val="10"/>
        <rFont val="Microsoft Sans Serif"/>
        <family val="2"/>
      </rPr>
      <t xml:space="preserve"> Nacrte je potrebno pregledati i ovjeriti od strane projektanta glavnog projekta.</t>
    </r>
  </si>
  <si>
    <r>
      <t xml:space="preserve">Izrada </t>
    </r>
    <r>
      <rPr>
        <b/>
        <sz val="10"/>
        <rFont val="Microsoft Sans Serif"/>
        <family val="2"/>
      </rPr>
      <t>radioničkih nacrta za stavku 2.</t>
    </r>
    <r>
      <rPr>
        <sz val="10"/>
        <rFont val="Microsoft Sans Serif"/>
        <family val="2"/>
      </rPr>
      <t xml:space="preserve"> Nacrte je potrebno pregledati i ovjeriti od strane projektanta glavnog projekta.</t>
    </r>
  </si>
  <si>
    <r>
      <t xml:space="preserve">DOBAVA MATERIJALA I IZRADA </t>
    </r>
    <r>
      <rPr>
        <b/>
        <sz val="10"/>
        <rFont val="Microsoft Sans Serif"/>
        <family val="2"/>
      </rPr>
      <t xml:space="preserve">HORIZONTALNE HIDROIZOLACIJE  PODNE PLOČE PRIZEMLJA </t>
    </r>
    <r>
      <rPr>
        <sz val="10"/>
        <rFont val="Microsoft Sans Serif"/>
        <family val="2"/>
      </rPr>
      <t xml:space="preserve">POLAGANJEM  BITUMENSKIH TRAKA KVALITETE GV-4 × 2 sloja + HLADNI BITUMENSKI PREMAZ. DOBAVA I UGRADNJA PREMA TEHNOLOGIJI I UPUTI PROIZVOĐAČA S IZVEDBOM SVIH DETALJA SUKLADNO ZADANOJ TEHNOLOGIJI DOBAVLJAČA I PRAVILIMA STRUKE. </t>
    </r>
  </si>
  <si>
    <r>
      <t xml:space="preserve">DOBAVA MATERIJALA I IZRADA </t>
    </r>
    <r>
      <rPr>
        <b/>
        <sz val="10"/>
        <rFont val="Microsoft Sans Serif"/>
        <family val="2"/>
      </rPr>
      <t>VERTIKALNE HIDROIZOLACIJE</t>
    </r>
    <r>
      <rPr>
        <sz val="10"/>
        <rFont val="Microsoft Sans Serif"/>
        <family val="2"/>
      </rPr>
      <t xml:space="preserve"> POLAGANJEM BITUMENSKE TRAKE KVALITETE GV 4 + HLADNI BITUMENSKI PREMAZ + POTREBNA ZIDARSKA OBRADA ZAGLAĐIVANJEM PLOHE AB ZIDA + ČEPASTA MEMBRANA OD POLIETILENA VISOKE GUSTOĆE (HDPE), OTPORNA NA UDARCE + ZAŠTITNI SLOJ GEOTEKSTILA 300G/M</t>
    </r>
    <r>
      <rPr>
        <vertAlign val="superscript"/>
        <sz val="10"/>
        <rFont val="Microsoft Sans Serif"/>
        <family val="2"/>
      </rPr>
      <t>2</t>
    </r>
    <r>
      <rPr>
        <sz val="10"/>
        <rFont val="Microsoft Sans Serif"/>
        <family val="2"/>
      </rPr>
      <t>,</t>
    </r>
    <r>
      <rPr>
        <b/>
        <sz val="10"/>
        <rFont val="Microsoft Sans Serif"/>
        <family val="2"/>
      </rPr>
      <t xml:space="preserve"> ZIDOVI U TLU I</t>
    </r>
    <r>
      <rPr>
        <sz val="10"/>
        <rFont val="Microsoft Sans Serif"/>
        <family val="2"/>
      </rPr>
      <t xml:space="preserve"> </t>
    </r>
    <r>
      <rPr>
        <b/>
        <sz val="10"/>
        <rFont val="Microsoft Sans Serif"/>
        <family val="2"/>
      </rPr>
      <t>PO PODNOŽNOM OBODU GRAĐEVINE - KONTAKT S TLOM.</t>
    </r>
    <r>
      <rPr>
        <sz val="10"/>
        <rFont val="Microsoft Sans Serif"/>
        <family val="2"/>
      </rPr>
      <t xml:space="preserve"> UKLJUČIVO SAV RAD I MATERIJAL DO POTUPNE GOTOVOSTI.</t>
    </r>
  </si>
  <si>
    <r>
      <t>GEOTEKSTIL 300 G/M</t>
    </r>
    <r>
      <rPr>
        <vertAlign val="superscript"/>
        <sz val="10"/>
        <rFont val="Microsoft Sans Serif"/>
        <family val="2"/>
      </rPr>
      <t xml:space="preserve">2 </t>
    </r>
  </si>
  <si>
    <r>
      <t xml:space="preserve">POVRŠINSKO STROJNO </t>
    </r>
    <r>
      <rPr>
        <b/>
        <sz val="10"/>
        <rFont val="Microsoft Sans Serif"/>
        <family val="2"/>
      </rPr>
      <t>UKLANJANJE HUMUSNOG SLOJA ZEMLJE</t>
    </r>
    <r>
      <rPr>
        <sz val="10"/>
        <rFont val="Microsoft Sans Serif"/>
        <family val="2"/>
      </rPr>
      <t xml:space="preserve"> S DIJELA PARCELE. UKLANJA SE SLOJ U DEBLJINI OD 10 CM DO 20 CM. UKLONJENI MATERIJAL SE DEPONIRA NA GRADILIŠTU DO PONOVNOG RAZASTIRANJA I NIVELIRANJA TERENA NA PROJEKTIRANU KOTU.</t>
    </r>
  </si>
  <si>
    <r>
      <t xml:space="preserve">NASIPAVANJE, RAZASTIRANJE I NABIJANJE ZEMLJE U ROVOVE OD ŠIROKOG ISKOPA OKO GRAĐEVINE NA PROJEKTIRANU KOTU. </t>
    </r>
    <r>
      <rPr>
        <sz val="10"/>
        <rFont val="Microsoft Sans Serif"/>
        <family val="2"/>
      </rPr>
      <t>NASIPAVANJE SE VRŠI U SLOJEVIMA OD MAX 30 CM.  NABIJANJE ZEMLJE JE STROJNO UZ VLAŽENJE. KORISTITI ZEMLJU PREOSTALU OD ISKOPA.</t>
    </r>
  </si>
  <si>
    <r>
      <t xml:space="preserve">PRIPREMA ZEMLJANE PODLOGE PARCELE  ZA HUMUSNI SLOJ. </t>
    </r>
    <r>
      <rPr>
        <sz val="10"/>
        <rFont val="Microsoft Sans Serif"/>
        <family val="2"/>
      </rPr>
      <t>ČIŠĆENJE KOMPLETNOG BUDUĆEG OZELENJENOG TERENA NA ČESTICI OD ŠUTE I OSTATAKA OD MATERIJALA OD GRADNJE, PLANIRANJE NA PROJEKTIRANU KOTU I GRUBO I FINO RAHLJENJE TLA NA PARCELI I ČIŠĆENJE TERENA OD OSTATAKA TVRDOG MATERIJALA.</t>
    </r>
  </si>
  <si>
    <r>
      <t xml:space="preserve">RAZASTIRANJE HUMUSNOG SLOJA </t>
    </r>
    <r>
      <rPr>
        <sz val="10"/>
        <rFont val="Microsoft Sans Serif"/>
        <family val="2"/>
      </rPr>
      <t>DO PROJEKTIRANE KOTE TLA</t>
    </r>
    <r>
      <rPr>
        <b/>
        <sz val="10"/>
        <rFont val="Microsoft Sans Serif"/>
        <family val="2"/>
      </rPr>
      <t xml:space="preserve"> </t>
    </r>
    <r>
      <rPr>
        <sz val="10"/>
        <rFont val="Microsoft Sans Serif"/>
        <family val="2"/>
      </rPr>
      <t>S TOLERANCIJOM OD 2 CM NA OZELENJENI DIO PARCELE</t>
    </r>
    <r>
      <rPr>
        <b/>
        <sz val="10"/>
        <rFont val="Microsoft Sans Serif"/>
        <family val="2"/>
      </rPr>
      <t xml:space="preserve">.  </t>
    </r>
    <r>
      <rPr>
        <sz val="10"/>
        <rFont val="Microsoft Sans Serif"/>
        <family val="2"/>
      </rPr>
      <t>KORISTITI HUMUSNI SLOJ DEPONIRAN NA GRADILIŠTU.</t>
    </r>
  </si>
  <si>
    <r>
      <t>UTOVAR,</t>
    </r>
    <r>
      <rPr>
        <b/>
        <sz val="10"/>
        <rFont val="Microsoft Sans Serif"/>
        <family val="2"/>
      </rPr>
      <t xml:space="preserve"> </t>
    </r>
    <r>
      <rPr>
        <sz val="10"/>
        <rFont val="Microsoft Sans Serif"/>
        <family val="2"/>
      </rPr>
      <t xml:space="preserve">ODVOZ I ISTOVAR SVE </t>
    </r>
    <r>
      <rPr>
        <b/>
        <sz val="10"/>
        <rFont val="Microsoft Sans Serif"/>
        <family val="2"/>
      </rPr>
      <t xml:space="preserve">SUVIŠNE ZEMLJE S GRADILIŠTA </t>
    </r>
    <r>
      <rPr>
        <sz val="10"/>
        <rFont val="Microsoft Sans Serif"/>
        <family val="2"/>
      </rPr>
      <t>NA GRADSKU PLANIRKU</t>
    </r>
    <r>
      <rPr>
        <b/>
        <sz val="10"/>
        <rFont val="Microsoft Sans Serif"/>
        <family val="2"/>
      </rPr>
      <t xml:space="preserve"> </t>
    </r>
    <r>
      <rPr>
        <sz val="10"/>
        <rFont val="Microsoft Sans Serif"/>
        <family val="2"/>
      </rPr>
      <t xml:space="preserve">UZ PLAĆANJE KOMUNALNE NAKNADE. </t>
    </r>
  </si>
  <si>
    <r>
      <rPr>
        <b/>
        <sz val="10"/>
        <rFont val="Microsoft Sans Serif"/>
        <family val="2"/>
      </rPr>
      <t>DEMONTAŽA I UKLANJANJE ELEKTRIČNIH INSTALACIJA</t>
    </r>
    <r>
      <rPr>
        <sz val="10"/>
        <rFont val="Microsoft Sans Serif"/>
        <family val="2"/>
      </rPr>
      <t xml:space="preserve">, RASVJETNIH TIJELA, I SVIH OSTALIH EL. IZVODA, PREKIDAČA I SL.  UKLANJANJE SVIH RAZVODA SLABE I JAKE STRUJE STRUJE U POSTOJEĆOJ GRAĐEVINI. U CIJENI SVI EVENTUALNI POPRATNI  GRAĐEVINSKI RADOVI NUŽNI ZA UKLANJANJE. </t>
    </r>
  </si>
  <si>
    <r>
      <t xml:space="preserve">OTPAJANJE </t>
    </r>
    <r>
      <rPr>
        <b/>
        <sz val="10"/>
        <rFont val="Microsoft Sans Serif"/>
        <family val="2"/>
      </rPr>
      <t xml:space="preserve">DEMONTAŽA I UKLANJANJE SANITARNIH UREĐAJA I OPREME, UKLANJANJE INSTALACIJSKIH RAZVODA VODOVODA I KANALIZACIJE I ARMATURA </t>
    </r>
    <r>
      <rPr>
        <sz val="10"/>
        <rFont val="Microsoft Sans Serif"/>
        <family val="2"/>
      </rPr>
      <t xml:space="preserve"> UZ SVE EVENTUALNE POPRATNE  GRAĐEVINSKE I OBRTNIČKE RADOVE.</t>
    </r>
  </si>
  <si>
    <r>
      <rPr>
        <b/>
        <sz val="10"/>
        <rFont val="Microsoft Sans Serif"/>
        <family val="2"/>
      </rPr>
      <t>STROJNO/RUČNO RUŠENJE I UKLANJANJE SVIH PODNIH KONSTRUKCIJA PODOVA NA TLU,</t>
    </r>
    <r>
      <rPr>
        <sz val="10"/>
        <rFont val="Microsoft Sans Serif"/>
        <family val="2"/>
      </rPr>
      <t xml:space="preserve"> UKLJUČIVO S  ZAVRŠNIM SLOJEM PODNE OBLOGE. </t>
    </r>
  </si>
  <si>
    <r>
      <rPr>
        <b/>
        <sz val="10"/>
        <rFont val="Microsoft Sans Serif"/>
        <family val="2"/>
      </rPr>
      <t xml:space="preserve">DEMONTAŽA, RUŠENJE I UKLANJANJE KLASIČNE DRVENE KONSTRUKCIJE KROVIŠTA </t>
    </r>
    <r>
      <rPr>
        <sz val="10"/>
        <rFont val="Microsoft Sans Serif"/>
        <family val="2"/>
      </rPr>
      <t xml:space="preserve">- OBRAČUN PO TLOCRTNOJ PROJEKCIJI KROVIŠTA. </t>
    </r>
  </si>
  <si>
    <r>
      <rPr>
        <b/>
        <sz val="10"/>
        <rFont val="Microsoft Sans Serif"/>
        <family val="2"/>
      </rPr>
      <t xml:space="preserve">RAZGRADNJA, RUŠENJE I UKLANJANJE ZIDANIH DIMNJAKA, </t>
    </r>
    <r>
      <rPr>
        <sz val="10"/>
        <rFont val="Microsoft Sans Serif"/>
        <family val="2"/>
      </rPr>
      <t>PO ETAPAMA (ETAŽAMA). SKELA ZA RAD I PRIHVAT U CIJENI.</t>
    </r>
  </si>
  <si>
    <r>
      <t>M</t>
    </r>
    <r>
      <rPr>
        <vertAlign val="superscript"/>
        <sz val="10"/>
        <rFont val="Microsoft Sans Serif"/>
        <family val="2"/>
      </rPr>
      <t>1</t>
    </r>
  </si>
  <si>
    <r>
      <rPr>
        <b/>
        <sz val="10"/>
        <rFont val="Microsoft Sans Serif"/>
        <family val="2"/>
      </rPr>
      <t>RAZBIJANJE, RUŠENJE I UKLANJANJE MEĐUKATNIH KONSTRUKCIJA NA DRVENIM GREDNICIMA UKLJUČIVO SA ZAVRŠNIM PODNIM OBLOGAMA (DASKA)</t>
    </r>
    <r>
      <rPr>
        <sz val="10"/>
        <rFont val="Microsoft Sans Serif"/>
        <family val="2"/>
      </rPr>
      <t>. SKELA ZA RAD I PRIHVAT U CIJENI. OBRAČUN PO TLOCRTNOJ POVRŠINI STROPA.</t>
    </r>
  </si>
  <si>
    <r>
      <rPr>
        <b/>
        <sz val="10"/>
        <rFont val="Microsoft Sans Serif"/>
        <family val="2"/>
      </rPr>
      <t>ČIŠĆENJE, IZRAVNAVANJE I SANACIJA TERENA ISPOD I OKO GRAĐEVINE</t>
    </r>
    <r>
      <rPr>
        <sz val="10"/>
        <rFont val="Microsoft Sans Serif"/>
        <family val="2"/>
      </rPr>
      <t>.</t>
    </r>
  </si>
  <si>
    <r>
      <rPr>
        <b/>
        <sz val="10"/>
        <rFont val="Microsoft Sans Serif"/>
        <family val="2"/>
      </rPr>
      <t>UTOVAR, ODVOZ I ISTOVAR I ODLAGANJE SVOG MATERIJALA NASTALOG OD DEMONTAŽE I RUŠENJA IZ PRETHODNIH STAVAKA,</t>
    </r>
    <r>
      <rPr>
        <sz val="10"/>
        <rFont val="Microsoft Sans Serif"/>
        <family val="2"/>
      </rPr>
      <t xml:space="preserve"> TE ZBRINJAVANJE GRAĐEVINSKOG OTPADA SUKLADNO PROPISIMA.</t>
    </r>
  </si>
  <si>
    <t>POKRIVAČKI UKUPNO</t>
  </si>
  <si>
    <t>STOLARSKI UKUPNO</t>
  </si>
  <si>
    <t>UNUTARNJA STOLARIJA</t>
  </si>
  <si>
    <t>VANJSKA STOLARIJA</t>
  </si>
  <si>
    <t>OPĆI UVJETI UZ STOLARSKE RADOVE</t>
  </si>
  <si>
    <t xml:space="preserve">4   Ugraditi stolariju u predviđenom roku i prema pravilima struke. </t>
  </si>
  <si>
    <t xml:space="preserve">Certifikat
Dobavljač će izdati certifikat kojim izjavljuje da dovršeni sustav u svemu odgovara tender dokumentaciji, da su komponente pravilno projektirane za aplikaciju i da način njihove ugradbe odgovara proizvođačevim uputstvima.
</t>
  </si>
  <si>
    <t>PANIK OKOV</t>
  </si>
  <si>
    <t xml:space="preserve">  ZAVRŠNI ZIDARSKI UKUPNO</t>
  </si>
  <si>
    <r>
      <t xml:space="preserve">DOBAVA MATERIJALA I </t>
    </r>
    <r>
      <rPr>
        <b/>
        <sz val="10"/>
        <rFont val="Microsoft Sans Serif"/>
        <family val="2"/>
      </rPr>
      <t>IZRADA SLOJA CEMENTNOG ESTRIHA NA POLOŽENE SLOJEVE</t>
    </r>
    <r>
      <rPr>
        <sz val="10"/>
        <rFont val="Microsoft Sans Serif"/>
        <family val="2"/>
      </rPr>
      <t xml:space="preserve"> OD EPS-T DEBLJINE 2 CM I PE FOLIJE KOJI SU U CIJENI. POLISTIREN I PE FOLIJU PODIĆI PO VERTIKALI UZ ZIDOVE. </t>
    </r>
  </si>
  <si>
    <r>
      <t>Estrih je armiran mrežom 4 mm, okna 10 x 10 cm, u sredini sloja ili sintetskim vlaknima prema uputama proizvođača! Mješavina kamenog agregata 0-8 mm (frakcija 0 – 4 mm ne više od 60 %) sa količinom cementa do 380 kg/m</t>
    </r>
    <r>
      <rPr>
        <vertAlign val="superscript"/>
        <sz val="10"/>
        <rFont val="Microsoft Sans Serif"/>
        <family val="2"/>
      </rPr>
      <t>3</t>
    </r>
    <r>
      <rPr>
        <sz val="10"/>
        <rFont val="Microsoft Sans Serif"/>
        <family val="2"/>
      </rPr>
      <t xml:space="preserve"> ili gotova industrijski pripremljena smjesa.</t>
    </r>
  </si>
  <si>
    <r>
      <t>ČIŠĆENJE OBJEKTA I GRADILIŠTA</t>
    </r>
    <r>
      <rPr>
        <sz val="10"/>
        <rFont val="Microsoft Sans Serif"/>
        <family val="2"/>
      </rPr>
      <t xml:space="preserve"> U TOKU IZVOĐENJA RADOVA I </t>
    </r>
    <r>
      <rPr>
        <b/>
        <sz val="10"/>
        <rFont val="Microsoft Sans Serif"/>
        <family val="2"/>
      </rPr>
      <t>ZAVRŠNO FINO ČIŠĆENJE</t>
    </r>
    <r>
      <rPr>
        <sz val="10"/>
        <rFont val="Microsoft Sans Serif"/>
        <family val="2"/>
      </rPr>
      <t xml:space="preserve"> GRADILIŠTA I PRANJE GRAĐEVINE NAKON DOVRŠETKA GRADNJE I PREDAJE NA KORIŠTENJE INVESTIORU, SA ODVOZOM ŠUTE I SMEĆA NA GRADSKI DEPONIJ UZ PLAĆANJE KOMUNALNE NAKNADE.</t>
    </r>
  </si>
  <si>
    <r>
      <t>DOBAVA MATERIJALA I</t>
    </r>
    <r>
      <rPr>
        <b/>
        <sz val="10"/>
        <rFont val="Microsoft Sans Serif"/>
        <family val="2"/>
      </rPr>
      <t xml:space="preserve"> IZRADA GIPSKARTONSKOG PREGRADNOG ZIDA DEBLJINE D=10 CM.</t>
    </r>
    <r>
      <rPr>
        <sz val="10"/>
        <rFont val="Microsoft Sans Serif"/>
        <family val="2"/>
      </rPr>
      <t xml:space="preserve"> ZID OBOSTRANO DVOSTRUKO OBLOŽEN G.K. PLOČOM D=1,25 CM SA SLOJEM IZOLACIJE OD MINERALNE VUNE, D= 4 CM. U CIJENU URAČUNATI I IZRADU OTVORA ZA UGRADBU VRATA TE KOMPLET BANDAŽIRANJE SPOJEVA I GLETANJE S BRUŠENJEM  I IMPREGNACIJOM DO PODLOGE SPREMNE ZA BOJANJE. MAX VISINA ZIDA 320 CM.</t>
    </r>
  </si>
  <si>
    <r>
      <t>DOBAVA MATERIJALA I</t>
    </r>
    <r>
      <rPr>
        <b/>
        <sz val="10"/>
        <rFont val="Microsoft Sans Serif"/>
        <family val="2"/>
      </rPr>
      <t xml:space="preserve"> IZRADA GIPSKARTONSKOG PREGRADNOG VATROOTPORNOG ZIDA F60  DEBLJINE D=15 CM</t>
    </r>
    <r>
      <rPr>
        <sz val="10"/>
        <rFont val="Microsoft Sans Serif"/>
        <family val="2"/>
      </rPr>
      <t xml:space="preserve"> SA SVIM SLOJEVIMA DANIM OD DOBAVLJAČA SUSTAVA DO TRAŽENE RAZINE VATROOTPORNOSTI. U CIJENU URAČUNATI I IZRADU OTVORA ZA UGRADBU VRATA TE KOMPLET BANDAŽIRANJE SPOJEVA I GLETANJE S BRUŠENJEM DO PODLOGE SPREMNE ZA BOJANJE. MAX VISINA ZIDA 300 CM. U CIJENI JE I DOSTAVA ATESTA OD STRANE PROIZVOĐAČA SUSTAVA ZA TRAŽENU RAZINU VATROOTPORNOSTI.</t>
    </r>
  </si>
  <si>
    <r>
      <t xml:space="preserve">DOBAVA MATERIJALA I </t>
    </r>
    <r>
      <rPr>
        <b/>
        <sz val="10"/>
        <rFont val="Microsoft Sans Serif"/>
        <family val="2"/>
      </rPr>
      <t>IZRADA SPUŠTENIH STROPOVA OD PUNIH  G.K. PLOČA D=1,25 CM NA POCINČANOJ PODKONSTRUKCIJI</t>
    </r>
    <r>
      <rPr>
        <sz val="10"/>
        <rFont val="Microsoft Sans Serif"/>
        <family val="2"/>
      </rPr>
      <t xml:space="preserve">. </t>
    </r>
    <r>
      <rPr>
        <sz val="10"/>
        <color indexed="8"/>
        <rFont val="Microsoft Sans Serif"/>
        <family val="2"/>
      </rPr>
      <t>U CIJENU URAČUNATI I IZRADU OTVORA ZA UGRADNJU RASVJETE, VENT. REŠETKI I OSTALIH INST. IZVODA,  TE KOMPLET BANDAŽIRANJE SPOJEVA I GLETANJE S BRUŠENJEM I IMPREGNACIJOM DO PODLOGE SPREMNE ZA BOJANJE. VISINA VJEŠANJA DO 125 CM. REVIZIJSKA OKNA DODATNO PO OBRAČUNU.</t>
    </r>
  </si>
  <si>
    <r>
      <t>m</t>
    </r>
    <r>
      <rPr>
        <vertAlign val="superscript"/>
        <sz val="10"/>
        <rFont val="Microsoft Sans Serif"/>
        <family val="2"/>
      </rPr>
      <t>2</t>
    </r>
    <r>
      <rPr>
        <sz val="10"/>
        <rFont val="Microsoft Sans Serif"/>
        <family val="2"/>
      </rPr>
      <t xml:space="preserve">  </t>
    </r>
  </si>
  <si>
    <t>GIPSARSKI RADOVI UKUPNO</t>
  </si>
  <si>
    <t>Toplinska izolacija debljine 50 mm - izolacija postojećeg uličnog zida (sa unutarnje strane)</t>
  </si>
  <si>
    <r>
      <t>Toplinska izolacija se izvodi kaširanom kamenom vunom s crnim voalom. λ&lt; 0,035 W/m</t>
    </r>
    <r>
      <rPr>
        <vertAlign val="superscript"/>
        <sz val="10"/>
        <rFont val="Microsoft Sans Serif"/>
        <family val="2"/>
      </rPr>
      <t>2</t>
    </r>
    <r>
      <rPr>
        <sz val="10"/>
        <rFont val="Microsoft Sans Serif"/>
        <family val="2"/>
      </rPr>
      <t xml:space="preserve">K. Vuna se polaže između potkonstrukcije, a učvršćuje se plastičnim pričvrsnicama sa širokom glavom, u broju prema preporuci odabranog proizvođača. PVC pričvrsnice 6-8 kom/m². </t>
    </r>
  </si>
  <si>
    <t xml:space="preserve">  RADOVI NA PROČELJU UKUPNO</t>
  </si>
  <si>
    <r>
      <t xml:space="preserve">DOBAVA MATERIJALA I </t>
    </r>
    <r>
      <rPr>
        <b/>
        <sz val="10"/>
        <rFont val="Microsoft Sans Serif"/>
        <family val="2"/>
      </rPr>
      <t xml:space="preserve">POLAGANJE PODNIH KERAMIČKIH PLOČICA DIMENZIJA, OBRADE  I BOJE PREMA ODABIRU PROJEKTANTA IZ PONUDE DOBAVLJAČA. </t>
    </r>
    <r>
      <rPr>
        <sz val="10"/>
        <rFont val="Microsoft Sans Serif"/>
        <family val="2"/>
      </rPr>
      <t>PLOČICE SE POLAŽU LJEPLJENJEM FLEKSIBILNIM CEMENTNIM LJEPILOM NA PRETHODNO IZVEDENI SLOJ ESTRIHA. REŠKE MORAJU TEĆI KONTINUIRANO KROZ PROSTORIJE. REŠKE DEBLJINE MAX 1 MM. STAVKA OBUHVAĆA SAV RAD SA SVIM POTREBNIM PREDRADNJAMA, POMOĆNIM MATERIJALOM I PRIBOROM TE FUGIRANJEM U BOJI PO IZBORU. U STAVCI SILIKONIRANJE RUBNIH SPOJEVA ZIDOVA I PODOVA SILIKONSKOM MASOM U BOJI PLOČICA. TON I OBRADA PLOČICA  PO IZBORU PROJEKTANTA IZ PONUDE DOBAVLJAČA.</t>
    </r>
  </si>
  <si>
    <r>
      <t xml:space="preserve">DOBAVA MATERIJALA I </t>
    </r>
    <r>
      <rPr>
        <b/>
        <sz val="10"/>
        <rFont val="Microsoft Sans Serif"/>
        <family val="2"/>
      </rPr>
      <t xml:space="preserve">POLAGANJE ZIDNIH KERAMIČKIH PLOČICA, </t>
    </r>
    <r>
      <rPr>
        <sz val="10"/>
        <rFont val="Microsoft Sans Serif"/>
        <family val="2"/>
      </rPr>
      <t>VODOUPOJNOSTI 0.5 &lt; E = 3 %. PLOČICE SE POLAŽU LJEPLJENJEM FLEKSIBILNIM CEMENTNIM LJEPILOM NA PRETHODNO IZVEDENI G.K. ILI ŽBUKANI ZID. REŠKE MORAJU TEĆI KONTINUIRANO KROZ PROSTORIJE. REŠKE DEBLJINE MAX 1 MM. PLOČICE CIJENOVNI RAZRED CCA 150 KN/M</t>
    </r>
    <r>
      <rPr>
        <vertAlign val="superscript"/>
        <sz val="10"/>
        <rFont val="Microsoft Sans Serif"/>
        <family val="2"/>
      </rPr>
      <t>2</t>
    </r>
    <r>
      <rPr>
        <sz val="10"/>
        <rFont val="Microsoft Sans Serif"/>
        <family val="2"/>
      </rPr>
      <t>. STAVKA OBUHVAĆA SAV RAD SA SVIM POTREBNIM PREDRADNJAMA, POMOĆNIM MATERIJALOM I PRIBOROM TE FUGIRANJEM U BOJI PO IZBORU. U STAVCI SILIKONIRANJE RUBNIH SPOJEVA ZIDOVA SILIKONSKOM MASOM U BOJI PLOČICA I POLAGANJE PVC RUBNIH PROFILA NA KONVEKSNIM UGLOVIMA. TON I OBRADA PLOČICA  PO IZBORU PROJEKTANTA IZ PONUDE DOBAVLJAČA. U CIJENI KOMPLETAN MATERIJAL I RAD.</t>
    </r>
  </si>
  <si>
    <r>
      <t xml:space="preserve">DOBAVA MATERIJALA I </t>
    </r>
    <r>
      <rPr>
        <b/>
        <sz val="10"/>
        <rFont val="Microsoft Sans Serif"/>
        <family val="2"/>
      </rPr>
      <t xml:space="preserve">MONTAŽA RUBNIH ALU PROFILA </t>
    </r>
    <r>
      <rPr>
        <sz val="10"/>
        <rFont val="Microsoft Sans Serif"/>
        <family val="2"/>
      </rPr>
      <t>NA SPOJEVIMA DRUGIH PODNIH OBLOGA UNUTAR GRAĐEVINE S OBLOGOM OD KER. PLOČICA. KORISTITI STANDARDNI ALU PROFIL 4/1/0,2 CM.</t>
    </r>
  </si>
  <si>
    <r>
      <t xml:space="preserve">DOBAVA MATERIJALA I </t>
    </r>
    <r>
      <rPr>
        <b/>
        <sz val="10"/>
        <rFont val="Microsoft Sans Serif"/>
        <family val="2"/>
      </rPr>
      <t>UGRADNJA ŠINE I KLIZNOG PLASTIFICIRANOG ZASTORA ZA TUŠ KABINU</t>
    </r>
    <r>
      <rPr>
        <sz val="10"/>
        <rFont val="Microsoft Sans Serif"/>
        <family val="2"/>
      </rPr>
      <t>.</t>
    </r>
  </si>
  <si>
    <t>KERAMIČARSKI UKUPNO</t>
  </si>
  <si>
    <t>SOBOSLIKARSKI UKUPNO</t>
  </si>
  <si>
    <r>
      <t xml:space="preserve">DOBAVA MATERIJALA, PRIPREMNE RADNJE I </t>
    </r>
    <r>
      <rPr>
        <b/>
        <sz val="10"/>
        <rFont val="Microsoft Sans Serif"/>
        <family val="2"/>
      </rPr>
      <t xml:space="preserve">LIČENJE ZIDOVA POLUDIPERZIJSKOM BOJOM. </t>
    </r>
    <r>
      <rPr>
        <sz val="10"/>
        <rFont val="Microsoft Sans Serif"/>
        <family val="2"/>
      </rPr>
      <t>KOMPLET S PRIPREMOM OŽBUKANE PODLOGE ILI NA PRIPREMLJENU PODLOGU OD G/K PLOČA. PRIPREMA PODLOGE OBUHVAĆA SLIJEDEĆE: OTPRAŠIVANJE I GLETANJA, BRUŠENJE I OTPRAŠIVANJE</t>
    </r>
    <r>
      <rPr>
        <b/>
        <sz val="10"/>
        <rFont val="Microsoft Sans Serif"/>
        <family val="2"/>
      </rPr>
      <t xml:space="preserve">. </t>
    </r>
    <r>
      <rPr>
        <sz val="10"/>
        <rFont val="Microsoft Sans Serif"/>
        <family val="2"/>
      </rPr>
      <t>LIČENJE U POTREBNOM BROJU PREMAZA (NAJMANJE DVA) DO POTPUNOG PREKRIVANJA PODLOGE.</t>
    </r>
  </si>
  <si>
    <r>
      <t xml:space="preserve">DOBAVA MATERIJALA I </t>
    </r>
    <r>
      <rPr>
        <b/>
        <sz val="10"/>
        <rFont val="Microsoft Sans Serif"/>
        <family val="2"/>
      </rPr>
      <t xml:space="preserve">POLAGANJE OTIRAČA U PROSTORU VJETROBRANA. </t>
    </r>
    <r>
      <rPr>
        <sz val="10"/>
        <rFont val="Microsoft Sans Serif"/>
        <family val="2"/>
      </rPr>
      <t>OTIRAČ NEUGIBLJIVI, PRILAGOĐEN PROLASKU INVALIDNIH OSOBA U KOLICIMA, S POPREČNIM ALU LETVICAMA. SVE U SKLADU S UPUTAMA PROIZVOĐAČA PONUĐENOG SUSTAVA. ODABIR TONA I TIPA OTIRAČA PO ODOBRENJU PROJEKTANTA.</t>
    </r>
  </si>
  <si>
    <t>PODOPOLAGAČKI UKUPNO</t>
  </si>
  <si>
    <t>ISPITIVANJA UKUPNO</t>
  </si>
  <si>
    <r>
      <t xml:space="preserve">Angažiranje svih potrebnih uređaja, opreme i sredstava te </t>
    </r>
    <r>
      <rPr>
        <b/>
        <sz val="10"/>
        <rFont val="Microsoft Sans Serif"/>
        <family val="2"/>
      </rPr>
      <t xml:space="preserve">provođenje ispitivanja i mjerenja postignute razine zvučne izolacija pregrada u zgradi </t>
    </r>
    <r>
      <rPr>
        <sz val="10"/>
        <rFont val="Microsoft Sans Serif"/>
        <family val="2"/>
      </rPr>
      <t xml:space="preserve">od strane akreditiranog izvršitelja (laboratorija) uz izdavanje izvještaja o ispitivanju. </t>
    </r>
  </si>
  <si>
    <r>
      <t xml:space="preserve">Angažiranje svih potrebnih uređaja, opreme i sredstava te </t>
    </r>
    <r>
      <rPr>
        <b/>
        <sz val="10"/>
        <rFont val="Microsoft Sans Serif"/>
        <family val="2"/>
      </rPr>
      <t xml:space="preserve">provođenje ispitivanja i mjerenja stvarne razine buke ugrađenih vanjskih uređaja i opreme na granici čestice </t>
    </r>
    <r>
      <rPr>
        <sz val="10"/>
        <rFont val="Microsoft Sans Serif"/>
        <family val="2"/>
      </rPr>
      <t xml:space="preserve">od strane akreditiranog izvršitelja (laboratorija) uz izdavanje izvještaja o ispitivanju. </t>
    </r>
  </si>
  <si>
    <t>GRAĐEVINSKI I OBRTNIČKI RADOVI</t>
  </si>
  <si>
    <t>SVEUKUPNO:</t>
  </si>
  <si>
    <t>Opis radova</t>
  </si>
  <si>
    <t>REKAPITULACIJA GRAĐEVINSKIH I OBRTNIČKIH RADOVA</t>
  </si>
  <si>
    <t>UKUPNO NETO GRAĐEVINSKI I OBRTNIČKI:</t>
  </si>
  <si>
    <r>
      <rPr>
        <b/>
        <sz val="10"/>
        <rFont val="Microsoft Sans Serif"/>
        <family val="2"/>
      </rPr>
      <t>DEMONTAŽA I UKLANJANJE KROVNOG POKROVA OD GLINENOG CRIJEPA</t>
    </r>
    <r>
      <rPr>
        <sz val="10"/>
        <rFont val="Microsoft Sans Serif"/>
        <family val="2"/>
      </rPr>
      <t>. UKLJUČIVO SVE LIMARSKE ELEMENTE OPŠAVA I KROVNE ODVODNJE. PLATFORMA ZA RAD I PRIHVAT U CIJENI. OBRAČUN PO M2 KROVA.</t>
    </r>
  </si>
  <si>
    <r>
      <rPr>
        <b/>
        <sz val="10"/>
        <rFont val="Microsoft Sans Serif"/>
        <family val="2"/>
      </rPr>
      <t xml:space="preserve">RUČNO I STROJNO RUŠENJE I UKLANJANJE ZIDANIH NOSIVIH I PREGRADNIH ZIDOVA PRIZEMLJA, 1. KATA I POTKROVLJA, </t>
    </r>
    <r>
      <rPr>
        <sz val="10"/>
        <rFont val="Microsoft Sans Serif"/>
        <family val="2"/>
      </rPr>
      <t>UKLJUČIVO DRVENE ELEMENTE NADVOJA I SL. SKELA ZA RAD I PRIHVAT U CIJENI. OBRAČUN PO TLOCRTNOJ POVRŠINI ETAŽA.</t>
    </r>
  </si>
  <si>
    <r>
      <t xml:space="preserve">STROJNI ŠIROKI ISKOP ZEMLJE B KATEGORIJE </t>
    </r>
    <r>
      <rPr>
        <sz val="10"/>
        <rFont val="Microsoft Sans Serif"/>
        <family val="2"/>
      </rPr>
      <t xml:space="preserve">NA KOTI TERENA. MIN DUBINA ISKOPA 1 M ODNOSNO DO KOTE DNA TEMELJA POSTOJEĆE ZGRADE.
STAVKA UKLJUČUJE </t>
    </r>
    <r>
      <rPr>
        <b/>
        <sz val="10"/>
        <rFont val="Microsoft Sans Serif"/>
        <family val="2"/>
      </rPr>
      <t xml:space="preserve">ISKOP PRIJE UKLANJANJA DIJELA ZGRADE </t>
    </r>
    <r>
      <rPr>
        <sz val="10"/>
        <rFont val="Microsoft Sans Serif"/>
        <family val="2"/>
      </rPr>
      <t xml:space="preserve">(UNUTAR POSTOJEĆIH PROSTORIJA UZ ULIČNO PROČELJA) DO KOTE DNA AB TEMELJNE KONSTRUKCIJE (MINIMALNO 1 M ODNOSNO DO KOTE DNA TEMELJA POSTOJEĆE ZGRADE) NADZEMNE ČELIČNE KONSTRUKCIJE ZA STABILIZACIJU I PRIDRŽANJE POSTOJEĆEG ULIČNOG PROČELJA KOJE SE ZADRŽAVA. UKLONJENI MATERIJAL SE DEPONIRA NA GRADILIŠTU DO PONOVNOG RAZASTIRANJA I NIVELIRANJA TERENA NA PROJEKTIRANU KOTU. </t>
    </r>
  </si>
  <si>
    <r>
      <t xml:space="preserve">DOBAVA MATERIJALA I </t>
    </r>
    <r>
      <rPr>
        <b/>
        <sz val="10"/>
        <rFont val="Microsoft Sans Serif"/>
        <family val="2"/>
      </rPr>
      <t>BETONIRANJE</t>
    </r>
    <r>
      <rPr>
        <sz val="10"/>
        <rFont val="Microsoft Sans Serif"/>
        <family val="2"/>
      </rPr>
      <t xml:space="preserve"> </t>
    </r>
    <r>
      <rPr>
        <b/>
        <sz val="10"/>
        <rFont val="Microsoft Sans Serif"/>
        <family val="2"/>
      </rPr>
      <t xml:space="preserve">PODLOŽNOG BETONA ISPOD TEMELJNE KONSTRUKCIJE ČELIČNE KONSTRUKCIJE ZA PRIDRŽANJE POSTOJEĆEG ULIČNOG PROČELJA KOJE SE ZADRŽAVA U POSTOJEĆEM STANJU. </t>
    </r>
    <r>
      <rPr>
        <sz val="10"/>
        <rFont val="Microsoft Sans Serif"/>
        <family val="2"/>
      </rPr>
      <t>BETONIRANJE SE VRŠI BETONOM KVALITETE NE MANJE OD C 12/15, KLASE B.II U DEBLJINI MIN 5 CM. U CIJENU STAVKE URAČUNAT JE SAV POTREBAN MATERIJAL, NJEGOVA DOBAVA I UGRADNJA, TE OPLATA.</t>
    </r>
  </si>
  <si>
    <r>
      <t xml:space="preserve">DOBAVA MATERIJALA I </t>
    </r>
    <r>
      <rPr>
        <b/>
        <sz val="10"/>
        <rFont val="Microsoft Sans Serif"/>
        <family val="2"/>
      </rPr>
      <t>BETONIRANJE</t>
    </r>
    <r>
      <rPr>
        <sz val="10"/>
        <rFont val="Microsoft Sans Serif"/>
        <family val="2"/>
      </rPr>
      <t xml:space="preserve"> </t>
    </r>
    <r>
      <rPr>
        <b/>
        <sz val="10"/>
        <rFont val="Microsoft Sans Serif"/>
        <family val="2"/>
      </rPr>
      <t xml:space="preserve">PODLOŽNOG BETONA ISPOD TRAKASTIH TEMELJA GRAĐEVINE. </t>
    </r>
    <r>
      <rPr>
        <sz val="10"/>
        <rFont val="Microsoft Sans Serif"/>
        <family val="2"/>
      </rPr>
      <t>BETONIRANJE SE VRŠI BETONOM KVALITETE NE MANJE OD C 12/15, KLASE B.II U DEBLJINI MIN 5 CM. U CIJENU STAVKE URAČUNAT JE SAV POTREBAN MATERIJAL, NJEGOVA DOBAVA I UGRADNJA, TE OPLATA.</t>
    </r>
  </si>
  <si>
    <t>RUBNE OPLATE</t>
  </si>
  <si>
    <r>
      <t xml:space="preserve">DOBAVA MATERIJALA I </t>
    </r>
    <r>
      <rPr>
        <b/>
        <sz val="10"/>
        <rFont val="Microsoft Sans Serif"/>
        <family val="2"/>
      </rPr>
      <t>BETONIRANJE</t>
    </r>
    <r>
      <rPr>
        <sz val="10"/>
        <rFont val="Microsoft Sans Serif"/>
        <family val="2"/>
      </rPr>
      <t xml:space="preserve"> </t>
    </r>
    <r>
      <rPr>
        <b/>
        <sz val="10"/>
        <rFont val="Microsoft Sans Serif"/>
        <family val="2"/>
      </rPr>
      <t xml:space="preserve">PODLOŽNOG BETONA ISPOD TEMELJNE PLOČE VANJSKOG PODESTA ZA TERMOTEHNIKU SA SJEVERNE STRANE GRAĐEVINE. </t>
    </r>
    <r>
      <rPr>
        <sz val="10"/>
        <rFont val="Microsoft Sans Serif"/>
        <family val="2"/>
      </rPr>
      <t>BETONIRANJE SE VRŠI BETONOM KVALITETE NE MANJE OD C 12/15, KLASE B.II U DEBLJINI MIN 5 CM. U CIJENU STAVKE URAČUNAT JE SAV POTREBAN MATERIJAL, NJEGOVA DOBAVA I UGRADNJA, TE OPLATA.</t>
    </r>
  </si>
  <si>
    <t xml:space="preserve"> OPLATE </t>
  </si>
  <si>
    <t>PRIZEMLJE</t>
  </si>
  <si>
    <t>1. KAT</t>
  </si>
  <si>
    <t>POTKROVLJE</t>
  </si>
  <si>
    <t>D=20 CM</t>
  </si>
  <si>
    <t>D=25 CM</t>
  </si>
  <si>
    <r>
      <t xml:space="preserve">DOBAVA MATERIJALA, </t>
    </r>
    <r>
      <rPr>
        <b/>
        <sz val="10"/>
        <rFont val="Microsoft Sans Serif"/>
        <family val="2"/>
      </rPr>
      <t xml:space="preserve">KROJENJE XPS-a I IZRADA TERMOIZOLACIJSKOG SLOJA ZIDOVA U TLU </t>
    </r>
    <r>
      <rPr>
        <sz val="10"/>
        <rFont val="Microsoft Sans Serif"/>
        <family val="2"/>
      </rPr>
      <t>POLAGANJEM XPS-a  I NJEGOVIM LJEPLJENJEM ADEKVATNIM LJEPILOM ZA PODLOGU:</t>
    </r>
  </si>
  <si>
    <t xml:space="preserve">XPS SLOJ DEBLJINE 15 CM </t>
  </si>
  <si>
    <r>
      <t>DOBAVA MATERIJALA</t>
    </r>
    <r>
      <rPr>
        <b/>
        <sz val="10"/>
        <rFont val="Microsoft Sans Serif"/>
        <family val="2"/>
      </rPr>
      <t xml:space="preserve"> I IZRADA TERMOIZOLACIJSKOG I RAZDJELNIH SLOJEVA PODNE KONSTRUKCIJE (PODA NA TLU) </t>
    </r>
    <r>
      <rPr>
        <sz val="10"/>
        <rFont val="Microsoft Sans Serif"/>
        <family val="2"/>
      </rPr>
      <t>POLAGANJEM XPS-a I RAZDJELNIH SLOJEVA OD GEOTEKSTILA I GRAĐEVINSKE PVC FOLIJE. RAZDJELNE SLOJEVE PREKLAPATI 20 CM.</t>
    </r>
  </si>
  <si>
    <t>ROGOVA, MIJENA I STUPOVA 12/14</t>
  </si>
  <si>
    <t xml:space="preserve">U jediničnim cijenama uračunati su svi radovi predmetne stavke, s dobavom potrebnog materijala, s istovarom i skladištenjem na gradilištu, sav horizontalni i vertikalni transport do radnog mjesta, kao i sva potrebna radna snaga i režijski troškovi, te svi potrebni radovi, predradnje i materijal prema uputama proizvođača. 
Predviđeni pokrov je aluminijski falcani lim iz legure AlMn1Mg0,5, mehanička svojstva H42, kvaliteta boje P.10 mat, za sve stavke. Boja za  pojedine elemente prema izboru projektanta. U svim stavkama uključen je sav vezni materijal, kuke, ljepila i slično.       </t>
  </si>
  <si>
    <r>
      <t xml:space="preserve">Dobava materijala, krojenje, savijanje, izrada, ugradnja i pričvršćivanje </t>
    </r>
    <r>
      <rPr>
        <b/>
        <sz val="10"/>
        <rFont val="Microsoft Sans Serif"/>
        <family val="2"/>
      </rPr>
      <t>horizontalnih polukružnih ležećih oluka</t>
    </r>
    <r>
      <rPr>
        <sz val="10"/>
        <rFont val="Microsoft Sans Serif"/>
        <family val="2"/>
      </rPr>
      <t>. Oluci se izvode od pocinčanog čeličnog lima d=1 mm. Svi spojevi ljepljeni PU elastičnim visoko viskoznim masama za konstruktivna lijepljenja. Na dijelu građevine oluci se montiraju i pričvršćuju preko prihvatnih elemenata od plosnog pocinčanog željeza 3/10 mm duljine 40 cm na svakih 50 cm, koji su uključeni u cijenu stavke.
Završni oblik i ton u dogovoru sa nadležnim konzervatorima.
U cijeni stavke je uključen sav rad i materijal, spojna i pomoćna sredstva, itd. sve do potpune gotovosti oluka. Obračun po m'.</t>
    </r>
  </si>
  <si>
    <r>
      <t xml:space="preserve">Dobava i ugradnja okrugle vertikalne </t>
    </r>
    <r>
      <rPr>
        <b/>
        <sz val="10"/>
        <rFont val="Microsoft Sans Serif"/>
        <family val="2"/>
      </rPr>
      <t xml:space="preserve">odvodne cijevi Ø 100mm </t>
    </r>
    <r>
      <rPr>
        <sz val="10"/>
        <rFont val="Microsoft Sans Serif"/>
        <family val="2"/>
      </rPr>
      <t>za ležeći žljeb</t>
    </r>
    <r>
      <rPr>
        <b/>
        <sz val="10"/>
        <rFont val="Microsoft Sans Serif"/>
        <family val="2"/>
      </rPr>
      <t xml:space="preserve"> </t>
    </r>
    <r>
      <rPr>
        <sz val="10"/>
        <rFont val="Microsoft Sans Serif"/>
        <family val="2"/>
      </rPr>
      <t>iz pocinčanog čeličnog lima. Boja i kvaliteta materijala kao osnovna pozicija uključivo sve potrebne obujmice, držače, trnove, revizijske otvore i koljena. Sve u kompletu prema uputama proizvođača.
Obračun po m'.</t>
    </r>
  </si>
  <si>
    <r>
      <t xml:space="preserve">Dobava i ugradnja </t>
    </r>
    <r>
      <rPr>
        <b/>
        <sz val="10"/>
        <rFont val="Microsoft Sans Serif"/>
        <family val="2"/>
      </rPr>
      <t>kape dimnjaka</t>
    </r>
    <r>
      <rPr>
        <sz val="10"/>
        <rFont val="Microsoft Sans Serif"/>
        <family val="2"/>
      </rPr>
      <t xml:space="preserve"> i nosači iz aluminija dim. 800x800mm. Broj nosača ovisi o veličine dimnjačke kape. Uključivo 1 nehrđajući zavojni vijak M8 x 50mm sa plastičnom tiplom, 2 nehrđajuća vijka M8x30mm uz pripadajuće nehrđajuće matice. U boji i obradi kao osnovna pozicija. U stavku uključiti kompletan rad i materijal. Sve izvesti prema uputama i detaljima proizvođača.</t>
    </r>
  </si>
  <si>
    <t>razvijena širina 100 cm</t>
  </si>
  <si>
    <r>
      <t xml:space="preserve">Dobava i ugradnja </t>
    </r>
    <r>
      <rPr>
        <b/>
        <sz val="10"/>
        <rFont val="Microsoft Sans Serif"/>
        <family val="2"/>
      </rPr>
      <t xml:space="preserve">opšava otvora dimnjaka </t>
    </r>
    <r>
      <rPr>
        <sz val="10"/>
        <rFont val="Microsoft Sans Serif"/>
        <family val="2"/>
      </rPr>
      <t>i ostalih krovnih prodora oko krovnih otvora (uključiti kitne lajsne) pocinčanim čeličnim limom r.š. 50 cm boje i kvalitete kao i osnovna pozicija. Lim uzdignut minimalno 15 cm.
Uklljučiti sav spojni i brtveni materijal.</t>
    </r>
  </si>
  <si>
    <r>
      <t xml:space="preserve">Dobava materijala, krojenje, savijanje, izrada, ugradnja i pričvršćivanje </t>
    </r>
    <r>
      <rPr>
        <b/>
        <sz val="10"/>
        <rFont val="Microsoft Sans Serif"/>
        <family val="2"/>
      </rPr>
      <t xml:space="preserve">spojeva krovnih ploha (krovnih uvala), spojeva krovnih ploha sa zidom i ostalih detalja na krovu građevine, </t>
    </r>
    <r>
      <rPr>
        <sz val="10"/>
        <rFont val="Microsoft Sans Serif"/>
        <family val="2"/>
      </rPr>
      <t>od pocinčanog čeličnog lima d= 1mm. Svi spojevi ljepljeni PU elastičnim visoko viskoznim masama za konstruktivna lijepljenja. Boja i kvaliteta materijala kao osnovna pozicija uključivo sva potrebna spojna i pomoćna sredstva, sav rad i materijal. Sve u kompletu prema uputama proizvođača.</t>
    </r>
  </si>
  <si>
    <t>razvijena širina 66 cm</t>
  </si>
  <si>
    <t>MINERALNA VUNA 14 + 12 CM</t>
  </si>
  <si>
    <t>GLINENI CRIJEP</t>
  </si>
  <si>
    <r>
      <t>DOBAVA MATERIJALA I</t>
    </r>
    <r>
      <rPr>
        <b/>
        <sz val="10"/>
        <rFont val="Microsoft Sans Serif"/>
        <family val="2"/>
      </rPr>
      <t xml:space="preserve"> IZRADA DRVENOG DIJELA KONSTRUKCIJE KOSOG KROVA PREMA PRETHODNO IZRAĐENOJ RADIONIČKOJ DOKUMENTACIJI </t>
    </r>
    <r>
      <rPr>
        <sz val="10"/>
        <rFont val="Microsoft Sans Serif"/>
        <family val="2"/>
      </rPr>
      <t>KOJA JE SASTAVNI DIO STAVKE.</t>
    </r>
    <r>
      <rPr>
        <b/>
        <sz val="10"/>
        <rFont val="Microsoft Sans Serif"/>
        <family val="2"/>
      </rPr>
      <t xml:space="preserve"> </t>
    </r>
    <r>
      <rPr>
        <sz val="10"/>
        <rFont val="Microsoft Sans Serif"/>
        <family val="2"/>
      </rPr>
      <t>RADIONIČKU DOKUMENTACIJU POTREBNO JE OVJERITI OD STRANE PROJEKTANTA. KONSTRUKCIJA SE SASTOJI OD ROGOVA 12/14 CM, PRIČVRŠĆENIH METALNIM SPOJNIM SREDSTVIMA NA DRVENU POTKONSTRUKCIJU (NAZIDNICE 16/14 ILI 18/20 CM),  UKRUTNIH GREDA 14/18 I 8/16 CM, STUPA 12/14 CM, GREDA UVALA 18/16 CM, OBLOGE KROVNE PLOHE OD VLAGOOTPORNIH OSB PLOČA, S UTOROM I PEROM ZA VANJSKU PRIMJENU, DEBLJNE 18 MM I KONTRALETVE 8×5 CM. LETVE  ZA POSTAVU POKROVNIH ELEMENATA OD GLINENOG CRIJEPA OBRAĐENE U POKRIVAČKIM RADOVIMA. DRVENA GRAĐA OD CRNOGORICE II KLASE C24.  U STAVCI JE URAČUNAT SAV POTREBAN MATERIJAL, DOBAVA KROJENJE I UGRADNJA, TE POMOĆNA I SPOJNA SREDSTVA. KONSTRUKCIJA SE OSLANJA NA PRIMARNU AB KONSTRUKCIJU. PRIJE UGRADNJE DRVENU KONSTRUKCIJU PREMAZATI INSEKTICIDNIM I FUNGICIDNIM SREDSTVOM. NA OSLONCIMA DRVETA NA ČELIČNE DIJELOVE IZVESTI RAZDJELNI SLOJ OD KROVNE LJEPENKE.
KONSTRUKCIJA SE SASTOJI OD:</t>
    </r>
  </si>
  <si>
    <t>KONTRALETVA 8/5</t>
  </si>
  <si>
    <t>LETVA 3×5 CM</t>
  </si>
  <si>
    <t>STOL.ST. 1 DESNA</t>
  </si>
  <si>
    <t>STOL.ST. 1 LIJEVA</t>
  </si>
  <si>
    <t>STOL.ST. 2 DESNA</t>
  </si>
  <si>
    <t>STOL.ST. 2 LIJEVA</t>
  </si>
  <si>
    <t>STOL.ST. 3 DESNA</t>
  </si>
  <si>
    <t>STOL.ST. 4 DESNA</t>
  </si>
  <si>
    <t>STOL.ST. 3 LIJEVA</t>
  </si>
  <si>
    <t>STOL.ST. 4 LIJEVA</t>
  </si>
  <si>
    <r>
      <t xml:space="preserve">IZRADA, DOBAVA I UGRADNJA </t>
    </r>
    <r>
      <rPr>
        <b/>
        <sz val="10"/>
        <rFont val="Microsoft Sans Serif"/>
        <family val="2"/>
      </rPr>
      <t>DRVENOG RUKOHVATA STUBIŠTA</t>
    </r>
    <r>
      <rPr>
        <sz val="10"/>
        <rFont val="Microsoft Sans Serif"/>
        <family val="2"/>
      </rPr>
      <t>. OD HRASTOVOG DRVETA, LAKIRANO BEZBOJNIM LAKOM, PROMJERA 40 MM. SVE MONTIRANO NA OGRADU POCINČANOG ČELIKA. (OBRAĐENO DRUGDJE).</t>
    </r>
  </si>
  <si>
    <t>KLUPČICA ŠIRINE 58 CM</t>
  </si>
  <si>
    <t>KLUPČICA ŠIRINE 17 CM</t>
  </si>
  <si>
    <t>KLUPČICA ŠIRINE 42 CM</t>
  </si>
  <si>
    <t>ST.1</t>
  </si>
  <si>
    <t>ST.2</t>
  </si>
  <si>
    <t>STOL.ST.4</t>
  </si>
  <si>
    <r>
      <t xml:space="preserve">IZRADA, DOBAVA I UGRADNJA </t>
    </r>
    <r>
      <rPr>
        <b/>
        <sz val="10"/>
        <rFont val="Microsoft Sans Serif"/>
        <family val="2"/>
      </rPr>
      <t>DVOKRILNOG ZAOKRETNOG PROZORA</t>
    </r>
    <r>
      <rPr>
        <sz val="10"/>
        <rFont val="Microsoft Sans Serif"/>
        <family val="2"/>
      </rPr>
      <t xml:space="preserve"> ULIČNOG PROČELJA (1. KAT), PROIZVODNE MJERE 140/136 CM. DOPROZORNIK I OKVIR KRILA OD HRASTOVINE I KLASE. OSTAKLJENJE IZO STAKLOM 6/16/4 S LOW-E PREMAZOM I ISPUNJENO PLEMENITIM PLINOM. ZAVRŠNA OBRADA DRVETA, LAZURNI PREMAZ + PRIPREMNE RADNJE U TONU PO IZBORU PROJEKTANTA OKOV: 2 PETLJE  ODGOVARAJUĆE NOSIVOSTI.  POLUOLIVA, ŠTITNICI, 
</t>
    </r>
    <r>
      <rPr>
        <b/>
        <sz val="10"/>
        <rFont val="Microsoft Sans Serif"/>
        <family val="2"/>
      </rPr>
      <t>PROZOR SE IZRAĐUJE PREMA SAČUVANOM UZORKU POSTOJEĆEG ULIČNOG PROZORA.</t>
    </r>
    <r>
      <rPr>
        <sz val="10"/>
        <rFont val="Microsoft Sans Serif"/>
        <family val="2"/>
      </rPr>
      <t xml:space="preserve">
SVE MJERE POTREBNO JE PROVJERITI U NARAVI!
RADIONIČKE NACRTE PRIJE IZVEDBE TREBA PREGLEDATI I OVJERITI PROJEKTANT I NADLEŽNI KONZERVATOR!
</t>
    </r>
  </si>
  <si>
    <r>
      <t xml:space="preserve">IZRADA, DOBAVA I UGRADNJA </t>
    </r>
    <r>
      <rPr>
        <b/>
        <sz val="10"/>
        <rFont val="Microsoft Sans Serif"/>
        <family val="2"/>
      </rPr>
      <t>DVOKRILNOG ZAOKRETNOG PROZORA</t>
    </r>
    <r>
      <rPr>
        <sz val="10"/>
        <rFont val="Microsoft Sans Serif"/>
        <family val="2"/>
      </rPr>
      <t xml:space="preserve"> ULIČNOG PROČELJA (1. KAT), PROIZVODNE MJERE 88/143 CM. DOPROZORNIK I OKVIR KRILA OD HRASTOVINE I KLASE. OSTAKLJENJE IZO STAKLOM 6/16/4 S LOW-E PREMAZOM I ISPUNJENO PLEMENITIM PLINOM. ZAVRŠNA OBRADA DRVETA, LAZURNI PREMAZ + PRIPREMNE RADNJE U TONU PO IZBORU PROJEKTANTA OKOV: 2 PETLJE  ODGOVARAJUĆE NOSIVOSTI.  POLUOLIVA, ŠTITNICI, 
</t>
    </r>
    <r>
      <rPr>
        <b/>
        <sz val="10"/>
        <rFont val="Microsoft Sans Serif"/>
        <family val="2"/>
      </rPr>
      <t>PROZOR SE IZRAĐUJE PREMA SAČUVANOM UZORKU POSTOJEĆEG ULIČNOG PROZORA.</t>
    </r>
    <r>
      <rPr>
        <sz val="10"/>
        <rFont val="Microsoft Sans Serif"/>
        <family val="2"/>
      </rPr>
      <t xml:space="preserve">
SVE MJERE POTREBNO JE PROVJERITI U NARAVI!
RADIONIČKE NACRTE PRIJE IZVEDBE TREBA PREGLEDATI I OVJERITI PROJEKTANT I NADLEŽNI KONZERVATOR!
</t>
    </r>
  </si>
  <si>
    <r>
      <t xml:space="preserve">IZRADA, DOBAVA I UGRADNJA </t>
    </r>
    <r>
      <rPr>
        <b/>
        <sz val="10"/>
        <rFont val="Microsoft Sans Serif"/>
        <family val="2"/>
      </rPr>
      <t>DVOKRILNOG ZAOKRETNOG PROZORA</t>
    </r>
    <r>
      <rPr>
        <sz val="10"/>
        <rFont val="Microsoft Sans Serif"/>
        <family val="2"/>
      </rPr>
      <t xml:space="preserve"> ULIČNOG PROČELJA (1. KAT), PROIZVODNE MJERE 140/143 CM. DOPROZORNIK I OKVIR KRILA OD HRASTOVINE I KLASE. OSTAKLJENJE IZO STAKLOM 6/16/4 S LOW-E PREMAZOM I ISPUNJENO PLEMENITIM PLINOM. ZAVRŠNA OBRADA DRVETA, LAZURNI PREMAZ + PRIPREMNE RADNJE U TONU PO IZBORU PROJEKTANTA OKOV: 2 PETLJE  ODGOVARAJUĆE NOSIVOSTI.  POLUOLIVA, ŠTITNICI, 
</t>
    </r>
    <r>
      <rPr>
        <b/>
        <sz val="10"/>
        <rFont val="Microsoft Sans Serif"/>
        <family val="2"/>
      </rPr>
      <t>PROZOR SE IZRAĐUJE PREMA SAČUVANOM UZORKU POSTOJEĆEG ULIČNOG PROZORA.</t>
    </r>
    <r>
      <rPr>
        <sz val="10"/>
        <rFont val="Microsoft Sans Serif"/>
        <family val="2"/>
      </rPr>
      <t xml:space="preserve">
SVE MJERE POTREBNO JE PROVJERITI U NARAVI!
RADIONIČKE NACRTE PRIJE IZVEDBE TREBA PREGLEDATI I OVJERITI PROJEKTANT I NADLEŽNI KONZERVATOR!
</t>
    </r>
  </si>
  <si>
    <t>ST.3</t>
  </si>
  <si>
    <t>ST.4</t>
  </si>
  <si>
    <t>ST.5</t>
  </si>
  <si>
    <r>
      <t>STOL.ST. 1</t>
    </r>
    <r>
      <rPr>
        <sz val="10"/>
        <rFont val="Microsoft Sans Serif"/>
        <family val="2"/>
      </rPr>
      <t xml:space="preserve"> - LIJEVI</t>
    </r>
  </si>
  <si>
    <r>
      <t>STOL.ST. 2 -</t>
    </r>
    <r>
      <rPr>
        <sz val="10"/>
        <rFont val="Microsoft Sans Serif"/>
        <family val="2"/>
      </rPr>
      <t xml:space="preserve"> DESNA</t>
    </r>
  </si>
  <si>
    <r>
      <t xml:space="preserve">IZRADA, DOBAVA I UGRADNJA </t>
    </r>
    <r>
      <rPr>
        <b/>
        <sz val="10"/>
        <rFont val="Microsoft Sans Serif"/>
        <family val="2"/>
      </rPr>
      <t>DVOKRILNOG ZAOKRETNOG PROZORA</t>
    </r>
    <r>
      <rPr>
        <sz val="10"/>
        <rFont val="Microsoft Sans Serif"/>
        <family val="2"/>
      </rPr>
      <t xml:space="preserve"> PROIZVODNE MJERE 95/148 CM (SJEVERNO PROČELJE ZGRADE). DOPROZORNIK I OKVIR KRILA OD HRASTOVINE I KLASE - GREDICE 8/8 CM. OSTAKLJENJE IZO STAKLOM 6/16/4 S LOW-E PREMAZOM I ISPUNJENO PLEMENITIM PLINOM. ZAVRŠNA OBRADA DRVETA, LAZURNI PREMAZ + PRIPREMNE RADNJE U TONU PO IZBORU PROJEKTANTA U DOGOVORU SA NADLEŽNIM KONZERVATOROM. OKOV: PETLJE  ODGOVARAJUĆE NOSIVOSTI.  PLUOLIVA, ŠTITNICI. 
SVE MJERE POTREBNO JE PROVJERITI U NARAVI!
RADIONIČKE NACRTE PRIJE IZVEDBE TREBA PREGLEDATI I OVJERITI PROJEKTANT I NADLEŽNI KONZERVATOR!
</t>
    </r>
  </si>
  <si>
    <r>
      <t xml:space="preserve">IZRADA, DOBAVA I UGRADNJA </t>
    </r>
    <r>
      <rPr>
        <b/>
        <sz val="10"/>
        <rFont val="Microsoft Sans Serif"/>
        <family val="2"/>
      </rPr>
      <t>DVOKRILNOG ZAOKRETNOG PROZORA</t>
    </r>
    <r>
      <rPr>
        <sz val="10"/>
        <rFont val="Microsoft Sans Serif"/>
        <family val="2"/>
      </rPr>
      <t xml:space="preserve"> PROIZVODNE MJERE 120/155 CM (ISTOČNO PROČELJE ZGRADE). DOPROZORNIK I OKVIR KRILA OD HRASTOVINE I KLASE - GREDICE 8/8 CM. OSTAKLJENJE IZO STAKLOM 6/16/4 S LOW-E PREMAZOM I ISPUNJENO PLEMENITIM PLINOM. ZAVRŠNA OBRADA DRVETA, LAZURNI PREMAZ + PRIPREMNE RADNJE U TONU PO IZBORU PROJEKTANTA U DOGOVORU SA NADLEŽNIM KONZERVATOROM. OKOV: PETLJE  ODGOVARAJUĆE NOSIVOSTI.  PLUOLIVA, ŠTITNICI. 
SVE MJERE POTREBNO JE PROVJERITI U NARAVI!
RADIONIČKE NACRTE PRIJE IZVEDBE TREBA PREGLEDATI I OVJERITI PROJEKTANT I NADLEŽNI KONZERVATOR!
</t>
    </r>
  </si>
  <si>
    <r>
      <t xml:space="preserve">IZRADA, DOBAVA I UGRADNJA </t>
    </r>
    <r>
      <rPr>
        <b/>
        <sz val="10"/>
        <rFont val="Microsoft Sans Serif"/>
        <family val="2"/>
      </rPr>
      <t>DVOKRILNOG ZAOKRETNOG PROZORA</t>
    </r>
    <r>
      <rPr>
        <sz val="10"/>
        <rFont val="Microsoft Sans Serif"/>
        <family val="2"/>
      </rPr>
      <t xml:space="preserve"> PROIZVODNE MJERE 95/143 CM (SJEVERNO PROČELJE ZGRADE). DOPROZORNIK I OKVIR KRILA OD HRASTOVINE I KLASE - GREDICE 8/8 CM. OSTAKLJENJE IZO STAKLOM 6/16/4 S LOW-E PREMAZOM I ISPUNJENO PLEMENITIM PLINOM. ZAVRŠNA OBRADA DRVETA, LAZURNI PREMAZ + PRIPREMNE RADNJE U TONU PO IZBORU PROJEKTANTA U DOGOVORU SA NADLEŽNIM KONZERVATOROM. OKOV: PETLJE  ODGOVARAJUĆE NOSIVOSTI.  PLUOLIVA, ŠTITNICI. 
SVE MJERE POTREBNO JE PROVJERITI U NARAVI!
RADIONIČKE NACRTE PRIJE IZVEDBE TREBA PREGLEDATI I OVJERITI PROJEKTANT I NADLEŽNI KONZERVATOR!
</t>
    </r>
  </si>
  <si>
    <r>
      <t>STOL.ST. 7</t>
    </r>
    <r>
      <rPr>
        <sz val="10"/>
        <rFont val="Microsoft Sans Serif"/>
        <family val="2"/>
      </rPr>
      <t xml:space="preserve"> - DESNI</t>
    </r>
  </si>
  <si>
    <r>
      <t>STOL.ST. 7</t>
    </r>
    <r>
      <rPr>
        <sz val="10"/>
        <rFont val="Microsoft Sans Serif"/>
        <family val="2"/>
      </rPr>
      <t xml:space="preserve"> - LIJEVI</t>
    </r>
  </si>
  <si>
    <r>
      <t xml:space="preserve">IZRADA, DOBAVA I UGRADNJA </t>
    </r>
    <r>
      <rPr>
        <b/>
        <sz val="10"/>
        <rFont val="Microsoft Sans Serif"/>
        <family val="2"/>
      </rPr>
      <t>DVOKRILNOG ZAOKRETNOG PROZORA</t>
    </r>
    <r>
      <rPr>
        <sz val="10"/>
        <rFont val="Microsoft Sans Serif"/>
        <family val="2"/>
      </rPr>
      <t xml:space="preserve"> PROIZVODNE MJERE 120/120 CM (JUŽNO PROČELJE ZGRADE). DOPROZORNIK I OKVIR KRILA OD HRASTOVINE I KLASE - GREDICE 8/8 CM. OSTAKLJENJE IZO STAKLOM 6/16/4 S LOW-E PREMAZOM I ISPUNJENO PLEMENITIM PLINOM. ZAVRŠNA OBRADA DRVETA, LAZURNI PREMAZ + PRIPREMNE RADNJE U TONU PO IZBORU PROJEKTANTA U DOGOVORU SA NADLEŽNIM KONZERVATOROM. OKOV: PETLJE  ODGOVARAJUĆE NOSIVOSTI.  PLUOLIVA, ŠTITNICI. 
SVE MJERE POTREBNO JE PROVJERITI U NARAVI!
RADIONIČKE NACRTE PRIJE IZVEDBE TREBA PREGLEDATI I OVJERITI PROJEKTANT I NADLEŽNI KONZERVATOR!
</t>
    </r>
  </si>
  <si>
    <r>
      <t xml:space="preserve">IZRADA, DOBAVA I UGRADNJA </t>
    </r>
    <r>
      <rPr>
        <b/>
        <sz val="10"/>
        <rFont val="Microsoft Sans Serif"/>
        <family val="2"/>
      </rPr>
      <t>JEDNOKRILNOG OTKLOPNOG KROVNOG PROZORA</t>
    </r>
    <r>
      <rPr>
        <sz val="10"/>
        <rFont val="Microsoft Sans Serif"/>
        <family val="2"/>
      </rPr>
      <t xml:space="preserve"> PROIZVODNE MJERE 110/145 CM. DOPROZORNIK I OKVIR KRILA OD HRASTOVINE I KLASE - GREDICE 8/8 CM. OSTAKLJENJE IZO STAKLOM 6/16/4 S LOW-E PREMAZOM I ISPUNJENO PLEMENITIM PLINOM. ZAVRŠNA OBRADA DRVETA, LAZURNI PREMAZ + PRIPREMNE RADNJE U TONU PO IZBORU PROJEKTANTA U DOGOVORU SA NADLEŽNIM KONZERVATOROM. OKOV: PETLJE  ODGOVARAJUĆE NOSIVOSTI.  PLUOLIVA, ŠTITNICI. 
SVE MJERE POTREBNO JE PROVJERITI U NARAVI!
RADIONIČKE NACRTE PRIJE IZVEDBE TREBA PREGLEDATI I OVJERITI PROJEKTANT I NADLEŽNI KONZERVATOR!
</t>
    </r>
  </si>
  <si>
    <t>STOL.ST. 10</t>
  </si>
  <si>
    <t>BRAVARSKI UKUPNO</t>
  </si>
  <si>
    <t>NAPOMENA: SVE MJERE POTREBNO JE PROVJERITI U NARAVI!
RADIONIČKE NACRTE PRIJE IZVEDBE TREBA PREGLEDATI I OVJERITI PROJEKTANT!</t>
  </si>
  <si>
    <r>
      <t xml:space="preserve">DOBAVA MATERIJALA I IZRADA </t>
    </r>
    <r>
      <rPr>
        <b/>
        <sz val="10"/>
        <rFont val="Microsoft Sans Serif"/>
        <family val="2"/>
      </rPr>
      <t xml:space="preserve">PODNOG SUSTAVA NA BAZI EPOKSIDNE SMOLE </t>
    </r>
    <r>
      <rPr>
        <sz val="10"/>
        <rFont val="Microsoft Sans Serif"/>
        <family val="2"/>
      </rPr>
      <t>(U TEHNIČKIM PROSTORIMA U PRIZEMLJU) UKUPNE DEBLJINE 3mm, GLATKE OBOJENE ELASTIČNE PODNE OBLOGE, NISKE EMISIJE VOC-a, SATAVLJEN OD:</t>
    </r>
  </si>
  <si>
    <t>Okov izvesti originalan od dobavljača sustava usklađen nosivošću i tipom s težinom otvora i načinom otvaranja + mehanizam za automatsko zatvaranje vrata.</t>
  </si>
  <si>
    <t>IZRADA, DOBAVA I UGRADNJA JEDNOKRILNIH ZAOKRETNIH PROTUPOŽARNIH VRATA VATROOTPORNOSTI  EI2 30-C</t>
  </si>
  <si>
    <t>ukupno: BRAVARSKA STAVKA 18</t>
  </si>
  <si>
    <t>UNUTARNJA PROTUPOŽARNA VRATA</t>
  </si>
  <si>
    <t>ESTRIH PROJEKTNE DEBLJINE 7,5 CM</t>
  </si>
  <si>
    <r>
      <t>DOBAVA MATERIJALA I</t>
    </r>
    <r>
      <rPr>
        <b/>
        <sz val="10"/>
        <rFont val="Microsoft Sans Serif"/>
        <family val="2"/>
      </rPr>
      <t xml:space="preserve"> IZRADA GIPSKARTONSKOG PREGRADNOG ZIDA DEBLJINE D=15 CM.</t>
    </r>
    <r>
      <rPr>
        <sz val="10"/>
        <rFont val="Microsoft Sans Serif"/>
        <family val="2"/>
      </rPr>
      <t xml:space="preserve"> ZID OBOSTRANO DVOSTRUKO OBLOŽEN G.K. PLOČOM D=1,25 CM SA SLOJEM IZOLACIJE OD MINERALNE VUNE,  D= 8 CM. U CIJENU URAČUNATI I IZRADU OTVORA ZA UGRADBU VRATA TE KOMPLET BANDAŽIRANJE SPOJEVA I GLETANJE S BRUŠENJEM  I IMPREGNACIJOM DO PODLOGE SPREMNE ZA BOJANJE. MAX VISINA ZIDA 300 CM.</t>
    </r>
  </si>
  <si>
    <r>
      <t>DOBAVA MATERIJALA I</t>
    </r>
    <r>
      <rPr>
        <b/>
        <sz val="10"/>
        <rFont val="Microsoft Sans Serif"/>
        <family val="2"/>
      </rPr>
      <t xml:space="preserve"> IZRADA GIPSKARTONSKOG PREGRADNOG ZIDA DEBLJINE D=7,5 CM.</t>
    </r>
    <r>
      <rPr>
        <sz val="10"/>
        <rFont val="Microsoft Sans Serif"/>
        <family val="2"/>
      </rPr>
      <t xml:space="preserve"> ZID OBOSTRANO OBLOŽEN VLAGOOTPORNOM G.K. PLOČOM D=1,25 CM. U CIJENU URAČUNATI I IZRADU OTVORA ZA UGRADBU VRATA TE KOMPLET BANDAŽIRANJE SPOJEVA I GLETANJE S BRUŠENJEM  I IMPREGNACIJOM DO PODLOGE SPREMNE ZA BOJANJE. MAX VISINA ZIDA 300 CM.</t>
    </r>
  </si>
  <si>
    <r>
      <t xml:space="preserve">DOBAVA MATERIJALA I </t>
    </r>
    <r>
      <rPr>
        <b/>
        <sz val="10"/>
        <rFont val="Microsoft Sans Serif"/>
        <family val="2"/>
      </rPr>
      <t xml:space="preserve">IZRADA OBLOGE ZIDA OD GIPSKARTONSKIH PLOČA NA SAMOSTOJEĆOJ POCINČANOJ PODKONSTRUKCIJI. </t>
    </r>
    <r>
      <rPr>
        <sz val="10"/>
        <rFont val="Microsoft Sans Serif"/>
        <family val="2"/>
      </rPr>
      <t xml:space="preserve">JEDNOSTRANO OBLAGANJE JEDNOSTRUKOM G/K PLOČOM 12,5 MM I IZOLACIJOM OD SLOJA MINERALNE VUNE D=5 CM SA RAZDJELNIM SLOJEM PARNE BRANE. </t>
    </r>
    <r>
      <rPr>
        <sz val="10"/>
        <color indexed="8"/>
        <rFont val="Microsoft Sans Serif"/>
        <family val="2"/>
      </rPr>
      <t>U CIJENU URAČUNATI I KOMPLET BANDAŽIRANJE SPOJEVA I GLETANJE S BRUŠENJEM  I IMPREGNACIJOM DO PODLOGE SPREMNE ZA BOJANJE.</t>
    </r>
  </si>
  <si>
    <r>
      <t xml:space="preserve">DOBAVA MATERIJALA I </t>
    </r>
    <r>
      <rPr>
        <b/>
        <sz val="10"/>
        <rFont val="Microsoft Sans Serif"/>
        <family val="2"/>
      </rPr>
      <t>IZRADA OBLOGE KOSIH KROVNIH PLOHA GIPS-KARTONSKIM PLOČAMA SA POSTAVLJANJEM RAZDJELNIH SLOJEVA.</t>
    </r>
    <r>
      <rPr>
        <sz val="10"/>
        <rFont val="Microsoft Sans Serif"/>
        <family val="2"/>
      </rPr>
      <t xml:space="preserve"> U CIJENU URAČUNATI I IZRADU SVIH DETALJA OBLOGE OKO OTVORA, KROVNIH PROZORA I SL. KOMPLET BANDAŽIRANJE SPOJEVA I GLETANJE S BRUŠENJEM  I IMPREGNACIJOM DO PODLOGE SPREMNE ZA BOJANJE. SLOJEVI KONSTRUKCIJE SU SLJEDEĆI:</t>
    </r>
  </si>
  <si>
    <t>KAMENOREZAČKI RADOVI</t>
  </si>
  <si>
    <t>RUBNIH PROFILA</t>
  </si>
  <si>
    <r>
      <t xml:space="preserve">DOBAVA MATERIJALA I </t>
    </r>
    <r>
      <rPr>
        <b/>
        <sz val="10"/>
        <rFont val="Microsoft Sans Serif"/>
        <family val="2"/>
      </rPr>
      <t>POLAGANJE PODNE OBLOGE OD PODNIH DRVENIH PANELA:</t>
    </r>
    <r>
      <rPr>
        <sz val="10"/>
        <rFont val="Microsoft Sans Serif"/>
        <family val="2"/>
      </rPr>
      <t xml:space="preserve"> 'HIGH PERFORMANCE' PARKET OTPORAN NA OGREBOTINE I HABANJE, VLAGU, VODU, PROTUKLIZAN, SA CERTIFIKATOM ODRŽIVOG GOSPODARENJA ŠUMAMA. DEBLJINE 14 MM, JEZGRA OD WBF ŠPERPLOČE VEZANE SMOLOM, ZAVRŠNO PRIRODNI DRVENI FURNIR IMPREGNIRAN SMOLOM, IZ PALETE PRIRODNOG DRVETA - HRAST,  OBAVEZAN PREGLED UZORKA OD STRANE PROJEKTANTA.  PLOČE DIMENZIJA 188 × 2450 MM. POLAGANJE SE VRŠI NA POTPUNO IZNIVELIRANU PODLOGU, STRUKTURNE VLAŽNOSTI MAX 2,5 %. PLOČE SE POLAŽU NA SLOJ PODLOŽNOG NETKANOG FILCA I MEĐUSOBNO LIJEPE JEDNOKOMPONENTNIM KONSTRUKTIVNIM LJEPILOM. U CIJENI STAVKE SAV RAD I MATERIJAL DO POTPUNE GOTOVOSTI PODNE PLOHE. STAVKA OBUHVAĆA DOBAVU MATERIJALA I IZRADU KUTNIH LETVI PRAVOKUTNOG DRVENOG HRASTOVOG PROFILA DIMENZIJA 30/70 MM. PROFIL SE LIJEPI NA PODLOGU STRUKTURNIM JEDNOKOMPONENTNIM LJEPILOM.</t>
    </r>
  </si>
  <si>
    <t>PODNE OBLOGE OD HP PARKETNIH PLOČA</t>
  </si>
  <si>
    <t>KAMENOREZAČKI RADOVI  -  UKUPNO</t>
  </si>
  <si>
    <t>ARMIRAJUĆI SLOJ SUSTAVA. Prvi se sloj GRAĐEVNOG LJEPILA nanosi nazubljenom gladilicom u debljini 2 mm i u njega odmah utisne ALKALNO POSTOJANA STAKLENA MREŽICA (izmjere očica 4 mm x 4 mm) i zagladi. Drugi se sloj ljepila nanosi najranije nakon 24 sata u debljini od 2 mm ili prema preporukama proizvođača. Ukupna je debljina sloja oko 4 mm, suši se 5 – 7 dana. Na podložnu je žbuku prije nanošenja prvog sloja ljepila potrebno ojačati kutove svih otvora dijagonalnim lijepljenjem traka mrežice (500 mm x 250 mm). Utrošak je ljepila oko 5 kg/m2, a mrežice 1.1 m2/m2</t>
  </si>
  <si>
    <r>
      <t>DOBAVA MATERIJALA I</t>
    </r>
    <r>
      <rPr>
        <b/>
        <sz val="10"/>
        <rFont val="Microsoft Sans Serif"/>
        <family val="2"/>
      </rPr>
      <t xml:space="preserve"> IZRADA SLOJEVA KONTAKTNOG PROČELJA POSTAVOM TOPLINSKE IZOLACIJE OD KAŠIRANE MINERALNE VUNE </t>
    </r>
    <r>
      <rPr>
        <sz val="10"/>
        <rFont val="Microsoft Sans Serif"/>
        <family val="2"/>
      </rPr>
      <t xml:space="preserve">SA SLIJEDEĆIM ELEMENTIMA. </t>
    </r>
  </si>
  <si>
    <r>
      <t>STOL.ST. 1</t>
    </r>
    <r>
      <rPr>
        <sz val="10"/>
        <rFont val="Microsoft Sans Serif"/>
        <family val="2"/>
      </rPr>
      <t xml:space="preserve"> - DESNI</t>
    </r>
  </si>
  <si>
    <r>
      <t>STOL.ST. 11 -</t>
    </r>
    <r>
      <rPr>
        <sz val="10"/>
        <rFont val="Microsoft Sans Serif"/>
        <family val="2"/>
      </rPr>
      <t xml:space="preserve"> LIJEVA</t>
    </r>
  </si>
  <si>
    <r>
      <t xml:space="preserve">IZRADA, DOBAVA I UGRADNJA </t>
    </r>
    <r>
      <rPr>
        <b/>
        <sz val="10"/>
        <rFont val="Microsoft Sans Serif"/>
        <family val="2"/>
      </rPr>
      <t xml:space="preserve">VANJSKIH JEDNOKRILNIH ZAOKRETNIH VRATA </t>
    </r>
    <r>
      <rPr>
        <sz val="10"/>
        <rFont val="Microsoft Sans Serif"/>
        <family val="2"/>
      </rPr>
      <t xml:space="preserve">PROIZVODNE MJERE 70/220 CM (SJEVERNO PROČELJE ZGRADE, PRIZEMLJE). DOPROZORNIK I OKVIR KRILA OD HRASTOVINE I KLASE - GREDICE 8/8 CM. KRILO IZVEDENO ROŠTILJNOM DRVENOM HRASTOVOM KONSTRUKCIJOM DEBLJINE 8 CM  UNUTAR KOJU SE UGRAĐUJE TERMOIZOLACIJSKI SLOJ OD POLIURETANSKE PIJENE. OBLOGA KRILA SE IZVODI OD OPLEMENJENIH DRVENIH PLOČA U BOJI PRIRODNOG HRASTA. ZAVRŠNA OBRADA DRVETA, LAZURNI PREMAZ + PRIPREMNE RADNJE U TONU PO IZBORU PROJEKTANTA U DOGOVORU SA NADLEŽNIM KONZERVATOROM. VRATA SE OTVARAJU PREMA VAN. OKOV: PETLJE  ODGOVARAJUĆE NOSIVOSTI.  PLUOLIVA, ŠTITNICI, BRAVA. 
SVE MJERE POTREBNO JE PROVJERITI U NARAVI!
RADIONIČKE NACRTE PRIJE IZVEDBE TREBA PREGLEDATI I OVJERITI PROJEKTANT I NADLEŽNI KONZERVATOR!
</t>
    </r>
  </si>
  <si>
    <r>
      <t xml:space="preserve">IZRADA, DOBAVA I UGRADNJA </t>
    </r>
    <r>
      <rPr>
        <b/>
        <sz val="10"/>
        <rFont val="Microsoft Sans Serif"/>
        <family val="2"/>
      </rPr>
      <t>VANJSKIH JEDNOKRILNIH ZAOKRETNIH VRATA SA NADSVJETLOM</t>
    </r>
    <r>
      <rPr>
        <sz val="10"/>
        <rFont val="Microsoft Sans Serif"/>
        <family val="2"/>
      </rPr>
      <t xml:space="preserve"> PROIZVODNE MJERE 95/258 CM (JUŽNO PROČELJE ZGRADE, PRIZEMLJE). DOPROZORNIK I OKVIR KRILA OD HRASTOVINE I KLASE - GREDICE 8/8 CM. KRILO IZVEDENO ROŠTILJNOM DRVENOM HRASTOVOM KONSTRUKCIJOM DEBLJINE 8 CM  UNUTAR KOJU SE UGRAĐUJE TERMOIZOLACIJSKI SLOJ OD POLIURETANSKE PIJENE. OBLOGA KRILA SE IZVODI OD OPLEMENJENIH DRVENIH PLOČA U BOJI PRIRODNOG HRASTA.  OSTAKLJENJE NADSVJETLA IZO STAKLOM 6/16/4 S LOW-E PREMAZOM I ISPUNJENO PLEMENITIM PLINOM. ZAVRŠNA OBRADA DRVETA, LAZURNI PREMAZ + PRIPREMNE RADNJE U TONU PO IZBORU PROJEKTANTA U DOGOVORU SA NADLEŽNIM KONZERVATOROM. VRATA SE OTVARAJU PREMA VAN. OKOV: PETLJE  ODGOVARAJUĆE NOSIVOSTI.  PLUOLIVA, ŠTITNICI, BRAVA. 
SVE MJERE POTREBNO JE PROVJERITI U NARAVI!
RADIONIČKE NACRTE PRIJE IZVEDBE TREBA PREGLEDATI I OVJERITI PROJEKTANT I NADLEŽNI KONZERVATOR!
</t>
    </r>
  </si>
  <si>
    <r>
      <t xml:space="preserve">IZRADA, DOBAVA I UGRADNJA </t>
    </r>
    <r>
      <rPr>
        <b/>
        <sz val="10"/>
        <rFont val="Microsoft Sans Serif"/>
        <family val="2"/>
      </rPr>
      <t xml:space="preserve">VANJSKIH JEDNOKRILNIH ZAOKRETNIH VRATA </t>
    </r>
    <r>
      <rPr>
        <sz val="10"/>
        <rFont val="Microsoft Sans Serif"/>
        <family val="2"/>
      </rPr>
      <t xml:space="preserve">PROIZVODNE MJERE 100/220 CM (SJEVERNO PROČELJE ZGRADE, PRIZEMLJE). DOPROZORNIK I OKVIR KRILA OD HRASTOVINE I KLASE - GREDICE 8/8 CM. KRILO IZVEDENO ROŠTILJNOM DRVENOM HRASTOVOM KONSTRUKCIJOM DEBLJINE 8 CM  UNUTAR KOJU SE UGRAĐUJE TERMOIZOLACIJSKI SLOJ OD POLIURETANSKE PIJENE. OBLOGA KRILA SE IZVODI OD OPLEMENJENIH DRVENIH PLOČA U BOJI PRIRODNOG HRASTA. ZAVRŠNA OBRADA DRVETA, LAZURNI PREMAZ + PRIPREMNE RADNJE U TONU PO IZBORU PROJEKTANTA U DOGOVORU SA NADLEŽNIM KONZERVATOROM. VRATA SE OTVARAJU PREMA VAN. OKOV: PETLJE  ODGOVARAJUĆE NOSIVOSTI.  PLUOLIVA, ŠTITNICI, BRAVA. 
SVE MJERE POTREBNO JE PROVJERITI U NARAVI!
RADIONIČKE NACRTE PRIJE IZVEDBE TREBA PREGLEDATI I OVJERITI PROJEKTANT I NADLEŽNI KONZERVATOR!
</t>
    </r>
  </si>
  <si>
    <r>
      <t>STOL.ST. 12 -</t>
    </r>
    <r>
      <rPr>
        <sz val="10"/>
        <rFont val="Microsoft Sans Serif"/>
        <family val="2"/>
      </rPr>
      <t xml:space="preserve"> LIJEVA</t>
    </r>
  </si>
  <si>
    <t>UNUTARNJA STOL.ST.13</t>
  </si>
  <si>
    <t>UNUTARNJA STOL.ST.14</t>
  </si>
  <si>
    <t>UNUTARNJA STOL.ST.15</t>
  </si>
  <si>
    <r>
      <t>STOL.ST. 16 -</t>
    </r>
    <r>
      <rPr>
        <sz val="10"/>
        <rFont val="Microsoft Sans Serif"/>
        <family val="2"/>
      </rPr>
      <t xml:space="preserve"> LIJEVA</t>
    </r>
  </si>
  <si>
    <r>
      <t xml:space="preserve">DOBAVA MATERIJALA I IZRADA TERMOIZOLACIJSKIH, RAZDJELNIH I ZAVRŠNIH SLOJEVA ZA </t>
    </r>
    <r>
      <rPr>
        <b/>
        <sz val="10"/>
        <rFont val="Microsoft Sans Serif"/>
        <family val="2"/>
      </rPr>
      <t>POKRIVANJE DVOSTREŠNOG KOSOG KROVA OZNAKE K.1</t>
    </r>
    <r>
      <rPr>
        <sz val="10"/>
        <rFont val="Microsoft Sans Serif"/>
        <family val="2"/>
      </rPr>
      <t xml:space="preserve">  NAD GRAĐEVINOM. UKLJUČITI POSTAVU LETVE I ZAVRŠNE KROVNE OBLOGE - GLINENOG CRIJEPA PO ODABIRU U DOGOVORU SA NADLEŽNIM KONZERVATOROM. RADOVE IZVODITI SUKLADNO UPUTAMA PROIZVOĐAČA ODABRANOG POKROVA. STAVKA UKLJUČUJE SAV POTREBAN RAD MATERIJAL I SITAN PRIBOR I PRIČVRSNA SREDSTVA, SNJEGOBRANE, ELEMENTE ZA ODZRAKU, SLJEMENSKE ELEMENTE - SVE DO POTPUNE GOTOVOSTI KROVNOG SUSTAVA. KROVNA KONSTRUKCIJA SE SASTOJI OD SLIJEDEĆIH SLOJEVA:</t>
    </r>
  </si>
  <si>
    <r>
      <t xml:space="preserve">IZRADA, DOBAVA I UGRADNJA VANJSKE ČETVERODIJELNE </t>
    </r>
    <r>
      <rPr>
        <b/>
        <sz val="10"/>
        <rFont val="Microsoft Sans Serif"/>
        <family val="2"/>
      </rPr>
      <t>OSTAKLJENE FIKSNE STIJENE</t>
    </r>
    <r>
      <rPr>
        <sz val="10"/>
        <rFont val="Microsoft Sans Serif"/>
        <family val="2"/>
      </rPr>
      <t xml:space="preserve"> PROIZVODNE MJERE 340/245 CM (ISTOČNO PROČELJE ZGRADE). DOPROZORNIK I OKVIRI OD HRASTOVINE I KLASE - GREDICE 8/8 CM. OSTAKLJENJE IZO STAKLOM 6/16/4 S LOW-E PREMAZOM I ISPUNJENO PLEMENITIM PLINOM. ZAVRŠNA OBRADA DRVETA, LAZURNI PREMAZ + PRIPREMNE RADNJE U TONU PO IZBORU PROJEKTANTA U DOGOVORU SA NADLEŽNIM KONZERVATOROM.  
SVE MJERE POTREBNO JE PROVJERITI U NARAVI!
RADIONIČKE NACRTE PRIJE IZVEDBE TREBA PREGLEDATI I OVJERITI PROJEKTANT I NADLEŽNI KONZERVATOR!
</t>
    </r>
  </si>
  <si>
    <r>
      <t xml:space="preserve">DOBAVA MATERIJALA I </t>
    </r>
    <r>
      <rPr>
        <b/>
        <sz val="10"/>
        <rFont val="Microsoft Sans Serif"/>
        <family val="2"/>
      </rPr>
      <t xml:space="preserve">BETONIRANJE AB TEMELJNE KONSTRUKCIJE  ČELIČNE KONSTRUKCIJE ZA PRIDRŽANJE POSTOJEĆEG ULIČNOG PROČELJA KOJE SE ZADRŽAVA U POSTOJEĆEM STANJU, BETONOM C25/30, XC2, </t>
    </r>
    <r>
      <rPr>
        <sz val="10"/>
        <rFont val="Microsoft Sans Serif"/>
        <family val="2"/>
      </rPr>
      <t>U DAŠČANOJ OPLATI PREMA PROJEKTU, STATIČKOM PRORAČUNU I ARMATURNIM NACRTIMA. TEMELJI ULIČNOG PROČELJA IZVODE SE KAMPADNO: ISPOD ZIDA SE UKLANJAJU POSTOJEĆI TEMELJI I IZVODE SE NOVE ARMIRANOBETONSKE TRAKE. TRAKE SE IZVODE KAMPADNIM PODBETONIRAVANJEM U SEGMENTIMA NE VEĆIM OD 85 CM. TEMELJNA PLOČA ZA ČELIČNU KONSTRUKCIJU DEBLJINE JE 75 CM, PROTEŽE SE UNUTAR ZGRADE I POVEZANA JE S TEMELJNIM TRAKAMA OBJEKTA I PODNOM PLOČOM PRIZEMLJA DEBLJINE 15 CM.  DUBINA DNA TEMELJA MIN 1M, ODNOSNO USKLADITI SA DUBINOM DNA POSTOJEĆIH TEMELJA ULIČNOG PROČELJA. U STAVKU URAČUNAT SAV POTREBAN RAD I MATERIJAL.</t>
    </r>
  </si>
  <si>
    <t>ČELIČNE PAPUČE</t>
  </si>
  <si>
    <t>DIMNJAKA</t>
  </si>
  <si>
    <t>PRIKLJUČCI TROŠILA</t>
  </si>
  <si>
    <t>VRATAŠCA ZA ČIŠĆENJE</t>
  </si>
  <si>
    <t>MONTAŽNA AB I LIMENA KAPA</t>
  </si>
  <si>
    <t>POSUDE ZA KONDENZAT</t>
  </si>
  <si>
    <r>
      <t xml:space="preserve">DOBAVA MATERIJALA, </t>
    </r>
    <r>
      <rPr>
        <b/>
        <sz val="10"/>
        <rFont val="Microsoft Sans Serif"/>
        <family val="2"/>
      </rPr>
      <t>ZIDANJE I UGRADNJA TROSLOJNOG DIMOVODNOG KANALA PROMJERA DIMOVODNE CIJEVI 20 CM</t>
    </r>
    <r>
      <rPr>
        <sz val="10"/>
        <rFont val="Microsoft Sans Serif"/>
        <family val="2"/>
      </rPr>
      <t xml:space="preserve">. U CIJENI STAVKE JE I ŠAMOTNA CIJEV S FAZONSKIM KOMADIMA, ODSTOJNICI, ARMATURA, POSUDA ZA KONDENZAT DILATACIONA TRAKA, KIT ZA UNUTARNJU CIJEV, MINERALNA VUNA I VANJSKI OMOTAČ TE ZAVRŠNA MANŠETA OD LIMA 1,5 MM I MONTAŽNA ARMIRANO BETONSKA KAPA, VRATŠCA ZA ČIŠĆENJE I PRIKLJUČNI ELEMENT. SVE DO POTPUNE GOTOVOSTI DIMNJAKA. </t>
    </r>
  </si>
  <si>
    <t>ispuna od pocinčane čelične zavarene žičane mreže oka 25×25 mm</t>
  </si>
  <si>
    <r>
      <t>m</t>
    </r>
    <r>
      <rPr>
        <vertAlign val="superscript"/>
        <sz val="10"/>
        <rFont val="Microsoft Sans Serif"/>
        <family val="2"/>
      </rPr>
      <t>2</t>
    </r>
  </si>
  <si>
    <t>okov</t>
  </si>
  <si>
    <t>stupovi od kvadratnih profila 50×50 mm visine 220 cm</t>
  </si>
  <si>
    <t>stupovi od kvadratnih cijevi 60×60×3 mm visine 220 cm</t>
  </si>
  <si>
    <t>okviri od pravokutnih cijevi 60×40×3 mm visine 220 cm</t>
  </si>
  <si>
    <t>horizontalne ispune - ploča (flah) 40x5 mm</t>
  </si>
  <si>
    <t>TEMELJI</t>
  </si>
  <si>
    <t>PODNA PLOČA</t>
  </si>
  <si>
    <t>ZIDOVI I SERKLAŽI PRIZEMLJA</t>
  </si>
  <si>
    <t>STROPNA PLOČA PRIZEMLJA</t>
  </si>
  <si>
    <t>ZIDOVI I SERKLAŽI 1. KATA</t>
  </si>
  <si>
    <t>STROPNA PLOČA 1. KATA</t>
  </si>
  <si>
    <t>ZIDOVI, STUPOVI I GREDE POTKROVLJA</t>
  </si>
  <si>
    <t>STUBIŠTE</t>
  </si>
  <si>
    <r>
      <t xml:space="preserve">DOBAVA MATERIJALA I </t>
    </r>
    <r>
      <rPr>
        <b/>
        <sz val="10"/>
        <rFont val="Microsoft Sans Serif"/>
        <family val="2"/>
      </rPr>
      <t>BETONIRANJE ARMIRANO-BETONSKIH TRAKASTIH TEMELJA ZGRADE, BETONOM C25/35, XC2</t>
    </r>
    <r>
      <rPr>
        <sz val="10"/>
        <rFont val="Microsoft Sans Serif"/>
        <family val="2"/>
      </rPr>
      <t xml:space="preserve"> U DAŠČANOJ OPLATI PREMA PROJEKTU, STATIČKOM PRORAČUNU I ARMATURNIM NACRTIMA. U STAVKU URAČUNAT SAV POTREBAN RAD I MATERIJAL.</t>
    </r>
  </si>
  <si>
    <t>BETONA C25/30</t>
  </si>
  <si>
    <r>
      <t xml:space="preserve">DOBAVA MATERIJALA I </t>
    </r>
    <r>
      <rPr>
        <b/>
        <sz val="10"/>
        <rFont val="Microsoft Sans Serif"/>
        <family val="2"/>
      </rPr>
      <t>BETONIRANJE ARMIRANO-BETONSKE TEMELJNE PLOČE  VANJSKOG PODESTA ZA TERMOTEHNIKU SA SJEVERNE STRANE GRAĐEVINE, DEBLJINE 30 CM, BETONOM C325/30, XC2</t>
    </r>
    <r>
      <rPr>
        <sz val="10"/>
        <rFont val="Microsoft Sans Serif"/>
        <family val="2"/>
      </rPr>
      <t xml:space="preserve"> U DAŠČANOJ OPLATI PREMA PROJEKTU, STATIČKOM PRORAČUNU I ARMATURNIM NACRTIMA. U STAVKU URAČUNAT SAV POTREBAN RAD I MATERIJAL.</t>
    </r>
  </si>
  <si>
    <r>
      <t xml:space="preserve">DOBAVA MATERIJALA I </t>
    </r>
    <r>
      <rPr>
        <b/>
        <sz val="10"/>
        <rFont val="Microsoft Sans Serif"/>
        <family val="2"/>
      </rPr>
      <t>BETONIRANJE ARMIRANO-BETONSKIH POTPORNIH ZIDOVA VANJSKOG PODESTA ZA TERMOTEHNIKU SA SJEVERNE STRANE GRAĐEVINE, DEBLJINE 25 CM, BETONOM C25/30, XC2</t>
    </r>
    <r>
      <rPr>
        <sz val="10"/>
        <rFont val="Microsoft Sans Serif"/>
        <family val="2"/>
      </rPr>
      <t xml:space="preserve"> U DAŠČANOJ OPLATI PREMA PROJEKTU, STATIČKOM PRORAČUNU I ARMATURNIM NACRTIMA. U STAVKU URAČUNAT SAV POTREBAN RAD I MATERIJAL.</t>
    </r>
  </si>
  <si>
    <r>
      <t xml:space="preserve">DOBAVA MATERIJALA I </t>
    </r>
    <r>
      <rPr>
        <b/>
        <sz val="10"/>
        <rFont val="Microsoft Sans Serif"/>
        <family val="2"/>
      </rPr>
      <t>BETONIRANJE ARMIRANO-BETONSKE PODNE PLOČE PRIZEMLJA DEBLJINE 15 CM,  BETONOM C25/30, XC2</t>
    </r>
    <r>
      <rPr>
        <sz val="10"/>
        <rFont val="Microsoft Sans Serif"/>
        <family val="2"/>
      </rPr>
      <t xml:space="preserve">  PREMA PROJEKTU, STATIČKOM PRORAČUNU I ARMATURNIM NACRTIMA. U STAVKU URAČUNAT SAV POTREBAN RAD I MATERIJAL.</t>
    </r>
  </si>
  <si>
    <r>
      <t xml:space="preserve">DOBAVA MATERIJALA I </t>
    </r>
    <r>
      <rPr>
        <b/>
        <sz val="10"/>
        <rFont val="Microsoft Sans Serif"/>
        <family val="2"/>
      </rPr>
      <t>BETONIRANJE ARMIRANO-BETONSKOG STUBIŠTA PRIZEMLJA, BETONOM C25/30, XC1</t>
    </r>
    <r>
      <rPr>
        <sz val="10"/>
        <rFont val="Microsoft Sans Serif"/>
        <family val="2"/>
      </rPr>
      <t xml:space="preserve"> U DAŠČANOJ OPLATI PREMA PROJEKTU, STATIČKOM PRORAČUNU I ARMATURNIM NACRTIMA. U STAVKU URAČUNAT SAV POTREBAN RAD I MATERIJAL.</t>
    </r>
  </si>
  <si>
    <r>
      <t xml:space="preserve">DOBAVA MATERIJALA I </t>
    </r>
    <r>
      <rPr>
        <b/>
        <sz val="10"/>
        <rFont val="Microsoft Sans Serif"/>
        <family val="2"/>
      </rPr>
      <t>BETONIRANJE ARMIRANO-BETONSKIH ZIDOVA I STUPOVA PRIZEMLJA, BETONOM C25/30, XC1</t>
    </r>
    <r>
      <rPr>
        <sz val="10"/>
        <rFont val="Microsoft Sans Serif"/>
        <family val="2"/>
      </rPr>
      <t xml:space="preserve"> U DAŠČANOJ OPLATI PREMA PROJEKTU, STATIČKOM PRORAČUNU I ARMATURNIM NACRTIMA. U STAVKU URAČUNAT SAV POTREBAN RAD I MATERIJAL.</t>
    </r>
  </si>
  <si>
    <r>
      <t xml:space="preserve">DOBAVA MATERIJALA I </t>
    </r>
    <r>
      <rPr>
        <b/>
        <sz val="10"/>
        <rFont val="Microsoft Sans Serif"/>
        <family val="2"/>
      </rPr>
      <t>BETONIRANJE ARMIRANO-BETONSKIH GREDA I HORIZONTALNIH SERKLAŽA PRIZEMLJA, BETONOM C25/30, XC1</t>
    </r>
    <r>
      <rPr>
        <sz val="10"/>
        <rFont val="Microsoft Sans Serif"/>
        <family val="2"/>
      </rPr>
      <t xml:space="preserve"> U DAŠČANOJ OPLATI PREMA PROJEKTU, STATIČKOM PRORAČUNU I ARMATURNIM NACRTIMA. U STAVKU URAČUNAT SAV POTREBAN RAD I MATERIJAL.</t>
    </r>
  </si>
  <si>
    <r>
      <t xml:space="preserve">DOBAVA MATERIJALA I </t>
    </r>
    <r>
      <rPr>
        <b/>
        <sz val="10"/>
        <rFont val="Microsoft Sans Serif"/>
        <family val="2"/>
      </rPr>
      <t>BETONIRANJE ARMIRANO-BETONSKE STROPNE PLOČE PRIZEMLJA DEBLJINE 25 CM,  BETONOM C25/30, XC1</t>
    </r>
    <r>
      <rPr>
        <sz val="10"/>
        <rFont val="Microsoft Sans Serif"/>
        <family val="2"/>
      </rPr>
      <t xml:space="preserve">  U GLATKOJ VELIKOPLOŠNOJ OPLATI PREMA PROJEKTU, STATIČKOM PRORAČUNU I ARMATURNIM NACRTIMA. U STAVKU URAČUNAT SAV POTREBAN RAD I MATERIJAL.  VISINA PODUPIRANJA DO 4 M.</t>
    </r>
  </si>
  <si>
    <r>
      <t xml:space="preserve">DOBAVA MATERIJALA I </t>
    </r>
    <r>
      <rPr>
        <b/>
        <sz val="10"/>
        <rFont val="Microsoft Sans Serif"/>
        <family val="2"/>
      </rPr>
      <t>BETONIRANJE ARMIRANO-BETONSKOG STUBIŠTA 1. KATA, BETONOM C25/30, XC1</t>
    </r>
    <r>
      <rPr>
        <sz val="10"/>
        <rFont val="Microsoft Sans Serif"/>
        <family val="2"/>
      </rPr>
      <t xml:space="preserve"> U DAŠČANOJ OPLATI PREMA PROJEKTU, STATIČKOM PRORAČUNU I ARMATURNIM NACRTIMA. U STAVKU URAČUNAT SAV POTREBAN RAD I MATERIJAL.</t>
    </r>
  </si>
  <si>
    <r>
      <t xml:space="preserve">DOBAVA MATERIJALA I </t>
    </r>
    <r>
      <rPr>
        <b/>
        <sz val="10"/>
        <rFont val="Microsoft Sans Serif"/>
        <family val="2"/>
      </rPr>
      <t>BETONIRANJE ARMIRANO-BETONSKIH ZIDOVA I STUPOVA 1. KATA, BETONOM C25/30, XC1</t>
    </r>
    <r>
      <rPr>
        <sz val="10"/>
        <rFont val="Microsoft Sans Serif"/>
        <family val="2"/>
      </rPr>
      <t xml:space="preserve"> U DAŠČANOJ OPLATI PREMA PROJEKTU, STATIČKOM PRORAČUNU I ARMATURNIM NACRTIMA. U STAVKU URAČUNAT SAV POTREBAN RAD I MATERIJAL.</t>
    </r>
  </si>
  <si>
    <r>
      <t xml:space="preserve">DOBAVA MATERIJALA I </t>
    </r>
    <r>
      <rPr>
        <b/>
        <sz val="10"/>
        <rFont val="Microsoft Sans Serif"/>
        <family val="2"/>
      </rPr>
      <t>BETONIRANJE ARMIRANO-BETONSKIH GREDA I HORIZONTALNIH SERKLAŽA 1. KATA, BETONOM C25/30, XC1</t>
    </r>
    <r>
      <rPr>
        <sz val="10"/>
        <rFont val="Microsoft Sans Serif"/>
        <family val="2"/>
      </rPr>
      <t xml:space="preserve"> U DAŠČANOJ OPLATI PREMA PROJEKTU, STATIČKOM PRORAČUNU I ARMATURNIM NACRTIMA. U STAVKU URAČUNAT SAV POTREBAN RAD I MATERIJAL.</t>
    </r>
  </si>
  <si>
    <r>
      <t xml:space="preserve">DOBAVA MATERIJALA I </t>
    </r>
    <r>
      <rPr>
        <b/>
        <sz val="10"/>
        <rFont val="Microsoft Sans Serif"/>
        <family val="2"/>
      </rPr>
      <t>BETONIRANJE ARMIRANO-BETONSKE STROPNE PLOČE 1. KATA DEBLJINE 25 CM,  BETONOM C25/30, XC1</t>
    </r>
    <r>
      <rPr>
        <sz val="10"/>
        <rFont val="Microsoft Sans Serif"/>
        <family val="2"/>
      </rPr>
      <t xml:space="preserve">  U GLATKOJ VELIKOPLOŠNOJ OPLATI PREMA PROJEKTU, STATIČKOM PRORAČUNU I ARMATURNIM NACRTIMA. U STAVKU URAČUNAT SAV POTREBAN RAD I MATERIJAL.  VISINA PODUPIRANJA DO 4 M.</t>
    </r>
  </si>
  <si>
    <r>
      <t xml:space="preserve">DOBAVA MATERIJALA I </t>
    </r>
    <r>
      <rPr>
        <b/>
        <sz val="10"/>
        <rFont val="Microsoft Sans Serif"/>
        <family val="2"/>
      </rPr>
      <t>BETONIRANJE ARMIRANO-BETONSKOG KROVNOG AB NADOZIDA DEBLJINE 25 CM I ISTAKA DVORIŠNE STREHE DEBLJINE 12 CM (U RAZINI STROPNE PLOČE 1. KATA),  BETONOM C25/30, XC1</t>
    </r>
    <r>
      <rPr>
        <sz val="10"/>
        <rFont val="Microsoft Sans Serif"/>
        <family val="2"/>
      </rPr>
      <t xml:space="preserve">  U DAŠČANOJ OPLATI PREMA PROJEKTU, STATIČKOM PRORAČUNU I ARMATURNIM NACRTIMA. U STAVKU URAČUNAT SAV POTREBAN RAD I MATERIJAL.</t>
    </r>
  </si>
  <si>
    <r>
      <t xml:space="preserve">DOBAVA MATERIJALA I </t>
    </r>
    <r>
      <rPr>
        <b/>
        <sz val="10"/>
        <rFont val="Microsoft Sans Serif"/>
        <family val="2"/>
      </rPr>
      <t>BETONIRANJE ARMIRANO-BETONSKIH ZIDOVA I STUPOVA POTKROVLJA, BETONOM C25/30, XC1</t>
    </r>
    <r>
      <rPr>
        <sz val="10"/>
        <rFont val="Microsoft Sans Serif"/>
        <family val="2"/>
      </rPr>
      <t xml:space="preserve"> U DAŠČANOJ OPLATI PREMA PROJEKTU, STATIČKOM PRORAČUNU I ARMATURNIM NACRTIMA. U STAVKU URAČUNAT SAV POTREBAN RAD I MATERIJAL.</t>
    </r>
  </si>
  <si>
    <r>
      <t xml:space="preserve">DOBAVA MATERIJALA I </t>
    </r>
    <r>
      <rPr>
        <b/>
        <sz val="10"/>
        <rFont val="Microsoft Sans Serif"/>
        <family val="2"/>
      </rPr>
      <t>BETONIRANJE ARMIRANO-BETONSKIH GREDA I HORIZONTALNIH SERKLAŽA POTKROVLJA, BETONOM C25/30, XC1</t>
    </r>
    <r>
      <rPr>
        <sz val="10"/>
        <rFont val="Microsoft Sans Serif"/>
        <family val="2"/>
      </rPr>
      <t xml:space="preserve"> U DAŠČANOJ OPLATI PREMA PROJEKTU, STATIČKOM PRORAČUNU I ARMATURNIM NACRTIMA. U STAVKU URAČUNAT SAV POTREBAN RAD I MATERIJAL.</t>
    </r>
  </si>
  <si>
    <r>
      <t xml:space="preserve">DOBAVA MATERIJALA I JEDNOSTRANO </t>
    </r>
    <r>
      <rPr>
        <b/>
        <sz val="10"/>
        <rFont val="Microsoft Sans Serif"/>
        <family val="2"/>
      </rPr>
      <t xml:space="preserve">TORKRETIRANJE POSTOJEĆEG ULIČNOG ZIDA 1. KATA ARMIRANIM BETONOM DEBLJINE 5 CM, 
</t>
    </r>
    <r>
      <rPr>
        <sz val="10"/>
        <rFont val="Microsoft Sans Serif"/>
        <family val="2"/>
      </rPr>
      <t>Postojeći zid se s unutarnje strane torkretira sa slojem armiranog betona od 5 cm (C25/30). Sloj torkreta se povezuje s postojećim zidanim zidom kemijski (injekcijskim mortom), armaturnim šipkama ubušenim na rasteru 30x30 cm i armira s mrežama.
PREMA PROJEKTU, STATIČKOM PRORAČUNU I ARMATURNIM NACRTIMA. U STAVKU URAČUNAT SAV POTREBAN RAD I MATERIJAL. VISINA DO 3 M.</t>
    </r>
  </si>
  <si>
    <r>
      <t xml:space="preserve">DOBAVA MATERIJALA I JEDNOSTRANO </t>
    </r>
    <r>
      <rPr>
        <b/>
        <sz val="10"/>
        <rFont val="Microsoft Sans Serif"/>
        <family val="2"/>
      </rPr>
      <t xml:space="preserve">TORKRETIRANJE POSTOJEĆEG ULIČNOG ZIDA POTKROVLJA ARMIRANIM BETONOM DEBLJINE 5 CM,
</t>
    </r>
    <r>
      <rPr>
        <sz val="10"/>
        <rFont val="Microsoft Sans Serif"/>
        <family val="2"/>
      </rPr>
      <t>Postojeći zid se s unutarnje strane torkretira sa slojem armiranog betona od 5 cm (C25/30). Sloj torkreta se povezuje s postojećim zidanim zidom kemijski (injekcijskim mortom), armaturnim šipkama ubušenim na rasteru 30x30 cm i armira s mrežama.</t>
    </r>
    <r>
      <rPr>
        <b/>
        <sz val="10"/>
        <rFont val="Microsoft Sans Serif"/>
        <family val="2"/>
      </rPr>
      <t xml:space="preserve">
</t>
    </r>
    <r>
      <rPr>
        <sz val="10"/>
        <rFont val="Microsoft Sans Serif"/>
        <family val="2"/>
      </rPr>
      <t>PREMA PROJEKTU, STATIČKOM PRORAČUNU I ARMATURNIM NACRTIMA. U STAVKU URAČUNAT SAV POTREBAN RAD I MATERIJAL.  VISINA DO 3 M.</t>
    </r>
  </si>
  <si>
    <r>
      <t xml:space="preserve">DOBAVA MATERIJALA I JEDNOSTRANO </t>
    </r>
    <r>
      <rPr>
        <b/>
        <sz val="10"/>
        <rFont val="Microsoft Sans Serif"/>
        <family val="2"/>
      </rPr>
      <t xml:space="preserve">TORKRETIRANJE POSTOJEĆEG ULIČNOG ZIDA PRIZEMLJA ARMIRANIM BETONOM DEBLJINE 5 CM,
</t>
    </r>
    <r>
      <rPr>
        <sz val="10"/>
        <rFont val="Microsoft Sans Serif"/>
        <family val="2"/>
      </rPr>
      <t>Postojeći zid se s unutarnje strane torkretira sa slojem armiranog betona od 5 cm (C25/30). Sloj torkreta se povezuje s postojećim zidanim zidom kemijski (injekcijskim mortom), armaturnim šipkama ubušenim na rasteru 30x30 cm i armira s mrežama.</t>
    </r>
    <r>
      <rPr>
        <b/>
        <sz val="10"/>
        <rFont val="Microsoft Sans Serif"/>
        <family val="2"/>
      </rPr>
      <t xml:space="preserve">
</t>
    </r>
    <r>
      <rPr>
        <sz val="10"/>
        <rFont val="Microsoft Sans Serif"/>
        <family val="2"/>
      </rPr>
      <t>PREMA PROJEKTU, STATIČKOM PRORAČUNU I ARMATURNIM NACRTIMA. U STAVKU URAČUNAT SAV POTREBAN RAD I MATERIJAL.  VISINA DO 3 M.</t>
    </r>
  </si>
  <si>
    <r>
      <t xml:space="preserve">DOBAVA MATERIJALA, IZRADA I UGRADNJA </t>
    </r>
    <r>
      <rPr>
        <b/>
        <sz val="10"/>
        <rFont val="Microsoft Sans Serif"/>
        <family val="2"/>
      </rPr>
      <t>UNUTRAŠNJIH PROZORSKIH KLUPČICA</t>
    </r>
    <r>
      <rPr>
        <sz val="10"/>
        <rFont val="Microsoft Sans Serif"/>
        <family val="2"/>
      </rPr>
      <t xml:space="preserve"> OD HRASTOVINE I KLASE, DEBLJINE MIN 3 CM, STOLARSKE KVALITETE. ZAVRŠNA OBRADA LAZURNI BEZBOJNI PREMAZ. UKLJUČIVO SILIKONIRANJE RUBOVA PRIJE LIČENJA.</t>
    </r>
  </si>
  <si>
    <r>
      <t>DOBAVA MATERIJALA I</t>
    </r>
    <r>
      <rPr>
        <b/>
        <sz val="10"/>
        <rFont val="Microsoft Sans Serif"/>
        <family val="2"/>
      </rPr>
      <t xml:space="preserve"> IZRADA UNUTARNJE STROJNE CEMENTNE PRODUŽNE ŽBUKE ZIDOVA  </t>
    </r>
    <r>
      <rPr>
        <sz val="10"/>
        <rFont val="Microsoft Sans Serif"/>
        <family val="2"/>
      </rPr>
      <t xml:space="preserve"> D=1,5 CM NA PODLOZI OD AB ILI BLOK OPEKE, UKLJUČIVO KONTAKTNI VEZNI SLOJ, KUTNI PROFILI, RABICIRANO PO UGLOVIMA (CCA 10 % POVRŠINE). SKELA UKLJUČENA U CIJENU. VISINA DO 3 M. KORISTITI GOTOVU INDUSTRIJSKI PRIREĐENU SMJESU.</t>
    </r>
  </si>
  <si>
    <r>
      <t>DOBAVA MATERIJALA ČIŠĆENJE, REZANJE, SAVIJANJE, UGRADNJA I FIKSIRANJE</t>
    </r>
    <r>
      <rPr>
        <b/>
        <sz val="10"/>
        <rFont val="Microsoft Sans Serif"/>
        <family val="2"/>
      </rPr>
      <t xml:space="preserve"> ARMATURE </t>
    </r>
    <r>
      <rPr>
        <sz val="10"/>
        <rFont val="Microsoft Sans Serif"/>
        <family val="2"/>
      </rPr>
      <t>ZA ARMIRANO BETONSKE KONSTRUKCIJE (UKLJUČUJE I ARMATURU TORKRETIRANIH ZIDOVA POSTOJEĆEG ULIČNOG PROČELJA). U SVEMU PREMA PLANU ARMATURE IZ IZVEDBENOG PROJEKTA.</t>
    </r>
  </si>
  <si>
    <r>
      <t xml:space="preserve">DOBAVA MATERIJALA I </t>
    </r>
    <r>
      <rPr>
        <b/>
        <sz val="10"/>
        <rFont val="Microsoft Sans Serif"/>
        <family val="2"/>
      </rPr>
      <t xml:space="preserve">LIČENJE STROPOVA I KOSIH STROPNIH PLOHA POTKROVLJA POLUDIPERZIJSKOM BOJOM  </t>
    </r>
    <r>
      <rPr>
        <sz val="10"/>
        <rFont val="Microsoft Sans Serif"/>
        <family val="2"/>
      </rPr>
      <t>KOMPLET S PRIPREMOM OŽBUKANE PODLOGE ILI NA PRIPREMLJENU PODLOGU OD G/K PLOČA. PRIPREMA PODLOGE OBUHVAĆA SLIJEDEĆE: OTPRAŠIVANJE I GLETANJA, BRUŠENJE I OTPRAŠIVANJE. LIČENJE U POTREBNOM BROJU PREMAZA (NAJMANJE DVA) DO POTPUNOG PREKRIVANJA PODLOGE.</t>
    </r>
  </si>
  <si>
    <t>B.XIV</t>
  </si>
  <si>
    <t>KONZERVATORSKO RESTAURATORSKI RADOVI</t>
  </si>
  <si>
    <t>DOBAVA MATERIJALA, IZRADA ŽBUKE I ŽBUKANJE SVIH POVRŠINA I VUČENIH PROFILA GRUBOM VAPNENOM ŽBUKOM BEZ ZAVRŠNE OBRADE, TJ GLETANJA NA ČISTU I HRAPAVU PODLOGU. PODLOGU PRIJE ŽBUKANJA VLAŽITI DA NE ISUŠI ŽBUKU. ŽBUKANJE IZVODITI NAKON PRIRODNOG ISUŠIVANJA OPEČNIH ZIDOVA PO PREKIDU KAPILARNE VLAGE. KORISTITI GOTOVU, INDUSTRIJSKI PRIPREMLJENU MJEŠAVINU RENOMIRANOG PROIZVOĐAČA GRANULACIJE DO 2 MM, POGODNU ZA RAD NA SPOMENICIMA KULTURE I ODOBRENU OD STRANE KONZERVATORSKOG NADZORA. U CIJENI JE I IZVLAČENJE SVIH DUBOKIH PROFILACIJA NA PLOHAMA PROČELJA KOJE JE NUŽNO IZVESTI U OVOJ ETAPI ŽBUKANJA.</t>
  </si>
  <si>
    <t>POVRŠINA RAČUNATA S KOREKCIJSKIM FAKTOROM 2</t>
  </si>
  <si>
    <t>DOBAVA MATERIJALA, IZRADA ŽBUKE I ŽBUKANJE SVIH POVRŠINA PROČELJA FINOM VAPNENOM PRODUŽNOM ŽBUKOM UZ IZVLAČENJE SVIH DUBOKIH I PLITKIH PROFILACIJA NA PLOHAMA PROČELJA. KORISTITI GOTOVU, INDUSTRIJSKI PRIPREMLJENU MJEŠAVINU RENOMIRANOG PROIZVOĐAČA GRANULACIJE DO 1 MM, POGODNU ZA RAD NA SPOMENICIMA KULTURE I ODOBRENU OD STRANE KONZERVATORSKOG NADZORA. ZAVRŠNA OBRADA U GLATKO.</t>
  </si>
  <si>
    <t>POVRŠINA RAČUNATA S KOREKCIJSKIM FAKTOROM 3</t>
  </si>
  <si>
    <t>DOBAVA MATERIJALA, IZRADA ŽBUKE I ŽBUKANJE PODNOŽNOG DIJELA ZIDA PROČELJA U VISINI OD CCA 80 CM SANACIJSKOM ŽBUKOM.  KORISTITI GOTOVU, INDUSTRIJSKI PRIPREMLJENU MJEŠAVINU RENOMIRANOG PROIZVOĐAČA GRANULACIJE DO 1 MM, POGODNU ZA RAD NA SPOMENICIMA KULTURE. ZAVRŠNA OBRADA U GLATKO, DRVENOM GLADILICOM.</t>
  </si>
  <si>
    <t>ŠABLONA</t>
  </si>
  <si>
    <t>B.VIII.</t>
  </si>
  <si>
    <t>SLOJ ZAVRŠNE FASADNE TANKOSLOJNE SILIKATNO-SILIKONSKE ŽBUKE GRANULACIJE 1, 5 MM U BOJI PO IZBORU (U DOGOVORU SA NADLEŽNIM KONZERVATOROM), KOMPLET S PRIPREMOM OŽBUKANE PODLOGE. PRIPREMA PODLOGE OBUHVAĆA SLIJEDEĆE: OTPRAŠIVANJE I IMPREGNACIJU PREMA UPUTAMA PROIZVOĐAČA ŽBUKE,  BRUŠENJE I OTPRAŠIVANJE. NAKON KRAĆEG STVRDNJAVANJA ŽBUKU ZARIBATI KRUŽNO PLASTIČNOM GLADILICOM.
NA ZABATNIM PROČELJIMA IZVODE SE PROFILACIJE UZ RUB KROVA (KAO POSTOJEĆE, PROFILACIJA P1 A PREMA SNIMLJENOM STANJU I IZRAĐENOJ ŠABLONI - OBRAĐENO DRUGDJE),
OKO SVIH PROZORA IZVODE SE PASPARTUI ŠIRINE 10 CM U RAVNINI OSNOVNE PLOHE PROČELJA, OD ŽBUKE NEKOLIKO NIJANSI SVJETLIJE OD OSNOVNE BOJE PROČELJA).</t>
  </si>
  <si>
    <r>
      <rPr>
        <b/>
        <sz val="10"/>
        <rFont val="Microsoft Sans Serif"/>
        <family val="2"/>
      </rPr>
      <t xml:space="preserve">P1 </t>
    </r>
    <r>
      <rPr>
        <sz val="10"/>
        <rFont val="Microsoft Sans Serif"/>
        <family val="2"/>
      </rPr>
      <t>- PROFILACIJA NA JUŽNOM ZABATNOM ZIDU (ISPOD KROVA)</t>
    </r>
  </si>
  <si>
    <r>
      <rPr>
        <b/>
        <sz val="10"/>
        <rFont val="Microsoft Sans Serif"/>
        <family val="2"/>
      </rPr>
      <t>P2</t>
    </r>
    <r>
      <rPr>
        <sz val="10"/>
        <rFont val="Microsoft Sans Serif"/>
        <family val="2"/>
      </rPr>
      <t xml:space="preserve"> - PROFILACIJA ZAVRŠNOG VIJENCA OSNOVNOG KROVA NA ULIČNOM PROČELJU (UKLJUČIVO PROFILACIJU NA ISTAKNUTOM ULAZNOM VOLUMENU)</t>
    </r>
  </si>
  <si>
    <r>
      <rPr>
        <b/>
        <sz val="10"/>
        <rFont val="Microsoft Sans Serif"/>
        <family val="2"/>
      </rPr>
      <t>P3</t>
    </r>
    <r>
      <rPr>
        <sz val="10"/>
        <rFont val="Microsoft Sans Serif"/>
        <family val="2"/>
      </rPr>
      <t xml:space="preserve"> - PROFILACIJA ZAVRŠNOG VIJENCA KROVA NA ULIČNOM ERKERU</t>
    </r>
  </si>
  <si>
    <r>
      <rPr>
        <b/>
        <sz val="10"/>
        <rFont val="Microsoft Sans Serif"/>
        <family val="2"/>
      </rPr>
      <t>P4</t>
    </r>
    <r>
      <rPr>
        <sz val="10"/>
        <rFont val="Microsoft Sans Serif"/>
        <family val="2"/>
      </rPr>
      <t xml:space="preserve"> - PROFILACIJA RAZDJELNOG VIJENCA IZMEĐU PRIZEMLJA I 1. KATA</t>
    </r>
  </si>
  <si>
    <t>SNIMANJE PROFILA POSTOJEĆIH  VUČENIH PROFILACIJA I DETALJA PROČELJA, NJIHOVO ISCRTAVANJE UZ ODOBRENJE NADLEŽNOG KONZERVATORSKOG NADZORA PRIJE OBIJANJE POSTOJEĆE ŽBUKE S UPISOM U GRAĐEVINSKI DNEVNIK.</t>
  </si>
  <si>
    <r>
      <rPr>
        <b/>
        <sz val="10"/>
        <rFont val="Microsoft Sans Serif"/>
        <family val="2"/>
      </rPr>
      <t>P5</t>
    </r>
    <r>
      <rPr>
        <sz val="10"/>
        <rFont val="Microsoft Sans Serif"/>
        <family val="2"/>
      </rPr>
      <t xml:space="preserve"> - PROFILACIJA PROZORSKE KLUPČICE PROZORA NA OSNOVNOM ULIČNOM PROČELJU</t>
    </r>
  </si>
  <si>
    <r>
      <rPr>
        <b/>
        <sz val="10"/>
        <rFont val="Microsoft Sans Serif"/>
        <family val="2"/>
      </rPr>
      <t>P6</t>
    </r>
    <r>
      <rPr>
        <sz val="10"/>
        <rFont val="Microsoft Sans Serif"/>
        <family val="2"/>
      </rPr>
      <t xml:space="preserve"> - PROFILACIJA PROZORSKE KLUPČICE PROZORA NA ULIČNOM PROČELJU ISTAKNUTOG ULAZNOG VOLUMENA (1. KAT)</t>
    </r>
  </si>
  <si>
    <r>
      <t xml:space="preserve">DOBAVA MATERIJALA  IZRADA KALUPA I DRVENIH I LIMENIH ŠABLONA SA METALNIM RUBOM ZA VUČENE PROFILACIJE PREMA POSTOJEĆIM PROFILACIJAMA I PREMA KATALOGU VUČENIH PROFILACIJA (ŠABLONE IZRADITI PRIJE UKLANJANJA ŽBUKE!) I </t>
    </r>
    <r>
      <rPr>
        <b/>
        <sz val="10"/>
        <rFont val="Microsoft Sans Serif"/>
        <family val="2"/>
      </rPr>
      <t xml:space="preserve">IZRADA VUČENIH PROFILACIJA </t>
    </r>
    <r>
      <rPr>
        <sz val="10"/>
        <rFont val="Microsoft Sans Serif"/>
        <family val="2"/>
      </rPr>
      <t>NA PROČELJU U FINOM VAPNENOM MORTU I NJIHOVA ZAVRŠNA OBRADA U 'GLATKO'. ŠABLONE JE POTREBNO PREZENTIRATI I ZATRAŽITI ODOBRENJE OD KONZERVATORSKOG NADZORA PRIJE OBIJANJE POSTOJEĆE ŽBUKE S UPISOM U GRAĐEVINSKI DNEVNIK.</t>
    </r>
  </si>
  <si>
    <r>
      <rPr>
        <b/>
        <sz val="10"/>
        <rFont val="Microsoft Sans Serif"/>
        <family val="2"/>
      </rPr>
      <t>P7</t>
    </r>
    <r>
      <rPr>
        <sz val="10"/>
        <rFont val="Microsoft Sans Serif"/>
        <family val="2"/>
      </rPr>
      <t xml:space="preserve"> - PROFILACIJA ELIPTIČNE LUNETE NA ULIČNOM PROČELJU ISTAKNUTOG ULAZNOG VOLUMENA</t>
    </r>
  </si>
  <si>
    <t>KONZERVATORSKO RESTAURATORSKI UKUPNO</t>
  </si>
  <si>
    <t>Izrada, dobava i ugradnja zaokretno-otklopnih prozora i fiksnih stijena u visokoizolativnom prozorskom sistemu od drvenih profila, s prekidom toplinskog mosta. Ugradbena dubina štoka iznosi 75 mm, krila 85 mm. Povišena toplinska izolativnost sistema se postiže na slijedeći način :
- stijenke izolatora s dobrim izolativnim svojstvima  (λ=0.031 W/mK), koji prekidaju toplinske tokove zraka  i konvekciju u prostoru prekida toplinskog mosta (izolator)  
- srednja brtva je trokomorna.  
- dosjedni dio izolatora na koji naliježe srednja brtva je trokomoran 
- u prostoru oko obruba stakla ugrađen je uložak od PE-pjene, koji  
  zajedno s unutarnjom brtvom stakla s produžetkom, prekida toplinske tokove, tj. konvekciju u tom prostoru.
- izolativni umeci se ne umeću naknadno u profil, nego su sistemski, integralni dio profila.
Okov je sistemski; konstrukcija okova mora omogućiti laku i jednostavnu ugradnju, "na klik", bez dodatnih bušenja i strojne obrade profila. Također je moguća ugradnja elektromotornog okova.</t>
  </si>
  <si>
    <r>
      <t>Toplinska izolacija se izvodi kaširanom kamenom vunom s crnim voalom. λ&lt; 0,035 W/m</t>
    </r>
    <r>
      <rPr>
        <vertAlign val="superscript"/>
        <sz val="10"/>
        <rFont val="Microsoft Sans Serif"/>
        <family val="2"/>
      </rPr>
      <t>2</t>
    </r>
    <r>
      <rPr>
        <sz val="10"/>
        <rFont val="Microsoft Sans Serif"/>
        <family val="2"/>
      </rPr>
      <t xml:space="preserve">K. Vuna se učvršćuje se plastičnim pričvrsnicama sa širokom glavom, u broju prema preporuci odabranog proizvođača. PVC pričvrsnice 6-8 kom/m². </t>
    </r>
  </si>
  <si>
    <t>INVESTITOR:</t>
  </si>
  <si>
    <t>HRVATSKE ŠUME D.O.O.</t>
  </si>
  <si>
    <t>sjedište investitora:</t>
  </si>
  <si>
    <t>Branimirova 1, 10000 Zagreb</t>
  </si>
  <si>
    <t>GRAĐEVINA:</t>
  </si>
  <si>
    <t>lokacija zahvata:</t>
  </si>
  <si>
    <t>k.č.br. 1952 k.o. Grabar</t>
  </si>
  <si>
    <t>Jelenići 5, Golubići</t>
  </si>
  <si>
    <t>datum:</t>
  </si>
  <si>
    <t>prosinac 2022.</t>
  </si>
  <si>
    <t>Projektant arhitekture:</t>
  </si>
  <si>
    <t>UGOSTITELJSKO-TURISTIČKA GRAĐEVINA
PLANINARSKI DOM JELENIĆ KUĆA</t>
  </si>
  <si>
    <t xml:space="preserve">Priprema suhe podloge vrši se strojno sačmarenjem, niveliranjem, brušenjem ili frezanjem. Priprema se izvodi radi odstranjivanja loših dijelova, onečišćenja i cementnog mlijeka sa komplet čišćenjem, usisavanjem, a sve zbog potrebne prionjivosti podne obloge za podlogu. Podloga treba imati minimalnu vlačnu čvrstoću 1,5 N/mm².
Izvršiti sanaciju pukotina, oštećenjana podu kao i korekciju visina sa reparaturnim mortom na bazi epoksidnih smola i punila na bazi kvarcnog pijeska, izrazito visoke otpornosti na habanje i opterećenja.                                                                      Tlačna čvrstoća: 80 N/mm2
Savojna čvrstoća: 40 N/mm2
Dobava i ugradnja podnog sustava na bazi dvokomponentnih epoksidnih smola i specijalnih punila sukladno ponuđenom sustavu podne obloge u svim potrebnim slojeveima prema uputama proizvođača do potpune gotovosti sustava.
Nijansu boje poda izabrati u dogovoru sa  projektantom.
Stavaka uključuje i izrada zaobljenog spoja zida i poda tkz. holker sokla od radijusa R=3 cm i visine 8 cm od epoksidnog morta i nanošenje završnog premaza podne obloge.                           </t>
  </si>
  <si>
    <t xml:space="preserve">Upute za održavanje
Dobavljač ća dostaviti 2 primjerka uvezanih uputa za održavanje, sa opisom materijala, uređaja i postupaka koje treba primijeniti za redovito čišćenje i održavanje sustava. Uključeni su opisi upotrijebljenih materijala – drvenih elemenata, metalnih legura, površinskih obrada, stakla, brtvi i ostalih glavnih komponenti.
</t>
  </si>
  <si>
    <r>
      <t xml:space="preserve">IZRADA, DOBAVA I UGRADNJA </t>
    </r>
    <r>
      <rPr>
        <b/>
        <sz val="10"/>
        <rFont val="Microsoft Sans Serif"/>
        <family val="2"/>
      </rPr>
      <t>JEDNOKRILNOG OTKLOPNOG KROVNOG PROZORA</t>
    </r>
    <r>
      <rPr>
        <sz val="10"/>
        <rFont val="Microsoft Sans Serif"/>
        <family val="2"/>
      </rPr>
      <t xml:space="preserve"> </t>
    </r>
    <r>
      <rPr>
        <b/>
        <sz val="10"/>
        <rFont val="Microsoft Sans Serif"/>
        <family val="2"/>
      </rPr>
      <t>ZA ODIMLJAVANJE STUBIŠTA</t>
    </r>
    <r>
      <rPr>
        <sz val="10"/>
        <rFont val="Microsoft Sans Serif"/>
        <family val="2"/>
      </rPr>
      <t xml:space="preserve"> (ODT) PROIZVODNE MJERE 110/113 CM. DOPROZORNIK I OKVIR KRILA OD HRASTOVINE I KLASE - GREDICE 8/8 CM. OSTAKLJENJE IZO STAKLOM 6/16/4 S LOW-E PREMAZOM I ISPUNJENO PLEMENITIM PLINOM. ZAVRŠNA OBRADA DRVETA, LAZURNI PREMAZ + PRIPREMNE RADNJE U TONU PO IZBORU PROJEKTANTA U DOGOVORU SA NADLEŽNIM KONZERVATOROM. UKLJUČIVO POTREBAN POSEBANI OKOV ZA AUTOMATSKO OTVARANJE ZA ODIMLJAVANJE U SLUČAJU POŽARA (PREKO SUSTAVA VATRODOJAVE). 
SVE MJERE POTREBNO JE PROVJERITI U NARAVI!
RADIONIČKE NACRTE PRIJE IZVEDBE TREBA PREGLEDATI I OVJERITI PROJEKTANT I NADLEŽNI KONZERVATOR!
</t>
    </r>
  </si>
  <si>
    <r>
      <t xml:space="preserve">IZRADA, DOBAVA I UGRADNJA </t>
    </r>
    <r>
      <rPr>
        <b/>
        <sz val="10"/>
        <rFont val="Microsoft Sans Serif"/>
        <family val="2"/>
      </rPr>
      <t>DVOKRILNOG ZAOKRETNOG PROZORA</t>
    </r>
    <r>
      <rPr>
        <sz val="10"/>
        <rFont val="Microsoft Sans Serif"/>
        <family val="2"/>
      </rPr>
      <t xml:space="preserve"> ULIČNOG PROČELJA (PRIZEMLJE), PROIZVODNE MJERE 88/148 CM. DOPROZORNIK I OKVIR KRILA OD HRASTOVINE I KLASE. OSTAKLJENJE IZO STAKLOM 6/16/4 S LOW-E PREMAZOM I ISPUNJENO PLEMENITIM PLINOM. ZAVRŠNA OBRADA DRVETA, LAZURNI PREMAZ + PRIPREMNE RADNJE U TONU PO IZBORU PROJEKTANTA OKOV: 2 PETLJE  ODGOVARAJUĆE NOSIVOSTI.  POLUOLIVA, ŠTITNICI,
</t>
    </r>
    <r>
      <rPr>
        <b/>
        <sz val="10"/>
        <rFont val="Microsoft Sans Serif"/>
        <family val="2"/>
      </rPr>
      <t>PROZOR SE IZRAĐUJE PREMA SAČUVANOM UZORKU POSTOJEĆEG ULIČNOG PROZORA.</t>
    </r>
    <r>
      <rPr>
        <sz val="10"/>
        <rFont val="Microsoft Sans Serif"/>
        <family val="2"/>
      </rPr>
      <t xml:space="preserve">
SVE MJERE POTREBNO JE PROVJERITI U NARAVI!
RADIONIČKE NACRTE PRIJE IZVEDBE TREBA PREGLEDATI I OVJERITI PROJEKTANT I NADLEŽNI KONZERVATOR!
</t>
    </r>
  </si>
  <si>
    <r>
      <t xml:space="preserve">ST.2 - </t>
    </r>
    <r>
      <rPr>
        <sz val="10"/>
        <rFont val="Microsoft Sans Serif"/>
        <family val="2"/>
      </rPr>
      <t xml:space="preserve">UKLJUČIVO POTREBAN POSEBANI OKOV ZA AUTOMATSKO OTVARANJE (ZA ODIMLJAVANJE U SLUČAJU POŽARA, PREKO SUSTAVA VATRODOJAVE).  </t>
    </r>
  </si>
  <si>
    <r>
      <t>DOBAVA MATERIJALA, IZRADA OBRADA I UGRADNJA</t>
    </r>
    <r>
      <rPr>
        <b/>
        <sz val="10"/>
        <rFont val="Microsoft Sans Serif"/>
        <family val="2"/>
      </rPr>
      <t xml:space="preserve"> VANJSKE OBLOGE ZIDA GRAĐEVINE (SOKL) OD PUNOG PRIRODNOG KAMENOG MATERIJALA. KAMEN KAO POSTOJEĆI </t>
    </r>
    <r>
      <rPr>
        <sz val="10"/>
        <rFont val="Microsoft Sans Serif"/>
        <family val="2"/>
      </rPr>
      <t>(UPOTRIJEBITI POSTOJEĆI, PRETHODNO PAŽLJIVO UKLONJEN, ILI UPOTRIJEBITI NOVI KAMEN, ODABRATI KAMEN U DOGOVORU SA NADLEŽNIM KONZERVATOROM). DEBLJINA OBLOGE MIN 10 CM, ODNOSNO U SKLADU SA POSTOJEĆOM DEBLJINOM KAMENA.</t>
    </r>
  </si>
  <si>
    <r>
      <t xml:space="preserve">RESTAURACIJA POSTOJEĆIH GLAVNIH ULAZNIH  VRATA </t>
    </r>
    <r>
      <rPr>
        <sz val="10"/>
        <rFont val="Microsoft Sans Serif"/>
        <family val="2"/>
      </rPr>
      <t>I NJIHOVA PONOVNA UGRADNJA U DOGOVORU SA KONZERVATORSKIM NADZOROM. OPISANO U KONZERVATORSKO RESTAURATORSKIM RADOVIMA.</t>
    </r>
  </si>
  <si>
    <r>
      <t xml:space="preserve">RESTAURACIJA POSTOJEĆIH GLAVNIH ULAZNIH  VRATA, NJIHOVO VRAĆANJE U TEHNIČKI ISPRAVNO STANJE </t>
    </r>
    <r>
      <rPr>
        <sz val="10"/>
        <rFont val="Microsoft Sans Serif"/>
        <family val="2"/>
      </rPr>
      <t>I NJIHOVA PONOVNA UGRADNJA, SVE U DOGOVORU SA NADLEŽNIM KONZERVATORSKIM NADZOROM. STAVKA UKLJUČUJE UVID U POSTOJEĆE STANJE PRIJE DAVANJA PONUDE.</t>
    </r>
  </si>
  <si>
    <r>
      <rPr>
        <b/>
        <sz val="10"/>
        <rFont val="Microsoft Sans Serif"/>
        <family val="2"/>
      </rPr>
      <t>P8</t>
    </r>
    <r>
      <rPr>
        <sz val="10"/>
        <rFont val="Microsoft Sans Serif"/>
        <family val="2"/>
      </rPr>
      <t xml:space="preserve"> - 3D IZMJERA ZA IZRADU KALUPA UKRASNE ARHITEKTONSKE PLASTIKE (GLAVE NA KROVU ULIČNOG PROČELJA ISTAKNUTOG ULAZNOG VOLUMENA)</t>
    </r>
  </si>
  <si>
    <t>ČIŠĆENJE OBJEKTA I GRADILIŠTA U TOKU TRAJANJA RADOVA IZ OVE GRUPE RADOVA I ZAVRŠNO FINO ČIŠĆENJE GRADILIŠTA I PRANJE GRAĐEVINE NAKON DOVRŠETKA GRADNJE I PREDAJE NA KORIŠTENJE INVESTITORU, SA ODVOZOM ŠUTE I SMEĆA NA GRADSKI DEPONIJ UZ PLAĆANJE KOMUNALNE NAKNADE.</t>
  </si>
  <si>
    <t>NAPOMENE:</t>
  </si>
  <si>
    <t>MANIPULATIVNE POVRŠINE</t>
  </si>
  <si>
    <t>PRIPREMNI RADOVI</t>
  </si>
  <si>
    <t>1.</t>
  </si>
  <si>
    <t>Zaštita postojećih instalacija</t>
  </si>
  <si>
    <t>Zaštita eventualnih postojećih podzemnih instalacija na nužnim mjestima nakon što se utvrdi točan položaj instalacija. Točan položaj instalacija potrebno je odrediti prije započinjanja radova na izvođenju predmetnog zahvata. Nadzorni inženjer i predstavnik vlasnika instalacija će potom odrediti mjere zaštite ili potrebu izmještanja instalacija sukladno posebnim uvjetima.
Stavkom su obuhvaćeni svi potrebni radovi za zaštitu instalacija.</t>
  </si>
  <si>
    <t>Obračun radova za kompletan rad</t>
  </si>
  <si>
    <t>kompl</t>
  </si>
  <si>
    <t>2.</t>
  </si>
  <si>
    <t>Geodetski radovi - iskolčenje trase</t>
  </si>
  <si>
    <t>Iskolčenje trase i nove ceste uz objekte, parkirališta, a koje obuhvaća sva geodetska mjerenja, kojima se podaci iz projekta prenose na teren ili s terena u projekte, osiguranje osi iskolčene trase, profiliranje, obnavljanje i održavanje iskolčenih oznaka na terenu za sve vrijeme građenja, odnosno do predaje radova investitoru. Cijena obuhvaća i izradu elaborata iskolčenja te geodetske snimke izvedenog stanja s prijavom nadležnom uredu za katastarske poslove.</t>
  </si>
  <si>
    <t>Obračun za kompletno izveden rad</t>
  </si>
  <si>
    <t>UKUPNO:</t>
  </si>
  <si>
    <t>II</t>
  </si>
  <si>
    <t>ZEMLJANI RADOVI</t>
  </si>
  <si>
    <t>Iskop za manipulativne površine i parkiralište</t>
  </si>
  <si>
    <t>Ovaj rad obuhvaća strojne široke iskope u materijalu "B" kategorije, prema potrebi ručno, a prema visinskim kotama iz projekta (dubina do 70 cm). Obračun po m³ stvarno iskopanog materijala u sraslom stanju.  Dio materijala privremeno deponirati na gradilištu za potrebe izrade nasipa, a višak odvesti na deponiju. Obračun po m³ iskopa u sraslom stanju.</t>
  </si>
  <si>
    <t xml:space="preserve"> - manipulativna kolno-pješačka i parkiralište</t>
  </si>
  <si>
    <t>Iskop za pješačke površine</t>
  </si>
  <si>
    <t>Ovaj rad obuhvaća strojne široke iskope u materijalu "B" kategorije, prema potrebi ručno, a prema visinskim kotama iz projekta (dubina 35,0 cm) . Obračun po m³ stvarno iskopanog materijala u sraslom stanju.  Dio materijala privremeno deponirati na gradilištu za potrebe izrade nasipa, a višak odvesti na deponiju. Obračun po m³ iskopa u sraslom stanju.</t>
  </si>
  <si>
    <t xml:space="preserve"> - pješačke površine (staze)</t>
  </si>
  <si>
    <t>3.</t>
  </si>
  <si>
    <t xml:space="preserve">Uređenje posteljice </t>
  </si>
  <si>
    <t>Izrada, planiranje i uređenje posteljice za pješačke i kolne površine, u zemljanom materijalu "B" kategorije, nakon iskopa. Potrebno je izvesti grubim i finim planiranjem materijala i zbijanjem istoga, u slojevima, na kote iz projekta i na traženi Ms=25MN/m². Obračun po m² uređene površine.</t>
  </si>
  <si>
    <t xml:space="preserve"> - kolno-pješačka i parkiralište</t>
  </si>
  <si>
    <t xml:space="preserve"> - pješačke staze</t>
  </si>
  <si>
    <t>4.</t>
  </si>
  <si>
    <t>Ugradnja sipine (agregat 16 - 32 mm)</t>
  </si>
  <si>
    <t>Nabava, doprema i ugradnja sipine, agregata frakcije 16-32 mm (ili finije) u nasipe,   U jediničnu cijenu uračunat sav materijal, rad, prijenosi i prijevozi, nasipanje, razastiranje i zbijanje ručnim nabijačima, u slojevima s vlaženjem. Obračun za m³ ugrađenog materijala.</t>
  </si>
  <si>
    <t>5.</t>
  </si>
  <si>
    <t>Uređenje pokosa</t>
  </si>
  <si>
    <t>Nasipavanje sitnim materijalom iz iskopa u širini do 1,0 m od ruba prometnice  (niveliranje sa okolnim tlom). Obračun po m² uređene površine.</t>
  </si>
  <si>
    <t>Potporni zid (parkiralište)</t>
  </si>
  <si>
    <t>Izrada AB potpornog zida s temeljima, beton klase C 25/30, XC2, XF2, armatura B500B.</t>
  </si>
  <si>
    <t xml:space="preserve"> - podložni beton C 12/15</t>
  </si>
  <si>
    <t xml:space="preserve"> - beton C25/30</t>
  </si>
  <si>
    <t xml:space="preserve"> - armatura B500B</t>
  </si>
  <si>
    <t xml:space="preserve"> - oplata</t>
  </si>
  <si>
    <t>Plan oplate i nacrt armature za potporni zid</t>
  </si>
  <si>
    <t>Izrada planova oplate i nacrta armature za potporni zid parkirališta.</t>
  </si>
  <si>
    <t>III</t>
  </si>
  <si>
    <t>KONSTRUKCIJA MANIPULATIVNIH POVRŠINA</t>
  </si>
  <si>
    <t>* Stavkama obuhvaćen sav rad i materijal</t>
  </si>
  <si>
    <t>Vodopropusni završni sloj</t>
  </si>
  <si>
    <t>Nabava, transport i ugradnja vodopropusnog završnog sloja pješačko-kolne površine, debljine 6,0 cm, (kameni agregat 1-8 mm, organsko vezivo 6 kg/t agregata). Ugradnja se izvodi između postavljenih rubnjaka ili pocinčanih čeličnih traka površinu uvaljati valjcima te zaliti vodom (za aktivaciju veziva). Obračun po m² ugrađene površine</t>
  </si>
  <si>
    <t>Ustroj manipulativne površine od tucanika (kolne i pješačke na čestici)</t>
  </si>
  <si>
    <t>Strojna izrada nosivog  sloja od zrnatog kamenog materijala veličine zrna od 0/32 mm bez veziva, u debljini prema projektu.  Traženi modul stišljivosti Ms=95 MN/m². U cijenu je uključena dobava kamenih prirodnih ili drobljenih zrnatih materijala kakvoće i granulometrije prema zahtjevima projekta i OTU, utovar, prijevoz, i ugradba (strojno razastiranje, planiranje i zbijanje do traženog modula stišljivosti ili stupnja zbijenosti) na uređenu  podlogu. Sloj od 40,0 cm i 25,0 cm, mjeri u kubičnim metrima ugrađenog materijala u zbijenom stanju. U cijenu je uračunat i izravnavajući sloj kamenog materijala (filer). Obračun po m³ ugrađenog tucanika</t>
  </si>
  <si>
    <t xml:space="preserve"> - d=35,0 cm</t>
  </si>
  <si>
    <t xml:space="preserve"> - d=25,0 cm</t>
  </si>
  <si>
    <t xml:space="preserve">Ugradnja betonskih kanalica </t>
  </si>
  <si>
    <t>Dobava, transport i ugradnja betonskih kanalica širine 35 cm. Slažu se na pripremljenu nosivu podlogu u zemljovlažnom betonu sa ispunom spojnice cementnim mortom (uz sjevernu pješačku stazu). Obračun po m¹ izvedbe.</t>
  </si>
  <si>
    <t>Pocinčane čelične trake (rubnjak)</t>
  </si>
  <si>
    <t>Nabava, doprema i ugradnja pocinčanih čeličnih traka d=6mm, širine 150 mm, kao graničnika pješačkih površina i ostalih.
Na betonskoj podlozi C 12/15. Obračun prema metru dužnom ugrađenih traka.</t>
  </si>
  <si>
    <t>IV</t>
  </si>
  <si>
    <t>Privremena regulacija prometa</t>
  </si>
  <si>
    <t>Postavljanje prometne signalizacije za privremenu regulaciju prometa u vrijeme izvođenja radova, određene Pravilnikom o privremenoj regulaciji prometa i označavanju te osiguranju radova na cestama (NN 92/19) i prikazano u nacrtima projekta. Obračun za kompletno izveden rad s opremom.</t>
  </si>
  <si>
    <t>PRIVREMENA REGULACIJA PROMETA</t>
  </si>
  <si>
    <t>V</t>
  </si>
  <si>
    <t>KONTROLA IZVEDBE</t>
  </si>
  <si>
    <t>Troškovi ispitivanja materijala, uzimanja uzoraka, laboratorijska obrada sa izdavanjem atesta, te ispitivanje svih ugrađenih slojeva nasipa i kolničke konstrukcije. Ispitivanje se vrši u slijedećem obimu:</t>
  </si>
  <si>
    <t xml:space="preserve"> - Ispitivanje modula stišljivosti  Ms svih slojeva nasipa i posteljice</t>
  </si>
  <si>
    <t xml:space="preserve"> - Ispitivanje modula stišljovosti Ms tamponskog sloja.</t>
  </si>
  <si>
    <t xml:space="preserve"> - Ispitivanje modula stišljovosti Ms nasutog sloja pijeska.</t>
  </si>
  <si>
    <t>Kompletan materijal kao dokaz kvalitete izvedenih radova i ugrađenog materijala trebaju činiti:</t>
  </si>
  <si>
    <t xml:space="preserve"> - Atesti za sve ugrađene materijale i elemente </t>
  </si>
  <si>
    <t xml:space="preserve"> - Izvještaji o kontrolnim ispitivanjima</t>
  </si>
  <si>
    <t>Obračun za komplet provedenu kontrolu</t>
  </si>
  <si>
    <t xml:space="preserve">Radovi za odvodnju manipulativnih površina obuhvaćena troškovnikom </t>
  </si>
  <si>
    <t>vodoopskrbe, odvodnje i vatrozaštite.</t>
  </si>
  <si>
    <t>Radove izvoditi u fazama ovisno o polaganju instalacija vodoopskrbe i odvodnje.</t>
  </si>
  <si>
    <t>REKAPITULACIJA</t>
  </si>
  <si>
    <t>REKAPITULACIJA MANIPULATIVNE POVRŠINE</t>
  </si>
  <si>
    <t>VODOOPSKRBA, ODVODNJA I VATROZAŠTITA</t>
  </si>
  <si>
    <t>PRIPREMNI  RADOVI</t>
  </si>
  <si>
    <t>Iskolčenje trase instalacija vodoopskrbe i  instalacija odvodnje, uključivo sve objekte na trasi, a odnosi se na sva geodetska mjerenja s kojima se podaci s iz projekta prenose na teren, osiguranje osi iskolčenja, profiliranje, obnavljanje i oržavanje za vrijeme građenja do predaje radova investitoru.</t>
  </si>
  <si>
    <t>Iskop jame za objekte vodoopskrbe i odvodnje,  dubine do 4,5 m. Obuhvaća strojni i prema potrbi ručni iskop zemlje, u zemljanom tlu u materijalu "B" katgorije, a nakon iskopa za manipulativne površine.  U jediničnu cijenu uračunati su svi radovi na iskopu materijala, vertikalni prijenosi, utovari u prijevozna sredstva,  planiranje iskopanih površina sa odvozom viška materijala na  deponiju, te potrebno osiguranje iskopa. Obračun po m³ izvršenog iskopa.</t>
  </si>
  <si>
    <t>Iskop za okna odvodnje</t>
  </si>
  <si>
    <t>Strojni iskop u materijalu "B" kategorije, po potrebi  i ručni,  dubine do 2,0 m.  U jediničnu cijenu uračunati su svi radovi na iskopu materijala, vertikalni prijenosi, utovari u prijevozna sredstva,  planiranje iskopanih površina sa odvozom viška materijala na  deponiju, te potrebno osiguranje iskopa. Obračun po m³ izvršenog iskopa.</t>
  </si>
  <si>
    <t>Iskop rova za polaganje cijevi vodoopskrbe i odvodnje</t>
  </si>
  <si>
    <t>Iskop rova u materijalu "B" kategorije, za polaganje cijevi vodoopskrbe, odvodnje i hidrantske mreže,  dubine do 1,0 m. Izvodi se između temelja građevine. U jediničnu cijenu uračunati su svi radovi na iskopu materijala, vertikalni prijenosi, zaštita stabilnosti, utovari u prijevozna sredstva,  planiranje iskopanih površina i odvoz viška materijala na gradsku deponiju. Obračun po m³ izvršenog iskopa.</t>
  </si>
  <si>
    <t>Ugradnja pijeska (rov vodoopskrbe i odvodnje, objekti na trasi)</t>
  </si>
  <si>
    <t xml:space="preserve">Nabava, doprema i ugradnja pijeska: kao podloga za polaganje cijevi: vodoopskrbe, vanjske hidrantske mreže, odvodnje i objekata na trasama, u sloju debljine minimalno 10 cm, te za nadsloj do min. 30 cm od tjemena cijevi, odnosno do visine za posteljicu prometnih površina.  U jediničnu cijenu uračunat sav materijal, rad, prijenosi i prijevozi, nasipanje, razastiranje i zbijanje u slojevima. Obračun za m³ ugrađenog pijeska. </t>
  </si>
  <si>
    <t>Drobljeni kamen za drenažu</t>
  </si>
  <si>
    <t>Nabava, doprema i ugradnja drobljenog kamena  kao punila za polaganje drenažne cijevi, tucanik 30-60 mm, čist</t>
  </si>
  <si>
    <t>6.</t>
  </si>
  <si>
    <t>Nabava, doprema i ugradnja sipine, agregata frakcije 16-32 mm (ili finije) u rovove odvdnje i vodoopskrbe, objekata na trasi cjevovoda vodoopskrbe i odvodnje. U jediničnu cijenu uračunat sav materijal, rad, prijenosi i prijevozi, nasipanje, razastiranje i zbijanje ručnim nabijačima, u slojevima s vlaženjem. Obračun za m³ ugrađenog materijala</t>
  </si>
  <si>
    <t>7.</t>
  </si>
  <si>
    <t>Razupiranje građevinske jame</t>
  </si>
  <si>
    <t>Razupiranje građevinske jame sustavom velikoplošne klizne oplate, dokazane nosivosti opterećenja tlačne sile koji se obvezno ugrađuju bez vibracija metodom utiskivanja-potkopavanja. Predviđeno je 100% razupiranja bočnih površina, a rad obuhvaća sastavljanje oplate, ugradnju, premještanje i rastavljanje, te snižavanje podzemne vode pumpama. Obračun po kompletno ugrađenom sustavu za površine:</t>
  </si>
  <si>
    <t xml:space="preserve"> - beton C30/37 </t>
  </si>
  <si>
    <t xml:space="preserve"> - vodena brtva</t>
  </si>
  <si>
    <t xml:space="preserve"> (bubreća traka na bazi polimera, koja se montira u radne reške betona radi postizanja vodonepropusnosti)</t>
  </si>
  <si>
    <t xml:space="preserve"> - LŽ penjalice</t>
  </si>
  <si>
    <t xml:space="preserve"> - LŽ poklopac 700x700, D400</t>
  </si>
  <si>
    <t>Betoniranje ab ploče za bio-pročistač</t>
  </si>
  <si>
    <t>Izrada ab ploče (temeljne), za postavljanje pročistača, beton klase  C 30/37, XC2</t>
  </si>
  <si>
    <t xml:space="preserve"> - poklopac, Ø100, D400</t>
  </si>
  <si>
    <t>Betoniranje stijenki (zidova) i gornje ploče pročistača</t>
  </si>
  <si>
    <t>Izrada ab gornje ploče i ispuna dvostrukih stijenki uređaja pročistača, betonom klase       C 30/37, XC2</t>
  </si>
  <si>
    <t>Betoniranje za sabirnu jamu</t>
  </si>
  <si>
    <t>Izrada ab podložne i pokrovne ploče, te ugradnja betona uz zidne elemente uređaja, beton klase C 30/37, XC2, VDP2</t>
  </si>
  <si>
    <t xml:space="preserve">Betoniranje prstena za RO </t>
  </si>
  <si>
    <t>Izrada ab prstena (rasteretne ploče) iznad kontrolnih okana oborinske odvodnje, beton klase C 25/30. Iskaz količina je za predviđenih 6 kom.</t>
  </si>
  <si>
    <t xml:space="preserve"> - beton C 25/30</t>
  </si>
  <si>
    <t>m³</t>
  </si>
  <si>
    <t xml:space="preserve"> - armatura B500B (mreža Q-257 obostrano)</t>
  </si>
  <si>
    <t>m²</t>
  </si>
  <si>
    <t>Izrada nacrta armature za pripadajuću ugradnju uređaja na trasi</t>
  </si>
  <si>
    <t>kpl</t>
  </si>
  <si>
    <t>BET. I ARMIRANOBETONSKI RADOVI</t>
  </si>
  <si>
    <t>HIDROIZOLACIJA SPREMNIKA PITKE VODE</t>
  </si>
  <si>
    <t xml:space="preserve">Čišćenje podloge vodom visokog pritiska; ispuhivanjem; sačmarenjem ili slično. Podloga mora biti suha, čista,bez udjela ulja i masti, bez nevezanog materijala i cementnog mlijeka. Eventualne boje i premaze potrebno je odstraniti. (Veće neravnine i šupljine sanirati   epoksidnim mortovima!) </t>
  </si>
  <si>
    <t>Dobava i postava jednokomp. cementnog hidroizolacijskog morta ojačanog vlaknima , mort se izvodi u  dva do tri sloja ukupne debljine 3 mm. Može se ugraditi gleterom, valjkom ili četkom prema omjeru miješanja s vodom navedenom u tehničkom listu.  Potrošnja cca. 1,9 kg/1mm/m².</t>
  </si>
  <si>
    <t>Zaštititi mort od pretjeranog hlapljenje i preranog isušivanja. Prije ulijevanja vode koja će se koristiti za piće sve površine dobro isprati vodom kako bi se isprali preostali sadržaji materijala i nečistoća. Obračun za m² ugrađene površine, uključivo i obrada prodora.</t>
  </si>
  <si>
    <t>Napomena:</t>
  </si>
  <si>
    <t>Kod izvođenja radova treba se pridržavati smjernica o primjeni propisanoj od strane proizvođača materijala. Prije uporabe materijala obavezno pročitati najnovije tehničke listove.</t>
  </si>
  <si>
    <t>Dobava i postava okruglih brtvi (hidroizolacijskih obujmica) na mjestima prodora cijevi kroz konstrukciju (pojedinačne cijevi). Profilaciju obujmica prilagoditi profilu cijevi (nacrti u projektu). Ugradnja prema uputi proizvođača.</t>
  </si>
  <si>
    <t>m¹</t>
  </si>
  <si>
    <t xml:space="preserve">HIDROIZOLACIJA SPREMNIKA </t>
  </si>
  <si>
    <t>PITKE VODE</t>
  </si>
  <si>
    <t>INSTALACIJE ODVODNJE (SANITARNO-FEKALNA I OBORINSKA)</t>
  </si>
  <si>
    <t>Temeljni razvod sanitarno-fekalne odvodnje</t>
  </si>
  <si>
    <t xml:space="preserve"> - DN 110 </t>
  </si>
  <si>
    <t xml:space="preserve"> - DN 125</t>
  </si>
  <si>
    <t xml:space="preserve"> - DN 160 </t>
  </si>
  <si>
    <t xml:space="preserve"> - d 50</t>
  </si>
  <si>
    <t xml:space="preserve"> - d 70</t>
  </si>
  <si>
    <t xml:space="preserve"> - d 110</t>
  </si>
  <si>
    <t xml:space="preserve"> - d 125</t>
  </si>
  <si>
    <t xml:space="preserve">PE cijevi korugirane </t>
  </si>
  <si>
    <t>Nabava, doprema i montaža (ugradnja) rebrastih kanalizacijskih cijevi od polietilena, s rebrastom vanjskom i glatkom unutarnjom površinom cijevi, nosivosti S8. Spajanje se izvodi  prema uputi proizvođača. Obračun po m¹ ugrađene cijevi, sa svim fazonskim komadima i materijalom za spajanje i pričvršćivanje.</t>
  </si>
  <si>
    <t xml:space="preserve"> - DN 160</t>
  </si>
  <si>
    <t xml:space="preserve"> - DN 160 djelomično perforirane</t>
  </si>
  <si>
    <t xml:space="preserve"> - geotekstil 200 g/m²</t>
  </si>
  <si>
    <t>Cijevi za oborinsku odvodnju zgrade</t>
  </si>
  <si>
    <t>Biološki uređaj za pročišćavanje otpadne vode (dvostruka zidna stijenka)</t>
  </si>
  <si>
    <t xml:space="preserve">Nabava, doprema i ugradnja biološkog pročistača otpadnih voda, komplet sa puhalom u zasebnoj prozračnoj kutiji, razdjelnim ormarićem smještenim na stupu pokraj uređaja (zaključan i osiguran od neovlaštenog pristupa), sve prema uputama i specifikacijama proizvođača.
</t>
  </si>
  <si>
    <t>Karakteristike:</t>
  </si>
  <si>
    <t>Aerobno-anaerobni</t>
  </si>
  <si>
    <t xml:space="preserve"> ES 18-25</t>
  </si>
  <si>
    <t>BPK5 =1,2 kg/dan.</t>
  </si>
  <si>
    <t>El snaga = 100 W</t>
  </si>
  <si>
    <t>Obračun za kompletno ugrađe uređaj.</t>
  </si>
  <si>
    <t>Sabirna jama</t>
  </si>
  <si>
    <t>Spremnik za kišnicu</t>
  </si>
  <si>
    <t>Dobava i montaža podzemnog polipropilenskog  spremnika za kišnicu, zapremine 8,0 m³, vanjskih dimenzija 200x350 cm, debljina stjenke 8 cm  . U cijenu uključen sav materijal i rad, prijenosi i prijevozi, izrada i postava.  Ugradnja prema uputama proizvođača. Stavkom obuhvatiti i pripadajući hidropak: crpaka, upravljačka jedinica (Q=0,4 l/s, geodetska visina dizanja 15,0 m)</t>
  </si>
  <si>
    <t>8.</t>
  </si>
  <si>
    <t>Revizijski elementi na vertikalama odvodnje</t>
  </si>
  <si>
    <t>Dobava i ugradba  fazonskih elemenata za reviziju kanalizacijskih vertikala s vratašcima. U cijenu uključen sav materijal i rad. Obračun po ugrađenom komadu.</t>
  </si>
  <si>
    <t>9.</t>
  </si>
  <si>
    <t>Ugradba ventilacijskih kapa</t>
  </si>
  <si>
    <t>Dobava i ugradba ventilacijskih fazonskih kapa  za odzračivanje kanalizacije sa zaštitnom mrežicom i kišnom zaštitom, DN 160. U cijenu uključen sav materijal i rad, prijenosi i prijevozi, izrada i postavljnje. Obračun po ugrađenom komadu.</t>
  </si>
  <si>
    <t>10.</t>
  </si>
  <si>
    <t xml:space="preserve">Ugradbeni sifon za kondenzat </t>
  </si>
  <si>
    <t>Dobava i ugradba ugradbenih PP sifona za kondenzat  (dimnjak, ventilacija,  grijači uređaji..), sa vodenim i mehaničkim zatvaračem zadaha. Ugradnja prema uputi proizvođača i strojarskom projektu. Obračun po ugrađenom komadu.</t>
  </si>
  <si>
    <t>11.</t>
  </si>
  <si>
    <t>Revizijsko okno / baza DN 600</t>
  </si>
  <si>
    <t>12.</t>
  </si>
  <si>
    <t>Okno (slivnik) s rešetkom</t>
  </si>
  <si>
    <t>Dobava materijala, izrada i ugradnja RO oborinske odvodnje s taložnikom izrađenog od PE rebrastih cijevi promjera DN 500 mm, sa dnom od PE ploče,  SN8. Ugradnja okna prema položaju iz situacije odvodnje. Okno se polaže na sloj zbijenog pijeska, a na gornju stranu se betonira betonski vijenac na koji se ugrađuje cestovna rešetka klase nosivosti D400. U cijenu uračunati  i sve potrebne fazonske komade i potreban materijal za učvršćenje i slično. Obračun po komadu kompletno ugrađenog okna s rešetkom.</t>
  </si>
  <si>
    <t xml:space="preserve"> - DN 500, H= 100 cm</t>
  </si>
  <si>
    <t xml:space="preserve"> - rešetka 35x35 cm</t>
  </si>
  <si>
    <t>13.</t>
  </si>
  <si>
    <t>Kišni slivnik (kolektor)</t>
  </si>
  <si>
    <t xml:space="preserve">Nabava, doprema i montaža kišnih slivnika, sabirnika za kišnicu od polipropilena i lijevanog željeza, za direktno spajanje oborinskih vertikala na instalacije odvodnje, DN 110/125, sa hvatačem lišća, zatvaračem mirisa, 360° horizontalno podesivim kuglastim zglobom. Obračun za kompletno ugrađen slivnik do potpune funkcionalnosti. </t>
  </si>
  <si>
    <t>14.</t>
  </si>
  <si>
    <t xml:space="preserve">Plino/vodotijesni poklopac </t>
  </si>
  <si>
    <t xml:space="preserve">Nabava, doprema i ugradnja polopca od pocinčanog čelika, s mogućnošću ispune završnim slojem, svijetle dimenzije 60x60 cm, visine ispune 8 cm, od pocinčanog čelika, nosivosti D400, brtvom za vodonepropusnost i plinotijesnost. Sadrži opremu za otvaranje i podizanje. Ugradnja prema uputi proizvođača. Obračun po komadu kompletno ugrađenog poklopca. </t>
  </si>
  <si>
    <t>15.</t>
  </si>
  <si>
    <t>Mehaničko čišćenje kanalizacije</t>
  </si>
  <si>
    <t>Mehaničko čišćenje kanalizacije nakon izvedbe, a prije tlačne probe i puštanja u funkciju.</t>
  </si>
  <si>
    <t>16.</t>
  </si>
  <si>
    <t>Ispitivanje vodonepropusnosti sustava odvodnje</t>
  </si>
  <si>
    <t>Ispitivanje izgrađenog gravitacijskog kanalizacijskog cjevovoda i pripadajuća revizijska okna na protočnost i vodonepropusnost, a u skladu s važećim propisima, te izdavanje Izvješća o rezultatu ispitivanja.</t>
  </si>
  <si>
    <t>17.</t>
  </si>
  <si>
    <t>Puštanje sistema u rad</t>
  </si>
  <si>
    <t>Puštanje cijelog sistema u rad, uključivo i probni pogon.</t>
  </si>
  <si>
    <t>Obračun po kompletno izvršenom radu</t>
  </si>
  <si>
    <t>INSTALACIJE ODVODNJE</t>
  </si>
  <si>
    <t>VI</t>
  </si>
  <si>
    <t>INSTALACIJE VODOOPSKRBE</t>
  </si>
  <si>
    <t xml:space="preserve">Priključni vod vodoopskrbe i temeljni razvod (pitka voda) </t>
  </si>
  <si>
    <t>Dobava i montaža polietilenske cijevi visoke gustoće za distibuciju pitke vode, u temeljnom razvodu, (klase materijala PE100, PN 10   Spajanje pomoću elektrospojnica, prirubnica i spojnih elemenata. U stavci su uključeni svi potrebni fazonski komadi, spojni i brtveni materijal te izrada oslonca cijevi. Sve prodore instalacije vodovoda kroz konstrukciju izvesti u zaštitnoj  cijevi. U stavku uračunati potrebnu termoizolaciju.  
Za cijevi slijedećih dim., obračun po dužnom metru izvedene cijevi.</t>
  </si>
  <si>
    <t xml:space="preserve"> - DN/OD 32</t>
  </si>
  <si>
    <t xml:space="preserve">Priključni vod opskrbe spremnika kišnice i temeljni razvod opskrbe iz spremnika za WC </t>
  </si>
  <si>
    <t>Dobava i montaža polietilenske cijevi visoke gustoće za opskrbu (dopunjavanje) spremnika kišnice i distribuciju kišnice u temeljnom razvodu, (klase materijala PE100, PN 10 .  Spajanje pomoću elektrospojnica, prirubnica i spojnih elemenata. U stavci su uključeni svi potrebni fazonski komadi, spojni i brtveni materijal te izrada oslonca cijevi. Sve prodore instalacije vodovoda kroz konstrukciju izvesti u zaštitnoj  cijevi. U stavku uračunati potrebnu termoizolaciju.  
Za cijevi slijedećih dim., obračun po dužnom metru izvedene cijevi.</t>
  </si>
  <si>
    <t xml:space="preserve"> - DN/OD 20</t>
  </si>
  <si>
    <t>Unutarnji razvod vodoopskrbe</t>
  </si>
  <si>
    <t xml:space="preserve">Cijevi hladne vode položene u zidnim usjecima i podu sa zaštitnom cijevi ili originalnom PE pjenastom izolacijom. Cijevi tople vode i cirkulacije tople vode izolirane originalnom PE pjenastom izolacijom ili  standardnom izolacijom. </t>
  </si>
  <si>
    <t xml:space="preserve">d  16x2,25 mm (DN 12) </t>
  </si>
  <si>
    <t xml:space="preserve">d  20x2,50 mm (DN 15) </t>
  </si>
  <si>
    <t xml:space="preserve">d  26x3,00 mm (DN 20) </t>
  </si>
  <si>
    <t>Unutarnji razvod kišnice</t>
  </si>
  <si>
    <t>Ugradnja ventila (pitka voda)</t>
  </si>
  <si>
    <t xml:space="preserve">Dobava i montaža PPR ravnih propusnih ventila za uzidavanje s kapom i rozetom, galvanskom prevlakom od nikla i kroma na vodoopskrbne instalacije hladne vode. </t>
  </si>
  <si>
    <t xml:space="preserve"> - DN 32</t>
  </si>
  <si>
    <t xml:space="preserve"> - DN 25</t>
  </si>
  <si>
    <t xml:space="preserve"> - DN 20</t>
  </si>
  <si>
    <t>Hidrostanica (pitka voda)</t>
  </si>
  <si>
    <t>Nabava, doprema i ugradnja:</t>
  </si>
  <si>
    <t>Stavkom obuhvaćena nabava i ugradnja fazonskih komada, fitinga, prirubnica i spojnica, usisna korpa....</t>
  </si>
  <si>
    <t xml:space="preserve"> - hidrostanica</t>
  </si>
  <si>
    <t xml:space="preserve"> - ugradnja</t>
  </si>
  <si>
    <t>Crpka za dopunjavaje spremnika kišnice</t>
  </si>
  <si>
    <t>Dobava i ugradnja potopne (dubinska) crpke za čistu vodu sa elektroupravljačkim sklopom, od inox-a, max. radni tlak 15 bar, za dopunjavanje spremnika kišnice. sa zaštitom od rada nasuho, izbacivanja, previsokog napona (preniskog), preopterećenja i pregrijavanja, jednofazna ...snaga cca 0,5 kW.</t>
  </si>
  <si>
    <t>Crpka za recirkulaciju PTV</t>
  </si>
  <si>
    <t>Dobava i ugradnja optočne crpke za pitku toplu vodu sa elektroupravljačkim sklopom i holenderima. Stavkom obuhvaćen sav spojni, brtveni i pričvrsni materijal.</t>
  </si>
  <si>
    <t xml:space="preserve"> Q=0,5 m³/h;  DN 15</t>
  </si>
  <si>
    <t>Obračun za komplet ugrađenu crpku.</t>
  </si>
  <si>
    <t>Ispitivanje vodoopskrbnog cjevovoda na tlak</t>
  </si>
  <si>
    <t>Ispitivanje cjevovoda na hidrostatski pritisak prema uvjetima iz tehničkog opisa i prema važećim propisima.</t>
  </si>
  <si>
    <t>Dezinfekcija cjevovoda</t>
  </si>
  <si>
    <t>Ispitivanje i dezinfekcija cjevovoda nakon tlačne probe.</t>
  </si>
  <si>
    <t>Bakteriološka proba</t>
  </si>
  <si>
    <t>Bakteriološka proba i uzimanje uzoraka vode, te ishođenje atesta o sanitarnoj ispravnosti vode.</t>
  </si>
  <si>
    <t>INSTALACIJE VODOOPSKRBE I HIDR. MREŽE</t>
  </si>
  <si>
    <t>VII</t>
  </si>
  <si>
    <t>SANITARNI UREĐAJI, GALANTERIJA I OPREMA</t>
  </si>
  <si>
    <t>Umivaonici</t>
  </si>
  <si>
    <t>Nabava i montaža umivaonika od sanitarne keramike I klase, bijele boje, dimenzija prema arhitektonskom projektu, u kompletu s jedoručnom stojećom dovodnom armaturom i odvodnom kromiranom garniturom. Za ugradnju u gips-kartonski zid uključena i nosiva potkonstrukcija s ugradbenim samostojećim blokom. Stavkom obuhvaćen sav rad i materijal uključivo spojni i brtveni materijal. Obračun po ugrađenom kompletu.</t>
  </si>
  <si>
    <t xml:space="preserve"> - ugradnja u gips-karton zid</t>
  </si>
  <si>
    <t>WC školjke</t>
  </si>
  <si>
    <t>Dobava i montaža WC školjke od sanitarne keramike I klase, bijele boje, viseće</t>
  </si>
  <si>
    <t>U komplet uključeno:</t>
  </si>
  <si>
    <t xml:space="preserve"> WC školjka</t>
  </si>
  <si>
    <t>daska - poklopac za WC školjku od tvrde plastike</t>
  </si>
  <si>
    <t>niskomontažni vodokotlić s ispirnom cijevi, potisnom pločom,  poklopcem i tipkama.</t>
  </si>
  <si>
    <t>nosiva potkonstrukcija s ugradbenim blokom</t>
  </si>
  <si>
    <t>Stavkom obuhvaćen sav rad i materijal uključivo spojni i brtveni materijal. Obračun po ugrađenom kompletu.</t>
  </si>
  <si>
    <t xml:space="preserve"> - ugradnja u gips-kartonski zid</t>
  </si>
  <si>
    <t>Pisoar</t>
  </si>
  <si>
    <t xml:space="preserve">Dobava i ugradba zidnog pisoara od keramike I klase, bijele boje. Stavka uključuje dobavu i ugradnju vijaka i tipli za montažu na zid, silikonski kit za brtvljenje, elektrosenzorski ispirač za pisoar (električni pisomat), kutne ventile, te odljevnu garnituru. Obračun po ugrađenom kompletu. </t>
  </si>
  <si>
    <t>Za ugradnju uključena nosiva potkonstrukcija.</t>
  </si>
  <si>
    <t xml:space="preserve"> - ugradnja u gips-kartonski zid </t>
  </si>
  <si>
    <t>Tuš kada</t>
  </si>
  <si>
    <t>Izljevne garniture za tuševe</t>
  </si>
  <si>
    <t xml:space="preserve">Dobava i montaža tuš garniture s jednoručnom mješalicom, nadglavnim tušem, ručnim tušem, podesivom ulazno-izlaznom cijevi. Obračun za komplet ugrađenu garnituru, uključivo ventile i sav spojni i brtveni materijal. </t>
  </si>
  <si>
    <t>Ugradnja "paravana" za tuš kadu</t>
  </si>
  <si>
    <t>Dobava, prijenos i montaža paravana za tuš kadu sa visećim vratima i magnetnim brtvama  od kaljenog stakla 6 mm, dimenzija i orijentacije otvaranja prema arhitektonskom projektu. Uključivo sa profilima i svim materijalom za ugradnju. Obračun po komplet ugrađenom paravanu.</t>
  </si>
  <si>
    <t>Vindabona</t>
  </si>
  <si>
    <t xml:space="preserve">Dobava i ugradba vindabone za tehničke prostore, dimenzija prema arhitektonskom projektu, pripadajuća dovodna i odvodna armatura. Stavkom obuhvaćen sav rad i materijal uključivo spojni i brtveni. Obračun po ugrađenom kompletu. </t>
  </si>
  <si>
    <t>Podni slivnik iz nehrđajućeg čelika</t>
  </si>
  <si>
    <t xml:space="preserve">Nabava, doprema i ugradnja slivnika iz nehrđajućeg čelika 20x20 cm, promjera izljevne cijevi DN70, mrežastom elektropoliranom pokrovnom rešetkom i košaricom za prikupljanje nečistoća. Obračun za komplet funkcionalno ugrađeni slivnik. </t>
  </si>
  <si>
    <t>Podni slivnik za sanitarne čvorove</t>
  </si>
  <si>
    <t xml:space="preserve">Nabava, doprema i ugradnja horizontalnog podnog slivnika DN 50, sa zatvaračem zadaha i inox rešetkom. Obračun za komplet funkcionalno ugrađeni slivnik. </t>
  </si>
  <si>
    <t>Dozator tekućeg sapuna</t>
  </si>
  <si>
    <t>Dobava i montaža zidnog dozatora za tekući sapun od PVC-a, zapremine 0,8 do 1,2l. Stavkom obuhvaćen i sav spojni i montažni materijal. Obračun za komad ugrađenog elementa.</t>
  </si>
  <si>
    <t>Držač toaletnog papira</t>
  </si>
  <si>
    <t>Dobava i montaža kružnog držača (dozatora) toaletnog papira od inox-a, u roli za 1 industrijsku rolu 275 mm, ručno doziranje.   Stavkom obuhvaćen i sav spojni i montažni materijal. Obračun za komad ugrađenog držača.</t>
  </si>
  <si>
    <t>Zidno ogledalo</t>
  </si>
  <si>
    <t>Dobava i montaža zidnog ogledala od brušenog stakla 4 mm, prema izboru investitora, za prostore sanitarnih čvorova. Stavkom obuhvaćen pribor za montažu. Obračun za komad montiranog ogledala.</t>
  </si>
  <si>
    <t>Držači četke za WC</t>
  </si>
  <si>
    <t xml:space="preserve">Dobava i postavljanje  držača četke za WC prema izboru investitora. </t>
  </si>
  <si>
    <t>Kante za otpad</t>
  </si>
  <si>
    <t>Dobava i postavljanje kanti za otpad od inox-a za prostore sanitarnih čvorova prema izboru projektanta. Obračun za postavljeni komad.</t>
  </si>
  <si>
    <t xml:space="preserve"> - 20 l</t>
  </si>
  <si>
    <t>VIII</t>
  </si>
  <si>
    <t>VATROZAŠTITA</t>
  </si>
  <si>
    <t>Vatrootporna izolacija za cijevi</t>
  </si>
  <si>
    <t>Nabava, doprema i ugradnja zaštitne vatrootporne izolacije (obujmice, trake ili pjena) na mjestima prodora  cijevi kroz zidove i sptropove između požarnih sektora, klase otpornosti iste kao i konstrukcija, dimenzija prema nacrtima. Obračun prema broju mjesta prodora sa svim potrebnim radom i materijalom.</t>
  </si>
  <si>
    <t xml:space="preserve">Aparati za početno gašenje </t>
  </si>
  <si>
    <t>Aparat ta početno gašenje požara sa oznakom mjesta (naljepnicom)</t>
  </si>
  <si>
    <t xml:space="preserve"> - 5 JG (F)</t>
  </si>
  <si>
    <t xml:space="preserve"> - 6 JG (21A)</t>
  </si>
  <si>
    <t xml:space="preserve"> - 9 JG</t>
  </si>
  <si>
    <t xml:space="preserve">       </t>
  </si>
  <si>
    <t>INSTALACIJE VODOOPSKRBE I HIDRANTSKE MREŽE</t>
  </si>
  <si>
    <t>REKAPITULACIJA RADOVI NA INSTALACIJAMA VOOVODA, ODVODNJE I VATROZAŠTITE</t>
  </si>
  <si>
    <t>VODOVOD, ODVODNJA I VATROZAŠTITA</t>
  </si>
  <si>
    <t xml:space="preserve">Troškovnik elektrotehničkih instalacija (UGOSTITELJSKO-TURISTIČKA GRAĐEVINA
PLANINARSKI DOM JELENIĆ KUĆA)
</t>
  </si>
  <si>
    <t>E.1. Rasvjetni stupovi opće rasvjete, NN ormari, NN i DTK razvod</t>
  </si>
  <si>
    <t>Red.broj.</t>
  </si>
  <si>
    <t>Opis</t>
  </si>
  <si>
    <t>Jed. mjere</t>
  </si>
  <si>
    <t xml:space="preserve">Kol. </t>
  </si>
  <si>
    <t>Jed. cijena (€)</t>
  </si>
  <si>
    <t>Ukupna cijena (€)</t>
  </si>
  <si>
    <t>Građevinski radovi i kabelski razvod</t>
  </si>
  <si>
    <t>Geodetski radovi: Iskolčenje trase kabela, montažnih zdenaca i rasvjetnih stupova, postavljanje i održavanje oznaka od početka radova do predaje svih radova investitoru, sva mjerenja u vezi prijenosa podataka iz projekta na teren i obrnuto, te izrada snimke izvedenog stanja vodova (3 primjerka) ovjerenu od strane mjerodavnog katastra.  Obračun po m¹ iskolčene trase.</t>
  </si>
  <si>
    <t>m</t>
  </si>
  <si>
    <t>Probni iskopi: ručni iskop rova, dubine 1.2 m, širine 0.4 m i dužine 5m, u zemljanom tlu u materijalu kategorije "C". U jediničnu cijenu uračunati su svi radovi na iskopu materijala, vertikalni prijenosi, utovari u prijevozna sredstva, radovi na uređenju i čišćenju pokosa, planiranje iskopanih i susjednih površina te zatrpavanje. Obračun po m³ stvarno izvedenog iskopa u sraslom stanju.</t>
  </si>
  <si>
    <r>
      <t>m</t>
    </r>
    <r>
      <rPr>
        <vertAlign val="superscript"/>
        <sz val="10"/>
        <rFont val="Arial"/>
        <family val="2"/>
        <charset val="238"/>
      </rPr>
      <t>3</t>
    </r>
  </si>
  <si>
    <t>Iskop rova za instalacije (kabel ili cijev i traka za uzemljenje): Strojni iskop zemlje, a prema potrebi i ručni, dubine do 1,2 m, širine 0,4 m u zemljanom tlu u materijalu kategorije "C".  Izvodi se u zbijenom nasipu uz svu potrebnu zaštitu stabilnosti iskopa (razupiranje, odvodnja, zbijanje).  U jediničnu cijenu uračunati su svi radovi na iskopu materijala, vertikalni prijenosi, utovari u prijevozna sredstva, radovi na uređenju i čišćenju pokosa, planiranje iskopanih i susjednih površina.  Obračun po m³ stvarno izvedenog iskopa u sraslom stanju.</t>
  </si>
  <si>
    <t>Iskop rova za instalacije (kabel ili cijev i traka za uzemljenje): Strojni iskop zemlje, a prema potrebi i ručni, dubine 0,8 m, širine 0,4 m u zemljanom tlu u materijalu kategorije "C".  Izvodi se u zbijenom nasipu uz svu potrebnu zaštitu stabilnosti iskopa (razupiranje, odvodnja, zbijanje).  U jediničnu cijenu uračunati su svi radovi na iskopu materijala, vertikalni prijenosi, utovari u prijevozna sredstva, radovi na uređenju i čišćenju pokosa, planiranje iskopanih i susjednih površina.  Obračun po m³ stvarno izvedenog iskopa u sraslom stanju.</t>
  </si>
  <si>
    <t>Podložni sloj i obloga od pijeska: Obuhvaća pripremu podloge, dobavu materijala, utovar, prijevoz, istovar, razastiranje, zbijanje, taj. sav rad na izradi i ugradnji sloja i obloge. Obračun po m³ stvarno izvedene količine.</t>
  </si>
  <si>
    <t>Iskop temeljne jame za rasvjetni stup visine 4m: strojni iskop u zemljištu C kategorije, dimenzije 0,8x0,8x1 m. U jediničnu cijenu uračunati su svi radovi na iskopu materijala, vertikalni prijenosi, utovari u prijevozna sredstva, radovi na uređenju i čišćenju pokosa, planiranje iskopanih i susjednih površina.  Obračun po m³ stvarno izvedenog iskopa u sraslom stanju.</t>
  </si>
  <si>
    <t xml:space="preserve">Dobava i ugradnja materijala za izradu temelja rasvjetnog stupa visine 4m što uključuje:  </t>
  </si>
  <si>
    <t>planiranje dna prethodno iskopane jame te razastiranje tamponskog sloja šljunka d=10cm (0.07m3);</t>
  </si>
  <si>
    <t>uvlačenje dvije savitljive PEHD cijevi Ф75 mm duljine 1.5 m u temelj;</t>
  </si>
  <si>
    <t>dobava i montaža armature B-500 (mreža Q-335) u gornjem dijelu temelja</t>
  </si>
  <si>
    <t>formiranje kape temelja uporabom oplate s izvođenjem skošenja od sredine prema rubu radi otjecanja oborinske vode;</t>
  </si>
  <si>
    <t>te sve ostalo potrebno za kompletno dovršenje rada (u stavku uključiti potrebnu drvenu oplatu koja se postavlja u slučaju potrebe).</t>
  </si>
  <si>
    <t>Obračun po komadu ugrađenog temelja</t>
  </si>
  <si>
    <t xml:space="preserve">Iskop temeljne jame za rasvjetni stup, oznake u legendi V2, dimenzija 0,5x0,5x0,5m. U jediničnu cijenu uračunati su svi radovi na iskopu materijala, vertikalni prijenosi, utovari u prijevozna sredstva, radovi na uređenju i čišćenju pokosa, planiranje iskopanih i susjednih površina.  </t>
  </si>
  <si>
    <t xml:space="preserve">Dobava i ugradnja materijala za izradu temelja rasvjetnog stupa tip V2 što uključuje:  </t>
  </si>
  <si>
    <t>planiranje dna prethodno iskopane jame te razastiranje tamponskog sloja šljunka d=10cm (0.025m3);</t>
  </si>
  <si>
    <t>uvlačenje tri savitljive PEHD cijevi Ф40 mm duljine 0,7m u temelj;</t>
  </si>
  <si>
    <t>betoniranje temelja betonom marke betona C25(30) 0,125m3, uz centriranje čeličnih sidrenih vijaka šablonom;</t>
  </si>
  <si>
    <t>Dobava i ugradnja ankera za montažu svjetiljke na beton</t>
  </si>
  <si>
    <t>Iskop jame za ugradnju kabelskog zdenca (obračun iskopa mjeri se po komadu jame):</t>
  </si>
  <si>
    <t>Izradu posteljice za postavu kabelskog zdenca od nabijenog pijeska debljine 10 cm (0,1 m3).</t>
  </si>
  <si>
    <t>Zasipavanje postavljenog kabelskog zdenca materijalom iz otkopa.</t>
  </si>
  <si>
    <t xml:space="preserve">Odvoz viška iskopanog materijala na deponiju do 5 km. </t>
  </si>
  <si>
    <t>iskop jame ukupno:</t>
  </si>
  <si>
    <t>iskop jame (za ugradnju kabelskog zdenca MZ D1-E) dimenzijac 78x108x156 cm (2m3) u zemljištu C kategorije.</t>
  </si>
  <si>
    <t>iskop jame (za ugradnju kabelskog zdenca MZ D0) dimenzija 63x63x101 cm (0,4 m3) u zemljištu C kategorije.</t>
  </si>
  <si>
    <t>Izradu posteljice za postavu kabelskog zdenca od nabijenog pijeska debljine 10 cm (0,04 m3).</t>
  </si>
  <si>
    <t>18.</t>
  </si>
  <si>
    <t>iskop jame (za ugradnju kabelskog zdenca MZ D0) dimenzija 118x108x0,98 cm (1,25 m3) u zemljištu C kategorije.</t>
  </si>
  <si>
    <t>19.</t>
  </si>
  <si>
    <t>20.</t>
  </si>
  <si>
    <t>iskop jame (za ugradnju kabelskog zdenca MZ D0) dimenzija 118x108x1,56 cm (2 m3) u zemljištu C kategorije.</t>
  </si>
  <si>
    <t>Izradu posteljice za postavu kabelskog zdenca od nabijenog pijeska debljine 10 cm (0,2 m3).</t>
  </si>
  <si>
    <t>21.</t>
  </si>
  <si>
    <t>Iskop jame za ugradnju samostojećih ormarića i drugih betonskih postolja.</t>
  </si>
  <si>
    <t>m3</t>
  </si>
  <si>
    <t>22.</t>
  </si>
  <si>
    <t xml:space="preserve">Dobava i polaganje u već iskopani rov zaštitne tvrde cijevi, 10 Bara, za NN i EKM kabele. Podrazumijeva dobavu i dopremu cijevi i spojnog materijala, sve potrebne prijevoze i prijenose, polaganje u rov i podnu ploču prilikom betoniranja, spajanje te sve ostalo potrebno za kompletno dovršenje rada.  Obračun po m ugrađene cijevi.  </t>
  </si>
  <si>
    <t>PEHD 160mm</t>
  </si>
  <si>
    <t>PEHD 125mm</t>
  </si>
  <si>
    <t>PEHD 110mm</t>
  </si>
  <si>
    <t>PEHD 50mm</t>
  </si>
  <si>
    <t>23.</t>
  </si>
  <si>
    <t>Ručni iskop i zatrpavanje rova za kabelsku kanalizaciju, dimenzija (š)0.4x(d)0.8 m u zemljištu C kategorije (količina iskopanog rova kod plaćanja računa se za zbijeno stanje zemlje). U cijenu uračunati sve potrebne stavke i radnje za kopanje i zatrpavanje do dubine 0.8m uključujući i potrebna proširenja rova kod manipulacije sa cijevima na dnu rova uz obavezno poštivanje sigurnosne širine rova.</t>
  </si>
  <si>
    <t>24.</t>
  </si>
  <si>
    <t>Uvlačenje novog pretplatničkog kabela u novi zdenac i cijev:</t>
  </si>
  <si>
    <t>25.</t>
  </si>
  <si>
    <t>Izrada novog nastavka na pretplatničkom kabelu, kompletno sa svim materijalom i priborom:</t>
  </si>
  <si>
    <t>25.1</t>
  </si>
  <si>
    <t>sječenje postojećeg kabela na mjestu buduće spojnice TK59-50 GM 10x4x0,4mm2</t>
  </si>
  <si>
    <t>25.2</t>
  </si>
  <si>
    <t>26.</t>
  </si>
  <si>
    <t>Električna mjerenja pretplatničkih kabela</t>
  </si>
  <si>
    <t>pari</t>
  </si>
  <si>
    <t>27.</t>
  </si>
  <si>
    <t>Završna mjerenja pretplatničkih kabela</t>
  </si>
  <si>
    <t>28.</t>
  </si>
  <si>
    <t>Završni radovi, pospremanje radnog mjesta, …</t>
  </si>
  <si>
    <t>29.</t>
  </si>
  <si>
    <t>Dobava i polaganje plastične trake za upozorenje s natpisom "POZOR - ELEKTROENERGETSKI KABEL 0,4kV"</t>
  </si>
  <si>
    <t>30.</t>
  </si>
  <si>
    <t>Dobava i postavljanje PVC štitnika za kabel u kabelski rov</t>
  </si>
  <si>
    <t>31.</t>
  </si>
  <si>
    <t>Dobava i polaganje plastične trake za upozorenje s natpisom "POZOR - TELEKOMUNIKACIJSKI KABEL"</t>
  </si>
  <si>
    <t>32.</t>
  </si>
  <si>
    <t>Zatrpavanje materijalom od iskopa:
Obuhvaća prijevoz, nasipavanje, razastiranje i zbijanje materijala.  Obračun po m³ stvarno izvedene količine u zbijenom stanju.</t>
  </si>
  <si>
    <t>33.</t>
  </si>
  <si>
    <t>Prijevoz viška zemlje na najbliži deponij. U rad su uključeni vertikalni prijenosi, utovari i istovari u prijevozna sredstva te privremena odlaganja. Obračun po m³ stvarno izvedene količine preostalog materijala.</t>
  </si>
  <si>
    <t>34.</t>
  </si>
  <si>
    <t>Dobava i izrada zaštite za cijevi položene ispod prometnice:</t>
  </si>
  <si>
    <t>34.1</t>
  </si>
  <si>
    <t>AB ploča C25/30</t>
  </si>
  <si>
    <t>34.2</t>
  </si>
  <si>
    <t>Armaturna mreža Q-335</t>
  </si>
  <si>
    <t>35</t>
  </si>
  <si>
    <t xml:space="preserve">Dobava na gradilište i postavljanje distantnog češlja </t>
  </si>
  <si>
    <t>35.1</t>
  </si>
  <si>
    <t>za vođenje 4 cijevi Ø50 u rovu</t>
  </si>
  <si>
    <t>35.2</t>
  </si>
  <si>
    <t>za vođenje 4 cijevi Ø110 u rovu</t>
  </si>
  <si>
    <t>35.3</t>
  </si>
  <si>
    <t>za vođenje 4 cijevi Ø125 u rovu</t>
  </si>
  <si>
    <t>36.</t>
  </si>
  <si>
    <t>Dobava i polaganje u prethodno iskopan rov, zajedno sa kabelom javne rasvjete, trake od nehrđajučeg čelika dimenzije 30x3,5mm za izvođenje uzemljenja u zemlji i izvode do metalnih masa i el. ormara.</t>
  </si>
  <si>
    <t>37.</t>
  </si>
  <si>
    <t>Spajanje uzemljivača na za to predviđeno mjesto na rasvjetnom stupu, komplet sa spojnim materijalom i priborom.</t>
  </si>
  <si>
    <t>38.</t>
  </si>
  <si>
    <t>Spajanje uzemljivača u zemlji križnom spojnicom,  zalivenoj bitumenom, komplet sa spojnim materijalom i priborom.</t>
  </si>
  <si>
    <t>39.</t>
  </si>
  <si>
    <t>Spajanje uzemljivača u razvodne ormare, hidrante, vanjsku ogradu i druge metalne mase, komplet sa spojnim materijalom i priborom.</t>
  </si>
  <si>
    <t>40.</t>
  </si>
  <si>
    <t xml:space="preserve">Dobava i polaganje čelične pocinčane trake dimenzije 30x3,5mm za izvođenje prstenastog unutarnjeg uzemljenja u temelju. </t>
  </si>
  <si>
    <t>41.</t>
  </si>
  <si>
    <t>Spojnica za križno povezivanje čelične pocinčane trake prstenastog uzemljivača</t>
  </si>
  <si>
    <t>42.</t>
  </si>
  <si>
    <t>Spojnica za armaturu, namijenjena za spajanje trake uzemljivača i armaturnog čelika u temelju građevine</t>
  </si>
  <si>
    <t>43.</t>
  </si>
  <si>
    <t xml:space="preserve">Obujmice cjevne od nehrđajućeg čelika 15-17mm: </t>
  </si>
  <si>
    <t>44.</t>
  </si>
  <si>
    <t xml:space="preserve">Obujmice cjevne nehrđajućeg čelika 24-27mm. </t>
  </si>
  <si>
    <t>45.</t>
  </si>
  <si>
    <t>Obujmice cjevne nehrđajućeg čelika 40-42mm.</t>
  </si>
  <si>
    <t>46.</t>
  </si>
  <si>
    <t>Izrada spoja zavarivanjem trake ili vodiča sa čeličnom konstrukcijom. Zavar izvesti sa duljinom min. 10cm.</t>
  </si>
  <si>
    <t>47.</t>
  </si>
  <si>
    <t>Nanošenje sloja bitumena na LPS - traku: 
50 mm u betonu i 50 mm izvan betona.</t>
  </si>
  <si>
    <t>48.</t>
  </si>
  <si>
    <t>Dobava i montaža štapna hvataljke visine 2,5 m  za montažu na betonskom postolju</t>
  </si>
  <si>
    <t>48.1</t>
  </si>
  <si>
    <t xml:space="preserve"> - palica visine 2,5 m, 1 kom</t>
  </si>
  <si>
    <t>48.3</t>
  </si>
  <si>
    <t xml:space="preserve"> - betonsko postolje,  3kom</t>
  </si>
  <si>
    <t xml:space="preserve"> - izolirani držač dužine 800mm</t>
  </si>
  <si>
    <t>ukupno</t>
  </si>
  <si>
    <t>49.</t>
  </si>
  <si>
    <t>Dobava i polaganje kabela u zaštitne kabelske  cijevi, sa izradom kabelskih završetaka i spajanjem (svi kabeli trebaju biti cjeloviti bez nastavljanja kabelskim spojnicama):</t>
  </si>
  <si>
    <t>49.1</t>
  </si>
  <si>
    <t>NYY-O 2x2,5mm2</t>
  </si>
  <si>
    <t>49.2</t>
  </si>
  <si>
    <t>NYY-J 3x2,5mm2</t>
  </si>
  <si>
    <t>49.3</t>
  </si>
  <si>
    <t>NYY-J 5x2.5mm2</t>
  </si>
  <si>
    <t>49.4</t>
  </si>
  <si>
    <t>NYY-J 5x10mm2</t>
  </si>
  <si>
    <t>49.5</t>
  </si>
  <si>
    <t>NYY-J 5x6mm2</t>
  </si>
  <si>
    <t>49.6</t>
  </si>
  <si>
    <t>NAYY-J 5x16mm2</t>
  </si>
  <si>
    <t>49.7</t>
  </si>
  <si>
    <t>NAYY-J 5x25mm2</t>
  </si>
  <si>
    <t>49.8</t>
  </si>
  <si>
    <t xml:space="preserve">NYY-J 5x1,5mm2 </t>
  </si>
  <si>
    <t>49.9</t>
  </si>
  <si>
    <t>NYY-J 5x4mm2</t>
  </si>
  <si>
    <t>49.10</t>
  </si>
  <si>
    <t>NYY-J 3x10mm2</t>
  </si>
  <si>
    <t>49.11</t>
  </si>
  <si>
    <t>NAYY-J 5x95mm2</t>
  </si>
  <si>
    <t>49.12</t>
  </si>
  <si>
    <t>NAYY-0 4x120mm2 + NAYY-J 1x70mm2</t>
  </si>
  <si>
    <t>49.13</t>
  </si>
  <si>
    <t>FG16OR16 3x2,5mm2</t>
  </si>
  <si>
    <t>49.14</t>
  </si>
  <si>
    <t>U/FTP cat. 6a 4x2xAWG23, outdoor</t>
  </si>
  <si>
    <t>49.15</t>
  </si>
  <si>
    <t>TC xDSL HFFR 25x2x0,4</t>
  </si>
  <si>
    <t>49.16</t>
  </si>
  <si>
    <t>YSLY 3x(2x0,75mm2)</t>
  </si>
  <si>
    <t>49.17</t>
  </si>
  <si>
    <t>J-Y(St)Y 2x2x0.6Lg</t>
  </si>
  <si>
    <t>49.18</t>
  </si>
  <si>
    <t>49.19</t>
  </si>
  <si>
    <t>49.20</t>
  </si>
  <si>
    <t>Bakrena pletenica 50mm2 sa Cu stopicom, nazubljenom podloškom, maticom i vijkom M12</t>
  </si>
  <si>
    <t>50.</t>
  </si>
  <si>
    <t>Nabava, doprema i ugradnja brtvenog elementa za vodotjesno i plinotjesno brtvljenje kabela kroz zid. Modularni sustav za brtvljenje više prolaza kabela ili cijevi kroz zid ili pod sastavljen je od plastične  uvodnice i okrugle gumene brtve (učvršćenje na podlogu pritezanjem vijaka), dužine 75 mm, u koju se ugrađuju moduli na kojima se uklanjaju listići kako bi se brtveni element prilagodio promjeru kabela. Otvor za instalaciju brtve se osigurava ugradnjom uvodnice u oplatu zida u fazi betoniranja.</t>
  </si>
  <si>
    <t>Brtveni element za vodonepropusno brtvljenje cijevi i kabela unutar njih mora biti certificiran za 4 bar vodotjesnosti i 2,5 bar plinotjesnosti.  
Ponuditelj mora dostaviti sljedeću dokumentaciju kojom se dokazuje kvaliteta i porijeklo traženih proizvoda za brtvljenje cijevi:</t>
  </si>
  <si>
    <t>51.1</t>
  </si>
  <si>
    <t>51.2</t>
  </si>
  <si>
    <t>51.3</t>
  </si>
  <si>
    <t>51.4</t>
  </si>
  <si>
    <t>52</t>
  </si>
  <si>
    <t>Sitni montažni i instalacijski materijal</t>
  </si>
  <si>
    <t>UKUPNO 1.</t>
  </si>
  <si>
    <t>Vanjska rasvjeta</t>
  </si>
  <si>
    <t>Dobava i ugradnja čeličnog rasvjetnog stupa, bojan u boju svjetiljke (RAL 7022) sa temeljnom pločom i sidrenim vijcima M18, maticama i kontramaticama, visina stupa 4m, 3 vjetrosna zona, s ugrađenim letvicama za montažu razdjelnice rasvjetnog stupa i ovjes kabela u stupu.</t>
  </si>
  <si>
    <t>Stup treba biti s jednim vratima, te vijkom za uzemljenje izvana i iznutra, a antikorozivna zaštita treba biti izvedena postupkom vrućeg cinčanja. Vrh stupa mora imati promjer Ф = 60 mm za montažu svjetiljke.</t>
  </si>
  <si>
    <t>Stup treba isporučiti s pripadajućim temeljnim vijcima i svim elementima što uključuje:</t>
  </si>
  <si>
    <t>podizanje stupa  i nasađivanje temeljne stope stupa na sidrene vijke temelja, kom 1</t>
  </si>
  <si>
    <t xml:space="preserve">centriranje stupa u vertikalni položaj podmetanjem čeličnih pločica odgovarajuće debljine između kape temelja i temeljne stope stupa i pritezanje matica sidrenih vijaka, kom 1 </t>
  </si>
  <si>
    <t>premazivanje temeljne stope stupa, vrhova sidrenih vijaka i matica, epoksidnim premazom, kom 1</t>
  </si>
  <si>
    <t>Obračun po komadu stupa.</t>
  </si>
  <si>
    <t>Dobava i ugradnja stupnog razdjelnika za stup visine 4m. Razdjelnik treba biti opremljena sa priključnim stezaljkama do tri energetska kabela rasvjete 4x16mm2, tri osigurača DO1 od 10A i jedan 6A na jednoj DIN-šini te pričuvnim stezaljkama za priključak signalnog voda 3x2.5mm2 na drugoj DIN-šini. Stavka obuhvaća i spajanje svih kabela na stupnu razdjelnicu. Komplet sa spojnim,  montažnim priborom i osiguračkim umetcima.</t>
  </si>
  <si>
    <t>Dobava, montaža i spajanje rasvjete, komplet s pripadnim izvorima svjetlosti, predspojnim napravama  te montažnim i spojnim priborom:</t>
  </si>
  <si>
    <t>3.1</t>
  </si>
  <si>
    <t>3.2</t>
  </si>
  <si>
    <t>Podna svjetiljka dužine 1000mm, LED izvor svjetlosti, kućište od aluminija, silikonska brtva, difuzor od polikarbonata, svjetlosni tok  min. 1000 lm, snaga sistema max. 13 W (LED izvor+driver), ukupna svjetlosna iskoristivost svjetiljke sa uračunatim gubicima u optičkom sustavu min. 80 lm/W, Ra&gt;80, temperatura boje svjetlosti 3000K, životni vijek LED modula L80B10 ≥ 50.000 radnih sati uz 80% održavanja inicijalnog svjetlosnog toka, zaštita IP65, IK10; oznaka na nacrtu-V2</t>
  </si>
  <si>
    <t>3.3</t>
  </si>
  <si>
    <t>Svjetiljka za vanjsku rasvjetu za ugradnju u pod, kućište od lijevanog aluminija, difuzor od kaljenog stakla, simetrična optika, silikonska brtva, efektivni svjetlosni tok svjeitljke min 1125lm, snaga sistema svjeitljke max 14W (LED izvor+driver), ukupna svjetlosna iskoristivost svjetiljke 80 lm/W sa uračunatim gubicima u optičkom sustavu svjetiljke, boja svjetlosti 3000K, uzvrta boje Ra 80, zaštita od zaprljanja IP67, mehanička otpornost IK09, životni vijek LED modula L80B10 ≥ 94.000 radnih sati uz 80% održavanja inicijalnog svjetlosnog toka, raspon radne temperature od -20° do +50°C, dimenzije pxv 190x148mm; oznaka na nacrtu-V3</t>
  </si>
  <si>
    <t>3.4</t>
  </si>
  <si>
    <t>Svjetiljka za vanjsku rasvjetu za ugradnju u pod, kućište od lijevanog aluminija, difuzor od kaljenog stakla, silikonska brtva, efektivni svjetlosni tok svjeitljke min 1000lm, snaga sistema svjeitljke max 14W (LED izvor+driver), ukupna svjetlosna iskoristivost svjetiljke 71 lm/W sa uračunatim gubicima u optičkom sustavu svjetiljke, boja svjetlosti 3000K, uzvrta boje Ra 80, zaštita od zaprljanja IP67, mehanička otpornost IK09, životni vijek LED modula L80B10 ≥ 94.000 radnih sati uz 80% održavanja inicijalnog svjetlosnog toka, raspon radne temperature od -20° do +50°C, dimenzije pxv 190x148mm; oznaka na nacrtu-V4</t>
  </si>
  <si>
    <t>3.5</t>
  </si>
  <si>
    <t>Svjetiljka za vanjsku rasvjetu, zidna nadgradna, kućište od lijevanog aluminija, antracit boja, silikonska brtva, optički sustav s direktno/indirektnom distribucjiom svjetlosti, simetrična optika, difuzor od ravnog kaljenog stakla, efektivni svjetlosni tok min 930lm, svjetlosna iskoristivost svjetiljke s uračunatim gubicima u optičkom sustavu 47 lm/W, snaga sistema (LED izvor+driver) max 20W, životni vijek L80B10 ≥ 50 000h, Ra≥80, temperatura boje svjetlosti 3000K, zaštita od zaprljanja IP65, raspon radne temperature od -20° do +30°C, dimenzija svjetiljke 200x102x100mm±5%, ENEC certifikat; oznaka na nacrtu-V5</t>
  </si>
  <si>
    <t>3.6</t>
  </si>
  <si>
    <t>Svjetiljka za vanjsku rasvjetu, zidna nadgradna, kućište od lijevanog aluminija, antracit boja, silikonska brtva, asimetrična optika, difuzor od ravnog kaljenog stakla, efektivni svjetlosni tok min 758lm, svjetlosna iskoristivost svjetiljke s uračunatim gubicima u optičkom sustavu 69 lm/W, snaga sistema (LED izvor+driver) max 11W, životni vijek L80B10 ≥ 50 000h, Ra≥80, temperatura boje svjetlosti 3000K, zaštita od zaprljanja IP65,  raspon radne temperature od -20° do +30°C, dimenzija svjetiljke 200x102x100mm±5%, ENEC certifikat; oznaka na nacrtu-V6</t>
  </si>
  <si>
    <t>3.7</t>
  </si>
  <si>
    <t>UKUPNO 2.</t>
  </si>
  <si>
    <t>Demontažni radovi</t>
  </si>
  <si>
    <t xml:space="preserve">Odspajanje postojećeg uzemljivača FeZn 25x4mm </t>
  </si>
  <si>
    <t>Demontaža razdjelnika</t>
  </si>
  <si>
    <t>Demontaža postojećih NN priključaka, sa odspajanjem u TS</t>
  </si>
  <si>
    <t>Odlaganje i sortiranje sve demontirane opreme navedene pod točkama 1.-3. na za to predviđeno mjesto zaštićeno od vanjskih utjecaja u suradnji sa investitorom i nadzornim inženjerom (posebito voditi računa da se dio ispravne i upotrebljive opreme očisti od naslaga prašine i drugih nečistoća, te primjereno uskladišti)</t>
  </si>
  <si>
    <t>Zbrinjavanje i odvoz svog otpadnog neupotrebljivog materijala na najbliži deponij.</t>
  </si>
  <si>
    <t>UKUPNO 3.</t>
  </si>
  <si>
    <t>Ispitivanje i mjerenje</t>
  </si>
  <si>
    <t xml:space="preserve">Ispitivanje, mjerenje, probni rad, pregledi, izdavanje protokola o mjerenjima  i sl. sukladno programu kakvoće (mjerenje otpora izolacije,  ispitivanje impedancije petlje kvara, ispitivanje neprekidnosti zaštitnog vodiča i vodiča za izjednačavanje potencijala, mjerenje galvanske povezanost metalnih masa, mjerenje srednje rasvjetljenosti vanjske rasvjete, ispitivanje ispravnosti veza, dovođenje u punu funkcionalnost, puštanje u probni rad, ispitivanje uzemljenja). </t>
  </si>
  <si>
    <t>Mjerenje prohodnosti kabelske kanalizacije s izradom mjernog protokola</t>
  </si>
  <si>
    <t>UKUPNO 4.</t>
  </si>
  <si>
    <t>Dokumentacija</t>
  </si>
  <si>
    <t>Izrade "red mark-up" dokumentacija ovjerene od strane izvođača i od ovlaštenog nadzornog inženjera u digitalnom editabilnom formatu. "Red mark-up" dokumentacije (izvedeni nacrti s naznačenim izmjenama koje su prethodno odobrene) u obavezi je Izvođača /Naručitelja a služi kao podloga Projektantu za izradu as built dokumenatacije</t>
  </si>
  <si>
    <t>No.</t>
  </si>
  <si>
    <t>Vanjska rasvjeta - opća</t>
  </si>
  <si>
    <t>SVEUKUPNO E.1.</t>
  </si>
  <si>
    <t>Troškovnik elektrotehničkih instalacija (UGOSTITELJSKO-TURISTIČKA GRAĐEVINA
PLANINARSKI DOM JELENIĆ KUĆA)</t>
  </si>
  <si>
    <t>E.2. Građevina</t>
  </si>
  <si>
    <t>BRTVENI ELEMENTI</t>
  </si>
  <si>
    <t>Dobava i ugradnja materijala za protupožarno brtvljenje kabelskih prolaza vatrootpornosti EI120 - elastični blokovi dimenzija 200x144x60 mm. Preostale otvore oko instalacije ispuniti kitom u dubinu od 2 cm. Svaki prolaz obilježiti napisnom pločicom.</t>
  </si>
  <si>
    <t>dim 100x250x200</t>
  </si>
  <si>
    <t>Dobava i ugradnja materijala za protupožarno brtvljenje kabelskih prolaza vatrootpornosti EI90 (EI120) - ekspandirajuća pjena u kartuši. Debljina brtve najmanje 20 cm za vatrootpornost EI90, odnosno 25 cm za EI120. Svaki prolaz obilježiti napisnom pločicom.</t>
  </si>
  <si>
    <t>kartuša</t>
  </si>
  <si>
    <t>Prozupožarni kit za brtvljenje prolaza pojedinačnih kabela, klasa zapaljivosti B2. Debljina brtvenog prstena najviše 15 mm.</t>
  </si>
  <si>
    <t>KABELSKI KANALI, KABELSKE POLICE I CIJEVI</t>
  </si>
  <si>
    <t>Dobava i montaža perforirane pocinčane kabelske police širine 300 mm, visine 60 mm, nosivosti najmanje 1,00 kN/m, s integriranom spojnicom i izjednačenjem potencijala</t>
  </si>
  <si>
    <t>Dobava i montaža perforirane pocinčane kabelske police širine 200 mm, visine 60 mm, nosivosti najmanje 1,00 kN/m, s integriranom spojnicom i izjednačenjem potencijala</t>
  </si>
  <si>
    <t>Dobava i montaža perforirane pocinčane kabelske police širine 100 mm, visine 60 mm, nosivosti najmanje 1,00 kN/m, s integriranom spojnicom i izjednačenjem potencijala</t>
  </si>
  <si>
    <t>Dobava i montaža na zid ili stropni nosač konzole za kabelske police, širine 310 mm, nosivosti najmanje 1,2 kN, uključivo vijak s čeličnom tiplom 10x90 mm odnosno vijak s maticom M10x25</t>
  </si>
  <si>
    <t>Dobava i montaža na zid ili stropni nosač konzole za kabelske police, širine 210 mm, nosivosti najmanje 1,2 kN, uključivo vijak s čeličnom tiplom 8x60 mm odnosno vijak s maticom M10x25</t>
  </si>
  <si>
    <t>Dobava i montaža na zid ili stropni nosač konzole za kabelske police, širine 110 mm, nosivosti najmanje 1,2 kN, uključivo vijak s čeličnom tiplom 8x60 mm odnosno vijak s maticom M10x25</t>
  </si>
  <si>
    <t>Dobava, montaža i spajanje PVC dijelova za zaštitu i vođenje kabela:</t>
  </si>
  <si>
    <t>7.1</t>
  </si>
  <si>
    <t>7.2</t>
  </si>
  <si>
    <t>7.3</t>
  </si>
  <si>
    <t>7.4</t>
  </si>
  <si>
    <t>7.5</t>
  </si>
  <si>
    <t>7.6</t>
  </si>
  <si>
    <t>7.7</t>
  </si>
  <si>
    <t>7.8</t>
  </si>
  <si>
    <t>7.9</t>
  </si>
  <si>
    <t>7.10</t>
  </si>
  <si>
    <t>7.11</t>
  </si>
  <si>
    <t>7.12</t>
  </si>
  <si>
    <t>Dobava, postavljanje PVC rebrastih i savitljivih instalacijskih cijevi, za polaganje u beton, uključujući žljebljenje zida ili rezanje ploča po potrebi, prolazne razvodne p/ž kutije (nakon montaže obračunati stvarno utrošene količine):</t>
  </si>
  <si>
    <t>8.1</t>
  </si>
  <si>
    <t>Φ16mm</t>
  </si>
  <si>
    <t>8.2</t>
  </si>
  <si>
    <t>Φ20mm</t>
  </si>
  <si>
    <t>8.3</t>
  </si>
  <si>
    <t>Φ25mm</t>
  </si>
  <si>
    <t>8.4</t>
  </si>
  <si>
    <t>Φ32mm</t>
  </si>
  <si>
    <t>8.5</t>
  </si>
  <si>
    <t>Φ40mm</t>
  </si>
  <si>
    <t>8.6</t>
  </si>
  <si>
    <t>Φ50mm</t>
  </si>
  <si>
    <t>Dobava, postavljanje PVC rebrastih, savitljivih i samogasivih instalacijskih cijevi tip kao kaoflex (nakon montaže obračunati stvarno utrošene količine):</t>
  </si>
  <si>
    <t>9.1</t>
  </si>
  <si>
    <t>9.2</t>
  </si>
  <si>
    <t>9.3</t>
  </si>
  <si>
    <t>9.4</t>
  </si>
  <si>
    <t>9.5</t>
  </si>
  <si>
    <t>9.6</t>
  </si>
  <si>
    <t>ELEKTRIČNA INSTALACIJA RASVJETE, PRIKLJUČNICA I DRUGE OPREME</t>
  </si>
  <si>
    <t>Dobava, montaža i spajanje unutarnje rasvjete, komplet s pripadnim izvorima svjetlosti, predspojnim napravama  te montažnim i spojnim priborom:</t>
  </si>
  <si>
    <t>1.1</t>
  </si>
  <si>
    <t>Svjetiljka nadgradna, LED izvor svjetlosti, kućište svjetiljke izrađeno od lijevanog aluminija, kut snopa svjetlosti 50°, efektivni svjetosni tok ili svjetlosni tok svjetiljke s uračunatim gubicima u optičkom sustavu min 904 lm, snaga sistema max 9 W (LED izvor+driver), ukupna svjetlosna iskoristivost svjetiljke sa uračunatim gubicima u optičkom sustavu min. 100 lm/W, životni vijek LED modula L80B10 ≥50.000 radnih sati uz  80% održavanja inicijalnog svjetlosnog toka, SDCM ≤ 3, boja svjetlosti 3000K, uzvrata boje Ra&gt;90, zaštita min. IP44, dimenzije svjetiljke pxv 60x113 mm ±5%, 3000K CRI&gt; 90 50° matt white; oznaka na nacrtu-A1</t>
  </si>
  <si>
    <t>1.2</t>
  </si>
  <si>
    <t>Svjetiljka nadgradna, LED izvor svjetlosti, kućište od polikarbonata, difuzor od polikarbonata, efektivni svjetosni tok ili svjetlosni tok svjetiljke s uračunatim gubicima u optičkom sustavu min. 2340lm, snaga sistema max. 25W (LED izvor+driver), ukupna svjetlosna iskoristivost svjetiljke sa uračunatim gubicima u optičkom sustavu min. 94 lm/W, životni vijek LED modula L80B10 ≥50.000 radnih sati uz 80% održavanja inicijalnog svjetlosnog toka, uzvrat boje Ra&gt;80, temperatura boje svjetlosti 3000K, zaštita min. IP65, mehanička zaštita svjetiljke min. IK10, dimenzije svjetiljke 275x60mm ± 5%, 3000K CRI&gt;80 white; oznaka na nacrtu-A2</t>
  </si>
  <si>
    <t>1.3</t>
  </si>
  <si>
    <t>Nadgradna zidna svjetiljka, LED izvor svjetlosti, metalno kučište, efektivni svjetosni tok ili svjetlosni tok svjetiljke s uračunatim gubicima u optičkom sustavu min 670 lm, snaga sistema max 11 W (LED izvor+driver, ukupna svjetlosna iskoristivost svjetiljke sa uračunatim gubicima u optičkom sustavu min. 61 lm/W, životni vijek LED modula 30 000 radnih sati, boja svjetlosti 3000K, uzvrata boje Ra&gt;80, zaštita min. IP44, dimenzije 420x40x90mm ± 5%; oznaka na nacrtu-A3</t>
  </si>
  <si>
    <t>1.4</t>
  </si>
  <si>
    <t>1.5</t>
  </si>
  <si>
    <t>Svjetiljka nadgradna, LED izvor svjetlosti, kućište svjetiljke izrađeno od polikarbonata, kut snopa svjetlosti 90°, efektivni svjetosni tok ili svjetlosni tok svjetiljke s uračunatim gubicima u optičkom sustavu min 1739 lm, snaga sistema max 21 W (LED izvor+driver), ukupna svjetlosna iskoristivost svjetiljke sa uračunatim gubicima u optičkom sustavu min. 83 lm/W, životni vijek LED modula L80B10 ≥50.000 radnih sati uz  80% održavanja inicijalnog svjetlosnog toka, SDCM ≤ 3, boja svjetlosti 3000K, uzvrata boje Ra&gt;90, zaštita min. IP44, dimenzije svjetiljke pxv 204x90 mm ±5%, 3000K CRI&gt;90 white ili jednakovrijedan; oznaka na nacrtu-A5</t>
  </si>
  <si>
    <t>1.6</t>
  </si>
  <si>
    <t>Svjetiljka ovjesna, LED izvor svjetlosti, kućište svjetiljke izrađeno od lijevanog aluminija, kut snopa svjetlosti 40°, efektivni svjetosni tok ili svjetlosni tok svjetiljke s uračunatim gubicima u optičkom sustavu min 508 lm, snaga sistema max 8 W (LED izvor+driver), ukupna svjetlosna iskoristivost svjetiljke sa uračunatim gubicima u optičkom sustavu min. 63 lm/W, životni vijek LED modula L80B10 ≥50.000 radnih sati uz  80% održavanja inicijalnog svjetlosnog toka, SDCM ≤ 3, boja svjetlosti 3000K, uzvrata boje Ra&gt;90, zaštita min. IP40, dimenzije svjetiljke pxv 36x202 mm ±5%,  3000K CRI&gt;90 40° matt black; oznaka na nacrtu-A6</t>
  </si>
  <si>
    <t>1.7</t>
  </si>
  <si>
    <t>Svjetiljka nadgradna, LED izvor svjetlosti, kučište od čelika, efektivni svjetosni tok ili svjetlosni tok svjetiljke s uračunatim gubicima u optičkom sustavu min 2804 lm, snaga sistema max 26 W (LED izvor+driver), ukupna svjetlosna iskoristivost svjetiljke sa uračunatim gubicima u optičkom sustavu min. 108 lm/W, životni vijek LED modula L80B10 ≥50.000 radnih sati uz 80% održavanja inicijalnog svjetlosnog toka, boja svjetlosti 3000K, uzvrata boje Ra≥90, SDCM ≤ 3, UGR≤19, zaštita min. IP40,  dimenzije približno 1210x296x41mm ±5%; oznaka na nacrtu-A7</t>
  </si>
  <si>
    <t>1.8</t>
  </si>
  <si>
    <t>Svjetiljka nadgradna za unutarnju rasvjetu, grlo za žarulju E27 do max. 60W, metalno kućište, difuzer od bijelog stakla, zaštita svjetiljke  IP20, dimenzije svjetiljke 400x230mm ± 5%; oznaka na nacrtu-A8</t>
  </si>
  <si>
    <t>1.9</t>
  </si>
  <si>
    <t>Žarulja sa efektivnim svjetosnim tokom min. 470lm, snaga žarulje 4.3W, ukupna svjetlosna iskoristivost žarulje 103 lm/W, životni vijek žarulje 15.000 radnih sati, Ra&gt;80, temperatura boje svjetlosti 2700K, E14 4,3-40W 2700K (4)</t>
  </si>
  <si>
    <t>1.10</t>
  </si>
  <si>
    <t>Svjetiljka ugradna, LED izvor svjetlosti, kut snopa svjetlosti 30°, efektivni svjetosni tok ili svjetlosni tok svjetiljke s uračunatim gubicima u optičkom sustavu min. 490lm, snaga sistema max 8W (LED izvor+driver), ukupna svjetlosna iskoristivost svjetiljke min. 61 lm/W, životni vijek 50.000 radnih sati, Ra&gt;80, SDCM&lt;3,  temperatura boje svjetlosti 3000K, zaštita ≥IP20, rad na temperaturi okoline od 0°do +40°C, dimenzije 48x61 ± 5%; oznaka na nacrtu-A9</t>
  </si>
  <si>
    <t>1.11</t>
  </si>
  <si>
    <t>Svjetiljka ugradna, LED izvor svjetlosti, kućište od polikarbonata, efektivni svjetlosni tok min 2080lm, svjetlosna iskoristivost svjetiljke s uračunatim gubicima u optičkom sustavu 149 lm/W, snaga sistema (LED izvor+driver) max 14W, životni vijek L80B10 ≥ 50.000h uz 80% održavanja inicijalnog svjetlosnog toka, Ra ≥80, boja svjetlosti 3000K, SDCM&lt;3, zaštita od zaprljanja IP54, stupanj bliještanja UGR ≤ 19, dimenzija svjetiljke 210X89mm±5%; oznaka na nacrtu-A10</t>
  </si>
  <si>
    <t>1.12</t>
  </si>
  <si>
    <t>Stolna svjetiljka, grlo za žarulju E14 do max. 40W, keramičko kućište, PVC sjenilo obloženo  tkaninom, zaštita svjetiljke  IP20, dimenzije svjetiljke 200x285mm ± 5%; oznaka na nacrtu-A11</t>
  </si>
  <si>
    <t>1.13</t>
  </si>
  <si>
    <t>Efektivni svjetosni tok žarulje min. 470lm, snaga žarulje 4.3W, ukupna svjetlosna iskoristivost žarulje 103 lm/W, životni vijek žarulje 15.000 radnih sati, Ra&gt;80, temperatura boje svjetlosti 2700K,tip: Žarulja: LED E14 4,3-40W 2700K (4)</t>
  </si>
  <si>
    <t>1.14</t>
  </si>
  <si>
    <t>Nadgradna svjetiljka sigurnosne rasvjete, izvor LED min 390lm, 240V, 50Hz, 3W, univerzalna optika, autonomija 3h, pripravni spoj, polikarbonatno kućište, funkcija autotesta, LED indikacija rada na mreži i na ugrađenoj bateriji, ugrađen elektronički sklop koji štiti od potpunog pražnjenja baterije, zaštita od zaprljanja IP41, dimenzija 132x132x74mm; oznaka na nacrtu-P1</t>
  </si>
  <si>
    <t>1.15</t>
  </si>
  <si>
    <t>Nadgradna svjetiljka sigurnosne rasvjete, izvor LED min 360lm, 240V, 50Hz, 3W, simetrična optika, autonomija 3h, pripravni spoj, s polikarbonatnim kućištem, funkcija autotesta, LED indikacija rada na mreži i na ugrađenoj bateriji, ugrađen elektronički sklop koji štiti od potpunog pražnjenja baterije, zaštita od zaprljanja IP65; oznaka na nacrtu-P2</t>
  </si>
  <si>
    <t>1.16</t>
  </si>
  <si>
    <t>Nadgradna piktogramska svjetiljka u stalnom spoju, izvor svjetlosti LED, 240V, 50Hz, 1W, IP40, tijelo svjetiljke od polikarbonata, spuštena ploča od pleksiglasa za lijepljenje piktograma, bijele boje, vidljivost piktograma min. 30m, svjetiljka opremljena protupaničnim modulom  3h autonomije, funkcija autotesta, LED indikacija rada na mreži i na ugrađenoj bateriji, ugrađen elektronički sklop koji štiti od potpunog pražnjenja baterije, klasa izolacije II - smjer kretanja ravno; oznaka na nacrtu-P3</t>
  </si>
  <si>
    <t>1.17</t>
  </si>
  <si>
    <t>Nadgradna piktogramska svjetiljka u stalnom spoju, izvor svjetlosti LED, 240V, 50Hz, 1W, IP40, tijelo svjetiljke od polikarbonata, spuštena ploča od pleksiglasa za lijepljenje piktograma, bijele boje, vidljivost piktograma min. 30m, svjetiljka opremljena protupaničnim modulom  3h autonomije, funkcija autotesta, LED indikacija rada na mreži i na ugrađenoj bateriji, ugrađen elektronički sklop koji štiti od potpunog pražnjenja baterije, klasa izolacije II, smjer kretanja lijevo/desno; oznaka na nacrtu-P4</t>
  </si>
  <si>
    <t>1.18</t>
  </si>
  <si>
    <t>Dobava, montaža i spajanje kutije za ugradnju 2M u zid od opeke, gips kartonske ploče ili panel</t>
  </si>
  <si>
    <t>1.19</t>
  </si>
  <si>
    <t>Dobava, montaža i spajanje p/ž utičnog modula širine 2M 2P+E, 250V, 16 A, bijele/crne boje</t>
  </si>
  <si>
    <t>1.20</t>
  </si>
  <si>
    <t>Dobava, montaža i spajanje p/ž utičnog modula širine 2M 2P+E, 250V, 16 A, bijele/crne boje sa poklopcem</t>
  </si>
  <si>
    <t>1.21</t>
  </si>
  <si>
    <t>Dobava, montaža i spajanje nosivog i dekorativnog okvira širine 2M, boje po izboru investitora</t>
  </si>
  <si>
    <t>1.22</t>
  </si>
  <si>
    <t>Dobava, montaža i spajanje kutije za ugradnju 3M u zid od opeke, gips kartonske ploče ili panel</t>
  </si>
  <si>
    <t>1.23</t>
  </si>
  <si>
    <t>Dobava, montaža i spajanje kutije za ugradnju 4M u zid od opeke, gips kartonske ploče ili panel</t>
  </si>
  <si>
    <t>1.24</t>
  </si>
  <si>
    <t>Dobava, montaža i spajanje nosivog i dekorativnog okvira širine 4M, boje po izboru investitora</t>
  </si>
  <si>
    <t>1.25</t>
  </si>
  <si>
    <t>Dobava, montaža i spajanje kutije za ugradnju 7M u zid od opeke, gips kartonske ploče ili panel</t>
  </si>
  <si>
    <t>1.26</t>
  </si>
  <si>
    <t>Dobava, montaža i spajanje nosivog i  dekorativnog okvira širine 7M, boje po izboru investitora</t>
  </si>
  <si>
    <t>1.27</t>
  </si>
  <si>
    <t>Dobava, montaža i spajanje kutije za fiksni spoj opremljene za 5 priključnih stezaljki, 250V, 16 A.</t>
  </si>
  <si>
    <t>1.28</t>
  </si>
  <si>
    <t>Dobava, montaža i spajanje p/ž utičnog modula širine 2M za prijem antenskog i satelitskog signala</t>
  </si>
  <si>
    <t>1.29</t>
  </si>
  <si>
    <t>Dobava, montaža i spajanje p/ž utičnog modula širine 1M 2P+E, 250V, 16 A, bijele/crne boje, talijanski standard</t>
  </si>
  <si>
    <t>1.30</t>
  </si>
  <si>
    <t>1.31</t>
  </si>
  <si>
    <t>Dobava, montaža i spajanje n/ž priključnice u zaštiti IP55, 250V, 10 A, boje okvira prema odabiru investitora</t>
  </si>
  <si>
    <t>1.32</t>
  </si>
  <si>
    <t>1.33</t>
  </si>
  <si>
    <t>1.34</t>
  </si>
  <si>
    <t>Dobava, montaža i spajanje p/ž obične sklopke, širine 1M, u zaštiti IP20, 250V, 10 A</t>
  </si>
  <si>
    <t>1.35</t>
  </si>
  <si>
    <t>Dobava, montaža i spajanje p/ž obične sklopke, širine 1M sa lampicom, u zaštiti IP20, 250V, 10 A</t>
  </si>
  <si>
    <t>1.36</t>
  </si>
  <si>
    <t>Dobava, montaža i spajanje p/ž izmjenične  sklopke, širine 2M, u zaštiti IP20, 250V, 10 A</t>
  </si>
  <si>
    <t>1.37</t>
  </si>
  <si>
    <t>Dobava, montaža i spajanje p/ž križne sklopke, širine 2M, u zaštiti IP20, 250V, 10 A, boje okvira prema odabiru investitora</t>
  </si>
  <si>
    <t>1.38</t>
  </si>
  <si>
    <t>Dobava, montaža i spajanje p/ž tipkala, širine 2M, u zaštiti IP20, 250V, 10 A, boje okvira prema odabiru investitora</t>
  </si>
  <si>
    <t>1.39</t>
  </si>
  <si>
    <t>Dobava, montaža i spajanje n/ž tipkala u zaštiti IP55, 250V, 10 A, boje okvira prema odabiru investitora</t>
  </si>
  <si>
    <t>1.40</t>
  </si>
  <si>
    <t>Dobava, montaža i spajanje nadgradnog senzora prisutnosti 1000W radno opterećenje, 400W  LED driveri, dijametar dometa 5m kod visine ugradnje 2,5m, 10 s do 5 min vrijeme zadrške, 180°, IP55, 230V</t>
  </si>
  <si>
    <t>1.41</t>
  </si>
  <si>
    <t>Dobava, montaža i spajanje ugradnog senzora pokreta, prostor detekcije pokreta 8m, visina montaže 2,2m,  360°, KNX protokol</t>
  </si>
  <si>
    <t>1.42</t>
  </si>
  <si>
    <t>Dobava, montaža i spajanje ugradnog senzora pokreta, prostor detekcije pokreta 16m, visina montaže 2,2m, KNX protokol</t>
  </si>
  <si>
    <t>1.43</t>
  </si>
  <si>
    <t xml:space="preserve">Spajanje el. opreme koja se isporučuje po drugima (uklemati, ne puštati u pogon): </t>
  </si>
  <si>
    <t>1.43.1</t>
  </si>
  <si>
    <t xml:space="preserve"> - VANJSKA JEDINICA DIZALICE TOPLINE ZRAK/VODA</t>
  </si>
  <si>
    <t>1.43.2</t>
  </si>
  <si>
    <t xml:space="preserve"> - UNUTARNJA JEDINICA DIZALICE TOPLINE ZRAK/VODA (HIDRO-MODUL)</t>
  </si>
  <si>
    <t>1.43.3</t>
  </si>
  <si>
    <t>Vanjska jedinica dizalice topline</t>
  </si>
  <si>
    <t>1.43.4</t>
  </si>
  <si>
    <t>Unutarnja jedinica - hidrobox</t>
  </si>
  <si>
    <t>1.43.5</t>
  </si>
  <si>
    <t>Split sustav grijanja/hlađenja - vanjska jedinica</t>
  </si>
  <si>
    <t>1.43.6</t>
  </si>
  <si>
    <t>Split sustav grijanja/hlađenja - unutarnja jedinica</t>
  </si>
  <si>
    <t>1.43.7</t>
  </si>
  <si>
    <t xml:space="preserve"> - Crpka recirkulacije PTV</t>
  </si>
  <si>
    <t>1.43.8</t>
  </si>
  <si>
    <t xml:space="preserve"> - Odsisni ventilator sanitarija</t>
  </si>
  <si>
    <t>1.43.9</t>
  </si>
  <si>
    <t xml:space="preserve"> - Odsis otpadnog zraka praonice</t>
  </si>
  <si>
    <t>1.43.10</t>
  </si>
  <si>
    <t xml:space="preserve"> - Troputni motorni ventil</t>
  </si>
  <si>
    <t>1.43.11</t>
  </si>
  <si>
    <t xml:space="preserve"> - ventilokonvektori</t>
  </si>
  <si>
    <t>1.43.12</t>
  </si>
  <si>
    <t xml:space="preserve"> - podizna stanica za odvodnju</t>
  </si>
  <si>
    <t>1.43.13</t>
  </si>
  <si>
    <t xml:space="preserve"> - hidrostanica za hidrantsku vodu</t>
  </si>
  <si>
    <t>1.43.14</t>
  </si>
  <si>
    <t xml:space="preserve"> - kuhinjska napa</t>
  </si>
  <si>
    <t>1.43.15</t>
  </si>
  <si>
    <t xml:space="preserve"> - upravljački ormarić termotehničkog sustava</t>
  </si>
  <si>
    <t>1.43.16</t>
  </si>
  <si>
    <t>1.43.17</t>
  </si>
  <si>
    <t xml:space="preserve"> - perilica industrijska</t>
  </si>
  <si>
    <t>1.43.18</t>
  </si>
  <si>
    <t xml:space="preserve"> - sušilica industrijska</t>
  </si>
  <si>
    <t>1.43.19</t>
  </si>
  <si>
    <t xml:space="preserve"> - el. grijač podova</t>
  </si>
  <si>
    <t>1.43.20</t>
  </si>
  <si>
    <t>1.44</t>
  </si>
  <si>
    <t>Dobava, postavljanje i povezivanje metalnih masa vijčanim spojem sa nazubljenom podloškom kabel, vijcima, maticama, kabelskim stopicama kabelom/trakom.</t>
  </si>
  <si>
    <t>1.45</t>
  </si>
  <si>
    <t xml:space="preserve">Razvodna kutija, nadžbukna, 114x114x57 mm
Stupanj zaštite IP66
Razvodne kutije se sastoje od polipropilena, termoplastične plastike i utičnih brtvi od etilenvinilacetata EVA. Vodiče možete provesti direktno kroz 7 x M25 brtvu, ili brtvu možete razrezati nožem na previđenim mjestima kako bi napravitili otvor za vodiče ili cijevi. Kao alternativa umjesto brtvila uvodnice se mogu utaknuti kroz otvor i iznutra povezati s maticom.
Razvodne kutije također se mogu montirati pomoću vijaka za lim 3,5 x 9,5 na dnu kutije.
Unutarnje mjere: 100 x 100 x 48 mm
Poklopac se može plombirati, te ima polje za oznaku. </t>
  </si>
  <si>
    <t>1.46</t>
  </si>
  <si>
    <t xml:space="preserve">Razvodna kutija, nadžbukna, 151x117x67 mm
Stupanj zaštite IP66
Razvodne kutije se sastoje od polipropilena, termoplastične plastike i utičnih brtvi od etilenvinilacetata EVA. Vodiče možete provesti direktno kroz 10 x M25 brtvu, ili brtvu možete razrezati nožem na previđenim mjestima kako bi napravitili otvor za vodiče ili cijevi. Kao alternativa umjesto brtvila uvodnice se mogu utaknuti kroz otvor i iznutra povezati s maticom.
Razvodne kutije također se mogu montirati pomoću vijaka za lim 3,5 x 9,5 na dnu kutije.
Unutarnje mjere: 136 x 102 x 57 mm.
</t>
  </si>
  <si>
    <t>1.47</t>
  </si>
  <si>
    <t>1.48</t>
  </si>
  <si>
    <t>1.49</t>
  </si>
  <si>
    <t>UKUPNO 3</t>
  </si>
  <si>
    <t xml:space="preserve">NN I SIGNALNI KABELI </t>
  </si>
  <si>
    <t>Dobava i polaganje kabela u zaštitne instalacijske cijevi, stropne i podne nosače kabela sa izradom prodora, kabelskih završetaka i spajanjem:</t>
  </si>
  <si>
    <t>1.1.1</t>
  </si>
  <si>
    <t>NYY-O 2x1.5mm2</t>
  </si>
  <si>
    <t>1.1.2</t>
  </si>
  <si>
    <t>NYY-J 3x1.5mm2</t>
  </si>
  <si>
    <t>1.1.3</t>
  </si>
  <si>
    <t>NYY-J 4x1.5mm2</t>
  </si>
  <si>
    <t>1.1.4</t>
  </si>
  <si>
    <t>NYY-J 5x1,5mm2</t>
  </si>
  <si>
    <t>1.1.5</t>
  </si>
  <si>
    <t>NYY-JZ 7x1,5mm2</t>
  </si>
  <si>
    <t>1.1.6</t>
  </si>
  <si>
    <t>1.1.7</t>
  </si>
  <si>
    <t>NYY-J 3x2.5mm2</t>
  </si>
  <si>
    <t>1.1.8</t>
  </si>
  <si>
    <t>1.1.9</t>
  </si>
  <si>
    <t>1.1.10</t>
  </si>
  <si>
    <t>NYY-J 3x4mm2</t>
  </si>
  <si>
    <t>1.1.11</t>
  </si>
  <si>
    <t>FG160R16 5x6mm2</t>
  </si>
  <si>
    <t>1.1.12</t>
  </si>
  <si>
    <t>1.1.13</t>
  </si>
  <si>
    <t>FG70R 5x10mm2</t>
  </si>
  <si>
    <t>1.1.14</t>
  </si>
  <si>
    <t>1.1.15</t>
  </si>
  <si>
    <t>1.1.16</t>
  </si>
  <si>
    <t>1.1.17</t>
  </si>
  <si>
    <t>J-Y(St)Y 10x2x0.6Lg</t>
  </si>
  <si>
    <t>1.1.18</t>
  </si>
  <si>
    <t>KNX/EIB J-Y(ST)Y 2x0.8mm</t>
  </si>
  <si>
    <t>1.1.19</t>
  </si>
  <si>
    <t>NHXH FE180/E90 4x1,5mm2</t>
  </si>
  <si>
    <t>1.1.20</t>
  </si>
  <si>
    <t>NHXH-J E90 5x2.5mm2</t>
  </si>
  <si>
    <t>1.1.21</t>
  </si>
  <si>
    <t>Plosnati kabel, 8-žični,crni</t>
  </si>
  <si>
    <t>1.1.22</t>
  </si>
  <si>
    <t>LiYY 2x0,5mm2</t>
  </si>
  <si>
    <t>1.1.23</t>
  </si>
  <si>
    <t>LiYY 3x0,5mm2</t>
  </si>
  <si>
    <t>1.1.24</t>
  </si>
  <si>
    <t>LiYY 2x0,75mm2</t>
  </si>
  <si>
    <t>1.1.25</t>
  </si>
  <si>
    <t>HO5VV-5 5x1,5mm2</t>
  </si>
  <si>
    <t>1.1.26</t>
  </si>
  <si>
    <t>1.1.27</t>
  </si>
  <si>
    <t>1.1.28</t>
  </si>
  <si>
    <t>Bakrena pletenica 35mm2 sa Cu stopicom, nazubljenom podloškom, maticom i vijkom M12, duljine 30cm</t>
  </si>
  <si>
    <t>1.1.29</t>
  </si>
  <si>
    <t>Bakrena pletenica 25mm2 sa Cu stopicom, nazubljenom podloškom, maticom i vijkom M12, duljine 40cm</t>
  </si>
  <si>
    <t>1.1.30</t>
  </si>
  <si>
    <t>Bakrena pletenica 50mm2 sa Cu stopicom, nazubljenom podloškom, maticom i vijkom M12, duljine 50cm</t>
  </si>
  <si>
    <t>SUSTAV DOJAVE POŽARA</t>
  </si>
  <si>
    <t>Dobava, montaža i spajanje paralelnog indikatora prorade autom.javljača.
• Direktno spojiv na podnožje analogno-adresabilnih javljača požara
• 2 crvena LED indikatora za signalizaciju alarma
• ABS kućište
• Dimenzije L 10 x H 70 x P 35mm
• Potrošnja 7,35mA 
• Napajanje 6-30Vdc</t>
  </si>
  <si>
    <t>Dobava i ugradnja potrebnih oznaka i označavanje svih elemenata vatrodojavnog sustava prema blok shemi.</t>
  </si>
  <si>
    <t>Dobava i postava naljepnica D1 i D2 za označavanje vatrogasnog pristupa.</t>
  </si>
  <si>
    <t>Programiranje vatrodojavne centrale prema uvjetima iz Elaborata o zaštiti od požara, s unosom naziva i protokola sukladno internom pravilniku Investitora o postupanju u slučaju požarnog alarma</t>
  </si>
  <si>
    <t xml:space="preserve">Konfiguriranje sustava po zahtjevu investitora, ispitivanje, testiranje i puštanje u rad, atestiranje sustava uz predaju izjava o svojstvima za elemente sustava, obuka osoblja za rad s ugrađenim sustavima.
</t>
  </si>
  <si>
    <t>Dobava i isporuka knjige za održavanje vatrodojavne instalacije.</t>
  </si>
  <si>
    <t>Izrada projektne dokumentacije (Projekt izvedenog stanja) sa uputstvima za rad i održavanje u tri primjerka, sve sukladno zahtjevima iz važećih propisa i zakonu - podloge u ACAD-u tj. u digitalnom obliku osigurava naručitelj.</t>
  </si>
  <si>
    <t xml:space="preserve">Pregled i funkcionalno ispitivanje instalacije od strane ovlaštenog trgovačkog društva sa izdavanjem Uvjerenja, predaja zakonom predviđene dokumentacije na objektu.
</t>
  </si>
  <si>
    <t>Dobava, isporuka i polaganje vatrodojavnog kabela Oklopljeni vatrootporni kabel JB-H(St)H   1x2x0,8mm2
- crvene boje
- samogasiva PVC izolacija
- bezhalogeni, malodimni</t>
  </si>
  <si>
    <t>Dobava, isporuka i polaganje vatrodojavnog kabela Oklopljeni vatrootporni kabel JB-H(St)H   2x2x0,8mm2
- crvene boje
- samogasiva PVC izolacija
- bezhalogeni, malodimni</t>
  </si>
  <si>
    <t>Dobava i montaža PVC/PNT/CSS cijevi fi20, uključujući potreban montažni i spojni pribor i materijal.</t>
  </si>
  <si>
    <t>Dobava i Izrada protupožarnog brtvljenja_x000D_
- na probojima između požarnih sektora sa atestiranim negorivim materijalima odgovarajuće klase vatrootpornosti i označavanje mjesta protupožarnog brtvljenja</t>
  </si>
  <si>
    <t>Sitni potrošni materijal</t>
  </si>
  <si>
    <t>UKUPNO 5.</t>
  </si>
  <si>
    <t>SUSTAV ODIMLJAVANJA</t>
  </si>
  <si>
    <t>Dobava i ugradnja konzole za montažu na prozor</t>
  </si>
  <si>
    <t xml:space="preserve">Dobava, montaža i spajanje ručnog javljača / tipkala s LED signalizacijom stanja sustava, HR atestiran, VdS, RAL 2011 orange 099561 </t>
  </si>
  <si>
    <t>Spajanje sustava i puštanje u rad od strane ovlaštenog servisera, komplet sa sitnim spojnim i ugradbenim materijalom i priborom potrebnim za pravilnu funkciju instalacije sustava za odimljavanje. Izrada i izdavanje dokumentacije potrebne za ishođenje uporabne dozvole (npr. kao atesti i certifikati važeći u RH).</t>
  </si>
  <si>
    <t>kpl.</t>
  </si>
  <si>
    <t>Prije narudžbe opreme za odimljavanje, potrebno je istu uskladiti s kupolama i prozorima.</t>
  </si>
  <si>
    <t>UKUPNO 6.</t>
  </si>
  <si>
    <t>AGREGTSKO POSTROJENJE, 65kVA/52kW</t>
  </si>
  <si>
    <t>DIZEL AGREGAT</t>
  </si>
  <si>
    <t>POGONSKI MOTOR: diesel motor, 4-taktni, 4 cilindara u redu, zapremine 4.08l, potrošnje goriva 11.1 l/h pri 75% tereta,  s direktnim ubrizgavanjem GE-DR, s elektronskom regulacijom broja okretaja, suhim filtrom zraka, s prednabijanjem i hladnjakom zrak/zrak žarka za izgaranje, vodom hlađen, tlačno podmazivan.</t>
  </si>
  <si>
    <t>Maksimalne dimenzije postrojenja 2600x1000x1535 mm (dužina x širina x visina); masa 1272.40 kg</t>
  </si>
  <si>
    <t>ukupno dizel agregat:</t>
  </si>
  <si>
    <t>UPRAVLJAČKI ORMAR</t>
  </si>
  <si>
    <t xml:space="preserve">Dobava, ugradnja i spajanje ormara automatike s mikroprocesorskim upravljanjem ugrađen u kučište elektroagragatskog postrojenja.   </t>
  </si>
  <si>
    <t>Mjerenje (ispis na LCD-displeju): Napon generatora, frekvencija generatora, napon mreže, struja generatora, frekvencija mreže, napon baterije, broj okretaja motora, nivo goriva, te brojač sati rada.</t>
  </si>
  <si>
    <t>Svjetlosna signalizacija – stanja (LED): 
Mreža prisutna/neispravna, generatorski napon prisutan/neispravan, uključen generatorski sklopnik, uključen mrežni sklopnik, nizak pritisak ulja, visoka temperatura/nizak nivo rashladne tekućine motora, nizak nivo goriva (pričuva goriva), neuspio start, nizak napon baterije</t>
  </si>
  <si>
    <t xml:space="preserve">Signalizacija stanja i kvarova (ispis na LCD-displeju): 
Nadnapon/podnapon i nad/pod frekvencija generatora, preopterećenje i kratki spoj generatora, nad/podfrekvencija i nad/podnapon mreže, napona mreže, pobjeg, nizak napon punjenja baterija, napon baterije.
</t>
  </si>
  <si>
    <t xml:space="preserve">Daljinska signalizacija i upravljanje: izlaz za zbirni kvar, kontakti za daljinsku signalizaciju, ulazi za isklop u nuždi i daljinsku blokadu rada
Upravljanje: Tipkala za izbor režima rada (test, automatsko, ručno), upravljanje (uključenje generatorskog sklopnika, uključenje sklopnika mreže, reset, start, stop, isključenje zvučnog alarma), tipkala za programiranje.                             </t>
  </si>
  <si>
    <t>Zaštite generatora: Preopterećenje, kratki spoj, podnapon, nadnapon, asimetrija, podfrekvencija i nadfrekvencija.</t>
  </si>
  <si>
    <t>Zaštite motora: Visoka temperatura/nizak nivo rashladne tekućine motora, nizak pritisak ulja, nema goriva i pobjeg.</t>
  </si>
  <si>
    <t>KOMUTACIJSKI ORMAR</t>
  </si>
  <si>
    <t>Dobava zasebnog ormara komutacije za zidnu montažu s ugrađenim mrežno/agregatskim sklopnicima s električnom i mehaničkom blokadom mikroprocesorski upravljani.</t>
  </si>
  <si>
    <t>PUŠTANJE U POGON I TESTIRANJE SUSTAVA</t>
  </si>
  <si>
    <t>Dobava, doprema i isporuka DEA na temeljnu ploču</t>
  </si>
  <si>
    <t>Spajanje energetskih i signalno-upravljačkih kabela na strani agregata</t>
  </si>
  <si>
    <t>Provjera podešenih parametara i ispravnosti ugrađenih elemanta, provjera spojeva na crijevima, provjera razine ulja, antifriza i goriva, provjera okretnog polja, probno pokretanje agregata, očitanje vrijednosti i izrada zapisnika o puštanju agregata u rad</t>
  </si>
  <si>
    <t>Izrada uputa za rukovanje, primopredaja i obuka korisnika.</t>
  </si>
  <si>
    <t>UKUPNO 7.</t>
  </si>
  <si>
    <t>UREĐAJ ZA BESPREKIDNO NAPAJANJE</t>
  </si>
  <si>
    <t>Dobava, isporuka, montaža, spajanje i puštanje u rad uređaja za besprekidno napajanje (UPS) snage 6kVA / 6kW u Rack izvedbi, slijedećih tehničkih karakteristika:</t>
  </si>
  <si>
    <t>Ulazne veličine:</t>
  </si>
  <si>
    <t>Ulazni napon: 110-280 VAC</t>
  </si>
  <si>
    <t>Ulazna frekvencija: 45-70 Hz</t>
  </si>
  <si>
    <t>Ulazni faktor snage: &gt;0,99 pri lineranom teretu</t>
  </si>
  <si>
    <t>Izlazne veličine:</t>
  </si>
  <si>
    <t>Snaga: 6 kVA / 6 kW</t>
  </si>
  <si>
    <t>Izlazni napon: 230 VAC ±2% (selektivno 200-240VAC)</t>
  </si>
  <si>
    <t>Izlazni faktor snage: 1</t>
  </si>
  <si>
    <t>Frekvencija: 50Hz ±1Hz</t>
  </si>
  <si>
    <t>Oblik napona: Čisti sinusni oblik</t>
  </si>
  <si>
    <t>Efikasnost: 94%</t>
  </si>
  <si>
    <t>Autonomija: 10 minuta</t>
  </si>
  <si>
    <t>Pojedinosti:</t>
  </si>
  <si>
    <t>On-Line dvostruka konverzija</t>
  </si>
  <si>
    <t>Napredna DSP kontrolna tehnologija</t>
  </si>
  <si>
    <t>Napredna ECO funkcija</t>
  </si>
  <si>
    <t>Mogućnost skaliranja autonomije i raspon snaga</t>
  </si>
  <si>
    <t>Mogućnost dodavanja baterijskih paketa</t>
  </si>
  <si>
    <t>Bypass preklopka ugrađena</t>
  </si>
  <si>
    <t>Samo-dijagnostika I-B</t>
  </si>
  <si>
    <t>DC start</t>
  </si>
  <si>
    <t>Ostalo:</t>
  </si>
  <si>
    <t>Baterije ugrađene u kućište UPS-a</t>
  </si>
  <si>
    <t>Kompatibilan s Microsoft Windows series, Linux, Mac...</t>
  </si>
  <si>
    <t>Prikaz na LCD zaslonu: napon, frekvencija, teret, stanje baterija, izlazna struja, procjena autonomije...</t>
  </si>
  <si>
    <t>Slot za SNMP, dodatni RS 232, USB, RS 485, relejne kontakte...</t>
  </si>
  <si>
    <t>Priključnice: RS-232 i EPO - GE-DR, spajanje potrošača na redne stezaljke</t>
  </si>
  <si>
    <t>UKUPNO 8.</t>
  </si>
  <si>
    <t>EKM INSTALACIJA</t>
  </si>
  <si>
    <t>Dobava, ugradnja u zid, pod ili strop, samogasivih instalacijskih cijevi (nakon montaže obračunati stvarno utrošene količine):</t>
  </si>
  <si>
    <t>Φ16</t>
  </si>
  <si>
    <t>Φ20</t>
  </si>
  <si>
    <t>Dobava, postavljanje i spajanje EKM kabela u već postavljene cijevi i spajanje (nakon polaganja obračunati stvarno utrošene količine):</t>
  </si>
  <si>
    <t>Dobava, montaža i spajanje u nosivi okvir, zajedno sa 230V priključnicom: (modul se ugrađuje u isti okvir zajedno sa 230V utičnicom)</t>
  </si>
  <si>
    <t>komunikacijska priključnica, modul CAT 6, oklopljena</t>
  </si>
  <si>
    <t>Dobava i montaža komunikacijskog razdjelnika CD visine 42 U, dimenzija  širina 800  mm x dubina 800 mm x visina 2000+100 mm</t>
  </si>
  <si>
    <t>- s ugrađenim 19'' vertikalnim vodilicama s prednje i stražnje strane</t>
  </si>
  <si>
    <t>izrađen od pocinčanlog lima pocinčanog  i obojanog</t>
  </si>
  <si>
    <t>- staklena prednja i metalna stražnja vrata</t>
  </si>
  <si>
    <t>- s krovnom pločom sa mogućnošću uvoda kabela i pripremljenim otvorom za montažu ventilacijske ploče</t>
  </si>
  <si>
    <t xml:space="preserve">- bočne stranice u obliku dvostrukih vrata s ključem, </t>
  </si>
  <si>
    <t>- postolje visine 100 mm u RAL 9005 boji s otvorima</t>
  </si>
  <si>
    <t xml:space="preserve"> - nosivost vertiklnih 19" šina 1500 kg </t>
  </si>
  <si>
    <t xml:space="preserve"> - TS set za uzemljenje</t>
  </si>
  <si>
    <t xml:space="preserve">- ormar se isporučuje sastavljeni i kompletno uzemljeni </t>
  </si>
  <si>
    <t xml:space="preserve">  (stranice, krov, prednja i stražnja vrata i svi metalni dijelovi)</t>
  </si>
  <si>
    <t>1.4.1</t>
  </si>
  <si>
    <t>Komunikacijski ormar u rack izvedbi  dimenzija 800x2000x800 mm</t>
  </si>
  <si>
    <t>1.4.2</t>
  </si>
  <si>
    <t xml:space="preserve">SPECIJALNE BOČNE STRANE 2000x800 (2 kom.) sa priborom za zaključavanje
</t>
  </si>
  <si>
    <t>pak</t>
  </si>
  <si>
    <t>1.4.3</t>
  </si>
  <si>
    <t>VENTILIRANO PODNOŽJE (PREDNJE/STRAŽNJE) ORMARA 800x100mm</t>
  </si>
  <si>
    <t>1.4.4</t>
  </si>
  <si>
    <t>PODNOŽJE (BOČNO) ORMARA 800x100mm, VENTILIRANO</t>
  </si>
  <si>
    <t>1.4.5</t>
  </si>
  <si>
    <t xml:space="preserve">KROVNA VENTILACIJSKA PLOČA SA DVA VENTILATORA I TERMOSTATOM </t>
  </si>
  <si>
    <t>1.4.6</t>
  </si>
  <si>
    <t>VIJAK M6×16, pak=50</t>
  </si>
  <si>
    <t>1.4.7</t>
  </si>
  <si>
    <t>KAVEZNA MATICA M6, pak=50</t>
  </si>
  <si>
    <t>1.4.8</t>
  </si>
  <si>
    <t>19" PANEL-DRŽAČ KABELA 1U</t>
  </si>
  <si>
    <t>1.4.9</t>
  </si>
  <si>
    <t>TS-IT Vertikalni kabelski kanal 36U</t>
  </si>
  <si>
    <t>1.4.10</t>
  </si>
  <si>
    <t xml:space="preserve">Prespojni panel 1U, s 24 x Cat.6 S/FTP oklopljena 360° za bezalatno spajanje </t>
  </si>
  <si>
    <t>1.4.11</t>
  </si>
  <si>
    <t>Dobava i ugradnja prespojnog kabela, Patch Cord, 1 m, Cat.6 24 AWG S/FTP</t>
  </si>
  <si>
    <t>1.4.12</t>
  </si>
  <si>
    <t>Ethernet switch, "Managed", 24 RJ 45 10/100 Mbps i 4 gigabit SFP 10/100/1000 Mbps;</t>
  </si>
  <si>
    <t>1.4.13</t>
  </si>
  <si>
    <t>KABELSKE VEZICE, plastične, paket 100kom</t>
  </si>
  <si>
    <t>1.4.14</t>
  </si>
  <si>
    <t>Kabelska čičak vezica, šir.16mm, pak=5m</t>
  </si>
  <si>
    <t>1.4.15</t>
  </si>
  <si>
    <t>19" UTIČNA LETVA SA 7 ŠUKO UTIČNICA 1U</t>
  </si>
  <si>
    <t>1.4.16</t>
  </si>
  <si>
    <t>TS-IT 19" IZVLAČIVA POLICA, DUBINA 500mm, OPTERETIVOST 50kg</t>
  </si>
  <si>
    <t>1.4.17</t>
  </si>
  <si>
    <t>TS-IT 19" IZVLAČIVA LADICA, DUBINA 427mm, 2U</t>
  </si>
  <si>
    <t>1.4.18</t>
  </si>
  <si>
    <t>Prespojni komunikacijski ISDN, 19", 25 portni cat.3</t>
  </si>
  <si>
    <t>1.4.19</t>
  </si>
  <si>
    <t>19" vodilica kabela s 5 metalnih prstena, 1U</t>
  </si>
  <si>
    <t>1.4.20</t>
  </si>
  <si>
    <t>Adapter za DIN profil, prazan, za 1 modul (SFA)(SFB)</t>
  </si>
  <si>
    <t>1.4.21</t>
  </si>
  <si>
    <t>Koaksijalna F F spojnica (SFA)</t>
  </si>
  <si>
    <t>1.4.22</t>
  </si>
  <si>
    <t>Odvodnik prenapona RJ45</t>
  </si>
  <si>
    <t>1.4.23</t>
  </si>
  <si>
    <t>Dobava, postavljanje i spajanje pojačivača signala sa sljedećim karakteristikama:</t>
  </si>
  <si>
    <t>1 x LAN priključak</t>
  </si>
  <si>
    <t>Brzina prijenosa podataka:450 + 1300 Mbps Mbps</t>
  </si>
  <si>
    <t>sigurnosna riješenja: WPA-PSK/WPA2-PSK, WPA-Enterprise, WPA2-Enterprise, WPS</t>
  </si>
  <si>
    <t>brzina na kabelu:10/100/1000 MBps (Gigabit)</t>
  </si>
  <si>
    <t>UKUPNO 9.</t>
  </si>
  <si>
    <t>FOTONAPONSKA ELEKTRANA 5kW</t>
  </si>
  <si>
    <t>OPREMA FOTONAPONSKE ELEKTRANE</t>
  </si>
  <si>
    <t>Dobava opreme prema stavkama trošovnika. Tehničke karakteristike opreme moraju imati jednake ili bolje tehničke parametre od navedenih u stavkama:</t>
  </si>
  <si>
    <t>Sustav aluminijske potkonstrukcije za prihvat panela na  kosom krovu, polaganje na crijep, uključen sav potreban montažni materijal za ugradnju 12 komada fotonaponskih modula (FN polje - krov)</t>
  </si>
  <si>
    <t>Monokristalni fotonaponski modul 450W, A klase, priključna kutija minimalno IP68 učinkovitosti modula minimalno 21.62%, max. 21 kg, karakteristika:</t>
  </si>
  <si>
    <t xml:space="preserve"> -  dimenzije maksimalno: 1755 x 1038 x 35 mm</t>
  </si>
  <si>
    <t xml:space="preserve"> -  snaga modula minimalno :  Pmax=450 Wp  </t>
  </si>
  <si>
    <t xml:space="preserve"> -  jamstvo na izlaznu snagu (minimalno 90% snage 15 godina, minimalno 80% snage 30 godina)</t>
  </si>
  <si>
    <t>Nabava DC/AC pretvarača - 5kW 3-fazni - s minimalno 2 MPP Trackera/1 string, s minimalnim ulaznim rasponom DC napona 200 V-1000 V, 3~ NPE 400/230, 3~ NPE 380/220 V, 7,5 kWpeak, min. europske učinkovitosti 98,3%, + uređaj za daljinski nadzor elektrane, uključujući DC odvodnike prenapona tip 1+2, jamstvo na proizvod minimalno 5 godina</t>
  </si>
  <si>
    <t>SMART METAR za kontrolu i regulaciju potrošača prema radu elektrane 3f</t>
  </si>
  <si>
    <t>ELEKTROMONTAŽNI RADOVI - OPREMA</t>
  </si>
  <si>
    <t>2.1</t>
  </si>
  <si>
    <t>Ugradnja sljedeće opreme sa svim potrebnim priborom za montažu, do pune funkcionalnosti</t>
  </si>
  <si>
    <t>2.1.1</t>
  </si>
  <si>
    <t>Utovar, prijevoz i istovar opreme, materijala, alata i potrebnog pribora na gradilište.</t>
  </si>
  <si>
    <t>2.1.2</t>
  </si>
  <si>
    <t>Ugradnja sustava aluminijske potkonstrukcije za prihvat fotonaponskih panela na krovu, polaganje na krov prekriven trapeznim limom, uključujući sav potreban montažni materijal, spremno za ugradnju 12 komada fotonaponskih modula.( FN polje - krov ). Pri ugradnji sustava paziti da se ne smanji nosivost i vodonepropusnost krova.</t>
  </si>
  <si>
    <t>2.1.3</t>
  </si>
  <si>
    <t>Postavljanje fotonaponskih modula na krovnu konstrukciju, te njihovo međusobno spajanje u nizove i sa spojnim kutijama sukladno tehničkoj dokumentaciji</t>
  </si>
  <si>
    <t>2.1.4</t>
  </si>
  <si>
    <t>Postavljanje i spajanje pretvarača na zid.</t>
  </si>
  <si>
    <t>2.1.5</t>
  </si>
  <si>
    <t>Ugradnja i spajanje uređaja za nadzor elektrane s pretvaračima i routerom te programsko aktiviranje</t>
  </si>
  <si>
    <t>ELEKTRO MATERIJAL</t>
  </si>
  <si>
    <t>Ugradnja sljedećeg materijala sa svim potrebnim priborom za montažu, do pune funkcionalnosti</t>
  </si>
  <si>
    <t>3.1.1</t>
  </si>
  <si>
    <t>Dobava, isporuka i ugradnja potrebnog materijala za izradu kabelskog spoja istosmjerne struje između modula i pretvarača</t>
  </si>
  <si>
    <t>3.1.2</t>
  </si>
  <si>
    <t>Dobava, isporuka i montaža instalacijskih kanalica uključujući sve potrebne nosače i montažni materijal</t>
  </si>
  <si>
    <t xml:space="preserve"> - Plastične instalacijske kanalice dimenzije 60x40 mm s pregradom i poklopcem</t>
  </si>
  <si>
    <t>3.1.3</t>
  </si>
  <si>
    <t>Polaganje u instalacijske cijevi i spajanje instalacijskih kabela i vodiča :</t>
  </si>
  <si>
    <t>- H07V-K 16 mm2</t>
  </si>
  <si>
    <t xml:space="preserve"> - FTP kabel cat.6</t>
  </si>
  <si>
    <t>3.1.4</t>
  </si>
  <si>
    <t>Nabava DC kabela PV1-F 1x6 mm2 (sa dvostrukom izolacijom, UV otporan, za temperature  -40 do 120 C, za radni napon 900/1500V, maksimalni napon 1800V DC)</t>
  </si>
  <si>
    <t>3.15</t>
  </si>
  <si>
    <t>Dobava i montaža kabelskih vezica (UV stabilne) 4x360mm</t>
  </si>
  <si>
    <t>3.1.5</t>
  </si>
  <si>
    <t xml:space="preserve">Nabava konektora 4-6mm2 MC4 
(par F + M) </t>
  </si>
  <si>
    <t>3.16</t>
  </si>
  <si>
    <t>cijev PVC 50mm</t>
  </si>
  <si>
    <t>3.1.6</t>
  </si>
  <si>
    <t>koljeno PVC 50mm/90</t>
  </si>
  <si>
    <t>3.17</t>
  </si>
  <si>
    <t>MJERENJE, ISPITIVANJE, PODEŠAVANJE I PUŠTANJE U POGON</t>
  </si>
  <si>
    <t>4.1</t>
  </si>
  <si>
    <t>Kontrola montaže, spajanja i napona DC krugova do pretvarača</t>
  </si>
  <si>
    <t>4.2</t>
  </si>
  <si>
    <t>Postavljanje parametara pretvarača</t>
  </si>
  <si>
    <t>UKUPNO 10.</t>
  </si>
  <si>
    <t>ANTENSKA INSTALACIJA I OPREMA</t>
  </si>
  <si>
    <t xml:space="preserve">1. </t>
  </si>
  <si>
    <t>Mjerenje signala i utvrđivanje pozicije antenskog stupa.</t>
  </si>
  <si>
    <t>Dobava, montaža, spajanje i ugađanje sljedeće antenske opreme, sve komplet spojeno i podešeno. Nakon probnog mjerenja antenu je potrebno postaviti na najpovoljnije mjesto na krovu:</t>
  </si>
  <si>
    <t>Razdjelni stup za antene, Ø48mm x 5000mm</t>
  </si>
  <si>
    <t>2.2</t>
  </si>
  <si>
    <t>Poklopac antenskog stupa</t>
  </si>
  <si>
    <t>2.3</t>
  </si>
  <si>
    <t>Obujmica za učvršćenje stupa 5/4"</t>
  </si>
  <si>
    <t>2.4</t>
  </si>
  <si>
    <t>Obujmica za uzemljenje</t>
  </si>
  <si>
    <t>2.5</t>
  </si>
  <si>
    <t>Krovni olovni lim za cijev Ø 60mm</t>
  </si>
  <si>
    <t>2.6</t>
  </si>
  <si>
    <t>Guma za krovni lim i cijev Ø 40-48mm</t>
  </si>
  <si>
    <t>2.7</t>
  </si>
  <si>
    <t>Obujmica za sidrenje u tri smjera</t>
  </si>
  <si>
    <t>2.8</t>
  </si>
  <si>
    <t>Radijska neusmjerena antena 0dB, F priključak</t>
  </si>
  <si>
    <t>2.9</t>
  </si>
  <si>
    <t>UHF antena C21-69/14.8dB, duž. 815mm</t>
  </si>
  <si>
    <t>2.10</t>
  </si>
  <si>
    <t>UHF antena C21-69/16.5dB, duž. 1110mm</t>
  </si>
  <si>
    <t>2.11</t>
  </si>
  <si>
    <t>UHF antena C21-69/18.7dB, duž. 2370mm</t>
  </si>
  <si>
    <t>2.12</t>
  </si>
  <si>
    <t>Nosač UHF antene L oblika, Ø 37mm/450x250mm</t>
  </si>
  <si>
    <t>2.13</t>
  </si>
  <si>
    <t>2.14</t>
  </si>
  <si>
    <t>Držač drugog LNB za antene promjera 85-125cm</t>
  </si>
  <si>
    <t>2.15</t>
  </si>
  <si>
    <t>2.16</t>
  </si>
  <si>
    <t>Koaksijalni kabel 7mm/75ohma, crni plašt</t>
  </si>
  <si>
    <t>2.17</t>
  </si>
  <si>
    <t>Plastična vezica duž. 290mm, crna, UV stabilna</t>
  </si>
  <si>
    <t>2.18</t>
  </si>
  <si>
    <t>Programibilno pojačalo FM/2xVHF/3xUHF</t>
  </si>
  <si>
    <t>2.19</t>
  </si>
  <si>
    <t>2.20</t>
  </si>
  <si>
    <t>Atenuator sa regulacijom 20dB/47-862MHz, F/muški/ženski</t>
  </si>
  <si>
    <t>2.21</t>
  </si>
  <si>
    <t>F kompresijski konektor za 7mm kabel, push izvedba</t>
  </si>
  <si>
    <t>2.22</t>
  </si>
  <si>
    <t>Bazni multiswitch, in-out/8xMF/1xZEM, 8 izlaza, premium</t>
  </si>
  <si>
    <t>2.23</t>
  </si>
  <si>
    <t>F-F spojnica brza, F muški/F muški</t>
  </si>
  <si>
    <t>2.24</t>
  </si>
  <si>
    <t>Kaskadni multiswitch, in-out/8xMF/1xZEM, 12 izlaza, light</t>
  </si>
  <si>
    <t>2.25</t>
  </si>
  <si>
    <t>Kaskadni multiswitch, in-out/8xMF/1xZEM, 16 izlaza, light</t>
  </si>
  <si>
    <t>2.26</t>
  </si>
  <si>
    <t>2.27</t>
  </si>
  <si>
    <t>2.28</t>
  </si>
  <si>
    <t>Tehnički pregled zajedničkog antenskog sustava i izrada propisane dokumentacije od strane ovlaštene ustanove</t>
  </si>
  <si>
    <t>Dobava i polaganje cijevi (u pod, zid, strop), zajedno sa sitnim spojnim materijalom i priborom :</t>
  </si>
  <si>
    <t>CSS20</t>
  </si>
  <si>
    <t>CSS50</t>
  </si>
  <si>
    <t>5</t>
  </si>
  <si>
    <t>UKUPNO 11.</t>
  </si>
  <si>
    <t>SUSTAV ZAŠTITE OD DJELOVANJA MUNJE I IZJEDNAČAVANJE POTENCIJALA</t>
  </si>
  <si>
    <t>Dobava i polaganje okruglog vodiča Ø 8 mm od nehrđajućeg čelika, za izradu horizontalnih i vertikalnih hvataljki na krovu građevine i dijela odvoda.</t>
  </si>
  <si>
    <t>Dobava i ugradnja nosača vodiča hvataljke na limeni krov građevine od nehrđajućeg čelika</t>
  </si>
  <si>
    <t>Dobava i montaža križnih spojnica od nehrđajućeg čelika, za spajanje vodiča hvataljke</t>
  </si>
  <si>
    <t>Dobava i montaža križnih spojnica za spajanje plosnatog i okruglog vodiča, dim. 60x60 mm, nehrđajući čelik A4</t>
  </si>
  <si>
    <t>Dobava i polaganje na zid trake 30x3,5 mm od nehrđajućeg čelika A2</t>
  </si>
  <si>
    <t>Dobava zidnog nosača namijenjenog za montažu plosnatog vodiča širine do 30 mm na zid objekta</t>
  </si>
  <si>
    <t>Dobava i ugradnja spojnice vodiča na metalne mase građevine (ograde, dovratnici i slično)</t>
  </si>
  <si>
    <t>Dobava i montaža podne kutije za mjerni spoj od lijevanog željeza, nosivosti 40 kN, dimenzija 227x155x155 mm</t>
  </si>
  <si>
    <t>Dobava i polaganje u temelje građevine trake FeZn 25x4mm za izradu uzemljivača</t>
  </si>
  <si>
    <t>Dobava i montaža križnih spojnica za spajanje trake uzemljivača, od nehrđajućeg čelika</t>
  </si>
  <si>
    <t>Dobava i polaganje u zemlju trake 30x3,5 mm od nehrđajućeg čelika A2</t>
  </si>
  <si>
    <t>UKUPNO 12.</t>
  </si>
  <si>
    <t>NN ORMARI OPĆE POTROŠNJE</t>
  </si>
  <si>
    <t>osigurač dim. 22X58mm GL/GG 50A</t>
  </si>
  <si>
    <t xml:space="preserve">odvodnik prenapona 3P, Iimp= 25kA/100kA, tip 1+2, izvedbe s ulošcima i indikacijom dotrajalosti, </t>
  </si>
  <si>
    <t>osigurač dim. 14X51mm GL/GG 6A</t>
  </si>
  <si>
    <t>osigurač dim. 22X58mm GL/GG 25A</t>
  </si>
  <si>
    <t>Diferencijalna zaštitna sklopka za minijaturni automatski prekidač, četveropolna 4P, nazivne struje 40A, osjetljivosti 30mA</t>
  </si>
  <si>
    <t>četveropolna rastavna sklopka za montažu na DIN šinu, nazivne struje In= 63A, kategorije primjene AC22A pri 380-415V AC 50Hz, kratkospojne uklopne moći Icm= 15 kA, s mogućnošću nadogradnje pomoćnog kontakta</t>
  </si>
  <si>
    <t>diferencijalna zaštitna sklopka, četveropolna 4P , nazivne struje 25A, osjetljivosti 100mA, tip A</t>
  </si>
  <si>
    <t>osigurač dim. 22X58mm GL/GG 16A</t>
  </si>
  <si>
    <t>sustav za izmjenu napajanja (dva izvora: mreža - agregat) sastavljen od 2 niskonaponska kompaktna prekidača 100A, četveropolni 4P, fiksne izvedbe, u mehaničkoj i električnoj blokadi, sastavljen od sljedećih komponenti:</t>
  </si>
  <si>
    <t>ploča za blokadu</t>
  </si>
  <si>
    <t>osigurač dim. 22X58mm GL/GG 32A</t>
  </si>
  <si>
    <t>osigurač dim. 22X58mm GL/GG 20A</t>
  </si>
  <si>
    <t>osigurač dim. 14X51mm GL/GG 25A</t>
  </si>
  <si>
    <t>osigurač dim. 14X51mm GL/GG 16A</t>
  </si>
  <si>
    <t>osigurač dim. 14X51mm GL/GG 10A</t>
  </si>
  <si>
    <t>diferencijalna zaštitna sklopka, četveropolna 4P , nazivne struje 40A, osjetljivosti 30mA, tip Asi,</t>
  </si>
  <si>
    <t>grebenastra sklopka 20A, jednopolna 1P,  četvero položajna 0-1-2-3,  kut između položaja 45 stupnjeva, montaža Multi-fixing</t>
  </si>
  <si>
    <t>digitalni uklopni sat , 2 kanal, 16A, ciklusa 24h i/ili 7d, 1min minimalno vrijeme između sklapanja, sa rezervim napajanjem 6 godina, sa automatskom promjenom vremena</t>
  </si>
  <si>
    <t>KNX MODUL DIG. ULAZA, 8X230</t>
  </si>
  <si>
    <t>IZVOR NAPAJANJA REG/24V DC/0,4A</t>
  </si>
  <si>
    <t>1.50</t>
  </si>
  <si>
    <t>KNX IZVOR NAPAJANJA /640MA</t>
  </si>
  <si>
    <t>1.51</t>
  </si>
  <si>
    <t>Gateway sa KNX, Modbus, BACnet i IP protokolom</t>
  </si>
  <si>
    <t>1.52</t>
  </si>
  <si>
    <t>KNX AKT. SKLOPNIK 12 izlaza</t>
  </si>
  <si>
    <t>1.53</t>
  </si>
  <si>
    <t>KNX VREMENSKA STANICA SA SENZOROM VJETRA, KIŠE I TEMPERATURE</t>
  </si>
  <si>
    <t>1.54</t>
  </si>
  <si>
    <t>sva potrebna montažna i spojna oprema potrebna za ugradnju specificirane opreme u ormare do njegove pune fukcionalnosti; sabirnice, igličaste sabirnice, redne stezaljke, sabirnice nule i zemlje, spojni vodovi, plastične kanalice, označavanje, funkcionalno ispitivanje prije isporuke, atesti, ispitni protokol, korisnička dokumentacija te ostali potrebni sitni spojni i montažni materijal i pribor do pune funkcionalnosti ormara.</t>
  </si>
  <si>
    <t>Ukupno GRO</t>
  </si>
  <si>
    <t xml:space="preserve">kpl </t>
  </si>
  <si>
    <t>Dobava, montaža i spajanje razvodnog ormara Rp</t>
  </si>
  <si>
    <t/>
  </si>
  <si>
    <t>Dimenzije razdjelnika: 380x600x210mm (ŠxVxD). Dolaz i odlaz kabela sa gornje strane.</t>
  </si>
  <si>
    <t xml:space="preserve">Sastoji se od elemenata:
1kom - razdjelnik 380x600x210mm
1 kom - zidni nosači
1kpl - instalacijski set
1 kpl - instalacijski set za modularnu opremu, 2 reda
1 kpl - instalacijski set za modularnu opremu, 1 red
1kom - plastični džep za nacrte A4                                            
</t>
  </si>
  <si>
    <t>u ormar Rp ugrađuje se sljedeća oprema:</t>
  </si>
  <si>
    <t>Rastavna sklopka modularne izvedbe, tropolna, nazivne struje 63A za AC i DC aplikacije, 400VAC. Nazivna prekidna moć prekidna moć 1.5 kA, 9kA vršno bez zaštitnog prekidača. Nazivna prekidna moć prekidna moć 50kA u kombinaciji sa zaštitnim osiguračem;</t>
  </si>
  <si>
    <t xml:space="preserve">Direktna ručica zasklopke, plava;
</t>
  </si>
  <si>
    <t>2.1.6</t>
  </si>
  <si>
    <t>2.1.7</t>
  </si>
  <si>
    <t>Montažni pribor koji se sastoji od rednih stezaljki, DIN šina, POK kanala, vodiča, kabelskih uvodnica, igličastih sabirnica za modularnu opremu, sabirnica nule i zemlje, vezica i ostalog sitnog montažnog pribora.</t>
  </si>
  <si>
    <t>Ukupno Rp</t>
  </si>
  <si>
    <t>UKUPNO 13.</t>
  </si>
  <si>
    <t>NN ORMARI I EL. OPREMA PAMETNE SOBE</t>
  </si>
  <si>
    <t>1</t>
  </si>
  <si>
    <t>odvodnik prenapona 1P+N  I imp (10/350) = 12,5kA; maksimalne struje odvoda (8/20) Imax=25kA, tip 2, fiksne izvedbe sa indikacijom dotrajalosti</t>
  </si>
  <si>
    <t>instalacijski sklopnik, jednopolni 1P, nazivne struje In=40A u kategoriji AC7a, nazivnog napona 250V, vrste kontakta 1NO, upravljački napon svitka 230-240V AC 50Hz</t>
  </si>
  <si>
    <t>sobni kontroler. Do 17 programabilnih izlaza ON-OFF, 15 digitalnih ulaza, 4 analogna ulaza (3 za osjetnik temp., 1 za osjetnik senzora poplave). Priključci za spajanje termostata, čitača kartica, odlagača kartice i konzole za rasvjetu. Namjenski izlaz 12V 1A za elektroprihvatnik. Napajanje 230V AC, montirano na DIN šinu. Širina 157 mm, 9 modula DIN</t>
  </si>
  <si>
    <t>sva potrebna montažna i spojna oprema potrebna za ugradnju u specificirane ormare do njegove pune fukcionalnosti; sabirnice, igličaste sabirnice, redne stezaljke, sabirnice nule i zemlje, spojni vodovi, plastične kanalice, označavanje, funkcionalno ispitivanje prije isporuke, atesti, ispitni protokol, korisnička dokumentacija te ostali potrebni sitni spojni i montažni materijal i pribor do pune funkcionalnosti ormara.</t>
  </si>
  <si>
    <t>Dobava i ugradnja u već ugrađene el. ormare, kontroler kontrole pristupa u zajedničkim prostorijama. 3 programabilna izlaza (od kojih 1 namjenski izlaz za elektroprihvatnik 12V 1A), 3 programabilna ulaza. Priključci za povezivanje do 2 čitača kartica. Za upravljanje rampama, kliznim vratima, elektroprihvatnicima. Napajanje 230V AC, montirano na DIN šinu. Širina 70 mm, 4 -modulirani DIN</t>
  </si>
  <si>
    <t>Dobava, ugradnja, spajanje i instalacija opreme za pametno upravljanje prostora, kompletno sa p/ž kutijama i potrebnom spojnom opremom:</t>
  </si>
  <si>
    <t>čitač beskontaktnih kartica sa staklenim prednjim panelom. Oznaka statusa za pristup odobren/odbijen, DND, MUR, SOS funkcije. Standardne boje: crna, bijela. Custom boje dostupne na zahtjev. Dimenzije panela 124x96 mm. Montira se u standardnu kutiju od 3 modula, talijanski standard.</t>
  </si>
  <si>
    <t>Bluetooth modul za ulazak u sobu sa pametnim telefonom koji podržava BLE 4.0</t>
  </si>
  <si>
    <t>odlagač transponder kartice sa staklenim prednjim panelom. Standardne boje: crna, bijela. Custom boje dostupne na zahtjev. Dimenzije panela 124x160 mm. Montira se u standardnu kutiju od 3 modula, talijanski standard.</t>
  </si>
  <si>
    <t>sobna upravljačka konzola sa staklenim prednjim panelom i kapacitivnim tipkama na dodir. Dodatne tipke za DoNotDisturb i MakeUpRoom. Integrirani zvučni signal za zvono na vratima. Standardne boje: crna, bijela. Custom boje dostupne na zahtjev. Dimenzije panela 124x96 mm. Montira se u standardnu kutiju od 3 modula, talijanski standard.</t>
  </si>
  <si>
    <t xml:space="preserve">Magnetni kontakt i magnet za vrata. Kad su vrata zatvorena, kontakt je zatvoren.      </t>
  </si>
  <si>
    <t xml:space="preserve">Električna brava 12V DC (elektroprihvatnik), universal lijevo-desno vrata, BEZ LIMA ZA MONTAŽU
</t>
  </si>
  <si>
    <t>Magnetni kontakt i magnet za prozor. Kad je prozor zatvoren, kontakt je zatvoren.</t>
  </si>
  <si>
    <t>adapter za lokalno povezivanje  kontrolera inteligentne sobe sa unutrašnjom jedinicom MULTISPLIT sustava, IR emulator za upravljanje unutarnjom jedinicom, uključena IR dioda.</t>
  </si>
  <si>
    <t>Senzor poplave</t>
  </si>
  <si>
    <t>Senzor temperature za regulaciju temperature u kupaonici (podno grijanje, grijanje radijatora itd.)</t>
  </si>
  <si>
    <t>microwave senzor pokreta. Detekcija pokreta temeljena na Doppler efektu. Može se ugraditi u spušteni strop ili iza zidova od gipsanih ploča - nije vidljiv gostima. Dimenzije kućišta: 71x71x26mm.</t>
  </si>
  <si>
    <t>Encoder transponder kartica sa displayem za poruke</t>
  </si>
  <si>
    <t xml:space="preserve">Optoizoliran konverter RS232/14x485 </t>
  </si>
  <si>
    <t>Optoizoliran konverter RS232/4xRS485</t>
  </si>
  <si>
    <t>Beskontaktne kartice (transponder) s ispisanim uputama o korištenju sobe</t>
  </si>
  <si>
    <t>numerička tipkovnica za unos koda</t>
  </si>
  <si>
    <t>IP67 čitač beskontaktnih kartica. Indikacija statusa rada, pristup odobren, pristup odbijen. Vodootporni zaštita IP65 . Dimenzije kućišta 75x115 mm. Montiran na ravnu površinu. Duljina kabela 2m</t>
  </si>
  <si>
    <t>Isoporuka, postavljanje i parametriranje programskog paketa, te obuka korisnika</t>
  </si>
  <si>
    <t>Ispitivanje i puštanje u rad sustava. Obuka korisnika, podrška elektroinstalaterima pri izvođenju.</t>
  </si>
  <si>
    <t>UKUPNO 14.</t>
  </si>
  <si>
    <t>GRIJANJE OLUKA I PODA</t>
  </si>
  <si>
    <t>Go2 i Go3 Dobava, ugradnja i spajanje grijaćeg kabela 8,035 Ω/m, duljine 18,7 m, s "hladnim krajem" duljine 2 m, opremljenog za ugradnju u horizontalni oluk i vertikalni odvod (352 W / 230 V)</t>
  </si>
  <si>
    <t>Go4 Dobava, ugradnja i spajanje grijaćeg kabela 6,135 Ω/m, duljine 21,1 m, s "hladnim krajem" duljine 2 m, opremljenog za ugradnju u oluke i odvode (409 W / 230 V )</t>
  </si>
  <si>
    <t>Gdt1 Dobava, ugradnja i spajanje grijaćeg kabela  0,135 Ω/m, duljine 126,5 m, s "hladnim krajem" duljine 5 m, za ugradnju u beton ( 3098 W / 230 V)</t>
  </si>
  <si>
    <t>Dobava, ugradnja i spajanje napojno-upravljačkog razdjelnika opremljenog sa: elektroničkim regulatorom , strujnom zaštitnom sklopkom 40/0,3A, automatskim osiguračima, sklopnikom, grebenastom sklopkom i ostalom opremom potrebnom za ispravan i siguran rad grijanja snage 5 kW</t>
  </si>
  <si>
    <t>Dobava, ugradnja i spajanje pametne sonde za vlagu i temperaturu oluka</t>
  </si>
  <si>
    <t>Dobava i ugradnja kabela za sondu, duljine 10 m, sa vodonepropusnim konektorom</t>
  </si>
  <si>
    <t>Dobava i ugradnja u rampu kućišta za sondu</t>
  </si>
  <si>
    <t>Dobava i ugradnja u kućište pametne sonde za vlagu i temperaturu tla</t>
  </si>
  <si>
    <t>Dobava i ugradnja kabela za sondu , duljine 10 m, sa vodonepropusnim konektorom</t>
  </si>
  <si>
    <t>Dobava i ugradnja na zid sonde za temperaturu zraka</t>
  </si>
  <si>
    <t>UKUPNO 16.</t>
  </si>
  <si>
    <t>ISPITIVANJE I MJERENJE</t>
  </si>
  <si>
    <t>Ispitivanje, mjerenje, probni rad, pregledi, izdavanje protokola o mjerenjima  i sl. sukladno programu kakvoće (mjerenje otpora izolacije,  unutarnje i vanjske rasvjete, sigurnosne rasvjete, ispitivanje impedancije petlje kvara, ispitivanje neprekidnosti zaštitnog vodiča i vodiča za izjednačavanje potencijala, mjerenje galvanske povezanost metalnih masa, ispitivanje funkcionalnosti zaštitnih uređaja diferencijalne struje, ispitivanje ispravnosti veza, dovođenje u punu funkcionalnost, termovizijsko snimanje el. ormara puštanje u probni rad). Ispitivanje rada agregata, u praznom hodu i pod teretom. Ispitivanje sustava dojave požara.</t>
  </si>
  <si>
    <t xml:space="preserve">Izrada Plana i programa primjerenog paralelnog rada elektrane sa distribucijskom mrežom </t>
  </si>
  <si>
    <t xml:space="preserve">Provedba ispitivanja predviđenih planom ispitivanja i puštanja elektrane u probni rad s izradom izvještaja </t>
  </si>
  <si>
    <t>Ishođenje dokumentacije u ime investitora za puštanje u rad.</t>
  </si>
  <si>
    <t xml:space="preserve">Rezultate dostaviti u elektroničkom i papirnatom obliku s odgovarajućim oznakama i izračunom ukupne dužine izmjerenih kabela; </t>
  </si>
  <si>
    <t>UKUPNO 17.</t>
  </si>
  <si>
    <t>DOKUMENTACIJA</t>
  </si>
  <si>
    <t>Izrada nacrta NN instalacije, EKM instalacije, vatrodojave, LPS-a i jednopolnih shema za izvođenje.</t>
  </si>
  <si>
    <t xml:space="preserve">Izrade "red mark-up" dokumentacija ovjerene od strane izvođača i od ovlaštenog nadzornog inženjera u digitalnom editabilnom formatu. "Red mark-up" dokumentacije (izvedbena dokumentacija s naznačenim izmjenama koje su prethodno odobrene) u obavezi je Izvođača /Naručitelja a služi kao podloga Projektantu za izradu as built dokumenatacije (3 primjerka na papiru +1 u elektronskom obliku na CD-R mediju u nezaključanom formatu: doc, xls i dwg)
</t>
  </si>
  <si>
    <t>Dostava jednopolnih shema – izvedeno stanje u PVC foliji i umetanje unutar svih razdjelnika</t>
  </si>
  <si>
    <t>NN I SIGNALNI KABELI INSTALACIJA</t>
  </si>
  <si>
    <t>SVEUKUPNO E.2</t>
  </si>
  <si>
    <t>REKAPITULACIJA ELEKTROTEHNIČKIH INSTALACIJA (UGOSTITELJSKO-TURISTIČKA GRAĐEVINA PLANINARSKI DOM JELENIĆ KUĆA)</t>
  </si>
  <si>
    <t>Ukupna cijena (HRK)</t>
  </si>
  <si>
    <t>SVEUKUPNO E.1+E.2</t>
  </si>
  <si>
    <t>ELEKTROTEHNIČKE INSTALACIJE</t>
  </si>
  <si>
    <t>0.</t>
  </si>
  <si>
    <t>OPĆI UVJETI</t>
  </si>
  <si>
    <t>Izvođač je dužan pridržavati se svih važećih zakona i propisa tijekom izvođenja radova. Izvođač je u okviru ugovorene cijene dužan izvršiti koordinaciju radova svih kooperanata na način koji će omogućiti kontinuirano odvijanje posla i zaštitu već izvedenih radova. Sva oštećenja nastala na objektima i bilju tijekom gradnje otkloniti će izvođač o svom trošku.</t>
  </si>
  <si>
    <t>Izvođač je dužan posjedovati ateste o ispitivanju materijala upotrebljenih za izgradnju građevine, te ateste o ispravnosti izvedenih instalacija, a prilikom tehničkog pregleda građevine mora sve ateste dostaviti investitoru na upotrebu.</t>
  </si>
  <si>
    <t>Izvođač je dužan izraditi pomoćna sredstva za rad kao što su skele, oplate, ograde, skladišta, dizalice, dobaviti i postaviti strojeve, alat i ostali potreban pribor te poduzeti sve mjere sigurnosti potrebne da ne dođe do kakvih smetnji i opasnosti po život i zdravlje prolaznika  te  zaposlenih  radnika  i  osoblja (osigurati promet pješaka i vozila postavljanjem pješačkih i kolnih prijelaza preko rova i dr.).</t>
  </si>
  <si>
    <t>Čuvanje građevine, gradilišta, svih postrojenja, alata i materijala, kako svoga tako i svojih kooperanata, pada u dužnost i na teret izvođača. Svaka šteta koja bi bila prouzročena prolazniku ili susjednoj građevini, uslijed kopanja, miniranja, postavljanja skela, pada na teret izvođača koji je dužan odstraniti i nadoknaditi štetu u određenom roku.</t>
  </si>
  <si>
    <t>Nakon što su površine služile gradilištu potrebno je da građevno poduzeće očisti gradilište do izvorne čistoće postojanja zemljanih površina tj. mekote ili mrtvice. Prije radova krajobraznog uređenja očistiti gradilište otpadaka građenja kao: betonskih temelja, ukopanog čelika, boja i dr., što može naškoditi rastu bilja.</t>
  </si>
  <si>
    <t>Prije izvedbe i postavljanja opreme navedene u  projektu i troškovniku, potrebno je u dogovoru s projektantom izraditi konačne radioničke nacrte sukladno stvarnim zahtjevima i uvjetima. Obaveza izvođača je konzultirati se s projektantom pri izradi radioničkih nacrta. Obaveza projektanta je ovjeriti predmetne radioničke nacrte što prethodi izradi opreme i postavljanju (izvedbi).</t>
  </si>
  <si>
    <t xml:space="preserve">U jediničnim cijenama pojedinih stavaka moraju biti obuhvaćeni svi troškovi pripremnih i zemljanih radova te troškovi za potrebno dovršenje predviđenog rada koji je opisan u troškovniku, tj. sav materijal sa dovozom do gradilišta, odvozom na privremeni deponij odnosno na gradsku deponiju. Doprema alata, mehanizacije i uskladištenje, unutarnji prijenosi do mjesta ugradnje, ugradnja sa svim potrebnim materijalom i nužnom pripomoći bez obzira na vrstu zanata i posla sve do potpune gotovosti, troškovi mehanizacije, radne snage sa svim dodacima, svi režijski troškovi izvođača, troškovi struje i vode, obveze, porezi, dobit i ostalo, tako da je ponuđena cijena konačna. Izvođač u svojoj režiji osigurava čuvarsku službu za mehanizaciju i materijale na lokaciji.  </t>
  </si>
  <si>
    <t xml:space="preserve">Izvođač je dužan osigurati pravilno privremeno deponiranje građevinskog materijala na parceli u tijeku radova, kao i sveg biljnog materijala, štiteći isti od sunca, redovito zalijevajući isti u kontejnerima, do sadnje. Nakon sadnje redovito zalijevati posađeni biljni materijal. Navedeno se vrši u dogovoru s investitorom i nije predmet ovog troškovnika. Strojevi za iskope prema stablu ne smiju prići bliže od 3 m radi zaštite debla i korijenja. </t>
  </si>
  <si>
    <t>Izvođač je dužan prije narudžbe pojedinih materijala dostaviti projektantu uzorke radi odabira vrste, kvalitete i finalne obrade istih. Promjene pojedinih stavki ili detalja moguće (izmjene/dopune) je samo uz prethodno odobrenje projektanta i nadzornog inženjera.</t>
  </si>
  <si>
    <t>Svi nekvalitetni radovi i materijali moraju se odmah otkloniti i zamjeniti ispravnim bez bilo kakve obveze za odštetu od strane naručitelja.</t>
  </si>
  <si>
    <t xml:space="preserve">Izvođač je dužan prekontrolirati sve mjere i količine materijala na gradilištu te po eventualnim neslaganjima odmah obavijestiti nadzornog inženjera prije naručivanja materijala. Izvođač mora osigurati takvu organizaciju rada, kvalitetan materijal i odgovarajuću radnu snagu, koja će zajamčiti solidnu i preciznu izvedbu radova te garantirati pridržavanje ugovorenih rokova. </t>
  </si>
  <si>
    <t>Obračun svih radova mora se vršiti prema stvarno izvedenim i uredno dokumentiranim količinama potvrđenim od nadzornog inženjera, a ne prema količinama danim u pojedinim stavkama dokaznice mjera i troškovnika.</t>
  </si>
  <si>
    <t>Potrebno je voditi računa o zaštiti korijenja, debala i krošnje postojećih stabala te spriječiti bilo kakvo oštećivanje istih te zatrpavanje vrata korijena stabala.</t>
  </si>
  <si>
    <t>Drvnu građu (trupce/balvane/panjeve) nastalu sječom potrebno je skladištiti na za to prikladnom mjestu jer se predviđa iskoristiti kao opremu predviđenu projektom i troškovnikom.</t>
  </si>
  <si>
    <t>Grafički i produkt dizajn te osmišljavanje i priprema za tisak pisanih i grafičkih materijala nisu predmet ovog projekta/troškovnika i dogovaraju se naknadno s investitorom.</t>
  </si>
  <si>
    <t>I.</t>
  </si>
  <si>
    <t>UKLANJANJE</t>
  </si>
  <si>
    <t>UKLANJANJE SLOJA GRMLJA I NISKOG RASLINJA</t>
  </si>
  <si>
    <t>Stavka obuhvaća potpuno uklanjanje sloja grmlja i niskog raslinja unutar zona gradnje (kolni i pješački putevi, terasa, sportsko-rekreacijska zona, zona parkirališta, zone nasada). orezivanje granja i oblikovanje krošnji postojećih stabla koja se zadržavanju prema Planu sadnje. Krčenje je potrebno provoditi u koordinaciji sa stručnim službama, odnosno Hrvatskim šumama.</t>
  </si>
  <si>
    <t>Utovar, odvoz i istovar iskrčenog organskog materijala na odlagalište otpada do 30 km udaljenosti, uključujući i taksu odlagališta.</t>
  </si>
  <si>
    <t>* Na prostoru projektom predviđenom za sadnju travnjaka, nasada trajnica i paprati, u dogovoru s projektantima, moguće je ostaviti grmlje i prizemno rašće ukoliko ostvaruje ambijentalnu i ekološku fuknciju prostora te se neće ukloniti prilikom izgradnje elemenata u prostoru</t>
  </si>
  <si>
    <t>*Plan uklanjanja prikazan je na grafičkom prilogu 2 - Plan uklanjanja</t>
  </si>
  <si>
    <t>Obračun se vrši po m² iskrčene vegetacije</t>
  </si>
  <si>
    <t>ČIŠĆENJE TRAVNJAKA</t>
  </si>
  <si>
    <t>Stavka obuhvaća čišćenje postojećeg travnjaka, uklanjanje niskog raslinja, košnju trave te orezivanje granja i oblikovanje krošnji postojećih stabla koja se zadržavanju prema Planu sadnje</t>
  </si>
  <si>
    <t>UKLANJANJE POSTOJEĆIH STABALA</t>
  </si>
  <si>
    <t>Uklanjanje stabala lošeg vitaliteta; stabla sa znatnim oštećenjima kore, krošnje i debla</t>
  </si>
  <si>
    <t>Zdravi iskrčeni materijal iskoristiti za izradu panjeva u sportsko-rekreativnoj zoni. Ostatak se odvozi na primjerenu deponiju do 30 km udaljenosti.</t>
  </si>
  <si>
    <t xml:space="preserve">Obračun se vrši po kom uklonjenog stabla </t>
  </si>
  <si>
    <t>UKLANJANJE UKUPNO:</t>
  </si>
  <si>
    <t>II.</t>
  </si>
  <si>
    <t>DOPREMA I RAZASTIRANJE ZEMLJE</t>
  </si>
  <si>
    <t>*Zona razastiranja zemlje je površina dosijavanja travnjaka i površina za nasade, prikazano na grafičkom prilogu 7 - Plan sadnje</t>
  </si>
  <si>
    <t xml:space="preserve">Obračun se vrši po  m³ ugrađene zemlje u sraslom stanju. </t>
  </si>
  <si>
    <t>ŠIROKI ISKOP U TLU 'C' KATEGORIJE ZA STAZU OD PROPUSNOG BETONA</t>
  </si>
  <si>
    <t xml:space="preserve">Grubo i fino planiranje zemljane posteljice ispod predviđenog tamponskog sloja drobljenog šljunka 0/32 mm. Zbijanje na Me &gt; 20 MPa. Poprečni nagib minimalno 2%. </t>
  </si>
  <si>
    <t>*Prikazano na grafičkom prilogu 4 - Uređajna osnova i grafički prilog 12 - Detalj 3</t>
  </si>
  <si>
    <t xml:space="preserve">Obračun se vrši po  m³ iskopanog materijala u sraslom stanju. </t>
  </si>
  <si>
    <t xml:space="preserve">Iskop u tlu kategorije 'C' </t>
  </si>
  <si>
    <t>ISKOP TEMELJA OPREME U TLU 'C' KATEGORIJE</t>
  </si>
  <si>
    <t>Stavka obuhvaća iskop temelja info tabli, drvenih klupa, koševa za reciklažu, sprava za dječju igru, sprava za vježbanje i dr. prema projektnoj dokumentaciji.</t>
  </si>
  <si>
    <t>ODVOZ ISKOPANOG MATERIJALA</t>
  </si>
  <si>
    <t>U cijenu stavke je uključen utovar i prijevoz iskopanog materijala na primjerenu deponiju do 30 km udaljenosti, uključujući i taksu deponije.</t>
  </si>
  <si>
    <t xml:space="preserve">Obračun se vrši po  m³ deponiranog materijala. </t>
  </si>
  <si>
    <t>* Materijal je moguće iskoristiti za stavku II/1 ukoliko površinski sloj bude sadržavao humusni dio (u dogovoru s projektantima).</t>
  </si>
  <si>
    <t>ZEMLJANI RADOVI UKUPNO:</t>
  </si>
  <si>
    <t>III.</t>
  </si>
  <si>
    <t>UREĐENJE STAZA</t>
  </si>
  <si>
    <t>IZRADA STAZE OD PROPUSNOG BETONA</t>
  </si>
  <si>
    <t>Rubnjaci se rade od pocinčanog graničnika 100x18cm debljine 1,5mm. Visina graničnika bez ankera je 8cm. Uračunata efektivna dužina po graničniku 95cm zbog preklopa.</t>
  </si>
  <si>
    <t>Stavka obuhvaća nabavu materijala, transport i ugradnju</t>
  </si>
  <si>
    <t xml:space="preserve">Obračun se vrši po dužnom metru graničnika </t>
  </si>
  <si>
    <t>UREĐENJE STAZA UKUPNO:</t>
  </si>
  <si>
    <t>IV.</t>
  </si>
  <si>
    <t>OPREMA</t>
  </si>
  <si>
    <t>DRVENA KLUPA</t>
  </si>
  <si>
    <t>Dobava/ izrada drvenih klupa bez naslona (četvrtastog presjeka) od drvenih greda presjeka 200x50X45 cm prema nacrtu i tehničkom opisu, te njihova ugradnja na prethodno pripremljen teren. Grede zaobljenih bridova u radijusu 10mm Dužina klupe je 200cm, širina i visina 45cm. Klupa se postavlja na čelične nosače</t>
  </si>
  <si>
    <t>*Prikazano na grafičkom prilogu prilogu 15 - Detalj 6</t>
  </si>
  <si>
    <t>Obračun se vrši po komadu izrađene i montirane drvene klupe</t>
  </si>
  <si>
    <t>DRVENA KLUPA NA POTPORNOM ZIDU</t>
  </si>
  <si>
    <t xml:space="preserve">Dobava/ izrada potpornog zida sa dvije drvene klupe bez naslona od drvenih greda presjeka 100x5X5 cm prema nacrtu i tehničkom opisu, te njihova ugradnja na prethodno pripremljen betonski potporni zid visine 50 cm i širine 30 cm. Dužina klupe je 100 cm, širina 40 cm i visina 8 cm. Klupa se postavlja na postolje od nehrđajućeg čelika i montira na za to predviđeno mjesto u betonskom zidu. </t>
  </si>
  <si>
    <t>*Prikazano na grafičkom prilogu prilogu 14 - Detalj 5</t>
  </si>
  <si>
    <t>Obračun se vrši po izrađenom i montiranom zidu sa dvije klupe</t>
  </si>
  <si>
    <t>KOŠ ZA RECIKLAŽU</t>
  </si>
  <si>
    <t xml:space="preserve">Detaljna razrada sadržaja tema i grafički dizajn ploča nije predmetom ovog troškovnika i dogovara se naknadno. </t>
  </si>
  <si>
    <t>*Prikazano na grafičkom prilogu prilogu 23 - Detalj 14</t>
  </si>
  <si>
    <t>Obračun se vrši po komadu izrađenog i montiranog koša za reciklažu sa temeljem</t>
  </si>
  <si>
    <t>KOŠ ZA OTPAD - JEDNOSTRUKI</t>
  </si>
  <si>
    <t>*Prikazano na grafičkom prilogu prilogu 24 - Detalj 15</t>
  </si>
  <si>
    <t>Obračun se vrši po komadu izrađenog i montiranog koša za otpad sa temeljem</t>
  </si>
  <si>
    <t>EDUKATIVNA INFO PLOČA</t>
  </si>
  <si>
    <t>Na površinu info ploče (10 mm od ruba) predviđena je aplikacija naljepnica s dvojezičnim sadržajem (hrvatski i engleski jezik) koje pokrivaju teme u nastavku, i čiji je sadržaj i dizajn nužno usuglasiti sa investitorom, te nadležnim službama i projektantima (sadržaj i dizajn je potrebno uskladiti s dimenzijama i napraviti u skladu s principa struke).</t>
  </si>
  <si>
    <t>*Prikazano na grafičkom prilogu prilogu 20 - Detalj 11</t>
  </si>
  <si>
    <t>Obračun se vrši po komadu izrađene i postavljene edukativne info ploče sa temeljem</t>
  </si>
  <si>
    <t>JEDNOSTRUKI PUTOKAZ</t>
  </si>
  <si>
    <t xml:space="preserve">Točan položaj opreme određuje se prema projektu, na terenu uz nadzor i prema uputama glavnog projektanta. </t>
  </si>
  <si>
    <t>*Prikazano na grafičkom prilogu prilogu 25 - Detalj 16</t>
  </si>
  <si>
    <t>Obračun se vrši po komadu izrađenog i postavljenog putokaza sa temeljem</t>
  </si>
  <si>
    <t xml:space="preserve">INFO STUPIĆ (DETERMINACIJSKA TABLA)  </t>
  </si>
  <si>
    <t>*Prikazano na grafičkom prilogu prilogu 22 - Detalj 13</t>
  </si>
  <si>
    <t>Obračun se vrši po komadu izrađenog i postavljenog info stupića</t>
  </si>
  <si>
    <t>ULAZNA INFO TABLA</t>
  </si>
  <si>
    <t>Stavka obuhvaća dobavu/ izradu i ugradnju info table prema nacrtu i tehničkom opisu. Info tabla j pravokutna 100x190x10 cm postavljena na ulazu u prostor. Sastoji se od okvira od drvenih greda 10x10 cm visine 190 cm. Na nju se pričvršćuje veća metalna ploča s natpisom širine 120 cm, visine 80 cm koji se pričvršćuje za drvene grede.</t>
  </si>
  <si>
    <t>*Prikazano na grafičkom prilogu prilogu 21 - Detalj 12</t>
  </si>
  <si>
    <t>Obračun se vrši po komadu sa temeljem</t>
  </si>
  <si>
    <t>SPRAVE ZA IGRU</t>
  </si>
  <si>
    <t>Stavka obuhvaća dobavu i izradu sprava za igru i vježbanje od drva. Ukoliko je moguće za izgradnju drvenih elemenata koristiti  drvnu građu nastalu uklanjanjem bonitetno loših stabala za potrebe projekta.</t>
  </si>
  <si>
    <t xml:space="preserve">Drvnu građu nastalu uklanjanjem sa lokacije potrebno je adekvatno skladištiti dok traju građevinski radovi na lokaciji te zaštiti od atmosferilija. </t>
  </si>
  <si>
    <t>Stavka obuhvaća dobavu/ izradu i ugradnju sprava za dječju igru i vježbanje s temeljem.</t>
  </si>
  <si>
    <t>Drvene grede - Sprava se sastoji od drvenih greda postavljenih horizontalno na pocinčane nosače za gredu "tip U" dimenzija 8x10 cm sa armaturnom šipkom (70cm). Svaki nosač se postavlja na betonski temelj. Grede su dimenzija 180x10x10 cm i visina 15 cm (2 kom) i 20 cm (1 kom).</t>
  </si>
  <si>
    <t>*Prikazano na grafičkom prilogu 11 - Detalj 1</t>
  </si>
  <si>
    <t xml:space="preserve">Drveni panjevi - Sprava za igru koja se sastoji od 10 drvenih panjeva različitih dimenzija. Panjevi se postavljaju na pripremljenu podlogu bez temelja. Za izradu trupaca moguće je iskoristiti trupce stabala predviđenih za rušenje. Dimenzije variriaju ovisno o dostupnoj drvenoj građi.  </t>
  </si>
  <si>
    <t>*Prikazano na grafičkom prilogu prilogu 17 - Detalj 8</t>
  </si>
  <si>
    <t>Obračun se vrši po komadu</t>
  </si>
  <si>
    <t>SPRAVE ZA VJEŽBANJE</t>
  </si>
  <si>
    <t>*Prikazano na grafičkom prilogu prilogu 19 - Detalj 10</t>
  </si>
  <si>
    <t xml:space="preserve">Obračun se vrši po komadu </t>
  </si>
  <si>
    <t>*Prikazano na grafičkom prilogu prilogu 18 - Detalj 9</t>
  </si>
  <si>
    <t>OPREMA UKUPNO:</t>
  </si>
  <si>
    <t>V.</t>
  </si>
  <si>
    <t>BILJNI MATERIJAL</t>
  </si>
  <si>
    <t>Biljni materijal osigurava izvođač.</t>
  </si>
  <si>
    <t>*Prikazano na grafičkom prilogu 7 - Plan sadnje i 8 - Detalj plana sadnje-nasadi</t>
  </si>
  <si>
    <t>STABLA:</t>
  </si>
  <si>
    <t>Nabava i doprema sadnica, propisno
vrtlarski njegovanih, A kvalitete. Sva stabla trebaju dobro i čvrsto balirano korijenje biljke, jasno definirano uspravno deblo i dobro razvijena krošnja s minimalno tri primarne grane, povezana krošnja sa čitljivom etiketom.</t>
  </si>
  <si>
    <t>Drveće mora biti balirano jutenom tkaninom i čeličnom mrežastom žicom.</t>
  </si>
  <si>
    <t>GRMOVI:</t>
  </si>
  <si>
    <t>Nabava i doprema sadnica, propisno
vrtlarski njegovanih, A kvalitete, u lončićima. Sve sadnice moraju imati minimalno tri izboja i dobro razvijen korijenov sustav koji mora biti dobro prorašten u tegli.</t>
  </si>
  <si>
    <t>TRAJNICE, PAPRATI:</t>
  </si>
  <si>
    <t>Anemone nemorosa</t>
  </si>
  <si>
    <t>Galium odoratum</t>
  </si>
  <si>
    <t>Cardamine enephyllos</t>
  </si>
  <si>
    <t>Omphalodes verna</t>
  </si>
  <si>
    <t>Pteridium aquilinum</t>
  </si>
  <si>
    <t>Matteuccia struthiopteris</t>
  </si>
  <si>
    <t>Fragaria vesca</t>
  </si>
  <si>
    <t>BILJNI MATERIJAL UKUPNO:</t>
  </si>
  <si>
    <t>VI.</t>
  </si>
  <si>
    <t>SUPSTRAT</t>
  </si>
  <si>
    <t>Kriteriji za ocjenu jednakovrijednosti:</t>
  </si>
  <si>
    <t>Organomineralna mješavina za prihranu travnog busena koja sadrži sve hranjive komponente za optimalan rast i razvoj</t>
  </si>
  <si>
    <t>Omogućuje izmjenu plinova u korjenovom sustavu te sprječava ispiranje hranjiva u podzemne vode i zadržava vlagu u zoni korijena</t>
  </si>
  <si>
    <t>lit</t>
  </si>
  <si>
    <t>Nabava i doprema organomineralne mješavine za prihranu stabala koja sadrži sve hranjive komponente u trajanju min. dvije godine za optimalan rast i razvoj, te omogućuje izmjenu plinova u korjenovom sustavu. Preporuka: 50 lit po sadnici stabla. Komplet svi materijali i radovi po ugrađenoj litri mješavine. (7 komx50 lit)</t>
  </si>
  <si>
    <t>Nabava i doprema organomineralne mješavine za prihranu ukrasnih grmova, trajnica i paprati koja sadrži sve hranjive komponente u trajanju min. dvije godine za optimalan rast i razvoj, te omogućuje izmjenu plinova u korjenovom sustavu. Preporuka: 30 lit po sadnici. Komplet svi materijali i radovi po ugrađenoj litri mješavine. (600 kom x 30 lit)</t>
  </si>
  <si>
    <t>SUPSTRAT UKUPNO:</t>
  </si>
  <si>
    <t>VII.</t>
  </si>
  <si>
    <t>SADNJA</t>
  </si>
  <si>
    <t>Sadnja stabala: iskop jama 100x100x100 cm s izmjenom zemlje min. 60% iz jama i rahljenjem dna jama, zatrpavanje do polovice bez nabijanja, gnojenje s 50 lit/kom organomineralne mješavine, zabijanje 3 kolca, kolac tokaren dužine 250 cm, promjer 8 cm, povezivanje jutenom trakom i poluoblicama. Materijali za kolčenje i vezanje su obračunati u zasebnoj stavci. Sadnja kontejnirane sadnice, formiranje zdjelice te jednokratno zalijevanje. Otprema loše zemlje na deponiju. Sve postavno bez sadnice, organomineralne mješavine i opreme za kolčenje.</t>
  </si>
  <si>
    <t xml:space="preserve">Sadnja grmova po planu sadnje: iskop jama 45x45x45 cm i rahljenjem dna jama, gnojenje s 30 lit organomineralne mješavine, sadnja sadnica iz kontejnera, zatrpavanje, poravnavanje te jednokratno zalijevanje. Obračunava se po posađenom komadu bez sadnice i organomineralne mješavine. </t>
  </si>
  <si>
    <t xml:space="preserve">Sadnja trajnica po planu sadnje: iskop jama 15x15x15 cm i rahljenjem dna jama, gnojenje s 5 lit organomineralne mješavine, sadnja sadnica iz kontejnera, zatrpavanje, poravnavanje te jednokratno zalijevanje. Obračunava se po posađenom komadu bez sadnice i organomineralne mješavine. </t>
  </si>
  <si>
    <t>Nabava i doprema kolaca za sadnju stabala tokarenih, promjer 8 cm, duž. 250 cm. Impregniranje donjeg dijela kolca smjesom nafte i recitola. Za jedno stablo treba 3 kom kolca. Komplet svi materijali i radovi po jednom obrađenom kolcu. (7x3)</t>
  </si>
  <si>
    <t>Nabava, doprema i ugradnja poluoblica (promjera 7cm, dužine 2m) te trake (gurtne) i vijaka za drvo, potrebnih za vezanje sadnica i učvršćenje za kolac. Komplet svi materijali i radovi po 1 kom posađenog stabla.</t>
  </si>
  <si>
    <t>SADNJA UKUPNO:</t>
  </si>
  <si>
    <t>VIII.</t>
  </si>
  <si>
    <t>DOSIJAVANJE TRAVNJAKA</t>
  </si>
  <si>
    <t>*Prikazano na grafičkom prilogu prilogu 7 - Plan sadnje</t>
  </si>
  <si>
    <t>DOSIJAVANJE TRAVNJAKA UKUPNO:</t>
  </si>
  <si>
    <t>UKUPNO</t>
  </si>
  <si>
    <t>RADOVI NA UREĐENJU KRAJOBRAZA</t>
  </si>
  <si>
    <t>REKAPITULACIJA SVIH RADOVA</t>
  </si>
  <si>
    <t>12.06/22-TR</t>
  </si>
  <si>
    <t>zajednička oznaka:</t>
  </si>
  <si>
    <r>
      <t xml:space="preserve">VITEZ PROJEKT d.o.o.
</t>
    </r>
    <r>
      <rPr>
        <sz val="11"/>
        <rFont val="Tahoma"/>
        <family val="2"/>
      </rPr>
      <t>Stonska 4, Osijek</t>
    </r>
  </si>
  <si>
    <t>VRV SUSTAV i DIZALICA TOPLINE</t>
  </si>
  <si>
    <t>Dolje navedene stavke obuhvaćaju nabavu, dopremu i montažu predmetne opreme do postizanja pune funkcionalnosti stavki.</t>
  </si>
  <si>
    <t>Ovim troškovnikom nisu uzeti u obzir nikakvi elektro-radovi niti oprema.</t>
  </si>
  <si>
    <t xml:space="preserve">Cijenom je potrebno obuhvatiti sve strojarske radove i opremu do potpunog kompletiranja svake pojedine stavke. </t>
  </si>
  <si>
    <t>1.1.</t>
  </si>
  <si>
    <t>VANJSKE I UNUTARNJE JEDINICE VRV SUSTAVA</t>
  </si>
  <si>
    <t>1.1.1.</t>
  </si>
  <si>
    <t>Nabava, doprema i ugradnja VRV/VRT (variant refigerent volume/temperature) vanjske jedinice u izvedbi aerotermalne toplinske pumpe sa ugrađenim hermetičkim scroll kompresorima i izmjenjivačem.</t>
  </si>
  <si>
    <t>Jedinice do 20 HP imaju mogućnost kontinuiranog grijanja pomoću PCM akumulatora topline, koji osigurava grijanje i tokom odleđivanja vanjske jedinice zimi. Izvedba kontinuiranog grijanja pomoću PCM elementa osigurava dodatnu ugodu u prostoru bez hladnog istrujavanja zraka.</t>
  </si>
  <si>
    <t>Kod jedinica iznad 20 HP koje se sastoje od više modula, odleđivanje se vrši parcijalno što također omogućuje kontinuirano grijanje i ugodu u prostoru.</t>
  </si>
  <si>
    <t>VRT - konfigurator omogućuje kontinuiranu promjenu temperature isparavanja i kondenzacije radnog medija prema temperaturi okoliša u svrhu dodatne uštede energije i većeg komfora zbog viših temperatura radnog medija.</t>
  </si>
  <si>
    <t>Promjenom temperature okoliša i toplinskog opterećenja prostora, mijenja se i temperatura isparavanja što osigurava veću učinkovitost i manju potrošnju električne energije. Raspon promjene temperature isparavanja je veoma širok te iznosi između 3°C i 16°C.</t>
  </si>
  <si>
    <t>Maksimalno dozvoljena ukupna duljina cjevnog razvoda iznosi 1000 metara uz ograničenja navedena u uputama proizvođača. Maksimalna dozvoljena visinska razlika između vanjske i unutarnje jedinice iznosi 90 m (neovisno da li je pozicija vanjske jedinice iznad, ili ispod pozicije unutarnjih jedinica). Maksimalna dozvoljena visinska razlika između pojedinih unutarnjih jedinica iznosi 30 m.</t>
  </si>
  <si>
    <t>Jedinica je opremljena opcijom za "Ekstra tihi rad" sa mogućnošću jednostavnog podešavanja reduciranog rada uz smanjeni nivo zvučnog tlaka na 45 dB(A) u stupnju 2, odnosno 50 dB(A) u stupnju 1 (navedene vrijednosti zvučnog tlaka odnose se na jedinice sastavljene od 1 modula).</t>
  </si>
  <si>
    <t>Konstrukcija: Jedinice su modularne izvedbe sa osnovnim nosivim okvirom i galvaniziranim čeličnim panelima sa odgovarajućom zaštitom za vanjsku i unutarnju ugradnju. Do veličine 20HP jedinice mogu biti u izvedbi 1 modula, dok su veće sastavljene od dva, ili tri modula.</t>
  </si>
  <si>
    <t>Jedinice imaju eksterni statički tlak ventilatora od 78 Pa te su prikladne i za unutarnju ugradnju.</t>
  </si>
  <si>
    <t>Svi kompresori u uređaju su inverterski, zvučno izolirani K-tip hermetički scroll izvedbe s ugrađenim motorom, optimizirani za rad sa R410a.</t>
  </si>
  <si>
    <t>Jedinice su opremljene Back-up funkcijom koja omogućava rad jedinice sa dva kompresora u slučaju kvara na jednom od njih (minimalno 50% kapaciteta).</t>
  </si>
  <si>
    <t>Jedinice su opremljene funkcijom automatskog nadopunjavanja rashladnog medija i očitanja količine rashladnog medija direktno na vanjskoj jedinici.</t>
  </si>
  <si>
    <t>Proizvod</t>
  </si>
  <si>
    <t>Tehničke karakteristike u hlađenju pri varijabilnoj temperaturi radne tvari (VRT), i kod nominalnih uvjeta (Tok=35°CDB i  Tpr=27°CDB/19°CWB kod 100% omjera priključenja):</t>
  </si>
  <si>
    <t>Qh =28,00 kW</t>
  </si>
  <si>
    <t>N =7,29 kW / 400 V / 50 Hz</t>
  </si>
  <si>
    <t>EER: 3,84 (100% opterećenja)</t>
  </si>
  <si>
    <t>SEER: 6,80</t>
  </si>
  <si>
    <t>Tehničke karakteristike u grijanju pri Tcond=46°C, i kod nominalnih uvjeta (Tok=7°CDB/ 6°CWB i Tpr=20°C kod 100% omjera priključenja):</t>
  </si>
  <si>
    <t>Qg = 31,50 kW</t>
  </si>
  <si>
    <t>N = 7,38 kW / 400 V / 50 Hz</t>
  </si>
  <si>
    <t>Kapacitet: 10 HP</t>
  </si>
  <si>
    <t>Broj kompresora: 1</t>
  </si>
  <si>
    <t>Priključak tekuća faza: 9,52 mm</t>
  </si>
  <si>
    <t>Priključak plinovita faza: 22,2 mm</t>
  </si>
  <si>
    <t>Radni medij: R-410A</t>
  </si>
  <si>
    <t>1.1.2.</t>
  </si>
  <si>
    <t>Unutarnje jedinice</t>
  </si>
  <si>
    <t>Nabava, doprema i ugradnja unutarnje  jedinice VRV sustava sa maskom  predviđena za  montažu na pod, parapetne izvedbe sa maskom, opremljena ventilatorom, izmjenjivačem topline s direktnom ekspanzijom freona, elektronskim ekspanzijskim ventilom, te svim potrebnim elementima za zaštitu, kontrolu i regulaciju uređaja i temperature. U kompletu sa nogicama.</t>
  </si>
  <si>
    <t>Tehničke karakteristike uređaja:</t>
  </si>
  <si>
    <t>Qh = 2,2 kW</t>
  </si>
  <si>
    <t>Qg = 2,5 kW</t>
  </si>
  <si>
    <t>N= 50 W - 230 V - 50 Hz</t>
  </si>
  <si>
    <t>Protok zraka hlađenje: 6 - 7 m3/min</t>
  </si>
  <si>
    <t>Nivo zvučnog tlaka: hlađenje: 32 - 35 dBA</t>
  </si>
  <si>
    <t>Nivo zvučnog tlaka: grijanje: 32 - 35 dBA</t>
  </si>
  <si>
    <t>Nivo zvučne snage: hlađenje: 54 dB(A)</t>
  </si>
  <si>
    <t>Dimenzije: (š x d x v)= 1000 x 232 x 600 mm</t>
  </si>
  <si>
    <t>Težina: 27 kg</t>
  </si>
  <si>
    <t>Boja kućišta: bijela</t>
  </si>
  <si>
    <t>Priključak tekuća faza: 6,35 mm</t>
  </si>
  <si>
    <t>Priključak plinovita faza: 12,7 mm</t>
  </si>
  <si>
    <t>Medij: R-410A</t>
  </si>
  <si>
    <t>Qh = 2,8 kW</t>
  </si>
  <si>
    <t>Qg = 3,2 kW</t>
  </si>
  <si>
    <t>1.1.3.</t>
  </si>
  <si>
    <t>Regulacija i upravljanje</t>
  </si>
  <si>
    <t>Individualni upravljači</t>
  </si>
  <si>
    <t>Novi touch screen žičani daljinski upravljač dostupan u bijeloj boji kompaktnih dimenzija. Profinjen i elegantan dizajn te ravan stražnji panel omogućavaju jednostavnu ugradnju. Mogućnost bluetooth povezivanja sa pametnim telefonom te aplikacijom koja omogućuje dodatne korisničke postavke te servisne napredne postavke za puštanje u pogon i održavanje. Aplikacija je kompatibilna i sa iOS i sa Android uređajima.</t>
  </si>
  <si>
    <t>1.1.4.</t>
  </si>
  <si>
    <t>Cijevni razvod i puštanje u pogon</t>
  </si>
  <si>
    <t>Izolirani bakreni spojni elementi za razvod medija R-410A za plinsku i tekuću fazu, uključivo redukcije (2 komada po kompletu: plinska + tekuća faza)</t>
  </si>
  <si>
    <t>Y-Račve:</t>
  </si>
  <si>
    <t>Račva za indeks kapaciteta do 200.</t>
  </si>
  <si>
    <t>Račva za indeks kapaciteta od 201 do 290.</t>
  </si>
  <si>
    <t>1.1.5.</t>
  </si>
  <si>
    <t>Puštanje u pogon</t>
  </si>
  <si>
    <t>Puštanje u pogon VRV sustava</t>
  </si>
  <si>
    <t>Puštanje u pogon mini VRV sustava uključivo provjeru nepropusnosti freonske instalacije, vakumiranje i dopunjavanje rashladnog sredstva od strane ovlaštenog servisa uz izdavanje potrebnih uputa za korištenje, atesta i garancija.</t>
  </si>
  <si>
    <t>1.1.6.</t>
  </si>
  <si>
    <t xml:space="preserve">Nabava, doprema i ugradnja predizoliranih bakrenih spojnih elementa za razvod medija R-410A za plinsku i tekuću fazu, uključivo redukcije (2 komada po kompletu: plinska + tekuća faza). Predizolirane bakrene cijevi u kolutu za freonsku instalaciju plinske i tekuće faze namjenjene za rashladni medij R-410A . U kompletu sa spojnicama i koljenima, spojnim i pričvrsnim materijalom. Cijevi moraju biti odmašćene, očišćene i osušene prije ugradnje. Toplinska izolacija cijevi rashladnog medija pomoću izolacije s parnom branom. Izolacija mora biti negoriva. U kompletu s ljepilom, ljepljivom trakom i ostalim potrebnim materijalom. Debljina izolacije je 19 mm. Izolacija za koljena i fazonske komade se izraduje prilikom montaže.
</t>
  </si>
  <si>
    <t xml:space="preserve"> Cu ∅6,4 mm</t>
  </si>
  <si>
    <t xml:space="preserve"> Cu ∅9,5 mm</t>
  </si>
  <si>
    <t xml:space="preserve"> Cu ∅12,7 mm</t>
  </si>
  <si>
    <t xml:space="preserve"> Cu ∅15,9 mm</t>
  </si>
  <si>
    <t xml:space="preserve"> Cu ∅19,1 mm</t>
  </si>
  <si>
    <t xml:space="preserve"> Cu ∅22,2 mm</t>
  </si>
  <si>
    <t xml:space="preserve">NAPOMENA: </t>
  </si>
  <si>
    <t>Svi unutarnji cjevovodi u paronepropusnoj termoizolaciji  propisane debljine 19 mm, a vanjski cjevovodi u termoizolaciji 40 mm.</t>
  </si>
  <si>
    <t>Rashladni medij</t>
  </si>
  <si>
    <t>Rashladni medij R410A</t>
  </si>
  <si>
    <t>1.1.7.</t>
  </si>
  <si>
    <t xml:space="preserve">Dobava i montaža PVC cijevi za spoj unutarnjih jedinica na odvod kondenzata. PVC cijevi za odvod kondenzata od unutarnjih jedinica prema najbližim mjestima sanitarno - fekalne odvodnje. Gravitacijski odvod u najbliže mjesto priključenja ili ispust na teren. </t>
  </si>
  <si>
    <t>PVC d20</t>
  </si>
  <si>
    <t>1.1.8.</t>
  </si>
  <si>
    <t>Nabava, doprema i ugradnja sifona za kondenzat DN 20, komplet s revizijskim ormarićem i vratašcima. Ugradnja u zid.</t>
  </si>
  <si>
    <t xml:space="preserve">                                      UKUPNO:</t>
  </si>
  <si>
    <t>1.2.</t>
  </si>
  <si>
    <t>DIZALICA TOPLINE ZA PRIPREMU TOPLE VODE</t>
  </si>
  <si>
    <t>1.2.1.</t>
  </si>
  <si>
    <t>Nabava, doprema i ugradnja dizalice topline za grijanje. Uređaj je optimiziran za niskoenergetske objekte sa širokim rasponom modulacije inverterskog kompresora. Sastoji se od unutarnje i vanjske jedinice.</t>
  </si>
  <si>
    <t>Unutarnja jedinica sadrži dodatni elektrogrijač , siguronosni ventil, senzor toka, odzračni lončić, el.ormarić, ekspanzijska posuda 10 l, manometar, montiran magnetno-ciklonski filter i upravljač. Nova unutarnja jedinica opremljena je s opcijom koja prikazuje status uređaja. Smanjeni promjeri cjevovoda omogućuju jednostavniju i bržu ugradnju.</t>
  </si>
  <si>
    <t>Vanjska jedinica namjenjena je za vanjsku montažu - s ugrađenim hermetičkim scroll inverterskim kompresorom,  zrakom hlađenim izmjenjivačem i svim potrebnim elementima za zaštitu, kontrolu i regulaciju uređaja (Inverter Control) i funkcionalni rad. Upload postavki je moguć s USB-a ili SD kartice. Temperatura POLAZA vode je do 65°C, te kondenzator vanjske jedinice ima predinstaliranu zaštitu u svrhu duljeg trajanja uređaja.</t>
  </si>
  <si>
    <t>Rashladni medij je R32. Jedinica ima ugrađen dodatni elektro ekspanzijski ventil optimiziran za ubacivanje tekuće faze, cijev za održavanje pozitivne temperature prije i za vrijeme defrosta, pass - dodatno brtvljenje dna izmjenjivača koje sprječava hlađenje protokom zraka.</t>
  </si>
  <si>
    <t>Proizvod slijedećih teh. karakteristika:</t>
  </si>
  <si>
    <t>Površinsko grijanje</t>
  </si>
  <si>
    <t>Gr: To=7°C, Tpol=35°C, ΔT=5°C</t>
  </si>
  <si>
    <t>Qg(nom/max) = 7,5/9,37 kW</t>
  </si>
  <si>
    <t>N = 1,63 kW    /   230 V - 50 Hz</t>
  </si>
  <si>
    <t>COP=4,6</t>
  </si>
  <si>
    <t>Gr: To=2°C, Tpol=35°C, ΔT=5°C</t>
  </si>
  <si>
    <t>Qg(nom/max) = 5,6/9,2 kW</t>
  </si>
  <si>
    <t>N = 1,53 kW    /   230 V - 50 Hz</t>
  </si>
  <si>
    <t>COP=3,65</t>
  </si>
  <si>
    <t>Gr: To=-20°C, Tpol=35°C, ΔT=5°C</t>
  </si>
  <si>
    <t>Qg(max) = 6,75 kW</t>
  </si>
  <si>
    <t>N = 3,6 kW    /   230 V - 50 Hz</t>
  </si>
  <si>
    <t>Raspoloživi ESP pumpe (Hydrobox-a):</t>
  </si>
  <si>
    <t>Pgr: 43,3 kPa; pri 21,5 l/min</t>
  </si>
  <si>
    <t>Snaga dod. el.grijača: 6 kW (230 V - 50 Hz)</t>
  </si>
  <si>
    <t>*napomena: broj koraka je u 6 kW grijaču(2/4/6)</t>
  </si>
  <si>
    <t>Radno područje:</t>
  </si>
  <si>
    <t>grijanje: od -25° do 25°C</t>
  </si>
  <si>
    <t>Dimenzije:</t>
  </si>
  <si>
    <t>Radni medij:  R32 (prednapunjen za 10 m)</t>
  </si>
  <si>
    <t>Priključak plinovita faza: 15,9mm</t>
  </si>
  <si>
    <t>Duljina razvoda: 30 m od čega visinski do 20 m.</t>
  </si>
  <si>
    <t>Daljinski kontroler:</t>
  </si>
  <si>
    <t>Korisničko sučelje na hrvatskom i engleskom jeziku (uključeno u cijenu).</t>
  </si>
  <si>
    <t>U sklopu isporuke jedinice dolazi i komunikacijski modul za online upravljanje.</t>
  </si>
  <si>
    <t>1.2.2.</t>
  </si>
  <si>
    <t>Nabava, doprema i ugradnja dodatne opreme.</t>
  </si>
  <si>
    <t>Set ventila za spajanje PTV spremnika drugih proizvođača s mjestom za senzor</t>
  </si>
  <si>
    <t>Sastoji se od troputnog motornog ventila, senzora spremnika i svih potrebnih fitinga</t>
  </si>
  <si>
    <t>1.2.3.</t>
  </si>
  <si>
    <t>Svi unutarnji cjevovodi u paronepropusnoj termoizolaciji  propisane debljine 19 mm (unutar zgrade) i 40 mm (vanjski prostor).</t>
  </si>
  <si>
    <t>1.3.</t>
  </si>
  <si>
    <t>ZAJEDNIČKE STAVKE</t>
  </si>
  <si>
    <t>1.3.1.</t>
  </si>
  <si>
    <t xml:space="preserve">Sitni pomoćni i montažni materijal i pribor (pribor i materijal za tvrdo lemljenje, brtve,  vijci i matice iz odgovarajućeg materijala, tiplovi, obujmice, konzole i ostala standardna roba potrebna za ugradbu). </t>
  </si>
  <si>
    <t>1.3.2.</t>
  </si>
  <si>
    <t>Izrada radioničkih nacrta potrebnih pozicija u skladu s tehnologijom izvođača.</t>
  </si>
  <si>
    <t>1.3.3.</t>
  </si>
  <si>
    <t>Izrada detaljnih uputa za rad i održavanje postrojenja s tehnološkom shemom te izrada natpisnih pločica.</t>
  </si>
  <si>
    <t>1.3.4.</t>
  </si>
  <si>
    <t>Odvoz kompletnog otpadnog materijala na deponiju udaljenosti do 10 km.</t>
  </si>
  <si>
    <t>1.3.5.</t>
  </si>
  <si>
    <t>1.3.6.</t>
  </si>
  <si>
    <t>Tlačna proba instalacije bez priključenih armatura. Ispitivanje zrakom ili inertnim plinom. Rezultati tlačne probe se upisuju komisijski u očevidnik.</t>
  </si>
  <si>
    <t xml:space="preserve">Prethodno ispitivanje se vrši tlakom 3 bar u vremenu 3 minute. </t>
  </si>
  <si>
    <t>Nakon toga slijedi ispitivanje na 15 bar također u vremenu 3 minute.</t>
  </si>
  <si>
    <t>Završno ispitivanje tlakom 40 bar/24 sata</t>
  </si>
  <si>
    <t>1.3.7.</t>
  </si>
  <si>
    <t>Puštanje u pogon VRV sustava uključivo provjeru nepropusnosti freonske instalacije, vakumiranje i dopunjavanje rashladnog sredstva od strane ovlaštenog servisa uz izdavanje potrebnih uputa za korištenje, atesta i garancija.</t>
  </si>
  <si>
    <t>1.3.8.</t>
  </si>
  <si>
    <t>Programiranje i puštanje u pogon centralnog upravljačkog regulatora sa pripadajućim software-ima od strane  ovlaštenog servisa.</t>
  </si>
  <si>
    <t>1.3.9.</t>
  </si>
  <si>
    <t>Prateći građevinski radovi uz strojarske radove, a koji uključuju: bušenje rupa za prolaz instalacija, usijecanje instalacijskih koridora u zid i pod objekta, zatvaranje i obrada oštećenih građevinskih elemenata i sl.</t>
  </si>
  <si>
    <t>Ishodovanje potrebne atestne dokumentacije od ovlaštene
tvrtke.</t>
  </si>
  <si>
    <t xml:space="preserve">ZAJEDNIČKE STAVKE </t>
  </si>
  <si>
    <t>red. broj</t>
  </si>
  <si>
    <t>vrsta radova</t>
  </si>
  <si>
    <t>jedinica mjere</t>
  </si>
  <si>
    <t>količina</t>
  </si>
  <si>
    <t>jedinična cijena              EUR (€)</t>
  </si>
  <si>
    <t>UKUPNO               EUR (€)</t>
  </si>
  <si>
    <t>STROJARNICA</t>
  </si>
  <si>
    <t xml:space="preserve">Cijenom je potrebno obuhvatiti sve radove do potpunog kompletiranja svake pojedine stavke. </t>
  </si>
  <si>
    <t xml:space="preserve">Ovim troškovnikom nisu uzeti u obzir nikakvi elektro-radovi. </t>
  </si>
  <si>
    <t>2.1.</t>
  </si>
  <si>
    <t>NAPOMENA</t>
  </si>
  <si>
    <t>Priprema tople vode je predviđena preko dizalice topline koja je specificirana u troškovniku VRV sustava.</t>
  </si>
  <si>
    <t>2.1.0.</t>
  </si>
  <si>
    <t>U spremnik je  ugrađen vodeni predgrijač za spoj na dizalicu topline koji vodu zagrijava na 65 °C.</t>
  </si>
  <si>
    <t>Elektrogrijač je smješten u gornjem dijelu zagrijava vodu do željene temperature (max: 75°C, 10 bar)</t>
  </si>
  <si>
    <t>U isporuci se nalazi 3-putni ventil s el.pogonom i senzor spremnika potrošne tople vode.</t>
  </si>
  <si>
    <t>Priključak:1~, 50Hz, 230 V</t>
  </si>
  <si>
    <t>Površina izmjenjivača: 1,800 m2</t>
  </si>
  <si>
    <t>El.grijač snage = 3 kW (230 V)</t>
  </si>
  <si>
    <t>Volumen: 292 l</t>
  </si>
  <si>
    <t>Max. temp. vode: 75°C</t>
  </si>
  <si>
    <t>Dimenzije:d = 600 mm, h = 1763 mm</t>
  </si>
  <si>
    <t>Gubitak topline: 1,6 kWh/24h</t>
  </si>
  <si>
    <t>Cjevni priključci:</t>
  </si>
  <si>
    <t>Hladna i topla voda: 3/4"UN</t>
  </si>
  <si>
    <t>Polaz i povrat prema DT i recirkulacija: 3/4"VN</t>
  </si>
  <si>
    <t>2.1.1.</t>
  </si>
  <si>
    <t>Nabava, doprema i ugradnja sigurnosno-tehničke opreme kotlovnice:</t>
  </si>
  <si>
    <t>kom.</t>
  </si>
  <si>
    <t>2.1.2.</t>
  </si>
  <si>
    <t>Nabava, doprema i ugradnja navojne kuglaste zaporne slavine za sustav grijanja, s kuglom izrađenom iz INOX-a i PTFE brtvom. Potrebna je otpornost armature na povišene temperature (do 100º C)</t>
  </si>
  <si>
    <t>DN15 PN6</t>
  </si>
  <si>
    <t>DN32 PN6</t>
  </si>
  <si>
    <t>2.1.3.</t>
  </si>
  <si>
    <t>Nabava, doprema i ugradnja protupovratnog ventila za sustav grijanja / hlađenja</t>
  </si>
  <si>
    <t>2.1.4.</t>
  </si>
  <si>
    <t>Nabava, doprema i ugradnja hvatača nečistoće za sustav centralnog grijanja. Mesingano kućište, navojni spoj. Max. radni tlak: 3 bar.
Tmin÷Tmax: 0÷90°C.</t>
  </si>
  <si>
    <t>2.1.5.</t>
  </si>
  <si>
    <t>Nabava, doprema i ugradnja termometra u mjedenom tuljku za ugradnju u cjevovode razvoda tople vode. Mjerno područje termometra 0...100º C. Vertikalni prikaz skale temperature.</t>
  </si>
  <si>
    <t>2.1.6.</t>
  </si>
  <si>
    <t>Nabava, doprema i ugradnja osjetnika temperature regulacijskog kruga</t>
  </si>
  <si>
    <t>2.1.7.</t>
  </si>
  <si>
    <t xml:space="preserve">Nabava, doprema i ugradnja ispusne slavine </t>
  </si>
  <si>
    <t>DN15</t>
  </si>
  <si>
    <t>2.1.8.</t>
  </si>
  <si>
    <t>Nabava, doprema i ugradnja automatskih odzračnih ventila za sustav grijanja.</t>
  </si>
  <si>
    <t>3/8" M</t>
  </si>
  <si>
    <t>2.1.9.</t>
  </si>
  <si>
    <t>Komplet s prodorima cjevovoda kroz građevinske elemente u zaštitnoj cijevi, dvije dimenzije većoj, brtvljenje prodora trajnoelastičnim kitom.</t>
  </si>
  <si>
    <t>Svi dijelovi cjevovoda se izoliraju paronepropusnom termoizolacijom debljine 19 mm instalacija unutar strojarnice. Sve sukladno tehničkim propisima za cjevovode i čelične konstrukcije , a sukladno napomenama u predgovoru ovog strojarskog troškovnika. Završna obloga izolacije iz Al-lima debljine 1 mm.</t>
  </si>
  <si>
    <t xml:space="preserve">Ø 26.9 x 2.65 mm     </t>
  </si>
  <si>
    <t xml:space="preserve">Ø 42.4 x 3.25 mm     </t>
  </si>
  <si>
    <t>Nabava, doprema i ugradnja toplinske izolacije staklenom vunom debljine 2 cm u oblozi Al- lima 1 mm. Svi dijelovi cjevovoda se izoliraju mineralnom vunom debljine 20 mm u oblozi od Al lima debljine 1 mm instalacija u strojarnici. Sve sukladno tehničkim propisima za cjevovode i čelične konstrukcije ,a sukladno napomenama u predgovoru ovog strojarskog troškovnika.</t>
  </si>
  <si>
    <t xml:space="preserve">Nabava, doprema i montaža nosača i držača cjevovoda, čvrste i klizne točke i ostala potrebna oprema. Montažne šine jednostruke Ili dvostruke.
Konzole jednostruke ili dvostruke duljine 300, 450, 600 ili 750 mm. Podupiranje konzola
Spojni komadi
Krilne matice
Spojnice za obujmice
Kutnici
Spojni komadi noge
Obujmice s gumenom oblogom:
DN50 – DN200
DN200 – DN500
</t>
  </si>
  <si>
    <t>2.1.10.</t>
  </si>
  <si>
    <t>Nabava, doprema i ugradnja ekspanzijske posude s membranom za sustave PTV (sekundar), 5 l</t>
  </si>
  <si>
    <t>2.1.11.</t>
  </si>
  <si>
    <t>2.1.12.</t>
  </si>
  <si>
    <t>2.1.13.</t>
  </si>
  <si>
    <t>Nabava, doprema i ugradnja troputnog prekretnog ventila za sustav grijanja / hlađenja. Prekretni ventil, za razvođenje masenog protoka u sustavima grijanja i hlađenja, izrađen je od bronce, sa zaštitnom kapicom.
Vreteno od nehrđajućeg čelika s dvostrukim O-brtvenim prstenom. Vanjski O-brtveni prsten može se zamijeniti bez pražnjenja sustava.</t>
  </si>
  <si>
    <t xml:space="preserve">       UKUPNO:</t>
  </si>
  <si>
    <t xml:space="preserve">2.2. </t>
  </si>
  <si>
    <t>ZAJEDNIČKE STAVKE SUSTAVA GRIJANJA</t>
  </si>
  <si>
    <t>2.2.1.</t>
  </si>
  <si>
    <t xml:space="preserve">Sitni pomoćni i montažni materijal i pribor (elektrode za zavarivanje, kisik, disous plin, brtve, pocinčani vijci, matice, tiplovi, obujmice, konzole i ostala standardna roba potrebna za ugradbu). </t>
  </si>
  <si>
    <t>2.2.2.</t>
  </si>
  <si>
    <t>2.2.3.</t>
  </si>
  <si>
    <t>2.2.4.</t>
  </si>
  <si>
    <t>2.2.5.</t>
  </si>
  <si>
    <t>2.2.6.</t>
  </si>
  <si>
    <t>2.2.7.</t>
  </si>
  <si>
    <t>Tlačna proba gotovih instalacija grijanja tlakom 5 bar u trajanju 24 sata. Rezultate utvrditi zapisnički.</t>
  </si>
  <si>
    <t>2.2.8.</t>
  </si>
  <si>
    <t>Dilatacijska proba instalacije. Ista se obavlja tako da se instalacija KONTROLIRANO progrije na maksimalnu radnu temperaturu 45º C, ohladi i postupak ponovi te prekontrolira instalacija. Rezultate utvrditi zapisnički.</t>
  </si>
  <si>
    <t>2.2.9.</t>
  </si>
  <si>
    <t>Puštanje instalacije u pogon u nazočnosti isporučitelja opreme ili ovlaštenog servisera, podešavanje automatike, regulacija sustava i ostale potrebne radnje do postizanja pune funkcionalnosti.</t>
  </si>
  <si>
    <t>NAPOMENA: Završni obračun stavke prema dokazima o stvarnom utrošku isporučitelja opreme ili ovlaštenog servisera što potvrđuje nadzorni inženjer</t>
  </si>
  <si>
    <t>2.2.10.</t>
  </si>
  <si>
    <t>2.2.11.</t>
  </si>
  <si>
    <t>Ispiranje kompletne instalacije grijanja/hlađenja.</t>
  </si>
  <si>
    <t>Punjenje kompletne instalacije grijanja/hlađenja omekšanom vodom.</t>
  </si>
  <si>
    <t>2.2.</t>
  </si>
  <si>
    <t>ZAJEDNIČKE STAVKE SUSTAVA GRIJANJA/HLAĐENJA</t>
  </si>
  <si>
    <t xml:space="preserve">                                                   UKUPNO:</t>
  </si>
  <si>
    <t>TOPLOVODNO RADIJATORSKO GRIJANJE</t>
  </si>
  <si>
    <t>3.1.</t>
  </si>
  <si>
    <t>CIJEVNA MREŽA RADIJATORSKOG GRIJANJA</t>
  </si>
  <si>
    <t xml:space="preserve">dolje navedene stavke obuhvaćaju nabavu, dopremu i montažu predmetne opreme. Cijenom obuhvatiti i odgovarajuće čvrste i klizne točke, oslonce te ostalu opremu do postizanja pune funkcionalnosti stavki. </t>
  </si>
  <si>
    <t>Zalijevanje cijevne mreže u cementni estrih.</t>
  </si>
  <si>
    <t>3.1.1.</t>
  </si>
  <si>
    <t>Protupožarno brtvljenje na potrebnim granicama požarnih zona i ostalim pomoćnim priborom do pune funkcionalnosti stavke</t>
  </si>
  <si>
    <t>Cijevi</t>
  </si>
  <si>
    <t>2</t>
  </si>
  <si>
    <t>cijev za grijanje 32x4,4 kolut 25 m</t>
  </si>
  <si>
    <t>3</t>
  </si>
  <si>
    <t>cijev za grijanje 40x5,5 šipka 6 m</t>
  </si>
  <si>
    <t>cijev za grijanje 25x3,5 kolut 25m</t>
  </si>
  <si>
    <t>6</t>
  </si>
  <si>
    <t>cijev za grijanje 16x2,2 kolut 120m</t>
  </si>
  <si>
    <t>7</t>
  </si>
  <si>
    <t>cijev za grijanje 20x2,8 kolut 120m</t>
  </si>
  <si>
    <t>3.2.</t>
  </si>
  <si>
    <t>RADIJATORI I PRATEĆA OPREMA</t>
  </si>
  <si>
    <t>dolje navedene stavke obuhvaćaju nabavu, dopremu i montažu predmetne opreme do postizanja pune funkcionalnosti stavki</t>
  </si>
  <si>
    <t>3.2.1.</t>
  </si>
  <si>
    <t>Projektom predviđeni čelični pločasti radijatori te kupaonički radijatori. Prilikom nabave radijatora, obvezatno konzultirati investitora, vezano uz proizvođača i tip radijatora</t>
  </si>
  <si>
    <t>Oprema radijatora: Svaki radijator opremljen je sistemom za učvršćenje na zid (konzole, nosači, odstojnici). U komplet uračunati i priključke radijatora iz zida  pomoću kutne priključne garniture od plemenitog čelika ili bakra sukladnih dimenzija.</t>
  </si>
  <si>
    <t>Boje radijatora:</t>
  </si>
  <si>
    <t>Veličine radijatora: spojevi na radijatorima 4xG1/2, probni pritisak  13 bar, max. radni pritisak  10 bar, max. radna temp.  110 °C.</t>
  </si>
  <si>
    <t>Radijatori</t>
  </si>
  <si>
    <t>22/600/400</t>
  </si>
  <si>
    <t>33/600/400</t>
  </si>
  <si>
    <t>22/600/600</t>
  </si>
  <si>
    <t>22/600/800</t>
  </si>
  <si>
    <t>1764/600/99</t>
  </si>
  <si>
    <t>1764/750/99</t>
  </si>
  <si>
    <t>Termostatski ventili</t>
  </si>
  <si>
    <t xml:space="preserve">3.2.2. </t>
  </si>
  <si>
    <t>Termostatski ventil ravne izvedbe - 3/8 (standardni model)  ili jednakovrijedan.
 Priključak grijaćeg tijela konično brtvljen.
Univerzalni model sa specijalnim kolčakom za navojnu cijev i priključak steznim setom.</t>
  </si>
  <si>
    <t>3.2.3.</t>
  </si>
  <si>
    <t>Termostatska glava radijatorskog ventila iz stavke 3.2.2.</t>
  </si>
  <si>
    <t>DN10</t>
  </si>
  <si>
    <t>3.2.4.</t>
  </si>
  <si>
    <t>Radijatorski vijčani navijak, zatvarajući</t>
  </si>
  <si>
    <t>3.2.5.</t>
  </si>
  <si>
    <t>Slavina za ispust vode iz radijatora</t>
  </si>
  <si>
    <t>3.2.6.</t>
  </si>
  <si>
    <t>Radijatorski odzračni pipac</t>
  </si>
  <si>
    <t>3.2.7.</t>
  </si>
  <si>
    <t>Automatski odzračni ventil za sustav radijatorskog grijanja. Montaža na polazni i povratni cjevovod na vrhu vertikala.</t>
  </si>
  <si>
    <t>3.3.</t>
  </si>
  <si>
    <t>3.3.1.</t>
  </si>
  <si>
    <t>3.3.2.</t>
  </si>
  <si>
    <t>3.3.3.</t>
  </si>
  <si>
    <t>3.3.4.</t>
  </si>
  <si>
    <t>3.3.5.</t>
  </si>
  <si>
    <t>3.3.6.</t>
  </si>
  <si>
    <t>Dilatacijska proba instalacije. Ista se obavlja tako da se instalacija KONTROLIRANO progrije na maksimalnu radnu temperaturu 45º C (radijatorsko grijanje), ohladi i postupak ponovi te prekontrolira instalacija. Rezultate utvrditi zapisnički.</t>
  </si>
  <si>
    <t>3.3.7.</t>
  </si>
  <si>
    <t>3.3.8.</t>
  </si>
  <si>
    <t>PRISLINA ODSISNA VENTILACIJA</t>
  </si>
  <si>
    <t>Cijena obuhvaća nabavu, dopremu i ugradnju specificirane opreme i cjevovoda. Cijenom je potrebno obuhvatiti sve radove do potpunog kompletiranja svake pojedine stavke i osiguranja pune funkcionalnosti sustava.</t>
  </si>
  <si>
    <t>4.1.</t>
  </si>
  <si>
    <t>VENTILACIJA KUHINJE</t>
  </si>
  <si>
    <t>Za ovu svrhu se koriste kuhinjske nape, koje se smatraju elementima unutarnjeg uređenja stana i nisu predmet ovog troškovnika. U načelu, radi se o uređaju stropno – visećeg ili zidnog tipa, izrađen od INOX-a ili sličnog materijala, kompletirana s trobrzinskim odsisnim kanalskim ventilatorom max. karakteristika cca Qv=100 m3/h, p=50 Pa,  rasvjetom, filterima, hvatačima masti, zavješenjem i ostalom pripadajućom opremom.</t>
  </si>
  <si>
    <t>4.1.1.</t>
  </si>
  <si>
    <t>Nabava, doprema i ugradnja spiro cijevi izrađenih iz pocinčane beskonačne trake, normalnim N falcanjem, tako da je glatka s unutrašnje strane. Cijevi se isporučuju u dužinama od 3m. Izvedba iz AL-lima debljine 0.75 mm. U isporuku je uključena odgovarajuća količina spojnica, brtvi, za spajanje ravnih dionica međusobno, kao i fazonskih komada, ovjesi, konzole, oslonci i sl.</t>
  </si>
  <si>
    <t>Obračun po metru</t>
  </si>
  <si>
    <t>a) Ø100 mm</t>
  </si>
  <si>
    <t xml:space="preserve">NAPOMENA: Završni obračun stavke prema dokazima o stvarnom utrošku što potvrđuje nadzorni inženjer.      </t>
  </si>
  <si>
    <t>VENTILACIJA KUHINJA</t>
  </si>
  <si>
    <t>4.2.</t>
  </si>
  <si>
    <t>VENTILACIJA SANITARIJA</t>
  </si>
  <si>
    <t>4.2.1.</t>
  </si>
  <si>
    <t>Nabava, doprema i ugradnja odsisnog ventilatora s 3 brzine, tehničkih karakteristika: Q=60 m3/h, 230V/20 W</t>
  </si>
  <si>
    <t>Ventilator je montiran u prostor tako da je omogućen neposredan prodor kroz zid te ispuh u vanjski prostor.</t>
  </si>
  <si>
    <t>Obračun komplet.</t>
  </si>
  <si>
    <t>4.2.2.</t>
  </si>
  <si>
    <t>Nabava, doprema i ugradnja prestrujne rešetke za ugradnju na vrata ventiliranih prostorija. Dimenzija: 200 x 80 mm. Ugradnja u donji dio vrata.</t>
  </si>
  <si>
    <t>Obračun po komadu</t>
  </si>
  <si>
    <t>4.2.3.</t>
  </si>
  <si>
    <t>Protukišna žaluzija za ispuh otpadnog zraka, komplet sa zaštitnom mrežicom protiv ulaska insekata i sitnih životinja te ostalom potrebnom opremom do postizanja pune funkcionalnosti stavke.</t>
  </si>
  <si>
    <t>Ø80 mm</t>
  </si>
  <si>
    <t>komplet.</t>
  </si>
  <si>
    <t>4.2.4.</t>
  </si>
  <si>
    <t>Nabava, doprema i ugradnja fleksibilnog limenog kanala (spiralno namotanog), izvedeni od Al lima debljine 0,75 mm, s prirubnicama, vijcima, maticama i zavješenjima.</t>
  </si>
  <si>
    <t>4.3.</t>
  </si>
  <si>
    <t>ODSIS PRAONICE</t>
  </si>
  <si>
    <t>4.3.1.</t>
  </si>
  <si>
    <t>Nabava, doprema i ugradnja odsisnog ventilatora s 3 brzine, tehničkih karakteristika: Q=100 m3/h, 50 Pa, 230V/50 W</t>
  </si>
  <si>
    <t>4.3.2.</t>
  </si>
  <si>
    <t>Ø100 mm</t>
  </si>
  <si>
    <t>Ø150 mm</t>
  </si>
  <si>
    <t>4.3.3.</t>
  </si>
  <si>
    <t>4.3.4.</t>
  </si>
  <si>
    <t xml:space="preserve">Nabava, doprema i ugradnja dozračne žaluzine za ugradnju na zid. </t>
  </si>
  <si>
    <t>4.4.</t>
  </si>
  <si>
    <t>OSTALI MATERIJAL I RADOVI</t>
  </si>
  <si>
    <t>4.4.1.</t>
  </si>
  <si>
    <t>Nabava, doprema i ugradnja sitnog pomoćnog i montažnog materijala i pribora ( brtvila, elastične spojnice, vijci i matice, tiplovi, držači, cijevne obujmice, tuljci za izolaciju vijaka i matica kod spajanja fazona iz različitih metalnih materijala i ostala standardna roba potrebna za ugradbu).</t>
  </si>
  <si>
    <t xml:space="preserve">NAPOMENA: Završni obračun stavke prema dokazima o stvarnom utrošku što potvrđuje nadzorni inženjer.  </t>
  </si>
  <si>
    <t>4.4.2.</t>
  </si>
  <si>
    <t>4.4.3.</t>
  </si>
  <si>
    <t>4.4.4.</t>
  </si>
  <si>
    <t>4.4.5.</t>
  </si>
  <si>
    <t>4.4.6.</t>
  </si>
  <si>
    <t>Ispitivanje sustava ventilacije i izdavanje certifikata od ovlaštene tvrtke.</t>
  </si>
  <si>
    <t>4.4.7.</t>
  </si>
  <si>
    <t>Detaljno čišćenje svih sustava ventilacijskih kanala.</t>
  </si>
  <si>
    <t>ELEKTRIČNO GRIJANJE PODESTA DIZALICA TOPLINE</t>
  </si>
  <si>
    <t>5.1.</t>
  </si>
  <si>
    <t>5.1.1.</t>
  </si>
  <si>
    <t>Dobava, ugradnja i spajanje grijaćeg kabela 0,135 Ω/m, duljine 126,5 m, s "hladnim krajem" duljine 5 m,  za ugradnju u beton ( 3098 W / 230 V )</t>
  </si>
  <si>
    <t>5.1.2.</t>
  </si>
  <si>
    <t>Dobava, ugradnja i spajanje napojno-upravljačkog razdjelnika opremljenog sa: elektroničkim regulatorom, strujnom zaštitnom sklopkom 40/0,3A,  automatskim osiguračima, sklopnikom,  grebenastom sklopkom i ostalom opremom potrebnom za ispravan i siguran rad grijanja snage 3 kW</t>
  </si>
  <si>
    <t>5.1.3.</t>
  </si>
  <si>
    <t xml:space="preserve">Dobava i ugradnja u rampu kućišta za sondu </t>
  </si>
  <si>
    <t>5.1.4.</t>
  </si>
  <si>
    <t xml:space="preserve">Dobava i ugradnja u kućište pametne sonde za vlagu i temperaturu tla </t>
  </si>
  <si>
    <t>5.1.5.</t>
  </si>
  <si>
    <t>5.1.6.</t>
  </si>
  <si>
    <t>UKUPNO      EUR (€)</t>
  </si>
  <si>
    <t>Cijene navedene u troškovniku služe ISKLJUČIVO kao orijentacija za procjenu ukupne visine investicije.</t>
  </si>
  <si>
    <t>Cijene pojedinih troškovničkih stavki ovise o trenutnim tržišnim kretanjima, tehnologiji izvođenja i izboru opreme te se ne mogu se uzimati kao usporedna vrijednost suprotstavljena ponudi izvođača.</t>
  </si>
  <si>
    <t>STROJARSKE INSTALACIJE REKAPITULACIJA</t>
  </si>
  <si>
    <t>A.</t>
  </si>
  <si>
    <t>Prije narudžbe opreme i izvedbe radova izvođač treba na građevini:</t>
  </si>
  <si>
    <t>* provjeriti mogućnost montaže i izvedbe sustava i opreme</t>
  </si>
  <si>
    <t>*provjeriti količine materijala i opreme predviđenih ovim troškovnikom</t>
  </si>
  <si>
    <t>*koordinirati izvođenje s drugim izvođačima prema terminskom planu</t>
  </si>
  <si>
    <t>Projektant ne preuzima odgovornost za naknadne primjedbe.</t>
  </si>
  <si>
    <t>B.</t>
  </si>
  <si>
    <t>Za svu strojarsku opremu prije narudžbe i dostave na gradilište izvođač radova je dužan ishoditi odobrenje od strojarskog nadzornog inženjera, strojarskog projektanta sustava i naručitelja.</t>
  </si>
  <si>
    <t>C.</t>
  </si>
  <si>
    <t xml:space="preserve">U slučaju nuđenja  jednakovrijedne opreme koja nije obrađena projektnom dokumentacijom zbog specifičnosti strojarske opreme i sustava upravljanja jednakovrijednost opreme se dokazuje dostavom odgovarajućih atesta, certifikata, normi uređaja i opreme i sl. </t>
  </si>
  <si>
    <t>Nuđena oprema mora zadovoljiti uvjete:</t>
  </si>
  <si>
    <t>* toplinska snaga manja do -5%</t>
  </si>
  <si>
    <t>* pad tlaka uređaja veći do +5%</t>
  </si>
  <si>
    <t>* električna snaga veća do +5%</t>
  </si>
  <si>
    <t>* učinkovitost uređaja manja do -2%</t>
  </si>
  <si>
    <t>* dimenzije uređaja provjeriti kod prostornog ograničenja</t>
  </si>
  <si>
    <t>* ista ili bolja automatska regulacija uređaja</t>
  </si>
  <si>
    <t>* ista ili bolja servisna mreža uređaja</t>
  </si>
  <si>
    <t>* isti ili duži jamstveni rok uređaja</t>
  </si>
  <si>
    <t>* dodatni zahtjevi prema uvjetima naručitelja</t>
  </si>
  <si>
    <t>D.</t>
  </si>
  <si>
    <t>Kod dijelova cjevovoda iz "crnog" čelika koji su položeni u zemlju, obvezatan je sljedeći postupak antikorozivne zaštite: čišćenje do II stupnja, nanošenje tankog bitumenskog premaza u hladnom stanju, nanošenje tankog bitumenskog premaza u toplom stanju, spiralno namotavanje staklene vune ili drugog podobnog  tekstilnog materijala natopljenog bitumenom, nanošenje drugog bitumenskog sloja u toplom stanju, spiralno namotavanje staklene vune ili drugog pogodnog tekstilnog materijala, nanošenje trećeg bitumenskog sloja u toplom stanju te kao završni sloj, nanošenje vapnenog mlijeka.</t>
  </si>
  <si>
    <t>E.</t>
  </si>
  <si>
    <t>F.</t>
  </si>
  <si>
    <t>Sve cijevi, armatura i dr. NP10, osim ako stavkom nije drukčije specificirano.</t>
  </si>
  <si>
    <t>G.</t>
  </si>
  <si>
    <t>Izvođač je dužan o svom trošku osigurati gradilište i građevinu od štetnog utjecaja vremenskih nepogoda.</t>
  </si>
  <si>
    <t>H.</t>
  </si>
  <si>
    <t>Izvođač je dužan izvesti pomoćna sredstva za rad kao što su skele, ograde, skladišta, dizalice, dopremiti i postaviti strojeve, alat, potreban pribor itd.  te poduzeti sve mjere sigurnosti da ne dođe do smetnji i opasnosti po život i zdravlje zaposlenika, drugog osoblja i prolaznika. Svaka eventualna šteta koja bi bila prouzročena prolazniku, susjednoj građevini, cesti itd. pada na teret izvođača koji je dužan ukloniti i nadoknaditi štetu u određenom roku.</t>
  </si>
  <si>
    <t>Nadzor glede čuvanja građevine, gradilišta, postrojenja, alata i materijala pada na teret izvoditelja.</t>
  </si>
  <si>
    <t>J.</t>
  </si>
  <si>
    <t>Jedinične cijene pojedinih stavki troškovnika sadržavaju troškove za posve dogotovljen rad. One uključuju materijal, pomoćna sredstva kao što su voda, električna energija, alat, oplata, skela ili slično, za svu radnu snagu, za sve pripremne radove (kao npr. postavljanje baraka ili kontejnera i postrojenja, uključivo s demontažom i otpremom s gradilišta nakon završetka radova i druge troškove koji se u bilo kojem obliku pojave za potrebe gradnje). Čišćenje i uređenje gradilišta također je sadržano u jediničnim cijenama.</t>
  </si>
  <si>
    <t>K.</t>
  </si>
  <si>
    <t>Prije davanja ponude, izvođač mora pregledati projektnu dokumentaciju te zatražiti objašnjenje za eventualne nejasne stavke te provjeriti dokaznicu mjera i na vrijeme dati svoje primjedbe. Kasnije primjedbe ne mogu se uzimati u obzir.</t>
  </si>
  <si>
    <t>L.</t>
  </si>
  <si>
    <t>Obračun radova provodi se prema tehničkim normativima i njihovim dopunama. Za slučaj da opis pojedinih radova u troškovniku po mišljenju izvoditelja ili bilo kojeg drugog sudionika u gradnji nije potpun, izvođač je dužan izvesti radove prema pravilima struke uz konzultaciju projektanta koji je jedini mjerodavan tumačiti dijelove svog projekta.</t>
  </si>
  <si>
    <t>M.</t>
  </si>
  <si>
    <t>Izvođač u potpunosti odgovara za ispravnost izvršene isporuke i odgovoran je za eventualno loš rad ili kvalitetu dobave iz trgovačke mreže ili podizvoditelja.</t>
  </si>
  <si>
    <t>N.</t>
  </si>
  <si>
    <t>Izvođač je dužan posjedovati potrebne certifikate za sve materijale i opremu koju ugrađuje u pojedini objekt, a prije tehničkog pregleda, svu dokumentaciju mora predati investitoru.</t>
  </si>
  <si>
    <t>O.</t>
  </si>
  <si>
    <t>Sve izmjene u projektu, opisu radova i jediničnim cijenama mogu uslijediti samo uz suglasnost projektanta i po odobrenju nadzornog inženjera (investitora). Isto vrijedi i u slučaju pojave bilo kakvih nepredviđenih okolnosti tijekom građenja.</t>
  </si>
  <si>
    <t>P.</t>
  </si>
  <si>
    <t>Trošak ispitivanja materijala pada na teret izvođača, tj. smatrat će se da su jediničnom cijenom u danoj ponudi obuhvaćena i navedena ispitivanja.</t>
  </si>
  <si>
    <t>R.</t>
  </si>
  <si>
    <t>Izvođač je dužan radove izvesti sukladno projektnoj dokumentaciji, pravilima struke, važećim zakonima, podzakonskim aktima, normama, propisima i uputama proizvođača materijala i opreme.</t>
  </si>
  <si>
    <t>S.</t>
  </si>
  <si>
    <t xml:space="preserve">Jedinične cijene pojedinih stavaka i nabave moraju sadržavati sve naknade za obavljeni rad, kao dostavu na gradilište i ugradnju, uključujući horizontalni i vertikalni prijenos.
U jediničnim cijenama su sadržani i svi sporedni radovi kao na primjer:
• izmjera potrebna za obračun
• sav potreban alat
• troškovi ispitivanja materijala, ali samo u slučaju ako je dokazano da izvođač instalacija nije upotrijebio odgovarajući materijal
• odstranjivanje svih otpadaka i smeća s mjesta provedbe radova
• popravke šteta počinjenih nepažnjom na tuđim i vlastitim radovima.
</t>
  </si>
  <si>
    <t>T.</t>
  </si>
  <si>
    <t>VAŽNO!!!</t>
  </si>
  <si>
    <t>Navedene stavke uključuju nabavu, dopremu na gradilište te ugradnju specificiranog materijala i opreme. Cijenom je potrebno obuhvatiti svu potrebnu opremu i pribor za ugradnju do potpunog kompletiranja svake pojedine stavke. Elektro oprema i radovi NISU obuhvaćeni ovim troškovnikom.</t>
  </si>
  <si>
    <t>STROJARSKE INSTALACIJE</t>
  </si>
  <si>
    <t>HIDROENERGA d.o.o.
Vijenac I. Meštrovića 54, Osijek</t>
  </si>
  <si>
    <t>Mario Vitez dipl.ing.građ.</t>
  </si>
  <si>
    <t>Kata Bukovac Peršun dipl.ing.arh.</t>
  </si>
  <si>
    <t>Projektant vodovoda, odvodnje, vatrozaštite
i manipulativnih površina:</t>
  </si>
  <si>
    <t>Projektant elektrotehničkih instalacija:</t>
  </si>
  <si>
    <t>Projektant strojarskih instalacija:</t>
  </si>
  <si>
    <t>Krešimir Pećar dipl.ing.stroj.</t>
  </si>
  <si>
    <t>Darko Rudvald mag.ing.el.</t>
  </si>
  <si>
    <t>Bruno Andrašić dipl.ing.arh</t>
  </si>
  <si>
    <t>Projektanti krajobraza:</t>
  </si>
  <si>
    <t>Višnja Šteko mag.ong.prosp.arch.</t>
  </si>
  <si>
    <t>Glavni projektant:</t>
  </si>
  <si>
    <r>
      <rPr>
        <b/>
        <sz val="20"/>
        <color theme="0" tint="-0.499984740745262"/>
        <rFont val="Arial"/>
        <family val="2"/>
      </rPr>
      <t xml:space="preserve">UGOSTITELJSKO-TURISTIČKA GRAĐEVINA
PLANINARSKI DOM JELENIĆ KUĆA
</t>
    </r>
    <r>
      <rPr>
        <b/>
        <sz val="20"/>
        <rFont val="Arial"/>
        <family val="2"/>
      </rPr>
      <t xml:space="preserve">
</t>
    </r>
    <r>
      <rPr>
        <b/>
        <sz val="22"/>
        <rFont val="Arial"/>
        <family val="2"/>
      </rPr>
      <t>PROJEKTANTSKI TROŠKOVNIK
SVIH RADOVA</t>
    </r>
    <r>
      <rPr>
        <b/>
        <sz val="24"/>
        <rFont val="Arial"/>
        <family val="2"/>
      </rPr>
      <t xml:space="preserve">
</t>
    </r>
  </si>
  <si>
    <t>ULAZNA VRATA</t>
  </si>
  <si>
    <t>PROZORI ULIČNOG PROČELJA</t>
  </si>
  <si>
    <t>OSTALI OTVORI</t>
  </si>
  <si>
    <t>OPĆI UVJETI:</t>
  </si>
  <si>
    <t>Za instalacijske sustave izvođač je dužan, u okviru ugovorene cijene, osim atesta o kvaliteti ugrađenih materijala, dati ateste za instalacijske sustave te izvještaje o kontrolnim ispitivanjima.</t>
  </si>
  <si>
    <t xml:space="preserve">Izvođač je u okviru ugovorene cijene dužan izvršiti koordinaciju radova svih kooperanata na način da omogući kontinuirano odvijanje posla i zaštitu već izvedenih radova.
Sva oštećenja nastala tokom gradnje otkloniti će izvođač o svom trošku. 
</t>
  </si>
  <si>
    <t>Izvođač je dužan, u okviru ugovorene cijene, osigurati gradilište od djelovanja više sile i krađe.</t>
  </si>
  <si>
    <t xml:space="preserve">Sav rad i materijal vezan za organizaciju građevinske proizvodnje: ograde, vrata gradilišta, putovi na gradilištu, uredi, blagovaonice, svlačionice, sanitarije gradilišta, spremišta materijala i alata, telefonski, električni, vodovodni i sl. priključci gradilišta kao i cijena korištenja priključaka uključeni su u ugovorenu cijenu.
</t>
  </si>
  <si>
    <t>Izvođač će zajedno sa nadzornim inženjerom izraditi vremenski plan (gantogram) aktivnosti na gradilištu i njime odrediti dinamiku financiranja, dobave materijala i opreme i sl.</t>
  </si>
  <si>
    <t>Sva oštecenja prometnih ili ostalih javnih i ostalih površina parcele izvođač će po završetku radova o svom trošku dovesti u prvobitno stanje.</t>
  </si>
  <si>
    <t xml:space="preserve">Prema uvjetima ovog troškovnika izvoditelj radova daje jedinične cijene svih radova, a one obuhvaćaju:
</t>
  </si>
  <si>
    <t>a) organizaciju gradilišta i sve potrebne pripremne i završne radove, koji osiguravaju u cjelini kvalitetnu izvedbu, uključujući i troškove vezane uz zauzeće javne površine</t>
  </si>
  <si>
    <t xml:space="preserve">b) sve potrebne troškove za izvršenje samih radova i to za: rad, materijal, alat, skele, režiju, troškove montaže, troškove zaštite na radu, kao i sve druge izdatke po važećim propisima. </t>
  </si>
  <si>
    <t xml:space="preserve">c) redovito čišćenje i odvoženje viška materijala, zemlje, šute i otpada na deponij </t>
  </si>
  <si>
    <t xml:space="preserve">d) zaštita  postojećih podzemnih instalacija na nužnim mjestima nakon što se utvrdi točan položaj instalacija. Točan položaj instalacija potrebno je odrediti prije započinjanja radova na izvođenju predmetnog zahvata. Nadzorni inženjer i predstavnik vlasnika instalacija će potom odrediti mjere zaštite ili potrebu izmještanja instalacija sukladno posebnim uvjetima.
</t>
  </si>
  <si>
    <t xml:space="preserve">Predviđeni su svi potrebni radovi za zaštitu instalacija.
</t>
  </si>
  <si>
    <t>Za sve materijale, poluproizvode i gotove dijelove, koji će se upotrijebiti na svim radovima, izvoditelj je dužan podnijeti nadzornom inženjeru uzorke na odobrenje, odnosno izvršiti sistematsko ispitivanje i da o tome ispitivanju podnese nadzornom inženjeru ili naručitelju mjerodavne dokaze. Ovo ispitivanje pada na teret izvoditelja radova.</t>
  </si>
  <si>
    <t>Materijali koji ne odgovaraju  tehničkim uvjetima, propisima i standardima, ne smiju se ugraditi, a izvoditelj  ih je dužan otkloniti s gradilišta bez troškova naknade.</t>
  </si>
  <si>
    <t>Ukoliko tehnička dokumentacija nije potpuna ili izvoditelju razumljiva, izvoditelj radova je obavezan pravovremeno tražiti dopunu istoga kao i sva potrebna tumačenja.</t>
  </si>
  <si>
    <t>Izvoditelj je dužan sve mjere u nacrtima kontrolirati na licu mjesta.</t>
  </si>
  <si>
    <t xml:space="preserve">Izvoditelj je dužan na gradilištu zatrpati i nabiti sve jame koje je u tijeku radova morao otvoriti u zemljištu oko objekta, zemljište raščisti i poravnati, građevinu i česticu predati očišćenu od otpadaka građevinskog materijala, sa čistim podovima, bravarijom, stolarijom i prozorskim staklom, u tijeku radova i sve do predaje objekta održavati red i čistoću na gradilištu. 
</t>
  </si>
  <si>
    <t>Svi ovi radovi trebaju biti uračunati u cijene odgovarajućih pozicija i posebno se neće plaćati, osim onih koji su troškovnikom predviđeni.</t>
  </si>
  <si>
    <t>Izvoditelj je dužan čuvati i sačuvati sve izvršene radove do primopredaje objekta i u tu svrhu mora  izvršiti potrebna osiguranja po uputama nadzornog inženjera, što je uračunato u jedinične cijene i neće se posebno plaćati.</t>
  </si>
  <si>
    <t xml:space="preserve">Izvoditelj je dužan osigurati higijensko-tehničke zaštitne mjere na gradilištu po postojećim propisima, što je uračunato u cijene i neće se posebno plaćati.
</t>
  </si>
  <si>
    <t xml:space="preserve">Obračun svih izvršenih radova obavlja se prema postojećim normama u graditeljstvu za tu vrstu radova.
</t>
  </si>
  <si>
    <t>Svi radovi koji će se zatvoriti u konstrukciju, prekriti slojevima ili na drugi način postati nevidljivi mogu se zatvoriti tek nakon pregleda i pozitivne ocjene nadzornog inženjera. Ovo se odnosi na sve instalacije i materijale koji će biti skriveni prekrivanjem drugog sloja preko njih.</t>
  </si>
  <si>
    <t xml:space="preserve">Za vrijeme izvođenja radova izvođač je dužan osigurati   nesmetan   promet   na   postojećim prometnicama i prilaznim putevima i regulirati ga odgovarajućim prometnim znacima. Troškovi privremene signalizacije i regulacije prometa biti će uračunati u jediničnu cijenu i neće se posebno naplaćivati.
</t>
  </si>
  <si>
    <t xml:space="preserve">Sve stavke uključuju sav rad i materijal (osnovni i pomoćni materijal te spojni i pričvrsni materijal, materijal za završne obrade) sve do potpune gotovosti i funkcionalnosti. U jediničnu cijenu stavki su  uključeni svi horizontalni i vertikalni transporti po gradilištu te sva potrebna mehanizacija, radna skela i materijal za podupiranje tijekom ugradnje stavki.
</t>
  </si>
  <si>
    <t>U cijenu uključiti čišćenje gradilišta u toku radova
i završno fino čišćenje gradilišta i pranje nakon dovršetka gradnje prije predaje na korištenje investitoru, s odvozom šute i smeća na gradski deponij uz plaćanje naknada.</t>
  </si>
  <si>
    <t>U cijenu uključiti i kontejner za održavanje radnih sastanaka sa investitorom, nadzornim inž.i projektantima koji mora biti opremljen konferencijskim stolom sa sjedalicama, infrastrukturnim priključcima, sanitarnim čvorom.</t>
  </si>
  <si>
    <t>Izvođač je dužan pridržavati se svih važećih zakona i propisa i to naročito Zakona o gradnji, Zakona o zaštiti na radu.</t>
  </si>
  <si>
    <t>na evakuacijskim vratima, puna panika:
"B" funkcija - s vanjske strane kvaka, s unutarnje panik letva; vrata su prohodna u oba smjera dok su otključana, zaključana su prohodna samo u smjeru evakuacije.
"E" funkcija - s vanjske strane fiksni rukohvat, s unutarnje panik letva. Izvana prema unutra moguć prolaz samo s ključem. 
Djelomična panika - "B" i "E" funkcije, umjesto panik letve kvaka.</t>
  </si>
  <si>
    <t>Ostakljenje s parapetom višim od 80 cm, prozori, IZO staklo: 
TIP A: 6 mm LowE - 16 mm Argon 90% - 4 mm - 16 mm Argon 90% - 6  mm LowE 
Ostakljenje s parapetom nižim od 80 cm, stakla većih površina, sigurnosno IZO staklo: 
TIP B: 55.2 mm LowE - 16 mm Argon 90% - 6 mm - 16 mm Argon 90% - 8  mm kaljeno LowE
LowE sloj se nalazi na poz. 3 gledano izvana.
Izvođač radova je prije izrade obavezan osigurati uzorke s tipovima stakla odabranim od strane glavnog projektanta.</t>
  </si>
  <si>
    <t>Izvoditelj ugovara izradu otvora fasade do kompletne gotovosti. Rasteri i tipovi otvora fasade su definirani nacrtima, a količine ugovornog troškovnika se odnose na dimenzije rastera iz arhitektonskih nacrta.  Ukupna cijena uključuje:</t>
  </si>
  <si>
    <t xml:space="preserve">- Dobavu, transport, skladištenje te montažu svih elemenata fasade do konačne ugradnje;
</t>
  </si>
  <si>
    <t>- Sve predradnje prije montaže (izmjera, iscrtavanje potrebnih osi, visinske kote, te određivanje geometrije fasade);</t>
  </si>
  <si>
    <t>- Potrebne podkonstrukcije (svi sidreni i pričvrsni elementi)</t>
  </si>
  <si>
    <t>- Ostakljenje te isporuku rezervnih stakala</t>
  </si>
  <si>
    <t>- Potrebne okove, brtve, opšave;</t>
  </si>
  <si>
    <t>- Toplinsku izolaciju s vodonepropusnim i paronepropusnim folijama</t>
  </si>
  <si>
    <t>- Izradu radioničke dokumentacije (detalje sa statičkim provjerama i označenim karakteristikama i debljinama materijala). Sve radioničke crteže treba podnijeti na pregled i odobrenje arhitektu. Svi elementi  trebaju biti prikazani na crtežima. Sve crteže treba ovjeriti ovlašteni inženjer dobavljača.</t>
  </si>
  <si>
    <t>5 Izvođač je dužan voditi zakonom propisanu evidenciju radova, koja će se ovjeravati od strane nadzornog inženjera</t>
  </si>
  <si>
    <t xml:space="preserve">Ugradnju prozora izvesti u skladu s radioničkim nacrtima, izrađenim od strane izvođača radova, ovjerenim od strane glavnog projektanta, a koji u moraju obuhvaćati slijedeće elemente ugradnje prozora (RAL smjernice):
- ugradnju prozora na pravilnu liniju izoterme kod koje nema kondenzata na unutarnjoj stijenki stakla/profila 
- paronepropusnost spoja sa zidom s unutarnje strane i 
  vodonepropusnost/paropropusnost s  vanjske
- odgovarajuću širinu bočne fuge između štoka i zida širine  
- ugradnju stakla s okvirom u skladu sa zahtjevima zaštite od buke </t>
  </si>
  <si>
    <t>- ZAVRŠNOG SLOJA LAKA</t>
  </si>
  <si>
    <t>O obavljenom ispitivanju treba nadzornom inženjeru dostaviti izvještaja o ispitivanju zrakopropusnosti omotača zgrade koje je izrađeno od strane ovlaštene  tvrtke i osobe.</t>
  </si>
  <si>
    <r>
      <t xml:space="preserve">Angažiranje svih potrebnih uređaja, opreme i sredstava te provođenje mjerenja i ispitivanja </t>
    </r>
    <r>
      <rPr>
        <b/>
        <sz val="10"/>
        <rFont val="Microsoft Sans Serif"/>
        <family val="2"/>
      </rPr>
      <t>zahtjeva o zrakopropusnosti zgrade</t>
    </r>
    <r>
      <rPr>
        <sz val="10"/>
        <rFont val="Microsoft Sans Serif"/>
        <family val="2"/>
      </rPr>
      <t xml:space="preserve"> sukladno važećoj zakonskoj regulativi od strane ovlaštene osobe a prije tehničkog pregleda zgrade.</t>
    </r>
  </si>
  <si>
    <t xml:space="preserve">Ispunjavanje zahtjeva o zrakopropusnosti iz odredbi članka 29. Tehničkog propisa dokazuje se ispitivanjem na izgrađenoj zgradi sukladno važećoj zakonskoj regulativi od strane ovlaštene osobe a prije tehničkog pregleda zgrade.
</t>
  </si>
  <si>
    <r>
      <t xml:space="preserve">Angažiranje svih potrebnih uređaja, opreme i sredstava te </t>
    </r>
    <r>
      <rPr>
        <b/>
        <sz val="10"/>
        <rFont val="Microsoft Sans Serif"/>
        <family val="2"/>
      </rPr>
      <t>provođenje termografskog pregleda zgrade</t>
    </r>
    <r>
      <rPr>
        <sz val="10"/>
        <rFont val="Microsoft Sans Serif"/>
        <family val="2"/>
      </rPr>
      <t xml:space="preserve"> i izdavanje energetskog certifikata sukladno važećoj zakonskoj regulativi od strane ovlaštene osobe a prije tehničkog pregleda zgrade.</t>
    </r>
  </si>
  <si>
    <t>Navedene duljine cijevi unutar objekta ovise o tipu ugrađene opreme i izvedenom stanju građevinskog objekta. Stoga se svi cjevovodi, fazoni i prirubnice izrađene od čelika isporučuju NEZAVARENI, pojedinačno u skladu sa specifikacijom u troškovniku. Zavarivanje pojedinih cijevnih elemenata i fazona te završnu izradu pozicija izvršiti u radionici tek nakon provjere stvarno izvedenih kota objekta i ugrađene opreme. Po mogućnosti, sva zavarivanja izvršiti u povoljnim radioničkim uvjetima.</t>
  </si>
  <si>
    <t xml:space="preserve">Izvođač je dužan, u okviru ugovorene cijene, ugraditi propisani adekvatan i prema važećim normama atestiran materijal. Izvođač je također dužan kod izrade konstrukcija, prema projektom određenom planu ispitivanja materijala, kontrolirati ugrađeni konstruktivni materijal u okviru ugovorene cijene. Troškovi ispitivanja materijala uzimanja uzoraka, laboratorijska obrada s izdavanjem atesta ispitnih protokola, te ispitivanje svih ugrađenih slojeva nasipa i kolničkih konstrukcija, ispitivanje cjevovoda na tlak, dezinfekcija cjevovoda, bakteriološka proba, puštanje sistema u rad i sl. moraju biti uključeni u jediničnu cijenu radova. 
</t>
  </si>
  <si>
    <t>XPS 300 kPa tlačne čvrstoće</t>
  </si>
  <si>
    <r>
      <t xml:space="preserve">DOBAVA, POSTAVA I DEMONTAŽA </t>
    </r>
    <r>
      <rPr>
        <b/>
        <sz val="10"/>
        <rFont val="Microsoft Sans Serif"/>
        <family val="2"/>
      </rPr>
      <t xml:space="preserve">CIJEVNE SKELE U UNTRAŠNJOSTI GRAĐEVINE I OKO GRAĐEVINE </t>
    </r>
    <r>
      <rPr>
        <sz val="10"/>
        <rFont val="Microsoft Sans Serif"/>
        <family val="2"/>
      </rPr>
      <t xml:space="preserve">U SKLADU S PRAVILIMA STRUKE, PROPISIMA O ZAŠTITI NA RADU I VAŽEĆIM ZAKONIMA I NORMAMA, TE NJEN ANGAŽMAN ZA VRIJEME TRAJANJA RADOVA. </t>
    </r>
  </si>
  <si>
    <r>
      <t xml:space="preserve">Dobava i montaža troslojnih aluminijsko-plastičnih cijevi sa spajanjem ˝press˝ spojnicama iz PVDF-a ili bronce,  za glavni razvod sanitarne hladne i tople vode (radni tlak do 10 bar i temperatura do 70°C). Stavka obuhvaća sve potrebne spojnice, redukcije, T-komade i potrebni pričvrsni i ovjesni materijal. Cijevi se isporučuju u palicama bez izolacije. Toplinsku izolaciju izvesti pjenastom izolacijom d=20mm </t>
    </r>
    <r>
      <rPr>
        <b/>
        <sz val="10"/>
        <rFont val="Tahoma"/>
        <family val="2"/>
      </rPr>
      <t/>
    </r>
  </si>
  <si>
    <t>Dobava, prijenos i montaža kompletne tuš kade od sanitarnog lijevanog akrila, bijele boje, veličine 90x90 cm, dubine 15,0 cm, uključivo sifon za odvodnju Ø90. Ugradnja prema arhitektonskom projektu. Obračun za komplet ugrađen element.</t>
  </si>
  <si>
    <r>
      <t>Svi radovi moraju biti potpuno gotovi kako je predviđeno</t>
    </r>
    <r>
      <rPr>
        <sz val="10"/>
        <color rgb="FFFF0000"/>
        <rFont val="Microsoft Sans Serif"/>
        <family val="2"/>
      </rPr>
      <t xml:space="preserve"> </t>
    </r>
    <r>
      <rPr>
        <sz val="10"/>
        <rFont val="Microsoft Sans Serif"/>
        <family val="2"/>
      </rPr>
      <t xml:space="preserve">po Ponudbenoj dokumentaciji, izvedeni pravilno po tehničkim propisima i standardima, s kvalitetnim materijalom i kvalitetnom stručnom radnom snagom. </t>
    </r>
  </si>
  <si>
    <t>Dobavljeni i ugrađeni materijali moraju odgovarati standardima prema važećoj zakonskoj regulativi, a za radove treba primijenjivati tehničke propise. Ugradnja materijala sukladno nacrtima, opisu, detaljima i pismenim dogovorima.</t>
  </si>
  <si>
    <t>Svi radovi navedeni u ovom troškovniku moraju biti izvedeni stručno i u cijelosti do potpune gotovosti i funkcionalnosti, točno prema glavnom projektu, važećim tehničkim propisima te uputama projektanta i nadzornog inženjera, a u stavkama gdje nije detaljno objašnjen način rada, izvođač je dužan konzultirati se s projektantom i pridržavati se uzusa struke.</t>
  </si>
  <si>
    <t xml:space="preserve">Izbor i nabava biljnog materijala uključuje nabavu primjerenih sadnica (prema troškovnikom navedenim količinama, vrstama i dimenzijama), stabla i grmove predviđene projektom, stabla balirana, grmovi kontejnirani i školovani, doprema na lokaciju. Biljni materijal nabavlja izvođač. Izvođač predaje sav biljni materijal u ispravnom zdravstvenom stanju uz redovno i dostatno zalijevanje sve do primopredaje poduzeću koje preuzima održavanje. </t>
  </si>
  <si>
    <t>Za izvedbu završnog sloja šetnice predviđa se korištenje tucanika. Širina hodnika iznosi 1.2 m, a izvodi se s poprečnim padom od 2%. Posteljicu je potrebno izvesti u okviru točnosti +/- 3 cm, te ju zbiti do adekvatne zbijenosti uz minimalan poprečni pad od 2 %. Izradu nosivog sloja se obavlja od drobljenog šljunka ganulacije 0/16 mm debljine 20 cm na pripremljenoj posteljici. Zbijanje je predviđeno na 80 MN/ m². U stavku je uključena dobava i ugradnja geotekstila između nosivog sloja i sloja geotekstilnih saća. Geotekstilna saća se ispunjavaju lomljenim kamenim agregatom 4-8mm debljine sloja 5cm.</t>
  </si>
  <si>
    <t>Na drvo je potrebno aplicirati višeslojni zaštitni premaz protiv truljenja sa bezbojnim završnim slojem, srednje gusti premaz u 3 sloja. Koristiti ekološki prihvatljive boje na bazi vode.</t>
  </si>
  <si>
    <t>Čelična konstrukcija izrađuje se od nehrđajućeg čelika sa završnim premazom u nijansi prema izboru projektanta i izvođača radova</t>
  </si>
  <si>
    <t>Na drvo je potrebno aplicirati višeslojni zaštitni premaz protiv truljenja sa bezbojnim završnim slojem, srednje gusti premaz u 3 sloja. Metalna konstrukcija mora biti zaštićena protiv korozije cinčanjem ili višeslojnim premazoml. Točan položaj opreme određuje se prema projektu, na terenu uz nadzor i prema uputama glavnog projektanta. U cijenu su uključeni i sav materijal i rad na izradi betonskog temelja. Koristiti ekološki prihvatljive boje na bazi vode.</t>
  </si>
  <si>
    <t>Stavka obuhvaća dobavu/ izradu i ugradnju koševa za otpatke od drvenih greda 10x10 cm pričvršćenih za metalnu potkonstrukciju, okvirnih dimenzija 30 x 30 x 65 cm, uključujući i izradu betonskog temelja. Podkonstrukciju koša potrebno je izraditi od čeličnih i aluminijskih profila. Aluminijski profil je 40x55mm s minimalno 3 pregrade za pojačanje i nosivost, koje čine najmanje 4 komore. Konstrukcija se temelji u betonsku podlogu tiplanjem. Vanjske dimenzije svakog koša 50x50x70 cm. Unutar koša postavlja se limeni uložak od pocinčanog lima s otvorima za prodor vode. Poželjno je da betonski temelj bude upušten 10 cm u odnosu na razinu tla. Metalna ploča na frontalnom dijelu s natpisom odgovarajućeg tipa otpada izrađuje se u boji primjerenoj za tip otpada, prema dogovoru investitora i projektanata.</t>
  </si>
  <si>
    <t>Na drvo je potrebno aplicirati višeslojni zaštitni premaz protiv truljenja sa bezbojnim završnim slojem, srednje gusti premaz u 3 sloja. Metalna konstrukcija mora biti zaštićena protiv korozije cinčanjem ili višeslojnim premazom. Koristiti ekološki prihvatljive boje na bazi vode.</t>
  </si>
  <si>
    <t xml:space="preserve">Stavka obuhvaća izradu edukativne info ploče. Dimenzije za drvenu bazu iznose 80x30x70cm. Drvene grede dimenzije 10x10cm se slažu u više razlićitih formi, praveći oslonac za ploču. Ploča je izrađena od aluminijskog lima debljine 3 mm, s radijusom na kutevima koji iznose 30 mm. Aluminijsku ploču potrebno je postaviti i pričvrstiti (vijak s upuštenom glavom m5 x 8) na potkonstrukciju izrađenu od međusobno zavarenih aluminijskih cijevi (40 x 30 x 2 mm) i aluminijskih U profila (40 x 40 x 4 mm). Predviđeno je zavarivanje aluminijskih profila i cijevi te naknadno brušenje vara na ravno zbog smanjenja koncentracije naprezanja i radi ukupnog izgleda profila. </t>
  </si>
  <si>
    <t xml:space="preserve">Aluminijska potkonstrukcija pričvršćuje se vijkom na nosače od čeličnog lima (400 x 269 x 55, d = 5), koji je izrađen od nehrđajućeg čelika. Drveni nosači su preko sidrenih vijaka za veća opterećenja ugrađenog u armirani cementni mort na betonskom temelju. </t>
  </si>
  <si>
    <t>Svi aluminijski dijelovi moraju biti premazani temeljnom bojom i višeslojnim premazom boji antracit siva (boja i nijansa podložna promjenama u dogovoru s projektantima), i završnim premazom bezbojnim i "clear coat" lakom. Svi vidljivi dijelovi metalne konstrukcije, uključujući vijke i matice, moraju biti premazani višeslojnim zaštitnim premazom. Koristiti ekološki prihvatljive boje na bazi vode.</t>
  </si>
  <si>
    <t xml:space="preserve">Stavka obuhvaća dobavu/ izradu putokaza prema nacrtu i tehničkom opisu te njihovu ugradnju. Drvena greda 10x10 cm visine 70 cm. Na nju se pričvršćuje metalna ploča s natpisom (naziv staze, oznaka smjera kretanja, dužina staze, ilustracije) dužine 25 cm i 5 cm u drugom smjeru preko grede. Na sve metalne dijelove potrebna je aplikacija temeljne reaktivne boje i višeslojnog premaza boji antracit siva (boja i nijansa podložna promjenama u dogovoru s projektantima), te završni premaz bezbojnim i "clear coat" lakom. Na  drvene dijelove je potrebno aplicirati višeslojni zaštitni premaz protiv truljenja sa bezbojnim završnim slojem. Koristiti ekološki prihvatljive boje na bazi vode. Detaljna razrada sadržaja tema i grafički dizajn ploča nije predmetom ovog troškovnika i dogovara se naknadno. </t>
  </si>
  <si>
    <t>Stavka obuhvaća izradu nadzemnog dijela putokaza. Iskop i izrada temelja uračunata je u stavku II.</t>
  </si>
  <si>
    <t>Stavka obuhvaća dobavu/ izradu info stupića prema nacrtu i tehničkom opisu te njihovu ugradnju. Sastoji se od 1 drvenog kolca visine do 100 cm. Na gornjem kraju se nalazi prerezano deblo cca veličine radiusa 20cm, debljine 3cm s oznakom naziva biljaka ispod kojeg se nalazi prikaz lista pojedine vrste bilja. Na  drvene dijelove je potrebno aplicirati višeslojni zaštitni premaz protiv truljenja sa bezbojnim završnim slojem. Koristiti ekološki prihvatljive boje na bazi vode.</t>
  </si>
  <si>
    <t>Na  drvene dijelove je potrebno aplicirati višeslojni zaštitni premaz protiv truljenja sa bezbojnim završnim slojem, a metalna konstrukcija mora biti zaštićena protiv korozije cinčanjem ili višeslojnim premazom. Koristiti ekološki prihvatljive boje na bazi vode.</t>
  </si>
  <si>
    <t>Drvo je potrebno obraditi i ukloniti koru te aplicirati višeslojni zaštitni premaz protiv truljenja sa bezbojnim završnim slojem, srednje gusti premaz u 3 sloja. Koristiti ekološki prihvatljive boje na bazi vode.</t>
  </si>
  <si>
    <t>Multifunkcionalan klupa - stavka obuhvaća izradu sprave koja se sastoji od dvije drvene klupe za izvođenje raznovrsnih vježbi. Klupe za vježbanje se izvode od drvenih trupaca dimenzija 120x30x40 cm (DxVxŠ) položenih horizontalno na bočne stranice/trupce, koji su ujedno i noge klupe. Drvena konstrukcija klupe povezana je metalnom ankerom duljine 30cm, promjera do 1cm. Drvena konstrukcija klupe postavlja se na pocinčani anker, koji se tiplanjem učvršćuje za drveni trupac (temelj). Na gornji dio klupe vijcima se pričvršćuje metalna šipka (pocinčani čelik, ∅2 cm) sa pločom (6x6 cm) za izvođenje vježbi. Na drvo je potrebno aplicirati višeslojni zaštitni premaz protiv truljenja sa bezbojnim završnim slojem, srednje gusti premaz u 3 sloja. Metalne dijelove je potrebno zaštititi od korozije cinčanjem ili višeslojnim premazom. Koristiti ekološki prihvatljive boje na bazi vode.</t>
  </si>
  <si>
    <t>Prečke za zgibove - stavka obuhvaća izradu sprave koja se sastoji od dvije drvene grede (prečke) za izvođenje vježbe zgibova. Grede za vježbanje se izvode od drvenih greda dimenzija 15x15 cm (VxŠ) položenih vertikalno i povezanih metalnom šipkom od pocinčanog čelika promjera 4 cm. Sprave su visine 180 i 200 cm. Drvene grede s prečkama se postavljaju na betonski temelj i fiksiraju nosačima za drvene grede (dimenzija 15x16 cm i ukupne duljine 70 cm). Na drvo je potrebno aplicirati višeslojni zaštitni premaz protiv truljenja sa bezbojnim završnim slojem, srednje gusti premaz u 3 sloja. Metalne dijelove je potrebno zaštititi od korozije cinčanjem ili višeslojnim premazom. Koristiti ekološki prihvatljive boje na bazi vode.</t>
  </si>
  <si>
    <t xml:space="preserve">Stavke obuhvaćaju izbor biljaka, nabavu i dopremu biljaka na teren, biljke prema navedenoj veličini i kvaliteti, uzgojenih na vrtlarski način (školovanjem) A kvalitete,  te garanciju na posađenje biljke od jedne godine (ukoliko oštećenje nije izazvano vanjskim faktorom). </t>
  </si>
  <si>
    <t xml:space="preserve">Površina 500 m². </t>
  </si>
  <si>
    <t xml:space="preserve">Površina 353 m². </t>
  </si>
  <si>
    <t xml:space="preserve">Nabava, doprema, istovar, razastiranje te grubo i fino planiranje nezakorovljene plodne rahle pjeskovite zemlje u sloju 5 cm za površine na kojima će se dosijavati trava i saditi sadnice. Koristiti samo laku mehanizaciju, da se ne zbija nepotrebno tlo. Komplet svi materijali i radovi. Obračun po m3 dopremljene i ugrađene zemlje u sraslom stanju. (514m²x0,05). </t>
  </si>
  <si>
    <t xml:space="preserve">Stavka uključuje strojni plitki i široki iskop u materijalu 'C' kategorije za izradu staze od propusnog betona i sportsko-rekreativne zone sa spravama za igru i sport na dubinu od -25 cm od projektirane nivelete. Staza je širine od 90 do 120 cm. Uz rubove staza postavlja se metalni graničnik.  </t>
  </si>
  <si>
    <t>Obračun se vrši po  m²</t>
  </si>
  <si>
    <r>
      <rPr>
        <i/>
        <sz val="10"/>
        <color rgb="FF000000"/>
        <rFont val="Arial"/>
        <family val="2"/>
      </rPr>
      <t>Acer campestre</t>
    </r>
    <r>
      <rPr>
        <sz val="10"/>
        <color rgb="FF000000"/>
        <rFont val="Arial"/>
        <family val="2"/>
      </rPr>
      <t>, visina 4-5 m, fi min. 18cm</t>
    </r>
  </si>
  <si>
    <r>
      <rPr>
        <i/>
        <sz val="10"/>
        <color rgb="FF000000"/>
        <rFont val="Arial"/>
        <family val="2"/>
      </rPr>
      <t>Sorbus aucuparia</t>
    </r>
    <r>
      <rPr>
        <sz val="10"/>
        <color rgb="FF000000"/>
        <rFont val="Arial"/>
        <family val="2"/>
      </rPr>
      <t>, visina 3-4m, fi min.16 cm</t>
    </r>
  </si>
  <si>
    <r>
      <rPr>
        <i/>
        <sz val="10"/>
        <color rgb="FF000000"/>
        <rFont val="Arial"/>
        <family val="2"/>
      </rPr>
      <t>Carpinus betulus</t>
    </r>
    <r>
      <rPr>
        <sz val="10"/>
        <color rgb="FF000000"/>
        <rFont val="Arial"/>
        <family val="2"/>
      </rPr>
      <t>, visina 4-5m, fi min. 18 cm</t>
    </r>
  </si>
  <si>
    <r>
      <rPr>
        <i/>
        <sz val="10"/>
        <color rgb="FF000000"/>
        <rFont val="Arial"/>
        <family val="2"/>
      </rPr>
      <t>Fagus sylvatica</t>
    </r>
    <r>
      <rPr>
        <sz val="10"/>
        <color rgb="FF000000"/>
        <rFont val="Arial"/>
        <family val="2"/>
      </rPr>
      <t>, visina 4-5m, fi min. 18 cm</t>
    </r>
  </si>
  <si>
    <r>
      <rPr>
        <i/>
        <sz val="10"/>
        <rFont val="Arial"/>
        <family val="2"/>
      </rPr>
      <t>Rosa canina</t>
    </r>
    <r>
      <rPr>
        <sz val="10"/>
        <rFont val="Arial"/>
        <family val="2"/>
      </rPr>
      <t>, visina 0.5 - 0.7 m</t>
    </r>
  </si>
  <si>
    <r>
      <rPr>
        <i/>
        <sz val="10"/>
        <rFont val="Arial"/>
        <family val="2"/>
      </rPr>
      <t>Crataegus oxyacantha</t>
    </r>
    <r>
      <rPr>
        <sz val="10"/>
        <rFont val="Arial"/>
        <family val="2"/>
      </rPr>
      <t>, visina 1 m</t>
    </r>
  </si>
  <si>
    <r>
      <rPr>
        <i/>
        <sz val="10"/>
        <rFont val="Arial"/>
        <family val="2"/>
      </rPr>
      <t>Crataegus monogyna</t>
    </r>
    <r>
      <rPr>
        <sz val="10"/>
        <rFont val="Arial"/>
        <family val="2"/>
      </rPr>
      <t>, visina 1 m</t>
    </r>
  </si>
  <si>
    <r>
      <rPr>
        <i/>
        <sz val="10"/>
        <rFont val="Arial"/>
        <family val="2"/>
      </rPr>
      <t>Rubus fruticosus</t>
    </r>
    <r>
      <rPr>
        <sz val="10"/>
        <rFont val="Arial"/>
        <family val="2"/>
      </rPr>
      <t>, visina 0.5 - 0.7 m</t>
    </r>
  </si>
  <si>
    <r>
      <rPr>
        <i/>
        <sz val="10"/>
        <color rgb="FF000000"/>
        <rFont val="Arial"/>
        <family val="2"/>
      </rPr>
      <t>Taxus baccata</t>
    </r>
    <r>
      <rPr>
        <sz val="10"/>
        <color rgb="FF000000"/>
        <rFont val="Arial"/>
        <family val="2"/>
      </rPr>
      <t xml:space="preserve">, visina 0,8 -1 m </t>
    </r>
  </si>
  <si>
    <r>
      <rPr>
        <i/>
        <sz val="10"/>
        <color rgb="FF000000"/>
        <rFont val="Arial"/>
        <family val="2"/>
      </rPr>
      <t>Pinus mugo</t>
    </r>
    <r>
      <rPr>
        <sz val="10"/>
        <color rgb="FF000000"/>
        <rFont val="Arial"/>
        <family val="2"/>
      </rPr>
      <t xml:space="preserve">, visina 0,3 - 0.5 m </t>
    </r>
  </si>
  <si>
    <r>
      <rPr>
        <i/>
        <sz val="10"/>
        <color rgb="FF000000"/>
        <rFont val="Arial"/>
        <family val="2"/>
      </rPr>
      <t>Vaccinium myrtillus</t>
    </r>
    <r>
      <rPr>
        <sz val="10"/>
        <color rgb="FF000000"/>
        <rFont val="Arial"/>
        <family val="2"/>
      </rPr>
      <t xml:space="preserve">, visina 0,2 - 0.4 m </t>
    </r>
  </si>
  <si>
    <r>
      <rPr>
        <i/>
        <sz val="10"/>
        <rFont val="Arial"/>
        <family val="2"/>
      </rPr>
      <t>Sambucus nigra</t>
    </r>
    <r>
      <rPr>
        <sz val="10"/>
        <rFont val="Arial"/>
        <family val="2"/>
      </rPr>
      <t>, visina 1,5-2m</t>
    </r>
  </si>
  <si>
    <r>
      <rPr>
        <i/>
        <sz val="10"/>
        <rFont val="Arial"/>
        <family val="2"/>
      </rPr>
      <t>Corylus avellana</t>
    </r>
    <r>
      <rPr>
        <sz val="10"/>
        <rFont val="Arial"/>
        <family val="2"/>
      </rPr>
      <t>, visina 1,5-2m</t>
    </r>
  </si>
  <si>
    <t xml:space="preserve">Nabava i doprema organomineralne mješavine za prihranu dosijanog travnjaka koja sadrži sve hranjive komponente za optimalan rast i razvoj, te omogućuje izmjenu plinova u korjenovom sustavu. Preporuka: 5 lit po m² travnjaka. Komplet svi materijali i radovi po ugrađenoj litri mješavine. (362 m² x 5lit). </t>
  </si>
  <si>
    <t>Izvedba dosijavanja travnjaka: prekopavanje tla na dubinu 15-25 cm (frezanje), rasprostiranje i ugradnja obračunate humusne mješavine po m², uz dodavanje pijeska 0-2mm u sloju 2 cm, fino planiranje +/- 2cm s potrebnim nagibom za površinsku odvodnju, sjetva travnog sjemena 50 grama/m², ježenje, valjanje, jednokratno zalijevanje površine rošenjem. Stavka uključuje sve radove te nabavu  i dopremu pijeska 0-2mm. Stavka ne uključuje humusnu mješavinu niti travno sjeme. Stavka uključuje zatravljivanje površina uz planirane staze i površine na mjestima gdje je zbog radova skinut travni sloj.</t>
  </si>
  <si>
    <t>Nabava i doprema travnog sjemena 50 grama/m². Nabava i doprema travnog sjemena 50 grama/m², trave snažnog korijena i velike otpornosti.</t>
  </si>
  <si>
    <t>XPS 300 kPa tlačne čvrstoće kod 10% naprezanja</t>
  </si>
  <si>
    <t>https://environment.ec.europa.eu/topics/circular-economy/eu-ecolabel-home/product-groups-and-criteria/holiday-accommodation_en</t>
  </si>
  <si>
    <t>a sukladno uvjetima navedenim na stranici nadležnog Ministarstva:</t>
  </si>
  <si>
    <t>https://mingor.gov.hr/o-ministarstvu-1065/djelokrug/uprava-za-klimatske-aktivnosti-1879/eko-oznake/znak-zastite-okolisa-europske-unije-eu-ecolabel/1420</t>
  </si>
  <si>
    <t>te je u tom smislu potrebno prilagoditi ponudu za pojedine stavke iz ovog troškovnika.</t>
  </si>
  <si>
    <t>NAPOMENA: Cijena za svaku točku ovog troškovnika mora obuhvatiti dobavu, montažu, spajanje, te dovođenje stavke u stanje potpune funkcionalnosti.  U cijenu treba ukalkulirati sav spojni, montažni, pridržni i ostali materijal potreban za potpuno funkcioniranje pojedine stavke.  Prilikom izrada ponude treba imati u vidu najnovije važeće propise za pojedine vrste instalacije. Za sve eventualne primjedbe u pogledu izvođenja i troškovnika, odnosno davanja ponude obratiti se projektantu.  Izvođač je dužan prijenos, ugradnju i montažu opreme, kao  i svu građevinsku pomoć izvesti o svom trošku, te sve radove nuditi u jediničnim cijenama predmetnog troškovnika. Svi razdjelnici tebaju biti sastavljeni, ispitani i isporučeni sa natpisnom pločicom prema važećoj zakonskoj regulativi.</t>
  </si>
  <si>
    <r>
      <t>H07V-K   1x6 mm</t>
    </r>
    <r>
      <rPr>
        <vertAlign val="superscript"/>
        <sz val="10"/>
        <rFont val="Arial"/>
        <family val="2"/>
        <charset val="238"/>
      </rPr>
      <t>2</t>
    </r>
    <r>
      <rPr>
        <sz val="10"/>
        <rFont val="Arial"/>
        <family val="2"/>
        <charset val="238"/>
      </rPr>
      <t xml:space="preserve">   - zelenožuta</t>
    </r>
  </si>
  <si>
    <r>
      <t>H07V-K   1x16 mm</t>
    </r>
    <r>
      <rPr>
        <vertAlign val="superscript"/>
        <sz val="10"/>
        <rFont val="Arial"/>
        <family val="2"/>
        <charset val="238"/>
      </rPr>
      <t>2</t>
    </r>
    <r>
      <rPr>
        <sz val="10"/>
        <rFont val="Arial"/>
        <family val="2"/>
        <charset val="238"/>
      </rPr>
      <t xml:space="preserve">   - zelenožuta   </t>
    </r>
  </si>
  <si>
    <t>Svjetiljka za vanjsku rasvjetu, LED izvor svjetlosti, kućište od lijevanog aluminija, pokrov od ravnog kaljenog stakla, silikonska brtva, asimetrična optika, reflektor od aluminija, efektivni svjetosni tok ili svjetlosni tok svjetiljke s uračunatim gubicima u optičkom sustavu ≥ 1488 lm, snaga sistema max 15W (LED izvor+driver), ukupna svjetlosna iskoristivost svjetiljke sa uračunatim gubicima u optičkom sustavu ≥ 99 lm/W, Ra≥80, temperatura boje svjetlosti 3000K, životni vijek LED modula L70B10 ≥ 150.000 radnih sati uz 70% održavanja inicijalnog svjetlosnog toka, zaštita od zaprljanja ≥IP66, stupanj mehaničke zaštite ≥IK06, cos φ ≥ 0,9, dimenzija 231x175x58 mm; oznaka na nacrtu-V7</t>
  </si>
  <si>
    <t>cijev, M16, polivinklorid, PVC, svijetlosiva</t>
  </si>
  <si>
    <t>cijev, M20, polivinklorid, PVC, svijetlosiva</t>
  </si>
  <si>
    <t>cijev, M25, polivinklorid, PVC, svijetlosiva</t>
  </si>
  <si>
    <t>cijev, M32, polivinklorid, PVC, svijetlosiva</t>
  </si>
  <si>
    <t>spojnica, M16, polivinklorid, PVC, svijetlosiva</t>
  </si>
  <si>
    <t>spojnica, M20, polivinklorid, PVC, svijetlosiva</t>
  </si>
  <si>
    <t>spojnica, M25, polivinklorid, PVC, svijetlosiva</t>
  </si>
  <si>
    <t>spojnica, M32, polivinklorid, PVC, svijetlosiva</t>
  </si>
  <si>
    <t>obujmica, M16, polipropilen, PP, svijetlosiva</t>
  </si>
  <si>
    <t>obujmica, M20, polipropilen, PP, svijetlosiva</t>
  </si>
  <si>
    <t>obujmica, M25, polipropilen, PP, svijetlosiva</t>
  </si>
  <si>
    <t>obujmica, M32, polipropilen, PP, svijetlosiva</t>
  </si>
  <si>
    <t xml:space="preserve">Dobava, montaža i spajanje sabirnice za izjednačenje potencijala s metalnim nožicama prema važećoj hrvatskoj regulativi kao i uzemljenja prema
Mogućnosti priključaka:
• 7 jednožičanih ili višežičanih vodiča do 25 mm² ili finožičanih vodiče do 16 mm²
• 1 okrugli vodič Rd 8-10
• 1 plosnati vodič do 30 ili okrugli vodič 8-10
• Poklopac od sivog polistirola
• Podnožje od čelika, pocinčano
• Kontaktna šina od mjedi, niklano
• Vijci i premosnik od čelika, galvanski pocinčani
• Opteretivost strujom munje 100 kA (10/350) •   </t>
  </si>
  <si>
    <t>Dobava, montaža i spajanje samostojeće robusne punionice električnih vozila sa RFID karticom za kontrolu punjenja - sukladno sa standardom A i B uz frekvenciju čitanja i pisanja od 13,56 MHz, za unutarnju i vanjsku uporabu, stupnja zaštite IP54 sukladno važećem standardu te zaštite od udaraca IK10 sukladno standardu. Punionica je opremljena s 2 utičnice za simultano punjenje 2 vozila. Utičnice su tipa 2 sa posrebrenim kontaktima (za spriječavanje pregrijavanja) i s poklopcem, snage 22,1 kW, frekvencije 50 ili 60Hz, 3P+N, napon 380/415 V AC, sustava uzemljenja TT, TN ili IT (može zahtjevati dodatni izolacijski transformator za punjenje određenih vozila). Izvedena modelom punjenja 3 koji određuje visoku razinu zaštite uz praćenje popunjenosti vozila. Stanica za punjenje komunicira sa vozilom preko kabela za punjenje. Ograničavajuća struja punjenja ovisno o najslabijom elementu sustava (vozilo, stanica za punjenje, kabel za punjenje). Dimenzije 1146 x 413 x 220 mm (VxŠxD), certificirana prema važećem hrvatskom standardu.</t>
  </si>
  <si>
    <t xml:space="preserve">• Mogućnost ugradnje dodatnih modula: mod. EXTING za aktiviranje sustava gašenje požara; FXLAN2 za umreženje i integraciju; mod. MDGSME GSM komunikator; mod. kartica s relejnim modulima 
• Ključa za pristup funkcijama 2. razine
• Sat za memoriju događaja (arhiviranje do 2000 događaja)
• Kontrolne sonde za nadzor i optimizaciju temperature unutarnjih akumulatora NTC1 i NTC2.
• Smještaj akumulatora unutar kućišta centrale  2x12V/18Ah                                                                           • Uključeno unutarnje napajanje mod. - 29VDC / 2A, potrošnja 80mA
• Dimenzije  L390 x H390 x P99mm,                                                                                                                                         • Certificirana </t>
  </si>
  <si>
    <t>Dobava i montaža vatrootpornog nazidnog ormara za smještaj vatrodojavne centrale, tipskih dimenzija 800x800x350mm, Požarne otpornosti T-60</t>
  </si>
  <si>
    <t xml:space="preserve">Dobava, isporuka i ugradnja LCD upravljačke vatrodojavne tipkovnice
• LCD displej i funkcijonalne tipke nahrvatskom jeziku
• povezivanje na bus s VD centralom
• potpuni pregled svih stanja sa centrale, te potpuno upravljanje vatrodojavnim sustavom
• mogućnost jednakog upravljanje RAZINAMA 1 i 2 (pomoću ključa na prednjem dijelu tipkovnice isto kao na vatrodojavnoj centrali)
• napajanje sa centrale ili preko vanjskog pomoćnog napajanja
• potrošnja 14 mA u mirovanju, 18 mA u alarmu, 30mA (RAZINA 2 s bijelim pozadinskim osvjetljanjem)
• Certifikat </t>
  </si>
  <si>
    <t>Dobava, isporuka i ugradnja ETHERNET modul za vatrodojavne centrale i više 
• PLUG IN modul za direktno spajanje na pločicu VDC
• Ethernet: 10 Mbit, Full Duplex, Auto MDIX
• omogućuje programiranje, nadzor i upravljanje vatrodojavnim sustavom s udaljene lokacije
• omogućuje:
• spajanje s CLOUD USLUGOM (pregled, nadzor i upravljanje sustavima protuprovale, vatrodojave i video nadzora, prikaz sustava preko grafičkih mapa, mogućnost dobivanja i video obavijesti po alarmu)
• IP DOJAVE putem SIAIP DC-09 protokola na vatrogasce
• Žuti LED indikator za LAN, ZELENI za link
• Dimenzije W 34 x D 50 x H 19 mm, 15g
• Potrošnja: ~50 mA/DC12V
• Napajanje DC12V sa centrale</t>
  </si>
  <si>
    <t>Dobava, isporuka i ugradnja GSM + IP komunikatora za sustave vatrodojave certificiran 
• plastično kućište
• spajanje preko GSM mreže: 2G, 3G i 4G
• spajanje preko izlaza: ETHERNET (preko routera ili modema) i/ili GSM-a (sa SIM karticom)
• slanje alarma preko SIA IP DC-O9 protokola ili TEX
• mogućnost slanja dojava na 6 različitih dojavnih centara sa automatskim ponovnim spajanjem
• slanje obavijesti: e-mail, VOIP pozivi, SMS, video obavijesti
• virtualni komunikator: PSTN (dobivanje signala sa postojećeg PSTN komunikatora)
• 6 slobodno programibilnih izlaza NO/NC
• 6 relejnih izlaza NO
• mogućnost upravljanja sa 6 IP ONVIF kamerama
• u kompletu memorijska kartica od 8GB (za memoriju događaja i memoriju videa)
• Napajanje 12 ili 24VDC
• Certificiran</t>
  </si>
  <si>
    <t>Dobava, isporuka i ugradnja analogno adresabilnog optičkog detektora dima sa izolatorom petlje i podnožjem. 
Niskoprofilni analogno-adresabilni optički detektora dima s izolatorom petlje
• Napredni sofisticirani algoritmi za analizu te vrlo ranu detekciju i signalizaciju požara s potpunom dijagnostikom
• Podesivi pragovi osjetljivosti javljača prilikom programiranja centrale
• Svjetleći LED indikatori za signalizaciju alarma vidljivi 360°
• Stupanj zaštite IP42
• Dimenzije Ø98mm x H 46mm
• Podnožje u kompletu
• Potrošnja 500μA (u mirovanju), 7mA (u alarmu)
• Napajanje 17-28Vdc preko petlje
•  Certifikat</t>
  </si>
  <si>
    <t xml:space="preserve">Dobava, montaža i spajanje adresabilnog ručnog javljača sa izolatorom petlje komplet sa zaštitnim poklopcem i montažnom kutijom crvene boje.
Analogno - adresabilni ručni javljača požara  ZA UNUTARNJU UGRADNJU s izolatorom
• Aktivacija alarma pritiskom na prednji centralni dio javljača s mogućnošću resetiranja i ponovne uporabe
• U kompletu ključ za resetiranje ručnog javljača
• višekratna uporaba, bez razbijanja stakla
• Stupanj zaštite IP24D (za unutarnju montažu)
• Potrošnja 500µA u mirovanju, 4,7 mA u kratkom spoju i 1,8 mA u alarmu
• Dimenzije L 90 x H90 x P60mm
 • Certifikat </t>
  </si>
  <si>
    <t>Dobava, montaža i spajanje Analogno - adresabilna sirena ugradiva u podnožje javljača sa svjetlećom signalizacijom i uključenim izolatorom petlje
• Dostupni tonovi: 4; 
• Zvučni tlak: 97 dB (@ 1m - 30V); 
• Zvučne frekvencije: 800 Hz, 1kHz, 2,7kHz, 3,2kHz sukladno odabranom tonu;
• Signalizacija: zvučna i svijetleća; 
• Stupanj zaštite: IP21C (tip A, za unutarnju ugradnju);
• Materijal: plastika (ABS, polikarbonat); 
• Dimenzije i težina: Ø 100 × H 38 mm, 144 g; 
• Radna temperatura: od -10 a +55 °C — 95% U.R.;
• Potrošnja: 0,43 - 0,55 mA (u mirovanju), 2,7 - 6,55 mA (u alarmu); 
• Napajanje: 20÷30 Vcc (iz petlje); 
• Cerificirana</t>
  </si>
  <si>
    <t>Dobava, montaža i spajanje analogno adresabilnog ulazno/izlaznog modula sa jednim relay-nim izlazom, u zaštitnom kućištu. 
Analogno adresabilni ulazno-izlazni modul s 1 ulazom/1 izlazom s ugrađenim izolatorom petlje; 
• ulaz uravnotežen/neuravnotežen  za signalizaciju alarma i kvara (otvorenja linija i  prekid linije), mogućnost spajanja 1 konvencionalnog detektora ili drugog konvencionalnog uređaja s relejnim kontaktima NO, te za upravljanje 1 uređajem kao što su to sirene, paneli sa zvučnom i optičkom signalizacijom, te dr.
• Adresiranje modula preko rotary switcha
• Stezaljke za: ulaze s kontaktima NO, vanjske signalne LEDICE, relejne izlaze i spajanje na petlju
• 1 bistabilni relejni izlaz s kontaktima C-NO-NC od 2A na 30Vdc
• Dimenzije modula  L 91,6 x H 54,7 x P 20 mm
• Smještaj modula unutar plastičnog kućišta manjih dimenzija - u kompletu
• Potrošnja 3,3mA (u mirovanja) 4,5mA (u stanju alarma)
• Napajanje 24Vdc direktno s petlje
• Certifikat</t>
  </si>
  <si>
    <t>Dobava, montaža i spajanje vanjske samonapajajuće vatrodojavne sirene s bljeskalicom u sinhronizaciji sa zvučnom signalizacijom alarma 
• Polikarbonantno kućište  crvene boje sa tamper zaštitom protiv otvaranja kućišta i skidanja sa zida
• Zvučni tlak jačine 110dB (1m)
• Dimenzije L253 x H 290 x P 85 mm
• Potrošnja 17mA (u mirovanju), 0,55A (u alarmu)
• U kompletu alkumulator 12V/1,2Ah
• Certifikat</t>
  </si>
  <si>
    <t>kabel - FTP 4x2x0.6mm2 cat. 6a</t>
  </si>
  <si>
    <t xml:space="preserve"> - Kategorija zaštite IP 55</t>
  </si>
  <si>
    <t>Bežični standardi</t>
  </si>
  <si>
    <t xml:space="preserve"> - Metalne vruće cinčane kanalice PK50 s poklopcima PK50 za montažu na krov i fasadne zidove</t>
  </si>
  <si>
    <t xml:space="preserve">Satelitska antena Al, promjera 105cm </t>
  </si>
  <si>
    <t xml:space="preserve">Satelitski konverter sa izlazima LV/LH/HV/HH </t>
  </si>
  <si>
    <t>FM zaporno sito sa regulacijom, muški/ženski</t>
  </si>
  <si>
    <t>Koaksijalni kabel 7mm/75ohma</t>
  </si>
  <si>
    <t>Dobava montaža i spajanje samostojećeg tipski testiranog niskonaponskog sklopnog bloka prema shemi "GRO", proizvod u skladu sa važećim HR standardom, nazivnog napona izolacije glavnih sabirnica do 1000 V, stupnja zaštite IP31, zaštićen sa polimer epoxy zaštitom, sa punim vratima, sastavljen od; 4 aparatna polja, uvod kabela s donje strane. Razdjelnik je s postoljem od 100 mm. Razdjelnik opremiti bravicama na vratima, nosačem za dokumentaciju, nosačima i pokrovnim pločama komponenata,stranicama i ostalim potrebnim mehaničkim priborom. Predviđene su vertikalne horizontalne sabirnce i 3P distribucijski blokovi za napajanje aparata. U razdjelnik ugraditi slijedeću opremu prema jednopolnoj shemi:</t>
  </si>
  <si>
    <t>izolacijski nosač osigurača izvedbe, tropolni 3P, za cilindrične rastalne uloške dim. 22x58 380V</t>
  </si>
  <si>
    <t>Niskonaponski kompaktni zaštitni prekidač, nazivne struje tijela prekidača 100A, nazivnog napona Ue=690V, četveropolni 4P, fiksne izvedbe, nazivne granične prekidne moći Icu=36kA kod 415V AC, elektronička zaštitna jedinica 4P4D selektivnog tipa LSI, In=400A, sa funkcijom mjerenja E ( I, U, P, S, Q, f, PF, cos (fi), E, THDu, THDi, min/max snaga potrošnje u zadanom kliznom periodu  ... )  te prijenosom mjerenih veličina Modbus komunikacijskim protokolom, sa pomoćnim kontaktom signalizacije stanja prekidača (OF) i  pomoćnim kontaktom signalizacije prorade zaštite (SDE), naponski okidač MX230V AC</t>
  </si>
  <si>
    <t>izolacijski nosač osigurača izvedbe, jednopolni 1P, za cilindrične rastalne uloške dim. 14x51 380V</t>
  </si>
  <si>
    <t>minijaturni automatski prekidač prekidne moći Icu=25kA kod 415V AC, četveropolni, 40A, C krivulje; 4P, 40 A, C krivulja, 25 Ka</t>
  </si>
  <si>
    <t>izolacijski nosač osigurača izvedbe, jednopolni 1P, za cilindrične rastalne uloške dim. 22x58 380V</t>
  </si>
  <si>
    <t xml:space="preserve">Niskonaponski kompaktni zaštitni prekidač, nazivne struje tijela prekidača 100A, nazivnog napona Ue=690V, tropolni 3P, fiksne izvedbe, nazivne granične prekidne moći Icu=36kA kod 415V AC , sa elektroničkom zaštitnom jedinicom 4P4D, In=100A, selektivnog tipa, opremljen motornim pogonom 400V AC, sa 2 pomoćna kontakta signalizacije stanja prekidača i 2 pomoćna kontakta signalizacije prorade zaštite </t>
  </si>
  <si>
    <t>Niskonaponski kompaktni zaštitni prekidač, nazivne struje tijela prekidača 100A, nazivnog napona Ue=690V, četveropolni 4P, fiksne izvedbe, nazivne granične prekidne moći Icu=36kA kod 415V AC, sa elektroničkom zaštitnom jedinicom 4P4D, In=100A, selektivnog tipa LSoI, opremljen motornim pogonom 400V AC, sa 2 pomoćna kontakta signalizacije stanja prekidača i 2 pomoćna kontakta signalizacije prorade zaštite</t>
  </si>
  <si>
    <t>kontroler za izmjenu napajanja (380/415 V AC)</t>
  </si>
  <si>
    <t>napojna jedinica (380/415 V AC)</t>
  </si>
  <si>
    <t>jedinica elektroničke blokade(48-480 V AC)</t>
  </si>
  <si>
    <t>izolacijski nosač osigurača izvedbe, tropolni 3P, za cilindrične rastalne uloške dim. 14x51 380V</t>
  </si>
  <si>
    <t>instalacijski sklopnik, tropolni 3P, nazivne struje In=25A u kategoriji AC7a, nazivnog napona 400V, vrste kontakta 3NO, upravljački napon svitka 220-240V AC 50Hz; 230/240V, tip ~/-</t>
  </si>
  <si>
    <t>minijaturni automatski prekidač, prekidne moći Icu=10kA kod 415V AC, jednopolni 1P, 10A, C krivulje</t>
  </si>
  <si>
    <t>IC svjetlosna sklopka (luksomat), područje podešavanja 2-2100lux, 1 preklopni kontakt, In=16A, Un=230VAC 50Hz, sa tipkom za testiranje vodiča na prednjoj strani, indikacija stanja preklopnog kontakta</t>
  </si>
  <si>
    <t>minijaturni automatski prekidač, prekidne moći Icu=10kA kod 415V AC, jednopolni 1P, 6A, C krivulje</t>
  </si>
  <si>
    <t>diferencijalna zaštitna sklopka, četveropolna 4P , nazivne struje 63A, osjetljivosti 30mA, tip ~/-</t>
  </si>
  <si>
    <t>minijaturni automatski prekidač, prekidne moći Icu=10kA kod 415V AC, jednopolni 1P, 16A, C krivulje</t>
  </si>
  <si>
    <t>minijaturni automatski prekidač prekidne moći Icu=10kA kod 415V AC, tropolni 3P, 16A, C krivulje</t>
  </si>
  <si>
    <t>modul s diferencijalnom zaštitom sklopkom za minijaturni automatski prekidač iC60, dvopolni 2P, nazivne struje 25A, osjetljivosti 30mA, tip ~/-</t>
  </si>
  <si>
    <t>diferencijalna zaštitna sklopka, četveropolna 4P , nazivne struje 25A, osjetljivosti 30mA, tip ~/-</t>
  </si>
  <si>
    <t>diferencijalna zaštitna sklopka, dvopolna 4P , nazivne struje 25A, osjetljivosti 30mA, tip ~/-</t>
  </si>
  <si>
    <t xml:space="preserve">Kompaktni univerzalni razdjelnik od čeličnog lima, nadgradna izvedba.
IP 66 stupnja zaštite.  Kućište izrađeno od čeličnog lima debljine 1.38mm, presavijenog i zavarenog iz jednog komada, sa zaštitnim kanalom oko vratnog otvora, stražnja ploča s upuštenom rupom za montažu zidnih nosača. Dno ormara zatvoreno uklonjivom podnom pločom. Vrata od čeličnog lima debljine 1.75m s pjenastom brtvom, s dvije zavarene vertikalne perforirane montažne šine za montažu dodatne opreme. Šarniri 130°, pričvršćeni vijkom. Moguća promjena smjera otvaranja lijevo/desno. Brava s jezičkom i „double-bit“ umetkom prema. Montažna ploča: od pocinčanog čeličnog lima debljine 2.5mm, podesiva po dubini na navojnim šipkama. Završna obrada u tri sloja nanošenjm nanokeramičkog sloja, dubinskim uranjanjem elektroforetskim(anodnim) postupkom, plastificiranje prahom elektrostatskim postupkom. Teksturirani izgled vanjskih ploha. U razdjelnik se ugrađuju prigradni elementi koji se sastoje od nosača za montažu opreme i pokrovje ploče za montažu modularne opreme. </t>
  </si>
  <si>
    <t xml:space="preserve">Minijaturni automatski prekidač sa mogućnošću prigradnje pomoćnog pribora, prekidne moći Icu=10kA kod 415V AC, tropolni, 32A, C krivulje; 
</t>
  </si>
  <si>
    <t>Diferencijalna zaštitna sklopka modularne izvedbe, sa  gumbom za testiranje, Icu=10kA kod 415V AC, sa mogućnošću prigradnje pomoćnog pribora, četveropolna 3P+N, nazivne struje 63A, osjetljivosti 30mA, tip ~/-</t>
  </si>
  <si>
    <t>Minijaturni automatski prekidač sa mogućnošću prigradnje pomoćnog pribora, prekidne moći Icu=10kA kod 415V AC, tropolni, 16A, C krivulje</t>
  </si>
  <si>
    <t>Minijaturni automatski prekidač sa mogućnošću prigradnje pomoćnog pribora, prekidne moći Icu=10kA kod 415V AC , jednopolni, 16A, C krivulje</t>
  </si>
  <si>
    <t>Dobava montaža i spajanje ugradnog modularnog niskonaponskog sklopnog bloka za sobe atestiranog u skladu sa važećim standardom, proizvod nazivne struje do 160 A, stupnja zaštite IP40, zaštićen sa polimer epoxy zaštitom u boji RAL 9001, sa neprozirnim vratima, uvod kabela s donje i gornje strane, visine 2 redova x 18M. Razdjelnik opremiti bravicama na vratima, nosačem za dokumentaciju, nosačima i pokrovnim pločama komponenata, stranicama, krovom i ostalim potrebnim mehaničkim priborom. Predviđene su vertikalne i horizontalne sabirnce za napajanje aparata. U razdjelnik ugraditi slijedeću opremu prema jednopolnoj shemi:</t>
  </si>
  <si>
    <t>izolacijski nosač osigurača izvedbe, dvopolni 2P, za cilindrične rastalne uloške dim. 14x51 380V0V</t>
  </si>
  <si>
    <t>diferencijalna zaštitna sklopka, dvopolna 2P, nazivne struje 40A, osjetljivosti 30mA, tip 2P 40A 30mA tip ~/-</t>
  </si>
  <si>
    <t>minijaturni automatski prekidač  prekidne moći Icu=10kA kod 415V AC, jednopolni 1P, 6A, B krivulje</t>
  </si>
  <si>
    <t>minijaturni automatski prekidač  prekidne moći Icu=10kA kod 415V AC , jednopolni 1P, 10A, B krivulje</t>
  </si>
  <si>
    <t>minijaturni automatski prekidač  prekidne moći Icu=10kA kod 415V AC , jednopolni 1P, 16A, B krivulje</t>
  </si>
  <si>
    <t>minijaturni automatski prekidač  prekidne moći Icu=10kA kod 415V AC, jednopolni 1P, 16A, C krivulje;</t>
  </si>
  <si>
    <t>3.8</t>
  </si>
  <si>
    <t>3.9</t>
  </si>
  <si>
    <t>3.10</t>
  </si>
  <si>
    <t>3.11</t>
  </si>
  <si>
    <t>PIR senzor pokreta. Ugrađuje su u sobni hodnik ili kupaonicu, može se instalirati u 1modul pored držača kartice, ili kao samostalni uređaj spojen izravno na sobni kontroler. Standardne boje: crna, bijela.</t>
  </si>
  <si>
    <t>3.12</t>
  </si>
  <si>
    <t>3.13</t>
  </si>
  <si>
    <t>3.14</t>
  </si>
  <si>
    <t>3.18</t>
  </si>
  <si>
    <t>Go1 Dobava, ugradnja i spajanje grijaćeg kabela  1,335 Ω/m, duljine 44,3 m, s "hladnim krajem" duljine 2 m, opremljenog za ugradnju u horizontalni oluk i vertikalne odvode (894 W / 230 V ) + 1 T-spoj</t>
  </si>
  <si>
    <t>Mjerenje i izdavanje certifikata o izvršenom mjerenju kvalitete instaliranih S/FTP veza
- sukladnost izmjerenih vrijednosti sa vrijednostima prema važećoj regulativi</t>
  </si>
  <si>
    <t>Mjerenja i izdavanje certifikata o izvršenom mjerenju kvalitete instaliranih Multimodnih svjetlovodnih veza
 - sukladnost izmjerenih vrijednosti sa vrijednostima prema važećoj regulativi za svjetlovodni "Link", OS2</t>
  </si>
  <si>
    <r>
      <t>Isporuka i ugradba akumulatorskih baterija za vatrodojavnu centralu</t>
    </r>
    <r>
      <rPr>
        <b/>
        <sz val="10"/>
        <rFont val="Arial"/>
        <family val="2"/>
        <charset val="238"/>
      </rPr>
      <t xml:space="preserve"> 12V, 18Ah</t>
    </r>
  </si>
  <si>
    <r>
      <t xml:space="preserve">Dobava, montaža i spajanje centrale za odimljavanje oznake ODT, </t>
    </r>
    <r>
      <rPr>
        <sz val="10"/>
        <rFont val="Arial"/>
        <family val="2"/>
        <charset val="238"/>
      </rPr>
      <t>VdS, 240W, interni kapacitet 7Ah, BUS komunikacija, mogučnost grupiranja motora u 1 grupu, napajanje centrale 230V, izlaz za komponente 24V, osigurana autonomija 72h. U skladu sa važećom regulativom
Mogučnost podešavanja funkcija.
Osigurati beznaponski kontakt centralnog požarnog sustava za automatsku aktivaciju
Dimenzije: 300x400x200mm</t>
    </r>
  </si>
  <si>
    <r>
      <t xml:space="preserve">Dobava, ugradnja i spajanje </t>
    </r>
    <r>
      <rPr>
        <sz val="10"/>
        <rFont val="Arial"/>
        <family val="2"/>
        <charset val="238"/>
      </rPr>
      <t>elektromotora s polugom za otvaranje jednog krila vrata, 24V DC, 1.4 A, EV1. Navedeni elektromotor postiže otvaranje od 90°</t>
    </r>
  </si>
  <si>
    <r>
      <t>Dobava i ugradnja kompaktnog elektroagregatskog postrojenja s mikroprocesorskim upravljanjem , namjenjeno za automatsko rezervno ili osnovno napajanje potrošača. Ugrađeno u zatvoreno kučiše s nivoom buke smanjenim na</t>
    </r>
    <r>
      <rPr>
        <b/>
        <sz val="10"/>
        <rFont val="Arial"/>
        <family val="2"/>
        <charset val="238"/>
      </rPr>
      <t xml:space="preserve"> 70 dB ±3dB na 7m</t>
    </r>
    <r>
      <rPr>
        <sz val="10"/>
        <rFont val="Arial"/>
        <family val="2"/>
        <charset val="238"/>
      </rPr>
      <t>. Pogonjeno pomoću diesel motora</t>
    </r>
    <r>
      <rPr>
        <b/>
        <sz val="10"/>
        <rFont val="Arial"/>
        <family val="2"/>
        <charset val="238"/>
      </rPr>
      <t>,</t>
    </r>
    <r>
      <rPr>
        <sz val="10"/>
        <rFont val="Arial"/>
        <family val="2"/>
        <charset val="238"/>
      </rPr>
      <t xml:space="preserve">  koji je prirubno povezan sa sinkronim generatorom. Motor i generator su preko gumenih amortizera pričvršćeni na čelično postolje na koje je direktno pričvršćen i komandni ormar, spremnik goriva te akumulatorske baterije.</t>
    </r>
  </si>
  <si>
    <r>
      <t>Izlazna snaga definirana je prema važećoj HR regulativi, pogonska grupa G2, s AVR regulacijom napona, stacionarni teret izohrono, kod 3x400/230 V, cos=0,8, 50 Hz. 1500 1/min, trajna snaga</t>
    </r>
    <r>
      <rPr>
        <b/>
        <sz val="10"/>
        <rFont val="Arial"/>
        <family val="2"/>
        <charset val="238"/>
      </rPr>
      <t xml:space="preserve"> 65kVA/52kW</t>
    </r>
    <r>
      <rPr>
        <sz val="10"/>
        <rFont val="Arial"/>
        <family val="2"/>
        <charset val="238"/>
      </rPr>
      <t>, snaga preopterećenja 70kVA/56kW.</t>
    </r>
  </si>
  <si>
    <r>
      <t xml:space="preserve">Predgrijavanje motora preko zagrijavanja rashladne tekućine putem termostatski reguliranog grijača 230 V, za preuzimanje udarnog opterećenja odmah po startu. </t>
    </r>
    <r>
      <rPr>
        <b/>
        <sz val="10"/>
        <rFont val="Arial"/>
        <family val="2"/>
        <charset val="238"/>
      </rPr>
      <t>Spremnik goriva zapremine 139 l smješten u podnožju agregata.</t>
    </r>
  </si>
  <si>
    <r>
      <t xml:space="preserve">Probno testiranje rada agregata. U spremniku mora ostati 75% goriva nakon probnog rada. </t>
    </r>
    <r>
      <rPr>
        <b/>
        <sz val="10"/>
        <rFont val="Arial"/>
        <family val="2"/>
        <charset val="238"/>
      </rPr>
      <t>Gorivo osigurava Investitor</t>
    </r>
    <r>
      <rPr>
        <sz val="10"/>
        <rFont val="Arial"/>
        <family val="2"/>
        <charset val="238"/>
      </rPr>
      <t>.</t>
    </r>
  </si>
  <si>
    <r>
      <rPr>
        <b/>
        <sz val="10"/>
        <rFont val="Arial"/>
        <family val="2"/>
        <charset val="238"/>
      </rPr>
      <t>Napomena:</t>
    </r>
    <r>
      <rPr>
        <sz val="10"/>
        <rFont val="Arial"/>
        <family val="2"/>
        <charset val="238"/>
      </rPr>
      <t xml:space="preserve"> prije narudžbe agregata, potrebno je provjeriti i uskladiti spajanje kabela na stezaljke uređaja za komutaciju i agregata.</t>
    </r>
  </si>
  <si>
    <t xml:space="preserve">REKAPITULACIJA E.2 </t>
  </si>
  <si>
    <t>REKAPITULACIJA E.1</t>
  </si>
  <si>
    <r>
      <t xml:space="preserve">Nabava, doprema i ugradnja PeX cijevi. Predviđena je montaža dvocijevnog sustava 45/40 °C iz Pex-a bez centralnih etažnih razdjelnika krugova grijanja. Sve dionice dvocijevnog sustava </t>
    </r>
    <r>
      <rPr>
        <sz val="10"/>
        <rFont val="Arial"/>
        <family val="2"/>
      </rPr>
      <t>položenog u cementni estrih (prema arhitektonskom rješenju)</t>
    </r>
    <r>
      <rPr>
        <sz val="10"/>
        <color rgb="FFFF0000"/>
        <rFont val="Arial"/>
        <family val="2"/>
      </rPr>
      <t xml:space="preserve"> </t>
    </r>
    <r>
      <rPr>
        <sz val="10"/>
        <color rgb="FF000000"/>
        <rFont val="Arial"/>
        <family val="2"/>
      </rPr>
      <t>s toplinskom izolacijom cjevovoda sukladno važećim propisima. Komplet sa svim potrebnim spojnim komadima, fitinzima, navlakama, vodilicama itd. Međusobno spajanje cijevi i adekvatnih fitinga tehnikom spajanja tzv. “pomičnom navlakom”. Svi prolazi cjevovoda preko razdvojenih dilatacija (fuga) zgrade moraju se položiti u zaštitnu cijev. Ova se zaština mjera provodi i kod prolaza cijevi kroz zid ili strop, kao i kod izlaza cijevi iz cementne podloge (npr. kod priključenja ogrjevnih tijela). Zbog značajnih toplinskih dilatacija izvođač treba osobitu pozornost posvetiti čvrstim točkama te osigurati kompenzacijske lire na potrebnim mjestima. Na oko 1.5 m ispred grijaćeg tijela potrebno je postaviti cijevnu liru, čime se amortiziraju sile zatezanja i pritiska. Izvođač se mora u svemu strogo pridržavati uputa proizvođača opreme. Građevinski radovi uz polaganje cijevnog razvoda u svemu prema važećim standardima i tehničkoj praksi postavljanja. Svi prolazi kroz stropove i zidove objekta izvode se uporabom proturnih cijevi.</t>
    </r>
  </si>
  <si>
    <t>jedinična cijena EUR (€)</t>
  </si>
  <si>
    <t>Žičani daljinski kontroler sa sučeljem i prikazom u boji (opcija).</t>
  </si>
  <si>
    <t>Nabava, doprema i ugradnja spremnik potrošne tople vode od nehrđajučeg čelika važeće zakonske regulative, za montažu na pod.</t>
  </si>
  <si>
    <t>Nabava, doprema i ugradnja čeličnih bešavnih cijevi prema važećoj zakonskoj regulativi, komplet s potrebnim spojnim i fazonskim komadima, prirubnicama, protuprirubnicama odgovarajućih dimenzija i kvalitete. Cijevi je potrebno očistiti od grubih i finih nečistoća, zaštititi premazima temeljne boje otporne na povišenu temperaturu te toplinski izolirati.</t>
  </si>
  <si>
    <t>NAPOMENA:
Količine cijevi su navedene paušalno. Obračun prema stvarnom utrošku materijala uz odobrenje nadzornog inženjera</t>
  </si>
  <si>
    <t>Nabava, doprema i ugradnja zapornog ventila za sanitarnu vodu. Obostrano s provrtima, 1 navojni čep montiran, od mjedi otporne na otcinčavanje, žuta izvedba. Maks. pogonska temp. 90 °C, maks. pogonski tlak 10 bara, maks. razlika tlaka na zatvorenom sjedalu ventila 10 bara.</t>
  </si>
  <si>
    <t>Nabava, doprema i ugradnja nepovratnog ventila za pitku vodu.
Mjed otporna na otcinčavanje, žuta izvedba
- 2 otvora 1/4 i jedan navojni čep
- obostrano navojni kolčak prema 
- moguće pražnjenje, armatura za pražnjenje naručuje se posebno
- neuspinjuće vreteno ventila, brtvljenje vretena pomoću elastičnog dvostrukog “O” prstena, gornji dio brtvljen pomoću “O” prstena na kućištu
- brtveni je materijal od zdravstveno ispravnih materijala
- klasa protoka VB, grupa armatura I prema važećoj zakonskoj regulativi</t>
  </si>
  <si>
    <r>
      <t>sigurnosni ventil za sustav grijanja 10 kW, p</t>
    </r>
    <r>
      <rPr>
        <vertAlign val="subscript"/>
        <sz val="10"/>
        <rFont val="Arial"/>
        <family val="2"/>
      </rPr>
      <t>max</t>
    </r>
    <r>
      <rPr>
        <sz val="10"/>
        <rFont val="Arial"/>
        <family val="2"/>
      </rPr>
      <t>=3.0 bar................</t>
    </r>
  </si>
  <si>
    <t>Materijal: hladno valjani čelični lim po važećoj zakonskoj regulativi, stabiliziran, profiliran, s korakom 40 mm, priključci: 4 x G 1/2'', probni tlak: 13 bar, Max. radni tlak: 10 bar. Toplinski učin: po važećoj zakonskoj regulativi ispitano i registrirano. Navedeni toplinski učinci odnose se na temperaturu vode 45/40 i sobnu temperaturu prema proračunu. Komplet sa: spojnica, brtva, ključ.
Standardna boja je bijela, RAL 9016.
Radijatori se mogu izravno uključiti u toplovodne sustave centralnog grijanja do 7 bar. 
Ogrijevni je medij u radijatorima umekšana ili demineralizirana voda. S obzirom na korozijsku stabilnost,  primjena medija ovisi samo o vrelovodnim tokovima i izmjenjivačima topline.
Primjena za indirektni sustav distribucije topline, kvaliteta vrele vode u mreži treba odgovarati kvaliteti vode propisanoj važećim normama. pH vrijednost demineralizirane ili umekšane vode treba održavati u granicama 7-9,5, a dopušten je normalan sadržaj hidrazina i sredstava za alkaliziranje prema zahtjevima za kvalitetom napojne vode vrelovodnih kotlova ili recirkulacijske tople vode.</t>
  </si>
  <si>
    <t xml:space="preserve">nanesena na površinu radijatora. Standardna boja je bijela, važećoj zakonskoj regulativi. </t>
  </si>
  <si>
    <t xml:space="preserve"> - Temeljna boja prema važećoj zakonskoj regulativi dio 1 pečena na 190 °C</t>
  </si>
  <si>
    <t xml:space="preserve"> - Završna boja prema važećoj zakonskoj regulativi dio 2 u RAL 9016 ili jednakovrijedan. Završna boja elektrostatski</t>
  </si>
  <si>
    <t>Ø 80 mm</t>
  </si>
  <si>
    <r>
      <t xml:space="preserve">VITEZ PROJEKT d.o.o.
</t>
    </r>
    <r>
      <rPr>
        <sz val="11"/>
        <rFont val="Arial"/>
        <family val="2"/>
      </rPr>
      <t>Stonska 4, Osijek</t>
    </r>
  </si>
  <si>
    <r>
      <t xml:space="preserve">VITEZ PROJEKT d.o.o.
</t>
    </r>
    <r>
      <rPr>
        <sz val="10"/>
        <rFont val="Arial"/>
        <family val="2"/>
      </rPr>
      <t>Stonska 4, Osijek</t>
    </r>
  </si>
  <si>
    <r>
      <t>m</t>
    </r>
    <r>
      <rPr>
        <vertAlign val="superscript"/>
        <sz val="10"/>
        <rFont val="Arial"/>
        <family val="2"/>
      </rPr>
      <t>3</t>
    </r>
  </si>
  <si>
    <r>
      <t>m</t>
    </r>
    <r>
      <rPr>
        <vertAlign val="superscript"/>
        <sz val="10"/>
        <rFont val="Arial"/>
        <family val="2"/>
      </rPr>
      <t>2</t>
    </r>
  </si>
  <si>
    <r>
      <t>Obračun po m</t>
    </r>
    <r>
      <rPr>
        <vertAlign val="superscript"/>
        <sz val="10"/>
        <rFont val="Arial"/>
        <family val="2"/>
      </rPr>
      <t>2</t>
    </r>
    <r>
      <rPr>
        <sz val="10"/>
        <rFont val="Arial"/>
        <family val="2"/>
      </rPr>
      <t xml:space="preserve"> uređene površine.</t>
    </r>
  </si>
  <si>
    <r>
      <t>m</t>
    </r>
    <r>
      <rPr>
        <vertAlign val="superscript"/>
        <sz val="10"/>
        <rFont val="Arial"/>
        <family val="2"/>
      </rPr>
      <t>1</t>
    </r>
  </si>
  <si>
    <r>
      <t xml:space="preserve">PRIVREMENA REGULACIJA PROMETA </t>
    </r>
    <r>
      <rPr>
        <sz val="10"/>
        <rFont val="Arial"/>
        <family val="2"/>
      </rPr>
      <t>(za vrijeme izvođenja radova)</t>
    </r>
  </si>
  <si>
    <t>Izrada vodonepropusnog vodomjernog okna i hidrostanice, dimenzija prema nacrtima iz projekta cca (250x510x340 cm), od betona klase C 30/37, XC2, VDP2, debljine stijenke 20 cm, gornja i donja ploča 25 cm, podložni beton klase C 12/15, debljine 5 cm. Stavkom obuhvaćen rad i materijal:</t>
  </si>
  <si>
    <t xml:space="preserve">Dobava, prijenos i montaža tvrdih temperiranih polietilenskih (PE-HD) odvodnih cijevi izrađenih, s trajno vodotijesnim spajanjem sučeonim varenjem ili elektrovarnim spojnicama, za  vertikale i horizontalni razvod te priključke sanitarnih predmeta. Stavka  uključuje originalne fazonske komade i potreban pričvrsni pribor, te potrebnu toplinsku izolaciju.
</t>
  </si>
  <si>
    <t>Obračun po m¹ izvedene instalacije.</t>
  </si>
  <si>
    <t>Dobava i montaža troslojnih aluminijsko-plastičnih cijevi, sa spajanjem ˝press˝ spojnicama iz PVDF-a ili bronce,  za etažni razvod sanitarne hladne i tople vode (radni tlak do 10 bar i temperatura do 70°C). Stavka obuhvaća sve potrebne spojnice, redukcije, T-komade i potrebni pričvrsni i zaštitno-izolacijski materijal. Cijevi sa izolacijom</t>
  </si>
  <si>
    <t>Dobava i montaža troslojnih aluminijsko-plastičnih cijevi , sa spajanjem ˝press˝ spojnicama iz PVDF-a ili bronce,  za etažni razvod sanitarne hladne i tople vode (radni tlak do 10 bar i temperatura do 70°C). Stavka obuhvaća sve potrebne spojnice, redukcije, T-komade i potrebni pričvrsni i zaštitno-izolacijski materijal. Cijevi sa izolacijom</t>
  </si>
  <si>
    <t xml:space="preserve"> - CO2  5 JG (89B)</t>
  </si>
  <si>
    <r>
      <t xml:space="preserve">Iskop za objekte vodoopskrbe i odvodnje </t>
    </r>
    <r>
      <rPr>
        <sz val="10"/>
        <rFont val="Arial"/>
        <family val="2"/>
      </rPr>
      <t>(spremnici, pročistač, sabirna)</t>
    </r>
  </si>
  <si>
    <r>
      <rPr>
        <b/>
        <sz val="10"/>
        <rFont val="Arial"/>
        <family val="2"/>
      </rPr>
      <t>Betoniranje spremnika pitke vode</t>
    </r>
    <r>
      <rPr>
        <sz val="10"/>
        <rFont val="Arial"/>
        <family val="2"/>
      </rPr>
      <t xml:space="preserve"> </t>
    </r>
  </si>
  <si>
    <r>
      <t xml:space="preserve">Zvučno poboljšane cijevi za razvod sanitarno-fekalne odvodnje </t>
    </r>
    <r>
      <rPr>
        <sz val="10"/>
        <rFont val="Arial"/>
        <family val="2"/>
      </rPr>
      <t>(unutar zgrade)</t>
    </r>
  </si>
  <si>
    <r>
      <t xml:space="preserve">Dobava, prijenos i montaža zvučno optimiranih troslojnih polipropilenskih (PP-MD) odvodnih cijevi  SN4 (S16), za vertikalne i horizontalne razvode te priključke sanitarnih predmeta u podu i/ili zidu, s natičnim spajanjem, za </t>
    </r>
    <r>
      <rPr>
        <b/>
        <sz val="10"/>
        <rFont val="Arial"/>
        <family val="2"/>
      </rPr>
      <t>zvučno poboljšani sistem</t>
    </r>
    <r>
      <rPr>
        <sz val="10"/>
        <rFont val="Arial"/>
        <family val="2"/>
      </rPr>
      <t xml:space="preserve"> odvodnje. Stavka uključuje i fazonske komade te potreban pričvrsni pribor i originalne obujmice s gumenim uloškom. </t>
    </r>
  </si>
  <si>
    <r>
      <t>Nabava, doprema i ugradnja tipskog PP (poliprpilenskog) revizijskog okna sa ugrađenim penjalicama</t>
    </r>
    <r>
      <rPr>
        <b/>
        <sz val="10"/>
        <rFont val="Arial"/>
        <family val="2"/>
      </rPr>
      <t xml:space="preserve"> </t>
    </r>
    <r>
      <rPr>
        <sz val="10"/>
        <rFont val="Arial"/>
        <family val="2"/>
      </rPr>
      <t>(baza s kinetom i cijevnim priključcima, cijevni nastavak, betonski rasteretni prsten, poklopac od lijevanog željeza, brtve ...), prosječne dubine 1,20 m. U cijenu uračunati  i sve potrebne fazonske komade i potreban materijal za učvršćenje i slično. Obračun za komplet ugrađeno okno sa svim spojnim materijalom.</t>
    </r>
    <r>
      <rPr>
        <b/>
        <sz val="10"/>
        <rFont val="Arial"/>
        <family val="2"/>
      </rPr>
      <t xml:space="preserve">
</t>
    </r>
  </si>
  <si>
    <r>
      <t>Obračun po m</t>
    </r>
    <r>
      <rPr>
        <vertAlign val="superscript"/>
        <sz val="10"/>
        <rFont val="Arial"/>
        <family val="2"/>
      </rPr>
      <t>1</t>
    </r>
    <r>
      <rPr>
        <sz val="10"/>
        <rFont val="Arial"/>
        <family val="2"/>
      </rPr>
      <t xml:space="preserve"> neizolirane cijevi sa izolacijom</t>
    </r>
  </si>
  <si>
    <r>
      <t>Obračun po m</t>
    </r>
    <r>
      <rPr>
        <vertAlign val="superscript"/>
        <sz val="10"/>
        <rFont val="Arial"/>
        <family val="2"/>
      </rPr>
      <t>1</t>
    </r>
    <r>
      <rPr>
        <sz val="10"/>
        <rFont val="Arial"/>
        <family val="2"/>
      </rPr>
      <t xml:space="preserve"> neizolirane cijevi</t>
    </r>
  </si>
  <si>
    <r>
      <t xml:space="preserve">d  </t>
    </r>
    <r>
      <rPr>
        <b/>
        <sz val="10"/>
        <rFont val="Arial"/>
        <family val="2"/>
      </rPr>
      <t xml:space="preserve">32 </t>
    </r>
    <r>
      <rPr>
        <sz val="10"/>
        <rFont val="Arial"/>
        <family val="2"/>
      </rPr>
      <t xml:space="preserve">x 3,00 mm (DN/OD 25) </t>
    </r>
  </si>
  <si>
    <r>
      <t>Obračun po m</t>
    </r>
    <r>
      <rPr>
        <vertAlign val="superscript"/>
        <sz val="10"/>
        <rFont val="Arial"/>
        <family val="2"/>
      </rPr>
      <t>1</t>
    </r>
    <r>
      <rPr>
        <sz val="10"/>
        <rFont val="Arial"/>
        <family val="2"/>
      </rPr>
      <t xml:space="preserve"> ispitanog cjevovoda</t>
    </r>
  </si>
  <si>
    <r>
      <t>Obračun po m</t>
    </r>
    <r>
      <rPr>
        <vertAlign val="superscript"/>
        <sz val="10"/>
        <rFont val="Arial"/>
        <family val="2"/>
      </rPr>
      <t>1</t>
    </r>
    <r>
      <rPr>
        <sz val="10"/>
        <rFont val="Arial"/>
        <family val="2"/>
      </rPr>
      <t xml:space="preserve"> dezinficiranog cjevovoda</t>
    </r>
  </si>
  <si>
    <r>
      <rPr>
        <u/>
        <sz val="10"/>
        <rFont val="Arial"/>
        <family val="2"/>
      </rPr>
      <t>Napomena</t>
    </r>
    <r>
      <rPr>
        <sz val="10"/>
        <rFont val="Arial"/>
        <family val="2"/>
      </rPr>
      <t xml:space="preserve">: Tip i boju sanitarija i opreme izvođač radova treba nuditi u dogovoru s investitorom ili arhitektom i tek onda pristupiti ugovaranju i ukupnoj narudžbi i ugradnji istog. </t>
    </r>
    <r>
      <rPr>
        <b/>
        <sz val="10"/>
        <rFont val="Times New Roman"/>
        <family val="1"/>
        <charset val="238"/>
      </rPr>
      <t/>
    </r>
  </si>
  <si>
    <t>ZELENA INFRASTRUKTURA d.o.o., Zagreb</t>
  </si>
  <si>
    <t>Sklop koševa za reciklažu se odnosi na 4 međusobno spojena koša. Stavka obuhvaća dobavu/izradu i ugradnju koševa za otpatke od drvenih greda 10x10 cm pričvršćenih za metalnu potkonstrukciju, okvirnih dimenzija 30 x 30 x 95 cm, uključujući i izradu betonskog temelja. Potkonstrukciju koša potrebno je izraditi od čeličnih i aluminijskih profila. Aluminijski profil je 40x85mm s minimalno 3 pregrade za pojačanje i nosivost, koje čine najmanje 4 komore. Konstrukcija se temelji u betonsku podlogu tiplanjem. Vanjske dimenzije svakog koša 50x50x100 cm. Drveni poklopac potrebno je izraditi od drvenih profila na čeličnoj potkonstrukciji sa šarkama i drvenim rukohvatom.  Unutar koša postavlja se limeni uložak od pocinčanog lima s otvorima za prodor vode. Poželjno je da betonski temelj bude upušten 10 cm u odnosu na razinu tla. Metalna ploča na frontalnom dijelu s natpisom odgovarajućeg tipa otpada izrađuje se u boji primjerenoj za tip otpada, prema dogovoru investitora i projektanata.</t>
  </si>
  <si>
    <r>
      <t>STOL.ST. 17 -</t>
    </r>
    <r>
      <rPr>
        <sz val="10"/>
        <rFont val="Microsoft Sans Serif"/>
        <family val="2"/>
      </rPr>
      <t xml:space="preserve"> DESNA</t>
    </r>
  </si>
  <si>
    <r>
      <t>PP VRATA I FIKSNE STIJENE, EI</t>
    </r>
    <r>
      <rPr>
        <b/>
        <sz val="9"/>
        <rFont val="Arial"/>
        <family val="2"/>
      </rPr>
      <t>2</t>
    </r>
    <r>
      <rPr>
        <b/>
        <sz val="10"/>
        <rFont val="Arial"/>
        <family val="2"/>
      </rPr>
      <t xml:space="preserve"> 30-C</t>
    </r>
  </si>
  <si>
    <r>
      <t xml:space="preserve">IZRADA, DOBAVA I UGRADNJA </t>
    </r>
    <r>
      <rPr>
        <b/>
        <sz val="10"/>
        <rFont val="Microsoft Sans Serif"/>
        <family val="2"/>
      </rPr>
      <t>UNUTRAŠNJIH JEDNOKRILNIH DRVENIH ZAOKRETNIH VRATA</t>
    </r>
    <r>
      <rPr>
        <sz val="10"/>
        <rFont val="Microsoft Sans Serif"/>
        <family val="2"/>
      </rPr>
      <t xml:space="preserve"> GLATKOG KRILA MODULARNIH MJERA 80/210. ZAVRŠNA OBRADA LIČENJEM POLIURETANSKOM BOJOM + PRIPREMNE RADNJE, U TONU PO IZBORU PROJEKTANTA.
OKOV: PETLJE ODGOVARAJUĆE NOSIVOSTI, KVAKE, ŠTITNICI,  BRAVA. TIP OKOVA PO IZBORU PROJEKTANTA.
SVE MJERE POTREBNO JE PROVJERITI U NARAVI!
RADIONIČKE NACRTE PRIJE IZVEDBE TREBA PREGLEDATI I OVJERITI PROJEKTANT!
</t>
    </r>
  </si>
  <si>
    <r>
      <t xml:space="preserve">IZRADA, DOBAVA I UGRADNJA </t>
    </r>
    <r>
      <rPr>
        <b/>
        <sz val="10"/>
        <rFont val="Microsoft Sans Serif"/>
        <family val="2"/>
      </rPr>
      <t>UNUTRAŠNJIH JEDNOKRILNIH DRVENIH ZAOKRETNIH VRATA</t>
    </r>
    <r>
      <rPr>
        <sz val="10"/>
        <rFont val="Microsoft Sans Serif"/>
        <family val="2"/>
      </rPr>
      <t xml:space="preserve"> GLATKOG KRILA MODULARNIH MJERA 70/210. ZAVRŠNA OBRADA LIČENJEM POLIURETANSKOM BOJOM + PRIPREMNE RADNJE, U TONU PO IZBORU PROJEKTANTA.
</t>
    </r>
    <r>
      <rPr>
        <b/>
        <sz val="10"/>
        <rFont val="Microsoft Sans Serif"/>
        <family val="2"/>
      </rPr>
      <t>VRATA U POTKROVLJU U KLASI EI230-C</t>
    </r>
    <r>
      <rPr>
        <sz val="10"/>
        <rFont val="Microsoft Sans Serif"/>
        <family val="2"/>
      </rPr>
      <t xml:space="preserve">, SVE U SKLADU S VAŽEĆIM CERTIFIKATOM O STALNOSTI SVOJSTAVA GRAĐ. PROIZVODA.
OKOV: PETLJE ODGOVARAJUĆE NOSIVOSTI, KVAKE, ŠTITNICI, CILINDAR BRAVA. TIP OKOVA PO IZBORU PROJEKTANTA.
SVE MJERE POTREBNO JE PROVJERITI U NARAVI!
RADIONIČKE NACRTE PRIJE IZVEDBE TREBA PREGLEDATI I OVJERITI PROJEKTANT!
</t>
    </r>
  </si>
  <si>
    <r>
      <t xml:space="preserve">IZRADA, DOBAVA I UGRADNJA </t>
    </r>
    <r>
      <rPr>
        <b/>
        <sz val="10"/>
        <rFont val="Microsoft Sans Serif"/>
        <family val="2"/>
      </rPr>
      <t>UNUTRAŠNJIH JEDNOKRILNIH DRVENIH ZAOKRETNIH VRATA</t>
    </r>
    <r>
      <rPr>
        <sz val="10"/>
        <rFont val="Microsoft Sans Serif"/>
        <family val="2"/>
      </rPr>
      <t xml:space="preserve">  GLATKOG KRILA MODULARNIH MJERA 65/210.  ZAVRŠNA OBRADA LIČENJEM POLIURETANSKOM BOJOM + PRIPREMNE RADNJE, U TONU PO IZBORU PROJEKTANTA. OKOV: PETLJE ODGOVARAJUĆE NOSIVOSTI, KVAKE, ŠTITNICI, CILINDAR BRAVA. TIP OKOVA PO IZBORU PROJEKTANTA.
SVE MJERE POTREBNO JE PROVJERITI U NARAVI!
RADIONIČKE NACRTE PRIJE IZVEDBE TREBA PREGLEDATI I OVJERITI PROJEKTANT!
</t>
    </r>
  </si>
  <si>
    <r>
      <t xml:space="preserve">IZRADA, DOBAVA I UGRADNJA </t>
    </r>
    <r>
      <rPr>
        <b/>
        <sz val="10"/>
        <rFont val="Microsoft Sans Serif"/>
        <family val="2"/>
      </rPr>
      <t xml:space="preserve">UNUTARNJIH JEDNOKRILNIH ZAOKRETNIH VRATA </t>
    </r>
    <r>
      <rPr>
        <sz val="10"/>
        <rFont val="Microsoft Sans Serif"/>
        <family val="2"/>
      </rPr>
      <t xml:space="preserve">PROIZVODNE MJERE 90/220 CM (VRATA PREMA TEHNIČKIM PROSTORIMA U PRIZEMLJU). DOPROZORNIK I OKVIR KRILA OD HRASTOVINE I KLASE - GREDICE 8/8 CM. KRILO IZVEDENO ROŠTILJNOM DRVENOM HRASTOVOM KONSTRUKCIJOM DEBLJINE 8 CM   OBLOGA KRILA SE IZVODI OD OPLEMENJENIH DRVENIH PLOČA U BOJI PRIRODNOG HRASTA. ZAVRŠNA OBRADA DRVETA, LAZURNI PREMAZ + PRIPREMNE RADNJE U TONU PO IZBORU PROJEKTANTA U DOGOVORU SA NADLEŽNIM KONZERVATOROM. OKOV: PETLJE  ODGOVARAJUĆE NOSIVOSTI.  PLUOLIVA, ŠTITNICI, BRAVA. 
SVE MJERE POTREBNO JE PROVJERITI U NARAVI!
RADIONIČKE NACRTE PRIJE IZVEDBE TREBA PREGLEDATI I OVJERITI PROJEKTANT!
</t>
    </r>
  </si>
  <si>
    <r>
      <t xml:space="preserve">DOBAVA MATERIJALA, IZRADA, DOBAVA I UGRADNJA </t>
    </r>
    <r>
      <rPr>
        <b/>
        <sz val="10"/>
        <rFont val="Microsoft Sans Serif"/>
        <family val="2"/>
      </rPr>
      <t xml:space="preserve">UNUTARNJE DRVENE OSTAKLJENE PETERODIJELNE STOLARSKE STIJENE DIMENZIJA 340/295 CM (VRATA PREMA STUBIŠTU). </t>
    </r>
    <r>
      <rPr>
        <sz val="10"/>
        <rFont val="Microsoft Sans Serif"/>
        <family val="2"/>
      </rPr>
      <t xml:space="preserve">STIJENA SE SASTOJI OD TRI DIJELA VISINE 240 CM (DVA BOČNA FIKSNA OSTAKLJENA DIJELA I SREDIŠNJA JEDNOKRILNA OSTAKLJENA ZAOKRETNA VRATA </t>
    </r>
    <r>
      <rPr>
        <b/>
        <sz val="10"/>
        <rFont val="Microsoft Sans Serif"/>
        <family val="2"/>
      </rPr>
      <t>SA DIGITALNIM MODULOM ZA OTVARANJE</t>
    </r>
    <r>
      <rPr>
        <sz val="10"/>
        <rFont val="Microsoft Sans Serif"/>
        <family val="2"/>
      </rPr>
      <t>),  IZNAD KOJIH JE NADSVJETLO IZ DVA FIKSNA DIJELA VISINE 55 CM.</t>
    </r>
    <r>
      <rPr>
        <b/>
        <sz val="10"/>
        <rFont val="Microsoft Sans Serif"/>
        <family val="2"/>
      </rPr>
      <t xml:space="preserve"> </t>
    </r>
    <r>
      <rPr>
        <sz val="10"/>
        <rFont val="Microsoft Sans Serif"/>
        <family val="2"/>
      </rPr>
      <t>VRATNO KRILO JE DVODJELNO S HORIZONTALNOM PREČKOM. ZAVRŠNA OBRADA POLIURETANSKI BEZBOJNI NALIČ. SVE OD HRASTOVOG DRVETA 1 KLASE. OSTAKLJENJE OD SIGURNOSNOG STAKLA.
OKOV: KOMPLET OKOVA ODGOVARAJUĆE NOSIVOSTI ZA DVOKRILNA ZAOKRETNA VRATA  + ŠTITNICI  + ELEKTRONSKA BRAVA + KVAKA. TIP OKOVA PO IZBORU PROJEKTANTA.
UKLJUČIVO POTREBAN POSEBANI OKOV ZA AUTOMATSKO OTVARANJE (ZA ODIMLJAVANJE U SLUČAJU POŽARA, PREKO SUSTAVA VATRODOJAVE). 
SVE MJERE POTREBNO JE PROVJERITI U NARAVI!
RADIONIČKE NACRTE PRIJE IZVEDBE TREBA PREGLEDATI I OVJERITI PROJEKTANT!</t>
    </r>
  </si>
  <si>
    <r>
      <t xml:space="preserve">DOBAVA MATERIJALA, IZRADA, DOBAVA I UGRADNJA </t>
    </r>
    <r>
      <rPr>
        <b/>
        <sz val="10"/>
        <rFont val="Microsoft Sans Serif"/>
        <family val="2"/>
      </rPr>
      <t xml:space="preserve">UNUTARNJE DRVENE OSTAKLJENE PETERODIJELNE STOLARSKE STIJENE DIMENZIJA 340/295 CM. </t>
    </r>
    <r>
      <rPr>
        <sz val="10"/>
        <rFont val="Microsoft Sans Serif"/>
        <family val="2"/>
      </rPr>
      <t>STIJENA SE SASTOJI OD TRI DIJELA VISINE 240 CM (DVA BOČNA FIKSNA OSTAKLJENA DIJELA I SREDIŠNJA DVOKRILNA OSTAKLJENA ZAOKRETNA VRATA),  IZNAD KOJIH JE NADSVJETLO IZ DVA FIKSNA DIJELA VISINE 55 CM.</t>
    </r>
    <r>
      <rPr>
        <b/>
        <sz val="10"/>
        <rFont val="Microsoft Sans Serif"/>
        <family val="2"/>
      </rPr>
      <t xml:space="preserve"> </t>
    </r>
    <r>
      <rPr>
        <sz val="10"/>
        <rFont val="Microsoft Sans Serif"/>
        <family val="2"/>
      </rPr>
      <t>VRATNA KRILA SU DVODJELNA S HORIZONTALNOM PREČKOM. ZAVRŠNA OBRADA POLIURETANSKI BEZBOJNI NALIČ. SVE OD HRASTOVOG DRVETA 1 KLASE. OSTAKLJENJE OD SIGURNOSNOG STAKLA.
OKOV: KOMPLET OKOVA ODGOVARAJUĆE NOSIVOSTI ZA DVOKRILNA ZAOKRETNA VRATA  + ŠTITNICI  + KVAKA. TIP OKOVA PO IZBORU PROJEKTANTA.
SVE MJERE POTREBNO JE PROVJERITI U NARAVI!
RADIONIČKE NACRTE PRIJE IZVEDBE TREBA PREGLEDATI I OVJERITI PROJEKTANT!</t>
    </r>
  </si>
  <si>
    <r>
      <t xml:space="preserve">DOBAVA MATERIJALA, IZRADA, DOBAVA I UGRADNJA </t>
    </r>
    <r>
      <rPr>
        <b/>
        <sz val="10"/>
        <rFont val="Microsoft Sans Serif"/>
        <family val="2"/>
      </rPr>
      <t xml:space="preserve">UNUTARNJE DRVENE OSTAKLJENE DVODIJELNE STIJENE DIMENZIJA 135/220 CM (VRATA PREMA SANITARIJAMA U PRIZEMLJU). </t>
    </r>
    <r>
      <rPr>
        <sz val="10"/>
        <rFont val="Microsoft Sans Serif"/>
        <family val="2"/>
      </rPr>
      <t>STIJENA SE SASTOJI OD DVA DIJELA - FIKSNI OSTAKLJENI DIO DIMENZIJA 45×220 CM I JEDNOKRILNA OSTAKLJENA ZAOKRETNA VRATA DIMENZIJA 90×220 CM.</t>
    </r>
    <r>
      <rPr>
        <b/>
        <sz val="10"/>
        <rFont val="Microsoft Sans Serif"/>
        <family val="2"/>
      </rPr>
      <t xml:space="preserve"> </t>
    </r>
    <r>
      <rPr>
        <sz val="10"/>
        <rFont val="Microsoft Sans Serif"/>
        <family val="2"/>
      </rPr>
      <t>FIKSNI DIO I</t>
    </r>
    <r>
      <rPr>
        <b/>
        <sz val="10"/>
        <rFont val="Microsoft Sans Serif"/>
        <family val="2"/>
      </rPr>
      <t xml:space="preserve"> </t>
    </r>
    <r>
      <rPr>
        <sz val="10"/>
        <rFont val="Microsoft Sans Serif"/>
        <family val="2"/>
      </rPr>
      <t xml:space="preserve">VRATNO KRILO SU S HORIZONTALNOM PREČKOM NA VISINI 110 CM. ZAVRŠNA OBRADA U DEKORU PRIRODNOG HRASTA U TONU PO IZBORU PROJEKTANTA.
</t>
    </r>
    <r>
      <rPr>
        <b/>
        <sz val="10"/>
        <rFont val="Microsoft Sans Serif"/>
        <family val="2"/>
      </rPr>
      <t>OSTAKLJENJE FIKSNOG DIJELA IZVESTI U KLASI EI30, VRATA U KLASI EI</t>
    </r>
    <r>
      <rPr>
        <b/>
        <sz val="8"/>
        <rFont val="Microsoft Sans Serif"/>
        <family val="2"/>
      </rPr>
      <t>2</t>
    </r>
    <r>
      <rPr>
        <b/>
        <sz val="10"/>
        <rFont val="Microsoft Sans Serif"/>
        <family val="2"/>
      </rPr>
      <t>30-C</t>
    </r>
    <r>
      <rPr>
        <sz val="10"/>
        <rFont val="Microsoft Sans Serif"/>
        <family val="2"/>
      </rPr>
      <t>, SVE U SKLADU S VAŽEĆIM CERTIFIKATOM O STALNOSTI SVOJSTAVA GRAĐ. PROIZVODA.
OKOV: KOMPLET OKOVA ODGOVARAJUĆE NOSIVOSTI ZA DVOKRILNA ZAOKRETNA VRATA  + ŠTITNICI  + KVAKA. TIP OKOVA PO IZBORU PROJEKTANTA.
SVE MJERE POTREBNO JE PROVJERITI U NARAVI!
RADIONIČKE NACRTE PRIJE IZVEDBE TREBA PREGLEDATI I OVJERITI PROJEKTANT!</t>
    </r>
  </si>
  <si>
    <r>
      <t xml:space="preserve">IZRADA, DOBAVA I UGRADNJA </t>
    </r>
    <r>
      <rPr>
        <b/>
        <sz val="10"/>
        <rFont val="Microsoft Sans Serif"/>
        <family val="2"/>
      </rPr>
      <t>JEDNOKRILNOG ZAOKRETNO-OTKLOPNOG PROZORA</t>
    </r>
    <r>
      <rPr>
        <sz val="10"/>
        <rFont val="Microsoft Sans Serif"/>
        <family val="2"/>
      </rPr>
      <t xml:space="preserve"> PROIZVODNE MJERE 60/90 CM (SJEVERNO PROČELJE ZGRADE). DOPROZORNIK I OKVIR KRILA OD HRASTOVINE I KLASE - GREDICE 8/8 CM. OSTAKLJENJE IZO STAKLOM 6/16/4 S LOW-E PREMAZOM I ISPUNJENO PLEMENITIM PLINOM. ZAVRŠNA OBRADA DRVETA, LAZURNI PREMAZ + PRIPREMNE RADNJE U TONU PO IZBORU PROJEKTANTA U DOGOVORU SA NADLEŽNIM KONZERVATOROM. OKOV: PETLJE  ODGOVARAJUĆE NOSIVOSTI.  PLUOLIVA, ŠTITNICI. 
SVE MJERE POTREBNO JE PROVJERITI U NARAVI!
RADIONIČKE NACRTE PRIJE IZVEDBE TREBA PREGLEDATI I OVJERITI PROJEKTANT I NADLEŽNI KONZERVATOR!
</t>
    </r>
  </si>
  <si>
    <r>
      <t xml:space="preserve">IZRADA, DOBAVA I UGRADNJA </t>
    </r>
    <r>
      <rPr>
        <b/>
        <sz val="10"/>
        <rFont val="Microsoft Sans Serif"/>
        <family val="2"/>
      </rPr>
      <t>JEDNOKRILNOG ZAOKRETNO-OTKLOPNOG PROZORA</t>
    </r>
    <r>
      <rPr>
        <sz val="10"/>
        <rFont val="Microsoft Sans Serif"/>
        <family val="2"/>
      </rPr>
      <t xml:space="preserve"> PROIZVODNE MJERE 40/143 CM (JUŽNO PROČELJE ZGRADE). DOPROZORNIK I OKVIR KRILA OD HRASTOVINE I KLASE - GREDICE 8/8 CM. OSTAKLJENJE IZO STAKLOM 6/16/4 S LOW-E PREMAZOM I ISPUNJENO PLEMENITIM PLINOM. ZAVRŠNA OBRADA DRVETA, LAZURNI PREMAZ + PRIPREMNE RADNJE U TONU PO IZBORU PROJEKTANTA U DOGOVORU SA NADLEŽNIM KONZERVATOROM. OKOV: PETLJE  ODGOVARAJUĆE NOSIVOSTI.  PLUOLIVA, ŠTITNICI. 
SVE MJERE POTREBNO JE PROVJERITI U NARAVI!
RADIONIČKE NACRTE PRIJE IZVEDBE TREBA PREGLEDATI I OVJERITI PROJEKTANT I NADLEŽNI KONZERVATOR!
</t>
    </r>
  </si>
  <si>
    <t>http://www.europeanwaterlabel.eu</t>
  </si>
  <si>
    <t>Priznaju se isključivo troškovi nabave električne opreme energetske oznake B i više, izuzev nabave izvora svjetlosti gdje se priznaju troškovi nabave opreme energetske oznake C i više.</t>
  </si>
  <si>
    <t>UKUPNO 15.</t>
  </si>
  <si>
    <r>
      <rPr>
        <b/>
        <sz val="10"/>
        <rFont val="Microsoft Sans Serif"/>
        <family val="2"/>
      </rPr>
      <t>DEMONTAŽA  I UKLANJANJE SVIH BRAVARSKIH I STOLARSKIH ELEMENATA</t>
    </r>
    <r>
      <rPr>
        <sz val="10"/>
        <rFont val="Microsoft Sans Serif"/>
        <family val="2"/>
      </rPr>
      <t xml:space="preserve">, PROZORA, DRVENIH GRILJA, VRATA, OSTAKLJENIH STIJENA I PREGRADA, OGRADA I SLIČNO, UKLJUČIVO PROZORSKE KLUPČICE I OSTALE LIMARSKE OPŠAVE, TE SLIJEPE OKVIRE STOLARSKIH ELEMENATA.
</t>
    </r>
    <r>
      <rPr>
        <b/>
        <sz val="10"/>
        <rFont val="Microsoft Sans Serif"/>
        <family val="2"/>
      </rPr>
      <t>NA OTVORIMA NA ULIČNOM PROČELJU</t>
    </r>
    <r>
      <rPr>
        <sz val="10"/>
        <rFont val="Microsoft Sans Serif"/>
        <family val="2"/>
      </rPr>
      <t xml:space="preserve"> (KOJE SE ZADRŽAVA U POSTOJEĆEM STANJU I RESTAURIRA) POTREBNO JE </t>
    </r>
    <r>
      <rPr>
        <b/>
        <sz val="10"/>
        <rFont val="Microsoft Sans Serif"/>
        <family val="2"/>
      </rPr>
      <t>PAŽLJIVO DEMONTIRATI ULAZNA VRATA</t>
    </r>
    <r>
      <rPr>
        <sz val="10"/>
        <rFont val="Microsoft Sans Serif"/>
        <family val="2"/>
      </rPr>
      <t xml:space="preserve"> (KOJA SE RESTAURIRAJU I PONOVNO UGRAĐUJU), TE </t>
    </r>
    <r>
      <rPr>
        <b/>
        <sz val="10"/>
        <rFont val="Microsoft Sans Serif"/>
        <family val="2"/>
      </rPr>
      <t>POSTOJEĆE PROZORE</t>
    </r>
    <r>
      <rPr>
        <sz val="10"/>
        <rFont val="Microsoft Sans Serif"/>
        <family val="2"/>
      </rPr>
      <t xml:space="preserve"> (KAO PREDLOŽAK ZA IZRADU NOVIH).</t>
    </r>
  </si>
  <si>
    <t xml:space="preserve">Za sve ugrađene građevne dijelove i materijale potrebno je dostaviti dokaze za okolišne ciljeve: </t>
  </si>
  <si>
    <t>- da građevni dijelovi i materijali korišteni u zgradi koji mogu doći u kontakt sa korisnicima emitiraju manje od 0,06 mg formaldehida po m3 materijala ili komponente i manje od 0,001 mg po m3 materijala kategorija 1A i 1B (kancerogeni hlapljivi organski spojevi)</t>
  </si>
  <si>
    <t>- da građevni dijelovi i materijali koji se koriste ne sadrže azbest niti tvari koje izazivaju veliku zabrinutost</t>
  </si>
  <si>
    <r>
      <t xml:space="preserve">Smatra se da je svako upućivanje na marku, izvor, patent i dr. popraćeno izrazom „ili jednakovrijedno“. Ukoliko su u DoN i njezinim prilozima navedena tehnička pravila koja opisuju predmet nabave pomoću hrvatskih odnosno europskih odnosno međunarodnih normi, ponuditelj treba ponuditi predmet nabave u skladu s normama iz DoN i njezinim prilozima ili jednakovrijednim normama (jednakovrijednim rješenjima). Za svaku normu navedenu prema dotičnom normizacijskom sustavu dozvoljeno je nuditi jednakovrijednu normu (jednakovrijedno rješenje), tehničko odobrenje odnosno uputu iz odgovarajuće hrvatske, europske ili međunarodne nomenklature. Smatra se da je svako upućivanje na određenu normu popraćeno izrazom „ili jednakovrijedno“. </t>
    </r>
    <r>
      <rPr>
        <b/>
        <sz val="11"/>
        <rFont val="Calibri"/>
        <family val="2"/>
        <charset val="238"/>
      </rPr>
      <t>Ponuditelji su slobodni ponuditi i jednakovrijedno odnosno  jednakovrijedna rješenja.</t>
    </r>
  </si>
  <si>
    <t>Cijena u EUR</t>
  </si>
  <si>
    <t xml:space="preserve">TEHNIČKA ZAŠTITA </t>
  </si>
  <si>
    <t>TEHNIČKA ZAŠTITA - REKAPITULACIJA</t>
  </si>
  <si>
    <t>PROTUPROVALA</t>
  </si>
  <si>
    <t>VIDEONADZOR</t>
  </si>
  <si>
    <t>KONTROLA PRISTUPA</t>
  </si>
  <si>
    <t>TEHNIČKA ZAŠTITA - UKUPNO:</t>
  </si>
  <si>
    <r>
      <t xml:space="preserve">Specificirane karakteristike opreme podrazumijevaju </t>
    </r>
    <r>
      <rPr>
        <b/>
        <sz val="12"/>
        <rFont val="Arial Narrow"/>
        <family val="2"/>
        <charset val="238"/>
      </rPr>
      <t>minimalne karakteristike</t>
    </r>
    <r>
      <rPr>
        <sz val="12"/>
        <rFont val="Arial Narrow"/>
        <family val="2"/>
        <charset val="238"/>
      </rPr>
      <t xml:space="preserve"> koje svaki pojedini element sustava mora iskazivati. Dopuštena je izgradnja pojedinih sustava od zamjenskih elemenata jednakih ili boljih karakteristika, uz napomenu da završeni i balansirani sustavi moraju imati jednake ili bolje karakteristike od projektiranih. Sva oprema mora biti predviđena za rad u cjelogodišnjem temperaturnom rasponu očekivanom za zagrebačko zemljopisno područje.</t>
    </r>
  </si>
  <si>
    <t>R.BR.</t>
  </si>
  <si>
    <t>OPIS MINIMALNIH KARAKTERISTIKA</t>
  </si>
  <si>
    <t>JED.MJ</t>
  </si>
  <si>
    <t>KOLIČ.</t>
  </si>
  <si>
    <t>JEDINIČNA CIJENA BEZ PDV-A</t>
  </si>
  <si>
    <t>UKUPNA CIJENA
BEZ PDV-A</t>
  </si>
  <si>
    <t>Licenca za spoj sustava protuprovale na osnovnu aplikaciju za integraciju sustava tehničke zaštite.</t>
  </si>
  <si>
    <t>Konfiguracija jednog ulaznog ili izlaznog aktivnog elementa u aplikaciji integracije sustava teničke zaštite</t>
  </si>
  <si>
    <t xml:space="preserve">Protuprovalna centrala                                                                        Alarmna  centrala max 100 terminala (200 zona sa dupliranjem),  10 terminala od kojih je 5 programibilnih I/O (20 zona sa dupliranjem)                                                                                               -1 relejni i 2 programibilna open-collector izlaza, digitalni komunikatorom, modem za programiranje i govorni pozivnik
- konfigurabilne priključnice na alarmnoj centrali, tipkovnici i ekspanzijskom modulu , mogu se programirati kao alarmni ulazi ili PGM izlazi
- balansiranje zona: NO,NC, EOL, DEOL, DEOL sa završnim otpornikom (dupliranje zone)
- programabilan alarmni prag zone, 15 nezavisnih particija
-100 korisnickih šifri, 2 instalaterske šifre, 150 RFID kartica/ključeva, neizbrisiva memorija s 250 događaja (upisani datum i vrijeme)
-omogućeno spajanje do 10 LCD tipkovnica, 20 čitača RFID kartica/ključeva i 20 S-FLEX5 modula proširenja u sustav
-2 PGM izlaza i 1relejni izlaz za sirenu
- digitalni komunikator za dojavu na 15 telefonska broja; formati komunikacije ukljucuju Contact ID
-omogućeno 36 funkcijskih naredbi za brzo i jednostavno upravljanje sustavom (one-stroke action), switching napajač 220Vac/13,8 Vdc, 5A u kompletu                                                                                                                </t>
  </si>
  <si>
    <t xml:space="preserve">Akumulatorska baterija za centralu
- akumulator 12V 
- 7,5 Ah
</t>
  </si>
  <si>
    <t xml:space="preserve">Inteligentni napajač za BUS izolator                                                                                      - izlazni napon: 13,8 VDC                                                                                                              - kapacitet  17Ah (akumulator 12VDC x2)                                                                                                        - minimalna snaga  150W   
                                                                                                                                                                                                             </t>
  </si>
  <si>
    <t xml:space="preserve">Regenerator BUS napajanja sa BUS izolatorom za zaštitu i obnovu BUS data signala u kućištu sa tamper zaštitom.                                                                                                                                                                                                                                                      - ulazni napon: 9-16 VDC                    
                                                                                                                                                                                                                                                                                                                            </t>
  </si>
  <si>
    <t xml:space="preserve">BUS izolator za zaštitu i obnovu BUS data signala slijedećih karakteristika:                     
- napajanje od 9 do 16 VDC  
- potrošnja od 50 mA           
                                                                                                                                                                                                                                                                                                                                       </t>
  </si>
  <si>
    <t xml:space="preserve">Primopredajni modul bežičnog proširenja za prihvat bežičnih tipkovnica
- 868MHz dvosmjerna komunikacija
- spajanje sa alarmnom centralom putem I-BUS-a
- podržava do 10 bežičnih zona i 30 daljinskih upravljača
- podržava spajanje 4 bežične tipkovnice
- podržava spajanje 4 bežične tipkovnice
- napajanje: 10.5 - 16 VDC                                                                                                                                                                                                                                                                                                                                        </t>
  </si>
  <si>
    <t xml:space="preserve">Primopredajni modul bežičnog proširenja 30 zona
- 868MHz dvosmjerna komunikacija
- spajanje sa alarmnom centralom putem I-BUS-a
- podržava do 30 bežičnih zona i 50 daljinskih upravljača
- podržava spajanje 4 bežične tipkovnice
- podržava spajanje 4 bežične tipkovnice
- napajanje: 10.5 - 16 VDC                                                                                                                                                                                                                                                                                                                              </t>
  </si>
  <si>
    <t xml:space="preserve">Primopredajni modul bežičnog proširenja 10 zona
- 868MHz dvosmjerna komunikacija
- spajanje sa alarmnom centralom putem I-BUS-a
- podržava do 10 bežičnih zona i 30 daljinskih upravljača
- napajanje: 10.5 - 16 VDC                                                                                                                                                                                                                                                                                                                             </t>
  </si>
  <si>
    <t xml:space="preserve">Upravljačka tipkovnica, 
- LCD tipkovnica s prikazom alfanumeričkih poruka i simbola,                                                                                                               - FAP funkcijske tipke,                                                                                                                     - ugrađen čitač RFID kartica/privjesaka, mikrofon, zvučnik i temperaturni senzor. 
- 4 lampice sustava (spreman, uključen, greška, gubitak 220V)
- rezolucija 4x16                                                                                                                        - 4 programibilne tipke
- particijsko ili globalno dodjeljivanje
- Konfigurabilne I/O priključnica                                                                                                 Tamper                                                                                                                   - 2 dodatne zone
</t>
  </si>
  <si>
    <t xml:space="preserve">IP komunikator
- Spajanje na alarmnu centralu preko LAN/WAN mreže ili interneta
- Omogućava daljinsko programiranje i nadzor alarmne centrale
- Ugrađen web-server sa virtualnom tipkovnicom
- Dojava događaja na e-mail korisnika
- 128 -bitna AES enkripcija
- Smještaj SD memorijske kartice min. kapaciteta 1 Gb
</t>
  </si>
  <si>
    <t xml:space="preserve">Dualni detektor pokreta
- PIR, domet 15m, kut detekcije 100°
- Antimasking funkcija
- Dvostruki piro-elektički senzor
- Digitalna obrada signala
- Mogućnost premošćavanja LED alarma
- Digitalna kompenzacija temperature 
- Podešavanje osjetljivosti
- Zaštita od bijele svjetlosti
- Brojač alarmnog pulsa
- Antivandal zaštita
- AND/OR tehnologija
- Trostruka LED signalizacija
</t>
  </si>
  <si>
    <t xml:space="preserve">Dualni detektor pokreta
- PIR, minimalni domet 12m, minimalni kut detekcije 80°
- bežična komunikacija
- frekvencija komunikacije 868 MHz
- minimalni stupanj sigurnosti Grade 2
- potrošnja 0,2 mA, maksimalna potrošnaj u alarmu 30mA
- PIR detekcija
- fresnel sferična leća
- LED signalizacija 
- temperaturna kompenzacija
</t>
  </si>
  <si>
    <t xml:space="preserve">Bežični magnetski kontakt
 - sa dva reed releja postavljenih pod kutem od 90°
 - mogu raditi kao zasebne zone ili u paru
 - dva zasebno programibilna I/O terminala
 - tamper zaštita
 - baterija u kompletu
</t>
  </si>
  <si>
    <t xml:space="preserve">Unutarnja sirena
- Sirena sa bljeskalicom za unutarnju montažu bez mogućnosti samonapajanja
- IP zaštita - IP31
- Napajanje - 12Vdc
- Zvučni izlaz - 110 dB @ 1 m
</t>
  </si>
  <si>
    <t xml:space="preserve">Vanjska sirena samonapajajuća
- samonapajajuća sirena za vanjsku montažu sa LED bljeskalicom visokog intenziteta
- polikarbonatno kućište otporno na vanjske utjecaje; dodatna zaštita s unutarnjim metalnim poklopcem
- programibilno vrijeme isključenja zvučne signalizacije 
- frekvencijski moduliran zvuk sirene - 6 programibilnih opcija
- servisni ulaz za blokiranje signalizacije alarma
- OC izlaz (100 mA) za signalizaciju greške sirene; opcija LED signalizacije greške sirene
- relejni izlaz za signalizaciju tampera sirene (sabotažno skidanje poklopca ili demontaža, razbijanje bljeskalice, rezanje kablova)
- Napajanje - 12 do 14 VDC
- IP zaštita - IP34
- Zvučni izlaz - minimalno 102 dB @ 3 m
- akumulator </t>
  </si>
  <si>
    <t>Akumulatorska baterija za sirenu
 - Akumulator 12V 
 - 2,4 Ah</t>
  </si>
  <si>
    <t xml:space="preserve">Programibilna nadzirana bežična vanjska sirena
- zaštita od zapunjavanja pjenom
- IP zaštita - IP34
- Bežična tehnologija
- Bežična frekvencija 868 MHz                                                                                                                    
 - Bežična komunikacija dvosmjerna 
- Baterijsko napajanje                                                                                                        
 - Vanjska ugradnja                                                                                                                                                            
- Isključenje zvučne signalizacije praćenjem alarmnog izlaza                                                                                                                    
 - Bežični aktivacijski signal                                                                                                                    
 - Zvučni izlaz 103 dB @ 3 m
</t>
  </si>
  <si>
    <t>Modul proširenja
- modul proširenja s 5 konfigurabilnih I/O terminala
- omogućeno direktno spajanje shock i rollerblind detektora bez analizatorske pločice
- ugrađena zujalica
- kućište za montažu na zid u kompletu; tamperska zaštita
- napajanje - 9 - 16 VDC</t>
  </si>
  <si>
    <t xml:space="preserve">Mrežni naponski modul proširenja
- I-BUS sučelje
- max struja za svaki izlaz cos φ=1 10 A (Relay); 3,5 A (triac ON/OFF and dimmer)
- 5 izlaznih programibilnih terminala 
- tamperska zaštita
- napajanje 110-230V 50-60Hz                                                                                                              - montaža na  šinu                                                                                                                      - mjerenje faktora snage (cos φ) za svaki izlaz
</t>
  </si>
  <si>
    <t xml:space="preserve">Sitni nespecificirani potrošni materijal
- tiple, vide, vezice, instalacijske letvice, gips, patch kabeli
</t>
  </si>
  <si>
    <t>RADOVI I USLUGE</t>
  </si>
  <si>
    <t>Montaža i spajanje protuprovalne centrale</t>
  </si>
  <si>
    <t>Montaža i spajanje upravljačke tipkovnice</t>
  </si>
  <si>
    <t>Montaža i spajanje digitalnog IP komunikatora</t>
  </si>
  <si>
    <t xml:space="preserve">Montaža i spajanje bežičnih proširenja </t>
  </si>
  <si>
    <t>Montaža i spajanje modula proširenja</t>
  </si>
  <si>
    <t>Montaža i spajanje žičanog detektora pokreta</t>
  </si>
  <si>
    <t>Montaža i spajanje bežičnog detektora pokreta</t>
  </si>
  <si>
    <t>Montaža i spajanje unutarnje sirene</t>
  </si>
  <si>
    <t>Montaža i spajanje vanjske žičane sirene</t>
  </si>
  <si>
    <t>Montaža i spajanje vanjske bežične sirene</t>
  </si>
  <si>
    <t>Montaža i spajanje inteligentnog napajača za BUS izolator</t>
  </si>
  <si>
    <t>Montaža i spajanje BUS izolatora za zaštitu i obnovu data signala</t>
  </si>
  <si>
    <t>Montaža i spajanje naponskog modula proširenja</t>
  </si>
  <si>
    <t>Podešavanje postavki protuprovalne centrale</t>
  </si>
  <si>
    <t>Programiranje dojave na dojavni centar</t>
  </si>
  <si>
    <t>Ispitivanje sustava i puštanje u rad</t>
  </si>
  <si>
    <t>Obuka korisnika za rukovanje sustavom_x000D_
- uključivo tiskane upute za rukovanje na hrvatskom jeziku (2 primjerka)</t>
  </si>
  <si>
    <t xml:space="preserve">Izrada projekta izvedenog stanja
- u 3 tiskana primjerka te jednom primjeku u digitalnom obliku
</t>
  </si>
  <si>
    <t>RADOVI I USLUGE UKUPNO:</t>
  </si>
  <si>
    <t>PROTUPROVALA - REKAPITULACIJA</t>
  </si>
  <si>
    <t>PROTUPROVALA - UKUPNO:</t>
  </si>
  <si>
    <t xml:space="preserve">Mrežni video snimač
- 16 kanalni mrežni snimač
- H.265 16-CH Embedded NVR 
- Embedded Linux 
- ARM Processor
- HDD 8 TB x4, RAM 2 GB, FLASH 256 MB       
- Video Format  H.265, H.264, MJPEG 
- HDD S.M.A.R.T, RAID 0, 1, 5 (RAID Max. Volume: 32TB)    
- HDMI x1, VGA x1,
- Video Resolution VGA, 1MP, 2MP, 3MP, 5MP&amp;12MP Camera
- H.265/H.264: 3840x2160@120 fps (4-CH), 1920x1080@480 fps
10/100/1000Mbps Ethernet (RJ-45) x2,
- IPv4, TCP/IP, HTTP, HTTPS, TLS 1,2 UPnP, RTSP/RTP/RTCP, SMTP, FTP, DHCP, NTP, DNS, DDNS, IP Filte
- Vrijeme snimanja: vrijem snimanja Pre recording:5 (max 10) 
- Post-record 10 (max 300), ONVIF Profile S i G
- AES128 enkripcija, u slučaju gubitka komunikacije snimač automatski povlači zapis sa interne memorije kamera
- zaštita od kibernetičkih napada
- uključena aplikacija za pregled video nadzora   
- Record Throughput (MB) 192 Mbps
- Network Throughput (MB) 96 Mbps 
- DC 56V 2.32A, Max. 120 W                                                        
</t>
  </si>
  <si>
    <t xml:space="preserve">HDD 6TB/64m/ SATA III/ 5900rpm
</t>
  </si>
  <si>
    <t xml:space="preserve">Vanjska antivandal kamera u dome kućištu slijedećih karakteristika:
- 5MP IP IR antivandal dome kamera
- 2592x1944@30fps
- motorizirani vari-fokalni objektiv (f=3.6mm - 10 mm, F1.8 - 2.8)
- AFOV Wide : 93.9º(H), 50º(V), 111º(D) Tele : 31.8º(H), 17.9º(V), 36.5º(D)
- Pan/Tilt Range	Pan: -176° ~ 176°, Tilt: 0° ~ 66°, Rotate: -90° ~ 90°
- Dynamic Range	120dB (True WDR)
- P iris, 120dB (True WDR), IR LED 30m, 
- H.264, M-JPEG, H.265 kompresija
- Protokol komunikacije: DirectIP, IDIS (Onvif Profile S)
- Podržava micro SD/SDHC/SDXC (128 GB, Smart Failover)
- Video izlaz: 1 BNC, Gigabit Ethernet RJ45
- Dvostrani audio
- 3-axis dizajn za instalaciju
- Ugrađen grijač, 
- IP66 i IK10 zaštita
- Napajanje 12VDC, PoE (IEEE 802.3af Class 3 ili jednakovrijedno)
- Potrošnja 12V=, 0.97A, 11.6W PoE, IEEE 802.3af(Class 3) ili jednakovrijedno
</t>
  </si>
  <si>
    <t xml:space="preserve">Razvodna kutija za montažu ispod kamere
</t>
  </si>
  <si>
    <t xml:space="preserve">Adapter za montažu  
</t>
  </si>
  <si>
    <t xml:space="preserve">Zidni nosač za kamere 
</t>
  </si>
  <si>
    <t xml:space="preserve">Mrežna bullet vanjska kamera 8 MP
- senzor 1/2.8" Progressive CMOS 
- objektiv 2,8 do 12 mm
- horizontalni kut 96°⁓ 32°
- 60 fps @ 1920x1080, 
- IR iluminacija 50-70m
- IP67 i IK10 stupanj zaštite
- WDR tehnologija, minimalnog dinamičkog raspona 120 dB
- minimalna osjetljivost 0.008 lux @ F1.2(boja), 0 lux sa IR uključenim 
- smart H.265
</t>
  </si>
  <si>
    <t xml:space="preserve">Mrežna bullet vanjska kamera 5 MP
- senzor 1/2,7" Progressive CMOS 
- objektiv 2,8-12mm
- horizontalni kut 92.7°-29.8°
- 5 Mpx, 4Mpx, 1080p, 750p@25fps
- IR iluminacija 30-50m
- napredna videoanalitika sa detekcijom prelaska preko linije, praćenje objekta, upad u prostor, brojanje osoba, prepoznavanje lica
- IP67 i IK10 stupanj zaštite
- WDR tehnologija, minimalnog dinamičkog raspona 120 dB
- minimalna osjetljivost 0.0045 lux @ F1.2(boja), 0 lux sa IR uključen 
- smart H.265 kompresija
- napajanje 12VDC/ PoE
</t>
  </si>
  <si>
    <t xml:space="preserve">Mrežna dome kamera 5 MP
- senzor 1/2,7" Progressive CMOS 
- objektiv 2,8-12mm, moto-zoom
- horizontalni kut 92.7°-29.8°
- 5 Mpx, 4 Mpx, 1080p, 720p@25fps
- IR iluminacija 30-50m
- napredna videoanalitika sa detekcijom prelaska preko linije, praćenje objekta, upad u prostor, brojanje osoba, prepoznavanje lica
- IP67 i IK10 stupanj zaštite
- WDR tehnologija, minimalnog dinamičkog raspona 120 dB
- minimalna osjetljivost 0.0045 lux @ F1.2(boja), 0 lux sa IR uključen , 
- smart H.265 kompresija
- napajanje 12VDC / PoE
</t>
  </si>
  <si>
    <t>Mrežna dan/noć zoom 2 MP kamera u boji
- senzor 1/3" Progressive CMOS 
- objektiv 4.7 do 94 mm
- 20x opticki zoom s autoirisom i autofokusom
- 128x digitalni zoom
- kut 2.9°~55.4° (Horizontalni), 1.6°~32.6° (Vertikalni), 3.3°~62.7° (Dijagonalni) 
- 60 fps @ 1920x1080, 
- IR iluminacija 150 m sa VAIR tehnologijom
- videorotacija i koridor scenario
- smart stream II tehnologia za optimizaciju propusnosti
- EIS tehnologija za kontrolu stabilnosti slike
- IP67, IK10 i NEMA4X stupanj zaštite
- WDR PRO tehnologija
- dinamički raspon 110 dB
- osjetljivost 0.26 lux @ F1.6(boja), 0.01Lux @ F1.6 (C/B) , 
- H265, H264, MJPEG kompresija</t>
  </si>
  <si>
    <t xml:space="preserve">Vanjska kompaktna IP video kamera 
- tehnologija - IP video
- 1/3'' omnivision ili CMOS
- 4Mpx, 2K, 3Mpx, 1080p, 720p@25fps (3 streama)
- WDR 110dB
- varifokalni objektiv 3,3 - 12 mm, motorizirani zoom
- Audio                                                                                                                    
- Kompresija H.265 ili H.264
- Dan/noć funkcija ICR                                                                                             
- osjetljivost (Lux): 0.1Lux, 0Lux IR ON
- 3D redukcija šuma
- Domet IR LED minimalno 25m
- Onvif
- SD kartica
- IP 66, antivandal
- Napajanje: 12V DC / PoE                                                                                         
- Antivandal, IP66                                                                                                          
- Potrošnja maksimalno 10 W  
</t>
  </si>
  <si>
    <t xml:space="preserve">Unutarnja fiksna kupolasta kamera slijedećih karakteristika:
- 5MP IP IR dome kamera
- 2592x1944@30fps, 
- motorizirani vari-fokalni objektiv (f=3.6mm - 10 mm, F1.8 - 2.8),  P iris
- 120dB (True WDR), IR LED 30m  
- H.264, M-JPEG, H.265 kompresija
- Protokol komunikacije: DirectIP, IDIS (Onvif Profile S)
- Podržava micro SD/SDHC/SDXC (128 GB, Smart Failover)
- Audio I/O, Alarm I/O
- Gigabit Ethernet RJ45
- Dvostrani audio
- field of view wide : 90º(H), 67º(V), 116º(D) Tele : 37º(H), 27º(V), 46º(D)
- 3-axis dizajn za instalaciju.
- Video izlaz: 1 BNC, Gigabit Ethernet RJ45
- Napajanje 12VDC, PoE (IEEE 802.3af Class 3  ili jednakovrijedno)
- Potrošnja 10.2W
</t>
  </si>
  <si>
    <t xml:space="preserve">Razvodna kutija za montažu ispod kamere
</t>
  </si>
  <si>
    <t xml:space="preserve">Dobava i isporuka mrežne 180° panoramske kamere u antivandal kućištu sljedećih minimalnih karakteristika:
- 5 Mpix CMOS senzor
- 1/2.7" Progresivni CMOS senzor slike u rezoluciji 2560x1920
- fiksni "fish-eye" objektiv 1.45mm (F2.2), za 180° panoramski pogled
- WDR Pro tehnologija, dinamički opseg 120 dB
- IR cut filter za dan/noć funkciju
- minimalno osvjetljenje 0,11 lux@F2.2 (u boji) / 0,01 lux@F2.2 (c/b) / 0 lux (IR uključen)
- H.265, H.264, MJPEG kompresija
- maksimalna brzina snimanja 30 fps pri 2560x1920 (WDR uključen, H.265 kompresija)
- 3 istovremena prijenosa video signala
- S/N omjer 62 dB
- podesiva svjetlina, kontrast, zasićenost i oštrina slike, balans bijele boje, kontrola ekspozicije, kompenzacija pozadinskog osvjetljenja, pojačanja i maske privatnosti
- ugrađeni mikrofon efektivnog dosega 5 metara, detekcija sabotaže kamere, detekcija pokreta u pet prozora
- IP66, IK10
- elektronički PTZ, 48x digitalni zum
- podešavanje nagiba +/-25°
- napajanje: 12 V DC ili PoE Klasa 0, potrošnja do 6,7 W
</t>
  </si>
  <si>
    <t>Dobava i isporuka mrežne "bullet" kamere sljedećih minimalnih tehničkih karakteristika: 
- vanjska "bullet" dan/noć kamera, rezolucije 5 Mpix
- 1/2.7" Progressive CMOS 
- rezolucija 2560x1920 pri 20 fps
- H.265 /H.264 /MJPEG kompresija 
- motorizirani varifokalni objektiv 3,4 - 9,4 mm, daljinski upravljan fokus, 
- ugrađeni IR iluminatori, dometa 30 metara, dan/noć
- vidno polje: najmanje u rasponu od 30° do 88° (horizontalno), 23° do 65° (vertikalno), 38° do 115° (dijagonalno)
- minimalno osvijetljenje: 0,2 lux za kolor snimanje
- 48x digitalni PTZ zum
- mogućnost pohrane na MicroSD/SDHC/SDXC karticu, mora podržavati kartice kapaciteta 256 GB
- 3 istodobna video streama
- podrška za ONVIF profile G, S i T
- implementirane mjere kibernetičke sigurnosti: korisnički podaci za pristup uređaju, autentikacija, HTTPS TLS1.2, AES enkripcija s 256-bitnim ključem, digitalni potpis za učitavanje firmwarea, odbijanje pristupa shellu, 802.1X firewall s podrškom za bijele i crne liste, 2048 RSA parova ključeva, X.509 v3 digitalni certifikati sa SHA256 potpisnim hashem
- alarmni događaji: detekcija sabotaže kamere, ručna aktivacija, detekcija pokreta, periodična aktivacija, obavijest o snimanju, trajanje SD kartice, podizanje sustava
- RJ-45 10/100 Mbps konektor za mrežnu / PoE konekciju
- potrošnja snage: 12,95 W / 9 W (IR uključen / isključen)
- radna temperatura: minimalno u rasponu od -30°C do +60°C</t>
  </si>
  <si>
    <t>Dobava i isporuka - mrežna antivandal dome kamera slijedećih minimalnih tehničkih karakteristika: 
- 2 MP dome dan/noć kamera
- 1/2.9" Progressive CMOS 
- 1920x1080 @ 25 fps
- H.265 /H.264 /MJPEG kompresija                                                                                                                                                                                                                                                                                                                                                                             
- motorizirani objektiv 2.8-12 mm
- osjetljivost 0.0169 lux (boja)
- Ugrađeni IR iluminatori, dometa do 50 metara
- široki dinamički opseg
- 3 istodobna video streama
- podrška za ONVIF profile G, S, T i Q
- HLC, DIS, video rotacija, privatne maske, detekcija pokreta u 5 prozora, detekcija sabotaže, audio detekcija
- SD/SDHC/SDXC utor za karticu
- Napajanje PoE, prosječna potrošnja 5,2 W, maksimalna uz uključen IR ne veća od 16,8 W
- IP66, IK10 zaštita 
- radna temperatura: minimalno u rasponu od -40°C do +60°C</t>
  </si>
  <si>
    <t xml:space="preserve">Razvodna kutija za montažu ispod kamere
</t>
  </si>
  <si>
    <t xml:space="preserve">Vanjska kompaktna IP video kamera 	
- 1/1.8" progresivni CMOS čip, rezolucija 2560x1920 (5MP)
-	30 fps @ 2560x1920; 60fps @ 1920x1080
-	varifokalni objektiv, f=4~9mm, P-iris objektiv, motorizirani fokus, 48x digitalni zoom
-	osjetljivost 0.04 Lux @ F1.3 (u boji), 0.001 Lux @ F1.3 (crno - bijelo)
-	mehanički IR-cut filter, dan/noć funkcija, 
-	ugrađen IR LED, 30m efektivne udaljenosti
-	smart IR tehnologija za izbjegavanje preeksponiranosti 
-	multi stream MJPEG/MPEG-4/H.264 kompresija
-	utor za SD/SDHC/SDXC karticu
-	protokoli TCP/IP, HTTP, SMTP, TFP, Telnet, NTP, DNS, DDNS, UPnP, DHCP
-	provod kabela kroz nosač , IP67 zaštita
-	napajanje 12VDC, PoE
-	mrežni priključak RJ45
</t>
  </si>
  <si>
    <t xml:space="preserve">Dobava i isporuka prenaponske zaštite minimalnih karakteristika:
- 16 kV 
</t>
  </si>
  <si>
    <t xml:space="preserve">Besprekidno napajanje
-	Nazivna snaga	  3000 VA (2700 W)
-	Autonomija rada na baterije pri teretu 1kVA p.f. 0,8 30 minuta
-	Nazivni napon	Monofazno 230 VAC  ( 110-288VAC)
-	Frekvencija	50 Hz  ( 50-70Hz)
-	Faktor snage ulazni cos 	 ≥ 0.97
-	Izlazni  napon	Monofazno 230 VAC ±1%
-	online dvostruka konverzija sa IGBT ispravljačem/pretvaračem
-	Sučelje	LCD display, RS 232
</t>
  </si>
  <si>
    <t xml:space="preserve">Komunikacijski ormar, 19", 15U
- Boja: siva RAL7035
- Prednja vrata staklena s bravom
- Demontažne bočne stranice
- Nosači 19'' opreme podesivi po dubini                                    
- Uvod kabela s gornje i/ili donje strane
- Mogućnost ugradnje ventilatora
- Nosivost: 60kg
- Standard: IEC297-2 ili jednakovrijedno
- Stupanj zaštite: IP20
- uključujući potrebne vijke, police, nosače, uvodnike)        
 </t>
  </si>
  <si>
    <t xml:space="preserve">Besprekidno napajanje
-	Nazivna snaga	  550 W
-	Autonomija rada na baterije pri teretu 1kVA  1 minuta
-	Nazivni napon	Monofazno 230 VAC  ( 160-295VAC)
-	Frekvencija	50 Hz  ( 50-70Hz)
-	Izlazni  napon	Monofazno 230 VAC ±1%
-	Topologija napajača - linijski interaktivni
-	Sučelje	LCD display, RS 232
</t>
  </si>
  <si>
    <t xml:space="preserve">Komunikacijski, zidni ormar, 19", 6U
- Boja: siva RAL7035
- Prednja vrata staklena s bravom                                  
- Uvod kabela s gornje i/ili donje strane
- Standard: IEC297-2 ili jednakovrijedno
- Stupanj zaštite: IP20
- uključujući potrebne vijke, police, nosače, uvodnike)        
</t>
  </si>
  <si>
    <t xml:space="preserve"> 19" napojna letva sa 7x šuko+prenaponska zaštita, 1.25U
</t>
  </si>
  <si>
    <t xml:space="preserve">Prespojni panel 24xRJ45 cat.6, oklopljen, 19'', 1U
</t>
  </si>
  <si>
    <t xml:space="preserve">16 Portni PoE Switch 
- DirectIP 16-kanalni PoE Switch
- 16x ulaz RJ45 Connectors (10/100 BASE-T)
-2x Uplink port RJ45 Connectors (10/100/1000 BASE-T) 
- Maksimalna PoE potrošnja 140W za portove 1~16 
- Switching Capacity = 7.2Gbps. 
-CPU   Embedded MIPS
-System Memory  256MB SDRAM, 32MB Flash
-Switching Capacity 7.2Gbps
-Podržani standardi IEEE 802.3af-2003 ili jednakovrijedno / IEEE 802.3at-2009 ili jednakovrijedno
-PD konekciaj do 16 IEEE 802.3af PDs ili jednakovrijedno ili do 4 IEEE 802.3at PDs ili jednakovrijedno
-Power Input AC100-240V, 2.0~1.0A, 50/60Hz
-Power Consumption 160W
-Certifikati FCC,CE,KC,UL,CB  ili jednakovrijedno                                                                                           
</t>
  </si>
  <si>
    <t xml:space="preserve">24 Portni PoE Switch 
- CPU 1Ghz single core
- RAM memorija 512MB SDRAM, 256MB Flash
- Podržani standardi: 
- IEEE 802.3af-2003 ili jednakovrijedno / IEEE 802.3at-2009 ili jednakovrijedno
- PD konekcija do 24 IEEE 802.3af PDs ili jednakovrijedno ili Up to 12 IEEE 802.3at PDs ili jednakovrijedno
- Maksimalno POE opterećenje 370W
-  DirectIP 24-kanalni PoE Switch 
-  24x ulaz RJ45 konektora (10/100/1000 BASE-T)
-  4x Optički Uplink SFP Slot (1000 BASE-X)
-  Maksimalna PoE potrošnja 380W za portove 1~24
-  Switching Capacity = 56Gbps
- Napajanje AC100-240V, 50-60Hz, 5.5A~2.5A
- Maksimalna potrošnja 460W
- Certifikati: FCC, CE, KC  ili jednakovrijedno                                                                                               
</t>
  </si>
  <si>
    <t xml:space="preserve">SFP utični modul
- valna duljina 1310 nm
- 1.25 Gigabit prijenos
- Fabry-Perot laser
- Tx: -3⁓-9 dBm
- Rx: -3⁓-21 dBm
- radni napon 3.3 V DC
- minimalni domet prijenosa podataka pri 9/125 µm iznosi 10 km
</t>
  </si>
  <si>
    <t xml:space="preserve"> 27" LCD monitor za sustav video nadzora slijedećih traženih karakteristika:
- 27" LCD
- rezolucija 1920x1080
- VGA i DVI ulaz
</t>
  </si>
  <si>
    <t xml:space="preserve">Računalo sustava tehničke zaštite slijedećih karakteristika:
- procesor / 3,40 GHz, 4 jezgre, 8 MB, 
- 2x 4GB DDR4-2133 MHz Memory, DIMM,
- matična ploča: podrška za odabrani procesor, DDR4 radne memorije,
- ladice za uređaje : Interni: 3x3.5“, Eksterni: 2x5.25“, 1x3.5“,
- hard disk: 500 GB 7200 rpm SATA 6.0Gb/s NCQ,
- opticka jedinica: 24x DVD+/-RW,
- priključci: 6 USB 3.0, PS/2 miš i tastatura,
- grafička kartica: eksterna, min 2GB grafičke memorije,
- mrežna kartica: 10/100/1000,
- USB tipkovnica, USB Opticki scroll miš,
- standardni zvučnički sistem sa internim zvučnikom,
- operativni sustav predinstaliran, kompatibilan za aplikaciju videonadzora,
- antivirusni program, licenca.
</t>
  </si>
  <si>
    <t xml:space="preserve">- ikone trebaju imati slijedeće funkcionalnosti:
o mogućnost prikaza statusa (uključeno/isključeno, otvoreno/zatvoreno) različitim simbolima/bojama
o mogućnost prikaza alarma različitim bojama
o mogućnost upravljanja pripadajućim sustavom (npr. za protuprovalni sustav uključenje/isključenje zaštite, za video nadzorni sustav upravljanje relejima na kameri)
o mogućnost promjene prikaza kamera na drugom monitoru
o mogućnost prikaza druge mape (navigacijski element)
- mogućnost obrade zaprimljenih alarma prema unaprijed definiranim pravilima
- mogućnost prikaza statusa i alarma svih detektora u sustavu protuprovale, statusa i alarma svih particija, kao i mogućnost upravljanja istima ukoliko za to postoje ovlasti (uključenje/isključenje)
- SQL Server baza podataka Enterprise, Express, ili Compact Edition
- dvosmjerna integracija sa trećim sustavima korištenjem SSH ili jednakovrijednog sučelja
</t>
  </si>
  <si>
    <t>Konfiguracija jednog ulaznog ili izlaznog aktivnog elementa u aplikaciji integracije sustava tehničke zaštite</t>
  </si>
  <si>
    <t>Izrada zaključaka RJ 45 cat.6a oklopljeni, na pozicijama priključnica i u komunikacijskom razdjelniku</t>
  </si>
  <si>
    <t>Montaža i spajanje snimača</t>
  </si>
  <si>
    <t>Montaža i spajanje i konfiguriranje mrežnog preklopnika</t>
  </si>
  <si>
    <t>Montaža komunikacijskog ormara</t>
  </si>
  <si>
    <t>Montaža, spajanje vanjske kamere</t>
  </si>
  <si>
    <t>Montaža, spajanje razvodne kutije za montažu ispod kamera</t>
  </si>
  <si>
    <t>Montaža, spajanje unutranje kamere</t>
  </si>
  <si>
    <t>Montaža, spajanje panoramske kamere</t>
  </si>
  <si>
    <t>Montaža i spajanje SFP priključnih modula</t>
  </si>
  <si>
    <t>Montaža, spajanje besprekidnog napajanja</t>
  </si>
  <si>
    <t>Montaža i spajanje prenaponske zaštite</t>
  </si>
  <si>
    <t>Montaža, spajanje LCD monitora</t>
  </si>
  <si>
    <t>Montaža, spajanje  računala</t>
  </si>
  <si>
    <t xml:space="preserve">Podešavanje postavki snimača </t>
  </si>
  <si>
    <t>Podešavanje postavki kamere (kadar, IP adresa rezolucija, detekcija pokreta, postavke slike)</t>
  </si>
  <si>
    <t>Montaža i spajanje napojne letve</t>
  </si>
  <si>
    <t>Montaža i spajanje prespojnog panela</t>
  </si>
  <si>
    <t>VIDEONADZOR - REKAPITULACIJA</t>
  </si>
  <si>
    <t>VIDEONADZOR - UKUPNO:</t>
  </si>
  <si>
    <t xml:space="preserve">KONTROLA PRISTUPA </t>
  </si>
  <si>
    <t>Komunikacijski ormar, 19", 6U
- Boja: siva RAL7035
- Prednja vrata staklena s bravom
- Demontažne bočne stranice
- Nosači 19'' opreme podesivi po dubini
- Uvod kabela s gornje i/ili donje strane
- Mogućnost ugradnje ventilatora
- Nosivost: 60kg
- Standard: IEC297-2 ili jednakovrijedno
- Stupanj zaštite: IP20                                                                                                                
- uključujući potrebne vijke, police, nosače, uvodnike)</t>
  </si>
  <si>
    <t xml:space="preserve"> 19" napojna letva sa 7x shuko+prenaponska zaštita, 1.25U                             
</t>
  </si>
  <si>
    <t>10-portni gigabitni Web Smart PoE preklopnik
- 8 10/100/1000 BASE-T PoE + 2 SFP 
- kapacitet preklapanja: 40 Gb/s
- MAC adresna tablica: 16 000 ulaza po uređaju
- maks. brzina prosljeđivanja 64 byte paketa: 14,88 Mp/s
- Packet Buffer Memory: 1.5 MB
- IEEE 802.3af  ili jednakovrijedno &amp; IEEE 802.3at PoE standard  ili jednakovrijedno
- portovi 1-8 PoE, do 30 W po portu
- PoE power budget: maks. 78 W
- L2 karakteristike: MAC Address Table (16K ulaza), IGMP Snooping (IGMP v1/v2 Snooping, Supports 256 IGMP grupe, podržava barem 64 statične multicast adrese, IGMP per VLAN, podržava IGMP Snooping Querier), Loopback detekcija, 802.3ad Link agregacija: maks. 5 grupa/8 portova po grupi, LLDP, LLDP-MED, Jumbo okvir: do 9,216 bajta, Spanning Tree protokol ( 802.1D STP, 802.1w RSTP), 802.3x kontrola toka, Port Mirroring, Multicast Filtering,  configurable MDI/MDIX (MLD snooping v1/v2 - 256 grupa)
- L3 karakteristike: podržava 1 IP sučelje, IPv6 Neighbor Discovery (ND), Access Control List (ACL), maks. 50 access list</t>
  </si>
  <si>
    <t>Licenca za spoj sustava kontrole pristupa na osnovnu aplikaciju za integraciju sustava tehničke zaštite</t>
  </si>
  <si>
    <r>
      <t xml:space="preserve">Program za kontrolu pristupa                                                                                                                - Web pristup programu                                                                                                             </t>
    </r>
    <r>
      <rPr>
        <sz val="12"/>
        <rFont val="Calibri"/>
        <family val="2"/>
        <charset val="238"/>
      </rPr>
      <t xml:space="preserve">
- Neograničen broj lokacija</t>
    </r>
    <r>
      <rPr>
        <sz val="12"/>
        <color indexed="10"/>
        <rFont val="Calibri"/>
        <family val="2"/>
        <charset val="238"/>
      </rPr>
      <t xml:space="preserve">
 </t>
    </r>
    <r>
      <rPr>
        <sz val="12"/>
        <rFont val="Calibri"/>
        <family val="2"/>
        <charset val="238"/>
      </rPr>
      <t>- Neograničen broj radnih stanica
 - Neograničen broj korisnika</t>
    </r>
    <r>
      <rPr>
        <sz val="12"/>
        <color indexed="8"/>
        <rFont val="Calibri"/>
        <family val="2"/>
        <charset val="238"/>
      </rPr>
      <t xml:space="preserve">
 - Neograničen broj kontrolera                                                                                                           - Neograničen broj komunikacijskih linija                                                                                                                        - Izrada izvještaja                                                                                                                 - Dodatni moduli                                                                                                                  - Kompatibilne baze podataka: SQLite</t>
    </r>
  </si>
  <si>
    <t xml:space="preserve">Kontroler prolaza slijedećih karakteristika
- Kontroler prolaza za 2 vrata i maksimalno 4000 korisnika
- mogućnost spajanja do 2 vanjskih  čitača 
- do 100000 događaja
- plastično kućište
- komunikacija RS485, TCP/IP, viegand, binarni, protokolni  
- Nadžbukna montaža
- LED signalizacija
- 2+1 izlaza za električnu bravu
- Tip izlaza: Naponski, Akt.=GND, 0.5A @ 12VDC + RELEJNI  
- Maks. 4000 korisnika
- Napajanje: 110 -230 Vac / 50 Hz
- Rezervno napajanje: akumulator 12 Vdc, 2.4 Ah
- Potrošnja 2 W
- IP21 stupanj mehaničke zaštite
</t>
  </si>
  <si>
    <t>Kontroler prolaza slijedećih karakteristika
- Kontroler prolaza za 4 vrata i maksimalno 16000 korisnika
- mogućnost spajanja do 4 vanjskih  čitača 
- do 100 000 događaja
- plastično kućište
- komunikacija RS485, TCP/IP,viegand, binarni, protokolni (3PRO ready) 
- Nadžbukna montaža
- LED signalizacija
- 2+1 izlaza za električnu bravu
- Tip izlaza: Naponski, Akt.=GND, 0.5A @ 12VDC + RELEJNI  
- Napajanje: 110 -230 Vac / 50 Hz
- Rezervno napajanje: akumulator 12 Vdc, 2.4 Ah
- Potrošnja 2 W
- IP21 stupanj mehaničke zaštite</t>
  </si>
  <si>
    <t>Akumulator 12V 2,4Ah
 - Akumulator 12V 
 - 2,4 Ah</t>
  </si>
  <si>
    <t>Napajanje kontrole prolaza slijedećih karakteristika
- napajanje+konverter
- snaga 40 W
- napajanje 110 – 230 V AC 50–60 Hz                    
- izlazni napon 13.8 VDC
- sučelje komunikacije RS485/TCP-IP</t>
  </si>
  <si>
    <t>Modul-čitača slijedećih karakteristika
- RFID
- 13,56 MHz
- RS485 komunikacija 
- IP65 zaštita, crno plastično kućište
- LED signalizacija   
- zvučna signalizacija
- napajanje 9-14 VDC  
- max domet očitanja 7cm   
- maksimalna dužina između čitača I kontrolera je 300m</t>
  </si>
  <si>
    <t>Elektroprihvatnik
- bez napona otvoren
- za duža opterećenja
- s kontaktom za nadzor zatvorenosti                                                                                                - napajanje 12V</t>
  </si>
  <si>
    <t>Magnetni kontakt
- Metalni nadgradni magnetni kontakt
- NC kontakt
- minimalno 25 cm kabela u armiranom/metalnom crijevu u kompletu</t>
  </si>
  <si>
    <t>Beskontaktna kartica za kontrolu prolaza frekvencija 13,56 MHZ 
- Tehnologija: 13,56 MHZ 
- Produženi domet 
- Materijal: PVC, PET</t>
  </si>
  <si>
    <t>Vanjska modularna portafonska jedinica 
- jedna fizička pozivna tipka za recepciju
- zvučnik snage 2 W
- napajanje 12V / 2A ili PoE
- aktivni izlaz 8-12V / 400 mA, relejni izlaz NO/NC 30V / 1A
- u kompletu s dodatnim touch screen modulom koji omogućava pozivanje do 1999 korisnika, pretraživanje imenika, kreranje grupe korisnika, prikaz info poruka u stanju mirovanja (reklama, adresa i sl.), autorizaciju prolaska kodom, zaštitu nasumičnim raspoređivanjem tipki
- u kompletu s okvirom i kutijom za podžbuknu montažu dva modula
- varijanta nadžbukne ugradnje (nije uključeno u cijenu)
- dostupno u izvedbi brušenog aluminija ili crnoj boji
- spaja se na PoE mrežni preklopnik</t>
  </si>
  <si>
    <t>Unutarnja telefonska jedinica za sustav portafonije 
- 4,3" LDC ekran, slušalica za razgovor
- numeričke tipke za biranje broja
- RJ45 10/100 priključak za mrežu</t>
  </si>
  <si>
    <t>Montaža, spajanje klijenstkog računala</t>
  </si>
  <si>
    <t>Montaža i spajanje magnetnog kontakta</t>
  </si>
  <si>
    <t>Montaža i spajanje kontrolera prolaza</t>
  </si>
  <si>
    <t>Montaža i spajanje čitača kartica</t>
  </si>
  <si>
    <t>Montaža i spajanje elektroprihvatnika</t>
  </si>
  <si>
    <t>Bravarska obrada vrata sa  svim potrebnim elementima za  ugradnju elemenata kontrole pristupa (kugla, kvaka, pumpa za zatvaranje vrata)</t>
  </si>
  <si>
    <t>Podešavanje postavki sustava kontrole pristupa</t>
  </si>
  <si>
    <t>Montaža i spajanje napajača sustava kontrole pristupa</t>
  </si>
  <si>
    <t>Montaža i spajanje vanjske jedinice portafona</t>
  </si>
  <si>
    <t>Montaža i spajanje unutarnje jedinice portafona</t>
  </si>
  <si>
    <t>Izrada projekta izvedenog stanja
- u 3 tiskana primjerka te jednom primjeku u digitalnom obliku</t>
  </si>
  <si>
    <t xml:space="preserve">KONTROLA PRISTUPA - REKAPITULACIJA </t>
  </si>
  <si>
    <t>KONTROLA PRISTUPA - UKUPNO:</t>
  </si>
  <si>
    <t>TEHNIČKA ZAŠTITA</t>
  </si>
  <si>
    <t>B.XV.</t>
  </si>
  <si>
    <t xml:space="preserve"> OPREMA PROSTORA</t>
  </si>
  <si>
    <t>OPREMA ZAJEDNIČKIH PROSTORIJA U PRIZEMLJU</t>
  </si>
  <si>
    <r>
      <t xml:space="preserve">STOL
</t>
    </r>
    <r>
      <rPr>
        <sz val="10"/>
        <rFont val="Microsoft Sans Serif"/>
        <family val="2"/>
      </rPr>
      <t>DOBAVA I ISPORUKA STOLA U ZAJEDNIČKOM PROSTORU. IZRAĐEN OD PUNOG DRVETA AMERIČKOG ORAHA, ZAVRŠNA OBRADA ULJE NA BAZI VOSKA.</t>
    </r>
  </si>
  <si>
    <t>1a</t>
  </si>
  <si>
    <t>1b</t>
  </si>
  <si>
    <r>
      <t xml:space="preserve">SLOBODNOSTOJEĆA VJEŠALICA ZA KAPUTE
</t>
    </r>
    <r>
      <rPr>
        <sz val="10"/>
        <rFont val="Microsoft Sans Serif"/>
        <family val="2"/>
      </rPr>
      <t>DOBAVA I ISPORUKA SLOBODNOSTOJEĆE VJEŠALICE U ZAJEDNIČKOM PROSTORU. IZRAĐENA OD PUNOG DRVETA AMERIČKOG ORAHA, ZAVRŠNA OBRADA ULJE NA BAZI VOSKA.
RADIONIČKU RAZRADU DETALJA SPOJEVA PRIJE IZRADE TREBA ODOBRITI PROJEKTANT.</t>
    </r>
  </si>
  <si>
    <r>
      <t xml:space="preserve">STOLIĆ ZAJEDNIČKA PROSTORIJA I URED VODITELJA
</t>
    </r>
    <r>
      <rPr>
        <sz val="10"/>
        <rFont val="Microsoft Sans Serif"/>
        <family val="2"/>
      </rPr>
      <t>DOBAVA MATERIJALA, IZRADA I MONTAŽA NISKOG STOLIĆA U ZAJEDNIČKOM PROSTORU. OBRADA MATERIJALA SUKLADNO PRIMJENJIVOJ TEHNOLOGIJI OBRADE PREMA TEHNIČKIM UPUTAMA DOBAVLJAČA MATERIJALA. UKLJUČITI SAV POTREBAN MATERIJAL I RAD DO POTPUNE GOTOVOSTI ELEMENTA, A SUKLADNO PRILOŽENOM NACRTU.
RADIONIČKU RAZRADU DETALJA I SPOJEVA PRIJE IZRADE TREBA ODOBRITI PROJEKTANT.</t>
    </r>
  </si>
  <si>
    <t>KUHINJA SE SASTOJI OD SLIJEDEĆIH DIJELOVA:</t>
  </si>
  <si>
    <t>RADNA PLOHA IZVEDENA OD UMJETNOG KAMENA, KOMPOZITNOG MATERIJALA, ANORGANSKIH  PUNILA I VISOKOKVALITETNOG AKRILNOG POLIMERA KAO VEZIVA D=20 MM U ANTRACIT BOJI.</t>
  </si>
  <si>
    <t>KORPUSI ELEMENATA IZVEDENI OD VLAGOOTPORNE IVERICE D=19 MM SA OBLOGOM OD HPL LAMINATA  U DEKORU ČEŠLJANOG STRUKTUR ORAHA.</t>
  </si>
  <si>
    <t xml:space="preserve">UNUTARNJE POLICE OD OD VLAGOOTPORNE IVERICE D=19 MM SA OBLOGOM OD HPL LAMINATA  U DEKORU ČEŠLJANOG STRUKTUR ORAHA. </t>
  </si>
  <si>
    <t xml:space="preserve">ZIDNA OBLOGA OD OD VLAGOOTPORNE IVERICE D=19 MM SA OBLOGOM OD HPL LAMINATA  U DEKORU ČEŠLJANOG STRUKTUR ORAHA. </t>
  </si>
  <si>
    <t>POLICA OD MEDIJAPANA U ZAVRŠNOJ MAT OBRADI, BOJA ANTRACIT</t>
  </si>
  <si>
    <t>SOKL OD MEDIJAPANA DEBLJINE 2 CM U ZAVRŠNOJ MAT OBRADI, BOJA ANTRACIT</t>
  </si>
  <si>
    <t>UREĐAJI I OPREMA</t>
  </si>
  <si>
    <t>SUDOPER KORITO</t>
  </si>
  <si>
    <t>UGRADBENI HLADNJAK</t>
  </si>
  <si>
    <t>UGRADBENO INDUKCIJSKO KUHALO</t>
  </si>
  <si>
    <r>
      <t xml:space="preserve">STOL NA VANJSKOJ TERASI
</t>
    </r>
    <r>
      <rPr>
        <sz val="10"/>
        <rFont val="Microsoft Sans Serif"/>
        <family val="2"/>
      </rPr>
      <t xml:space="preserve">DOBAVA I ISPORUKA STOLOVA VANJSKE TERASE. IZRAĐEN OD ALUMINIJA PREMAZANOG PRAHOM. PROMJER GORNJE PLOHE 90 CM. </t>
    </r>
    <r>
      <rPr>
        <b/>
        <sz val="10"/>
        <rFont val="Microsoft Sans Serif"/>
        <family val="2"/>
      </rPr>
      <t xml:space="preserve">
</t>
    </r>
  </si>
  <si>
    <t>KORPUSI I FRONTE ELEMENATA IZVEDENI OD VLAGOOTPORNE IVERICE D=19 MM SA OBLOGOM OD HPL LAMINATA  U DEKORU ČEŠLJANOG STRUKTUR ORAHA.</t>
  </si>
  <si>
    <t>ZAVRŠNI PODNI I STROPNI SOKL OD MEDIJAPANA DEBLJINE 2 CM U ZAVRŠNOJ MAT OBRADI, BOJA ANTRACIT</t>
  </si>
  <si>
    <r>
      <rPr>
        <b/>
        <sz val="10"/>
        <rFont val="Microsoft Sans Serif"/>
        <family val="2"/>
      </rPr>
      <t>KLUPA</t>
    </r>
    <r>
      <rPr>
        <sz val="10"/>
        <rFont val="Microsoft Sans Serif"/>
        <family val="2"/>
      </rPr>
      <t xml:space="preserve"> DIMENZIJA 120×40×45 CM</t>
    </r>
  </si>
  <si>
    <r>
      <t xml:space="preserve">INFORMATIVNI PANO </t>
    </r>
    <r>
      <rPr>
        <sz val="10"/>
        <rFont val="Microsoft Sans Serif"/>
        <family val="2"/>
      </rPr>
      <t>(NA LATINIČNOM I BRAILLE PISMU),</t>
    </r>
    <r>
      <rPr>
        <b/>
        <sz val="10"/>
        <rFont val="Microsoft Sans Serif"/>
        <family val="2"/>
      </rPr>
      <t xml:space="preserve"> </t>
    </r>
    <r>
      <rPr>
        <sz val="10"/>
        <rFont val="Microsoft Sans Serif"/>
        <family val="2"/>
      </rPr>
      <t>DIMENZIJA 160×160 CM.</t>
    </r>
  </si>
  <si>
    <t>OPREMA SMJEŠTAJNIH JEDINICA</t>
  </si>
  <si>
    <r>
      <t xml:space="preserve">KREVET ZA JEDNU OSOBU
</t>
    </r>
    <r>
      <rPr>
        <sz val="10"/>
        <rFont val="Microsoft Sans Serif"/>
        <family val="2"/>
      </rPr>
      <t>DOBAVA MATERIJALA, IZRADA I MONTAŽA KREVETA OD PUNOG DRVETA HRASTA, ZA JEDNU OSOBU. OBRADA MATERIJALA SUKLADNO PRIMJENJIVOJ TEHNOLOGIJI OBRADE PREMA TEHNIČKIM UPUTAMA DOBAVLJAČA MATERIJALA. UKLJUČITI SAV POTREBAN MATERIJAL, OKOV I RAD DO POTPUNE GOTOVOSTI ELEMENTA, A SUKLADNO PRILOŽENOM NACRTU.
RADIONIČKU RAZRADU DETALJA SPOJEVA PRIJE IZRADE TREBA ODOBRITI PROJEKTANT.</t>
    </r>
    <r>
      <rPr>
        <b/>
        <sz val="10"/>
        <rFont val="Microsoft Sans Serif"/>
        <family val="2"/>
      </rPr>
      <t xml:space="preserve">
</t>
    </r>
  </si>
  <si>
    <t>12a</t>
  </si>
  <si>
    <r>
      <t xml:space="preserve">OKVIR </t>
    </r>
    <r>
      <rPr>
        <sz val="10"/>
        <rFont val="Microsoft Sans Serif"/>
        <family val="2"/>
      </rPr>
      <t>ZA MADRAC DIMENZIJA 90×200 CM</t>
    </r>
  </si>
  <si>
    <t>12b</t>
  </si>
  <si>
    <r>
      <t xml:space="preserve">ORMAR ZA JEDNU OSOBU
</t>
    </r>
    <r>
      <rPr>
        <sz val="10"/>
        <rFont val="Microsoft Sans Serif"/>
        <family val="2"/>
      </rPr>
      <t>DOBAVA MATERIJALA, IZRADA I MONTAŽA ORMARA OD PUNOG DRVETA HRASTA, UKUPNIH DIMENZIJA 60×50×210 CM, ZA JEDNU OSOBU. OBRADA MATERIJALA SUKLADNO PRIMJENJIVOJ TEHNOLOGIJI OBRADE PREMA TEHNIČKIM UPUTAMA DOBAVLJAČA MATERIJALA. UKLJUČITI SAV POTREBAN MATERIJAL, OKOV I RAD DO POTPUNE GOTOVOSTI ELEMENTA, A SUKLADNO PRILOŽENOM NACRTU.
RADIONIČKU RAZRADU DETALJA SPOJEVA PRIJE IZRADE TREBA ODOBRITI PROJEKTANT.</t>
    </r>
  </si>
  <si>
    <t>13a</t>
  </si>
  <si>
    <r>
      <t xml:space="preserve">ORMAR ZA JEDNU OSOBU (SOBA SA 6 LEŽAJA)
</t>
    </r>
    <r>
      <rPr>
        <sz val="10"/>
        <rFont val="Microsoft Sans Serif"/>
        <family val="2"/>
      </rPr>
      <t>DOBAVA MATERIJALA, IZRADA I MONTAŽA ORMARA OD PUNOG DRVETA HRASTA, UKUPNIH DIMENZIJA 45×50×210 CM, ZA JEDNU OSOBU. OBRADA MATERIJALA SUKLADNO PRIMJENJIVOJ TEHNOLOGIJI OBRADE PREMA TEHNIČKIM UPUTAMA DOBAVLJAČA MATERIJALA. UKLJUČITI SAV POTREBAN MATERIJAL, OKOV I RAD DO POTPUNE GOTOVOSTI ELEMENTA, A SUKLADNO PRILOŽENOM NACRTU.
RADIONIČKU RAZRADU DETALJA SPOJEVA PRIJE IZRADE TREBA ODOBRITI PROJEKTANT.</t>
    </r>
  </si>
  <si>
    <r>
      <t xml:space="preserve">NOĆNI ORMARIĆ
</t>
    </r>
    <r>
      <rPr>
        <sz val="10"/>
        <rFont val="Microsoft Sans Serif"/>
        <family val="2"/>
      </rPr>
      <t>DOBAVA MATERIJALA, IZRADA I MONTAŽA NOĆNOG ORMARIĆA U SOBAMA, DIMENZIJA 40×40×45.5 CM, OD PUNOG DRVETA HRASTA. OBRADA MATERIJALA SUKLADNO PRIMJENJIVOJ TEHNOLOGIJI OBRADE PREMA TEHNIČKIM UPUTAMA DOBAVLJAČA MATERIJALA. UKLJUČITI SAV POTREBAN MATERIJAL, OKOV I RAD DO POTPUNE GOTOVOSTI ELEMENTA, A SUKLADNO PRILOŽENOM NACRTU.
RADIONIČKU RAZRADU DETALJA SPOJEVA PRIJE IZRADE TREBA ODOBRITI PROJEKTANT</t>
    </r>
    <r>
      <rPr>
        <b/>
        <sz val="10"/>
        <rFont val="Microsoft Sans Serif"/>
        <family val="2"/>
      </rPr>
      <t xml:space="preserve">
</t>
    </r>
  </si>
  <si>
    <r>
      <t xml:space="preserve">RADNI STOL
</t>
    </r>
    <r>
      <rPr>
        <sz val="10"/>
        <rFont val="Microsoft Sans Serif"/>
        <family val="2"/>
      </rPr>
      <t>DOBAVA MATERIJALA, IZRADA I MONTAŽA RADNOG STOLA SA JEDNOM LADICOM OD PUNOG DRVETA HRASTA, U SOBAMA. OBRADA MATERIJALA SUKLADNO PRIMJENJIVOJ TEHNOLOGIJI OBRADE PREMA TEHNIČKIM UPUTAMA DOBAVLJAČA MATERIJALA. UKLJUČITI SAV POTREBAN MATERIJAL, OKOV I RAD DO POTPUNE GOTOVOSTI ELEMENTA, A SUKLADNO PRILOŽENOM NACRTU. 
RADIONIČKU RAZRADU DETALJA SPOJEVA PRIJE IZRADE TREBA ODOBRITI PROJEKTANT.</t>
    </r>
    <r>
      <rPr>
        <b/>
        <sz val="10"/>
        <rFont val="Microsoft Sans Serif"/>
        <family val="2"/>
      </rPr>
      <t xml:space="preserve">
</t>
    </r>
  </si>
  <si>
    <t>15a</t>
  </si>
  <si>
    <t>15b</t>
  </si>
  <si>
    <t>ZASTORI</t>
  </si>
  <si>
    <t xml:space="preserve">DOBAVA MATERIJALA, IZRADA I MONTAŽA ZASTORA OD NEGORIVOG MATERIJALA NA PROZORSKE OTVORE. </t>
  </si>
  <si>
    <t>ZASTOR SU DVOSTRUKE DULJINE OD DULJINE OTVORA</t>
  </si>
  <si>
    <t>UKLJUČIVO I IZRADU PLATNENIH OMČI ZA VJEŠANJE NA KARNIŠNU NA SVAKIH 20 CM DULJINE ZASTORA 1 OMČA VISINE 10 CM</t>
  </si>
  <si>
    <t>ZASTOR CRNE BOJE/BLACK-OUT ZASTOR, DULJINE 230 CM / VISINE 260 CM, PODIJELJEN NA DVA DIJELA</t>
  </si>
  <si>
    <t>ZASTOR  SVJETLO BEŽ BOJE DULJINE 230 CM / VISINE 260 CM, PODIJELJEN NA DVA DIJELA</t>
  </si>
  <si>
    <t>KARNIŠE</t>
  </si>
  <si>
    <t xml:space="preserve">DOBAVA MATERIJALA, IZRADA I MONTAŽA DVOSTRUKE KARNIŠE KRUŽNOG PRESJEKA PROMJERA 3,8 CM, OD PUNOG DRVETA HRASTA . </t>
  </si>
  <si>
    <t>STAVKA UKLJUČUJE NOSAČE I SAV POTREBAN PRIBOR ZA UČVRŠĆIVANJE U ZID OD OPEKE ILI AB.</t>
  </si>
  <si>
    <t>DULJINA 200 CM</t>
  </si>
  <si>
    <t>DULJINA 160 CM</t>
  </si>
  <si>
    <t>ZIDNI PANEL VISINE100 CM</t>
  </si>
  <si>
    <t>POLICA DUBINE 28 CM</t>
  </si>
  <si>
    <t>INOX VJEŠALICA</t>
  </si>
  <si>
    <r>
      <t xml:space="preserve">RADNI STOL URED
</t>
    </r>
    <r>
      <rPr>
        <sz val="10"/>
        <rFont val="Microsoft Sans Serif"/>
        <family val="2"/>
      </rPr>
      <t>DOBAVA MATERIJALA, IZRADA I MONTAŽA RADNOG STOLA SA JEDNOM LADICOM OD PUNOG DRVETA HRASTA, DIMENZIJA 160×80 CM, U SOBAMA. OBRADA MATERIJALA SUKLADNO PRIMJENJIVOJ TEHNOLOGIJI OBRADE PREMA TEHNIČKIM UPUTAMA DOBAVLJAČA MATERIJALA. UKLJUČITI SAV POTREBAN MATERIJAL, OKOV I RAD DO POTPUNE GOTOVOSTI ELEMENTA, A SUKLADNO PRILOŽENOM NACRTU. 
RADIONIČKU RAZRADU DETALJA SPOJEVA PRIJE IZRADE TREBA ODOBRITI PROJEKTANT.</t>
    </r>
  </si>
  <si>
    <r>
      <t xml:space="preserve">KOŠ ZA OTPATKE </t>
    </r>
    <r>
      <rPr>
        <sz val="10"/>
        <rFont val="Microsoft Sans Serif"/>
        <family val="2"/>
      </rPr>
      <t>OD RECIKLIRANE PLASTIKE</t>
    </r>
  </si>
  <si>
    <t>DIMENZIJA 70×80 CM</t>
  </si>
  <si>
    <t>DIMENZIJA 40×40 CM</t>
  </si>
  <si>
    <r>
      <t xml:space="preserve">POPLUN PROŠTEPANI
</t>
    </r>
    <r>
      <rPr>
        <sz val="10"/>
        <rFont val="Arial"/>
        <family val="2"/>
      </rPr>
      <t>DIMENZIJA 140×200 CM, SA SKIDIVOM NAVLAKOM OD 100% PRIRODNOG ČEŠLJANOG PAMUKA, PERIVOJ NA 90°, BIJELE BOJE. ANTIALERGIJSKI I ANTIBAKTERIJSKI, S PUNJENJEM OD POLIESTERSKOG VLAKNA ILI PERJA (90% GUŠČJE PAPERJE, 10% GUŠČJE PERJE), MIN 1100 G - (KOMBINACIJA PO IZBORU).
Svi popluni trebaju imati Oeko-tex Standard 100 certifikat.</t>
    </r>
  </si>
  <si>
    <r>
      <t xml:space="preserve">POSTELJINA ZA KREVET ZA JEDNU OSOBU
</t>
    </r>
    <r>
      <rPr>
        <sz val="10"/>
        <rFont val="Arial"/>
        <family val="2"/>
      </rPr>
      <t>OD 100% ČEŠLJANOG PAMUKA, MIN 150 G/M2, PERIVO NA 95°, BIJELE BOJE. SET SE SASTOJI OD RAVNE PLAHTE DIMENZIJA 150×260 CM (ZA MADRAC DIMENZIJA 90×200 CM), PRESVLAKE ZA JASTUK DIMENZIJA 70×80 CM I PRESVLAKE ZA POPLUN DIMENZIJA 140×200 CM.</t>
    </r>
  </si>
  <si>
    <r>
      <t xml:space="preserve">RUČNICI SA NATPISOM
</t>
    </r>
    <r>
      <rPr>
        <sz val="10"/>
        <rFont val="Arial"/>
        <family val="2"/>
      </rPr>
      <t>OD 100% PAMUKA, DVOŽILNO TKANJE, MIN 600 G/M2, PERIVO NA 95°, BIJELE BOJE.</t>
    </r>
  </si>
  <si>
    <t>SAMOPOSLUŽNI UREĐAJI</t>
  </si>
  <si>
    <t>TEHNIČKA OPREMA</t>
  </si>
  <si>
    <t>- SMART TV PRIJEMNIK RAVNOG EKRANA DIJAGONALE CCA 50" REZOLUCIJE MIN 4K</t>
  </si>
  <si>
    <t>- SMART TV PRIJEMNIK RAVNOG EKRANA DIJAGONALE CCA 40" FULLHD</t>
  </si>
  <si>
    <t>DOBAVA OPREME PRAONICE</t>
  </si>
  <si>
    <t>STAVKA UKLJUČUJE SVU POTREBNU OPREMU I RAD DO KONAČNE FUNKCIONALNOSTI PRAONICE</t>
  </si>
  <si>
    <t>PREDVIDIVA OPREMA SASTOJI SE OD SLIJEDEĆIH ELEMENATA:</t>
  </si>
  <si>
    <t>SPREMNIK ZA POSTELJINU I RUČNIKE</t>
  </si>
  <si>
    <t>- PRIJEM PRLJAVOG RUBLJA sa vrećama</t>
  </si>
  <si>
    <t>- DISTRIBUCIJA ČISTOG RUBLJA</t>
  </si>
  <si>
    <t>ORMAR ZA ODLAGANJE ČISTOG RUBLJA</t>
  </si>
  <si>
    <t>IZRADA PRORAČUNA POTREBNOG KAPACITETA UREĐAJA I OPREME</t>
  </si>
  <si>
    <t>DOBAVA OPREME I MONTAŽA PUNIONICE ZA ELEKTRIČNE BICIKLE</t>
  </si>
  <si>
    <t>OPREMA PROSTORA UKUPNO</t>
  </si>
  <si>
    <t>OPREMANJE PROSTORA</t>
  </si>
  <si>
    <t>JV</t>
  </si>
  <si>
    <r>
      <t xml:space="preserve">DOBAVA MATERIJALA, IZRADA I MONTAŽA </t>
    </r>
    <r>
      <rPr>
        <b/>
        <sz val="10"/>
        <rFont val="Microsoft Sans Serif"/>
        <family val="2"/>
      </rPr>
      <t>BLOK KUHINJE</t>
    </r>
    <r>
      <rPr>
        <sz val="10"/>
        <rFont val="Microsoft Sans Serif"/>
        <family val="2"/>
      </rPr>
      <t xml:space="preserve"> OD VLAGOOTPORNE IVERICE SA OBLOGOM OD HPL LAMINATA ili jednakovrijedno U TONU PO IZBORU. BLOK SE IZVODI STANDRADNIM STOLARSKOM TEHNIKAMA ZA PLOČASTE MATERIJALE. U CIJENI  RADIONIČKA RAZRADA ELEMENTA, REZANJE, KANTIRANJE, LJEPLJENJE HPL LAMINATA, SAV OKOV ZA MONTAŽU, DOPREMA I MONTAŽA NA GRADILIŠTU. SVE DO POTPUNE GOTOVOSTI I FUNKCIONALNOSTI UGRAĐENE KUHINJE. </t>
    </r>
  </si>
  <si>
    <t>FRONTE ELEMENATA IZVEDENE OD  VLAGOOTPORNE IVERICE D=19 MM SA OBLOGOM OD HPL LAMINATA ili jednakovrijedno U DEKORU ČEŠLJANOG STRUKTUR ORAHA. VIDLJIVI OKOV PO ODABIRU PROJEKTANTA</t>
  </si>
  <si>
    <r>
      <rPr>
        <b/>
        <sz val="10"/>
        <rFont val="Microsoft Sans Serif"/>
        <family val="2"/>
      </rPr>
      <t>ORMARI U ZAJEDNIČKOJ PROSTORIJI (SAMOPOMOĆ) I PRAONICI</t>
    </r>
    <r>
      <rPr>
        <sz val="10"/>
        <rFont val="Microsoft Sans Serif"/>
        <family val="2"/>
      </rPr>
      <t xml:space="preserve">
DOBAVA MATERIJALA, IZRADA I MONTAŽA ORMARA UKUPNE DIMENZIJE 260×260 CM. KORPUSI I FRONTE OD VLAGOOTPORNE IVERICE SA OBLOGOM OD HPL LAMINATA ili jednakovrijedno U TONU PO IZBORU. ORMAR SE IZVODI STANDRADNIM STOLARSKOM TEHNIKAMA ZA PLOČASTE MATERIJALE. ORMAR SE SASTOJI OD 16 ODJELJAKA SA ZAOKRETNIM VRATIMA, SUKLADNO PRILOŽENOM NACRTU. U CIJENI  RADIONIČKA RAZRADA ELEMENTA, REZANJE, KANTIRANJE, LJEPLJENJE HPL LAMINATA, SAV OKOV ZA MONTAŽU, DOPREMA I MONTAŽA NA GRADILIŠTU. SVE DO POTPUNE GOTOVOSTI I FUNKCIONALNOSTI.</t>
    </r>
  </si>
  <si>
    <t>LEĐA ELEMENATA IZVEDENI OD HDF PLOČE ili jednakovrijedno D=3 MM U DEKORU ČEŠLJANOG STRUKTUR ORAHA.</t>
  </si>
  <si>
    <t>LEĐA ORMARA IZVEDENI OD HDF PLOČE ili jednakovrijedno D=3 MM U DEKORU ČEŠLJANOG STRUKTUR ORAHA.</t>
  </si>
  <si>
    <r>
      <t>MADRAC</t>
    </r>
    <r>
      <rPr>
        <sz val="10"/>
        <rFont val="Microsoft Sans Serif"/>
        <family val="2"/>
      </rPr>
      <t xml:space="preserve"> DIMENZIJA 90×200 CM DEBLJINE 30 CM, SA DVA SLOJA DŽEPIĆASTE JEZGRE (VISINE 8 CM SVAKI, SA UKUPNO 500 OPRUGA/M2) I SLOJEM MEMORIJSKE PJENE VIDOKE KVALITETE NA ZIMSKOJ STRANI TE SLOJEM VISOKO KVALITETNE HLADNO-LIJEVANE PJENE NA LJETNOJ STRANI. SKIDAJUĆA I PERIVA NAVLAKA SA 4-STRANIM ZATVARAČEM, TKANINA MIN 320G/M2, ŠTEPANO SA VATOM 200 G/M2, SPUŽVOM 0,5 CM I UKRASNOM 3D TRAKOM. CERTIFIKAT OEKO TEX 100 CLASS 1 ili jednakovrijedno. VISOKE KVALITETE</t>
    </r>
  </si>
  <si>
    <t>12c</t>
  </si>
  <si>
    <r>
      <t xml:space="preserve">PODNICA </t>
    </r>
    <r>
      <rPr>
        <sz val="10"/>
        <rFont val="Microsoft Sans Serif"/>
        <family val="2"/>
      </rPr>
      <t>DIMENZIJA 90×200 CM, VISINE 7 CM OD PLASTIFICIRANOG DRVETA BUKVE ili jednakovrijedno SA MINIMALNO 28 LETVICA, 3D FLEKSIBLINIM BOČNIM DRŽAČIMA I MOGUĆNOŠĆU REGULACIJE TVRDOĆE SREDIŠNJEG DIJELA.</t>
    </r>
  </si>
  <si>
    <r>
      <t xml:space="preserve">NOĆNA STOJEĆA SVJETILJKA
</t>
    </r>
    <r>
      <rPr>
        <sz val="10"/>
        <rFont val="Microsoft Sans Serif"/>
        <family val="2"/>
      </rPr>
      <t>DOBAVA I ISPORUKA NOĆNE SVJETILJKE U SOBAMA.
POSTOLJE PUNI JASEN, PROZIRNI AKRILNI LAK, OKVIR SJENILA ČELIK,
SJENILO 100% POLIESTERSKO VLAKNO (MIN 90% RECIKLIRANO, POLIESTERSKA PLASTIKA.
OKVIRNE DIMENZIJE: PROMJER BAZE 27 cm, VISINA 57 cm, ŠIRINA SJENILA 24 cm.</t>
    </r>
  </si>
  <si>
    <r>
      <t xml:space="preserve">JASTUK
</t>
    </r>
    <r>
      <rPr>
        <sz val="10"/>
        <rFont val="Arial"/>
        <family val="2"/>
      </rPr>
      <t>SA SKIDIVOM NAVLAKOM OD 100% PRIRODNOG ČEŠLJANOG PAMUKA, PERIVOJ NA 90°, BIJELE BOJE TE KOMBINACIJOM ZIMSKA-LJETNA STRANA. ANTIALERGIJSKI I ANTIBAKTERIJSKI, S PUNJENJEM OD POLIESTERSKOG VLAKNA, PERJA (90% GUŠČJE PAPERJE, 10% GUŠČJE PERJE), MIN 1400 G ILI MEMORIJSKE PJENE (KOMBINACIJA PO IZBORU).
Svi jastuci trebaju imati Oeko-tex Standard 100 CLASS 1 certifikat ili jednakovrijedno.</t>
    </r>
  </si>
  <si>
    <t>DIMENZIJA 70×140 CM</t>
  </si>
  <si>
    <t>DIMENZIJA 50×100 CM</t>
  </si>
  <si>
    <t>RADOVI RUŠENJA I DEMONTAŽE ODNOSE SE NA DIO ZGRADE, SVE OSIM PREDNJEG ULIČNOG PROČELJA, KOJE SE ZADRŽAVA (UZ RESTAURACIJU I OBNOVU). ZGRADA JE KATNOSTI PRIZEMLJE+1.KAT+POTKROVLJE. ZGRADA JE STARIJA ZIDANICA SA MEĐUKATNIM KONSTRUKCIJAMA OD DRVENIH GREDNIKA. NAD ZGRADOM JE IZVEDENO KLASIČNO DRVENO DVOSTREŠNO KROVIŠTE POKRIVENO CRIJEPOM.</t>
  </si>
  <si>
    <t xml:space="preserve">6 Za sve materijale, postupke i uređaje izvođač je dužan u skladu sa propisima osigurati potrebne certifikate i isprave, te ih pravovremeno prije početka radova ili ugradnje dostaviti na pregled nadzornom inžinjeru
 Odabrani sustav mora posjedovati sljedeće ateste kojima se dokazuje usklađenost izvedenog stanja sa propisanim parametrima iz projekta građevinske fizike, te se trebaju dostavitI:
 - atest vodotjesnosti
 - atest o zrakotjesnosti
 - atest o zvučnoj izolaciji
 - atest o toplinskoj izolaciji
 - dokaz o kvaliteti površinske obrade ugrađenih elemenata
 - atest i podaci o svim uzorcima stakala
</t>
  </si>
  <si>
    <r>
      <t>Izrada, dobava i ugradnja protupožarnih vrata i fiksnih stijena, klasa EI</t>
    </r>
    <r>
      <rPr>
        <sz val="8"/>
        <rFont val="Arial"/>
        <family val="2"/>
      </rPr>
      <t>2</t>
    </r>
    <r>
      <rPr>
        <sz val="10"/>
        <rFont val="Arial"/>
        <family val="2"/>
        <charset val="238"/>
      </rPr>
      <t xml:space="preserve">30C ili jednakovrijedno, </t>
    </r>
    <r>
      <rPr>
        <sz val="10"/>
        <rFont val="Arial"/>
        <family val="2"/>
      </rPr>
      <t>za unutarnju ugradnju</t>
    </r>
    <r>
      <rPr>
        <sz val="10"/>
        <rFont val="Arial"/>
        <family val="2"/>
        <charset val="238"/>
      </rPr>
      <t>.
Vrata spadaju u grupu 1 sukladnosti građevinskih proizvoda i kao takav mora imati certifikat o stalnosti svojstava u skladu s vežećom normama.
Klasifikacija premavažećim normama, obuhvaća zaštitu od plamena i prolaza topline u roku od min. 30 min.
Protupožarno jednostruko staklo je višeslojno, u klasi EI30 ili jednakovrijedno. U prostor između stakla i profila ugrađuje se ekspandirajući laminat koji u slučaju požara nabubri i zabrtvi taj dio konstrukcije. Brtvljenje između krila i štoka osigurano je pomoću 2 protupožarne trostrane brtve u klasi negorivosti, u skladu s važećim normama.</t>
    </r>
  </si>
  <si>
    <r>
      <t xml:space="preserve">IZRADA, DOBAVA I UGRADNJA </t>
    </r>
    <r>
      <rPr>
        <b/>
        <sz val="10"/>
        <rFont val="Microsoft Sans Serif"/>
        <family val="2"/>
      </rPr>
      <t>UNUTRAŠNJIH JEDNOKRILNIH DRVENIH ZAOKRETNIH VRATA SA DIGITALNIM MODULOM ZA OTVARANJE,</t>
    </r>
    <r>
      <rPr>
        <sz val="10"/>
        <rFont val="Microsoft Sans Serif"/>
        <family val="2"/>
      </rPr>
      <t xml:space="preserve"> GLATKOG KRILA MODULARNIH MJERA 90/210. ZAVRŠNA OBRADA LIČENJEM POLIURETANSKOM BOJOM + PRIPREMNE RADNJE, U TONU PO IZBORU PROJEKTANTA.
</t>
    </r>
    <r>
      <rPr>
        <b/>
        <sz val="10"/>
        <rFont val="Microsoft Sans Serif"/>
        <family val="2"/>
      </rPr>
      <t>VRATA U KLASI EI230-C ili jednakovrijedno</t>
    </r>
    <r>
      <rPr>
        <sz val="10"/>
        <rFont val="Microsoft Sans Serif"/>
        <family val="2"/>
      </rPr>
      <t xml:space="preserve">, SVE U SKLADU S VAŽEĆIM CERTIFIKATOM O STALNOSTI SVOJSTAVA GRAĐ. PROIZVODA.
OKOV: PETLJE ODGOVARAJUĆE NOSIVOSTI, KVAKE, ŠTITNICI,  BRAVA. TIP OKOVA PO IZBORU PROJEKTANTA.
SVE MJERE POTREBNO JE PROVJERITI U NARAVI!
RADIONIČKE NACRTE PRIJE IZVEDBE TREBA PREGLEDATI I OVJERITI PROJEKTANT!
</t>
    </r>
  </si>
  <si>
    <r>
      <t xml:space="preserve">IZRADA, DOBAVA I UGRADNJA </t>
    </r>
    <r>
      <rPr>
        <b/>
        <sz val="10"/>
        <rFont val="Microsoft Sans Serif"/>
        <family val="2"/>
      </rPr>
      <t xml:space="preserve">UNUTARNJIH DRVENIH JEDNOKRILNIH OSTAKLJENIH ZAOKRETNIH VRATA </t>
    </r>
    <r>
      <rPr>
        <sz val="10"/>
        <rFont val="Microsoft Sans Serif"/>
        <family val="2"/>
      </rPr>
      <t xml:space="preserve">PROIZVODNE MJERE 100/220 CM (PREMA ZAJEDNIČKOJ PROSTORIJI U PRIZEMLJU). VRATNO KRILO JE S HORIZONTALNOM PREČKOM NA VISINI 110 CM. ZAVRŠNA OBRADA U DEKORU PRIRODNOG HRASTA U TONU PO IZBORU PROJEKTANTA.
</t>
    </r>
    <r>
      <rPr>
        <b/>
        <sz val="10"/>
        <rFont val="Microsoft Sans Serif"/>
        <family val="2"/>
      </rPr>
      <t>OSTAKLJENA VRATA U KLASI EI230-C ili jednakovrijedno</t>
    </r>
    <r>
      <rPr>
        <sz val="10"/>
        <rFont val="Microsoft Sans Serif"/>
        <family val="2"/>
      </rPr>
      <t xml:space="preserve">, SVE U SKLADU S VAŽEĆIM CERTIFIKATOM O STALNOSTI SVOJSTAVA GRAĐ. PROIZVODA.
OKOV: PETLJE  ODGOVARAJUĆE NOSIVOSTI, ŠTITNICI, BRAVA, KVAKA. 
SVE MJERE POTREBNO JE PROVJERITI U NARAVI!
RADIONIČKE NACRTE PRIJE IZVEDBE TREBA PREGLEDATI I OVJERITI PROJEKTANT!
</t>
    </r>
  </si>
  <si>
    <t xml:space="preserve">Hidrostanica za povišenje tlaka u sanitarnoj mreži s vertikalnim pumpama koje sadrže uložnu mehaničku brtvu i standardiziran motor. Hidrostanica se sastoji od dvije vertikalne crpke upravljane frekventnim pretvaračima smještenim na motorima pumpi klase učinkovitosti IE3, snage MINIMALNO 1,10Kw po pumpi, trofazno, namijenjene za kaskadno sinhronizirani rad i auto test. Protok hidrostanice je je 1,05 lps po pumpi @  50 metara uz 58% efikasnosti. Materijal izrade pumpe SS304. Materijal usisnog i tlačnog cjevovoda – SS304, DN40 na usisnoj i DN40 na tlačnoj strani - navojno. Dimenzije hidrostanice VŠD- 1000*550*755mm.  Hidrostanica je tvornički ispitana po Q/H dijagramu kao i strujne karakteristike. </t>
  </si>
  <si>
    <t>iskop jame (za ugradnju kabelskog zdenca MZ D1-E ili jednakovrijedno) dimenzija 78x108x156 cm (1,4 m3) u zemljištu C kategorije.</t>
  </si>
  <si>
    <r>
      <t xml:space="preserve">Dobava na gradilište tipskog montažnog zdenca </t>
    </r>
    <r>
      <rPr>
        <b/>
        <sz val="10"/>
        <rFont val="Arial"/>
        <family val="2"/>
        <charset val="238"/>
      </rPr>
      <t>MZ D1-E ili jednakovrijedno</t>
    </r>
    <r>
      <rPr>
        <sz val="10"/>
        <rFont val="Arial"/>
        <family val="2"/>
        <charset val="238"/>
      </rPr>
      <t xml:space="preserve">, vanjskih dimenzija cca 78x108x156 cm te ugradnja na pripremljenu podlogu od pijeska prema mjerama i uvjetima iz projekta, za opterećenje do 400 kN. </t>
    </r>
  </si>
  <si>
    <r>
      <t xml:space="preserve">Dobava na gradilište tipskog montažnog zdenca </t>
    </r>
    <r>
      <rPr>
        <b/>
        <sz val="10"/>
        <rFont val="Arial"/>
        <family val="2"/>
        <charset val="238"/>
      </rPr>
      <t>MZ D0 ili jednakovrijedno</t>
    </r>
    <r>
      <rPr>
        <sz val="10"/>
        <rFont val="Arial"/>
        <family val="2"/>
        <charset val="238"/>
      </rPr>
      <t xml:space="preserve">, vanjskih dimenzija cca 63x63x101 cm te ugradnja na pripremljenu podlogu od pijeska prema mjerama i uvjetima iz projekta, za opterećenje do 125 kN. </t>
    </r>
  </si>
  <si>
    <r>
      <t xml:space="preserve">Dobava na gradilište tipskog montažnog zdenca </t>
    </r>
    <r>
      <rPr>
        <b/>
        <sz val="10"/>
        <rFont val="Arial"/>
        <family val="2"/>
        <charset val="238"/>
      </rPr>
      <t>MZ D2 ili jednakovrijedno</t>
    </r>
    <r>
      <rPr>
        <sz val="10"/>
        <rFont val="Arial"/>
        <family val="2"/>
        <charset val="238"/>
      </rPr>
      <t xml:space="preserve">, vanjskih dimenzija cca 118x108x98 cm te ugradnja na pripremljenu podlogu od pijeska prema mjerama i uvjetima iz projekta, za opterećenje do 125 kN. </t>
    </r>
  </si>
  <si>
    <r>
      <t xml:space="preserve">Dobava na gradilište tipskog montažnog zdenca </t>
    </r>
    <r>
      <rPr>
        <b/>
        <sz val="10"/>
        <rFont val="Arial"/>
        <family val="2"/>
        <charset val="238"/>
      </rPr>
      <t>MZ D2-E ili jednakovrijedno</t>
    </r>
    <r>
      <rPr>
        <sz val="10"/>
        <rFont val="Arial"/>
        <family val="2"/>
        <charset val="238"/>
      </rPr>
      <t xml:space="preserve">, vanjskih dimenzija cca 118x108x156 cm te ugradnja na pripremljenu podlogu od pijeska prema mjerama i uvjetima iz projekta, za opterećenje do 400 kN. </t>
    </r>
  </si>
  <si>
    <t>TK59-50 GM ili jednakovrijedno 10x4x0,4mm2</t>
  </si>
  <si>
    <t>Vanjska LED dekorativna svjetiljka, kućište svjetiljke izrađeno od aluminija, pokrov svjetiljke izrađen od kaljenog stakla, silikonska brtva, asimetrična optika DX10 ili jednakovrijedno, ULOR = 0%, ukupni svjetlosni tok izvora svjetlosti min. 2600 lm, snaga sistema svjetiljke max 20.5 W (LED izvor+driver), svjetlosna iskoristivost svjetiljke LOR min. 62%, svjetlotehnička iskoristivost svjetiljke min. 78 lm/W, predspoj sa automatskom regulacijom snage u više karakterističnih točaka DDF2 ili jednakovrijedno, boja svjetlosti 3000K, uzvrat boje Ra&gt;80, zaštita od zaprljanja IP66 ili jednakovrijedno, mehanička otpornost IK08 ili jednakovrijedno, životni vijek ≥ 100 000 radnih sati (uz L80B10), raspon radne temperature ambijenta: -20ºC do +50ºC, električna klasa I, zaštita od prenapona 10kV, ENEC certifikat ili jednakovrijedno, dimenzije svjetiljke 586x428x428mm ± 5%;                                                                                                                                                                                                                                                                                                oznaka na nacrtu-V1</t>
  </si>
  <si>
    <t>Dobava, montaža i spajanje p/ž utičnog modula širine 1M za HDMI priključak, tip kao Bticino Classia ili jednakovrijedno</t>
  </si>
  <si>
    <t>Ipsitivanje i parametriranje KNX opreme ili jednakovrijedno prema projektu i zahtjevima korisnika</t>
  </si>
  <si>
    <t>- svi instalirani uređaji za vodu (tuševi s mješalicom, slavine, WC školjke, vodokotlići i slično) moraju biti svrstani u prva dva razreda potrošnje vode EU vodne oznake EU Water Label ili jednakovrijedno, čime se osigurava ostvarenje minimalnog uvjeta zaštite voda i mora.</t>
  </si>
  <si>
    <r>
      <t xml:space="preserve">DOBAVA MATERIJALA I </t>
    </r>
    <r>
      <rPr>
        <b/>
        <sz val="10"/>
        <rFont val="Microsoft Sans Serif"/>
        <family val="2"/>
      </rPr>
      <t>ZIDANJE NOSIVIH ZIDOVA  VANJSKOG PLAŠTA ZGRADE OD BLOK OPEKE S POJAČANOM  TOPLINSKOM ZAŠTITOM. ZID U DEBLJINI 25 CM</t>
    </r>
    <r>
      <rPr>
        <sz val="10"/>
        <rFont val="Microsoft Sans Serif"/>
        <family val="2"/>
      </rPr>
      <t>.  ZIDANJE SE VRŠI LJEPILOM, NA NAČIN USKLAĐEN S SPECIFIKACIJOM PROIZVOĐAČA.</t>
    </r>
  </si>
  <si>
    <r>
      <t xml:space="preserve">DOBAVA MATERIJALA I </t>
    </r>
    <r>
      <rPr>
        <b/>
        <sz val="10"/>
        <rFont val="Microsoft Sans Serif"/>
        <family val="2"/>
      </rPr>
      <t>ZIDANJE UNUTARNJIH NOSIVIH ZIDOVA  ZGRADE OD BLOK OPEKE. ZID U DEBLJINI 20 I 25 CM</t>
    </r>
    <r>
      <rPr>
        <sz val="10"/>
        <rFont val="Microsoft Sans Serif"/>
        <family val="2"/>
      </rPr>
      <t>.  ZIDANJE SE VRŠI LJEPILOM, NA NAČIN USKLAĐEN S SPECIFIKACIJOM PROIZVOĐAČA.</t>
    </r>
  </si>
  <si>
    <t>2 Izvoditelj se obavezuje izraditi i ugraditi otvore do potpune gotovosti, u već provjerenim i certifiranim sustavima, te se od njega očekuju visoka kvaliteta izvedbe. 
Sva tehnička rješenja koja izvoditelj predlaže i primjenjuje moraju biti usklađena s HRN-ma ili jednakovrijedno i propisima te usvojenim EN ili jednakovrijedno (kada je zakonom utvrđena njihova obvezna primjena).</t>
  </si>
  <si>
    <t>spojnica za kabel TK59-50 GM 10x4x0,4mm2, IP68 ili jednakovrijedno za postavljanje u zemlju</t>
  </si>
  <si>
    <t>Nadgradna svjetiljka, LED izvor svjetlosti, kučište od polikarbonata, kopče od nehrđajučeg čelika, pokrov od polikarbonata, efektivni svjetosni tok ili svjetlosni tok svjetiljke s uračunatim gubicima u optičkom sustavu min 4840 lm, snaga sistema max 31 W (LED izvor+driver), ukupna svjetlosna iskoristivost svjetiljke sa uračunatim gubicima u optičkom sustavu min. 156 lm/W, životni vijek LED modula L90B10 ≥50.000 radnih sati uz 90% održavanja inicijalnog svjetlosnog toka, boja svjetlosti 4000K, uzvrata boje Ra&gt;80, zaštita od zaprljanja min. IP66, mehanička zaštita svjetiljke min. IK10, rad na maksimalnoj temperaturi okoline +50°C, svjetiljka ima dodatne aluminijske hladnjake za dodatno hlađenje LED modula i drivera, dimenzija svjetiljke dxšxv 1172x145x111mm ± 5%, ENEC certifikat ili jednakovrijedno, HACCP certifikat ili jednakovrijedno; oznaka na nacrtu-A4</t>
  </si>
  <si>
    <t xml:space="preserve">Dobava, montaža i spajanje vatrodojavne mikroprocesorske centrale s 1 detektorskom analogno adresabilnom petljom.
Hibridna konvencionalna i analogno-adresabilna vatrodojavna centrala 
• 4 konvencionalne zone s prihvatom do 32 standardna konvencionalna detektora po zoni (mogućnost proširenja do 12 konvencionalnih zona uz pomoć dodatnog modula mod. TAEXP10 ili jednakovrijedno)  + 1 zona za konvencionalne ručne javljače požara + 1 analogno-adresabilna petlja  s prihvatom do 254 adresabilna uređaja na petlju
• 1 nadzirani alarmni izlaz;  1 relejni izlaz NA/C/NC za signalizaciju kvara;  1 relejni izlaz NA/C/NC za signalizaciju pred alarma;  2 slobodno programibilna relejna izlaza  NA/C/NC 
• Sustav napajanja s nadziranjem punjenja akumulatora i signalizacijom kvara pri punjenju akumulatora
• Mogućnost  povezivanja sekundarnog napajanja mod.  za udvostručivanje električne energije ili napona (dodatna oprema)
•  Korisničko sučelje s grafičkim displayom  i pozadinskim osvjetljenjem, LCD tipkovnica s navigacijskim tipkama na hrvatskom jeziku 
• Brze tipke za utišavanje, reset, evakuaciju i obilazak
• RS485 za povezivanje do 2 izdvojene tipkovnice mod. TAREPEATER ili jednakovrijedno  i za povezivanje max. 2 nadzirane pomoćne jedinice napajanja mod. C1124EN ili jednakovrijedno (dodatna oprema)
</t>
  </si>
  <si>
    <t xml:space="preserve">Upravljačka bežična tipkovnica
- LCD tipkovnica s prikazom alfanumeričkih poruka i simbola,                                                                                                                -  Bežična frekvencija 868 MHz                                                                                                                      -  Bežična komunikacija dvosmjerna 
- 4 lampice sustava (spreman, uključen, greška, gubitak 220V)
- rezolucija 4x16                                                                                                                     
- 4 programibilne tipke
- Baterijsko napajanje 2 x CR17450 ili jednakovrijedno
- Tamper akcelerometarski                                                                                                               
- Regulacija jačine zujalice i pozadinskog osvjetljenja
</t>
  </si>
  <si>
    <t xml:space="preserve">Sva  ponuđena oprema i sustavi (na koju se odnosi primjena) trebaju zadovoljiti važeće kriterije i obavezna mjerila objavljena u Odluci komisije (EU) u cilju dodjele znaka za okoliš EU za turistički smještaj - EcoLabel ili jednakovrijedno.
</t>
  </si>
  <si>
    <t>Prije davanja ponude za izvedbu građevine izvođač je dužan proučiti projektnu dokumentaciju te zatražiti objašnjenja u vezi nejasnih stavki, ukoliko želi može pregledati trasu građevine, prikupiti potrebne podatke o uvjetima pod kojima će se građevina graditi, proučiti mogućnosti naših i stranih proizvođača projektirane opreme te ponuditi opremu tražene kvalitete uz imenovanje dobavljača i predočenje svih tehničkih podataka za ponuđenu opremu.</t>
  </si>
  <si>
    <t xml:space="preserve">VRATA SU DIMENZIJA 80/220 CM, ZAVRŠNA OBRADA BOJA U TONU PO IZBORU investitora. </t>
  </si>
  <si>
    <r>
      <t>ZIDARSKA PRIPOMOĆ</t>
    </r>
    <r>
      <rPr>
        <sz val="10"/>
        <rFont val="Microsoft Sans Serif"/>
        <family val="2"/>
      </rPr>
      <t xml:space="preserve"> KOD INSTALATERSKIH I OBRTNIČKIH RADOVA, RAZNA ŠTEMANJA, KRPANJA, PROBIJANJA, SITNI  RADOVI I POPRAVCI NAKON OŠTEĆENJA.</t>
    </r>
  </si>
  <si>
    <r>
      <t>DOBAVA MATERIJALA I</t>
    </r>
    <r>
      <rPr>
        <b/>
        <sz val="10"/>
        <rFont val="Microsoft Sans Serif"/>
        <family val="2"/>
      </rPr>
      <t xml:space="preserve"> IZRADA UNUTARNJE STROJNE PRODUŽNE ŽBUKE STROPA</t>
    </r>
    <r>
      <rPr>
        <sz val="10"/>
        <rFont val="Microsoft Sans Serif"/>
        <family val="2"/>
      </rPr>
      <t>, D=1,5 CM NA PODLOZI OD AB. OBVEZAN KONTAKTNI VEZNI SLOJ - CEMNTNI ŠPRIC, KUTNI PROFILI, RABIC PO UGLOVIMA (10 % POVRŠINE) SKELA UKLJUČENI U CIJENU. VISINA DO 3 M. KORISTITI GOTOVU INDUSTRIJSKI PRIREĐENU SMJESU.</t>
    </r>
  </si>
  <si>
    <r>
      <t>KERAMIČKE PODNE OBLOGE PROTUKLIZNOSTI R11, DEBLJINA KERAMIKE MINIMALNO 8 MM, TVRDOĆA PLOČICE NAJMANJE 5, ATESTIRANA ZA JAVNE PROSTORE, VODOUPOJNOSTI 0.5 &lt; E = 3 %, OTPORNOST NA ABRAZIJU (HABANJE) PEI 4, PLOČICE CIJENOVNI RAZRED min. 33 EUR/M</t>
    </r>
    <r>
      <rPr>
        <vertAlign val="superscript"/>
        <sz val="10"/>
        <rFont val="Microsoft Sans Serif"/>
        <family val="2"/>
      </rPr>
      <t xml:space="preserve">2 </t>
    </r>
    <r>
      <rPr>
        <sz val="10"/>
        <rFont val="Microsoft Sans Serif"/>
        <family val="2"/>
      </rPr>
      <t>.</t>
    </r>
  </si>
  <si>
    <r>
      <t xml:space="preserve">DOBAVA MATERIJALA I </t>
    </r>
    <r>
      <rPr>
        <b/>
        <sz val="10"/>
        <rFont val="Microsoft Sans Serif"/>
        <family val="2"/>
      </rPr>
      <t>POLAGANJE KERAMIČKIH PLOČICA ZA IZRADU 'SOKLOVA' VISINE 7 CM.</t>
    </r>
    <r>
      <rPr>
        <sz val="10"/>
        <rFont val="Microsoft Sans Serif"/>
        <family val="2"/>
      </rPr>
      <t xml:space="preserve"> KORISTITI INDUSTRIJSKI PROIZVEDENE 'SOKL' PLOČICE ZA SKOŠENIM GORNJIM RUBOM. PLOČICE MORAJU BITI JEDNAKE KVALITETE I OBRADE KAO U STAVCI 1.  PLOČICE SE POLAŽU LJEPLJENJEM CEMENTNIM LJEPILOM. REŠKE DEBLJINE MAX 1 MM USKLADITI S POLOŽAJEM REŠKI NA PODU. PLOČICE CIJENOVNI RAZRED min. 10 EUR/M</t>
    </r>
    <r>
      <rPr>
        <vertAlign val="superscript"/>
        <sz val="10"/>
        <rFont val="Microsoft Sans Serif"/>
        <family val="2"/>
      </rPr>
      <t>1</t>
    </r>
    <r>
      <rPr>
        <sz val="10"/>
        <rFont val="Microsoft Sans Serif"/>
        <family val="2"/>
      </rPr>
      <t>. STAVKA OBUHVAĆA SAV RAD SA SVIM POTREBNIM PREDRADNJAMA, POMOĆNIM MATERIJALOM I PRIBOROM TE FUGIRANJEM U BOJI PO IZBORUTE FUGIRANJEM U BOJI PO IZBORU. TON I OBRADA PLOČICA  PO IZBORU PROJEKTANTA IZ PONUDE DOBAVLJAČA.</t>
    </r>
  </si>
  <si>
    <t>DOBAVA MATERIJALA I IZRADA IZRAVNAVAJUĆEG SLOJA PODA MASOM ZA IZRAVNANJE U DEBLJINI OD 1 DO 2 MM,  NA SUHU, ČVRSTU I RAVNU PODLOGU. DOPUŠTENE SU GRANIČNE VRIJEDNOSTI NERAVNINA GOTOVE PODLOGE PREMA DIN 18202 ili jednakovrijedno MJERENA NA RAZMAKU OD 2M – 7MM, 0.20M – 2MM, A DOZVOLJENA VLAŽNOST ESTRIHA PREMA DIN 18560 ili jednakovrijedno JE 2% CM.</t>
  </si>
  <si>
    <t>IZRADA VUČENIH PROFILACIJA RAZVIJENE ŠIRINE  22 CM</t>
  </si>
  <si>
    <t>IZRADA VUČENIH PROFILACIJA RAZVIJENE ŠIRINE  105 CM</t>
  </si>
  <si>
    <t>IZRADA VUČENIH PROFILACIJA RAZVIJENE ŠIRINE 55 CM</t>
  </si>
  <si>
    <t>IZRADA VUČENIH PROFILACIJA RAZVIJENE ŠIRINE  35 CM</t>
  </si>
  <si>
    <t>IZRADA VUČENIH PROFILACIJA RAZVIJENE ŠIRINE 35 CM</t>
  </si>
  <si>
    <t>IZRADA VUČENE PROFILACIJE ELIPTIČNE LUNETE RAZVIJENE ŠIRINE 8 CM</t>
  </si>
  <si>
    <t>DOBAVA MATERIJALA I LIČENJE PROČELJA, PROFILACIJA I ARHITEKTB52:B64ONSKE PLASTIKE MINERALNIM SILIKATNIM BOJAMA. PO TON KARTI U DOGOVORU S KONZERVATORIMA, S KOMPLETNOM PRIPREMOM PODLOGE PREMA RECEPTURI PROIZVOĐAČA BOJE.</t>
  </si>
  <si>
    <t xml:space="preserve">Dobava i montaža PP kvadratne sabirne jame, jednokomorne, kapaciteta 12,0 m³, dimenzija približno 216x350x202 cm. Ulaz DN 160, dva otvora za reviziju 60x60 cm. </t>
  </si>
  <si>
    <t xml:space="preserve"> - spremnik pitke vode  70,0 m²</t>
  </si>
  <si>
    <t xml:space="preserve"> - spremnik kišnice  40,0 m²</t>
  </si>
  <si>
    <t xml:space="preserve"> - sbirna jama / bio-pročistač  50,0 m²</t>
  </si>
  <si>
    <r>
      <t>betoniranje temelja betonom marke betona C25(30) 0.64m</t>
    </r>
    <r>
      <rPr>
        <vertAlign val="superscript"/>
        <sz val="10"/>
        <rFont val="Arial"/>
        <family val="2"/>
      </rPr>
      <t>3</t>
    </r>
    <r>
      <rPr>
        <sz val="10"/>
        <rFont val="Arial"/>
        <family val="2"/>
      </rPr>
      <t>, uz centriranje čeličnih sidrenih vijaka šablonom;</t>
    </r>
  </si>
  <si>
    <t>Obuka korisnika za rukovanje sustavom, 3 osobe se obučavaju, a obuka traje 1 dan
- uključivo tiskane upute za rukovanje na hrvatskom jeziku (2 primjerka)</t>
  </si>
  <si>
    <r>
      <t xml:space="preserve">ZIDNA VJEŠALICA
</t>
    </r>
    <r>
      <rPr>
        <sz val="10"/>
        <rFont val="Microsoft Sans Serif"/>
        <family val="2"/>
      </rPr>
      <t>DOBAVA MATERIJALA, IZRADA I MONTAŽA ZIDNE VJEŠALICE U SOBAMA.
SVE IZVEDENO OD FURNIRANOG MEDIJAPANA, ZAVRŠNO FURNIR U DEKORU STRUKTUR HRASTA. FURNIRANE PLOČE SPAJANE U MIX MATCH, SPOJENO U SLIKU (ZASTUPLJENA SVA STRUKTURA DRVETA). ŠIRINU PRILAGODITI BROJU KREVETA U SOBI (25 CM/KREVETU), KUKE ČELIK, MAT CRNE, 1 KUKA/KREVETU.</t>
    </r>
  </si>
  <si>
    <r>
      <t xml:space="preserve">ARHIVSKI ORMAR URED
</t>
    </r>
    <r>
      <rPr>
        <sz val="10"/>
        <rFont val="Microsoft Sans Serif"/>
        <family val="2"/>
      </rPr>
      <t>DOBAVA ISPORUKA UREDSKOG ARHIVSKOG ORMARA.
DIMENZIJE  80×45×180 CM. ORMAR OD ČN LIMA I. RAZREDA, ELEKTROSTATSKI PLASTIFICIRANOG, U ČVRSTOJ VARENOJ IZVEDBI. U BOJI PO IZBORU. ZAKLJUČAVANJE U DVIJE TOČKE, MEHANIČKA BRAVA SA DVA KLJUČA. UNUTAR ORMARA 5 POLICA PODESIVIH PO VISINI.</t>
    </r>
  </si>
  <si>
    <t>PROFESIONALNA ELEKTRIČNA SUŠILICA RUBLJA SA ODVODOM ZRAKA KAPACITETA od 10-15 KG</t>
  </si>
  <si>
    <t>PROFESIONALNA ELEKTRIČNA PERILICA RUBLJA
KAPACITETA od 10-15 KG</t>
  </si>
  <si>
    <t>dimenzije:  155x45x210 CM</t>
  </si>
  <si>
    <t>PUNJAČ ZA BICIKLE (8 UTIČNICA) SA INTEGRIRANOM NADSTREŠNICOM I NOSAČIMA ZA BICIKLE</t>
  </si>
  <si>
    <t>DIMENZIJA 85×180 cm, DEBLJINA PLOČE STOLA MIN 45 MM</t>
  </si>
  <si>
    <t>DIMENZIJA 85×120 cm, DEBLJINA PLOČE STOLA MIN 45 MM</t>
  </si>
  <si>
    <r>
      <t xml:space="preserve">STOLICA
</t>
    </r>
    <r>
      <rPr>
        <sz val="10"/>
        <rFont val="Microsoft Sans Serif"/>
        <family val="2"/>
      </rPr>
      <t>DOBAVA I ISPORUKA STOLICA U ZAJEDNIČKOM PROSTORU. IZRAĐEN OD PUNOG DRVETA AMERIČKOG ORAHA, ZAVRŠNA OBRADA ULJE NA BAZI VOSKA.</t>
    </r>
    <r>
      <rPr>
        <b/>
        <sz val="10"/>
        <rFont val="Microsoft Sans Serif"/>
        <family val="2"/>
      </rPr>
      <t>MINIMALNA NOSIVOST SJEDALA STOLICE 1600 N, A NASLONA 560 N</t>
    </r>
  </si>
  <si>
    <r>
      <t xml:space="preserve">DVOSJED ZAJEDNIČKA PROSTORIJA I URED VODITELJA
</t>
    </r>
    <r>
      <rPr>
        <sz val="10"/>
        <rFont val="Microsoft Sans Serif"/>
        <family val="2"/>
      </rPr>
      <t>DOBAVA I ISPORUKA SOFE SA DVA SJEDIŠTA U ZAJEDNIČKOM PROSTORU. POSTOLJE I KONSTRUKCIJA OD POCINČANIH ČN CIJEVI, ZAVRŠNA BOJA MAT CRNA. ISPUNA SJEDIŠTE I RUKONASLONI OD PU PJENE 25 KG/M3, TKANINA PO IZBORU.
UKLJUČITI SAV POTREBAN MATERIJAL, OKOV I RAD DO POTPUNE GOTOVOSTI ELEMENTA, A SUKLADNO PRILOŽENOM NACRTU.MINIMALNA NOSIVOST SJEDALA STOLICE 1600 N, A NASLONA 560 N</t>
    </r>
  </si>
  <si>
    <r>
      <t xml:space="preserve">FOTELJA ZAJEDNIČKA PROSTORIJA
</t>
    </r>
    <r>
      <rPr>
        <sz val="10"/>
        <rFont val="Microsoft Sans Serif"/>
        <family val="2"/>
      </rPr>
      <t>DOBAVA I ISPORUKA FOTELJE U ZAJEDNIČKOM PROSTORU. POSTOLJE I KONSTRUKCIJA OD POCINČANIH ČN CIJEVI, ZAVRŠNA BOJA MAT CRNA. ISPUNA SJEDIŠTE I RUKONASLONI OD PU PJENE 25 KG/M3, TKANINA PO IZBORU.
UKLJUČITI SAV POTREBAN MATERIJAL, OKOV I RAD DO POTPUNE GOTOVOSTI ELEMENTA, A SUKLADNO PRILOŽENOM NACRTU.MINIMALNA NOSIVOST SJEDALA STOLICE 1600 N, A NASLONA 560 N</t>
    </r>
    <r>
      <rPr>
        <b/>
        <sz val="10"/>
        <rFont val="Microsoft Sans Serif"/>
        <family val="2"/>
      </rPr>
      <t xml:space="preserve">
</t>
    </r>
  </si>
  <si>
    <r>
      <t xml:space="preserve">STOLICA NA VANJSKOJ TERASI
</t>
    </r>
    <r>
      <rPr>
        <sz val="10"/>
        <rFont val="Microsoft Sans Serif"/>
        <family val="2"/>
      </rPr>
      <t>DOBAVA I ISPORUKA STOLICA VANJSKE TERASE. IZRAĐENA OD 100% RECIKLIRANE PLASTIKE. OKVIRNE DIMENZIJE 56×56 CM, VISINA SJEDIŠTA CCA 45 CM. SLOŽIVE JEDNA NA DRUGU.MINIMALNA NOSIVOST SJEDALA STOLICE 1600 N, A NASLONA 560 N</t>
    </r>
  </si>
  <si>
    <r>
      <rPr>
        <b/>
        <sz val="10"/>
        <rFont val="Microsoft Sans Serif"/>
        <family val="2"/>
      </rPr>
      <t>OPREMA U ZAJEDNIČKOJ PROSTORIJI (POMOĆ)</t>
    </r>
    <r>
      <rPr>
        <sz val="10"/>
        <rFont val="Microsoft Sans Serif"/>
        <family val="2"/>
      </rPr>
      <t xml:space="preserve">
DOBAVA MATERIJALA, IZRADA I MONTAŽA OPREME OD PUNOG DRVETA ORAHA U ZAJEDNIČKOJ PROSTORIJI. UKLJUČITI SAV POTREBAN MATERIJAL I RAD DO POTPUNE GOTOVOSTI ELEMENTA, A SUKLADNO PRILOŽENOM NACRTU.
RADIONIČKU RAZRADU DETALJA I SPOJEVA PRIJE IZRADE TREBA ODOBRITI PROJEKTANT.MINIMALNA NOSIVOST SJEDALA STOLICE 1600 N, A NASLONA 560 N</t>
    </r>
  </si>
  <si>
    <r>
      <t xml:space="preserve">STOLICA
</t>
    </r>
    <r>
      <rPr>
        <sz val="10"/>
        <rFont val="Microsoft Sans Serif"/>
        <family val="2"/>
      </rPr>
      <t>DOBAVA I ISPORUKA STOLICE U SOBAMA.
PUNI HRAST, NIJANSIRANI PROZIRNI LAK
OKVIRNE DIMENZIJE: V×Š×D = 46/49/79 cm,
VISINA SJEDENJA 45 cm.</t>
    </r>
    <r>
      <rPr>
        <b/>
        <sz val="10"/>
        <rFont val="Microsoft Sans Serif"/>
        <family val="2"/>
      </rPr>
      <t>MINIMALNA NOSIVOST SJEDALA STOLICE 1600 N, A NASLONA 560 N</t>
    </r>
  </si>
  <si>
    <r>
      <t xml:space="preserve">RADNA STOLICA URED
</t>
    </r>
    <r>
      <rPr>
        <sz val="10"/>
        <rFont val="Microsoft Sans Serif"/>
        <family val="2"/>
      </rPr>
      <t>DOBAVA ISPORUKA UREDSKE STOLICE.
SJEDIŠTE PODESIVO PO VISINI I DUBINI, SJEDIŠTE DEBLJEG PUNJENJA, PRESVUČENO CRNOM VISOKOKVALITETNOM TKANINOM, ERGONOMSKI NASLON U CRNOJ MREŽI, PODESIV PO VISINI, LUMBALNA POTPORA PODESIVA PO VISINI, NASLON ZA GLAVU PODESIV PO VISINI I NAGIBU, 4D UDOBNI I MEKANI RUKONASLONI, PODESIVI PO VISINI, DUBINI, ŠIRINI I KUTNOJ ROTACIJI.
SYNCHRO MEHANIZAM: PODEŠAVANJE NAGIBA NASLONA I SJEDALA, TEŽINOM S ANTI-SHOCK KONTROLNOM RUČKOM.
BAZA OD POLIRANOG ALUMINIJA, KROMIRANI PLINSKI PODIZAČ.DIMENZIE: V×Š×D = 120-140/70/50-55 cm, VISINA SJEDENJA 50-62 cm.</t>
    </r>
    <r>
      <rPr>
        <b/>
        <sz val="10"/>
        <rFont val="Microsoft Sans Serif"/>
        <family val="2"/>
      </rPr>
      <t>MINIMALNA NOSIVOST SJEDALA STOLICE 1600 N, A NASLONA 560 N</t>
    </r>
  </si>
  <si>
    <t>STOL DIMENZIJA 80×45 CM - ZA JEDNU OSOBU, DEBLJINA PLOČE STOLA DULJINE 80 CM MIN 22 MM.</t>
  </si>
  <si>
    <t xml:space="preserve">STOL DIMENZIJA 150×45 CM - ZA DVIJE OSOBE, DEBLJINA PLOČE STOLA DULJINE 150 CM MIN 22 MM, SA IZVEDBOM DODATNE ČELIČNE POTKONSTRUKCIJE OJAČANJA ISPOD PLOČE </t>
  </si>
  <si>
    <t>SAMOPOSLUŽNI UREĐAJ ZA TOPLE NAPITKE (KAVA, ČAJ): uređaj na kovanice ili papirnati novac ili kartice sa minimalno 16 proizvoda sa odabirom na tipku, automatskim spremnikom za čaše, tipkama za doziranje šećera i jačine pića, TOUCHSCREEN LCD zaslon,  zvučni signal za oznaku procesa pripreme napitka i njegovog točenja, GSM za daljinski nadzor,  mehanički brojač izdanih proizvoda,  unutarnja rasvjeta, osvijetljeni pladanj za piće, sustav za pumpanje vode, rashladni modul,  spremnik i pribor za pripremu šećera, poklopac s bravom na spremniku za novac, omekšivač vode,  uređaj za grijanje vode.</t>
  </si>
  <si>
    <r>
      <t xml:space="preserve">Nabava, izrada, transport, istovar, odlaganje i montaža </t>
    </r>
    <r>
      <rPr>
        <b/>
        <sz val="10"/>
        <rFont val="Microsoft Sans Serif"/>
        <family val="2"/>
      </rPr>
      <t>PRIVREMENE ČELIČNE KONSTRUKCIJE ZA PRIDRŽAVANJE POSTOJEĆEG ULIČNOG ZIDA (TIJEKOM UKLANJANJA OSTATKA ZGRADE)</t>
    </r>
    <r>
      <rPr>
        <sz val="10"/>
        <rFont val="Microsoft Sans Serif"/>
        <family val="2"/>
      </rPr>
      <t>, od čelika S235JR (ili jednakovrijedno sa slijedećim karakteristikama: Vlačna čvrstoća: 360-510MPa, Granica razvlačenja: 235 MPa, Istezanje: 26%, Brinellova tvrdoća: 104-154HB, Modul elastičnosti: 210 GPa)</t>
    </r>
  </si>
  <si>
    <t>Dobava, montaža i spajanje tipkala za isklop razdjelnika u nuždi, za vanjsku montažu IP65</t>
  </si>
  <si>
    <t>SAMOPOSLUŽNI UREĐAJ ZA HLADNE NAPITKE I HRANU: uređaj na kovanice ili papirnati novac sa minimalno 48 proizvoda sa odabirom na tipku, TOUCHSCREEN LCD zaslon,  minimalno 6 ladica sa 8 spirala, LED diode na svakoj ladici za vidljivost proizvoda, GSM za daljinski nadzor, mehanički brojač izdanih proizvoda, rashladni modul, upravljanje različitim temperaturnim profilima u skladu za željenom kategorijom (kategorija 4: 50% &lt;12°C, 50% &lt; 3°C), sigurnosni uređaj za kontrolu temperature i blokiranje spirala ako nisu ispunjeni regulatorni uvjeti za kvarljive proizvode, lako dostupna i uklonjiva rashladna jedinica, zamjenjivi filter za prašinu (lako dostupan), plin za hlađenje, pretinac obložen pjenom od 40 mm s PVC toplinskim prekidom, pirolitička kaljena dvostruka stakla 20 mm s niskom emisijom, protuprovalna izolirana vrata za isporuku proizvoda,  prednji dovod zraka,  automatsko isključivanje/uključivanje LED rasvjete (podesivo),  podesivi raspored ladica, poklopac s bravom na spremniku za novac.</t>
  </si>
  <si>
    <r>
      <t xml:space="preserve">Nabava, izrada, transport, istovar, odlaganje i montaža </t>
    </r>
    <r>
      <rPr>
        <b/>
        <sz val="10"/>
        <rFont val="Microsoft Sans Serif"/>
        <family val="2"/>
      </rPr>
      <t>ČELIČNE KONSTRUKCIJE OGRADE UNUTARNJEG STUBIŠTA (stavka 1)</t>
    </r>
    <r>
      <rPr>
        <sz val="10"/>
        <rFont val="Microsoft Sans Serif"/>
        <family val="2"/>
      </rPr>
      <t>, od čelika S235JR(ili jednakovrijedno sa slijedećim karakteristikama: Vlačna čvrstoća: 360-510MPa, Granica razvlačenja: 235 MPa, Istezanje: 26%, Brinellova tvrdoća: 104-154HB, Modul elastičnosti: 210 GPa). Izrada prema radioničkoj dokumentaciji, prethodno čišćenje mlazom abraziva do propisanog sjaja, te zaštićena antikorozivnim sustavom: bojanjem (kategorija korozivnosti C1). Čelična konstrukcija sastavljena je od standardnih profila i čeličnih limova. U cijeni kompletan materijal i vijci za montažu.</t>
    </r>
  </si>
  <si>
    <r>
      <t xml:space="preserve">Nabava, izrada, transport, istovar, odlaganje i montaža POCINČANE </t>
    </r>
    <r>
      <rPr>
        <b/>
        <sz val="10"/>
        <rFont val="Microsoft Sans Serif"/>
        <family val="2"/>
      </rPr>
      <t>ČELIČNE KONSTRUKCIJE VANJSKOG OGRAĐENOG PROSTORA ZA UREĐAJE TERMOTEHNIKE (stavka 2)</t>
    </r>
    <r>
      <rPr>
        <sz val="10"/>
        <rFont val="Microsoft Sans Serif"/>
        <family val="2"/>
      </rPr>
      <t>, od čelika S235JR(ili jednakovrijedno sa slijedećim karakteristikama: Vlačna čvrstoća: 360-510MPa, Granica razvlačenja: 235 MPa, Istezanje: 26%, Brinellova tvrdoća: 104-154HB, Modul elastičnosti: 210 GPa). Izrada prema radioničkoj dokumentaciji. Čelična konstrukcija sastavljena je od standardnih profila - kvadratnih cijevi 60×60 mm i 60×40 mm, čeličnih limova i pocinčane čelične žičane mreže 25×25 mm. U većem polju dvokrilna vrata dimenzija 130×220 cm koja se sastoje od okvira od pravokutnih profila 40×60 mm i ispune od pocinčane čelične zavarene žičane mreže oka 25×25 mm, uključivo sav potreban okov (petlje odgovarajuće nosivosti, štitnici, kvaka, brava) U cijeni kompletan materijal i vijci za montažu.</t>
    </r>
  </si>
  <si>
    <r>
      <t xml:space="preserve">Osnovna aplikacija software-a za integraciju sustava tehničke zaštite, potrebne licence za pojedine elemente sustava sa slijedećim karakteristikama:
- programski paket za grafički prikaz i upravljanje sustavima tehničke zaštite
- integracija sa video nadzornim sustavom
- integracija sa sustavom protuprovale 
- grafičke mape štićenog prostora (neograničen broj mapa)
- grafički prikaz stanja alarmnog sustava i interaktivni simboli elemenata alarmnog sustava
- pretraživanje događaja iz baze podataka
- neograničeni broj operatera s različitim pravima
- u slučaju prekida komunikacije sa pojedinim sustavom, servis treba automatski obavijestiti operatera putem klijentske aplikacije te pokušavati uspostaviti vezu sa dotičnim sustavom
- mogućnost povezivanja svakog tlocrtnog prikaza sa odgovarajućim prikazom kamera na drugom ekranu
- aplikacija mora imati mogućnost, da u slučaju određene alarmne situacije, prikaže tlocrtni prikaz dijela objekta u kojem je detektiran alarm s promijenjenom bojom aktivnog simbola koji je u alarmu te da operater može trenutno dobiti video sliku s alarmne pozicije na pomoćnom monitoru. </t>
    </r>
    <r>
      <rPr>
        <sz val="10"/>
        <rFont val="Arial"/>
        <family val="2"/>
        <charset val="238"/>
      </rPr>
      <t>Svi alarmni događaji moraju biti prikazani u obliku alarmne liste na kojoj će biti navedeni svi neobrađeni alarmni događaji (u odgovarajućim bojama koje određuju pojedini događaj)</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</si>
</sst>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43" formatCode="_-* #,##0.00_-;\-* #,##0.00_-;_-* &quot;-&quot;??_-;_-@_-"/>
    <numFmt numFmtId="164" formatCode="#,##0.00\ &quot;kn&quot;;\-#,##0.00\ &quot;kn&quot;"/>
    <numFmt numFmtId="165" formatCode="#,##0.00\ &quot;kn&quot;;[Red]\-#,##0.00\ &quot;kn&quot;"/>
    <numFmt numFmtId="166" formatCode="_-* #,##0.00\ &quot;kn&quot;_-;\-* #,##0.00\ &quot;kn&quot;_-;_-* &quot;-&quot;??\ &quot;kn&quot;_-;_-@_-"/>
    <numFmt numFmtId="167" formatCode="_-* #,##0.00\ _k_n_-;\-* #,##0.00\ _k_n_-;_-* &quot;-&quot;??\ _k_n_-;_-@_-"/>
    <numFmt numFmtId="168" formatCode="_(* #,##0.00_);_(* \(#,##0.00\);_(* &quot;-&quot;??_);_(@_)"/>
    <numFmt numFmtId="169" formatCode="_(* #,##0.0_);_(* \(#,##0.00\);_(* \-??_);_(@_)"/>
    <numFmt numFmtId="170" formatCode="General_)"/>
    <numFmt numFmtId="171" formatCode="0.000"/>
    <numFmt numFmtId="172" formatCode="&quot;fl&quot;#,##0_);&quot;(fl&quot;#,##0\)"/>
    <numFmt numFmtId="173" formatCode="&quot;fl&quot;#,##0_);[Red]&quot;(fl&quot;#,##0\)"/>
    <numFmt numFmtId="174" formatCode="&quot;fl&quot;#,##0.00_);&quot;(fl&quot;#,##0.00\)"/>
    <numFmt numFmtId="175" formatCode="yyyy/mm/dd"/>
    <numFmt numFmtId="176" formatCode="#,###;#,###;&quot;&quot;"/>
    <numFmt numFmtId="177" formatCode="_-* #,##0_đ_._-;\-* #,##0_đ_._-;_-* \-_đ_._-;_-@_-"/>
    <numFmt numFmtId="178" formatCode="_-* #,##0.00_đ_._-;\-* #,##0.00_đ_._-;_-* \-??_đ_._-;_-@_-"/>
    <numFmt numFmtId="179" formatCode="\60&quot;47:&quot;"/>
    <numFmt numFmtId="180" formatCode="&quot;fl&quot;#,##0.00_);[Red]&quot;(fl&quot;#,##0.00\)"/>
    <numFmt numFmtId="181" formatCode="_(&quot;fl&quot;* #,##0_);_(&quot;fl&quot;* \(#,##0\);_(&quot;fl&quot;* \-_);_(@_)"/>
    <numFmt numFmtId="182" formatCode="#,##0.0"/>
    <numFmt numFmtId="183" formatCode="_-* #,##0.00_-;\-* #,##0.00_-;_-* \-??_-;_-@_-"/>
    <numFmt numFmtId="184" formatCode="#,##0.00\ &quot;kn&quot;"/>
    <numFmt numFmtId="185" formatCode="0.0"/>
    <numFmt numFmtId="186" formatCode="_-* #,##0.00\ _k_n_-;\-* #,##0.00\ _k_n_-;_-* \-??\ _k_n_-;_-@_-"/>
    <numFmt numFmtId="187" formatCode="_(&quot;kn&quot;\ * #,##0.00_);_(&quot;kn&quot;\ * \(#,##0.00\);_(&quot;kn&quot;\ * &quot;-&quot;??_);_(@_)"/>
    <numFmt numFmtId="188" formatCode="#,##0.00&quot;      &quot;;\-#,##0.00&quot;      &quot;;&quot; -&quot;#&quot;      &quot;;@\ "/>
    <numFmt numFmtId="189" formatCode="[$-41A]General"/>
    <numFmt numFmtId="190" formatCode="#&quot;.&quot;"/>
    <numFmt numFmtId="191" formatCode="#00_ ;"/>
    <numFmt numFmtId="192" formatCode="_-[$€]\ * #,##0.00_-;\-[$€]\ * #,##0.00_-;_-[$€]\ * &quot;-&quot;??_-;_-@_-"/>
    <numFmt numFmtId="193" formatCode="&quot;- &quot;@"/>
    <numFmt numFmtId="194" formatCode="#,##0.00\ [$kn-41A]"/>
    <numFmt numFmtId="195" formatCode="mmm\ dd"/>
    <numFmt numFmtId="196" formatCode="#,##0.00_ ;[Red]\-#,##0.00\ "/>
    <numFmt numFmtId="197" formatCode="dd/mm/yy"/>
    <numFmt numFmtId="198" formatCode="#,##0.000"/>
    <numFmt numFmtId="199" formatCode="[$€-2]\ #,##0.00"/>
    <numFmt numFmtId="200" formatCode="#,##0.00\ &quot;kn&quot;;\-#,##0.00\ &quot;kn&quot;;&quot;&quot;"/>
    <numFmt numFmtId="201" formatCode="#,##0.00\ [$€-1]"/>
    <numFmt numFmtId="202" formatCode="_-* #,##0.00\ [$kn-41A]_-;\-* #,##0.00\ [$kn-41A]_-;_-* &quot;-&quot;??\ [$kn-41A]_-;_-@_-"/>
    <numFmt numFmtId="203" formatCode="#"/>
    <numFmt numFmtId="204" formatCode="[$€-2]\ #,##0.00;\-[$€-2]\ #,##0.00"/>
    <numFmt numFmtId="205" formatCode="#,##0.00\ [$€-1];\-#,##0.00\ [$€-1]"/>
    <numFmt numFmtId="206" formatCode="#,##0.00\ [$kn-41A];[Red]\-#,##0.00\ [$kn-41A]"/>
    <numFmt numFmtId="207" formatCode="#,##0.00\ _k_n"/>
    <numFmt numFmtId="208" formatCode="###0;\-_*###0"/>
    <numFmt numFmtId="209" formatCode="0&quot;.&quot;"/>
    <numFmt numFmtId="210" formatCode="#,##0.00\ [$EUR]"/>
    <numFmt numFmtId="211" formatCode="_-* #,##0.00\ [$EUR]_-;\-* #,##0.00\ [$EUR]_-;_-* &quot;-&quot;??\ [$EUR]_-;_-@_-"/>
  </numFmts>
  <fonts count="187">
    <font>
      <sz val="10"/>
      <name val="Arial"/>
      <family val="2"/>
      <charset val="238"/>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family val="2"/>
      <charset val="238"/>
    </font>
    <font>
      <sz val="9"/>
      <name val="Times New Roman"/>
      <family val="1"/>
    </font>
    <font>
      <sz val="10"/>
      <color indexed="8"/>
      <name val="Arial"/>
      <family val="2"/>
    </font>
    <font>
      <sz val="10"/>
      <name val="MS Sans Serif"/>
      <family val="2"/>
      <charset val="238"/>
    </font>
    <font>
      <sz val="10"/>
      <name val="Arial"/>
      <family val="2"/>
    </font>
    <font>
      <b/>
      <sz val="12"/>
      <name val="Arial"/>
      <family val="2"/>
    </font>
    <font>
      <b/>
      <sz val="14"/>
      <name val="Arial"/>
      <family val="2"/>
    </font>
    <font>
      <i/>
      <sz val="12"/>
      <name val="Arial"/>
      <family val="2"/>
    </font>
    <font>
      <sz val="12"/>
      <name val="Arial"/>
      <family val="2"/>
    </font>
    <font>
      <b/>
      <sz val="10"/>
      <name val="Arial"/>
      <family val="2"/>
    </font>
    <font>
      <i/>
      <sz val="10"/>
      <name val="Arial"/>
      <family val="2"/>
    </font>
    <font>
      <sz val="10"/>
      <name val="Arial Cyr"/>
      <family val="2"/>
      <charset val="204"/>
    </font>
    <font>
      <b/>
      <sz val="8"/>
      <color indexed="9"/>
      <name val="Tahoma"/>
      <family val="2"/>
    </font>
    <font>
      <b/>
      <i/>
      <sz val="10"/>
      <name val="Arial"/>
      <family val="2"/>
    </font>
    <font>
      <sz val="8"/>
      <name val="CRO_Swiss-Normal"/>
      <family val="2"/>
      <charset val="238"/>
    </font>
    <font>
      <sz val="11"/>
      <name val="Arial"/>
      <family val="2"/>
      <charset val="238"/>
    </font>
    <font>
      <b/>
      <sz val="12"/>
      <name val="Arial"/>
      <family val="2"/>
      <charset val="238"/>
    </font>
    <font>
      <sz val="12"/>
      <name val="Arial"/>
      <family val="2"/>
      <charset val="238"/>
    </font>
    <font>
      <sz val="8"/>
      <name val="Arial"/>
      <family val="2"/>
      <charset val="238"/>
    </font>
    <font>
      <sz val="10"/>
      <name val="Arial"/>
      <family val="2"/>
      <charset val="238"/>
    </font>
    <font>
      <b/>
      <sz val="10"/>
      <name val="Arial"/>
      <family val="2"/>
      <charset val="238"/>
    </font>
    <font>
      <sz val="10"/>
      <name val="Arial CE"/>
      <charset val="238"/>
    </font>
    <font>
      <sz val="9"/>
      <name val="Arial"/>
      <family val="2"/>
      <charset val="238"/>
    </font>
    <font>
      <sz val="12"/>
      <name val="Tms Rmn"/>
    </font>
    <font>
      <sz val="10"/>
      <name val="Helv"/>
    </font>
    <font>
      <sz val="10"/>
      <name val="Arial"/>
      <family val="2"/>
      <charset val="238"/>
    </font>
    <font>
      <sz val="10"/>
      <name val="Arial CE"/>
      <family val="2"/>
      <charset val="238"/>
    </font>
    <font>
      <sz val="10"/>
      <name val="Times New Roman"/>
      <family val="1"/>
      <charset val="238"/>
    </font>
    <font>
      <sz val="11"/>
      <name val="Arial"/>
      <family val="2"/>
    </font>
    <font>
      <sz val="11"/>
      <color indexed="8"/>
      <name val="Calibri"/>
      <family val="2"/>
      <charset val="238"/>
    </font>
    <font>
      <u/>
      <sz val="10"/>
      <color indexed="12"/>
      <name val="Arial"/>
      <family val="2"/>
      <charset val="238"/>
    </font>
    <font>
      <sz val="11"/>
      <color indexed="9"/>
      <name val="Calibri"/>
      <family val="2"/>
      <charset val="238"/>
    </font>
    <font>
      <sz val="11"/>
      <color indexed="20"/>
      <name val="Calibri"/>
      <family val="2"/>
      <charset val="238"/>
    </font>
    <font>
      <b/>
      <sz val="11"/>
      <color indexed="52"/>
      <name val="Calibri"/>
      <family val="2"/>
      <charset val="238"/>
    </font>
    <font>
      <b/>
      <sz val="11"/>
      <color indexed="9"/>
      <name val="Calibri"/>
      <family val="2"/>
      <charset val="238"/>
    </font>
    <font>
      <i/>
      <sz val="11"/>
      <color indexed="23"/>
      <name val="Calibri"/>
      <family val="2"/>
      <charset val="238"/>
    </font>
    <font>
      <sz val="11"/>
      <color indexed="17"/>
      <name val="Calibri"/>
      <family val="2"/>
      <charset val="238"/>
    </font>
    <font>
      <b/>
      <sz val="15"/>
      <color indexed="56"/>
      <name val="Calibri"/>
      <family val="2"/>
      <charset val="238"/>
    </font>
    <font>
      <b/>
      <sz val="13"/>
      <color indexed="56"/>
      <name val="Calibri"/>
      <family val="2"/>
      <charset val="238"/>
    </font>
    <font>
      <b/>
      <sz val="11"/>
      <color indexed="56"/>
      <name val="Calibri"/>
      <family val="2"/>
      <charset val="238"/>
    </font>
    <font>
      <sz val="11"/>
      <color indexed="62"/>
      <name val="Calibri"/>
      <family val="2"/>
      <charset val="238"/>
    </font>
    <font>
      <sz val="11"/>
      <color indexed="52"/>
      <name val="Calibri"/>
      <family val="2"/>
      <charset val="238"/>
    </font>
    <font>
      <sz val="11"/>
      <color indexed="60"/>
      <name val="Calibri"/>
      <family val="2"/>
      <charset val="238"/>
    </font>
    <font>
      <b/>
      <sz val="11"/>
      <color indexed="63"/>
      <name val="Calibri"/>
      <family val="2"/>
      <charset val="238"/>
    </font>
    <font>
      <b/>
      <sz val="18"/>
      <color indexed="56"/>
      <name val="Cambria"/>
      <family val="2"/>
      <charset val="238"/>
    </font>
    <font>
      <b/>
      <sz val="11"/>
      <color indexed="8"/>
      <name val="Calibri"/>
      <family val="2"/>
      <charset val="238"/>
    </font>
    <font>
      <sz val="11"/>
      <color indexed="10"/>
      <name val="Calibri"/>
      <family val="2"/>
      <charset val="238"/>
    </font>
    <font>
      <sz val="10"/>
      <name val="Times New Roman CE"/>
      <family val="1"/>
      <charset val="238"/>
    </font>
    <font>
      <sz val="12"/>
      <name val="Times New Roman CE"/>
      <family val="1"/>
      <charset val="238"/>
    </font>
    <font>
      <sz val="10"/>
      <name val="Helv"/>
      <family val="2"/>
    </font>
    <font>
      <sz val="10"/>
      <color indexed="8"/>
      <name val="Arial CE"/>
      <charset val="238"/>
    </font>
    <font>
      <sz val="11"/>
      <color indexed="8"/>
      <name val="Calibri"/>
      <family val="2"/>
    </font>
    <font>
      <sz val="11"/>
      <name val="Times New Roman"/>
      <family val="1"/>
      <charset val="238"/>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1"/>
      <name val="Calibri"/>
      <family val="2"/>
      <charset val="238"/>
    </font>
    <font>
      <sz val="11"/>
      <name val="Arial CE"/>
      <charset val="238"/>
    </font>
    <font>
      <b/>
      <sz val="11"/>
      <name val="Arial CE"/>
      <family val="2"/>
      <charset val="238"/>
    </font>
    <font>
      <sz val="9"/>
      <name val="Arial"/>
      <family val="2"/>
    </font>
    <font>
      <sz val="12"/>
      <name val="HRHelvetica"/>
    </font>
    <font>
      <b/>
      <sz val="18"/>
      <color indexed="62"/>
      <name val="Cambria"/>
      <family val="2"/>
      <charset val="238"/>
    </font>
    <font>
      <sz val="11"/>
      <color indexed="60"/>
      <name val="Calibri"/>
      <family val="2"/>
    </font>
    <font>
      <sz val="10"/>
      <name val="Arial CE"/>
      <family val="2"/>
    </font>
    <font>
      <sz val="10"/>
      <color indexed="8"/>
      <name val="Arial CE"/>
      <family val="2"/>
      <charset val="238"/>
    </font>
    <font>
      <sz val="10"/>
      <name val="Helv"/>
      <charset val="204"/>
    </font>
    <font>
      <sz val="12"/>
      <name val="Arial CE"/>
      <family val="2"/>
      <charset val="238"/>
    </font>
    <font>
      <b/>
      <sz val="11"/>
      <color indexed="60"/>
      <name val="Calibri"/>
      <family val="2"/>
      <charset val="238"/>
    </font>
    <font>
      <b/>
      <sz val="15"/>
      <color indexed="48"/>
      <name val="Calibri"/>
      <family val="2"/>
      <charset val="238"/>
    </font>
    <font>
      <b/>
      <sz val="13"/>
      <color indexed="48"/>
      <name val="Calibri"/>
      <family val="2"/>
      <charset val="238"/>
    </font>
    <font>
      <b/>
      <sz val="11"/>
      <color indexed="48"/>
      <name val="Calibri"/>
      <family val="2"/>
      <charset val="238"/>
    </font>
    <font>
      <sz val="10"/>
      <color indexed="8"/>
      <name val="Century Gothic"/>
      <family val="2"/>
      <charset val="238"/>
    </font>
    <font>
      <sz val="6.8"/>
      <color indexed="8"/>
      <name val="Arial Unicode MS"/>
      <family val="2"/>
      <charset val="238"/>
    </font>
    <font>
      <sz val="11"/>
      <color indexed="59"/>
      <name val="Calibri"/>
      <family val="2"/>
      <charset val="238"/>
    </font>
    <font>
      <sz val="11"/>
      <color indexed="8"/>
      <name val="Arial"/>
      <family val="2"/>
    </font>
    <font>
      <b/>
      <sz val="18"/>
      <color indexed="48"/>
      <name val="Cambria"/>
      <family val="2"/>
      <charset val="238"/>
    </font>
    <font>
      <sz val="12"/>
      <color indexed="8"/>
      <name val="Arial"/>
      <family val="2"/>
    </font>
    <font>
      <sz val="9"/>
      <color theme="1"/>
      <name val="Tahoma"/>
      <family val="2"/>
      <charset val="238"/>
    </font>
    <font>
      <b/>
      <i/>
      <sz val="16"/>
      <color theme="1"/>
      <name val="Arial"/>
      <family val="2"/>
      <charset val="238"/>
    </font>
    <font>
      <sz val="11"/>
      <color theme="1"/>
      <name val="Calibri"/>
      <family val="2"/>
      <scheme val="minor"/>
    </font>
    <font>
      <b/>
      <i/>
      <u/>
      <sz val="11"/>
      <color theme="1"/>
      <name val="Arial"/>
      <family val="2"/>
      <charset val="238"/>
    </font>
    <font>
      <sz val="11"/>
      <name val="HRTimes"/>
      <charset val="238"/>
    </font>
    <font>
      <sz val="10"/>
      <color rgb="FF000000"/>
      <name val="Arial"/>
      <family val="2"/>
      <charset val="238"/>
    </font>
    <font>
      <b/>
      <sz val="20"/>
      <color theme="6" tint="-0.499984740745262"/>
      <name val="Arial"/>
      <family val="2"/>
      <charset val="238"/>
    </font>
    <font>
      <sz val="10"/>
      <name val="Arial"/>
      <family val="2"/>
      <charset val="238"/>
    </font>
    <font>
      <b/>
      <sz val="10"/>
      <name val="Microsoft Sans Serif"/>
      <family val="2"/>
    </font>
    <font>
      <sz val="10"/>
      <name val="Microsoft Sans Serif"/>
      <family val="2"/>
    </font>
    <font>
      <sz val="10"/>
      <color rgb="FFFF0000"/>
      <name val="Microsoft Sans Serif"/>
      <family val="2"/>
    </font>
    <font>
      <sz val="10"/>
      <color theme="3" tint="-0.249977111117893"/>
      <name val="Microsoft Sans Serif"/>
      <family val="2"/>
    </font>
    <font>
      <vertAlign val="superscript"/>
      <sz val="10"/>
      <name val="Microsoft Sans Serif"/>
      <family val="2"/>
    </font>
    <font>
      <i/>
      <sz val="10"/>
      <name val="Microsoft Sans Serif"/>
      <family val="2"/>
    </font>
    <font>
      <u/>
      <sz val="10"/>
      <name val="Microsoft Sans Serif"/>
      <family val="2"/>
    </font>
    <font>
      <sz val="12"/>
      <name val="Microsoft Sans Serif"/>
      <family val="2"/>
    </font>
    <font>
      <b/>
      <sz val="12"/>
      <name val="Microsoft Sans Serif"/>
      <family val="2"/>
    </font>
    <font>
      <sz val="9"/>
      <name val="Microsoft Sans Serif"/>
      <family val="2"/>
    </font>
    <font>
      <i/>
      <sz val="9"/>
      <name val="Microsoft Sans Serif"/>
      <family val="2"/>
    </font>
    <font>
      <sz val="10"/>
      <color indexed="8"/>
      <name val="Microsoft Sans Serif"/>
      <family val="2"/>
    </font>
    <font>
      <b/>
      <sz val="20"/>
      <name val="Arial"/>
      <family val="2"/>
    </font>
    <font>
      <i/>
      <sz val="9"/>
      <name val="Arial"/>
      <family val="2"/>
    </font>
    <font>
      <sz val="10"/>
      <color rgb="FF000000"/>
      <name val="Arial"/>
      <family val="2"/>
    </font>
    <font>
      <b/>
      <sz val="10"/>
      <color rgb="FF000000"/>
      <name val="Arial"/>
      <family val="2"/>
    </font>
    <font>
      <b/>
      <sz val="20"/>
      <color theme="0" tint="-0.499984740745262"/>
      <name val="Arial"/>
      <family val="2"/>
    </font>
    <font>
      <b/>
      <sz val="24"/>
      <name val="Arial"/>
      <family val="2"/>
    </font>
    <font>
      <sz val="9"/>
      <name val="Tahoma"/>
      <family val="2"/>
    </font>
    <font>
      <sz val="10"/>
      <color theme="4" tint="-0.249977111117893"/>
      <name val="Arial"/>
      <family val="2"/>
      <charset val="238"/>
    </font>
    <font>
      <sz val="10"/>
      <name val="Tahoma"/>
      <family val="2"/>
      <charset val="238"/>
    </font>
    <font>
      <b/>
      <sz val="12"/>
      <name val="Tahoma"/>
      <family val="2"/>
      <charset val="238"/>
    </font>
    <font>
      <b/>
      <sz val="10"/>
      <name val="Tahoma"/>
      <family val="2"/>
      <charset val="238"/>
    </font>
    <font>
      <b/>
      <sz val="10"/>
      <name val="Tahoma"/>
      <family val="2"/>
    </font>
    <font>
      <sz val="10"/>
      <color rgb="FFFF0000"/>
      <name val="Arial"/>
      <family val="2"/>
      <charset val="238"/>
    </font>
    <font>
      <b/>
      <sz val="9"/>
      <name val="Arial"/>
      <family val="2"/>
    </font>
    <font>
      <b/>
      <sz val="10"/>
      <name val="Times New Roman"/>
      <family val="1"/>
      <charset val="238"/>
    </font>
    <font>
      <b/>
      <sz val="9"/>
      <name val="Arial"/>
      <family val="2"/>
      <charset val="238"/>
    </font>
    <font>
      <vertAlign val="superscript"/>
      <sz val="10"/>
      <name val="Arial"/>
      <family val="2"/>
      <charset val="238"/>
    </font>
    <font>
      <vertAlign val="superscript"/>
      <sz val="10"/>
      <name val="Arial"/>
      <family val="2"/>
    </font>
    <font>
      <sz val="10"/>
      <name val="Calibri"/>
      <family val="2"/>
      <scheme val="minor"/>
    </font>
    <font>
      <b/>
      <sz val="11"/>
      <name val="Arial"/>
      <family val="2"/>
    </font>
    <font>
      <sz val="12"/>
      <color rgb="FF009BAF"/>
      <name val="Gotham Bold"/>
      <family val="3"/>
      <charset val="1"/>
    </font>
    <font>
      <sz val="10"/>
      <name val="Gotham Book"/>
      <family val="3"/>
      <charset val="1"/>
    </font>
    <font>
      <sz val="10"/>
      <name val="Gotham Medium"/>
      <family val="3"/>
      <charset val="1"/>
    </font>
    <font>
      <b/>
      <sz val="22"/>
      <name val="Arial"/>
      <family val="2"/>
    </font>
    <font>
      <b/>
      <sz val="11"/>
      <name val="Tahoma"/>
      <family val="2"/>
    </font>
    <font>
      <sz val="11"/>
      <name val="Tahoma"/>
      <family val="2"/>
    </font>
    <font>
      <sz val="14"/>
      <color indexed="8"/>
      <name val="Arial Narrow"/>
      <family val="2"/>
      <charset val="238"/>
    </font>
    <font>
      <sz val="10"/>
      <color indexed="8"/>
      <name val="Arial Narrow"/>
      <family val="2"/>
      <charset val="238"/>
    </font>
    <font>
      <sz val="12"/>
      <color indexed="8"/>
      <name val="Arial Narrow"/>
      <family val="2"/>
      <charset val="238"/>
    </font>
    <font>
      <sz val="10"/>
      <color indexed="10"/>
      <name val="Microsoft Sans Serif"/>
      <family val="2"/>
    </font>
    <font>
      <sz val="10"/>
      <color theme="1"/>
      <name val="Arial"/>
      <family val="2"/>
    </font>
    <font>
      <sz val="10"/>
      <color rgb="FF009BAF"/>
      <name val="Arial"/>
      <family val="2"/>
    </font>
    <font>
      <sz val="10"/>
      <color rgb="FFFF0000"/>
      <name val="Arial"/>
      <family val="2"/>
    </font>
    <font>
      <i/>
      <sz val="10"/>
      <color rgb="FF000000"/>
      <name val="Arial"/>
      <family val="2"/>
    </font>
    <font>
      <b/>
      <sz val="10"/>
      <color theme="1"/>
      <name val="Arial"/>
      <family val="2"/>
    </font>
    <font>
      <sz val="10"/>
      <color rgb="FFC9211E"/>
      <name val="Arial"/>
      <family val="2"/>
    </font>
    <font>
      <b/>
      <sz val="10"/>
      <color rgb="FF009BAF"/>
      <name val="Arial"/>
      <family val="2"/>
    </font>
    <font>
      <u/>
      <sz val="10"/>
      <color theme="10"/>
      <name val="Arial"/>
      <family val="2"/>
      <charset val="238"/>
    </font>
    <font>
      <sz val="14"/>
      <color indexed="8"/>
      <name val="Arial"/>
      <family val="2"/>
    </font>
    <font>
      <b/>
      <sz val="10"/>
      <color indexed="8"/>
      <name val="Arial"/>
      <family val="2"/>
    </font>
    <font>
      <b/>
      <i/>
      <sz val="10"/>
      <color rgb="FF000000"/>
      <name val="Arial"/>
      <family val="2"/>
    </font>
    <font>
      <sz val="10"/>
      <color rgb="FF222222"/>
      <name val="Arial"/>
      <family val="2"/>
    </font>
    <font>
      <sz val="10"/>
      <color indexed="60"/>
      <name val="Arial"/>
      <family val="2"/>
    </font>
    <font>
      <vertAlign val="subscript"/>
      <sz val="10"/>
      <name val="Arial"/>
      <family val="2"/>
    </font>
    <font>
      <sz val="10"/>
      <color rgb="FF00B050"/>
      <name val="Arial"/>
      <family val="2"/>
    </font>
    <font>
      <b/>
      <u/>
      <sz val="10"/>
      <name val="Arial"/>
      <family val="2"/>
    </font>
    <font>
      <u/>
      <sz val="10"/>
      <name val="Arial"/>
      <family val="2"/>
    </font>
    <font>
      <sz val="10"/>
      <color theme="4" tint="-0.249977111117893"/>
      <name val="Arial"/>
      <family val="2"/>
    </font>
    <font>
      <b/>
      <sz val="10"/>
      <color rgb="FF00B050"/>
      <name val="Arial"/>
      <family val="2"/>
    </font>
    <font>
      <sz val="8"/>
      <name val="Arial"/>
      <family val="2"/>
    </font>
    <font>
      <b/>
      <sz val="8"/>
      <name val="Microsoft Sans Serif"/>
      <family val="2"/>
    </font>
    <font>
      <b/>
      <sz val="12"/>
      <name val="Microsoft Sans Serif"/>
      <family val="2"/>
      <charset val="238"/>
    </font>
    <font>
      <b/>
      <sz val="11"/>
      <name val="Calibri"/>
      <family val="2"/>
      <charset val="238"/>
    </font>
    <font>
      <sz val="12"/>
      <name val="Arial Narrow"/>
      <family val="2"/>
      <charset val="238"/>
    </font>
    <font>
      <b/>
      <sz val="14"/>
      <name val="Arial Narrow"/>
      <family val="2"/>
      <charset val="238"/>
    </font>
    <font>
      <sz val="14"/>
      <name val="Arial Narrow"/>
      <family val="2"/>
      <charset val="238"/>
    </font>
    <font>
      <sz val="14"/>
      <name val="Arial"/>
      <family val="2"/>
      <charset val="238"/>
    </font>
    <font>
      <b/>
      <sz val="12"/>
      <name val="Arial Narrow"/>
      <family val="2"/>
      <charset val="238"/>
    </font>
    <font>
      <b/>
      <sz val="12"/>
      <name val="Calibri"/>
      <family val="2"/>
      <charset val="238"/>
    </font>
    <font>
      <sz val="12"/>
      <color indexed="8"/>
      <name val="Calibri"/>
      <family val="2"/>
      <charset val="238"/>
    </font>
    <font>
      <sz val="12"/>
      <name val="Calibri"/>
      <family val="2"/>
      <charset val="238"/>
    </font>
    <font>
      <sz val="10"/>
      <color indexed="8"/>
      <name val="Tahoma"/>
      <family val="2"/>
      <charset val="238"/>
    </font>
    <font>
      <b/>
      <sz val="14"/>
      <color indexed="8"/>
      <name val="Calibri"/>
      <family val="2"/>
      <charset val="238"/>
    </font>
    <font>
      <sz val="12"/>
      <color theme="1"/>
      <name val="Calibri"/>
      <family val="2"/>
      <charset val="238"/>
    </font>
    <font>
      <b/>
      <sz val="13.5"/>
      <color indexed="8"/>
      <name val="Calibri"/>
      <family val="2"/>
      <charset val="238"/>
    </font>
    <font>
      <sz val="12"/>
      <color indexed="10"/>
      <name val="Calibri"/>
      <family val="2"/>
      <charset val="238"/>
    </font>
    <font>
      <sz val="12"/>
      <name val="Calibri"/>
      <family val="2"/>
      <charset val="238"/>
      <scheme val="minor"/>
    </font>
    <font>
      <b/>
      <sz val="10"/>
      <color theme="1"/>
      <name val="Microsoft Sans Serif"/>
      <family val="2"/>
    </font>
    <font>
      <sz val="10"/>
      <color theme="1"/>
      <name val="Microsoft Sans Serif"/>
      <family val="2"/>
    </font>
    <font>
      <b/>
      <sz val="10"/>
      <name val="Microsoft Sans Serif"/>
      <family val="2"/>
      <charset val="238"/>
    </font>
    <font>
      <sz val="12"/>
      <color rgb="FF242424"/>
      <name val="Arial"/>
      <family val="2"/>
    </font>
    <font>
      <sz val="10"/>
      <color rgb="FF242424"/>
      <name val="Arial"/>
      <family val="2"/>
    </font>
    <font>
      <b/>
      <sz val="12"/>
      <color indexed="8"/>
      <name val="Calibri"/>
      <family val="2"/>
      <charset val="238"/>
    </font>
  </fonts>
  <fills count="79">
    <fill>
      <patternFill patternType="none"/>
    </fill>
    <fill>
      <patternFill patternType="gray125"/>
    </fill>
    <fill>
      <patternFill patternType="solid">
        <fgColor indexed="42"/>
        <bgColor indexed="27"/>
      </patternFill>
    </fill>
    <fill>
      <patternFill patternType="solid">
        <fgColor indexed="22"/>
        <bgColor indexed="31"/>
      </patternFill>
    </fill>
    <fill>
      <patternFill patternType="solid">
        <fgColor indexed="31"/>
        <bgColor indexed="44"/>
      </patternFill>
    </fill>
    <fill>
      <patternFill patternType="solid">
        <fgColor indexed="31"/>
      </patternFill>
    </fill>
    <fill>
      <patternFill patternType="solid">
        <fgColor indexed="45"/>
        <bgColor indexed="46"/>
      </patternFill>
    </fill>
    <fill>
      <patternFill patternType="solid">
        <fgColor indexed="45"/>
      </patternFill>
    </fill>
    <fill>
      <patternFill patternType="solid">
        <fgColor indexed="42"/>
        <bgColor indexed="26"/>
      </patternFill>
    </fill>
    <fill>
      <patternFill patternType="solid">
        <fgColor indexed="42"/>
      </patternFill>
    </fill>
    <fill>
      <patternFill patternType="solid">
        <fgColor indexed="46"/>
        <bgColor indexed="45"/>
      </patternFill>
    </fill>
    <fill>
      <patternFill patternType="solid">
        <fgColor indexed="46"/>
      </patternFill>
    </fill>
    <fill>
      <patternFill patternType="solid">
        <fgColor indexed="41"/>
        <bgColor indexed="27"/>
      </patternFill>
    </fill>
    <fill>
      <patternFill patternType="solid">
        <fgColor indexed="27"/>
      </patternFill>
    </fill>
    <fill>
      <patternFill patternType="solid">
        <fgColor indexed="27"/>
        <bgColor indexed="44"/>
      </patternFill>
    </fill>
    <fill>
      <patternFill patternType="solid">
        <fgColor indexed="47"/>
      </patternFill>
    </fill>
    <fill>
      <patternFill patternType="solid">
        <fgColor indexed="47"/>
        <bgColor indexed="22"/>
      </patternFill>
    </fill>
    <fill>
      <patternFill patternType="solid">
        <fgColor indexed="50"/>
        <bgColor indexed="64"/>
      </patternFill>
    </fill>
    <fill>
      <patternFill patternType="solid">
        <fgColor indexed="44"/>
        <bgColor indexed="31"/>
      </patternFill>
    </fill>
    <fill>
      <patternFill patternType="solid">
        <fgColor indexed="44"/>
      </patternFill>
    </fill>
    <fill>
      <patternFill patternType="solid">
        <fgColor indexed="29"/>
        <bgColor indexed="45"/>
      </patternFill>
    </fill>
    <fill>
      <patternFill patternType="solid">
        <fgColor indexed="29"/>
      </patternFill>
    </fill>
    <fill>
      <patternFill patternType="solid">
        <fgColor indexed="11"/>
        <bgColor indexed="49"/>
      </patternFill>
    </fill>
    <fill>
      <patternFill patternType="solid">
        <fgColor indexed="11"/>
      </patternFill>
    </fill>
    <fill>
      <patternFill patternType="solid">
        <fgColor indexed="19"/>
        <bgColor indexed="23"/>
      </patternFill>
    </fill>
    <fill>
      <patternFill patternType="solid">
        <fgColor indexed="51"/>
      </patternFill>
    </fill>
    <fill>
      <patternFill patternType="solid">
        <fgColor indexed="51"/>
        <bgColor indexed="13"/>
      </patternFill>
    </fill>
    <fill>
      <patternFill patternType="solid">
        <fgColor indexed="30"/>
        <bgColor indexed="21"/>
      </patternFill>
    </fill>
    <fill>
      <patternFill patternType="solid">
        <fgColor indexed="30"/>
      </patternFill>
    </fill>
    <fill>
      <patternFill patternType="solid">
        <fgColor indexed="20"/>
        <bgColor indexed="36"/>
      </patternFill>
    </fill>
    <fill>
      <patternFill patternType="solid">
        <fgColor indexed="36"/>
      </patternFill>
    </fill>
    <fill>
      <patternFill patternType="solid">
        <fgColor indexed="49"/>
        <bgColor indexed="40"/>
      </patternFill>
    </fill>
    <fill>
      <patternFill patternType="solid">
        <fgColor indexed="49"/>
      </patternFill>
    </fill>
    <fill>
      <patternFill patternType="solid">
        <fgColor indexed="60"/>
        <bgColor indexed="59"/>
      </patternFill>
    </fill>
    <fill>
      <patternFill patternType="solid">
        <fgColor indexed="52"/>
      </patternFill>
    </fill>
    <fill>
      <patternFill patternType="solid">
        <fgColor indexed="52"/>
        <bgColor indexed="51"/>
      </patternFill>
    </fill>
    <fill>
      <patternFill patternType="solid">
        <fgColor indexed="62"/>
        <bgColor indexed="63"/>
      </patternFill>
    </fill>
    <fill>
      <patternFill patternType="solid">
        <fgColor indexed="62"/>
      </patternFill>
    </fill>
    <fill>
      <patternFill patternType="solid">
        <fgColor indexed="10"/>
        <bgColor indexed="16"/>
      </patternFill>
    </fill>
    <fill>
      <patternFill patternType="solid">
        <fgColor indexed="10"/>
      </patternFill>
    </fill>
    <fill>
      <patternFill patternType="solid">
        <fgColor indexed="54"/>
        <bgColor indexed="23"/>
      </patternFill>
    </fill>
    <fill>
      <patternFill patternType="solid">
        <fgColor indexed="57"/>
      </patternFill>
    </fill>
    <fill>
      <patternFill patternType="solid">
        <fgColor indexed="25"/>
        <bgColor indexed="61"/>
      </patternFill>
    </fill>
    <fill>
      <patternFill patternType="solid">
        <fgColor indexed="53"/>
      </patternFill>
    </fill>
    <fill>
      <patternFill patternType="solid">
        <fgColor indexed="22"/>
      </patternFill>
    </fill>
    <fill>
      <patternFill patternType="solid">
        <fgColor indexed="26"/>
      </patternFill>
    </fill>
    <fill>
      <patternFill patternType="solid">
        <fgColor indexed="26"/>
        <bgColor indexed="43"/>
      </patternFill>
    </fill>
    <fill>
      <patternFill patternType="solid">
        <fgColor indexed="26"/>
        <bgColor indexed="9"/>
      </patternFill>
    </fill>
    <fill>
      <patternFill patternType="solid">
        <fgColor indexed="55"/>
        <bgColor indexed="23"/>
      </patternFill>
    </fill>
    <fill>
      <patternFill patternType="solid">
        <fgColor indexed="55"/>
      </patternFill>
    </fill>
    <fill>
      <patternFill patternType="solid">
        <fgColor indexed="42"/>
        <bgColor indexed="44"/>
      </patternFill>
    </fill>
    <fill>
      <patternFill patternType="solid">
        <fgColor indexed="45"/>
        <bgColor indexed="29"/>
      </patternFill>
    </fill>
    <fill>
      <patternFill patternType="solid">
        <fgColor indexed="57"/>
        <bgColor indexed="21"/>
      </patternFill>
    </fill>
    <fill>
      <patternFill patternType="solid">
        <fgColor indexed="53"/>
        <bgColor indexed="52"/>
      </patternFill>
    </fill>
    <fill>
      <patternFill patternType="solid">
        <fgColor indexed="9"/>
        <bgColor indexed="26"/>
      </patternFill>
    </fill>
    <fill>
      <patternFill patternType="solid">
        <fgColor indexed="43"/>
        <bgColor indexed="26"/>
      </patternFill>
    </fill>
    <fill>
      <patternFill patternType="solid">
        <fgColor indexed="43"/>
      </patternFill>
    </fill>
    <fill>
      <patternFill patternType="solid">
        <fgColor indexed="47"/>
        <bgColor indexed="64"/>
      </patternFill>
    </fill>
    <fill>
      <patternFill patternType="solid">
        <fgColor indexed="27"/>
        <bgColor indexed="41"/>
      </patternFill>
    </fill>
    <fill>
      <patternFill patternType="solid">
        <fgColor theme="5" tint="0.39994506668294322"/>
        <bgColor indexed="64"/>
      </patternFill>
    </fill>
    <fill>
      <patternFill patternType="solid">
        <fgColor theme="9" tint="-0.24994659260841701"/>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9" tint="0.39997558519241921"/>
        <bgColor indexed="31"/>
      </patternFill>
    </fill>
    <fill>
      <patternFill patternType="solid">
        <fgColor theme="6" tint="0.59999389629810485"/>
        <bgColor indexed="64"/>
      </patternFill>
    </fill>
    <fill>
      <patternFill patternType="solid">
        <fgColor theme="0" tint="-0.249977111117893"/>
        <bgColor indexed="64"/>
      </patternFill>
    </fill>
    <fill>
      <patternFill patternType="solid">
        <fgColor theme="0" tint="-0.249977111117893"/>
        <bgColor indexed="31"/>
      </patternFill>
    </fill>
    <fill>
      <patternFill patternType="solid">
        <fgColor rgb="FFD9D9D9"/>
        <bgColor rgb="FFFFFFCC"/>
      </patternFill>
    </fill>
    <fill>
      <patternFill patternType="solid">
        <fgColor rgb="FFC5D9F1"/>
        <bgColor rgb="FFFFFFCC"/>
      </patternFill>
    </fill>
    <fill>
      <patternFill patternType="solid">
        <fgColor rgb="FFC5D9F1"/>
        <bgColor rgb="FF000000"/>
      </patternFill>
    </fill>
    <fill>
      <patternFill patternType="solid">
        <fgColor theme="8" tint="0.59999389629810485"/>
        <bgColor indexed="64"/>
      </patternFill>
    </fill>
    <fill>
      <patternFill patternType="solid">
        <fgColor rgb="FFD9D9D9"/>
        <bgColor indexed="64"/>
      </patternFill>
    </fill>
    <fill>
      <patternFill patternType="solid">
        <fgColor indexed="22"/>
        <bgColor indexed="64"/>
      </patternFill>
    </fill>
    <fill>
      <patternFill patternType="solid">
        <fgColor theme="0" tint="-0.24991607409894101"/>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C0C0C0"/>
        <bgColor indexed="64"/>
      </patternFill>
    </fill>
    <fill>
      <patternFill patternType="solid">
        <fgColor theme="0"/>
        <bgColor indexed="64"/>
      </patternFill>
    </fill>
  </fills>
  <borders count="100">
    <border>
      <left/>
      <right/>
      <top/>
      <bottom/>
      <diagonal/>
    </border>
    <border>
      <left/>
      <right/>
      <top style="double">
        <color indexed="8"/>
      </top>
      <bottom style="double">
        <color indexed="8"/>
      </bottom>
      <diagonal/>
    </border>
    <border>
      <left/>
      <right/>
      <top style="medium">
        <color indexed="8"/>
      </top>
      <bottom style="medium">
        <color indexed="8"/>
      </bottom>
      <diagonal/>
    </border>
    <border>
      <left/>
      <right/>
      <top style="thin">
        <color indexed="8"/>
      </top>
      <bottom style="thin">
        <color indexed="8"/>
      </bottom>
      <diagonal/>
    </border>
    <border>
      <left style="thin">
        <color indexed="8"/>
      </left>
      <right style="thin">
        <color indexed="8"/>
      </right>
      <top style="medium">
        <color indexed="8"/>
      </top>
      <bottom style="medium">
        <color indexed="8"/>
      </bottom>
      <diagonal/>
    </border>
    <border>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64"/>
      </right>
      <top style="thin">
        <color indexed="8"/>
      </top>
      <bottom style="thin">
        <color indexed="8"/>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60"/>
      </bottom>
      <diagonal/>
    </border>
    <border>
      <left/>
      <right/>
      <top/>
      <bottom style="double">
        <color indexed="52"/>
      </bottom>
      <diagonal/>
    </border>
    <border>
      <left/>
      <right/>
      <top style="hair">
        <color indexed="8"/>
      </top>
      <bottom style="hair">
        <color indexed="8"/>
      </bottom>
      <diagonal/>
    </border>
    <border>
      <left style="medium">
        <color indexed="64"/>
      </left>
      <right style="medium">
        <color indexed="64"/>
      </right>
      <top style="medium">
        <color indexed="64"/>
      </top>
      <bottom style="medium">
        <color indexed="64"/>
      </bottom>
      <diagonal/>
    </border>
    <border>
      <left style="thin">
        <color indexed="8"/>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thin">
        <color indexed="8"/>
      </top>
      <bottom style="thin">
        <color indexed="8"/>
      </bottom>
      <diagonal/>
    </border>
    <border>
      <left style="medium">
        <color indexed="64"/>
      </left>
      <right style="thin">
        <color indexed="64"/>
      </right>
      <top style="medium">
        <color indexed="64"/>
      </top>
      <bottom style="medium">
        <color indexed="64"/>
      </bottom>
      <diagonal/>
    </border>
    <border>
      <left/>
      <right/>
      <top style="thin">
        <color indexed="64"/>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medium">
        <color auto="1"/>
      </right>
      <top style="thin">
        <color auto="1"/>
      </top>
      <bottom/>
      <diagonal/>
    </border>
    <border>
      <left style="thin">
        <color auto="1"/>
      </left>
      <right style="medium">
        <color auto="1"/>
      </right>
      <top style="thin">
        <color indexed="64"/>
      </top>
      <bottom style="medium">
        <color auto="1"/>
      </bottom>
      <diagonal/>
    </border>
    <border>
      <left/>
      <right/>
      <top/>
      <bottom style="thin">
        <color rgb="FF009BAF"/>
      </bottom>
      <diagonal/>
    </border>
    <border>
      <left/>
      <right/>
      <top style="thin">
        <color rgb="FF009BAF"/>
      </top>
      <bottom/>
      <diagonal/>
    </border>
    <border>
      <left/>
      <right/>
      <top/>
      <bottom style="thick">
        <color rgb="FF009BA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bottom style="medium">
        <color indexed="8"/>
      </bottom>
      <diagonal/>
    </border>
    <border>
      <left/>
      <right style="medium">
        <color indexed="64"/>
      </right>
      <top/>
      <bottom style="medium">
        <color indexed="8"/>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diagonal/>
    </border>
    <border>
      <left style="medium">
        <color auto="1"/>
      </left>
      <right style="medium">
        <color auto="1"/>
      </right>
      <top/>
      <bottom style="medium">
        <color auto="1"/>
      </bottom>
      <diagonal/>
    </border>
    <border>
      <left/>
      <right/>
      <top style="thin">
        <color indexed="64"/>
      </top>
      <bottom/>
      <diagonal/>
    </border>
    <border>
      <left style="medium">
        <color indexed="64"/>
      </left>
      <right style="medium">
        <color indexed="64"/>
      </right>
      <top/>
      <bottom style="medium">
        <color indexed="8"/>
      </bottom>
      <diagonal/>
    </border>
    <border>
      <left/>
      <right style="medium">
        <color indexed="64"/>
      </right>
      <top/>
      <bottom style="medium">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auto="1"/>
      </left>
      <right style="thin">
        <color auto="1"/>
      </right>
      <top style="thin">
        <color auto="1"/>
      </top>
      <bottom style="thin">
        <color indexed="64"/>
      </bottom>
      <diagonal/>
    </border>
  </borders>
  <cellStyleXfs count="1893">
    <xf numFmtId="0" fontId="0" fillId="0" borderId="0">
      <alignment vertical="top"/>
    </xf>
    <xf numFmtId="169" fontId="6" fillId="0" borderId="0" applyFill="0" applyBorder="0">
      <alignment vertical="top"/>
    </xf>
    <xf numFmtId="170" fontId="6" fillId="0" borderId="0" applyFill="0" applyBorder="0">
      <alignment vertical="top"/>
    </xf>
    <xf numFmtId="171" fontId="6" fillId="0" borderId="0" applyFill="0" applyBorder="0">
      <alignment vertical="top"/>
    </xf>
    <xf numFmtId="172" fontId="6" fillId="0" borderId="0" applyFill="0" applyBorder="0">
      <alignment vertical="top"/>
    </xf>
    <xf numFmtId="173" fontId="6" fillId="0" borderId="0" applyFill="0" applyBorder="0">
      <alignment vertical="top"/>
    </xf>
    <xf numFmtId="169" fontId="6" fillId="0" borderId="0" applyFill="0" applyBorder="0">
      <alignment vertical="top"/>
    </xf>
    <xf numFmtId="174" fontId="6" fillId="0" borderId="0" applyFill="0" applyBorder="0">
      <alignment vertical="top"/>
    </xf>
    <xf numFmtId="170" fontId="6" fillId="0" borderId="0" applyFill="0" applyBorder="0">
      <alignment vertical="top"/>
    </xf>
    <xf numFmtId="169" fontId="24" fillId="0" borderId="0" applyFill="0" applyBorder="0" applyProtection="0">
      <alignment vertical="top"/>
    </xf>
    <xf numFmtId="170" fontId="24" fillId="0" borderId="0" applyFill="0" applyBorder="0" applyProtection="0">
      <alignment vertical="top"/>
    </xf>
    <xf numFmtId="175" fontId="7" fillId="0" borderId="0" applyFill="0" applyBorder="0">
      <alignment vertical="top"/>
    </xf>
    <xf numFmtId="38" fontId="8" fillId="0" borderId="1">
      <alignment vertical="center"/>
    </xf>
    <xf numFmtId="169" fontId="6" fillId="0" borderId="0" applyFill="0" applyBorder="0">
      <alignment vertical="top"/>
    </xf>
    <xf numFmtId="170" fontId="6" fillId="0" borderId="0" applyFill="0" applyBorder="0">
      <alignment vertical="top"/>
    </xf>
    <xf numFmtId="169" fontId="6" fillId="0" borderId="0" applyFill="0" applyBorder="0">
      <alignment vertical="top"/>
    </xf>
    <xf numFmtId="174" fontId="6" fillId="0" borderId="0" applyFill="0" applyBorder="0">
      <alignment vertical="top"/>
    </xf>
    <xf numFmtId="170" fontId="6" fillId="0" borderId="0" applyFill="0" applyBorder="0">
      <alignment vertical="top"/>
    </xf>
    <xf numFmtId="0" fontId="9" fillId="0" borderId="0"/>
    <xf numFmtId="0" fontId="10" fillId="0" borderId="2" applyNumberFormat="0" applyProtection="0">
      <alignment vertical="top"/>
    </xf>
    <xf numFmtId="0" fontId="10" fillId="0" borderId="3">
      <alignment horizontal="left" vertical="center"/>
    </xf>
    <xf numFmtId="0" fontId="11" fillId="0" borderId="0"/>
    <xf numFmtId="0" fontId="10" fillId="0" borderId="0"/>
    <xf numFmtId="0" fontId="12" fillId="0" borderId="0"/>
    <xf numFmtId="0" fontId="13" fillId="0" borderId="0"/>
    <xf numFmtId="0" fontId="14" fillId="0" borderId="0"/>
    <xf numFmtId="0" fontId="15" fillId="0" borderId="0"/>
    <xf numFmtId="0" fontId="9" fillId="0" borderId="0">
      <alignment horizontal="center"/>
    </xf>
    <xf numFmtId="0" fontId="16" fillId="0" borderId="0"/>
    <xf numFmtId="169" fontId="6" fillId="0" borderId="0" applyFill="0" applyBorder="0">
      <alignment vertical="top"/>
    </xf>
    <xf numFmtId="170" fontId="6" fillId="0" borderId="0" applyFill="0" applyBorder="0">
      <alignment vertical="top"/>
    </xf>
    <xf numFmtId="169" fontId="6" fillId="0" borderId="0" applyFill="0" applyBorder="0">
      <alignment vertical="top"/>
    </xf>
    <xf numFmtId="174" fontId="6" fillId="0" borderId="0" applyFill="0" applyBorder="0">
      <alignment vertical="top"/>
    </xf>
    <xf numFmtId="170" fontId="6" fillId="0" borderId="0" applyFill="0" applyBorder="0">
      <alignment vertical="top"/>
    </xf>
    <xf numFmtId="0" fontId="9" fillId="0" borderId="0">
      <alignment horizontal="center"/>
    </xf>
    <xf numFmtId="176" fontId="17" fillId="2" borderId="4">
      <alignment horizontal="center" vertical="center"/>
    </xf>
    <xf numFmtId="177" fontId="24" fillId="0" borderId="0" applyFill="0" applyBorder="0" applyProtection="0">
      <alignment vertical="top"/>
    </xf>
    <xf numFmtId="178" fontId="24" fillId="0" borderId="0" applyFill="0" applyBorder="0" applyProtection="0">
      <alignment vertical="top"/>
    </xf>
    <xf numFmtId="0" fontId="9" fillId="0" borderId="0"/>
    <xf numFmtId="0" fontId="18" fillId="0" borderId="0"/>
    <xf numFmtId="173" fontId="24" fillId="0" borderId="0" applyFill="0" applyBorder="0" applyProtection="0">
      <alignment vertical="top"/>
    </xf>
    <xf numFmtId="179" fontId="24" fillId="0" borderId="0" applyFill="0" applyBorder="0" applyProtection="0">
      <alignment vertical="top"/>
    </xf>
    <xf numFmtId="169" fontId="6" fillId="0" borderId="0" applyFill="0" applyBorder="0">
      <alignment vertical="top"/>
    </xf>
    <xf numFmtId="170" fontId="6" fillId="0" borderId="0" applyFill="0" applyBorder="0">
      <alignment vertical="top"/>
    </xf>
    <xf numFmtId="169" fontId="6" fillId="0" borderId="0" applyFill="0" applyBorder="0">
      <alignment vertical="top"/>
    </xf>
    <xf numFmtId="174" fontId="6" fillId="0" borderId="0" applyFill="0" applyBorder="0">
      <alignment vertical="top"/>
    </xf>
    <xf numFmtId="170" fontId="6" fillId="0" borderId="0" applyFill="0" applyBorder="0">
      <alignment vertical="top"/>
    </xf>
    <xf numFmtId="0" fontId="9" fillId="0" borderId="0"/>
    <xf numFmtId="49" fontId="7" fillId="0" borderId="0" applyFill="0" applyBorder="0">
      <alignment vertical="top"/>
    </xf>
    <xf numFmtId="180" fontId="6" fillId="0" borderId="0" applyFill="0" applyBorder="0">
      <alignment vertical="top"/>
    </xf>
    <xf numFmtId="181" fontId="6" fillId="0" borderId="0" applyFill="0" applyBorder="0">
      <alignment vertical="top"/>
    </xf>
    <xf numFmtId="0" fontId="19" fillId="0" borderId="0">
      <alignment horizontal="right"/>
    </xf>
    <xf numFmtId="0" fontId="9" fillId="0" borderId="0"/>
    <xf numFmtId="0" fontId="9" fillId="0" borderId="0">
      <alignment horizontal="center" textRotation="90"/>
    </xf>
    <xf numFmtId="183" fontId="24" fillId="0" borderId="0" applyFill="0" applyBorder="0" applyProtection="0">
      <alignment vertical="top"/>
    </xf>
    <xf numFmtId="0" fontId="5" fillId="0" borderId="0"/>
    <xf numFmtId="0" fontId="5" fillId="0" borderId="0"/>
    <xf numFmtId="0" fontId="5" fillId="0" borderId="0"/>
    <xf numFmtId="0" fontId="5" fillId="0" borderId="0"/>
    <xf numFmtId="167" fontId="5" fillId="0" borderId="0" applyFont="0" applyFill="0" applyBorder="0" applyAlignment="0" applyProtection="0"/>
    <xf numFmtId="0" fontId="5" fillId="0" borderId="0"/>
    <xf numFmtId="0" fontId="28" fillId="0" borderId="0"/>
    <xf numFmtId="0" fontId="29" fillId="0" borderId="0"/>
    <xf numFmtId="0" fontId="5" fillId="0" borderId="0"/>
    <xf numFmtId="0" fontId="9" fillId="0" borderId="0"/>
    <xf numFmtId="183" fontId="5" fillId="0" borderId="0" applyFill="0" applyBorder="0" applyProtection="0">
      <alignment vertical="top"/>
    </xf>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168" fontId="5" fillId="0" borderId="0" applyFont="0" applyFill="0" applyBorder="0" applyAlignment="0" applyProtection="0"/>
    <xf numFmtId="0" fontId="9" fillId="0" borderId="0"/>
    <xf numFmtId="0" fontId="4" fillId="0" borderId="0"/>
    <xf numFmtId="0" fontId="33" fillId="0" borderId="0">
      <alignment horizontal="left" vertical="top" wrapText="1"/>
    </xf>
    <xf numFmtId="0" fontId="20" fillId="0" borderId="0">
      <alignment horizontal="left" vertical="top" wrapText="1"/>
    </xf>
    <xf numFmtId="0" fontId="82" fillId="0" borderId="0"/>
    <xf numFmtId="0" fontId="29" fillId="0" borderId="0"/>
    <xf numFmtId="0" fontId="5" fillId="0" borderId="0"/>
    <xf numFmtId="191" fontId="76" fillId="0" borderId="0" applyFill="0" applyBorder="0" applyProtection="0">
      <alignment horizontal="left" vertical="top"/>
    </xf>
    <xf numFmtId="0" fontId="33" fillId="59" borderId="0" applyNumberFormat="0" applyFont="0" applyBorder="0" applyAlignment="0" applyProtection="0">
      <alignment vertical="center"/>
    </xf>
    <xf numFmtId="0" fontId="76" fillId="0" borderId="0" applyFill="0" applyBorder="0" applyProtection="0">
      <alignment horizontal="justify" vertical="top" wrapText="1"/>
    </xf>
    <xf numFmtId="0" fontId="34" fillId="4" borderId="0" applyNumberFormat="0" applyBorder="0" applyAlignment="0" applyProtection="0"/>
    <xf numFmtId="0" fontId="34" fillId="4" borderId="0" applyNumberFormat="0" applyBorder="0" applyAlignment="0" applyProtection="0"/>
    <xf numFmtId="0" fontId="34" fillId="4" borderId="0" applyNumberFormat="0" applyBorder="0" applyAlignment="0" applyProtection="0"/>
    <xf numFmtId="0" fontId="34" fillId="5" borderId="0" applyNumberFormat="0" applyBorder="0" applyAlignment="0" applyProtection="0"/>
    <xf numFmtId="0" fontId="34" fillId="4" borderId="0" applyNumberFormat="0" applyBorder="0" applyAlignment="0" applyProtection="0"/>
    <xf numFmtId="0" fontId="34" fillId="5" borderId="0" applyNumberFormat="0" applyBorder="0" applyAlignment="0" applyProtection="0"/>
    <xf numFmtId="0" fontId="34" fillId="6" borderId="0" applyNumberFormat="0" applyBorder="0" applyAlignment="0" applyProtection="0"/>
    <xf numFmtId="0" fontId="34" fillId="6" borderId="0" applyNumberFormat="0" applyBorder="0" applyAlignment="0" applyProtection="0"/>
    <xf numFmtId="0" fontId="34" fillId="6" borderId="0" applyNumberFormat="0" applyBorder="0" applyAlignment="0" applyProtection="0"/>
    <xf numFmtId="0" fontId="34" fillId="7" borderId="0" applyNumberFormat="0" applyBorder="0" applyAlignment="0" applyProtection="0"/>
    <xf numFmtId="0" fontId="34" fillId="6" borderId="0" applyNumberFormat="0" applyBorder="0" applyAlignment="0" applyProtection="0"/>
    <xf numFmtId="0" fontId="34" fillId="7"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56" fillId="5" borderId="0" applyNumberFormat="0" applyBorder="0" applyAlignment="0" applyProtection="0"/>
    <xf numFmtId="0" fontId="56" fillId="7" borderId="0" applyNumberFormat="0" applyBorder="0" applyAlignment="0" applyProtection="0"/>
    <xf numFmtId="0" fontId="56" fillId="9" borderId="0" applyNumberFormat="0" applyBorder="0" applyAlignment="0" applyProtection="0"/>
    <xf numFmtId="0" fontId="56" fillId="11" borderId="0" applyNumberFormat="0" applyBorder="0" applyAlignment="0" applyProtection="0"/>
    <xf numFmtId="0" fontId="56" fillId="13" borderId="0" applyNumberFormat="0" applyBorder="0" applyAlignment="0" applyProtection="0"/>
    <xf numFmtId="0" fontId="56" fillId="15" borderId="0" applyNumberFormat="0" applyBorder="0" applyAlignment="0" applyProtection="0"/>
    <xf numFmtId="0" fontId="34" fillId="4" borderId="0" applyNumberFormat="0" applyBorder="0" applyAlignment="0" applyProtection="0"/>
    <xf numFmtId="0" fontId="56" fillId="5" borderId="0" applyNumberFormat="0" applyBorder="0" applyAlignment="0" applyProtection="0"/>
    <xf numFmtId="0" fontId="34" fillId="5" borderId="0" applyNumberFormat="0" applyBorder="0" applyAlignment="0" applyProtection="0"/>
    <xf numFmtId="0" fontId="34" fillId="6" borderId="0" applyNumberFormat="0" applyBorder="0" applyAlignment="0" applyProtection="0"/>
    <xf numFmtId="0" fontId="56" fillId="7" borderId="0" applyNumberFormat="0" applyBorder="0" applyAlignment="0" applyProtection="0"/>
    <xf numFmtId="0" fontId="34" fillId="7" borderId="0" applyNumberFormat="0" applyBorder="0" applyAlignment="0" applyProtection="0"/>
    <xf numFmtId="0" fontId="34" fillId="8" borderId="0" applyNumberFormat="0" applyBorder="0" applyAlignment="0" applyProtection="0"/>
    <xf numFmtId="0" fontId="56" fillId="9"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56" fillId="11" borderId="0" applyNumberFormat="0" applyBorder="0" applyAlignment="0" applyProtection="0"/>
    <xf numFmtId="0" fontId="34" fillId="11" borderId="0" applyNumberFormat="0" applyBorder="0" applyAlignment="0" applyProtection="0"/>
    <xf numFmtId="0" fontId="34" fillId="14" borderId="0" applyNumberFormat="0" applyBorder="0" applyAlignment="0" applyProtection="0"/>
    <xf numFmtId="0" fontId="56" fillId="13" borderId="0" applyNumberFormat="0" applyBorder="0" applyAlignment="0" applyProtection="0"/>
    <xf numFmtId="0" fontId="34" fillId="13" borderId="0" applyNumberFormat="0" applyBorder="0" applyAlignment="0" applyProtection="0"/>
    <xf numFmtId="0" fontId="34" fillId="16" borderId="0" applyNumberFormat="0" applyBorder="0" applyAlignment="0" applyProtection="0"/>
    <xf numFmtId="0" fontId="56" fillId="15" borderId="0" applyNumberFormat="0" applyBorder="0" applyAlignment="0" applyProtection="0"/>
    <xf numFmtId="0" fontId="34" fillId="15" borderId="0" applyNumberFormat="0" applyBorder="0" applyAlignment="0" applyProtection="0"/>
    <xf numFmtId="0" fontId="9" fillId="17" borderId="0" applyNumberFormat="0" applyFont="0" applyBorder="0" applyAlignment="0" applyProtection="0">
      <alignment vertical="center"/>
    </xf>
    <xf numFmtId="0" fontId="76" fillId="0" borderId="0" applyFill="0" applyBorder="0" applyProtection="0">
      <alignment horizontal="center"/>
    </xf>
    <xf numFmtId="0" fontId="33" fillId="60" borderId="0" applyNumberFormat="0" applyFont="0" applyBorder="0" applyAlignment="0" applyProtection="0">
      <alignment vertical="center"/>
    </xf>
    <xf numFmtId="43" fontId="76" fillId="0" borderId="0" applyFill="0" applyBorder="0" applyProtection="0">
      <alignment horizontal="right"/>
    </xf>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9" borderId="0" applyNumberFormat="0" applyBorder="0" applyAlignment="0" applyProtection="0"/>
    <xf numFmtId="0" fontId="34" fillId="18" borderId="0" applyNumberFormat="0" applyBorder="0" applyAlignment="0" applyProtection="0"/>
    <xf numFmtId="0" fontId="34" fillId="19"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1" borderId="0" applyNumberFormat="0" applyBorder="0" applyAlignment="0" applyProtection="0"/>
    <xf numFmtId="0" fontId="34" fillId="20" borderId="0" applyNumberFormat="0" applyBorder="0" applyAlignment="0" applyProtection="0"/>
    <xf numFmtId="0" fontId="34" fillId="21"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3" borderId="0" applyNumberFormat="0" applyBorder="0" applyAlignment="0" applyProtection="0"/>
    <xf numFmtId="0" fontId="34" fillId="22" borderId="0" applyNumberFormat="0" applyBorder="0" applyAlignment="0" applyProtection="0"/>
    <xf numFmtId="0" fontId="34" fillId="23"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9" borderId="0" applyNumberFormat="0" applyBorder="0" applyAlignment="0" applyProtection="0"/>
    <xf numFmtId="0" fontId="34" fillId="18" borderId="0" applyNumberFormat="0" applyBorder="0" applyAlignment="0" applyProtection="0"/>
    <xf numFmtId="0" fontId="34" fillId="19"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5" borderId="0" applyNumberFormat="0" applyBorder="0" applyAlignment="0" applyProtection="0"/>
    <xf numFmtId="0" fontId="34" fillId="24" borderId="0" applyNumberFormat="0" applyBorder="0" applyAlignment="0" applyProtection="0"/>
    <xf numFmtId="0" fontId="34" fillId="25" borderId="0" applyNumberFormat="0" applyBorder="0" applyAlignment="0" applyProtection="0"/>
    <xf numFmtId="0" fontId="56" fillId="19" borderId="0" applyNumberFormat="0" applyBorder="0" applyAlignment="0" applyProtection="0"/>
    <xf numFmtId="0" fontId="56" fillId="21" borderId="0" applyNumberFormat="0" applyBorder="0" applyAlignment="0" applyProtection="0"/>
    <xf numFmtId="0" fontId="56" fillId="23" borderId="0" applyNumberFormat="0" applyBorder="0" applyAlignment="0" applyProtection="0"/>
    <xf numFmtId="0" fontId="56" fillId="11" borderId="0" applyNumberFormat="0" applyBorder="0" applyAlignment="0" applyProtection="0"/>
    <xf numFmtId="0" fontId="56" fillId="19" borderId="0" applyNumberFormat="0" applyBorder="0" applyAlignment="0" applyProtection="0"/>
    <xf numFmtId="0" fontId="56" fillId="25" borderId="0" applyNumberFormat="0" applyBorder="0" applyAlignment="0" applyProtection="0"/>
    <xf numFmtId="0" fontId="34" fillId="19" borderId="0" applyNumberFormat="0" applyBorder="0" applyAlignment="0" applyProtection="0"/>
    <xf numFmtId="0" fontId="34" fillId="18" borderId="0" applyNumberFormat="0" applyBorder="0" applyAlignment="0" applyProtection="0"/>
    <xf numFmtId="0" fontId="34" fillId="20" borderId="0" applyNumberFormat="0" applyBorder="0" applyAlignment="0" applyProtection="0"/>
    <xf numFmtId="0" fontId="56" fillId="21" borderId="0" applyNumberFormat="0" applyBorder="0" applyAlignment="0" applyProtection="0"/>
    <xf numFmtId="0" fontId="34" fillId="21" borderId="0" applyNumberFormat="0" applyBorder="0" applyAlignment="0" applyProtection="0"/>
    <xf numFmtId="0" fontId="34" fillId="22" borderId="0" applyNumberFormat="0" applyBorder="0" applyAlignment="0" applyProtection="0"/>
    <xf numFmtId="0" fontId="56" fillId="23" borderId="0" applyNumberFormat="0" applyBorder="0" applyAlignment="0" applyProtection="0"/>
    <xf numFmtId="0" fontId="34" fillId="23" borderId="0" applyNumberFormat="0" applyBorder="0" applyAlignment="0" applyProtection="0"/>
    <xf numFmtId="0" fontId="34" fillId="10" borderId="0" applyNumberFormat="0" applyBorder="0" applyAlignment="0" applyProtection="0"/>
    <xf numFmtId="0" fontId="56" fillId="11" borderId="0" applyNumberFormat="0" applyBorder="0" applyAlignment="0" applyProtection="0"/>
    <xf numFmtId="0" fontId="34" fillId="11" borderId="0" applyNumberFormat="0" applyBorder="0" applyAlignment="0" applyProtection="0"/>
    <xf numFmtId="0" fontId="34" fillId="18" borderId="0" applyNumberFormat="0" applyBorder="0" applyAlignment="0" applyProtection="0"/>
    <xf numFmtId="0" fontId="56" fillId="19" borderId="0" applyNumberFormat="0" applyBorder="0" applyAlignment="0" applyProtection="0"/>
    <xf numFmtId="0" fontId="34" fillId="19" borderId="0" applyNumberFormat="0" applyBorder="0" applyAlignment="0" applyProtection="0"/>
    <xf numFmtId="0" fontId="34" fillId="26" borderId="0" applyNumberFormat="0" applyBorder="0" applyAlignment="0" applyProtection="0"/>
    <xf numFmtId="0" fontId="56" fillId="25" borderId="0" applyNumberFormat="0" applyBorder="0" applyAlignment="0" applyProtection="0"/>
    <xf numFmtId="0" fontId="34" fillId="25" borderId="0" applyNumberFormat="0" applyBorder="0" applyAlignment="0" applyProtection="0"/>
    <xf numFmtId="0" fontId="34" fillId="19" borderId="0" applyNumberFormat="0" applyBorder="0" applyAlignment="0" applyProtection="0"/>
    <xf numFmtId="0" fontId="34" fillId="18" borderId="0" applyNumberFormat="0" applyBorder="0" applyAlignment="0" applyProtection="0"/>
    <xf numFmtId="0" fontId="34" fillId="19" borderId="0" applyNumberFormat="0" applyBorder="0" applyAlignment="0" applyProtection="0"/>
    <xf numFmtId="0" fontId="34" fillId="18" borderId="0" applyNumberFormat="0" applyBorder="0" applyAlignment="0" applyProtection="0"/>
    <xf numFmtId="0" fontId="36" fillId="27" borderId="0" applyNumberFormat="0" applyBorder="0" applyAlignment="0" applyProtection="0"/>
    <xf numFmtId="0" fontId="36" fillId="27" borderId="0" applyNumberFormat="0" applyBorder="0" applyAlignment="0" applyProtection="0"/>
    <xf numFmtId="0" fontId="36" fillId="28" borderId="0" applyNumberFormat="0" applyBorder="0" applyAlignment="0" applyProtection="0"/>
    <xf numFmtId="0" fontId="36" fillId="27"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1" borderId="0" applyNumberFormat="0" applyBorder="0" applyAlignment="0" applyProtection="0"/>
    <xf numFmtId="0" fontId="36" fillId="20"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3" borderId="0" applyNumberFormat="0" applyBorder="0" applyAlignment="0" applyProtection="0"/>
    <xf numFmtId="0" fontId="36" fillId="22" borderId="0" applyNumberFormat="0" applyBorder="0" applyAlignment="0" applyProtection="0"/>
    <xf numFmtId="0" fontId="36" fillId="29" borderId="0" applyNumberFormat="0" applyBorder="0" applyAlignment="0" applyProtection="0"/>
    <xf numFmtId="0" fontId="36" fillId="29" borderId="0" applyNumberFormat="0" applyBorder="0" applyAlignment="0" applyProtection="0"/>
    <xf numFmtId="0" fontId="36" fillId="30" borderId="0" applyNumberFormat="0" applyBorder="0" applyAlignment="0" applyProtection="0"/>
    <xf numFmtId="0" fontId="36" fillId="29" borderId="0" applyNumberFormat="0" applyBorder="0" applyAlignment="0" applyProtection="0"/>
    <xf numFmtId="0" fontId="36" fillId="31"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1"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4" borderId="0" applyNumberFormat="0" applyBorder="0" applyAlignment="0" applyProtection="0"/>
    <xf numFmtId="0" fontId="36" fillId="33" borderId="0" applyNumberFormat="0" applyBorder="0" applyAlignment="0" applyProtection="0"/>
    <xf numFmtId="0" fontId="58" fillId="28" borderId="0" applyNumberFormat="0" applyBorder="0" applyAlignment="0" applyProtection="0"/>
    <xf numFmtId="0" fontId="58" fillId="21" borderId="0" applyNumberFormat="0" applyBorder="0" applyAlignment="0" applyProtection="0"/>
    <xf numFmtId="0" fontId="58" fillId="23" borderId="0" applyNumberFormat="0" applyBorder="0" applyAlignment="0" applyProtection="0"/>
    <xf numFmtId="0" fontId="58" fillId="30" borderId="0" applyNumberFormat="0" applyBorder="0" applyAlignment="0" applyProtection="0"/>
    <xf numFmtId="0" fontId="58" fillId="32" borderId="0" applyNumberFormat="0" applyBorder="0" applyAlignment="0" applyProtection="0"/>
    <xf numFmtId="0" fontId="58" fillId="34" borderId="0" applyNumberFormat="0" applyBorder="0" applyAlignment="0" applyProtection="0"/>
    <xf numFmtId="0" fontId="36" fillId="27" borderId="0" applyNumberFormat="0" applyBorder="0" applyAlignment="0" applyProtection="0"/>
    <xf numFmtId="0" fontId="58" fillId="28" borderId="0" applyNumberFormat="0" applyBorder="0" applyAlignment="0" applyProtection="0"/>
    <xf numFmtId="0" fontId="36" fillId="20" borderId="0" applyNumberFormat="0" applyBorder="0" applyAlignment="0" applyProtection="0"/>
    <xf numFmtId="0" fontId="58" fillId="21" borderId="0" applyNumberFormat="0" applyBorder="0" applyAlignment="0" applyProtection="0"/>
    <xf numFmtId="0" fontId="36" fillId="22" borderId="0" applyNumberFormat="0" applyBorder="0" applyAlignment="0" applyProtection="0"/>
    <xf numFmtId="0" fontId="58" fillId="23" borderId="0" applyNumberFormat="0" applyBorder="0" applyAlignment="0" applyProtection="0"/>
    <xf numFmtId="0" fontId="36" fillId="29" borderId="0" applyNumberFormat="0" applyBorder="0" applyAlignment="0" applyProtection="0"/>
    <xf numFmtId="0" fontId="58" fillId="30" borderId="0" applyNumberFormat="0" applyBorder="0" applyAlignment="0" applyProtection="0"/>
    <xf numFmtId="0" fontId="36" fillId="31" borderId="0" applyNumberFormat="0" applyBorder="0" applyAlignment="0" applyProtection="0"/>
    <xf numFmtId="0" fontId="58" fillId="32" borderId="0" applyNumberFormat="0" applyBorder="0" applyAlignment="0" applyProtection="0"/>
    <xf numFmtId="0" fontId="36" fillId="35" borderId="0" applyNumberFormat="0" applyBorder="0" applyAlignment="0" applyProtection="0"/>
    <xf numFmtId="0" fontId="58" fillId="34"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7"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38" borderId="0" applyNumberFormat="0" applyBorder="0" applyAlignment="0" applyProtection="0"/>
    <xf numFmtId="0" fontId="36" fillId="40" borderId="0" applyNumberFormat="0" applyBorder="0" applyAlignment="0" applyProtection="0"/>
    <xf numFmtId="0" fontId="36" fillId="40" borderId="0" applyNumberFormat="0" applyBorder="0" applyAlignment="0" applyProtection="0"/>
    <xf numFmtId="0" fontId="36" fillId="41" borderId="0" applyNumberFormat="0" applyBorder="0" applyAlignment="0" applyProtection="0"/>
    <xf numFmtId="0" fontId="36" fillId="40" borderId="0" applyNumberFormat="0" applyBorder="0" applyAlignment="0" applyProtection="0"/>
    <xf numFmtId="0" fontId="36" fillId="29" borderId="0" applyNumberFormat="0" applyBorder="0" applyAlignment="0" applyProtection="0"/>
    <xf numFmtId="0" fontId="36" fillId="29" borderId="0" applyNumberFormat="0" applyBorder="0" applyAlignment="0" applyProtection="0"/>
    <xf numFmtId="0" fontId="36" fillId="30" borderId="0" applyNumberFormat="0" applyBorder="0" applyAlignment="0" applyProtection="0"/>
    <xf numFmtId="0" fontId="36" fillId="29" borderId="0" applyNumberFormat="0" applyBorder="0" applyAlignment="0" applyProtection="0"/>
    <xf numFmtId="0" fontId="36" fillId="31"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1"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2" borderId="0" applyNumberFormat="0" applyBorder="0" applyAlignment="0" applyProtection="0"/>
    <xf numFmtId="0" fontId="58" fillId="37" borderId="0" applyNumberFormat="0" applyBorder="0" applyAlignment="0" applyProtection="0"/>
    <xf numFmtId="0" fontId="58" fillId="39" borderId="0" applyNumberFormat="0" applyBorder="0" applyAlignment="0" applyProtection="0"/>
    <xf numFmtId="0" fontId="58" fillId="41" borderId="0" applyNumberFormat="0" applyBorder="0" applyAlignment="0" applyProtection="0"/>
    <xf numFmtId="0" fontId="58" fillId="30" borderId="0" applyNumberFormat="0" applyBorder="0" applyAlignment="0" applyProtection="0"/>
    <xf numFmtId="0" fontId="58" fillId="32" borderId="0" applyNumberFormat="0" applyBorder="0" applyAlignment="0" applyProtection="0"/>
    <xf numFmtId="0" fontId="58" fillId="43" borderId="0" applyNumberFormat="0" applyBorder="0" applyAlignment="0" applyProtection="0"/>
    <xf numFmtId="0" fontId="59" fillId="44" borderId="15" applyNumberFormat="0" applyAlignment="0" applyProtection="0"/>
    <xf numFmtId="0" fontId="37" fillId="6" borderId="0" applyNumberFormat="0" applyBorder="0" applyAlignment="0" applyProtection="0"/>
    <xf numFmtId="0" fontId="37" fillId="6" borderId="0" applyNumberFormat="0" applyBorder="0" applyAlignment="0" applyProtection="0"/>
    <xf numFmtId="0" fontId="37" fillId="7" borderId="0" applyNumberFormat="0" applyBorder="0" applyAlignment="0" applyProtection="0"/>
    <xf numFmtId="0" fontId="37" fillId="6" borderId="0" applyNumberFormat="0" applyBorder="0" applyAlignment="0" applyProtection="0"/>
    <xf numFmtId="0" fontId="37" fillId="11" borderId="0" applyNumberFormat="0" applyBorder="0" applyAlignment="0" applyProtection="0"/>
    <xf numFmtId="0" fontId="60" fillId="44" borderId="16" applyNumberFormat="0" applyAlignment="0" applyProtection="0"/>
    <xf numFmtId="0" fontId="5" fillId="45" borderId="17" applyNumberFormat="0" applyFont="0" applyAlignment="0" applyProtection="0"/>
    <xf numFmtId="0" fontId="83" fillId="46" borderId="17" applyNumberFormat="0" applyAlignment="0" applyProtection="0"/>
    <xf numFmtId="0" fontId="9" fillId="45" borderId="17" applyNumberFormat="0" applyFont="0" applyAlignment="0" applyProtection="0"/>
    <xf numFmtId="0" fontId="5" fillId="45" borderId="17" applyNumberFormat="0" applyFont="0" applyAlignment="0" applyProtection="0"/>
    <xf numFmtId="0" fontId="5" fillId="47" borderId="17" applyNumberFormat="0" applyAlignment="0" applyProtection="0"/>
    <xf numFmtId="0" fontId="5" fillId="47" borderId="17" applyNumberFormat="0" applyAlignment="0" applyProtection="0"/>
    <xf numFmtId="0" fontId="5" fillId="45" borderId="17" applyNumberFormat="0" applyFont="0" applyAlignment="0" applyProtection="0"/>
    <xf numFmtId="0" fontId="5" fillId="45" borderId="17" applyNumberFormat="0" applyFont="0" applyAlignment="0" applyProtection="0"/>
    <xf numFmtId="0" fontId="9" fillId="45" borderId="17" applyNumberFormat="0" applyFont="0" applyAlignment="0" applyProtection="0"/>
    <xf numFmtId="0" fontId="5" fillId="47" borderId="17" applyNumberFormat="0" applyAlignment="0" applyProtection="0"/>
    <xf numFmtId="0" fontId="5" fillId="45" borderId="17" applyNumberFormat="0" applyFont="0" applyAlignment="0" applyProtection="0"/>
    <xf numFmtId="0" fontId="77" fillId="46" borderId="17" applyNumberFormat="0" applyAlignment="0" applyProtection="0"/>
    <xf numFmtId="0" fontId="5"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84" fillId="3" borderId="16" applyNumberFormat="0" applyAlignment="0" applyProtection="0"/>
    <xf numFmtId="0" fontId="84" fillId="3" borderId="16" applyNumberFormat="0" applyAlignment="0" applyProtection="0"/>
    <xf numFmtId="0" fontId="38" fillId="44" borderId="16" applyNumberFormat="0" applyAlignment="0" applyProtection="0"/>
    <xf numFmtId="0" fontId="84" fillId="3" borderId="16" applyNumberFormat="0" applyAlignment="0" applyProtection="0"/>
    <xf numFmtId="0" fontId="39" fillId="48" borderId="18" applyNumberFormat="0" applyAlignment="0" applyProtection="0"/>
    <xf numFmtId="0" fontId="39" fillId="48" borderId="18" applyNumberFormat="0" applyAlignment="0" applyProtection="0"/>
    <xf numFmtId="0" fontId="39" fillId="49" borderId="18" applyNumberFormat="0" applyAlignment="0" applyProtection="0"/>
    <xf numFmtId="0" fontId="39" fillId="48" borderId="18" applyNumberFormat="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86" fontId="5" fillId="0" borderId="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86" fontId="5" fillId="0" borderId="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43" fontId="74" fillId="0" borderId="0" applyFont="0" applyFill="0" applyBorder="0" applyAlignment="0" applyProtection="0"/>
    <xf numFmtId="167" fontId="5" fillId="0" borderId="0" applyFont="0" applyFill="0" applyBorder="0" applyAlignment="0" applyProtection="0"/>
    <xf numFmtId="186" fontId="9" fillId="0" borderId="0" applyFont="0" applyFill="0" applyBorder="0" applyAlignment="0" applyProtection="0"/>
    <xf numFmtId="167" fontId="5" fillId="0" borderId="0" applyFont="0" applyFill="0" applyBorder="0" applyAlignment="0" applyProtection="0"/>
    <xf numFmtId="186" fontId="5" fillId="0" borderId="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86" fontId="5" fillId="0" borderId="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86" fontId="5" fillId="0" borderId="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88" fontId="5" fillId="0" borderId="0" applyFill="0" applyBorder="0" applyAlignment="0" applyProtection="0"/>
    <xf numFmtId="186" fontId="5" fillId="0" borderId="0" applyFill="0" applyBorder="0" applyAlignment="0" applyProtection="0"/>
    <xf numFmtId="186" fontId="5" fillId="0" borderId="0" applyFill="0" applyBorder="0" applyAlignment="0" applyProtection="0"/>
    <xf numFmtId="186" fontId="5" fillId="0" borderId="0" applyFill="0" applyBorder="0" applyAlignment="0" applyProtection="0"/>
    <xf numFmtId="188" fontId="5" fillId="0" borderId="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9" fontId="94" fillId="0" borderId="0">
      <alignment horizontal="left" wrapText="1" indent="1"/>
    </xf>
    <xf numFmtId="0" fontId="41" fillId="9" borderId="0" applyNumberFormat="0" applyBorder="0" applyAlignment="0" applyProtection="0"/>
    <xf numFmtId="0" fontId="41" fillId="8" borderId="0" applyNumberFormat="0" applyBorder="0" applyAlignment="0" applyProtection="0"/>
    <xf numFmtId="0" fontId="41" fillId="9" borderId="0" applyNumberFormat="0" applyBorder="0" applyAlignment="0" applyProtection="0"/>
    <xf numFmtId="0" fontId="41" fillId="2" borderId="0" applyNumberFormat="0" applyBorder="0" applyAlignment="0" applyProtection="0"/>
    <xf numFmtId="0" fontId="64" fillId="9" borderId="0" applyNumberFormat="0" applyBorder="0" applyAlignment="0" applyProtection="0"/>
    <xf numFmtId="0" fontId="41" fillId="2" borderId="0" applyNumberFormat="0" applyBorder="0" applyAlignment="0" applyProtection="0"/>
    <xf numFmtId="0" fontId="41" fillId="50" borderId="0" applyNumberFormat="0" applyBorder="0" applyAlignment="0" applyProtection="0"/>
    <xf numFmtId="0" fontId="61" fillId="15" borderId="16" applyNumberFormat="0" applyAlignment="0" applyProtection="0"/>
    <xf numFmtId="0" fontId="62" fillId="0" borderId="19" applyNumberFormat="0" applyFill="0" applyAlignment="0" applyProtection="0"/>
    <xf numFmtId="0" fontId="63" fillId="0" borderId="0" applyNumberFormat="0" applyFill="0" applyBorder="0" applyAlignment="0" applyProtection="0"/>
    <xf numFmtId="192" fontId="5" fillId="0" borderId="0" applyFont="0" applyFill="0" applyBorder="0" applyAlignment="0" applyProtection="0"/>
    <xf numFmtId="0" fontId="34" fillId="0" borderId="0"/>
    <xf numFmtId="0" fontId="34" fillId="0" borderId="0"/>
    <xf numFmtId="0" fontId="34" fillId="0" borderId="0"/>
    <xf numFmtId="0" fontId="34" fillId="0" borderId="0"/>
    <xf numFmtId="0" fontId="34" fillId="51" borderId="0" applyNumberFormat="0" applyBorder="0" applyProtection="0">
      <alignment horizontal="justify" vertical="top" wrapText="1"/>
    </xf>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8" borderId="0" applyNumberFormat="0" applyBorder="0" applyAlignment="0" applyProtection="0"/>
    <xf numFmtId="0" fontId="41" fillId="8" borderId="0" applyNumberFormat="0" applyBorder="0" applyAlignment="0" applyProtection="0"/>
    <xf numFmtId="0" fontId="41" fillId="9" borderId="0" applyNumberFormat="0" applyBorder="0" applyAlignment="0" applyProtection="0"/>
    <xf numFmtId="0" fontId="41" fillId="2" borderId="0" applyNumberFormat="0" applyBorder="0" applyAlignment="0" applyProtection="0"/>
    <xf numFmtId="0" fontId="64" fillId="9" borderId="0" applyNumberFormat="0" applyBorder="0" applyAlignment="0" applyProtection="0"/>
    <xf numFmtId="0" fontId="95" fillId="0" borderId="0">
      <alignment horizontal="center"/>
    </xf>
    <xf numFmtId="0" fontId="85" fillId="0" borderId="20" applyNumberFormat="0" applyFill="0" applyAlignment="0" applyProtection="0"/>
    <xf numFmtId="0" fontId="85" fillId="0" borderId="20" applyNumberFormat="0" applyFill="0" applyAlignment="0" applyProtection="0"/>
    <xf numFmtId="0" fontId="42" fillId="0" borderId="20" applyNumberFormat="0" applyFill="0" applyAlignment="0" applyProtection="0"/>
    <xf numFmtId="0" fontId="85" fillId="0" borderId="20" applyNumberFormat="0" applyFill="0" applyAlignment="0" applyProtection="0"/>
    <xf numFmtId="0" fontId="86" fillId="0" borderId="21" applyNumberFormat="0" applyFill="0" applyAlignment="0" applyProtection="0"/>
    <xf numFmtId="0" fontId="86" fillId="0" borderId="21" applyNumberFormat="0" applyFill="0" applyAlignment="0" applyProtection="0"/>
    <xf numFmtId="0" fontId="43" fillId="0" borderId="21" applyNumberFormat="0" applyFill="0" applyAlignment="0" applyProtection="0"/>
    <xf numFmtId="0" fontId="86" fillId="0" borderId="21" applyNumberFormat="0" applyFill="0" applyAlignment="0" applyProtection="0"/>
    <xf numFmtId="0" fontId="87" fillId="0" borderId="22" applyNumberFormat="0" applyFill="0" applyAlignment="0" applyProtection="0"/>
    <xf numFmtId="0" fontId="87" fillId="0" borderId="22" applyNumberFormat="0" applyFill="0" applyAlignment="0" applyProtection="0"/>
    <xf numFmtId="0" fontId="44" fillId="0" borderId="22" applyNumberFormat="0" applyFill="0" applyAlignment="0" applyProtection="0"/>
    <xf numFmtId="0" fontId="87" fillId="0" borderId="22" applyNumberFormat="0" applyFill="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44" fillId="0" borderId="0" applyNumberFormat="0" applyFill="0" applyBorder="0" applyAlignment="0" applyProtection="0"/>
    <xf numFmtId="0" fontId="87" fillId="0" borderId="0" applyNumberFormat="0" applyFill="0" applyBorder="0" applyAlignment="0" applyProtection="0"/>
    <xf numFmtId="0" fontId="95" fillId="0" borderId="0">
      <alignment horizontal="center" textRotation="9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45" fillId="14" borderId="16" applyNumberFormat="0" applyAlignment="0" applyProtection="0"/>
    <xf numFmtId="0" fontId="45" fillId="14" borderId="16" applyNumberFormat="0" applyAlignment="0" applyProtection="0"/>
    <xf numFmtId="0" fontId="45" fillId="15" borderId="16" applyNumberFormat="0" applyAlignment="0" applyProtection="0"/>
    <xf numFmtId="0" fontId="45" fillId="14" borderId="16" applyNumberFormat="0" applyAlignment="0" applyProtection="0"/>
    <xf numFmtId="0" fontId="36" fillId="36" borderId="0" applyNumberFormat="0" applyBorder="0" applyAlignment="0" applyProtection="0"/>
    <xf numFmtId="0" fontId="58" fillId="37" borderId="0" applyNumberFormat="0" applyBorder="0" applyAlignment="0" applyProtection="0"/>
    <xf numFmtId="0" fontId="36" fillId="38" borderId="0" applyNumberFormat="0" applyBorder="0" applyAlignment="0" applyProtection="0"/>
    <xf numFmtId="0" fontId="58" fillId="39" borderId="0" applyNumberFormat="0" applyBorder="0" applyAlignment="0" applyProtection="0"/>
    <xf numFmtId="0" fontId="36" fillId="52" borderId="0" applyNumberFormat="0" applyBorder="0" applyAlignment="0" applyProtection="0"/>
    <xf numFmtId="0" fontId="58" fillId="41" borderId="0" applyNumberFormat="0" applyBorder="0" applyAlignment="0" applyProtection="0"/>
    <xf numFmtId="0" fontId="36" fillId="29" borderId="0" applyNumberFormat="0" applyBorder="0" applyAlignment="0" applyProtection="0"/>
    <xf numFmtId="0" fontId="58" fillId="30" borderId="0" applyNumberFormat="0" applyBorder="0" applyAlignment="0" applyProtection="0"/>
    <xf numFmtId="0" fontId="36" fillId="31" borderId="0" applyNumberFormat="0" applyBorder="0" applyAlignment="0" applyProtection="0"/>
    <xf numFmtId="0" fontId="58" fillId="32" borderId="0" applyNumberFormat="0" applyBorder="0" applyAlignment="0" applyProtection="0"/>
    <xf numFmtId="0" fontId="36" fillId="53" borderId="0" applyNumberFormat="0" applyBorder="0" applyAlignment="0" applyProtection="0"/>
    <xf numFmtId="0" fontId="58" fillId="43" borderId="0" applyNumberFormat="0" applyBorder="0" applyAlignment="0" applyProtection="0"/>
    <xf numFmtId="0" fontId="48" fillId="44" borderId="15" applyNumberFormat="0" applyAlignment="0" applyProtection="0"/>
    <xf numFmtId="0" fontId="48" fillId="3" borderId="15" applyNumberFormat="0" applyAlignment="0" applyProtection="0"/>
    <xf numFmtId="0" fontId="48" fillId="44" borderId="15" applyNumberFormat="0" applyAlignment="0" applyProtection="0"/>
    <xf numFmtId="0" fontId="48" fillId="3" borderId="15" applyNumberFormat="0" applyAlignment="0" applyProtection="0"/>
    <xf numFmtId="0" fontId="59" fillId="44" borderId="15" applyNumberFormat="0" applyAlignment="0" applyProtection="0"/>
    <xf numFmtId="0" fontId="48" fillId="3" borderId="15" applyNumberFormat="0" applyAlignment="0" applyProtection="0"/>
    <xf numFmtId="0" fontId="48" fillId="54" borderId="15" applyNumberFormat="0" applyAlignment="0" applyProtection="0"/>
    <xf numFmtId="0" fontId="38" fillId="3" borderId="16" applyNumberFormat="0" applyAlignment="0" applyProtection="0"/>
    <xf numFmtId="0" fontId="60" fillId="44" borderId="16" applyNumberFormat="0" applyAlignment="0" applyProtection="0"/>
    <xf numFmtId="0" fontId="52" fillId="0" borderId="0">
      <alignment horizontal="right" vertical="top"/>
    </xf>
    <xf numFmtId="0" fontId="53" fillId="0" borderId="0">
      <alignment horizontal="justify" vertical="top" wrapText="1"/>
    </xf>
    <xf numFmtId="0" fontId="52" fillId="0" borderId="0">
      <alignment horizontal="left"/>
    </xf>
    <xf numFmtId="4" fontId="53" fillId="0" borderId="0">
      <alignment horizontal="right"/>
    </xf>
    <xf numFmtId="0" fontId="53" fillId="0" borderId="0">
      <alignment horizontal="right"/>
    </xf>
    <xf numFmtId="4" fontId="53" fillId="0" borderId="0">
      <alignment horizontal="right" wrapText="1"/>
    </xf>
    <xf numFmtId="0" fontId="53" fillId="0" borderId="0">
      <alignment horizontal="right"/>
    </xf>
    <xf numFmtId="4" fontId="53" fillId="0" borderId="0">
      <alignment horizontal="right"/>
    </xf>
    <xf numFmtId="0" fontId="88" fillId="0" borderId="0" applyBorder="0" applyProtection="0">
      <alignment horizontal="right" vertical="top" wrapText="1"/>
    </xf>
    <xf numFmtId="0" fontId="47" fillId="0" borderId="23" applyNumberFormat="0" applyFill="0" applyAlignment="0" applyProtection="0"/>
    <xf numFmtId="0" fontId="47" fillId="0" borderId="23" applyNumberFormat="0" applyFill="0" applyAlignment="0" applyProtection="0"/>
    <xf numFmtId="0" fontId="46" fillId="0" borderId="24" applyNumberFormat="0" applyFill="0" applyAlignment="0" applyProtection="0"/>
    <xf numFmtId="0" fontId="47" fillId="0" borderId="23" applyNumberFormat="0" applyFill="0" applyAlignment="0" applyProtection="0"/>
    <xf numFmtId="0" fontId="37" fillId="6" borderId="0" applyNumberFormat="0" applyBorder="0" applyAlignment="0" applyProtection="0"/>
    <xf numFmtId="0" fontId="65" fillId="7" borderId="0" applyNumberFormat="0" applyBorder="0" applyAlignment="0" applyProtection="0"/>
    <xf numFmtId="0" fontId="5" fillId="0" borderId="0">
      <alignment horizontal="justify" vertical="top" wrapText="1"/>
    </xf>
    <xf numFmtId="0" fontId="88" fillId="0" borderId="0" applyBorder="0">
      <alignment horizontal="justify" vertical="top" wrapText="1"/>
      <protection locked="0"/>
    </xf>
    <xf numFmtId="193" fontId="89" fillId="0" borderId="0" applyFill="0" applyBorder="0" applyProtection="0">
      <alignment horizontal="justify" vertical="top" wrapText="1"/>
    </xf>
    <xf numFmtId="0" fontId="89" fillId="0" borderId="0" applyNumberFormat="0" applyBorder="0">
      <alignment vertical="top" wrapText="1"/>
      <protection locked="0"/>
    </xf>
    <xf numFmtId="0" fontId="49" fillId="0" borderId="0" applyNumberFormat="0" applyFill="0" applyBorder="0" applyAlignment="0" applyProtection="0"/>
    <xf numFmtId="0" fontId="42" fillId="0" borderId="20" applyNumberFormat="0" applyFill="0" applyAlignment="0" applyProtection="0"/>
    <xf numFmtId="0" fontId="67" fillId="0" borderId="20" applyNumberFormat="0" applyFill="0" applyAlignment="0" applyProtection="0"/>
    <xf numFmtId="0" fontId="43" fillId="0" borderId="21" applyNumberFormat="0" applyFill="0" applyAlignment="0" applyProtection="0"/>
    <xf numFmtId="0" fontId="68" fillId="0" borderId="21" applyNumberFormat="0" applyFill="0" applyAlignment="0" applyProtection="0"/>
    <xf numFmtId="0" fontId="44" fillId="0" borderId="22" applyNumberFormat="0" applyFill="0" applyAlignment="0" applyProtection="0"/>
    <xf numFmtId="0" fontId="69" fillId="0" borderId="22" applyNumberFormat="0" applyFill="0" applyAlignment="0" applyProtection="0"/>
    <xf numFmtId="0" fontId="44" fillId="0" borderId="0" applyNumberFormat="0" applyFill="0" applyBorder="0" applyAlignment="0" applyProtection="0"/>
    <xf numFmtId="0" fontId="69" fillId="0" borderId="0" applyNumberFormat="0" applyFill="0" applyBorder="0" applyAlignment="0" applyProtection="0"/>
    <xf numFmtId="0" fontId="49" fillId="0" borderId="0" applyNumberFormat="0" applyFill="0" applyBorder="0" applyAlignment="0" applyProtection="0"/>
    <xf numFmtId="0" fontId="66" fillId="0" borderId="0" applyNumberFormat="0" applyFill="0" applyBorder="0" applyAlignment="0" applyProtection="0"/>
    <xf numFmtId="0" fontId="78" fillId="0" borderId="0" applyNumberFormat="0" applyFill="0" applyBorder="0" applyAlignment="0" applyProtection="0"/>
    <xf numFmtId="0" fontId="5" fillId="0" borderId="0"/>
    <xf numFmtId="0" fontId="90" fillId="55" borderId="0" applyNumberFormat="0" applyBorder="0" applyAlignment="0" applyProtection="0"/>
    <xf numFmtId="0" fontId="90" fillId="55" borderId="0" applyNumberFormat="0" applyBorder="0" applyAlignment="0" applyProtection="0"/>
    <xf numFmtId="0" fontId="47" fillId="56" borderId="0" applyNumberFormat="0" applyBorder="0" applyAlignment="0" applyProtection="0"/>
    <xf numFmtId="0" fontId="47" fillId="56" borderId="0" applyNumberFormat="0" applyFont="0" applyBorder="0" applyAlignment="0" applyProtection="0"/>
    <xf numFmtId="0" fontId="47" fillId="55" borderId="0" applyNumberFormat="0" applyBorder="0" applyAlignment="0" applyProtection="0"/>
    <xf numFmtId="0" fontId="79" fillId="56" borderId="0" applyNumberFormat="0" applyBorder="0" applyAlignment="0" applyProtection="0"/>
    <xf numFmtId="0" fontId="22" fillId="0" borderId="0"/>
    <xf numFmtId="0" fontId="5" fillId="0" borderId="0"/>
    <xf numFmtId="0" fontId="5" fillId="0" borderId="0"/>
    <xf numFmtId="0" fontId="5" fillId="0" borderId="0"/>
    <xf numFmtId="0" fontId="5" fillId="0" borderId="0"/>
    <xf numFmtId="0" fontId="5" fillId="0" borderId="0"/>
    <xf numFmtId="0" fontId="13" fillId="0" borderId="0"/>
    <xf numFmtId="0" fontId="22" fillId="0" borderId="0"/>
    <xf numFmtId="0" fontId="9" fillId="0" borderId="0"/>
    <xf numFmtId="0" fontId="5" fillId="0" borderId="0"/>
    <xf numFmtId="0" fontId="5" fillId="0" borderId="0"/>
    <xf numFmtId="0" fontId="5" fillId="0" borderId="0"/>
    <xf numFmtId="0" fontId="26" fillId="0" borderId="0"/>
    <xf numFmtId="0" fontId="31" fillId="0" borderId="0"/>
    <xf numFmtId="0" fontId="4" fillId="0" borderId="0"/>
    <xf numFmtId="0" fontId="4" fillId="0" borderId="0"/>
    <xf numFmtId="0" fontId="9" fillId="0" borderId="0"/>
    <xf numFmtId="0" fontId="5" fillId="0" borderId="0"/>
    <xf numFmtId="0" fontId="5" fillId="0" borderId="0"/>
    <xf numFmtId="0" fontId="34" fillId="0" borderId="0"/>
    <xf numFmtId="0" fontId="5" fillId="0" borderId="0"/>
    <xf numFmtId="0" fontId="5" fillId="0" borderId="0"/>
    <xf numFmtId="0" fontId="27" fillId="0" borderId="0">
      <alignment horizontal="justify" wrapText="1"/>
    </xf>
    <xf numFmtId="0" fontId="5" fillId="0" borderId="0"/>
    <xf numFmtId="0" fontId="33" fillId="0" borderId="0">
      <alignment horizontal="left" vertical="top" wrapText="1"/>
    </xf>
    <xf numFmtId="0" fontId="5" fillId="0" borderId="0"/>
    <xf numFmtId="0" fontId="5" fillId="0" borderId="0"/>
    <xf numFmtId="0" fontId="5" fillId="0" borderId="0"/>
    <xf numFmtId="0" fontId="27" fillId="0" borderId="0">
      <alignment horizontal="justify" wrapText="1"/>
    </xf>
    <xf numFmtId="0" fontId="5" fillId="0" borderId="0"/>
    <xf numFmtId="0" fontId="4" fillId="0" borderId="0"/>
    <xf numFmtId="0" fontId="9" fillId="0" borderId="0"/>
    <xf numFmtId="0" fontId="5" fillId="0" borderId="0"/>
    <xf numFmtId="2"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9" fillId="0" borderId="0"/>
    <xf numFmtId="0" fontId="5" fillId="0" borderId="0"/>
    <xf numFmtId="0" fontId="9" fillId="0" borderId="0"/>
    <xf numFmtId="0" fontId="5" fillId="0" borderId="0"/>
    <xf numFmtId="0" fontId="5" fillId="0" borderId="0"/>
    <xf numFmtId="0" fontId="5" fillId="0" borderId="0"/>
    <xf numFmtId="0" fontId="5" fillId="0" borderId="0"/>
    <xf numFmtId="0" fontId="4" fillId="0" borderId="0"/>
    <xf numFmtId="0" fontId="5" fillId="0" borderId="0"/>
    <xf numFmtId="0" fontId="5" fillId="0" borderId="0"/>
    <xf numFmtId="0" fontId="5" fillId="0" borderId="0"/>
    <xf numFmtId="0" fontId="9" fillId="0" borderId="0"/>
    <xf numFmtId="0" fontId="9" fillId="0" borderId="0"/>
    <xf numFmtId="0" fontId="5" fillId="0" borderId="0"/>
    <xf numFmtId="0" fontId="9" fillId="0" borderId="0"/>
    <xf numFmtId="0" fontId="5" fillId="0" borderId="0"/>
    <xf numFmtId="0" fontId="4" fillId="0" borderId="0"/>
    <xf numFmtId="0" fontId="5" fillId="0" borderId="0"/>
    <xf numFmtId="0" fontId="5" fillId="0" borderId="0"/>
    <xf numFmtId="0" fontId="5" fillId="0" borderId="0"/>
    <xf numFmtId="0" fontId="5" fillId="0" borderId="0"/>
    <xf numFmtId="0" fontId="5" fillId="0" borderId="0"/>
    <xf numFmtId="2" fontId="8" fillId="0" borderId="0"/>
    <xf numFmtId="0" fontId="5" fillId="0" borderId="0"/>
    <xf numFmtId="0" fontId="4" fillId="0" borderId="0"/>
    <xf numFmtId="0" fontId="5" fillId="0" borderId="0"/>
    <xf numFmtId="0" fontId="5" fillId="0" borderId="0"/>
    <xf numFmtId="0" fontId="26" fillId="0" borderId="0"/>
    <xf numFmtId="0" fontId="31" fillId="0" borderId="0"/>
    <xf numFmtId="0" fontId="5" fillId="0" borderId="0"/>
    <xf numFmtId="0" fontId="31" fillId="0" borderId="0"/>
    <xf numFmtId="0" fontId="26" fillId="0" borderId="0"/>
    <xf numFmtId="0" fontId="5" fillId="0" borderId="0"/>
    <xf numFmtId="0" fontId="9" fillId="0" borderId="0"/>
    <xf numFmtId="0" fontId="77" fillId="0" borderId="0"/>
    <xf numFmtId="0" fontId="5" fillId="0" borderId="0"/>
    <xf numFmtId="0" fontId="5" fillId="0" borderId="0"/>
    <xf numFmtId="0" fontId="9" fillId="0" borderId="0"/>
    <xf numFmtId="49" fontId="74" fillId="0" borderId="0">
      <alignment horizontal="justify" vertical="justify" wrapText="1"/>
      <protection locked="0"/>
    </xf>
    <xf numFmtId="49" fontId="74" fillId="0" borderId="0">
      <alignment horizontal="justify" vertical="justify" wrapText="1"/>
      <protection locked="0"/>
    </xf>
    <xf numFmtId="0" fontId="5" fillId="0" borderId="0"/>
    <xf numFmtId="0" fontId="5" fillId="0" borderId="0"/>
    <xf numFmtId="0" fontId="4" fillId="0" borderId="0"/>
    <xf numFmtId="194" fontId="5" fillId="0" borderId="0"/>
    <xf numFmtId="0" fontId="5" fillId="0" borderId="0"/>
    <xf numFmtId="0" fontId="5" fillId="0" borderId="0"/>
    <xf numFmtId="0" fontId="5" fillId="0" borderId="0"/>
    <xf numFmtId="0" fontId="96" fillId="0" borderId="0"/>
    <xf numFmtId="0" fontId="34" fillId="0" borderId="0"/>
    <xf numFmtId="0" fontId="5" fillId="0" borderId="0"/>
    <xf numFmtId="0" fontId="34" fillId="0" borderId="0"/>
    <xf numFmtId="0" fontId="96" fillId="0" borderId="0"/>
    <xf numFmtId="0" fontId="5" fillId="0" borderId="0"/>
    <xf numFmtId="0" fontId="5" fillId="0" borderId="0"/>
    <xf numFmtId="0" fontId="5" fillId="0" borderId="0"/>
    <xf numFmtId="0" fontId="5" fillId="0" borderId="0"/>
    <xf numFmtId="0" fontId="5" fillId="0" borderId="0">
      <alignment vertical="top"/>
    </xf>
    <xf numFmtId="0" fontId="5" fillId="0" borderId="0"/>
    <xf numFmtId="0" fontId="5" fillId="0" borderId="0">
      <alignment vertical="top"/>
    </xf>
    <xf numFmtId="0" fontId="4" fillId="0" borderId="0"/>
    <xf numFmtId="0" fontId="4" fillId="0" borderId="0"/>
    <xf numFmtId="0" fontId="4" fillId="0" borderId="0"/>
    <xf numFmtId="4" fontId="20" fillId="0" borderId="0">
      <alignment horizontal="justify" vertical="justify"/>
    </xf>
    <xf numFmtId="3" fontId="91" fillId="0" borderId="0">
      <alignment horizontal="justify" vertical="justify"/>
    </xf>
    <xf numFmtId="0" fontId="20" fillId="0" borderId="0">
      <alignment horizontal="justify"/>
    </xf>
    <xf numFmtId="4" fontId="33" fillId="0" borderId="0">
      <alignment horizontal="justify"/>
    </xf>
    <xf numFmtId="0" fontId="4" fillId="0" borderId="0"/>
    <xf numFmtId="0" fontId="5" fillId="0" borderId="0"/>
    <xf numFmtId="0" fontId="80" fillId="0" borderId="0"/>
    <xf numFmtId="0" fontId="9" fillId="46" borderId="17" applyNumberFormat="0" applyAlignment="0" applyProtection="0"/>
    <xf numFmtId="0" fontId="9" fillId="46" borderId="17" applyNumberFormat="0" applyAlignment="0" applyProtection="0"/>
    <xf numFmtId="0" fontId="34"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 fillId="47" borderId="17" applyNumberFormat="0" applyAlignment="0" applyProtection="0"/>
    <xf numFmtId="0" fontId="34" fillId="45" borderId="17" applyNumberFormat="0" applyFont="0" applyAlignment="0" applyProtection="0"/>
    <xf numFmtId="0" fontId="34" fillId="45" borderId="17" applyNumberFormat="0" applyFont="0" applyAlignment="0" applyProtection="0"/>
    <xf numFmtId="0" fontId="34"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 fillId="45" borderId="17" applyNumberFormat="0" applyFont="0" applyAlignment="0" applyProtection="0"/>
    <xf numFmtId="0" fontId="57" fillId="0" borderId="0"/>
    <xf numFmtId="0" fontId="57" fillId="0" borderId="0"/>
    <xf numFmtId="0" fontId="5" fillId="0" borderId="0"/>
    <xf numFmtId="0" fontId="57" fillId="0" borderId="0"/>
    <xf numFmtId="0" fontId="5" fillId="0" borderId="0"/>
    <xf numFmtId="0" fontId="57" fillId="0" borderId="0">
      <alignment horizontal="left"/>
    </xf>
    <xf numFmtId="0" fontId="5" fillId="0" borderId="0"/>
    <xf numFmtId="0" fontId="5" fillId="0" borderId="0"/>
    <xf numFmtId="0" fontId="57" fillId="0" borderId="0">
      <alignment horizontal="left"/>
    </xf>
    <xf numFmtId="0" fontId="5" fillId="0" borderId="0"/>
    <xf numFmtId="0" fontId="5" fillId="0" borderId="0"/>
    <xf numFmtId="0" fontId="57" fillId="0" borderId="0">
      <alignment horizontal="left"/>
    </xf>
    <xf numFmtId="0" fontId="5" fillId="0" borderId="0"/>
    <xf numFmtId="0" fontId="5" fillId="0" borderId="0"/>
    <xf numFmtId="0" fontId="57" fillId="0" borderId="0">
      <alignment horizontal="left"/>
    </xf>
    <xf numFmtId="0" fontId="5" fillId="0" borderId="0"/>
    <xf numFmtId="0" fontId="5" fillId="0" borderId="0"/>
    <xf numFmtId="0" fontId="57" fillId="0" borderId="0">
      <alignment horizontal="left"/>
    </xf>
    <xf numFmtId="0" fontId="57" fillId="0" borderId="0">
      <alignment horizontal="left"/>
    </xf>
    <xf numFmtId="0" fontId="57" fillId="0" borderId="0"/>
    <xf numFmtId="0" fontId="57" fillId="0" borderId="0"/>
    <xf numFmtId="0" fontId="57" fillId="0" borderId="0">
      <alignment horizontal="left"/>
    </xf>
    <xf numFmtId="0" fontId="5" fillId="0" borderId="0"/>
    <xf numFmtId="0" fontId="5" fillId="0" borderId="0"/>
    <xf numFmtId="0" fontId="54"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7" fillId="0" borderId="0"/>
    <xf numFmtId="0" fontId="57" fillId="0" borderId="0"/>
    <xf numFmtId="0" fontId="32"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2"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2" fillId="0" borderId="0"/>
    <xf numFmtId="0" fontId="32" fillId="0" borderId="0"/>
    <xf numFmtId="0" fontId="32" fillId="0" borderId="0"/>
    <xf numFmtId="0" fontId="32" fillId="0" borderId="0"/>
    <xf numFmtId="0" fontId="32" fillId="0" borderId="0"/>
    <xf numFmtId="0" fontId="32" fillId="0" borderId="0"/>
    <xf numFmtId="0" fontId="57" fillId="0" borderId="0"/>
    <xf numFmtId="0" fontId="57" fillId="0" borderId="0"/>
    <xf numFmtId="0" fontId="57" fillId="0" borderId="0"/>
    <xf numFmtId="0" fontId="32" fillId="0" borderId="0"/>
    <xf numFmtId="0" fontId="5"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2" fillId="0" borderId="0"/>
    <xf numFmtId="0" fontId="57" fillId="0" borderId="0"/>
    <xf numFmtId="0" fontId="57" fillId="0" borderId="0"/>
    <xf numFmtId="0" fontId="57" fillId="0" borderId="0"/>
    <xf numFmtId="0" fontId="57" fillId="0" borderId="0"/>
    <xf numFmtId="0" fontId="57" fillId="0" borderId="0"/>
    <xf numFmtId="0" fontId="57" fillId="0" borderId="0"/>
    <xf numFmtId="0" fontId="32" fillId="0" borderId="0"/>
    <xf numFmtId="0" fontId="57" fillId="0" borderId="0">
      <alignment horizontal="left"/>
    </xf>
    <xf numFmtId="0" fontId="57" fillId="0" borderId="0">
      <alignment horizontal="left"/>
    </xf>
    <xf numFmtId="0" fontId="57" fillId="0" borderId="0">
      <alignment horizontal="left"/>
    </xf>
    <xf numFmtId="0" fontId="5" fillId="0" borderId="0"/>
    <xf numFmtId="0" fontId="32" fillId="0" borderId="0"/>
    <xf numFmtId="0" fontId="5" fillId="0" borderId="0"/>
    <xf numFmtId="0" fontId="32" fillId="0" borderId="0"/>
    <xf numFmtId="0" fontId="32" fillId="0" borderId="0"/>
    <xf numFmtId="0" fontId="32" fillId="0" borderId="0"/>
    <xf numFmtId="0" fontId="57" fillId="0" borderId="0"/>
    <xf numFmtId="0" fontId="57" fillId="0" borderId="0"/>
    <xf numFmtId="0" fontId="57" fillId="0" borderId="0"/>
    <xf numFmtId="0" fontId="32" fillId="0" borderId="0"/>
    <xf numFmtId="0" fontId="32" fillId="0" borderId="0"/>
    <xf numFmtId="0" fontId="5" fillId="0" borderId="0"/>
    <xf numFmtId="0" fontId="5" fillId="0" borderId="0"/>
    <xf numFmtId="0" fontId="5" fillId="0" borderId="0"/>
    <xf numFmtId="0" fontId="57" fillId="0" borderId="0"/>
    <xf numFmtId="0" fontId="57" fillId="0" borderId="0"/>
    <xf numFmtId="0" fontId="34" fillId="0" borderId="0"/>
    <xf numFmtId="0" fontId="57" fillId="0" borderId="0"/>
    <xf numFmtId="0" fontId="57"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57" fillId="0" borderId="0"/>
    <xf numFmtId="0" fontId="57" fillId="0" borderId="0"/>
    <xf numFmtId="0" fontId="5" fillId="0" borderId="0"/>
    <xf numFmtId="0" fontId="57" fillId="0" borderId="0"/>
    <xf numFmtId="0" fontId="57" fillId="0" borderId="0"/>
    <xf numFmtId="0" fontId="5" fillId="0" borderId="0"/>
    <xf numFmtId="0" fontId="57" fillId="0" borderId="0"/>
    <xf numFmtId="0" fontId="57" fillId="0" borderId="0"/>
    <xf numFmtId="0" fontId="57" fillId="0" borderId="0"/>
    <xf numFmtId="0" fontId="5" fillId="0" borderId="0"/>
    <xf numFmtId="0" fontId="57" fillId="0" borderId="0"/>
    <xf numFmtId="0" fontId="57" fillId="0" borderId="0"/>
    <xf numFmtId="0" fontId="57" fillId="0" borderId="0">
      <alignment horizontal="left"/>
    </xf>
    <xf numFmtId="0" fontId="5" fillId="0" borderId="0"/>
    <xf numFmtId="0" fontId="57" fillId="0" borderId="0"/>
    <xf numFmtId="0" fontId="57" fillId="0" borderId="0"/>
    <xf numFmtId="0" fontId="5" fillId="0" borderId="0"/>
    <xf numFmtId="0" fontId="57" fillId="0" borderId="0"/>
    <xf numFmtId="0" fontId="57" fillId="0" borderId="0"/>
    <xf numFmtId="0" fontId="57" fillId="0" borderId="0"/>
    <xf numFmtId="0" fontId="57" fillId="0" borderId="0"/>
    <xf numFmtId="0" fontId="57" fillId="0" borderId="0">
      <alignment horizontal="left"/>
    </xf>
    <xf numFmtId="0" fontId="57" fillId="0" borderId="0">
      <alignment horizontal="left"/>
    </xf>
    <xf numFmtId="0" fontId="5" fillId="0" borderId="0"/>
    <xf numFmtId="0" fontId="5" fillId="0" borderId="0"/>
    <xf numFmtId="0" fontId="48" fillId="3" borderId="15" applyNumberFormat="0" applyAlignment="0" applyProtection="0"/>
    <xf numFmtId="0" fontId="48" fillId="3" borderId="15" applyNumberFormat="0" applyAlignment="0" applyProtection="0"/>
    <xf numFmtId="0" fontId="48" fillId="44" borderId="15" applyNumberFormat="0" applyAlignment="0" applyProtection="0"/>
    <xf numFmtId="0" fontId="48" fillId="3" borderId="15" applyNumberFormat="0" applyAlignment="0" applyProtection="0"/>
    <xf numFmtId="9" fontId="5" fillId="0" borderId="0" applyFont="0" applyFill="0" applyBorder="0" applyAlignment="0" applyProtection="0"/>
    <xf numFmtId="9" fontId="9" fillId="0" borderId="0" applyFont="0" applyFill="0" applyBorder="0" applyAlignment="0" applyProtection="0"/>
    <xf numFmtId="9" fontId="5" fillId="0" borderId="0" applyFont="0" applyFill="0" applyBorder="0" applyAlignment="0" applyProtection="0"/>
    <xf numFmtId="9" fontId="5" fillId="0" borderId="0" applyFill="0" applyBorder="0" applyAlignment="0" applyProtection="0"/>
    <xf numFmtId="9" fontId="5" fillId="0" borderId="0" applyFont="0" applyFill="0" applyBorder="0" applyAlignment="0" applyProtection="0"/>
    <xf numFmtId="9" fontId="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4" fillId="0" borderId="0"/>
    <xf numFmtId="9" fontId="34" fillId="0" borderId="0"/>
    <xf numFmtId="9" fontId="5" fillId="0" borderId="0" applyFont="0" applyFill="0" applyBorder="0" applyAlignment="0" applyProtection="0"/>
    <xf numFmtId="9" fontId="5" fillId="0" borderId="0" applyFont="0" applyFill="0" applyBorder="0" applyAlignment="0" applyProtection="0"/>
    <xf numFmtId="9" fontId="5" fillId="0" borderId="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46" fillId="0" borderId="24" applyNumberFormat="0" applyFill="0" applyAlignment="0" applyProtection="0"/>
    <xf numFmtId="0" fontId="70" fillId="0" borderId="24" applyNumberFormat="0" applyFill="0" applyAlignment="0" applyProtection="0"/>
    <xf numFmtId="0" fontId="39" fillId="48" borderId="18" applyNumberFormat="0" applyAlignment="0" applyProtection="0"/>
    <xf numFmtId="0" fontId="72" fillId="49" borderId="18" applyNumberFormat="0" applyAlignment="0" applyProtection="0"/>
    <xf numFmtId="1" fontId="88" fillId="0" borderId="0" applyFill="0" applyBorder="0" applyProtection="0">
      <alignment horizontal="center" vertical="top" wrapText="1"/>
    </xf>
    <xf numFmtId="0" fontId="97" fillId="0" borderId="0"/>
    <xf numFmtId="0" fontId="97" fillId="0" borderId="0"/>
    <xf numFmtId="190" fontId="75" fillId="57" borderId="11" applyNumberFormat="0" applyFont="0" applyAlignment="0" applyProtection="0">
      <alignment horizontal="center" vertical="top"/>
    </xf>
    <xf numFmtId="0" fontId="65" fillId="7" borderId="0" applyNumberFormat="0" applyBorder="0" applyAlignment="0" applyProtection="0"/>
    <xf numFmtId="0" fontId="55" fillId="0" borderId="0"/>
    <xf numFmtId="0" fontId="81" fillId="0" borderId="0"/>
    <xf numFmtId="0" fontId="73" fillId="0" borderId="0" applyFill="0" applyProtection="0">
      <alignment horizontal="justify" vertical="center" wrapText="1"/>
    </xf>
    <xf numFmtId="0" fontId="29" fillId="0" borderId="0" applyBorder="0"/>
    <xf numFmtId="0" fontId="29" fillId="0" borderId="0"/>
    <xf numFmtId="0" fontId="5" fillId="0" borderId="0"/>
    <xf numFmtId="0" fontId="29" fillId="0" borderId="0"/>
    <xf numFmtId="0" fontId="40" fillId="0" borderId="0" applyNumberFormat="0" applyFill="0" applyBorder="0" applyAlignment="0" applyProtection="0"/>
    <xf numFmtId="0" fontId="6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71"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49" fillId="0" borderId="0" applyNumberFormat="0" applyFill="0" applyBorder="0" applyAlignment="0" applyProtection="0"/>
    <xf numFmtId="0" fontId="50" fillId="0" borderId="19" applyNumberFormat="0" applyFill="0" applyAlignment="0" applyProtection="0"/>
    <xf numFmtId="0" fontId="50" fillId="0" borderId="19" applyNumberFormat="0" applyFill="0" applyAlignment="0" applyProtection="0"/>
    <xf numFmtId="0" fontId="50" fillId="0" borderId="19" applyNumberFormat="0" applyFill="0" applyAlignment="0" applyProtection="0"/>
    <xf numFmtId="0" fontId="66" fillId="0" borderId="0" applyNumberFormat="0" applyFill="0" applyBorder="0" applyAlignment="0" applyProtection="0"/>
    <xf numFmtId="0" fontId="67" fillId="0" borderId="20" applyNumberFormat="0" applyFill="0" applyAlignment="0" applyProtection="0"/>
    <xf numFmtId="0" fontId="68" fillId="0" borderId="21" applyNumberFormat="0" applyFill="0" applyAlignment="0" applyProtection="0"/>
    <xf numFmtId="0" fontId="69" fillId="0" borderId="22" applyNumberFormat="0" applyFill="0" applyAlignment="0" applyProtection="0"/>
    <xf numFmtId="0" fontId="69" fillId="0" borderId="0" applyNumberFormat="0" applyFill="0" applyBorder="0" applyAlignment="0" applyProtection="0"/>
    <xf numFmtId="0" fontId="50" fillId="0" borderId="19" applyNumberFormat="0" applyFill="0" applyAlignment="0" applyProtection="0"/>
    <xf numFmtId="0" fontId="62" fillId="0" borderId="19" applyNumberFormat="0" applyFill="0" applyAlignment="0" applyProtection="0"/>
    <xf numFmtId="183" fontId="25" fillId="58" borderId="25">
      <alignment vertical="center"/>
    </xf>
    <xf numFmtId="0" fontId="45" fillId="16" borderId="16" applyNumberFormat="0" applyAlignment="0" applyProtection="0"/>
    <xf numFmtId="0" fontId="61" fillId="15" borderId="16" applyNumberFormat="0" applyAlignment="0" applyProtection="0"/>
    <xf numFmtId="166" fontId="34"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70" fillId="0" borderId="24" applyNumberFormat="0" applyFill="0" applyAlignment="0" applyProtection="0"/>
    <xf numFmtId="0" fontId="7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4" fontId="93" fillId="0" borderId="11" applyBorder="0">
      <alignment horizontal="right" wrapText="1"/>
    </xf>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86" fontId="5" fillId="0" borderId="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34"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0" fontId="72" fillId="49" borderId="18" applyNumberFormat="0" applyAlignment="0" applyProtection="0"/>
    <xf numFmtId="0" fontId="98" fillId="0" borderId="0"/>
    <xf numFmtId="168" fontId="32" fillId="0" borderId="0" applyFont="0" applyFill="0" applyBorder="0" applyAlignment="0" applyProtection="0"/>
    <xf numFmtId="0" fontId="5" fillId="0" borderId="0"/>
    <xf numFmtId="0" fontId="5" fillId="0" borderId="0"/>
    <xf numFmtId="0" fontId="99" fillId="0" borderId="0"/>
    <xf numFmtId="0" fontId="5" fillId="0" borderId="0"/>
    <xf numFmtId="169" fontId="5" fillId="0" borderId="0" applyFill="0" applyBorder="0" applyProtection="0">
      <alignment vertical="top"/>
    </xf>
    <xf numFmtId="170" fontId="5" fillId="0" borderId="0" applyFill="0" applyBorder="0" applyProtection="0">
      <alignment vertical="top"/>
    </xf>
    <xf numFmtId="173" fontId="5" fillId="0" borderId="0" applyFill="0" applyBorder="0" applyProtection="0">
      <alignment vertical="top"/>
    </xf>
    <xf numFmtId="179" fontId="5" fillId="0" borderId="0" applyFill="0" applyBorder="0" applyProtection="0">
      <alignment vertical="top"/>
    </xf>
    <xf numFmtId="167" fontId="5" fillId="0" borderId="0" applyFont="0" applyFill="0" applyBorder="0" applyAlignment="0" applyProtection="0"/>
    <xf numFmtId="0" fontId="5" fillId="0" borderId="0"/>
    <xf numFmtId="167" fontId="5" fillId="0" borderId="0" applyFont="0" applyFill="0" applyBorder="0" applyAlignment="0" applyProtection="0"/>
    <xf numFmtId="0" fontId="3" fillId="0" borderId="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4"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34"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32" fillId="0" borderId="0" applyFont="0" applyFill="0" applyBorder="0" applyAlignment="0" applyProtection="0"/>
    <xf numFmtId="167" fontId="5" fillId="0" borderId="0" applyFont="0" applyFill="0" applyBorder="0" applyAlignment="0" applyProtection="0"/>
    <xf numFmtId="0" fontId="2" fillId="0" borderId="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34"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34"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 fillId="0" borderId="0" applyFont="0" applyFill="0" applyBorder="0" applyAlignment="0" applyProtection="0"/>
    <xf numFmtId="0" fontId="1" fillId="0" borderId="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34"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34" fillId="0" borderId="0" applyFont="0" applyFill="0" applyBorder="0" applyAlignment="0" applyProtection="0"/>
    <xf numFmtId="167" fontId="57" fillId="0" borderId="0" applyFont="0" applyFill="0" applyBorder="0" applyAlignment="0" applyProtection="0"/>
    <xf numFmtId="167" fontId="57" fillId="0" borderId="0" applyFont="0" applyFill="0" applyBorder="0" applyAlignment="0" applyProtection="0"/>
    <xf numFmtId="0" fontId="101" fillId="0" borderId="0"/>
    <xf numFmtId="0" fontId="5" fillId="0" borderId="0"/>
    <xf numFmtId="0" fontId="5" fillId="0" borderId="0"/>
    <xf numFmtId="0" fontId="26" fillId="0" borderId="0"/>
    <xf numFmtId="0" fontId="5" fillId="0" borderId="0"/>
    <xf numFmtId="0" fontId="134" fillId="0" borderId="0" applyBorder="0" applyProtection="0">
      <alignment horizontal="left"/>
    </xf>
    <xf numFmtId="0" fontId="135" fillId="0" borderId="0" applyBorder="0" applyProtection="0">
      <alignment horizontal="justify"/>
    </xf>
    <xf numFmtId="0" fontId="136" fillId="0" borderId="0" applyBorder="0" applyProtection="0">
      <alignment horizontal="justify"/>
    </xf>
    <xf numFmtId="0" fontId="151" fillId="0" borderId="0" applyNumberFormat="0" applyFill="0" applyBorder="0" applyAlignment="0" applyProtection="0">
      <alignment vertical="top"/>
    </xf>
    <xf numFmtId="0" fontId="5" fillId="0" borderId="0"/>
    <xf numFmtId="0" fontId="34" fillId="0" borderId="0"/>
    <xf numFmtId="0" fontId="5" fillId="0" borderId="0"/>
    <xf numFmtId="0" fontId="175" fillId="0" borderId="0"/>
    <xf numFmtId="0" fontId="34" fillId="0" borderId="0"/>
    <xf numFmtId="0" fontId="5" fillId="0" borderId="0"/>
  </cellStyleXfs>
  <cellXfs count="1654">
    <xf numFmtId="0" fontId="0" fillId="0" borderId="0" xfId="0">
      <alignment vertical="top"/>
    </xf>
    <xf numFmtId="0" fontId="20" fillId="0" borderId="0" xfId="0" applyFont="1" applyAlignment="1">
      <alignment horizontal="center" vertical="center"/>
    </xf>
    <xf numFmtId="0" fontId="22" fillId="0" borderId="0" xfId="0" applyFont="1" applyAlignment="1">
      <alignment horizontal="justify" vertical="top"/>
    </xf>
    <xf numFmtId="4" fontId="22" fillId="0" borderId="0" xfId="54" applyNumberFormat="1" applyFont="1" applyFill="1" applyBorder="1" applyProtection="1">
      <alignment vertical="top"/>
    </xf>
    <xf numFmtId="0" fontId="22" fillId="0" borderId="0" xfId="0" applyFont="1">
      <alignment vertical="top"/>
    </xf>
    <xf numFmtId="185" fontId="22" fillId="0" borderId="0" xfId="0" applyNumberFormat="1" applyFont="1">
      <alignment vertical="top"/>
    </xf>
    <xf numFmtId="185" fontId="0" fillId="0" borderId="0" xfId="0" applyNumberFormat="1">
      <alignment vertical="top"/>
    </xf>
    <xf numFmtId="0" fontId="102" fillId="3" borderId="0" xfId="0" applyFont="1" applyFill="1">
      <alignment vertical="top"/>
    </xf>
    <xf numFmtId="182" fontId="103" fillId="3" borderId="0" xfId="0" applyNumberFormat="1" applyFont="1" applyFill="1">
      <alignment vertical="top"/>
    </xf>
    <xf numFmtId="4" fontId="103" fillId="3" borderId="0" xfId="0" applyNumberFormat="1" applyFont="1" applyFill="1">
      <alignment vertical="top"/>
    </xf>
    <xf numFmtId="0" fontId="103" fillId="0" borderId="0" xfId="0" applyFont="1">
      <alignment vertical="top"/>
    </xf>
    <xf numFmtId="0" fontId="103" fillId="0" borderId="0" xfId="0" applyFont="1" applyAlignment="1">
      <alignment horizontal="right" vertical="top"/>
    </xf>
    <xf numFmtId="0" fontId="103" fillId="0" borderId="0" xfId="0" applyFont="1" applyAlignment="1">
      <alignment horizontal="center" vertical="top"/>
    </xf>
    <xf numFmtId="182" fontId="103" fillId="0" borderId="0" xfId="0" applyNumberFormat="1" applyFont="1">
      <alignment vertical="top"/>
    </xf>
    <xf numFmtId="4" fontId="103" fillId="0" borderId="0" xfId="0" applyNumberFormat="1" applyFont="1">
      <alignment vertical="top"/>
    </xf>
    <xf numFmtId="0" fontId="103" fillId="0" borderId="0" xfId="0" applyFont="1" applyAlignment="1">
      <alignment horizontal="right"/>
    </xf>
    <xf numFmtId="0" fontId="102" fillId="0" borderId="0" xfId="0" applyFont="1" applyAlignment="1">
      <alignment horizontal="left" vertical="top" wrapText="1"/>
    </xf>
    <xf numFmtId="0" fontId="103" fillId="0" borderId="0" xfId="0" applyFont="1" applyAlignment="1">
      <alignment horizontal="left"/>
    </xf>
    <xf numFmtId="196" fontId="103" fillId="0" borderId="0" xfId="0" applyNumberFormat="1" applyFont="1" applyAlignment="1"/>
    <xf numFmtId="4" fontId="103" fillId="0" borderId="0" xfId="0" applyNumberFormat="1" applyFont="1" applyAlignment="1"/>
    <xf numFmtId="0" fontId="103" fillId="0" borderId="0" xfId="0" applyFont="1" applyAlignment="1"/>
    <xf numFmtId="0" fontId="102" fillId="0" borderId="0" xfId="0" applyFont="1" applyAlignment="1">
      <alignment horizontal="justify" vertical="justify"/>
    </xf>
    <xf numFmtId="0" fontId="102" fillId="0" borderId="0" xfId="0" applyFont="1" applyAlignment="1">
      <alignment horizontal="right" vertical="top"/>
    </xf>
    <xf numFmtId="0" fontId="103" fillId="0" borderId="0" xfId="61" applyFont="1" applyAlignment="1">
      <alignment horizontal="left" vertical="top" wrapText="1"/>
    </xf>
    <xf numFmtId="0" fontId="103" fillId="0" borderId="0" xfId="1879" applyFont="1" applyAlignment="1">
      <alignment horizontal="right"/>
    </xf>
    <xf numFmtId="4" fontId="103" fillId="0" borderId="0" xfId="1879" applyNumberFormat="1" applyFont="1" applyAlignment="1">
      <alignment horizontal="right" vertical="center"/>
    </xf>
    <xf numFmtId="4" fontId="104" fillId="0" borderId="0" xfId="0" applyNumberFormat="1" applyFont="1" applyAlignment="1">
      <alignment horizontal="right" wrapText="1"/>
    </xf>
    <xf numFmtId="0" fontId="103" fillId="0" borderId="0" xfId="584" applyFont="1" applyAlignment="1">
      <alignment horizontal="justify" vertical="top" wrapText="1"/>
    </xf>
    <xf numFmtId="0" fontId="103" fillId="0" borderId="0" xfId="584" applyFont="1" applyAlignment="1">
      <alignment horizontal="right" vertical="center"/>
    </xf>
    <xf numFmtId="0" fontId="103" fillId="0" borderId="0" xfId="584" applyFont="1" applyAlignment="1">
      <alignment wrapText="1"/>
    </xf>
    <xf numFmtId="0" fontId="103" fillId="0" borderId="0" xfId="584" applyFont="1" applyAlignment="1">
      <alignment horizontal="right"/>
    </xf>
    <xf numFmtId="3" fontId="103" fillId="0" borderId="0" xfId="584" applyNumberFormat="1" applyFont="1" applyAlignment="1">
      <alignment horizontal="right"/>
    </xf>
    <xf numFmtId="4" fontId="103" fillId="0" borderId="0" xfId="584" applyNumberFormat="1" applyFont="1" applyAlignment="1">
      <alignment horizontal="right"/>
    </xf>
    <xf numFmtId="0" fontId="103" fillId="0" borderId="0" xfId="584" applyFont="1"/>
    <xf numFmtId="0" fontId="103" fillId="0" borderId="0" xfId="584" applyFont="1" applyAlignment="1">
      <alignment horizontal="right" wrapText="1"/>
    </xf>
    <xf numFmtId="3" fontId="103" fillId="0" borderId="0" xfId="584" applyNumberFormat="1" applyFont="1" applyAlignment="1">
      <alignment horizontal="right" wrapText="1"/>
    </xf>
    <xf numFmtId="4" fontId="104" fillId="0" borderId="0" xfId="1879" applyNumberFormat="1" applyFont="1" applyAlignment="1">
      <alignment horizontal="right"/>
    </xf>
    <xf numFmtId="0" fontId="103" fillId="0" borderId="0" xfId="0" applyFont="1" applyAlignment="1">
      <alignment horizontal="justify" vertical="top" wrapText="1"/>
    </xf>
    <xf numFmtId="182" fontId="103" fillId="0" borderId="0" xfId="0" applyNumberFormat="1" applyFont="1" applyAlignment="1">
      <alignment horizontal="center" vertical="top"/>
    </xf>
    <xf numFmtId="4" fontId="103" fillId="0" borderId="0" xfId="65" applyNumberFormat="1" applyFont="1" applyFill="1" applyBorder="1" applyProtection="1">
      <alignment vertical="top"/>
    </xf>
    <xf numFmtId="0" fontId="102" fillId="61" borderId="3" xfId="0" applyFont="1" applyFill="1" applyBorder="1" applyAlignment="1">
      <alignment horizontal="right" vertical="top"/>
    </xf>
    <xf numFmtId="0" fontId="102" fillId="61" borderId="3" xfId="0" applyFont="1" applyFill="1" applyBorder="1" applyAlignment="1">
      <alignment horizontal="center" vertical="top"/>
    </xf>
    <xf numFmtId="182" fontId="102" fillId="61" borderId="8" xfId="0" applyNumberFormat="1" applyFont="1" applyFill="1" applyBorder="1">
      <alignment vertical="top"/>
    </xf>
    <xf numFmtId="0" fontId="102" fillId="0" borderId="0" xfId="0" applyFont="1">
      <alignment vertical="top"/>
    </xf>
    <xf numFmtId="0" fontId="102" fillId="0" borderId="0" xfId="0" applyFont="1" applyAlignment="1">
      <alignment horizontal="center" vertical="top"/>
    </xf>
    <xf numFmtId="182" fontId="102" fillId="0" borderId="0" xfId="0" applyNumberFormat="1" applyFont="1">
      <alignment vertical="top"/>
    </xf>
    <xf numFmtId="4" fontId="102" fillId="0" borderId="0" xfId="0" applyNumberFormat="1" applyFont="1">
      <alignment vertical="top"/>
    </xf>
    <xf numFmtId="4" fontId="102" fillId="0" borderId="0" xfId="65" applyNumberFormat="1" applyFont="1" applyFill="1" applyBorder="1" applyProtection="1">
      <alignment vertical="top"/>
    </xf>
    <xf numFmtId="2" fontId="103" fillId="0" borderId="0" xfId="0" applyNumberFormat="1" applyFont="1">
      <alignment vertical="top"/>
    </xf>
    <xf numFmtId="0" fontId="103" fillId="67" borderId="36" xfId="0" applyFont="1" applyFill="1" applyBorder="1" applyAlignment="1">
      <alignment horizontal="center" vertical="center"/>
    </xf>
    <xf numFmtId="2" fontId="103" fillId="67" borderId="36" xfId="0" applyNumberFormat="1" applyFont="1" applyFill="1" applyBorder="1" applyAlignment="1">
      <alignment horizontal="center" vertical="center"/>
    </xf>
    <xf numFmtId="4" fontId="105" fillId="69" borderId="36" xfId="0" applyNumberFormat="1" applyFont="1" applyFill="1" applyBorder="1" applyAlignment="1"/>
    <xf numFmtId="0" fontId="103" fillId="0" borderId="0" xfId="0" applyFont="1" applyAlignment="1">
      <alignment horizontal="center" vertical="center" textRotation="90" wrapText="1"/>
    </xf>
    <xf numFmtId="49" fontId="103" fillId="0" borderId="0" xfId="0" applyNumberFormat="1" applyFont="1" applyAlignment="1">
      <alignment horizontal="center" vertical="center" wrapText="1"/>
    </xf>
    <xf numFmtId="0" fontId="103" fillId="0" borderId="0" xfId="0" applyFont="1" applyAlignment="1">
      <alignment horizontal="center" vertical="center" wrapText="1"/>
    </xf>
    <xf numFmtId="2" fontId="103" fillId="0" borderId="0" xfId="0" applyNumberFormat="1" applyFont="1" applyAlignment="1">
      <alignment horizontal="center" vertical="center" wrapText="1"/>
    </xf>
    <xf numFmtId="0" fontId="103" fillId="0" borderId="0" xfId="0" applyFont="1" applyAlignment="1">
      <alignment horizontal="center" vertical="center"/>
    </xf>
    <xf numFmtId="2" fontId="103" fillId="0" borderId="0" xfId="0" applyNumberFormat="1" applyFont="1" applyAlignment="1">
      <alignment horizontal="center" vertical="center"/>
    </xf>
    <xf numFmtId="4" fontId="105" fillId="0" borderId="0" xfId="0" applyNumberFormat="1" applyFont="1" applyAlignment="1"/>
    <xf numFmtId="2" fontId="105" fillId="0" borderId="0" xfId="0" applyNumberFormat="1" applyFont="1" applyAlignment="1">
      <alignment horizontal="center" vertical="center"/>
    </xf>
    <xf numFmtId="0" fontId="103" fillId="0" borderId="0" xfId="0" applyFont="1" applyAlignment="1">
      <alignment horizontal="center"/>
    </xf>
    <xf numFmtId="182" fontId="103" fillId="0" borderId="0" xfId="0" applyNumberFormat="1" applyFont="1" applyAlignment="1">
      <alignment horizontal="center"/>
    </xf>
    <xf numFmtId="4" fontId="103" fillId="0" borderId="0" xfId="65" applyNumberFormat="1" applyFont="1" applyFill="1" applyBorder="1" applyAlignment="1" applyProtection="1"/>
    <xf numFmtId="0" fontId="102" fillId="0" borderId="0" xfId="0" applyFont="1" applyAlignment="1">
      <alignment horizontal="center"/>
    </xf>
    <xf numFmtId="182" fontId="102" fillId="0" borderId="0" xfId="0" applyNumberFormat="1" applyFont="1" applyAlignment="1">
      <alignment horizontal="center"/>
    </xf>
    <xf numFmtId="4" fontId="102" fillId="0" borderId="0" xfId="0" applyNumberFormat="1" applyFont="1" applyAlignment="1"/>
    <xf numFmtId="4" fontId="102" fillId="0" borderId="0" xfId="65" applyNumberFormat="1" applyFont="1" applyFill="1" applyBorder="1" applyAlignment="1" applyProtection="1"/>
    <xf numFmtId="0" fontId="103" fillId="0" borderId="0" xfId="0" applyFont="1" applyAlignment="1">
      <alignment horizontal="justify" vertical="top"/>
    </xf>
    <xf numFmtId="4" fontId="103" fillId="0" borderId="0" xfId="0" applyNumberFormat="1" applyFont="1" applyAlignment="1">
      <alignment horizontal="right"/>
    </xf>
    <xf numFmtId="0" fontId="102" fillId="61" borderId="27" xfId="0" applyFont="1" applyFill="1" applyBorder="1">
      <alignment vertical="top"/>
    </xf>
    <xf numFmtId="0" fontId="102" fillId="61" borderId="12" xfId="0" applyFont="1" applyFill="1" applyBorder="1" applyAlignment="1">
      <alignment horizontal="justify" vertical="top" wrapText="1"/>
    </xf>
    <xf numFmtId="0" fontId="102" fillId="61" borderId="12" xfId="0" applyFont="1" applyFill="1" applyBorder="1" applyAlignment="1">
      <alignment horizontal="center"/>
    </xf>
    <xf numFmtId="182" fontId="102" fillId="61" borderId="12" xfId="0" applyNumberFormat="1" applyFont="1" applyFill="1" applyBorder="1" applyAlignment="1"/>
    <xf numFmtId="4" fontId="103" fillId="61" borderId="34" xfId="0" applyNumberFormat="1" applyFont="1" applyFill="1" applyBorder="1" applyAlignment="1">
      <alignment horizontal="right"/>
    </xf>
    <xf numFmtId="4" fontId="102" fillId="61" borderId="35" xfId="65" applyNumberFormat="1" applyFont="1" applyFill="1" applyBorder="1" applyAlignment="1" applyProtection="1"/>
    <xf numFmtId="195" fontId="102" fillId="0" borderId="0" xfId="0" applyNumberFormat="1" applyFont="1" applyAlignment="1">
      <alignment horizontal="right" vertical="top"/>
    </xf>
    <xf numFmtId="182" fontId="102" fillId="0" borderId="0" xfId="0" applyNumberFormat="1" applyFont="1" applyAlignment="1"/>
    <xf numFmtId="4" fontId="102" fillId="0" borderId="0" xfId="0" applyNumberFormat="1" applyFont="1" applyAlignment="1">
      <alignment horizontal="center"/>
    </xf>
    <xf numFmtId="182" fontId="103" fillId="0" borderId="0" xfId="0" applyNumberFormat="1" applyFont="1" applyAlignment="1">
      <alignment horizontal="right"/>
    </xf>
    <xf numFmtId="4" fontId="103" fillId="0" borderId="0" xfId="0" applyNumberFormat="1" applyFont="1" applyAlignment="1">
      <alignment horizontal="center"/>
    </xf>
    <xf numFmtId="182" fontId="103" fillId="0" borderId="0" xfId="0" applyNumberFormat="1" applyFont="1" applyAlignment="1"/>
    <xf numFmtId="0" fontId="107" fillId="0" borderId="0" xfId="0" applyFont="1" applyAlignment="1">
      <alignment horizontal="justify" vertical="top"/>
    </xf>
    <xf numFmtId="0" fontId="102" fillId="0" borderId="0" xfId="0" applyFont="1" applyAlignment="1">
      <alignment horizontal="right"/>
    </xf>
    <xf numFmtId="4" fontId="103" fillId="0" borderId="0" xfId="0" applyNumberFormat="1" applyFont="1" applyAlignment="1">
      <alignment horizontal="right" vertical="top"/>
    </xf>
    <xf numFmtId="4" fontId="103" fillId="0" borderId="0" xfId="65" applyNumberFormat="1" applyFont="1" applyFill="1" applyBorder="1" applyAlignment="1" applyProtection="1">
      <alignment horizontal="right" vertical="top"/>
    </xf>
    <xf numFmtId="4" fontId="103" fillId="0" borderId="0" xfId="65" applyNumberFormat="1" applyFont="1" applyFill="1" applyBorder="1" applyAlignment="1" applyProtection="1">
      <alignment horizontal="right"/>
    </xf>
    <xf numFmtId="0" fontId="102" fillId="0" borderId="0" xfId="0" applyFont="1" applyAlignment="1">
      <alignment horizontal="left" vertical="top"/>
    </xf>
    <xf numFmtId="0" fontId="103" fillId="61" borderId="34" xfId="0" applyFont="1" applyFill="1" applyBorder="1">
      <alignment vertical="top"/>
    </xf>
    <xf numFmtId="0" fontId="102" fillId="61" borderId="12" xfId="0" applyFont="1" applyFill="1" applyBorder="1">
      <alignment vertical="top"/>
    </xf>
    <xf numFmtId="182" fontId="102" fillId="61" borderId="35" xfId="0" applyNumberFormat="1" applyFont="1" applyFill="1" applyBorder="1" applyAlignment="1">
      <alignment horizontal="right"/>
    </xf>
    <xf numFmtId="4" fontId="103" fillId="61" borderId="12" xfId="0" applyNumberFormat="1" applyFont="1" applyFill="1" applyBorder="1" applyAlignment="1">
      <alignment horizontal="right" vertical="top"/>
    </xf>
    <xf numFmtId="4" fontId="102" fillId="61" borderId="35" xfId="65" applyNumberFormat="1" applyFont="1" applyFill="1" applyBorder="1" applyProtection="1">
      <alignment vertical="top"/>
    </xf>
    <xf numFmtId="182" fontId="102" fillId="0" borderId="0" xfId="0" applyNumberFormat="1" applyFont="1" applyAlignment="1">
      <alignment horizontal="right"/>
    </xf>
    <xf numFmtId="4" fontId="102" fillId="0" borderId="0" xfId="0" applyNumberFormat="1" applyFont="1" applyAlignment="1">
      <alignment horizontal="right" vertical="top"/>
    </xf>
    <xf numFmtId="0" fontId="103" fillId="0" borderId="0" xfId="0" applyFont="1" applyAlignment="1">
      <alignment vertical="top" wrapText="1"/>
    </xf>
    <xf numFmtId="0" fontId="102" fillId="61" borderId="12" xfId="0" applyFont="1" applyFill="1" applyBorder="1" applyAlignment="1">
      <alignment horizontal="left" vertical="top"/>
    </xf>
    <xf numFmtId="0" fontId="102" fillId="61" borderId="12" xfId="0" applyFont="1" applyFill="1" applyBorder="1" applyAlignment="1">
      <alignment horizontal="center" vertical="top"/>
    </xf>
    <xf numFmtId="182" fontId="102" fillId="61" borderId="12" xfId="0" applyNumberFormat="1" applyFont="1" applyFill="1" applyBorder="1">
      <alignment vertical="top"/>
    </xf>
    <xf numFmtId="4" fontId="103" fillId="61" borderId="34" xfId="0" applyNumberFormat="1" applyFont="1" applyFill="1" applyBorder="1" applyAlignment="1">
      <alignment horizontal="right" vertical="top"/>
    </xf>
    <xf numFmtId="0" fontId="102" fillId="61" borderId="34" xfId="0" applyFont="1" applyFill="1" applyBorder="1">
      <alignment vertical="top"/>
    </xf>
    <xf numFmtId="182" fontId="102" fillId="61" borderId="35" xfId="0" applyNumberFormat="1" applyFont="1" applyFill="1" applyBorder="1">
      <alignment vertical="top"/>
    </xf>
    <xf numFmtId="0" fontId="102" fillId="61" borderId="7" xfId="0" applyFont="1" applyFill="1" applyBorder="1">
      <alignment vertical="top"/>
    </xf>
    <xf numFmtId="4" fontId="103" fillId="61" borderId="3" xfId="0" applyNumberFormat="1" applyFont="1" applyFill="1" applyBorder="1" applyAlignment="1">
      <alignment horizontal="right" vertical="top"/>
    </xf>
    <xf numFmtId="4" fontId="102" fillId="61" borderId="3" xfId="65" applyNumberFormat="1" applyFont="1" applyFill="1" applyBorder="1" applyProtection="1">
      <alignment vertical="top"/>
    </xf>
    <xf numFmtId="0" fontId="103" fillId="3" borderId="0" xfId="0" applyFont="1" applyFill="1" applyAlignment="1">
      <alignment horizontal="center" vertical="center"/>
    </xf>
    <xf numFmtId="0" fontId="102" fillId="0" borderId="0" xfId="0" applyFont="1" applyAlignment="1">
      <alignment horizontal="justify" vertical="top"/>
    </xf>
    <xf numFmtId="4" fontId="103" fillId="0" borderId="0" xfId="65" applyNumberFormat="1" applyFont="1">
      <alignment vertical="top"/>
    </xf>
    <xf numFmtId="0" fontId="102" fillId="61" borderId="5" xfId="0" applyFont="1" applyFill="1" applyBorder="1">
      <alignment vertical="top"/>
    </xf>
    <xf numFmtId="0" fontId="102" fillId="61" borderId="5" xfId="0" applyFont="1" applyFill="1" applyBorder="1" applyAlignment="1">
      <alignment horizontal="center" vertical="center"/>
    </xf>
    <xf numFmtId="182" fontId="102" fillId="61" borderId="6" xfId="0" applyNumberFormat="1" applyFont="1" applyFill="1" applyBorder="1" applyAlignment="1">
      <alignment horizontal="center"/>
    </xf>
    <xf numFmtId="4" fontId="103" fillId="61" borderId="5" xfId="0" applyNumberFormat="1" applyFont="1" applyFill="1" applyBorder="1" applyAlignment="1">
      <alignment horizontal="right" vertical="top"/>
    </xf>
    <xf numFmtId="4" fontId="102" fillId="61" borderId="5" xfId="65" applyNumberFormat="1" applyFont="1" applyFill="1" applyBorder="1" applyProtection="1">
      <alignment vertical="top"/>
    </xf>
    <xf numFmtId="0" fontId="102" fillId="0" borderId="0" xfId="0" applyFont="1" applyAlignment="1">
      <alignment horizontal="center" vertical="center"/>
    </xf>
    <xf numFmtId="0" fontId="108" fillId="0" borderId="0" xfId="0" applyFont="1">
      <alignment vertical="top"/>
    </xf>
    <xf numFmtId="0" fontId="103" fillId="0" borderId="0" xfId="0" quotePrefix="1" applyFont="1" applyAlignment="1">
      <alignment horizontal="justify" vertical="top"/>
    </xf>
    <xf numFmtId="0" fontId="102" fillId="61" borderId="5" xfId="0" applyFont="1" applyFill="1" applyBorder="1" applyAlignment="1">
      <alignment horizontal="right" vertical="top"/>
    </xf>
    <xf numFmtId="182" fontId="102" fillId="61" borderId="6" xfId="0" applyNumberFormat="1" applyFont="1" applyFill="1" applyBorder="1">
      <alignment vertical="top"/>
    </xf>
    <xf numFmtId="0" fontId="103" fillId="62" borderId="28" xfId="0" applyFont="1" applyFill="1" applyBorder="1">
      <alignment vertical="top"/>
    </xf>
    <xf numFmtId="0" fontId="103" fillId="62" borderId="29" xfId="0" applyFont="1" applyFill="1" applyBorder="1">
      <alignment vertical="top"/>
    </xf>
    <xf numFmtId="0" fontId="103" fillId="62" borderId="32" xfId="0" applyFont="1" applyFill="1" applyBorder="1">
      <alignment vertical="top"/>
    </xf>
    <xf numFmtId="0" fontId="103" fillId="62" borderId="33" xfId="0" applyFont="1" applyFill="1" applyBorder="1">
      <alignment vertical="top"/>
    </xf>
    <xf numFmtId="4" fontId="103" fillId="0" borderId="0" xfId="0" applyNumberFormat="1" applyFont="1" applyAlignment="1">
      <alignment horizontal="right" wrapText="1"/>
    </xf>
    <xf numFmtId="0" fontId="102" fillId="61" borderId="34" xfId="0" applyFont="1" applyFill="1" applyBorder="1" applyAlignment="1">
      <alignment horizontal="right" vertical="top"/>
    </xf>
    <xf numFmtId="0" fontId="102" fillId="61" borderId="12" xfId="0" applyFont="1" applyFill="1" applyBorder="1" applyAlignment="1">
      <alignment horizontal="right" vertical="top"/>
    </xf>
    <xf numFmtId="4" fontId="103" fillId="0" borderId="0" xfId="54" applyNumberFormat="1" applyFont="1" applyFill="1" applyBorder="1" applyAlignment="1" applyProtection="1"/>
    <xf numFmtId="0" fontId="102" fillId="0" borderId="0" xfId="0" applyFont="1" applyAlignment="1"/>
    <xf numFmtId="0" fontId="103" fillId="0" borderId="0" xfId="0" applyFont="1" applyAlignment="1">
      <alignment horizontal="left" vertical="top" wrapText="1"/>
    </xf>
    <xf numFmtId="0" fontId="102" fillId="0" borderId="0" xfId="0" applyFont="1" applyAlignment="1">
      <alignment horizontal="justify" vertical="top" wrapText="1"/>
    </xf>
    <xf numFmtId="4" fontId="102" fillId="61" borderId="3" xfId="0" applyNumberFormat="1" applyFont="1" applyFill="1" applyBorder="1" applyAlignment="1">
      <alignment horizontal="right" vertical="top"/>
    </xf>
    <xf numFmtId="49" fontId="102" fillId="0" borderId="0" xfId="0" applyNumberFormat="1" applyFont="1" applyAlignment="1">
      <alignment horizontal="left" vertical="center" wrapText="1"/>
    </xf>
    <xf numFmtId="0" fontId="102" fillId="0" borderId="0" xfId="0" applyFont="1" applyAlignment="1" applyProtection="1">
      <protection locked="0"/>
    </xf>
    <xf numFmtId="184" fontId="103" fillId="0" borderId="0" xfId="0" applyNumberFormat="1" applyFont="1" applyAlignment="1" applyProtection="1">
      <protection locked="0"/>
    </xf>
    <xf numFmtId="2" fontId="103" fillId="0" borderId="0" xfId="0" applyNumberFormat="1" applyFont="1" applyAlignment="1" applyProtection="1">
      <alignment vertical="top" wrapText="1" shrinkToFit="1" readingOrder="1"/>
      <protection locked="0"/>
    </xf>
    <xf numFmtId="2" fontId="103" fillId="0" borderId="0" xfId="0" applyNumberFormat="1" applyFont="1" applyAlignment="1" applyProtection="1">
      <alignment horizontal="right" vertical="top" wrapText="1" shrinkToFit="1" readingOrder="1"/>
      <protection locked="0"/>
    </xf>
    <xf numFmtId="184" fontId="103" fillId="0" borderId="0" xfId="0" applyNumberFormat="1" applyFont="1" applyAlignment="1"/>
    <xf numFmtId="2" fontId="103" fillId="0" borderId="0" xfId="0" applyNumberFormat="1" applyFont="1" applyAlignment="1" applyProtection="1">
      <alignment horizontal="justify" vertical="top" wrapText="1" shrinkToFit="1" readingOrder="1"/>
      <protection locked="0"/>
    </xf>
    <xf numFmtId="2" fontId="103" fillId="0" borderId="0" xfId="0" applyNumberFormat="1" applyFont="1" applyAlignment="1" applyProtection="1">
      <alignment horizontal="left" vertical="top" wrapText="1" shrinkToFit="1" readingOrder="1"/>
      <protection locked="0"/>
    </xf>
    <xf numFmtId="49" fontId="102" fillId="0" borderId="0" xfId="0" applyNumberFormat="1" applyFont="1" applyAlignment="1">
      <alignment horizontal="right" vertical="top"/>
    </xf>
    <xf numFmtId="0" fontId="103" fillId="0" borderId="0" xfId="0" applyFont="1" applyAlignment="1">
      <alignment horizontal="right" vertical="top" wrapText="1"/>
    </xf>
    <xf numFmtId="182" fontId="103" fillId="0" borderId="0" xfId="0" applyNumberFormat="1" applyFont="1" applyAlignment="1">
      <alignment horizontal="right" vertical="top"/>
    </xf>
    <xf numFmtId="0" fontId="107" fillId="0" borderId="0" xfId="0" applyFont="1" applyAlignment="1">
      <alignment vertical="top" wrapText="1"/>
    </xf>
    <xf numFmtId="0" fontId="111" fillId="0" borderId="0" xfId="0" applyFont="1" applyAlignment="1">
      <alignment horizontal="right" vertical="top"/>
    </xf>
    <xf numFmtId="0" fontId="112" fillId="0" borderId="0" xfId="0" applyFont="1" applyAlignment="1">
      <alignment vertical="top" wrapText="1"/>
    </xf>
    <xf numFmtId="0" fontId="111" fillId="0" borderId="0" xfId="0" applyFont="1">
      <alignment vertical="top"/>
    </xf>
    <xf numFmtId="0" fontId="103" fillId="0" borderId="0" xfId="0" applyFont="1" applyAlignment="1">
      <alignment horizontal="left" vertical="top"/>
    </xf>
    <xf numFmtId="49" fontId="102" fillId="0" borderId="0" xfId="0" applyNumberFormat="1" applyFont="1" applyAlignment="1" applyProtection="1">
      <alignment horizontal="right" vertical="top"/>
      <protection locked="0"/>
    </xf>
    <xf numFmtId="184" fontId="102" fillId="0" borderId="0" xfId="0" applyNumberFormat="1" applyFont="1" applyAlignment="1" applyProtection="1">
      <protection locked="0"/>
    </xf>
    <xf numFmtId="0" fontId="103" fillId="0" borderId="0" xfId="0" quotePrefix="1" applyFont="1" applyAlignment="1">
      <alignment horizontal="justify" vertical="top" wrapText="1"/>
    </xf>
    <xf numFmtId="182" fontId="102" fillId="0" borderId="0" xfId="0" applyNumberFormat="1" applyFont="1" applyAlignment="1">
      <alignment horizontal="right" vertical="top"/>
    </xf>
    <xf numFmtId="4" fontId="102" fillId="0" borderId="0" xfId="65" applyNumberFormat="1" applyFont="1" applyFill="1" applyBorder="1" applyAlignment="1" applyProtection="1">
      <alignment horizontal="right" vertical="top"/>
    </xf>
    <xf numFmtId="49" fontId="103" fillId="0" borderId="0" xfId="0" applyNumberFormat="1" applyFont="1" applyAlignment="1">
      <alignment horizontal="right" vertical="top"/>
    </xf>
    <xf numFmtId="182" fontId="102" fillId="61" borderId="35" xfId="0" applyNumberFormat="1" applyFont="1" applyFill="1" applyBorder="1" applyAlignment="1">
      <alignment horizontal="right" vertical="top"/>
    </xf>
    <xf numFmtId="0" fontId="102" fillId="0" borderId="0" xfId="0" applyFont="1" applyAlignment="1">
      <alignment vertical="top" wrapText="1"/>
    </xf>
    <xf numFmtId="0" fontId="102" fillId="0" borderId="0" xfId="0" quotePrefix="1" applyFont="1" applyAlignment="1">
      <alignment horizontal="right" vertical="top"/>
    </xf>
    <xf numFmtId="4" fontId="102" fillId="61" borderId="37" xfId="65" applyNumberFormat="1" applyFont="1" applyFill="1" applyBorder="1" applyProtection="1">
      <alignment vertical="top"/>
    </xf>
    <xf numFmtId="4" fontId="103" fillId="61" borderId="37" xfId="0" applyNumberFormat="1" applyFont="1" applyFill="1" applyBorder="1" applyAlignment="1">
      <alignment horizontal="right" vertical="top"/>
    </xf>
    <xf numFmtId="4" fontId="103" fillId="0" borderId="0" xfId="65" applyNumberFormat="1" applyFont="1" applyFill="1" applyBorder="1" applyProtection="1">
      <alignment vertical="top"/>
      <protection locked="0"/>
    </xf>
    <xf numFmtId="0" fontId="102" fillId="64" borderId="34" xfId="0" applyFont="1" applyFill="1" applyBorder="1">
      <alignment vertical="top"/>
    </xf>
    <xf numFmtId="0" fontId="102" fillId="64" borderId="12" xfId="0" applyFont="1" applyFill="1" applyBorder="1" applyAlignment="1">
      <alignment horizontal="left" vertical="top"/>
    </xf>
    <xf numFmtId="0" fontId="102" fillId="64" borderId="12" xfId="0" applyFont="1" applyFill="1" applyBorder="1" applyAlignment="1">
      <alignment horizontal="center" vertical="top"/>
    </xf>
    <xf numFmtId="182" fontId="102" fillId="64" borderId="35" xfId="0" applyNumberFormat="1" applyFont="1" applyFill="1" applyBorder="1">
      <alignment vertical="top"/>
    </xf>
    <xf numFmtId="4" fontId="102" fillId="64" borderId="8" xfId="65" applyNumberFormat="1" applyFont="1" applyFill="1" applyBorder="1" applyProtection="1">
      <alignment vertical="top"/>
    </xf>
    <xf numFmtId="4" fontId="103" fillId="64" borderId="3" xfId="0" applyNumberFormat="1" applyFont="1" applyFill="1" applyBorder="1" applyAlignment="1">
      <alignment horizontal="right" vertical="top"/>
    </xf>
    <xf numFmtId="0" fontId="102" fillId="64" borderId="7" xfId="0" applyFont="1" applyFill="1" applyBorder="1">
      <alignment vertical="top"/>
    </xf>
    <xf numFmtId="0" fontId="102" fillId="64" borderId="3" xfId="0" applyFont="1" applyFill="1" applyBorder="1" applyAlignment="1">
      <alignment horizontal="left" vertical="top"/>
    </xf>
    <xf numFmtId="0" fontId="102" fillId="64" borderId="3" xfId="0" applyFont="1" applyFill="1" applyBorder="1" applyAlignment="1">
      <alignment horizontal="center" vertical="top"/>
    </xf>
    <xf numFmtId="182" fontId="102" fillId="64" borderId="8" xfId="0" applyNumberFormat="1" applyFont="1" applyFill="1" applyBorder="1">
      <alignment vertical="top"/>
    </xf>
    <xf numFmtId="2" fontId="103" fillId="0" borderId="0" xfId="0" applyNumberFormat="1" applyFont="1" applyAlignment="1">
      <alignment horizontal="left" vertical="top" wrapText="1"/>
    </xf>
    <xf numFmtId="0" fontId="102" fillId="0" borderId="0" xfId="0" applyFont="1" applyAlignment="1">
      <alignment horizontal="right" vertical="top" wrapText="1"/>
    </xf>
    <xf numFmtId="2" fontId="103" fillId="0" borderId="0" xfId="0" applyNumberFormat="1" applyFont="1" applyAlignment="1">
      <alignment horizontal="center" wrapText="1"/>
    </xf>
    <xf numFmtId="2" fontId="103" fillId="0" borderId="0" xfId="0" applyNumberFormat="1" applyFont="1" applyAlignment="1">
      <alignment horizontal="right" wrapText="1"/>
    </xf>
    <xf numFmtId="0" fontId="102" fillId="64" borderId="7" xfId="0" applyFont="1" applyFill="1" applyBorder="1" applyAlignment="1">
      <alignment horizontal="right" vertical="top"/>
    </xf>
    <xf numFmtId="0" fontId="102" fillId="61" borderId="5" xfId="0" applyFont="1" applyFill="1" applyBorder="1" applyAlignment="1">
      <alignment horizontal="left" vertical="top"/>
    </xf>
    <xf numFmtId="0" fontId="110" fillId="0" borderId="0" xfId="0" applyFont="1" applyAlignment="1">
      <alignment horizontal="center" wrapText="1"/>
    </xf>
    <xf numFmtId="0" fontId="109" fillId="0" borderId="0" xfId="0" applyFont="1" applyAlignment="1"/>
    <xf numFmtId="4" fontId="109" fillId="0" borderId="0" xfId="0" applyNumberFormat="1" applyFont="1" applyAlignment="1"/>
    <xf numFmtId="0" fontId="110" fillId="0" borderId="0" xfId="0" applyFont="1" applyAlignment="1">
      <alignment horizontal="justify" wrapText="1"/>
    </xf>
    <xf numFmtId="0" fontId="110" fillId="0" borderId="13" xfId="0" applyFont="1" applyBorder="1" applyAlignment="1">
      <alignment horizontal="center" wrapText="1"/>
    </xf>
    <xf numFmtId="0" fontId="103" fillId="67" borderId="34" xfId="0" applyFont="1" applyFill="1" applyBorder="1" applyAlignment="1">
      <alignment horizontal="center" vertical="center" wrapText="1"/>
    </xf>
    <xf numFmtId="49" fontId="103" fillId="67" borderId="35" xfId="0" applyNumberFormat="1" applyFont="1" applyFill="1" applyBorder="1" applyAlignment="1">
      <alignment horizontal="center" vertical="center" wrapText="1"/>
    </xf>
    <xf numFmtId="0" fontId="109" fillId="0" borderId="14" xfId="0" applyFont="1" applyBorder="1" applyAlignment="1">
      <alignment horizontal="left" wrapText="1"/>
    </xf>
    <xf numFmtId="0" fontId="103" fillId="63" borderId="30" xfId="0" applyFont="1" applyFill="1" applyBorder="1">
      <alignment vertical="top"/>
    </xf>
    <xf numFmtId="0" fontId="102" fillId="63" borderId="0" xfId="0" applyFont="1" applyFill="1">
      <alignment vertical="top"/>
    </xf>
    <xf numFmtId="0" fontId="102" fillId="0" borderId="3" xfId="0" applyFont="1" applyBorder="1" applyAlignment="1">
      <alignment horizontal="left" vertical="top"/>
    </xf>
    <xf numFmtId="0" fontId="103" fillId="62" borderId="29" xfId="0" applyFont="1" applyFill="1" applyBorder="1" applyAlignment="1">
      <alignment horizontal="right" vertical="top"/>
    </xf>
    <xf numFmtId="182" fontId="103" fillId="63" borderId="0" xfId="0" applyNumberFormat="1" applyFont="1" applyFill="1" applyAlignment="1">
      <alignment horizontal="right" vertical="top"/>
    </xf>
    <xf numFmtId="182" fontId="103" fillId="62" borderId="33" xfId="0" applyNumberFormat="1" applyFont="1" applyFill="1" applyBorder="1" applyAlignment="1">
      <alignment horizontal="right" vertical="top"/>
    </xf>
    <xf numFmtId="4" fontId="102" fillId="0" borderId="9" xfId="0" applyNumberFormat="1" applyFont="1" applyBorder="1" applyAlignment="1">
      <alignment horizontal="right" vertical="top"/>
    </xf>
    <xf numFmtId="4" fontId="102" fillId="0" borderId="10" xfId="0" applyNumberFormat="1" applyFont="1" applyBorder="1" applyAlignment="1">
      <alignment horizontal="right" vertical="top"/>
    </xf>
    <xf numFmtId="0" fontId="103" fillId="62" borderId="29" xfId="0" applyFont="1" applyFill="1" applyBorder="1" applyAlignment="1">
      <alignment horizontal="left" vertical="top"/>
    </xf>
    <xf numFmtId="0" fontId="103" fillId="0" borderId="3" xfId="0" applyFont="1" applyBorder="1" applyAlignment="1">
      <alignment horizontal="left" vertical="top"/>
    </xf>
    <xf numFmtId="0" fontId="103" fillId="63" borderId="0" xfId="0" applyFont="1" applyFill="1" applyAlignment="1">
      <alignment horizontal="left" vertical="top"/>
    </xf>
    <xf numFmtId="0" fontId="103" fillId="62" borderId="33" xfId="0" applyFont="1" applyFill="1" applyBorder="1" applyAlignment="1">
      <alignment horizontal="left" vertical="top"/>
    </xf>
    <xf numFmtId="0" fontId="103" fillId="0" borderId="30" xfId="0" applyFont="1" applyBorder="1">
      <alignment vertical="top"/>
    </xf>
    <xf numFmtId="0" fontId="102" fillId="0" borderId="41" xfId="0" applyFont="1" applyBorder="1">
      <alignment vertical="top"/>
    </xf>
    <xf numFmtId="0" fontId="102" fillId="0" borderId="30" xfId="0" applyFont="1" applyBorder="1">
      <alignment vertical="top"/>
    </xf>
    <xf numFmtId="0" fontId="103" fillId="61" borderId="13" xfId="0" applyFont="1" applyFill="1" applyBorder="1">
      <alignment vertical="top"/>
    </xf>
    <xf numFmtId="0" fontId="102" fillId="61" borderId="14" xfId="0" applyFont="1" applyFill="1" applyBorder="1">
      <alignment vertical="top"/>
    </xf>
    <xf numFmtId="0" fontId="103" fillId="61" borderId="14" xfId="0" applyFont="1" applyFill="1" applyBorder="1" applyAlignment="1">
      <alignment horizontal="left" vertical="top"/>
    </xf>
    <xf numFmtId="4" fontId="102" fillId="61" borderId="42" xfId="0" applyNumberFormat="1" applyFont="1" applyFill="1" applyBorder="1" applyAlignment="1">
      <alignment horizontal="right" vertical="top"/>
    </xf>
    <xf numFmtId="0" fontId="22" fillId="0" borderId="0" xfId="0" applyFont="1" applyAlignment="1">
      <alignment horizontal="justify" vertical="top" wrapText="1"/>
    </xf>
    <xf numFmtId="4" fontId="103" fillId="0" borderId="0" xfId="54" applyNumberFormat="1" applyFont="1" applyFill="1" applyBorder="1" applyProtection="1">
      <alignment vertical="top"/>
    </xf>
    <xf numFmtId="0" fontId="103" fillId="70" borderId="34" xfId="0" applyFont="1" applyFill="1" applyBorder="1" applyAlignment="1">
      <alignment horizontal="center" vertical="center" textRotation="90" wrapText="1"/>
    </xf>
    <xf numFmtId="49" fontId="102" fillId="70" borderId="12" xfId="0" applyNumberFormat="1" applyFont="1" applyFill="1" applyBorder="1" applyAlignment="1">
      <alignment horizontal="left" vertical="center" wrapText="1"/>
    </xf>
    <xf numFmtId="0" fontId="103" fillId="70" borderId="12" xfId="0" applyFont="1" applyFill="1" applyBorder="1" applyAlignment="1">
      <alignment horizontal="center" vertical="center" wrapText="1"/>
    </xf>
    <xf numFmtId="2" fontId="103" fillId="70" borderId="12" xfId="0" applyNumberFormat="1" applyFont="1" applyFill="1" applyBorder="1" applyAlignment="1">
      <alignment horizontal="center" vertical="center" wrapText="1"/>
    </xf>
    <xf numFmtId="0" fontId="103" fillId="70" borderId="12" xfId="0" applyFont="1" applyFill="1" applyBorder="1" applyAlignment="1">
      <alignment horizontal="center" vertical="center"/>
    </xf>
    <xf numFmtId="2" fontId="103" fillId="70" borderId="12" xfId="0" applyNumberFormat="1" applyFont="1" applyFill="1" applyBorder="1" applyAlignment="1">
      <alignment horizontal="center" vertical="center"/>
    </xf>
    <xf numFmtId="4" fontId="102" fillId="61" borderId="3" xfId="65" applyNumberFormat="1" applyFont="1" applyFill="1" applyBorder="1" applyAlignment="1" applyProtection="1">
      <alignment horizontal="right" vertical="top"/>
    </xf>
    <xf numFmtId="4" fontId="103" fillId="70" borderId="12" xfId="0" applyNumberFormat="1" applyFont="1" applyFill="1" applyBorder="1">
      <alignment vertical="top"/>
    </xf>
    <xf numFmtId="0" fontId="21" fillId="0" borderId="0" xfId="0" applyFont="1" applyAlignment="1">
      <alignment horizontal="center" vertical="top"/>
    </xf>
    <xf numFmtId="0" fontId="20" fillId="0" borderId="0" xfId="0" applyFont="1" applyAlignment="1">
      <alignment horizontal="center" vertical="top"/>
    </xf>
    <xf numFmtId="182" fontId="22" fillId="0" borderId="0" xfId="0" applyNumberFormat="1" applyFont="1" applyAlignment="1">
      <alignment horizontal="center" vertical="top"/>
    </xf>
    <xf numFmtId="197" fontId="102" fillId="0" borderId="0" xfId="0" quotePrefix="1" applyNumberFormat="1" applyFont="1" applyAlignment="1">
      <alignment horizontal="center" vertical="top"/>
    </xf>
    <xf numFmtId="0" fontId="102" fillId="70" borderId="34" xfId="0" applyFont="1" applyFill="1" applyBorder="1">
      <alignment vertical="top"/>
    </xf>
    <xf numFmtId="0" fontId="102" fillId="70" borderId="12" xfId="0" applyFont="1" applyFill="1" applyBorder="1">
      <alignment vertical="top"/>
    </xf>
    <xf numFmtId="0" fontId="103" fillId="70" borderId="12" xfId="0" applyFont="1" applyFill="1" applyBorder="1" applyAlignment="1">
      <alignment horizontal="center" vertical="top"/>
    </xf>
    <xf numFmtId="182" fontId="103" fillId="70" borderId="12" xfId="0" applyNumberFormat="1" applyFont="1" applyFill="1" applyBorder="1">
      <alignment vertical="top"/>
    </xf>
    <xf numFmtId="0" fontId="103" fillId="0" borderId="0" xfId="0" applyFont="1" applyAlignment="1">
      <alignment wrapText="1"/>
    </xf>
    <xf numFmtId="4" fontId="103" fillId="0" borderId="0" xfId="54" applyNumberFormat="1" applyFont="1">
      <alignment vertical="top"/>
    </xf>
    <xf numFmtId="4" fontId="103" fillId="0" borderId="0" xfId="54" applyNumberFormat="1" applyFont="1" applyAlignment="1"/>
    <xf numFmtId="0" fontId="21" fillId="0" borderId="0" xfId="0" applyFont="1">
      <alignment vertical="top"/>
    </xf>
    <xf numFmtId="4" fontId="22" fillId="0" borderId="0" xfId="0" applyNumberFormat="1" applyFont="1">
      <alignment vertical="top"/>
    </xf>
    <xf numFmtId="0" fontId="100" fillId="0" borderId="0" xfId="0" applyFont="1" applyAlignment="1">
      <alignment vertical="top" wrapText="1"/>
    </xf>
    <xf numFmtId="0" fontId="115" fillId="71" borderId="31" xfId="0" applyFont="1" applyFill="1" applyBorder="1" applyAlignment="1">
      <alignment horizontal="right" vertical="center" wrapText="1"/>
    </xf>
    <xf numFmtId="0" fontId="10" fillId="71" borderId="0" xfId="0" applyFont="1" applyFill="1" applyAlignment="1">
      <alignment vertical="center" wrapText="1"/>
    </xf>
    <xf numFmtId="0" fontId="115" fillId="0" borderId="31" xfId="0" applyFont="1" applyBorder="1" applyAlignment="1">
      <alignment horizontal="right" vertical="center" wrapText="1"/>
    </xf>
    <xf numFmtId="0" fontId="116" fillId="0" borderId="0" xfId="0" applyFont="1" applyAlignment="1">
      <alignment vertical="center" wrapText="1"/>
    </xf>
    <xf numFmtId="0" fontId="117" fillId="0" borderId="0" xfId="0" applyFont="1" applyAlignment="1">
      <alignment vertical="center" wrapText="1"/>
    </xf>
    <xf numFmtId="0" fontId="114" fillId="0" borderId="0" xfId="0" applyFont="1" applyAlignment="1">
      <alignment vertical="top" wrapText="1"/>
    </xf>
    <xf numFmtId="0" fontId="115" fillId="0" borderId="31" xfId="0" applyFont="1" applyBorder="1" applyAlignment="1">
      <alignment horizontal="right" wrapText="1"/>
    </xf>
    <xf numFmtId="0" fontId="76" fillId="0" borderId="0" xfId="0" applyFont="1" applyAlignment="1">
      <alignment wrapText="1"/>
    </xf>
    <xf numFmtId="0" fontId="102" fillId="61" borderId="3" xfId="0" applyFont="1" applyFill="1" applyBorder="1">
      <alignment vertical="top"/>
    </xf>
    <xf numFmtId="4" fontId="102" fillId="61" borderId="8" xfId="54" applyNumberFormat="1" applyFont="1" applyFill="1" applyBorder="1" applyProtection="1">
      <alignment vertical="top"/>
    </xf>
    <xf numFmtId="0" fontId="102" fillId="61" borderId="34" xfId="0" applyFont="1" applyFill="1" applyBorder="1" applyAlignment="1">
      <alignment horizontal="center" vertical="top"/>
    </xf>
    <xf numFmtId="182" fontId="102" fillId="61" borderId="35" xfId="0" applyNumberFormat="1" applyFont="1" applyFill="1" applyBorder="1" applyAlignment="1"/>
    <xf numFmtId="4" fontId="102" fillId="61" borderId="35" xfId="54" applyNumberFormat="1" applyFont="1" applyFill="1" applyBorder="1" applyAlignment="1" applyProtection="1"/>
    <xf numFmtId="0" fontId="109" fillId="0" borderId="13" xfId="0" applyFont="1" applyBorder="1" applyAlignment="1"/>
    <xf numFmtId="0" fontId="110" fillId="0" borderId="14" xfId="0" applyFont="1" applyBorder="1" applyAlignment="1">
      <alignment horizontal="right"/>
    </xf>
    <xf numFmtId="2" fontId="103" fillId="67" borderId="35" xfId="0" applyNumberFormat="1" applyFont="1" applyFill="1" applyBorder="1" applyAlignment="1">
      <alignment horizontal="right" vertical="center" wrapText="1"/>
    </xf>
    <xf numFmtId="2" fontId="103" fillId="0" borderId="0" xfId="0" applyNumberFormat="1" applyFont="1" applyAlignment="1">
      <alignment horizontal="right" vertical="center"/>
    </xf>
    <xf numFmtId="4" fontId="110" fillId="0" borderId="26" xfId="0" applyNumberFormat="1" applyFont="1" applyBorder="1" applyAlignment="1">
      <alignment horizontal="right"/>
    </xf>
    <xf numFmtId="4" fontId="110" fillId="0" borderId="0" xfId="0" applyNumberFormat="1" applyFont="1" applyAlignment="1">
      <alignment horizontal="right"/>
    </xf>
    <xf numFmtId="4" fontId="109" fillId="0" borderId="14" xfId="0" applyNumberFormat="1" applyFont="1" applyBorder="1" applyAlignment="1">
      <alignment horizontal="right"/>
    </xf>
    <xf numFmtId="4" fontId="109" fillId="0" borderId="0" xfId="0" applyNumberFormat="1" applyFont="1" applyAlignment="1">
      <alignment horizontal="right"/>
    </xf>
    <xf numFmtId="0" fontId="109" fillId="63" borderId="34" xfId="0" applyFont="1" applyFill="1" applyBorder="1" applyAlignment="1"/>
    <xf numFmtId="0" fontId="109" fillId="61" borderId="13" xfId="0" applyFont="1" applyFill="1" applyBorder="1" applyAlignment="1"/>
    <xf numFmtId="0" fontId="110" fillId="61" borderId="14" xfId="0" applyFont="1" applyFill="1" applyBorder="1" applyAlignment="1">
      <alignment horizontal="right"/>
    </xf>
    <xf numFmtId="4" fontId="110" fillId="61" borderId="14" xfId="0" applyNumberFormat="1" applyFont="1" applyFill="1" applyBorder="1" applyAlignment="1">
      <alignment horizontal="right"/>
    </xf>
    <xf numFmtId="0" fontId="113" fillId="0" borderId="0" xfId="0" applyFont="1" applyAlignment="1">
      <alignment horizontal="left" vertical="top" wrapText="1"/>
    </xf>
    <xf numFmtId="0" fontId="113" fillId="0" borderId="0" xfId="0" applyFont="1" applyAlignment="1">
      <alignment horizontal="justify" vertical="top" wrapText="1"/>
    </xf>
    <xf numFmtId="0" fontId="120" fillId="0" borderId="0" xfId="0" applyFont="1" applyAlignment="1">
      <alignment horizontal="center"/>
    </xf>
    <xf numFmtId="4" fontId="120" fillId="0" borderId="0" xfId="0" applyNumberFormat="1" applyFont="1" applyAlignment="1"/>
    <xf numFmtId="4" fontId="121" fillId="0" borderId="0" xfId="0" applyNumberFormat="1" applyFont="1" applyAlignment="1"/>
    <xf numFmtId="0" fontId="0" fillId="0" borderId="0" xfId="0" applyAlignment="1"/>
    <xf numFmtId="0" fontId="120" fillId="0" borderId="0" xfId="0" applyFont="1" applyAlignment="1"/>
    <xf numFmtId="0" fontId="5" fillId="0" borderId="0" xfId="0" applyFont="1" applyAlignment="1"/>
    <xf numFmtId="0" fontId="5" fillId="0" borderId="0" xfId="0" applyFont="1" applyAlignment="1">
      <alignment horizontal="center"/>
    </xf>
    <xf numFmtId="0" fontId="5" fillId="0" borderId="0" xfId="0" applyFont="1" applyAlignment="1">
      <alignment wrapText="1"/>
    </xf>
    <xf numFmtId="0" fontId="122" fillId="0" borderId="0" xfId="0" applyFont="1" applyAlignment="1">
      <alignment wrapText="1"/>
    </xf>
    <xf numFmtId="0" fontId="122" fillId="72" borderId="0" xfId="0" applyFont="1" applyFill="1" applyAlignment="1">
      <alignment horizontal="center"/>
    </xf>
    <xf numFmtId="0" fontId="122" fillId="72" borderId="0" xfId="0" applyFont="1" applyFill="1" applyAlignment="1">
      <alignment horizontal="left"/>
    </xf>
    <xf numFmtId="0" fontId="122" fillId="72" borderId="0" xfId="0" applyFont="1" applyFill="1" applyAlignment="1"/>
    <xf numFmtId="0" fontId="122" fillId="0" borderId="0" xfId="0" applyFont="1" applyAlignment="1">
      <alignment horizontal="center"/>
    </xf>
    <xf numFmtId="0" fontId="122" fillId="0" borderId="0" xfId="0" applyFont="1" applyAlignment="1">
      <alignment horizontal="left"/>
    </xf>
    <xf numFmtId="0" fontId="122" fillId="0" borderId="0" xfId="0" applyFont="1" applyAlignment="1"/>
    <xf numFmtId="0" fontId="124" fillId="72" borderId="0" xfId="0" applyFont="1" applyFill="1" applyAlignment="1">
      <alignment horizontal="left"/>
    </xf>
    <xf numFmtId="0" fontId="122" fillId="0" borderId="0" xfId="0" applyFont="1">
      <alignment vertical="top"/>
    </xf>
    <xf numFmtId="0" fontId="122" fillId="0" borderId="0" xfId="0" applyFont="1" applyAlignment="1">
      <alignment horizontal="center" vertical="top"/>
    </xf>
    <xf numFmtId="2" fontId="122" fillId="0" borderId="0" xfId="0" applyNumberFormat="1" applyFont="1">
      <alignment vertical="top"/>
    </xf>
    <xf numFmtId="0" fontId="5" fillId="0" borderId="0" xfId="0" applyFont="1">
      <alignment vertical="top"/>
    </xf>
    <xf numFmtId="0" fontId="5" fillId="0" borderId="0" xfId="0" applyFont="1" applyAlignment="1">
      <alignment horizontal="center" vertical="top"/>
    </xf>
    <xf numFmtId="2" fontId="5" fillId="0" borderId="0" xfId="0" applyNumberFormat="1" applyFont="1">
      <alignment vertical="top"/>
    </xf>
    <xf numFmtId="2" fontId="5" fillId="0" borderId="0" xfId="0" applyNumberFormat="1" applyFont="1" applyAlignment="1"/>
    <xf numFmtId="4" fontId="110" fillId="0" borderId="14" xfId="0" applyNumberFormat="1" applyFont="1" applyBorder="1" applyAlignment="1">
      <alignment horizontal="right"/>
    </xf>
    <xf numFmtId="49" fontId="129" fillId="74" borderId="49" xfId="0" applyNumberFormat="1" applyFont="1" applyFill="1" applyBorder="1" applyAlignment="1" applyProtection="1">
      <alignment horizontal="center" vertical="top" wrapText="1"/>
      <protection locked="0"/>
    </xf>
    <xf numFmtId="49" fontId="21" fillId="0" borderId="44" xfId="0" applyNumberFormat="1" applyFont="1" applyBorder="1" applyAlignment="1">
      <alignment horizontal="center"/>
    </xf>
    <xf numFmtId="0" fontId="21" fillId="0" borderId="45" xfId="0" applyFont="1" applyBorder="1" applyAlignment="1"/>
    <xf numFmtId="0" fontId="21" fillId="0" borderId="46" xfId="0" applyFont="1" applyBorder="1" applyAlignment="1"/>
    <xf numFmtId="0" fontId="0" fillId="0" borderId="0" xfId="0" applyAlignment="1">
      <alignment wrapText="1"/>
    </xf>
    <xf numFmtId="0" fontId="9" fillId="0" borderId="0" xfId="0" applyFont="1" applyAlignment="1">
      <alignment wrapText="1"/>
    </xf>
    <xf numFmtId="4" fontId="25" fillId="74" borderId="51" xfId="0" applyNumberFormat="1" applyFont="1" applyFill="1" applyBorder="1" applyAlignment="1" applyProtection="1">
      <alignment horizontal="right" vertical="top" wrapText="1"/>
      <protection locked="0"/>
    </xf>
    <xf numFmtId="49" fontId="129" fillId="0" borderId="61" xfId="0" applyNumberFormat="1" applyFont="1" applyBorder="1" applyAlignment="1" applyProtection="1">
      <alignment horizontal="center" vertical="top" wrapText="1"/>
      <protection locked="0"/>
    </xf>
    <xf numFmtId="49" fontId="27" fillId="0" borderId="62" xfId="0" applyNumberFormat="1" applyFont="1" applyBorder="1" applyAlignment="1" applyProtection="1">
      <alignment horizontal="center" vertical="top" wrapText="1"/>
      <protection locked="0"/>
    </xf>
    <xf numFmtId="205" fontId="0" fillId="0" borderId="67" xfId="0" applyNumberFormat="1" applyBorder="1" applyAlignment="1" applyProtection="1">
      <alignment wrapText="1"/>
      <protection locked="0"/>
    </xf>
    <xf numFmtId="205" fontId="0" fillId="0" borderId="68" xfId="0" applyNumberFormat="1" applyBorder="1" applyAlignment="1" applyProtection="1">
      <alignment wrapText="1"/>
      <protection locked="0"/>
    </xf>
    <xf numFmtId="205" fontId="21" fillId="74" borderId="66" xfId="0" applyNumberFormat="1" applyFont="1" applyFill="1" applyBorder="1" applyAlignment="1" applyProtection="1">
      <alignment wrapText="1"/>
      <protection locked="0"/>
    </xf>
    <xf numFmtId="4" fontId="110" fillId="0" borderId="57" xfId="0" applyNumberFormat="1" applyFont="1" applyBorder="1" applyAlignment="1">
      <alignment horizontal="right"/>
    </xf>
    <xf numFmtId="0" fontId="109" fillId="0" borderId="55" xfId="0" applyFont="1" applyBorder="1" applyAlignment="1"/>
    <xf numFmtId="0" fontId="110" fillId="0" borderId="57" xfId="0" applyFont="1" applyBorder="1" applyAlignment="1">
      <alignment horizontal="right"/>
    </xf>
    <xf numFmtId="0" fontId="138" fillId="0" borderId="0" xfId="0" applyFont="1" applyAlignment="1">
      <alignment wrapText="1"/>
    </xf>
    <xf numFmtId="0" fontId="140" fillId="0" borderId="11" xfId="0" applyFont="1" applyBorder="1" applyAlignment="1">
      <alignment horizontal="left" vertical="top" wrapText="1"/>
    </xf>
    <xf numFmtId="0" fontId="100" fillId="0" borderId="0" xfId="0" applyFont="1" applyAlignment="1">
      <alignment wrapText="1"/>
    </xf>
    <xf numFmtId="182" fontId="102" fillId="61" borderId="35" xfId="0" applyNumberFormat="1" applyFont="1" applyFill="1" applyBorder="1" applyAlignment="1">
      <alignment horizontal="center" vertical="top"/>
    </xf>
    <xf numFmtId="2" fontId="103" fillId="0" borderId="0" xfId="0" quotePrefix="1" applyNumberFormat="1" applyFont="1" applyAlignment="1" applyProtection="1">
      <alignment vertical="top" wrapText="1" shrinkToFit="1" readingOrder="1"/>
      <protection locked="0"/>
    </xf>
    <xf numFmtId="0" fontId="143" fillId="0" borderId="0" xfId="0" applyFont="1" applyAlignment="1">
      <alignment horizontal="center"/>
    </xf>
    <xf numFmtId="2" fontId="143" fillId="0" borderId="0" xfId="0" applyNumberFormat="1" applyFont="1" applyAlignment="1">
      <alignment horizontal="right"/>
    </xf>
    <xf numFmtId="4" fontId="143" fillId="0" borderId="0" xfId="0" applyNumberFormat="1" applyFont="1" applyAlignment="1">
      <alignment horizontal="right"/>
    </xf>
    <xf numFmtId="2" fontId="103" fillId="0" borderId="0" xfId="0" applyNumberFormat="1" applyFont="1" applyAlignment="1">
      <alignment horizontal="right"/>
    </xf>
    <xf numFmtId="2" fontId="102" fillId="0" borderId="0" xfId="0" applyNumberFormat="1" applyFont="1">
      <alignment vertical="top"/>
    </xf>
    <xf numFmtId="0" fontId="103" fillId="0" borderId="0" xfId="0" applyFont="1" applyAlignment="1">
      <alignment horizontal="center" vertical="top" wrapText="1"/>
    </xf>
    <xf numFmtId="0" fontId="102" fillId="0" borderId="0" xfId="0" applyFont="1" applyAlignment="1">
      <alignment horizontal="center" vertical="top" wrapText="1"/>
    </xf>
    <xf numFmtId="0" fontId="14" fillId="0" borderId="0" xfId="0" applyFont="1" applyAlignment="1">
      <alignment horizontal="justify" vertical="top" wrapText="1"/>
    </xf>
    <xf numFmtId="4" fontId="9" fillId="0" borderId="0" xfId="0" applyNumberFormat="1" applyFont="1" applyAlignment="1">
      <alignment horizontal="right"/>
    </xf>
    <xf numFmtId="0" fontId="14" fillId="0" borderId="0" xfId="0" applyFont="1" applyAlignment="1">
      <alignment horizontal="justify" vertical="top"/>
    </xf>
    <xf numFmtId="0" fontId="9" fillId="0" borderId="0" xfId="0" applyFont="1" applyAlignment="1">
      <alignment horizontal="justify" vertical="top"/>
    </xf>
    <xf numFmtId="0" fontId="9" fillId="0" borderId="0" xfId="0" applyFont="1" applyAlignment="1">
      <alignment horizontal="justify"/>
    </xf>
    <xf numFmtId="0" fontId="9" fillId="0" borderId="0" xfId="0" applyFont="1" applyAlignment="1">
      <alignment horizontal="right"/>
    </xf>
    <xf numFmtId="0" fontId="145" fillId="0" borderId="69" xfId="1883" applyFont="1" applyBorder="1" applyAlignment="1" applyProtection="1">
      <alignment horizontal="center" vertical="center" wrapText="1"/>
    </xf>
    <xf numFmtId="0" fontId="9" fillId="0" borderId="69" xfId="1884" applyFont="1" applyBorder="1" applyAlignment="1" applyProtection="1">
      <alignment horizontal="center" wrapText="1"/>
    </xf>
    <xf numFmtId="0" fontId="9" fillId="0" borderId="0" xfId="1885" applyFont="1" applyBorder="1" applyAlignment="1" applyProtection="1">
      <alignment horizontal="justify" wrapText="1"/>
    </xf>
    <xf numFmtId="0" fontId="116" fillId="0" borderId="0" xfId="1885" applyFont="1" applyBorder="1" applyAlignment="1" applyProtection="1">
      <alignment horizontal="justify" wrapText="1"/>
    </xf>
    <xf numFmtId="0" fontId="9" fillId="0" borderId="0" xfId="1884" applyFont="1" applyBorder="1" applyAlignment="1" applyProtection="1">
      <alignment horizontal="center"/>
    </xf>
    <xf numFmtId="0" fontId="144" fillId="0" borderId="0" xfId="0" applyFont="1" applyAlignment="1">
      <alignment horizontal="center" vertical="center" wrapText="1"/>
    </xf>
    <xf numFmtId="0" fontId="9" fillId="0" borderId="0" xfId="0" applyFont="1" applyAlignment="1">
      <alignment horizontal="justify" wrapText="1"/>
    </xf>
    <xf numFmtId="0" fontId="9" fillId="0" borderId="0" xfId="1884" applyFont="1" applyBorder="1" applyAlignment="1" applyProtection="1">
      <alignment horizontal="center" wrapText="1"/>
    </xf>
    <xf numFmtId="0" fontId="145" fillId="0" borderId="0" xfId="1883" applyFont="1" applyBorder="1" applyAlignment="1" applyProtection="1">
      <alignment horizontal="center" vertical="center" wrapText="1"/>
    </xf>
    <xf numFmtId="0" fontId="9" fillId="0" borderId="0" xfId="1885" applyFont="1" applyBorder="1" applyAlignment="1" applyProtection="1">
      <alignment horizontal="justify" vertical="center" wrapText="1"/>
    </xf>
    <xf numFmtId="0" fontId="144" fillId="0" borderId="0" xfId="1884" applyFont="1" applyBorder="1" applyAlignment="1" applyProtection="1">
      <alignment horizontal="center" wrapText="1"/>
    </xf>
    <xf numFmtId="0" fontId="9" fillId="0" borderId="0" xfId="1884" applyFont="1" applyBorder="1" applyAlignment="1" applyProtection="1">
      <alignment horizontal="justify" wrapText="1"/>
    </xf>
    <xf numFmtId="0" fontId="116" fillId="0" borderId="0" xfId="1884" applyFont="1" applyBorder="1" applyAlignment="1" applyProtection="1">
      <alignment horizontal="justify" wrapText="1"/>
    </xf>
    <xf numFmtId="0" fontId="144" fillId="0" borderId="0" xfId="0" applyFont="1" applyAlignment="1">
      <alignment horizontal="justify"/>
    </xf>
    <xf numFmtId="0" fontId="116" fillId="0" borderId="0" xfId="1884" applyFont="1" applyBorder="1" applyAlignment="1" applyProtection="1">
      <alignment horizontal="center" wrapText="1"/>
    </xf>
    <xf numFmtId="0" fontId="9" fillId="0" borderId="70" xfId="1884" applyFont="1" applyBorder="1" applyAlignment="1" applyProtection="1">
      <alignment horizontal="center" wrapText="1"/>
    </xf>
    <xf numFmtId="0" fontId="9" fillId="0" borderId="70" xfId="1884" applyFont="1" applyBorder="1" applyAlignment="1" applyProtection="1">
      <alignment horizontal="justify" wrapText="1"/>
    </xf>
    <xf numFmtId="0" fontId="144" fillId="0" borderId="70" xfId="1884" applyFont="1" applyBorder="1" applyAlignment="1" applyProtection="1">
      <alignment horizontal="center" wrapText="1"/>
    </xf>
    <xf numFmtId="0" fontId="144" fillId="0" borderId="69" xfId="1884" applyFont="1" applyBorder="1" applyAlignment="1" applyProtection="1">
      <alignment horizontal="center" wrapText="1"/>
    </xf>
    <xf numFmtId="0" fontId="9" fillId="0" borderId="0" xfId="1884" applyFont="1" applyBorder="1" applyProtection="1">
      <alignment horizontal="justify"/>
    </xf>
    <xf numFmtId="0" fontId="9" fillId="0" borderId="0" xfId="1884" applyFont="1" applyBorder="1" applyAlignment="1" applyProtection="1">
      <alignment horizontal="center" vertical="center" wrapText="1"/>
    </xf>
    <xf numFmtId="0" fontId="144" fillId="0" borderId="0" xfId="1884" applyFont="1" applyBorder="1" applyAlignment="1" applyProtection="1">
      <alignment horizontal="center" vertical="center" wrapText="1"/>
    </xf>
    <xf numFmtId="0" fontId="9" fillId="0" borderId="0" xfId="0" applyFont="1" applyAlignment="1">
      <alignment horizontal="justify" vertical="center"/>
    </xf>
    <xf numFmtId="0" fontId="146" fillId="0" borderId="0" xfId="1884" applyFont="1" applyBorder="1" applyAlignment="1" applyProtection="1">
      <alignment horizontal="center" wrapText="1"/>
    </xf>
    <xf numFmtId="0" fontId="9" fillId="0" borderId="0" xfId="0" applyFont="1" applyAlignment="1">
      <alignment horizontal="center" wrapText="1"/>
    </xf>
    <xf numFmtId="0" fontId="15" fillId="0" borderId="0" xfId="1884" applyFont="1" applyBorder="1" applyAlignment="1" applyProtection="1">
      <alignment horizontal="justify" wrapText="1"/>
    </xf>
    <xf numFmtId="0" fontId="14" fillId="0" borderId="71" xfId="1884" applyFont="1" applyBorder="1" applyAlignment="1" applyProtection="1">
      <alignment horizontal="center" wrapText="1"/>
    </xf>
    <xf numFmtId="0" fontId="9" fillId="0" borderId="0" xfId="0" applyFont="1" applyAlignment="1">
      <alignment horizontal="justify" vertical="center" wrapText="1"/>
    </xf>
    <xf numFmtId="0" fontId="144" fillId="0" borderId="0" xfId="0" applyFont="1" applyAlignment="1">
      <alignment horizontal="center" vertical="center"/>
    </xf>
    <xf numFmtId="0" fontId="9" fillId="0" borderId="0" xfId="0" applyFont="1" applyAlignment="1">
      <alignment horizontal="center"/>
    </xf>
    <xf numFmtId="0" fontId="145" fillId="0" borderId="69" xfId="1883" applyFont="1" applyBorder="1" applyAlignment="1" applyProtection="1">
      <alignment horizontal="left" wrapText="1"/>
    </xf>
    <xf numFmtId="0" fontId="145" fillId="0" borderId="0" xfId="1883" applyFont="1" applyBorder="1" applyAlignment="1" applyProtection="1">
      <alignment horizontal="left" wrapText="1"/>
    </xf>
    <xf numFmtId="0" fontId="145" fillId="0" borderId="69" xfId="1883" applyFont="1" applyBorder="1" applyAlignment="1" applyProtection="1">
      <alignment horizontal="left" vertical="center" wrapText="1"/>
    </xf>
    <xf numFmtId="0" fontId="150" fillId="0" borderId="71" xfId="1883" applyFont="1" applyBorder="1" applyAlignment="1" applyProtection="1">
      <alignment horizontal="left" wrapText="1"/>
    </xf>
    <xf numFmtId="49" fontId="102" fillId="0" borderId="0" xfId="0" applyNumberFormat="1" applyFont="1" applyAlignment="1">
      <alignment horizontal="center" vertical="top" wrapText="1"/>
    </xf>
    <xf numFmtId="0" fontId="151" fillId="0" borderId="0" xfId="1886" applyFill="1" applyBorder="1" applyAlignment="1">
      <alignment horizontal="justify" vertical="top" wrapText="1"/>
    </xf>
    <xf numFmtId="0" fontId="144" fillId="0" borderId="0" xfId="0" applyFont="1" applyAlignment="1">
      <alignment horizontal="center"/>
    </xf>
    <xf numFmtId="4" fontId="9" fillId="0" borderId="0" xfId="0" applyNumberFormat="1" applyFont="1" applyAlignment="1"/>
    <xf numFmtId="0" fontId="9" fillId="0" borderId="0" xfId="0" applyFont="1" applyAlignment="1"/>
    <xf numFmtId="4" fontId="9" fillId="0" borderId="0" xfId="0" applyNumberFormat="1" applyFont="1" applyAlignment="1">
      <alignment horizontal="center"/>
    </xf>
    <xf numFmtId="0" fontId="144" fillId="0" borderId="0" xfId="0" applyFont="1" applyAlignment="1">
      <alignment horizontal="right"/>
    </xf>
    <xf numFmtId="0" fontId="9" fillId="0" borderId="0" xfId="0" applyFont="1" applyAlignment="1">
      <alignment vertical="center"/>
    </xf>
    <xf numFmtId="0" fontId="9" fillId="0" borderId="0" xfId="0" applyFont="1" applyAlignment="1">
      <alignment horizontal="right" vertical="top"/>
    </xf>
    <xf numFmtId="0" fontId="9" fillId="0" borderId="0" xfId="0" applyFont="1" applyAlignment="1">
      <alignment vertical="center" wrapText="1"/>
    </xf>
    <xf numFmtId="0" fontId="144" fillId="0" borderId="0" xfId="0" applyFont="1" applyAlignment="1"/>
    <xf numFmtId="0" fontId="144" fillId="0" borderId="0" xfId="0" applyFont="1" applyAlignment="1">
      <alignment vertical="top" wrapText="1"/>
    </xf>
    <xf numFmtId="0" fontId="152" fillId="0" borderId="11" xfId="0" applyFont="1" applyBorder="1" applyAlignment="1">
      <alignment horizontal="left" vertical="top" wrapText="1"/>
    </xf>
    <xf numFmtId="0" fontId="153" fillId="0" borderId="77" xfId="0" applyFont="1" applyBorder="1" applyAlignment="1">
      <alignment horizontal="center" vertical="top" wrapText="1"/>
    </xf>
    <xf numFmtId="0" fontId="153" fillId="0" borderId="78" xfId="0" applyFont="1" applyBorder="1" applyAlignment="1">
      <alignment horizontal="center" vertical="top" wrapText="1"/>
    </xf>
    <xf numFmtId="0" fontId="153" fillId="0" borderId="78" xfId="0" applyFont="1" applyBorder="1" applyAlignment="1">
      <alignment horizontal="center" wrapText="1"/>
    </xf>
    <xf numFmtId="184" fontId="153" fillId="0" borderId="78" xfId="0" applyNumberFormat="1" applyFont="1" applyBorder="1" applyAlignment="1">
      <alignment horizontal="center" wrapText="1"/>
    </xf>
    <xf numFmtId="0" fontId="153" fillId="0" borderId="79" xfId="0" applyFont="1" applyBorder="1" applyAlignment="1">
      <alignment horizontal="center" vertical="top" wrapText="1"/>
    </xf>
    <xf numFmtId="0" fontId="153" fillId="0" borderId="80" xfId="0" applyFont="1" applyBorder="1" applyAlignment="1">
      <alignment horizontal="center" vertical="top" wrapText="1"/>
    </xf>
    <xf numFmtId="0" fontId="153" fillId="0" borderId="80" xfId="0" applyFont="1" applyBorder="1" applyAlignment="1">
      <alignment horizontal="center" wrapText="1"/>
    </xf>
    <xf numFmtId="0" fontId="153" fillId="0" borderId="0" xfId="0" applyFont="1" applyAlignment="1">
      <alignment horizontal="center" vertical="top" wrapText="1"/>
    </xf>
    <xf numFmtId="0" fontId="7" fillId="0" borderId="0" xfId="0" applyFont="1" applyAlignment="1">
      <alignment horizontal="justify" vertical="top" wrapText="1"/>
    </xf>
    <xf numFmtId="0" fontId="7" fillId="0" borderId="0" xfId="0" applyFont="1" applyAlignment="1">
      <alignment horizontal="center" wrapText="1"/>
    </xf>
    <xf numFmtId="184" fontId="7" fillId="0" borderId="0" xfId="0" applyNumberFormat="1" applyFont="1" applyAlignment="1">
      <alignment horizontal="center" wrapText="1"/>
    </xf>
    <xf numFmtId="0" fontId="148" fillId="0" borderId="0" xfId="0" applyFont="1" applyAlignment="1">
      <alignment horizontal="center" vertical="top" wrapText="1"/>
    </xf>
    <xf numFmtId="0" fontId="153" fillId="0" borderId="0" xfId="0" applyFont="1" applyAlignment="1">
      <alignment horizontal="center" vertical="top"/>
    </xf>
    <xf numFmtId="184" fontId="153" fillId="0" borderId="0" xfId="0" applyNumberFormat="1" applyFont="1" applyAlignment="1"/>
    <xf numFmtId="0" fontId="146" fillId="0" borderId="0" xfId="603" applyFont="1" applyAlignment="1">
      <alignment wrapText="1"/>
    </xf>
    <xf numFmtId="0" fontId="144" fillId="0" borderId="0" xfId="603" applyFont="1"/>
    <xf numFmtId="0" fontId="148" fillId="0" borderId="0" xfId="603" applyFont="1" applyAlignment="1">
      <alignment horizontal="center" vertical="top" wrapText="1"/>
    </xf>
    <xf numFmtId="0" fontId="144" fillId="0" borderId="0" xfId="603" applyFont="1" applyAlignment="1">
      <alignment horizontal="justify" vertical="top" wrapText="1"/>
    </xf>
    <xf numFmtId="0" fontId="144" fillId="0" borderId="0" xfId="603" applyFont="1" applyAlignment="1">
      <alignment horizontal="center" wrapText="1"/>
    </xf>
    <xf numFmtId="184" fontId="144" fillId="0" borderId="0" xfId="603" applyNumberFormat="1" applyFont="1" applyAlignment="1">
      <alignment horizontal="center" wrapText="1"/>
    </xf>
    <xf numFmtId="0" fontId="148" fillId="0" borderId="0" xfId="603" applyFont="1" applyAlignment="1">
      <alignment horizontal="justify" vertical="top" wrapText="1"/>
    </xf>
    <xf numFmtId="0" fontId="117" fillId="0" borderId="0" xfId="603" applyFont="1" applyAlignment="1">
      <alignment horizontal="center" vertical="top" wrapText="1"/>
    </xf>
    <xf numFmtId="0" fontId="117" fillId="0" borderId="0" xfId="603" applyFont="1" applyAlignment="1">
      <alignment horizontal="justify" vertical="top" wrapText="1"/>
    </xf>
    <xf numFmtId="184" fontId="117" fillId="0" borderId="0" xfId="603" applyNumberFormat="1" applyFont="1" applyAlignment="1">
      <alignment horizontal="left" vertical="top" wrapText="1"/>
    </xf>
    <xf numFmtId="0" fontId="146" fillId="0" borderId="0" xfId="603" applyFont="1" applyAlignment="1" applyProtection="1">
      <alignment horizontal="left" vertical="top" wrapText="1"/>
      <protection locked="0"/>
    </xf>
    <xf numFmtId="208" fontId="144" fillId="0" borderId="0" xfId="603" applyNumberFormat="1" applyFont="1" applyAlignment="1" applyProtection="1">
      <alignment horizontal="right" vertical="top"/>
      <protection locked="0"/>
    </xf>
    <xf numFmtId="0" fontId="144" fillId="0" borderId="0" xfId="603" applyFont="1" applyAlignment="1" applyProtection="1">
      <alignment horizontal="left" vertical="top"/>
      <protection locked="0"/>
    </xf>
    <xf numFmtId="0" fontId="116" fillId="0" borderId="0" xfId="603" applyFont="1" applyAlignment="1">
      <alignment horizontal="center" vertical="top" wrapText="1"/>
    </xf>
    <xf numFmtId="0" fontId="117" fillId="0" borderId="0" xfId="56" applyFont="1" applyAlignment="1">
      <alignment horizontal="center" vertical="top" wrapText="1"/>
    </xf>
    <xf numFmtId="49" fontId="116" fillId="0" borderId="0" xfId="56" applyNumberFormat="1" applyFont="1" applyAlignment="1">
      <alignment horizontal="justify" vertical="top" wrapText="1"/>
    </xf>
    <xf numFmtId="184" fontId="117" fillId="0" borderId="0" xfId="56" applyNumberFormat="1" applyFont="1" applyAlignment="1">
      <alignment horizontal="left" vertical="top" wrapText="1"/>
    </xf>
    <xf numFmtId="0" fontId="146" fillId="0" borderId="0" xfId="56" applyFont="1" applyAlignment="1" applyProtection="1">
      <alignment horizontal="left" vertical="top"/>
      <protection locked="0"/>
    </xf>
    <xf numFmtId="0" fontId="144" fillId="0" borderId="0" xfId="56" applyFont="1" applyAlignment="1" applyProtection="1">
      <alignment horizontal="left" vertical="top"/>
      <protection locked="0"/>
    </xf>
    <xf numFmtId="0" fontId="9" fillId="0" borderId="0" xfId="56" applyFont="1" applyAlignment="1" applyProtection="1">
      <alignment horizontal="left" vertical="top" wrapText="1"/>
      <protection locked="0"/>
    </xf>
    <xf numFmtId="0" fontId="144" fillId="0" borderId="0" xfId="0" applyFont="1" applyAlignment="1" applyProtection="1">
      <alignment horizontal="center" wrapText="1"/>
      <protection locked="0"/>
    </xf>
    <xf numFmtId="208" fontId="144" fillId="0" borderId="0" xfId="0" applyNumberFormat="1" applyFont="1" applyAlignment="1" applyProtection="1">
      <alignment horizontal="center"/>
      <protection locked="0"/>
    </xf>
    <xf numFmtId="0" fontId="144" fillId="0" borderId="0" xfId="0" applyFont="1" applyAlignment="1" applyProtection="1">
      <alignment horizontal="center" vertical="top" wrapText="1"/>
      <protection locked="0"/>
    </xf>
    <xf numFmtId="0" fontId="14" fillId="0" borderId="0" xfId="0" applyFont="1" applyAlignment="1" applyProtection="1">
      <alignment horizontal="left" vertical="top" wrapText="1"/>
      <protection locked="0"/>
    </xf>
    <xf numFmtId="0" fontId="144" fillId="0" borderId="0" xfId="0" applyFont="1" applyAlignment="1" applyProtection="1">
      <alignment horizontal="left" vertical="top" wrapText="1"/>
      <protection locked="0"/>
    </xf>
    <xf numFmtId="208" fontId="144" fillId="0" borderId="0" xfId="0" applyNumberFormat="1" applyFont="1" applyAlignment="1" applyProtection="1">
      <alignment horizontal="right" vertical="top"/>
      <protection locked="0"/>
    </xf>
    <xf numFmtId="184" fontId="144" fillId="0" borderId="0" xfId="0" applyNumberFormat="1" applyFont="1" applyAlignment="1" applyProtection="1">
      <alignment horizontal="left" vertical="top"/>
      <protection locked="0"/>
    </xf>
    <xf numFmtId="0" fontId="146" fillId="0" borderId="0" xfId="0" applyFont="1" applyAlignment="1" applyProtection="1">
      <alignment horizontal="left" vertical="top"/>
      <protection locked="0"/>
    </xf>
    <xf numFmtId="0" fontId="144" fillId="0" borderId="0" xfId="0" applyFont="1" applyAlignment="1" applyProtection="1">
      <alignment horizontal="left" vertical="top"/>
      <protection locked="0"/>
    </xf>
    <xf numFmtId="0" fontId="9" fillId="0" borderId="0" xfId="0" applyFont="1" applyAlignment="1" applyProtection="1">
      <alignment horizontal="center" vertical="top" wrapText="1"/>
      <protection locked="0"/>
    </xf>
    <xf numFmtId="0" fontId="9" fillId="0" borderId="0" xfId="0" applyFont="1" applyAlignment="1" applyProtection="1">
      <alignment horizontal="left" vertical="top" wrapText="1"/>
      <protection locked="0"/>
    </xf>
    <xf numFmtId="208" fontId="9" fillId="0" borderId="0" xfId="0" applyNumberFormat="1" applyFont="1" applyAlignment="1" applyProtection="1">
      <alignment horizontal="center" vertical="top"/>
      <protection locked="0"/>
    </xf>
    <xf numFmtId="0" fontId="9" fillId="0" borderId="0" xfId="0" applyFont="1" applyAlignment="1" applyProtection="1">
      <alignment horizontal="left" vertical="top"/>
      <protection locked="0"/>
    </xf>
    <xf numFmtId="208" fontId="144" fillId="0" borderId="0" xfId="0" applyNumberFormat="1" applyFont="1" applyAlignment="1" applyProtection="1">
      <alignment horizontal="center" vertical="top"/>
      <protection locked="0"/>
    </xf>
    <xf numFmtId="0" fontId="7" fillId="0" borderId="0" xfId="56" applyFont="1" applyAlignment="1" applyProtection="1">
      <alignment horizontal="center" vertical="top"/>
      <protection locked="0"/>
    </xf>
    <xf numFmtId="0" fontId="146" fillId="0" borderId="0" xfId="56" applyFont="1" applyAlignment="1" applyProtection="1">
      <alignment horizontal="left" vertical="top" wrapText="1"/>
      <protection locked="0"/>
    </xf>
    <xf numFmtId="0" fontId="7" fillId="0" borderId="0" xfId="56" applyFont="1" applyAlignment="1" applyProtection="1">
      <alignment horizontal="center"/>
      <protection locked="0"/>
    </xf>
    <xf numFmtId="208" fontId="7" fillId="0" borderId="0" xfId="56" applyNumberFormat="1" applyFont="1" applyAlignment="1" applyProtection="1">
      <alignment horizontal="center"/>
      <protection locked="0"/>
    </xf>
    <xf numFmtId="184" fontId="7" fillId="0" borderId="0" xfId="56" applyNumberFormat="1" applyFont="1" applyAlignment="1" applyProtection="1">
      <alignment horizontal="left" vertical="top"/>
      <protection locked="0"/>
    </xf>
    <xf numFmtId="0" fontId="7" fillId="0" borderId="0" xfId="56" applyFont="1" applyAlignment="1" applyProtection="1">
      <alignment horizontal="left" vertical="top"/>
      <protection locked="0"/>
    </xf>
    <xf numFmtId="0" fontId="144" fillId="0" borderId="0" xfId="603" applyFont="1" applyAlignment="1" applyProtection="1">
      <alignment horizontal="center" vertical="top" wrapText="1"/>
      <protection locked="0"/>
    </xf>
    <xf numFmtId="0" fontId="144" fillId="0" borderId="0" xfId="603" applyFont="1" applyAlignment="1" applyProtection="1">
      <alignment horizontal="justify" vertical="top" wrapText="1"/>
      <protection locked="0"/>
    </xf>
    <xf numFmtId="208" fontId="144" fillId="0" borderId="0" xfId="603" applyNumberFormat="1" applyFont="1" applyAlignment="1" applyProtection="1">
      <alignment horizontal="center" vertical="top"/>
      <protection locked="0"/>
    </xf>
    <xf numFmtId="184" fontId="144" fillId="0" borderId="0" xfId="603" applyNumberFormat="1" applyFont="1" applyAlignment="1" applyProtection="1">
      <alignment horizontal="center" vertical="top"/>
      <protection locked="0"/>
    </xf>
    <xf numFmtId="184" fontId="116" fillId="0" borderId="73" xfId="603" applyNumberFormat="1" applyFont="1" applyBorder="1" applyAlignment="1">
      <alignment horizontal="center" vertical="top" wrapText="1"/>
    </xf>
    <xf numFmtId="0" fontId="117" fillId="0" borderId="74" xfId="603" applyFont="1" applyBorder="1" applyAlignment="1">
      <alignment horizontal="center" vertical="top" wrapText="1"/>
    </xf>
    <xf numFmtId="184" fontId="116" fillId="0" borderId="0" xfId="603" applyNumberFormat="1" applyFont="1" applyAlignment="1">
      <alignment horizontal="center" vertical="top" wrapText="1"/>
    </xf>
    <xf numFmtId="184" fontId="116" fillId="0" borderId="10" xfId="603" applyNumberFormat="1" applyFont="1" applyBorder="1" applyAlignment="1">
      <alignment horizontal="center" vertical="top" wrapText="1"/>
    </xf>
    <xf numFmtId="0" fontId="117" fillId="0" borderId="75" xfId="603" applyFont="1" applyBorder="1" applyAlignment="1">
      <alignment horizontal="center" vertical="top" wrapText="1"/>
    </xf>
    <xf numFmtId="0" fontId="116" fillId="0" borderId="11" xfId="603" applyFont="1" applyBorder="1" applyAlignment="1">
      <alignment horizontal="center" vertical="top" wrapText="1"/>
    </xf>
    <xf numFmtId="184" fontId="116" fillId="0" borderId="76" xfId="603" applyNumberFormat="1" applyFont="1" applyBorder="1" applyAlignment="1">
      <alignment horizontal="center" vertical="top" wrapText="1"/>
    </xf>
    <xf numFmtId="0" fontId="7" fillId="0" borderId="0" xfId="603" applyFont="1" applyAlignment="1">
      <alignment horizontal="center" vertical="top" wrapText="1"/>
    </xf>
    <xf numFmtId="0" fontId="7" fillId="0" borderId="0" xfId="603" applyFont="1" applyAlignment="1">
      <alignment horizontal="justify" vertical="top" wrapText="1"/>
    </xf>
    <xf numFmtId="0" fontId="7" fillId="0" borderId="0" xfId="603" applyFont="1" applyAlignment="1">
      <alignment horizontal="center" wrapText="1"/>
    </xf>
    <xf numFmtId="0" fontId="144" fillId="0" borderId="0" xfId="603" applyFont="1" applyAlignment="1">
      <alignment horizontal="center"/>
    </xf>
    <xf numFmtId="0" fontId="144" fillId="0" borderId="0" xfId="603" applyFont="1" applyAlignment="1">
      <alignment horizontal="center" vertical="top"/>
    </xf>
    <xf numFmtId="184" fontId="144" fillId="0" borderId="0" xfId="603" applyNumberFormat="1" applyFont="1" applyAlignment="1">
      <alignment horizontal="center"/>
    </xf>
    <xf numFmtId="0" fontId="9" fillId="0" borderId="0" xfId="603" applyFont="1"/>
    <xf numFmtId="0" fontId="144" fillId="0" borderId="0" xfId="603" applyFont="1" applyAlignment="1">
      <alignment horizontal="center" vertical="top" wrapText="1"/>
    </xf>
    <xf numFmtId="14" fontId="116" fillId="0" borderId="0" xfId="603" applyNumberFormat="1" applyFont="1" applyAlignment="1">
      <alignment horizontal="center" vertical="top" wrapText="1"/>
    </xf>
    <xf numFmtId="184" fontId="7" fillId="0" borderId="0" xfId="603" applyNumberFormat="1" applyFont="1" applyAlignment="1">
      <alignment horizontal="center" vertical="top" wrapText="1"/>
    </xf>
    <xf numFmtId="0" fontId="7" fillId="0" borderId="0" xfId="56" applyFont="1" applyAlignment="1" applyProtection="1">
      <alignment horizontal="center" vertical="top" wrapText="1"/>
      <protection locked="0"/>
    </xf>
    <xf numFmtId="0" fontId="14" fillId="0" borderId="0" xfId="56" applyFont="1" applyAlignment="1" applyProtection="1">
      <alignment horizontal="left" vertical="top" wrapText="1"/>
      <protection locked="0"/>
    </xf>
    <xf numFmtId="0" fontId="7" fillId="0" borderId="0" xfId="56" applyFont="1" applyAlignment="1" applyProtection="1">
      <alignment horizontal="center" wrapText="1"/>
      <protection locked="0"/>
    </xf>
    <xf numFmtId="0" fontId="9" fillId="0" borderId="0" xfId="0" applyFont="1" applyAlignment="1" applyProtection="1">
      <alignment horizontal="center" vertical="top"/>
      <protection locked="0"/>
    </xf>
    <xf numFmtId="0" fontId="9" fillId="0" borderId="0" xfId="0" applyFont="1" applyAlignment="1" applyProtection="1">
      <alignment horizontal="center" vertical="center"/>
      <protection locked="0"/>
    </xf>
    <xf numFmtId="208" fontId="9" fillId="0" borderId="0" xfId="0" applyNumberFormat="1" applyFont="1" applyAlignment="1" applyProtection="1">
      <alignment horizontal="center" vertical="center"/>
      <protection locked="0"/>
    </xf>
    <xf numFmtId="208" fontId="9" fillId="0" borderId="0" xfId="0" applyNumberFormat="1" applyFont="1" applyAlignment="1" applyProtection="1">
      <alignment horizontal="right" vertical="top"/>
      <protection locked="0"/>
    </xf>
    <xf numFmtId="0" fontId="144" fillId="0" borderId="0" xfId="0" applyFont="1" applyAlignment="1" applyProtection="1">
      <alignment horizontal="center" vertical="top"/>
      <protection locked="0"/>
    </xf>
    <xf numFmtId="0" fontId="9" fillId="0" borderId="0" xfId="603" applyFont="1" applyAlignment="1" applyProtection="1">
      <alignment horizontal="center" vertical="top" wrapText="1"/>
      <protection locked="0"/>
    </xf>
    <xf numFmtId="0" fontId="14" fillId="0" borderId="0" xfId="603" applyFont="1" applyAlignment="1" applyProtection="1">
      <alignment horizontal="justify" vertical="top" wrapText="1"/>
      <protection locked="0"/>
    </xf>
    <xf numFmtId="0" fontId="9" fillId="0" borderId="0" xfId="603" applyFont="1" applyAlignment="1" applyProtection="1">
      <alignment horizontal="center" vertical="center" wrapText="1"/>
      <protection locked="0"/>
    </xf>
    <xf numFmtId="208" fontId="9" fillId="0" borderId="0" xfId="603" applyNumberFormat="1" applyFont="1" applyAlignment="1" applyProtection="1">
      <alignment horizontal="center" vertical="center"/>
      <protection locked="0"/>
    </xf>
    <xf numFmtId="0" fontId="7" fillId="0" borderId="0" xfId="603" applyFont="1" applyAlignment="1" applyProtection="1">
      <alignment horizontal="left" vertical="top"/>
      <protection locked="0"/>
    </xf>
    <xf numFmtId="0" fontId="9" fillId="0" borderId="0" xfId="603" applyFont="1" applyAlignment="1" applyProtection="1">
      <alignment horizontal="justify" vertical="top" wrapText="1"/>
      <protection locked="0"/>
    </xf>
    <xf numFmtId="0" fontId="9" fillId="0" borderId="0" xfId="603" applyFont="1" applyAlignment="1" applyProtection="1">
      <alignment horizontal="center" wrapText="1"/>
      <protection locked="0"/>
    </xf>
    <xf numFmtId="208" fontId="9" fillId="0" borderId="0" xfId="603" applyNumberFormat="1" applyFont="1" applyAlignment="1" applyProtection="1">
      <alignment horizontal="center"/>
      <protection locked="0"/>
    </xf>
    <xf numFmtId="0" fontId="9" fillId="0" borderId="0" xfId="603" applyFont="1" applyAlignment="1" applyProtection="1">
      <alignment horizontal="left" vertical="top"/>
      <protection locked="0"/>
    </xf>
    <xf numFmtId="0" fontId="7" fillId="0" borderId="0" xfId="603" applyFont="1"/>
    <xf numFmtId="184" fontId="7" fillId="0" borderId="0" xfId="603" applyNumberFormat="1" applyFont="1" applyAlignment="1">
      <alignment horizontal="center"/>
    </xf>
    <xf numFmtId="0" fontId="9" fillId="0" borderId="0" xfId="603" applyFont="1" applyAlignment="1">
      <alignment horizontal="justify" vertical="top" wrapText="1"/>
    </xf>
    <xf numFmtId="0" fontId="9" fillId="0" borderId="0" xfId="603" applyFont="1" applyAlignment="1">
      <alignment horizontal="center" vertical="top" wrapText="1"/>
    </xf>
    <xf numFmtId="184" fontId="144" fillId="0" borderId="0" xfId="603" applyNumberFormat="1" applyFont="1"/>
    <xf numFmtId="0" fontId="144" fillId="0" borderId="11" xfId="603" applyFont="1" applyBorder="1" applyAlignment="1">
      <alignment horizontal="center" vertical="top"/>
    </xf>
    <xf numFmtId="0" fontId="7" fillId="0" borderId="0" xfId="603" applyFont="1" applyAlignment="1">
      <alignment horizontal="center" vertical="top"/>
    </xf>
    <xf numFmtId="0" fontId="7" fillId="0" borderId="0" xfId="603" applyFont="1" applyAlignment="1">
      <alignment horizontal="center"/>
    </xf>
    <xf numFmtId="0" fontId="153" fillId="0" borderId="0" xfId="603" applyFont="1" applyAlignment="1">
      <alignment horizontal="center" vertical="top" wrapText="1"/>
    </xf>
    <xf numFmtId="0" fontId="153" fillId="0" borderId="0" xfId="603" applyFont="1" applyAlignment="1">
      <alignment horizontal="justify" vertical="top" wrapText="1"/>
    </xf>
    <xf numFmtId="184" fontId="7" fillId="0" borderId="0" xfId="603" applyNumberFormat="1" applyFont="1" applyAlignment="1" applyProtection="1">
      <alignment horizontal="right" vertical="top"/>
      <protection locked="0"/>
    </xf>
    <xf numFmtId="16" fontId="7" fillId="0" borderId="0" xfId="603" applyNumberFormat="1" applyFont="1" applyAlignment="1">
      <alignment horizontal="center" vertical="top" wrapText="1"/>
    </xf>
    <xf numFmtId="0" fontId="7" fillId="0" borderId="0" xfId="603" applyFont="1" applyAlignment="1">
      <alignment horizontal="justify" vertical="center" wrapText="1"/>
    </xf>
    <xf numFmtId="16" fontId="7" fillId="0" borderId="0" xfId="603" applyNumberFormat="1" applyFont="1" applyAlignment="1">
      <alignment horizontal="center" vertical="top"/>
    </xf>
    <xf numFmtId="0" fontId="144" fillId="0" borderId="0" xfId="603" applyFont="1" applyAlignment="1">
      <alignment horizontal="center" vertical="center"/>
    </xf>
    <xf numFmtId="0" fontId="9" fillId="0" borderId="0" xfId="603" applyFont="1" applyAlignment="1">
      <alignment horizontal="justify" vertical="center" wrapText="1"/>
    </xf>
    <xf numFmtId="0" fontId="144" fillId="0" borderId="0" xfId="603" applyFont="1" applyAlignment="1">
      <alignment horizontal="center" vertical="center" wrapText="1"/>
    </xf>
    <xf numFmtId="184" fontId="7" fillId="0" borderId="11" xfId="603" applyNumberFormat="1" applyFont="1" applyBorder="1" applyAlignment="1">
      <alignment horizontal="center"/>
    </xf>
    <xf numFmtId="0" fontId="9" fillId="0" borderId="0" xfId="0" applyFont="1" applyAlignment="1">
      <alignment horizontal="center" vertical="top"/>
    </xf>
    <xf numFmtId="184" fontId="9" fillId="0" borderId="0" xfId="0" applyNumberFormat="1" applyFont="1" applyAlignment="1"/>
    <xf numFmtId="201" fontId="9" fillId="0" borderId="0" xfId="0" applyNumberFormat="1" applyFont="1" applyAlignment="1"/>
    <xf numFmtId="166" fontId="9" fillId="0" borderId="0" xfId="0" applyNumberFormat="1" applyFont="1" applyAlignment="1">
      <alignment horizontal="center"/>
    </xf>
    <xf numFmtId="0" fontId="7" fillId="0" borderId="11" xfId="0" applyFont="1" applyBorder="1" applyAlignment="1">
      <alignment horizontal="left" vertical="top" wrapText="1"/>
    </xf>
    <xf numFmtId="0" fontId="117" fillId="0" borderId="72" xfId="603" applyFont="1" applyBorder="1" applyAlignment="1">
      <alignment horizontal="center" vertical="top" wrapText="1"/>
    </xf>
    <xf numFmtId="0" fontId="117" fillId="0" borderId="0" xfId="603" applyFont="1" applyAlignment="1">
      <alignment horizontal="right" vertical="top" wrapText="1"/>
    </xf>
    <xf numFmtId="0" fontId="117" fillId="0" borderId="11" xfId="603" applyFont="1" applyBorder="1" applyAlignment="1">
      <alignment horizontal="justify" vertical="top" wrapText="1"/>
    </xf>
    <xf numFmtId="0" fontId="154" fillId="0" borderId="0" xfId="603" applyFont="1" applyAlignment="1">
      <alignment horizontal="justify" vertical="top" wrapText="1"/>
    </xf>
    <xf numFmtId="0" fontId="144" fillId="0" borderId="11" xfId="603" applyFont="1" applyBorder="1" applyAlignment="1">
      <alignment horizontal="justify" vertical="top" wrapText="1"/>
    </xf>
    <xf numFmtId="184" fontId="144" fillId="0" borderId="11" xfId="603" applyNumberFormat="1" applyFont="1" applyBorder="1" applyAlignment="1">
      <alignment horizontal="center"/>
    </xf>
    <xf numFmtId="0" fontId="153" fillId="0" borderId="72" xfId="603" applyFont="1" applyBorder="1" applyAlignment="1">
      <alignment horizontal="center" vertical="top" wrapText="1"/>
    </xf>
    <xf numFmtId="0" fontId="153" fillId="0" borderId="74" xfId="603" applyFont="1" applyBorder="1" applyAlignment="1">
      <alignment horizontal="center" vertical="top" wrapText="1"/>
    </xf>
    <xf numFmtId="0" fontId="153" fillId="0" borderId="0" xfId="0" applyFont="1" applyAlignment="1">
      <alignment horizontal="left" vertical="top" wrapText="1"/>
    </xf>
    <xf numFmtId="0" fontId="7" fillId="0" borderId="0" xfId="0" applyFont="1" applyAlignment="1">
      <alignment horizontal="center"/>
    </xf>
    <xf numFmtId="201" fontId="7" fillId="0" borderId="0" xfId="0" applyNumberFormat="1" applyFont="1" applyAlignment="1">
      <alignment horizontal="center"/>
    </xf>
    <xf numFmtId="0" fontId="153" fillId="0" borderId="94" xfId="0" applyFont="1" applyBorder="1" applyAlignment="1">
      <alignment horizontal="center" vertical="top" wrapText="1"/>
    </xf>
    <xf numFmtId="0" fontId="153" fillId="0" borderId="95" xfId="0" applyFont="1" applyBorder="1" applyAlignment="1">
      <alignment horizontal="center" vertical="top" wrapText="1"/>
    </xf>
    <xf numFmtId="0" fontId="153" fillId="0" borderId="95" xfId="0" applyFont="1" applyBorder="1" applyAlignment="1">
      <alignment horizontal="center" wrapText="1"/>
    </xf>
    <xf numFmtId="0" fontId="7" fillId="0" borderId="0" xfId="0" applyFont="1" applyAlignment="1">
      <alignment horizontal="center" vertical="top" wrapText="1"/>
    </xf>
    <xf numFmtId="207" fontId="7" fillId="0" borderId="0" xfId="0" applyNumberFormat="1" applyFont="1" applyAlignment="1">
      <alignment horizontal="center" wrapText="1"/>
    </xf>
    <xf numFmtId="0" fontId="7" fillId="0" borderId="0" xfId="0" applyFont="1" applyAlignment="1">
      <alignment horizontal="center" vertical="top"/>
    </xf>
    <xf numFmtId="0" fontId="148" fillId="0" borderId="0" xfId="0" applyFont="1" applyAlignment="1">
      <alignment horizontal="center" vertical="center" wrapText="1"/>
    </xf>
    <xf numFmtId="0" fontId="153" fillId="0" borderId="0" xfId="0" applyFont="1" applyAlignment="1">
      <alignment horizontal="center"/>
    </xf>
    <xf numFmtId="0" fontId="153" fillId="0" borderId="0" xfId="0" applyFont="1" applyAlignment="1"/>
    <xf numFmtId="0" fontId="7" fillId="75" borderId="86" xfId="0" applyFont="1" applyFill="1" applyBorder="1" applyAlignment="1">
      <alignment horizontal="center" vertical="top" wrapText="1"/>
    </xf>
    <xf numFmtId="207" fontId="7" fillId="75" borderId="83" xfId="0" applyNumberFormat="1" applyFont="1" applyFill="1" applyBorder="1" applyAlignment="1">
      <alignment horizontal="center" wrapText="1"/>
    </xf>
    <xf numFmtId="0" fontId="14" fillId="0" borderId="0" xfId="0" applyFont="1" applyAlignment="1">
      <alignment horizontal="justify"/>
    </xf>
    <xf numFmtId="0" fontId="144" fillId="0" borderId="0" xfId="0" applyFont="1" applyAlignment="1">
      <alignment horizontal="right" vertical="top"/>
    </xf>
    <xf numFmtId="0" fontId="144" fillId="0" borderId="0" xfId="0" applyFont="1" applyAlignment="1">
      <alignment horizontal="justify" vertical="top"/>
    </xf>
    <xf numFmtId="166" fontId="144" fillId="0" borderId="0" xfId="0" applyNumberFormat="1" applyFont="1" applyAlignment="1">
      <alignment horizontal="right"/>
    </xf>
    <xf numFmtId="0" fontId="14" fillId="0" borderId="0" xfId="0" applyFont="1" applyAlignment="1">
      <alignment horizontal="center" vertical="top"/>
    </xf>
    <xf numFmtId="0" fontId="144" fillId="0" borderId="0" xfId="0" applyFont="1" applyAlignment="1">
      <alignment horizontal="center" vertical="top"/>
    </xf>
    <xf numFmtId="16" fontId="144" fillId="0" borderId="0" xfId="0" applyNumberFormat="1" applyFont="1" applyAlignment="1">
      <alignment horizontal="center" vertical="top"/>
    </xf>
    <xf numFmtId="0" fontId="14" fillId="0" borderId="0" xfId="0" applyFont="1" applyAlignment="1" applyProtection="1">
      <alignment horizontal="center" vertical="center" wrapText="1"/>
      <protection locked="0"/>
    </xf>
    <xf numFmtId="0" fontId="14" fillId="0" borderId="0" xfId="0" applyFont="1" applyAlignment="1" applyProtection="1">
      <alignment horizontal="justify" vertical="top" wrapText="1"/>
      <protection locked="0"/>
    </xf>
    <xf numFmtId="0" fontId="9" fillId="0" borderId="0" xfId="0" applyFont="1" applyAlignment="1" applyProtection="1">
      <alignment horizontal="center" vertical="center" wrapText="1"/>
      <protection locked="0"/>
    </xf>
    <xf numFmtId="0" fontId="155" fillId="0" borderId="0" xfId="0" applyFont="1" applyAlignment="1">
      <alignment horizontal="justify" vertical="top" wrapText="1"/>
    </xf>
    <xf numFmtId="0" fontId="9" fillId="0" borderId="0" xfId="0" applyFont="1" applyAlignment="1" applyProtection="1">
      <alignment horizontal="justify" vertical="top" wrapText="1"/>
      <protection locked="0"/>
    </xf>
    <xf numFmtId="0" fontId="9" fillId="0" borderId="0" xfId="613" applyFont="1" applyAlignment="1" applyProtection="1">
      <alignment horizontal="justify" vertical="top"/>
      <protection locked="0"/>
    </xf>
    <xf numFmtId="0" fontId="144" fillId="0" borderId="11" xfId="0" applyFont="1" applyBorder="1" applyAlignment="1">
      <alignment horizontal="justify" vertical="top" wrapText="1"/>
    </xf>
    <xf numFmtId="0" fontId="144" fillId="0" borderId="0" xfId="0" applyFont="1" applyAlignment="1">
      <alignment horizontal="center" vertical="top" wrapText="1"/>
    </xf>
    <xf numFmtId="0" fontId="116" fillId="0" borderId="93" xfId="0" applyFont="1" applyBorder="1" applyAlignment="1">
      <alignment horizontal="center" vertical="top" wrapText="1"/>
    </xf>
    <xf numFmtId="207" fontId="116" fillId="0" borderId="73" xfId="0" applyNumberFormat="1" applyFont="1" applyBorder="1" applyAlignment="1">
      <alignment horizontal="center" vertical="top" wrapText="1"/>
    </xf>
    <xf numFmtId="0" fontId="117" fillId="0" borderId="74" xfId="0" applyFont="1" applyBorder="1" applyAlignment="1">
      <alignment horizontal="center" vertical="top" wrapText="1"/>
    </xf>
    <xf numFmtId="0" fontId="116" fillId="0" borderId="0" xfId="0" applyFont="1" applyAlignment="1">
      <alignment horizontal="center" vertical="top" wrapText="1"/>
    </xf>
    <xf numFmtId="207" fontId="116" fillId="0" borderId="10" xfId="0" applyNumberFormat="1" applyFont="1" applyBorder="1" applyAlignment="1">
      <alignment horizontal="center" vertical="top" wrapText="1"/>
    </xf>
    <xf numFmtId="0" fontId="117" fillId="0" borderId="75" xfId="0" applyFont="1" applyBorder="1" applyAlignment="1">
      <alignment horizontal="center" vertical="top" wrapText="1"/>
    </xf>
    <xf numFmtId="0" fontId="116" fillId="0" borderId="11" xfId="0" applyFont="1" applyBorder="1" applyAlignment="1">
      <alignment horizontal="center" vertical="top" wrapText="1"/>
    </xf>
    <xf numFmtId="207" fontId="116" fillId="0" borderId="76" xfId="0" applyNumberFormat="1" applyFont="1" applyBorder="1" applyAlignment="1">
      <alignment horizontal="center" vertical="top" wrapText="1"/>
    </xf>
    <xf numFmtId="0" fontId="9" fillId="0" borderId="0" xfId="64" applyAlignment="1">
      <alignment horizontal="justify" vertical="top"/>
    </xf>
    <xf numFmtId="0" fontId="144" fillId="0" borderId="0" xfId="0" applyFont="1" applyAlignment="1">
      <alignment horizontal="justify" vertical="top" wrapText="1"/>
    </xf>
    <xf numFmtId="0" fontId="7" fillId="0" borderId="0" xfId="0" applyFont="1" applyAlignment="1" applyProtection="1">
      <alignment horizontal="center" vertical="top" wrapText="1"/>
      <protection locked="0"/>
    </xf>
    <xf numFmtId="0" fontId="153" fillId="75" borderId="86" xfId="0" applyFont="1" applyFill="1" applyBorder="1" applyAlignment="1">
      <alignment horizontal="center" vertical="top" wrapText="1"/>
    </xf>
    <xf numFmtId="207" fontId="153" fillId="75" borderId="83" xfId="0" applyNumberFormat="1" applyFont="1" applyFill="1" applyBorder="1" applyAlignment="1">
      <alignment horizontal="center"/>
    </xf>
    <xf numFmtId="0" fontId="117" fillId="0" borderId="0" xfId="0" applyFont="1" applyAlignment="1">
      <alignment horizontal="left" vertical="top" wrapText="1"/>
    </xf>
    <xf numFmtId="0" fontId="117" fillId="0" borderId="0" xfId="0" applyFont="1" applyAlignment="1">
      <alignment horizontal="center" vertical="top" wrapText="1"/>
    </xf>
    <xf numFmtId="184" fontId="116" fillId="0" borderId="0" xfId="0" applyNumberFormat="1" applyFont="1" applyAlignment="1">
      <alignment horizontal="center" vertical="top" wrapText="1"/>
    </xf>
    <xf numFmtId="184" fontId="7" fillId="0" borderId="0" xfId="0" applyNumberFormat="1" applyFont="1" applyAlignment="1">
      <alignment horizontal="center"/>
    </xf>
    <xf numFmtId="0" fontId="9" fillId="0" borderId="0" xfId="0" applyFont="1" applyAlignment="1">
      <alignment horizontal="justify" vertical="top" wrapText="1"/>
    </xf>
    <xf numFmtId="0" fontId="7" fillId="0" borderId="0" xfId="0" applyFont="1" applyAlignment="1">
      <alignment horizontal="center" vertical="center" wrapText="1"/>
    </xf>
    <xf numFmtId="0" fontId="7" fillId="0" borderId="0" xfId="0" applyFont="1" applyAlignment="1">
      <alignment horizontal="justify" vertical="center" wrapText="1"/>
    </xf>
    <xf numFmtId="16" fontId="7" fillId="0" borderId="0" xfId="0" applyNumberFormat="1" applyFont="1" applyAlignment="1">
      <alignment horizontal="center" vertical="top"/>
    </xf>
    <xf numFmtId="0" fontId="156" fillId="0" borderId="0" xfId="0" applyFont="1" applyAlignment="1">
      <alignment horizontal="justify" vertical="top" wrapText="1"/>
    </xf>
    <xf numFmtId="184" fontId="144" fillId="0" borderId="0" xfId="0" applyNumberFormat="1" applyFont="1" applyAlignment="1"/>
    <xf numFmtId="0" fontId="9" fillId="0" borderId="0" xfId="0" applyFont="1" applyAlignment="1">
      <alignment horizontal="center" vertical="top" wrapText="1"/>
    </xf>
    <xf numFmtId="0" fontId="146" fillId="0" borderId="0" xfId="0" applyFont="1" applyAlignment="1"/>
    <xf numFmtId="207" fontId="7" fillId="0" borderId="0" xfId="0" applyNumberFormat="1" applyFont="1" applyAlignment="1">
      <alignment horizontal="center" vertical="center" wrapText="1"/>
    </xf>
    <xf numFmtId="207" fontId="7" fillId="0" borderId="0" xfId="0" applyNumberFormat="1" applyFont="1" applyAlignment="1">
      <alignment horizontal="center"/>
    </xf>
    <xf numFmtId="0" fontId="153" fillId="0" borderId="0" xfId="0" applyFont="1" applyAlignment="1">
      <alignment horizontal="justify" vertical="top" wrapText="1"/>
    </xf>
    <xf numFmtId="0" fontId="153" fillId="75" borderId="85" xfId="0" applyFont="1" applyFill="1" applyBorder="1" applyAlignment="1">
      <alignment horizontal="center" vertical="top" wrapText="1"/>
    </xf>
    <xf numFmtId="0" fontId="153" fillId="75" borderId="86" xfId="0" applyFont="1" applyFill="1" applyBorder="1" applyAlignment="1">
      <alignment horizontal="justify" vertical="top" wrapText="1"/>
    </xf>
    <xf numFmtId="0" fontId="117" fillId="0" borderId="72" xfId="0" applyFont="1" applyBorder="1" applyAlignment="1">
      <alignment horizontal="center" vertical="top" wrapText="1"/>
    </xf>
    <xf numFmtId="0" fontId="117" fillId="0" borderId="0" xfId="0" applyFont="1" applyAlignment="1">
      <alignment horizontal="right" vertical="top" wrapText="1"/>
    </xf>
    <xf numFmtId="0" fontId="154" fillId="0" borderId="11" xfId="0" applyFont="1" applyBorder="1" applyAlignment="1">
      <alignment horizontal="justify" vertical="top" wrapText="1"/>
    </xf>
    <xf numFmtId="0" fontId="153" fillId="75" borderId="85" xfId="0" applyFont="1" applyFill="1" applyBorder="1" applyAlignment="1">
      <alignment horizontal="center" vertical="top"/>
    </xf>
    <xf numFmtId="0" fontId="7" fillId="0" borderId="93" xfId="0" applyFont="1" applyBorder="1" applyAlignment="1">
      <alignment horizontal="center"/>
    </xf>
    <xf numFmtId="0" fontId="22" fillId="0" borderId="0" xfId="0" applyFont="1" applyAlignment="1"/>
    <xf numFmtId="0" fontId="7" fillId="75" borderId="86" xfId="0" applyFont="1" applyFill="1" applyBorder="1" applyAlignment="1">
      <alignment horizontal="center" wrapText="1"/>
    </xf>
    <xf numFmtId="184" fontId="7" fillId="75" borderId="83" xfId="0" applyNumberFormat="1" applyFont="1" applyFill="1" applyBorder="1" applyAlignment="1">
      <alignment horizontal="center" wrapText="1"/>
    </xf>
    <xf numFmtId="0" fontId="146" fillId="0" borderId="0" xfId="0" applyFont="1" applyAlignment="1">
      <alignment horizontal="justify" vertical="top" wrapText="1"/>
    </xf>
    <xf numFmtId="184" fontId="7" fillId="0" borderId="0" xfId="0" applyNumberFormat="1" applyFont="1" applyAlignment="1">
      <alignment horizontal="center" vertical="top" wrapText="1"/>
    </xf>
    <xf numFmtId="0" fontId="116" fillId="0" borderId="0" xfId="0" quotePrefix="1" applyFont="1" applyAlignment="1">
      <alignment horizontal="justify" vertical="top" wrapText="1"/>
    </xf>
    <xf numFmtId="0" fontId="116" fillId="0" borderId="0" xfId="0" applyFont="1" applyAlignment="1">
      <alignment horizontal="justify" vertical="top" wrapText="1"/>
    </xf>
    <xf numFmtId="0" fontId="7" fillId="0" borderId="0" xfId="64" applyFont="1" applyAlignment="1">
      <alignment horizontal="center" vertical="top" wrapText="1"/>
    </xf>
    <xf numFmtId="0" fontId="7" fillId="0" borderId="0" xfId="56" applyFont="1" applyAlignment="1">
      <alignment horizontal="justify" vertical="top" wrapText="1"/>
    </xf>
    <xf numFmtId="0" fontId="9" fillId="0" borderId="0" xfId="64"/>
    <xf numFmtId="0" fontId="7" fillId="0" borderId="0" xfId="64" applyFont="1" applyAlignment="1">
      <alignment horizontal="justify" vertical="top" wrapText="1"/>
    </xf>
    <xf numFmtId="0" fontId="9" fillId="0" borderId="0" xfId="64" applyAlignment="1">
      <alignment horizontal="justify" vertical="top" wrapText="1"/>
    </xf>
    <xf numFmtId="0" fontId="9" fillId="0" borderId="0" xfId="64" applyAlignment="1">
      <alignment horizontal="center" vertical="top" wrapText="1"/>
    </xf>
    <xf numFmtId="0" fontId="7" fillId="0" borderId="0" xfId="64" applyFont="1" applyAlignment="1">
      <alignment horizontal="center" vertical="top"/>
    </xf>
    <xf numFmtId="0" fontId="153" fillId="0" borderId="0" xfId="64" applyFont="1" applyAlignment="1">
      <alignment horizontal="justify" vertical="top" wrapText="1"/>
    </xf>
    <xf numFmtId="0" fontId="7" fillId="0" borderId="0" xfId="64" applyFont="1" applyAlignment="1">
      <alignment horizontal="center"/>
    </xf>
    <xf numFmtId="0" fontId="9" fillId="0" borderId="0" xfId="55" applyFont="1" applyAlignment="1">
      <alignment horizontal="center" vertical="top" wrapText="1"/>
    </xf>
    <xf numFmtId="0" fontId="9" fillId="0" borderId="0" xfId="55" applyFont="1"/>
    <xf numFmtId="0" fontId="9" fillId="0" borderId="0" xfId="64" applyAlignment="1">
      <alignment horizontal="center" vertical="top"/>
    </xf>
    <xf numFmtId="0" fontId="9" fillId="0" borderId="0" xfId="64" applyAlignment="1">
      <alignment horizontal="center"/>
    </xf>
    <xf numFmtId="0" fontId="9" fillId="0" borderId="0" xfId="55" applyFont="1" applyAlignment="1">
      <alignment horizontal="center" vertical="center" wrapText="1"/>
    </xf>
    <xf numFmtId="0" fontId="146" fillId="0" borderId="0" xfId="64" applyFont="1" applyAlignment="1">
      <alignment horizontal="center" vertical="top"/>
    </xf>
    <xf numFmtId="0" fontId="146" fillId="0" borderId="0" xfId="64" applyFont="1" applyAlignment="1">
      <alignment horizontal="justify" vertical="top" wrapText="1"/>
    </xf>
    <xf numFmtId="0" fontId="146" fillId="0" borderId="0" xfId="64" applyFont="1" applyAlignment="1">
      <alignment horizontal="center"/>
    </xf>
    <xf numFmtId="0" fontId="14" fillId="0" borderId="0" xfId="64" applyFont="1" applyAlignment="1">
      <alignment horizontal="justify" vertical="top" wrapText="1"/>
    </xf>
    <xf numFmtId="0" fontId="117" fillId="0" borderId="0" xfId="0" applyFont="1" applyAlignment="1">
      <alignment horizontal="justify" vertical="top" wrapText="1"/>
    </xf>
    <xf numFmtId="184" fontId="117" fillId="0" borderId="0" xfId="0" applyNumberFormat="1" applyFont="1" applyAlignment="1">
      <alignment horizontal="left" vertical="top" wrapText="1"/>
    </xf>
    <xf numFmtId="209" fontId="14" fillId="0" borderId="0" xfId="0" applyNumberFormat="1" applyFont="1" applyAlignment="1">
      <alignment horizontal="center" vertical="center" shrinkToFit="1"/>
    </xf>
    <xf numFmtId="3" fontId="9" fillId="0" borderId="0" xfId="0" applyNumberFormat="1" applyFont="1" applyAlignment="1">
      <alignment horizontal="center" shrinkToFit="1"/>
    </xf>
    <xf numFmtId="184" fontId="9" fillId="0" borderId="0" xfId="0" applyNumberFormat="1" applyFont="1" applyAlignment="1">
      <alignment horizontal="right" shrinkToFit="1"/>
    </xf>
    <xf numFmtId="0" fontId="116" fillId="0" borderId="0" xfId="0" applyFont="1" applyAlignment="1">
      <alignment horizontal="center" wrapText="1"/>
    </xf>
    <xf numFmtId="184" fontId="144" fillId="0" borderId="0" xfId="322" applyNumberFormat="1" applyFont="1" applyAlignment="1"/>
    <xf numFmtId="9" fontId="7" fillId="0" borderId="0" xfId="0" applyNumberFormat="1" applyFont="1" applyAlignment="1">
      <alignment horizontal="center" vertical="top" wrapText="1"/>
    </xf>
    <xf numFmtId="0" fontId="7" fillId="0" borderId="93" xfId="0" applyFont="1" applyBorder="1" applyAlignment="1">
      <alignment horizontal="center" wrapText="1"/>
    </xf>
    <xf numFmtId="184" fontId="144" fillId="0" borderId="93" xfId="0" applyNumberFormat="1" applyFont="1" applyBorder="1" applyAlignment="1">
      <alignment horizontal="center" wrapText="1"/>
    </xf>
    <xf numFmtId="0" fontId="153" fillId="0" borderId="74" xfId="0" applyFont="1" applyBorder="1" applyAlignment="1">
      <alignment horizontal="center" vertical="top" wrapText="1"/>
    </xf>
    <xf numFmtId="184" fontId="144" fillId="0" borderId="0" xfId="0" applyNumberFormat="1" applyFont="1" applyAlignment="1">
      <alignment horizontal="center" wrapText="1"/>
    </xf>
    <xf numFmtId="0" fontId="7" fillId="0" borderId="74" xfId="0" applyFont="1" applyBorder="1" applyAlignment="1">
      <alignment horizontal="center" vertical="top" wrapText="1"/>
    </xf>
    <xf numFmtId="0" fontId="7" fillId="0" borderId="75" xfId="0" applyFont="1" applyBorder="1" applyAlignment="1">
      <alignment horizontal="center" vertical="top" wrapText="1"/>
    </xf>
    <xf numFmtId="0" fontId="7" fillId="0" borderId="11" xfId="0" applyFont="1" applyBorder="1" applyAlignment="1">
      <alignment horizontal="center"/>
    </xf>
    <xf numFmtId="0" fontId="7" fillId="0" borderId="11" xfId="0" applyFont="1" applyBorder="1" applyAlignment="1">
      <alignment horizontal="center" wrapText="1"/>
    </xf>
    <xf numFmtId="184" fontId="144" fillId="0" borderId="11" xfId="0" applyNumberFormat="1" applyFont="1" applyBorder="1" applyAlignment="1">
      <alignment horizontal="center" wrapText="1"/>
    </xf>
    <xf numFmtId="0" fontId="7" fillId="0" borderId="0" xfId="0" applyFont="1" applyAlignment="1">
      <alignment horizontal="center" vertical="center"/>
    </xf>
    <xf numFmtId="0" fontId="7" fillId="75" borderId="86" xfId="0" applyFont="1" applyFill="1" applyBorder="1" applyAlignment="1">
      <alignment horizontal="center" vertical="center" wrapText="1"/>
    </xf>
    <xf numFmtId="184" fontId="7" fillId="75" borderId="86" xfId="0" applyNumberFormat="1" applyFont="1" applyFill="1" applyBorder="1" applyAlignment="1" applyProtection="1">
      <alignment horizontal="right" vertical="top"/>
      <protection locked="0"/>
    </xf>
    <xf numFmtId="0" fontId="7" fillId="0" borderId="0" xfId="0" applyFont="1" applyAlignment="1" applyProtection="1">
      <alignment horizontal="left" vertical="top"/>
      <protection locked="0"/>
    </xf>
    <xf numFmtId="184" fontId="7" fillId="0" borderId="0" xfId="0" applyNumberFormat="1" applyFont="1" applyAlignment="1" applyProtection="1">
      <alignment horizontal="right" vertical="top"/>
      <protection locked="0"/>
    </xf>
    <xf numFmtId="16" fontId="7" fillId="0" borderId="0" xfId="0" applyNumberFormat="1" applyFont="1" applyAlignment="1">
      <alignment horizontal="center" vertical="top" wrapText="1"/>
    </xf>
    <xf numFmtId="0" fontId="7" fillId="0" borderId="0" xfId="0" applyFont="1" applyAlignment="1"/>
    <xf numFmtId="184" fontId="153" fillId="0" borderId="0" xfId="0" applyNumberFormat="1" applyFont="1" applyAlignment="1">
      <alignment horizontal="center"/>
    </xf>
    <xf numFmtId="0" fontId="144" fillId="0" borderId="0" xfId="0" applyFont="1" applyAlignment="1">
      <alignment horizontal="center" wrapText="1"/>
    </xf>
    <xf numFmtId="184" fontId="116" fillId="0" borderId="0" xfId="0" applyNumberFormat="1" applyFont="1" applyAlignment="1">
      <alignment horizontal="center" wrapText="1"/>
    </xf>
    <xf numFmtId="14" fontId="116" fillId="0" borderId="0" xfId="0" applyNumberFormat="1" applyFont="1" applyAlignment="1">
      <alignment horizontal="center" vertical="top" wrapText="1"/>
    </xf>
    <xf numFmtId="184" fontId="7" fillId="0" borderId="0" xfId="0" applyNumberFormat="1" applyFont="1" applyAlignment="1">
      <alignment horizontal="center" vertical="center" wrapText="1"/>
    </xf>
    <xf numFmtId="184" fontId="7" fillId="0" borderId="11" xfId="0" applyNumberFormat="1" applyFont="1" applyBorder="1" applyAlignment="1">
      <alignment horizontal="center"/>
    </xf>
    <xf numFmtId="0" fontId="7" fillId="0" borderId="93" xfId="0" applyFont="1" applyBorder="1" applyAlignment="1">
      <alignment horizontal="center" vertical="center" wrapText="1"/>
    </xf>
    <xf numFmtId="0" fontId="7" fillId="0" borderId="75" xfId="0" applyFont="1" applyBorder="1" applyAlignment="1">
      <alignment horizontal="center" vertical="top"/>
    </xf>
    <xf numFmtId="0" fontId="7" fillId="0" borderId="11" xfId="0" applyFont="1" applyBorder="1" applyAlignment="1">
      <alignment horizontal="justify" vertical="top" wrapText="1"/>
    </xf>
    <xf numFmtId="0" fontId="7" fillId="0" borderId="11" xfId="0" applyFont="1" applyBorder="1" applyAlignment="1">
      <alignment horizontal="center" vertical="center"/>
    </xf>
    <xf numFmtId="0" fontId="153" fillId="75" borderId="86" xfId="0" applyFont="1" applyFill="1" applyBorder="1" applyAlignment="1">
      <alignment horizontal="left" vertical="top" wrapText="1"/>
    </xf>
    <xf numFmtId="0" fontId="153" fillId="0" borderId="72" xfId="0" applyFont="1" applyBorder="1" applyAlignment="1">
      <alignment horizontal="center" vertical="top" wrapText="1"/>
    </xf>
    <xf numFmtId="0" fontId="153" fillId="0" borderId="93" xfId="0" applyFont="1" applyBorder="1" applyAlignment="1">
      <alignment horizontal="justify" vertical="top" wrapText="1"/>
    </xf>
    <xf numFmtId="0" fontId="153" fillId="0" borderId="0" xfId="0" applyFont="1" applyAlignment="1">
      <alignment horizontal="right" vertical="top" wrapText="1"/>
    </xf>
    <xf numFmtId="0" fontId="153" fillId="0" borderId="11" xfId="0" applyFont="1" applyBorder="1" applyAlignment="1">
      <alignment horizontal="justify" vertical="top" wrapText="1"/>
    </xf>
    <xf numFmtId="0" fontId="146" fillId="0" borderId="0" xfId="64" applyFont="1" applyAlignment="1">
      <alignment vertical="top" wrapText="1"/>
    </xf>
    <xf numFmtId="0" fontId="146" fillId="0" borderId="0" xfId="55" applyFont="1" applyAlignment="1">
      <alignment wrapText="1"/>
    </xf>
    <xf numFmtId="207" fontId="9" fillId="0" borderId="0" xfId="0" applyNumberFormat="1" applyFont="1" applyAlignment="1"/>
    <xf numFmtId="16" fontId="148" fillId="75" borderId="85" xfId="603" applyNumberFormat="1" applyFont="1" applyFill="1" applyBorder="1" applyAlignment="1">
      <alignment horizontal="center" vertical="top" wrapText="1"/>
    </xf>
    <xf numFmtId="0" fontId="148" fillId="75" borderId="86" xfId="603" applyFont="1" applyFill="1" applyBorder="1" applyAlignment="1">
      <alignment horizontal="justify" vertical="top" wrapText="1"/>
    </xf>
    <xf numFmtId="0" fontId="144" fillId="75" borderId="86" xfId="603" applyFont="1" applyFill="1" applyBorder="1" applyAlignment="1">
      <alignment horizontal="center" wrapText="1"/>
    </xf>
    <xf numFmtId="184" fontId="144" fillId="75" borderId="83" xfId="603" applyNumberFormat="1" applyFont="1" applyFill="1" applyBorder="1" applyAlignment="1">
      <alignment horizontal="center" wrapText="1"/>
    </xf>
    <xf numFmtId="0" fontId="116" fillId="0" borderId="93" xfId="603" applyFont="1" applyBorder="1" applyAlignment="1">
      <alignment horizontal="center" vertical="top" wrapText="1"/>
    </xf>
    <xf numFmtId="0" fontId="148" fillId="75" borderId="85" xfId="603" applyFont="1" applyFill="1" applyBorder="1" applyAlignment="1">
      <alignment horizontal="center" vertical="top" wrapText="1"/>
    </xf>
    <xf numFmtId="0" fontId="153" fillId="75" borderId="85" xfId="603" applyFont="1" applyFill="1" applyBorder="1" applyAlignment="1">
      <alignment horizontal="center" vertical="top" wrapText="1"/>
    </xf>
    <xf numFmtId="0" fontId="153" fillId="75" borderId="86" xfId="603" applyFont="1" applyFill="1" applyBorder="1" applyAlignment="1">
      <alignment horizontal="justify" vertical="top" wrapText="1"/>
    </xf>
    <xf numFmtId="0" fontId="7" fillId="75" borderId="86" xfId="603" applyFont="1" applyFill="1" applyBorder="1" applyAlignment="1">
      <alignment horizontal="center" wrapText="1"/>
    </xf>
    <xf numFmtId="184" fontId="7" fillId="75" borderId="86" xfId="603" applyNumberFormat="1" applyFont="1" applyFill="1" applyBorder="1" applyAlignment="1" applyProtection="1">
      <alignment horizontal="right" vertical="top"/>
      <protection locked="0"/>
    </xf>
    <xf numFmtId="0" fontId="7" fillId="0" borderId="93" xfId="603" applyFont="1" applyBorder="1" applyAlignment="1">
      <alignment horizontal="center" vertical="top" wrapText="1"/>
    </xf>
    <xf numFmtId="184" fontId="9" fillId="0" borderId="0" xfId="603" applyNumberFormat="1" applyFont="1"/>
    <xf numFmtId="201" fontId="9" fillId="0" borderId="0" xfId="603" applyNumberFormat="1" applyFont="1"/>
    <xf numFmtId="0" fontId="7" fillId="0" borderId="75" xfId="603" applyFont="1" applyBorder="1" applyAlignment="1">
      <alignment horizontal="center" vertical="top"/>
    </xf>
    <xf numFmtId="0" fontId="7" fillId="0" borderId="11" xfId="603" applyFont="1" applyBorder="1" applyAlignment="1">
      <alignment horizontal="justify" vertical="top" wrapText="1"/>
    </xf>
    <xf numFmtId="0" fontId="7" fillId="0" borderId="11" xfId="603" applyFont="1" applyBorder="1" applyAlignment="1">
      <alignment horizontal="center"/>
    </xf>
    <xf numFmtId="0" fontId="148" fillId="75" borderId="86" xfId="0" applyFont="1" applyFill="1" applyBorder="1" applyAlignment="1">
      <alignment horizontal="center" vertical="top" wrapText="1"/>
    </xf>
    <xf numFmtId="0" fontId="148" fillId="75" borderId="86" xfId="0" applyFont="1" applyFill="1" applyBorder="1" applyAlignment="1">
      <alignment horizontal="justify" vertical="top" wrapText="1"/>
    </xf>
    <xf numFmtId="0" fontId="144" fillId="75" borderId="86" xfId="0" applyFont="1" applyFill="1" applyBorder="1" applyAlignment="1">
      <alignment horizontal="center" wrapText="1"/>
    </xf>
    <xf numFmtId="184" fontId="144" fillId="75" borderId="86" xfId="0" applyNumberFormat="1" applyFont="1" applyFill="1" applyBorder="1" applyAlignment="1">
      <alignment horizontal="center" wrapText="1"/>
    </xf>
    <xf numFmtId="0" fontId="117" fillId="0" borderId="93" xfId="603" applyFont="1" applyBorder="1" applyAlignment="1">
      <alignment horizontal="justify" vertical="top" wrapText="1"/>
    </xf>
    <xf numFmtId="0" fontId="117" fillId="0" borderId="93" xfId="603" applyFont="1" applyBorder="1" applyAlignment="1">
      <alignment horizontal="center" vertical="top" wrapText="1"/>
    </xf>
    <xf numFmtId="0" fontId="153" fillId="0" borderId="78" xfId="0" applyFont="1" applyBorder="1" applyAlignment="1">
      <alignment horizontal="justify" vertical="top" wrapText="1"/>
    </xf>
    <xf numFmtId="0" fontId="148" fillId="0" borderId="0" xfId="0" applyFont="1" applyAlignment="1">
      <alignment horizontal="justify" vertical="center" wrapText="1"/>
    </xf>
    <xf numFmtId="184" fontId="148" fillId="0" borderId="0" xfId="0" applyNumberFormat="1" applyFont="1" applyAlignment="1">
      <alignment horizontal="justify" vertical="center" wrapText="1"/>
    </xf>
    <xf numFmtId="0" fontId="148" fillId="75" borderId="85" xfId="0" applyFont="1" applyFill="1" applyBorder="1" applyAlignment="1">
      <alignment horizontal="center" vertical="top"/>
    </xf>
    <xf numFmtId="0" fontId="148" fillId="75" borderId="86" xfId="0" applyFont="1" applyFill="1" applyBorder="1" applyAlignment="1">
      <alignment horizontal="justify"/>
    </xf>
    <xf numFmtId="0" fontId="148" fillId="75" borderId="86" xfId="0" applyFont="1" applyFill="1" applyBorder="1" applyAlignment="1">
      <alignment horizontal="center"/>
    </xf>
    <xf numFmtId="184" fontId="148" fillId="75" borderId="83" xfId="0" applyNumberFormat="1" applyFont="1" applyFill="1" applyBorder="1" applyAlignment="1"/>
    <xf numFmtId="0" fontId="7" fillId="76" borderId="0" xfId="0" applyFont="1" applyFill="1" applyAlignment="1"/>
    <xf numFmtId="0" fontId="148" fillId="0" borderId="0" xfId="0" applyFont="1" applyAlignment="1">
      <alignment horizontal="justify"/>
    </xf>
    <xf numFmtId="0" fontId="144" fillId="76" borderId="0" xfId="0" applyFont="1" applyFill="1" applyAlignment="1">
      <alignment horizontal="justify" vertical="top" wrapText="1"/>
    </xf>
    <xf numFmtId="0" fontId="9" fillId="0" borderId="0" xfId="0" applyFont="1" applyAlignment="1">
      <alignment vertical="top" wrapText="1"/>
    </xf>
    <xf numFmtId="0" fontId="9" fillId="0" borderId="0" xfId="0" applyFont="1" applyAlignment="1">
      <alignment horizontal="center" vertical="center"/>
    </xf>
    <xf numFmtId="4" fontId="9" fillId="0" borderId="0" xfId="0" applyNumberFormat="1" applyFont="1" applyAlignment="1">
      <alignment horizontal="center" vertical="center"/>
    </xf>
    <xf numFmtId="0" fontId="144" fillId="76" borderId="0" xfId="0" applyFont="1" applyFill="1" applyAlignment="1" applyProtection="1">
      <alignment horizontal="left" vertical="top"/>
      <protection locked="0"/>
    </xf>
    <xf numFmtId="4" fontId="9" fillId="0" borderId="0" xfId="0" applyNumberFormat="1" applyFont="1" applyAlignment="1">
      <alignment horizontal="center" wrapText="1"/>
    </xf>
    <xf numFmtId="4" fontId="9" fillId="0" borderId="0" xfId="0" applyNumberFormat="1" applyFont="1" applyAlignment="1">
      <alignment horizontal="right" shrinkToFit="1"/>
    </xf>
    <xf numFmtId="4" fontId="9" fillId="0" borderId="0" xfId="0" applyNumberFormat="1" applyFont="1" applyAlignment="1">
      <alignment horizontal="center" shrinkToFit="1"/>
    </xf>
    <xf numFmtId="184" fontId="9" fillId="0" borderId="0" xfId="0" applyNumberFormat="1" applyFont="1" applyAlignment="1">
      <alignment horizontal="center" shrinkToFit="1"/>
    </xf>
    <xf numFmtId="184" fontId="116" fillId="0" borderId="73" xfId="0" applyNumberFormat="1" applyFont="1" applyBorder="1" applyAlignment="1">
      <alignment horizontal="center" vertical="top" wrapText="1"/>
    </xf>
    <xf numFmtId="207" fontId="7" fillId="0" borderId="0" xfId="0" applyNumberFormat="1" applyFont="1" applyAlignment="1"/>
    <xf numFmtId="184" fontId="116" fillId="0" borderId="10" xfId="0" applyNumberFormat="1" applyFont="1" applyBorder="1" applyAlignment="1">
      <alignment horizontal="center" vertical="top" wrapText="1"/>
    </xf>
    <xf numFmtId="184" fontId="116" fillId="0" borderId="76" xfId="0" applyNumberFormat="1" applyFont="1" applyBorder="1" applyAlignment="1">
      <alignment horizontal="center" vertical="top" wrapText="1"/>
    </xf>
    <xf numFmtId="0" fontId="148" fillId="0" borderId="0" xfId="0" applyFont="1" applyAlignment="1">
      <alignment horizontal="center" vertical="top"/>
    </xf>
    <xf numFmtId="0" fontId="148" fillId="0" borderId="0" xfId="0" applyFont="1" applyAlignment="1">
      <alignment horizontal="center"/>
    </xf>
    <xf numFmtId="184" fontId="148" fillId="0" borderId="0" xfId="0" applyNumberFormat="1" applyFont="1" applyAlignment="1"/>
    <xf numFmtId="0" fontId="9" fillId="76" borderId="0" xfId="0" applyFont="1" applyFill="1" applyAlignment="1"/>
    <xf numFmtId="209" fontId="158" fillId="0" borderId="0" xfId="0" applyNumberFormat="1" applyFont="1" applyAlignment="1">
      <alignment horizontal="center" vertical="center" shrinkToFit="1"/>
    </xf>
    <xf numFmtId="209" fontId="9" fillId="0" borderId="0" xfId="0" applyNumberFormat="1" applyFont="1" applyAlignment="1">
      <alignment horizontal="center" vertical="center" shrinkToFit="1"/>
    </xf>
    <xf numFmtId="0" fontId="9" fillId="76" borderId="0" xfId="0" applyFont="1" applyFill="1" applyAlignment="1">
      <alignment horizontal="justify" vertical="top" wrapText="1"/>
    </xf>
    <xf numFmtId="3" fontId="9" fillId="0" borderId="0" xfId="0" applyNumberFormat="1" applyFont="1" applyAlignment="1">
      <alignment horizontal="center"/>
    </xf>
    <xf numFmtId="0" fontId="148" fillId="0" borderId="0" xfId="0" applyFont="1" applyAlignment="1">
      <alignment horizontal="left"/>
    </xf>
    <xf numFmtId="184" fontId="148" fillId="0" borderId="0" xfId="0" applyNumberFormat="1" applyFont="1" applyAlignment="1">
      <alignment horizontal="center"/>
    </xf>
    <xf numFmtId="0" fontId="144" fillId="76" borderId="0" xfId="0" applyFont="1" applyFill="1" applyAlignment="1"/>
    <xf numFmtId="184" fontId="7" fillId="0" borderId="0" xfId="0" applyNumberFormat="1" applyFont="1" applyAlignment="1">
      <alignment wrapText="1"/>
    </xf>
    <xf numFmtId="184" fontId="7" fillId="0" borderId="0" xfId="0" applyNumberFormat="1" applyFont="1" applyAlignment="1"/>
    <xf numFmtId="0" fontId="148" fillId="75" borderId="86" xfId="0" applyFont="1" applyFill="1" applyBorder="1" applyAlignment="1">
      <alignment horizontal="center" vertical="center"/>
    </xf>
    <xf numFmtId="201" fontId="153" fillId="0" borderId="0" xfId="0" applyNumberFormat="1" applyFont="1" applyAlignment="1">
      <alignment horizontal="center" vertical="top" wrapText="1"/>
    </xf>
    <xf numFmtId="0" fontId="116" fillId="0" borderId="0" xfId="0" applyFont="1" applyAlignment="1">
      <alignment horizontal="center" vertical="center" wrapText="1"/>
    </xf>
    <xf numFmtId="14" fontId="7" fillId="0" borderId="0" xfId="0" applyNumberFormat="1" applyFont="1" applyAlignment="1">
      <alignment horizontal="center" vertical="top" wrapText="1"/>
    </xf>
    <xf numFmtId="0" fontId="7" fillId="0" borderId="93" xfId="0" applyFont="1" applyBorder="1" applyAlignment="1">
      <alignment horizontal="center" vertical="top" wrapText="1"/>
    </xf>
    <xf numFmtId="184" fontId="7" fillId="0" borderId="73" xfId="0" applyNumberFormat="1" applyFont="1" applyBorder="1" applyAlignment="1">
      <alignment vertical="top" wrapText="1"/>
    </xf>
    <xf numFmtId="184" fontId="7" fillId="0" borderId="10" xfId="0" applyNumberFormat="1" applyFont="1" applyBorder="1" applyAlignment="1">
      <alignment vertical="top" wrapText="1"/>
    </xf>
    <xf numFmtId="0" fontId="7" fillId="0" borderId="11" xfId="0" applyFont="1" applyBorder="1" applyAlignment="1">
      <alignment horizontal="center" vertical="top" wrapText="1"/>
    </xf>
    <xf numFmtId="184" fontId="7" fillId="0" borderId="76" xfId="0" applyNumberFormat="1" applyFont="1" applyBorder="1" applyAlignment="1"/>
    <xf numFmtId="0" fontId="144" fillId="75" borderId="0" xfId="0" applyFont="1" applyFill="1" applyAlignment="1"/>
    <xf numFmtId="0" fontId="148" fillId="0" borderId="93" xfId="0" applyFont="1" applyBorder="1" applyAlignment="1">
      <alignment vertical="top" wrapText="1"/>
    </xf>
    <xf numFmtId="0" fontId="153" fillId="0" borderId="75" xfId="0" applyFont="1" applyBorder="1" applyAlignment="1">
      <alignment horizontal="center" vertical="top" wrapText="1"/>
    </xf>
    <xf numFmtId="184" fontId="153" fillId="0" borderId="76" xfId="0" applyNumberFormat="1" applyFont="1" applyBorder="1" applyAlignment="1">
      <alignment horizontal="center" vertical="top" wrapText="1"/>
    </xf>
    <xf numFmtId="207" fontId="116" fillId="0" borderId="0" xfId="0" applyNumberFormat="1" applyFont="1" applyAlignment="1">
      <alignment horizontal="center" wrapText="1"/>
    </xf>
    <xf numFmtId="207" fontId="7" fillId="0" borderId="0" xfId="0" applyNumberFormat="1" applyFont="1" applyAlignment="1">
      <alignment wrapText="1"/>
    </xf>
    <xf numFmtId="16" fontId="148" fillId="75" borderId="86" xfId="0" applyNumberFormat="1" applyFont="1" applyFill="1" applyBorder="1" applyAlignment="1">
      <alignment horizontal="center" vertical="top" wrapText="1"/>
    </xf>
    <xf numFmtId="0" fontId="144" fillId="75" borderId="86" xfId="0" applyFont="1" applyFill="1" applyBorder="1" applyAlignment="1">
      <alignment horizontal="center" vertical="top" wrapText="1"/>
    </xf>
    <xf numFmtId="207" fontId="144" fillId="75" borderId="86" xfId="0" applyNumberFormat="1" applyFont="1" applyFill="1" applyBorder="1" applyAlignment="1">
      <alignment horizontal="center" vertical="top" wrapText="1"/>
    </xf>
    <xf numFmtId="207" fontId="144" fillId="0" borderId="0" xfId="0" applyNumberFormat="1" applyFont="1" applyAlignment="1">
      <alignment horizontal="center" vertical="top" wrapText="1"/>
    </xf>
    <xf numFmtId="49" fontId="9" fillId="0" borderId="0" xfId="0" applyNumberFormat="1" applyFont="1" applyAlignment="1">
      <alignment horizontal="left" vertical="center" wrapText="1"/>
    </xf>
    <xf numFmtId="49" fontId="9" fillId="0" borderId="0" xfId="0" applyNumberFormat="1" applyFont="1" applyAlignment="1">
      <alignment vertical="center"/>
    </xf>
    <xf numFmtId="207" fontId="9" fillId="0" borderId="0" xfId="0" applyNumberFormat="1" applyFont="1" applyAlignment="1">
      <alignment horizontal="center" vertical="top" wrapText="1"/>
    </xf>
    <xf numFmtId="207" fontId="144" fillId="75" borderId="86" xfId="0" applyNumberFormat="1" applyFont="1" applyFill="1" applyBorder="1" applyAlignment="1">
      <alignment horizontal="center" wrapText="1"/>
    </xf>
    <xf numFmtId="0" fontId="148" fillId="0" borderId="93" xfId="0" applyFont="1" applyBorder="1" applyAlignment="1">
      <alignment horizontal="justify" vertical="top" wrapText="1"/>
    </xf>
    <xf numFmtId="0" fontId="76" fillId="0" borderId="0" xfId="0" applyFont="1" applyAlignment="1"/>
    <xf numFmtId="0" fontId="76" fillId="0" borderId="0" xfId="0" applyFont="1" applyAlignment="1">
      <alignment horizontal="center"/>
    </xf>
    <xf numFmtId="0" fontId="127" fillId="0" borderId="0" xfId="0" applyFont="1" applyAlignment="1">
      <alignment horizontal="center"/>
    </xf>
    <xf numFmtId="4" fontId="9" fillId="67" borderId="36" xfId="0" applyNumberFormat="1" applyFont="1" applyFill="1" applyBorder="1" applyAlignment="1">
      <alignment horizontal="center" vertical="center"/>
    </xf>
    <xf numFmtId="0" fontId="14" fillId="0" borderId="0" xfId="0" applyFont="1" applyAlignment="1">
      <alignment horizontal="center"/>
    </xf>
    <xf numFmtId="0" fontId="9" fillId="0" borderId="0" xfId="1880" applyFont="1" applyAlignment="1">
      <alignment horizontal="left"/>
    </xf>
    <xf numFmtId="164" fontId="9" fillId="0" borderId="0" xfId="1880" applyNumberFormat="1" applyFont="1" applyAlignment="1">
      <alignment horizontal="left"/>
    </xf>
    <xf numFmtId="0" fontId="14" fillId="0" borderId="0" xfId="1880" applyFont="1" applyAlignment="1">
      <alignment horizontal="left"/>
    </xf>
    <xf numFmtId="0" fontId="14" fillId="0" borderId="0" xfId="0" applyFont="1" applyAlignment="1">
      <alignment horizontal="left" vertical="top"/>
    </xf>
    <xf numFmtId="0" fontId="9" fillId="0" borderId="0" xfId="0" applyFont="1">
      <alignment vertical="top"/>
    </xf>
    <xf numFmtId="4" fontId="9" fillId="0" borderId="0" xfId="0" applyNumberFormat="1" applyFont="1">
      <alignment vertical="top"/>
    </xf>
    <xf numFmtId="0" fontId="9" fillId="0" borderId="0" xfId="0" applyFont="1" applyAlignment="1">
      <alignment horizontal="left" vertical="top"/>
    </xf>
    <xf numFmtId="0" fontId="9" fillId="0" borderId="0" xfId="0" applyFont="1" applyAlignment="1">
      <alignment horizontal="left"/>
    </xf>
    <xf numFmtId="4" fontId="9" fillId="0" borderId="0" xfId="0" applyNumberFormat="1" applyFont="1" applyAlignment="1">
      <alignment horizontal="right" vertical="center"/>
    </xf>
    <xf numFmtId="4" fontId="9" fillId="0" borderId="0" xfId="0" applyNumberFormat="1" applyFont="1" applyAlignment="1">
      <alignment vertical="center"/>
    </xf>
    <xf numFmtId="3" fontId="9" fillId="0" borderId="0" xfId="0" applyNumberFormat="1" applyFont="1" applyAlignment="1">
      <alignment horizontal="center" vertical="top"/>
    </xf>
    <xf numFmtId="4" fontId="9" fillId="0" borderId="0" xfId="1881" applyNumberFormat="1" applyFont="1" applyAlignment="1">
      <alignment horizontal="right" vertical="top"/>
    </xf>
    <xf numFmtId="0" fontId="14" fillId="0" borderId="43" xfId="0" applyFont="1" applyBorder="1" applyAlignment="1">
      <alignment horizontal="center" vertical="top"/>
    </xf>
    <xf numFmtId="0" fontId="14" fillId="0" borderId="43" xfId="0" applyFont="1" applyBorder="1" applyAlignment="1">
      <alignment horizontal="left" vertical="top"/>
    </xf>
    <xf numFmtId="4" fontId="9" fillId="0" borderId="43" xfId="0" applyNumberFormat="1" applyFont="1" applyBorder="1">
      <alignment vertical="top"/>
    </xf>
    <xf numFmtId="4" fontId="14" fillId="0" borderId="43" xfId="0" applyNumberFormat="1" applyFont="1" applyBorder="1" applyAlignment="1"/>
    <xf numFmtId="4" fontId="14" fillId="0" borderId="0" xfId="0" applyNumberFormat="1" applyFont="1">
      <alignment vertical="top"/>
    </xf>
    <xf numFmtId="4" fontId="9" fillId="0" borderId="0" xfId="0" applyNumberFormat="1" applyFont="1" applyAlignment="1">
      <alignment horizontal="center" vertical="top"/>
    </xf>
    <xf numFmtId="0" fontId="14" fillId="0" borderId="43" xfId="0" applyFont="1" applyBorder="1" applyAlignment="1">
      <alignment horizontal="left" vertical="top" wrapText="1"/>
    </xf>
    <xf numFmtId="0" fontId="14" fillId="0" borderId="43" xfId="0" applyFont="1" applyBorder="1" applyAlignment="1">
      <alignment horizontal="right" vertical="top"/>
    </xf>
    <xf numFmtId="0" fontId="14" fillId="0" borderId="0" xfId="0" applyFont="1" applyAlignment="1">
      <alignment horizontal="left" vertical="top" wrapText="1"/>
    </xf>
    <xf numFmtId="0" fontId="9" fillId="0" borderId="0" xfId="1711" applyFont="1" applyAlignment="1">
      <alignment horizontal="justify" vertical="top" wrapText="1"/>
    </xf>
    <xf numFmtId="0" fontId="9" fillId="0" borderId="0" xfId="1711" applyFont="1" applyAlignment="1">
      <alignment horizontal="justify" wrapText="1"/>
    </xf>
    <xf numFmtId="0" fontId="9" fillId="0" borderId="0" xfId="1711" applyFont="1" applyAlignment="1">
      <alignment horizontal="left"/>
    </xf>
    <xf numFmtId="4" fontId="9" fillId="0" borderId="0" xfId="1711" applyNumberFormat="1" applyFont="1" applyAlignment="1">
      <alignment horizontal="right"/>
    </xf>
    <xf numFmtId="2" fontId="9" fillId="0" borderId="0" xfId="1711" applyNumberFormat="1" applyFont="1" applyAlignment="1">
      <alignment horizontal="right"/>
    </xf>
    <xf numFmtId="4" fontId="9" fillId="0" borderId="0" xfId="1711" applyNumberFormat="1" applyFont="1"/>
    <xf numFmtId="0" fontId="9" fillId="0" borderId="0" xfId="1711" applyFont="1" applyAlignment="1">
      <alignment horizontal="center"/>
    </xf>
    <xf numFmtId="4" fontId="9" fillId="0" borderId="0" xfId="1711" applyNumberFormat="1" applyFont="1" applyAlignment="1">
      <alignment horizontal="center"/>
    </xf>
    <xf numFmtId="40" fontId="9" fillId="0" borderId="0" xfId="1711" applyNumberFormat="1" applyFont="1" applyAlignment="1">
      <alignment horizontal="right"/>
    </xf>
    <xf numFmtId="0" fontId="14" fillId="0" borderId="43" xfId="1711" applyFont="1" applyBorder="1" applyAlignment="1">
      <alignment horizontal="center"/>
    </xf>
    <xf numFmtId="0" fontId="14" fillId="0" borderId="43" xfId="1711" applyFont="1" applyBorder="1" applyAlignment="1">
      <alignment horizontal="left"/>
    </xf>
    <xf numFmtId="165" fontId="9" fillId="0" borderId="43" xfId="1711" applyNumberFormat="1" applyFont="1" applyBorder="1"/>
    <xf numFmtId="4" fontId="14" fillId="0" borderId="43" xfId="1711" applyNumberFormat="1" applyFont="1" applyBorder="1"/>
    <xf numFmtId="4" fontId="9" fillId="0" borderId="0" xfId="0" applyNumberFormat="1" applyFont="1" applyAlignment="1">
      <alignment horizontal="left"/>
    </xf>
    <xf numFmtId="2" fontId="9" fillId="0" borderId="0" xfId="0" applyNumberFormat="1" applyFont="1" applyAlignment="1">
      <alignment horizontal="right"/>
    </xf>
    <xf numFmtId="0" fontId="9" fillId="0" borderId="0" xfId="67" applyFont="1" applyAlignment="1">
      <alignment horizontal="justify" vertical="top" wrapText="1"/>
    </xf>
    <xf numFmtId="0" fontId="9" fillId="0" borderId="43" xfId="0" applyFont="1" applyBorder="1" applyAlignment="1">
      <alignment horizontal="right" vertical="top"/>
    </xf>
    <xf numFmtId="4" fontId="14" fillId="0" borderId="43" xfId="0" applyNumberFormat="1" applyFont="1" applyBorder="1">
      <alignment vertical="top"/>
    </xf>
    <xf numFmtId="2" fontId="9" fillId="0" borderId="0" xfId="0" applyNumberFormat="1" applyFont="1" applyAlignment="1">
      <alignment horizontal="center" vertical="top"/>
    </xf>
    <xf numFmtId="0" fontId="9" fillId="0" borderId="0" xfId="0" applyFont="1" applyAlignment="1">
      <alignment horizontal="left" vertical="top" wrapText="1"/>
    </xf>
    <xf numFmtId="4" fontId="9" fillId="0" borderId="0" xfId="0" quotePrefix="1" applyNumberFormat="1" applyFont="1" applyAlignment="1">
      <alignment horizontal="right" vertical="top"/>
    </xf>
    <xf numFmtId="0" fontId="9" fillId="0" borderId="43" xfId="0" applyFont="1" applyBorder="1" applyAlignment="1">
      <alignment horizontal="center" vertical="top"/>
    </xf>
    <xf numFmtId="0" fontId="159" fillId="0" borderId="0" xfId="0" applyFont="1">
      <alignment vertical="top"/>
    </xf>
    <xf numFmtId="0" fontId="14" fillId="0" borderId="0" xfId="0" applyFont="1">
      <alignment vertical="top"/>
    </xf>
    <xf numFmtId="0" fontId="14" fillId="0" borderId="0" xfId="0" applyFont="1" applyAlignment="1"/>
    <xf numFmtId="0" fontId="9" fillId="0" borderId="43" xfId="0" applyFont="1" applyBorder="1" applyAlignment="1"/>
    <xf numFmtId="49" fontId="9" fillId="0" borderId="0" xfId="0" applyNumberFormat="1" applyFont="1" applyAlignment="1">
      <alignment horizontal="justify" vertical="top"/>
    </xf>
    <xf numFmtId="0" fontId="14" fillId="0" borderId="0" xfId="1711" applyFont="1" applyAlignment="1">
      <alignment horizontal="left" wrapText="1"/>
    </xf>
    <xf numFmtId="196" fontId="9" fillId="0" borderId="0" xfId="1711" applyNumberFormat="1" applyFont="1" applyAlignment="1">
      <alignment horizontal="right"/>
    </xf>
    <xf numFmtId="0" fontId="9" fillId="67" borderId="36" xfId="0" applyFont="1" applyFill="1" applyBorder="1" applyAlignment="1">
      <alignment horizontal="center" vertical="center"/>
    </xf>
    <xf numFmtId="2" fontId="9" fillId="67" borderId="36" xfId="0" applyNumberFormat="1" applyFont="1" applyFill="1" applyBorder="1" applyAlignment="1">
      <alignment horizontal="center" vertical="center"/>
    </xf>
    <xf numFmtId="0" fontId="14" fillId="0" borderId="0" xfId="0" applyFont="1" applyAlignment="1">
      <alignment horizontal="center" vertical="center"/>
    </xf>
    <xf numFmtId="2" fontId="9" fillId="0" borderId="0" xfId="0" applyNumberFormat="1" applyFont="1">
      <alignment vertical="top"/>
    </xf>
    <xf numFmtId="184" fontId="9" fillId="0" borderId="0" xfId="1881" applyNumberFormat="1" applyFont="1" applyAlignment="1">
      <alignment horizontal="right" vertical="top"/>
    </xf>
    <xf numFmtId="2" fontId="9" fillId="0" borderId="0" xfId="0" applyNumberFormat="1" applyFont="1" applyAlignment="1"/>
    <xf numFmtId="2" fontId="9" fillId="0" borderId="43" xfId="0" applyNumberFormat="1" applyFont="1" applyBorder="1">
      <alignment vertical="top"/>
    </xf>
    <xf numFmtId="184" fontId="14" fillId="0" borderId="0" xfId="0" applyNumberFormat="1" applyFont="1">
      <alignment vertical="top"/>
    </xf>
    <xf numFmtId="0" fontId="14" fillId="0" borderId="0" xfId="0" applyFont="1" applyAlignment="1">
      <alignment horizontal="left"/>
    </xf>
    <xf numFmtId="0" fontId="14" fillId="0" borderId="0" xfId="0" applyFont="1" applyAlignment="1">
      <alignment horizontal="justify" vertical="center" wrapText="1"/>
    </xf>
    <xf numFmtId="0" fontId="14" fillId="0" borderId="43" xfId="0" applyFont="1" applyBorder="1" applyAlignment="1">
      <alignment horizontal="left"/>
    </xf>
    <xf numFmtId="165" fontId="9" fillId="0" borderId="43" xfId="0" applyNumberFormat="1" applyFont="1" applyBorder="1" applyAlignment="1"/>
    <xf numFmtId="0" fontId="14" fillId="0" borderId="0" xfId="0" applyFont="1" applyAlignment="1">
      <alignment horizontal="left" vertical="center"/>
    </xf>
    <xf numFmtId="165" fontId="9" fillId="0" borderId="0" xfId="0" applyNumberFormat="1" applyFont="1" applyAlignment="1">
      <alignment vertical="center"/>
    </xf>
    <xf numFmtId="165" fontId="14" fillId="0" borderId="0" xfId="0" applyNumberFormat="1" applyFont="1" applyAlignment="1">
      <alignment vertical="center"/>
    </xf>
    <xf numFmtId="0" fontId="14" fillId="0" borderId="0" xfId="1711" applyFont="1" applyAlignment="1">
      <alignment horizontal="justify" wrapText="1"/>
    </xf>
    <xf numFmtId="184" fontId="14" fillId="0" borderId="0" xfId="0" applyNumberFormat="1" applyFont="1" applyAlignment="1"/>
    <xf numFmtId="40" fontId="9" fillId="0" borderId="0" xfId="1711" applyNumberFormat="1" applyFont="1"/>
    <xf numFmtId="2" fontId="9" fillId="0" borderId="0" xfId="0" applyNumberFormat="1" applyFont="1" applyAlignment="1">
      <alignment horizontal="center"/>
    </xf>
    <xf numFmtId="165" fontId="9" fillId="0" borderId="0" xfId="0" applyNumberFormat="1" applyFont="1" applyAlignment="1"/>
    <xf numFmtId="0" fontId="14" fillId="0" borderId="0" xfId="1711" applyFont="1" applyAlignment="1">
      <alignment horizontal="left"/>
    </xf>
    <xf numFmtId="49" fontId="9" fillId="0" borderId="0" xfId="566" applyNumberFormat="1" applyAlignment="1">
      <alignment horizontal="justify" vertical="top" wrapText="1"/>
    </xf>
    <xf numFmtId="49" fontId="9" fillId="0" borderId="0" xfId="566" applyNumberFormat="1" applyAlignment="1">
      <alignment horizontal="justify" vertical="center" wrapText="1"/>
    </xf>
    <xf numFmtId="196" fontId="9" fillId="0" borderId="0" xfId="0" applyNumberFormat="1" applyFont="1" applyAlignment="1">
      <alignment horizontal="right"/>
    </xf>
    <xf numFmtId="49" fontId="9" fillId="0" borderId="0" xfId="566" applyNumberFormat="1" applyAlignment="1">
      <alignment horizontal="justify" vertical="top"/>
    </xf>
    <xf numFmtId="0" fontId="14" fillId="0" borderId="0" xfId="1711" applyFont="1" applyAlignment="1">
      <alignment horizontal="left" vertical="center" wrapText="1"/>
    </xf>
    <xf numFmtId="165" fontId="9" fillId="0" borderId="0" xfId="1711" applyNumberFormat="1" applyFont="1"/>
    <xf numFmtId="184" fontId="9" fillId="0" borderId="0" xfId="1881" applyNumberFormat="1" applyFont="1"/>
    <xf numFmtId="4" fontId="14" fillId="0" borderId="0" xfId="0" applyNumberFormat="1" applyFont="1" applyAlignment="1">
      <alignment horizontal="justify" vertical="center" wrapText="1"/>
    </xf>
    <xf numFmtId="0" fontId="9" fillId="0" borderId="0" xfId="1711" applyFont="1" applyAlignment="1">
      <alignment horizontal="left" wrapText="1"/>
    </xf>
    <xf numFmtId="3" fontId="9" fillId="0" borderId="0" xfId="0" applyNumberFormat="1" applyFont="1" applyAlignment="1">
      <alignment horizontal="right"/>
    </xf>
    <xf numFmtId="184" fontId="9" fillId="0" borderId="0" xfId="1881" applyNumberFormat="1" applyFont="1" applyAlignment="1">
      <alignment horizontal="right"/>
    </xf>
    <xf numFmtId="0" fontId="9" fillId="0" borderId="0" xfId="0" applyFont="1" applyAlignment="1">
      <alignment horizontal="justify" vertical="top" wrapText="1" readingOrder="1"/>
    </xf>
    <xf numFmtId="165" fontId="9" fillId="0" borderId="0" xfId="1881" applyNumberFormat="1" applyFont="1" applyAlignment="1">
      <alignment horizontal="right"/>
    </xf>
    <xf numFmtId="0" fontId="14" fillId="0" borderId="43" xfId="0" applyFont="1" applyBorder="1" applyAlignment="1">
      <alignment horizontal="left" wrapText="1"/>
    </xf>
    <xf numFmtId="0" fontId="14" fillId="0" borderId="43" xfId="0" applyFont="1" applyBorder="1" applyAlignment="1">
      <alignment horizontal="center"/>
    </xf>
    <xf numFmtId="0" fontId="14" fillId="0" borderId="0" xfId="0" applyFont="1" applyAlignment="1">
      <alignment horizontal="left" wrapText="1"/>
    </xf>
    <xf numFmtId="0" fontId="9" fillId="0" borderId="0" xfId="0" applyFont="1" applyAlignment="1">
      <alignment horizontal="left" wrapText="1"/>
    </xf>
    <xf numFmtId="0" fontId="9" fillId="0" borderId="0" xfId="1097" applyFont="1" applyAlignment="1">
      <alignment horizontal="justify" vertical="top" wrapText="1"/>
    </xf>
    <xf numFmtId="0" fontId="14" fillId="0" borderId="0" xfId="0" applyFont="1" applyAlignment="1">
      <alignment horizontal="justify" vertical="center"/>
    </xf>
    <xf numFmtId="49" fontId="9" fillId="0" borderId="0" xfId="566" applyNumberFormat="1" applyAlignment="1">
      <alignment horizontal="justify" vertical="center"/>
    </xf>
    <xf numFmtId="4" fontId="9" fillId="0" borderId="0" xfId="566" applyNumberFormat="1" applyAlignment="1">
      <alignment horizontal="right" vertical="center"/>
    </xf>
    <xf numFmtId="0" fontId="14" fillId="0" borderId="0" xfId="0" applyFont="1" applyAlignment="1">
      <alignment horizontal="left" vertical="center" wrapText="1"/>
    </xf>
    <xf numFmtId="200" fontId="9" fillId="0" borderId="0" xfId="1881" applyNumberFormat="1" applyFont="1"/>
    <xf numFmtId="0" fontId="14" fillId="0" borderId="43" xfId="0" applyFont="1" applyBorder="1" applyAlignment="1">
      <alignment horizontal="left" vertical="center" wrapText="1"/>
    </xf>
    <xf numFmtId="0" fontId="14" fillId="0" borderId="43" xfId="0" applyFont="1" applyBorder="1" applyAlignment="1">
      <alignment horizontal="center" vertical="center"/>
    </xf>
    <xf numFmtId="4" fontId="14" fillId="0" borderId="43" xfId="0" applyNumberFormat="1" applyFont="1" applyBorder="1" applyAlignment="1">
      <alignment horizontal="right"/>
    </xf>
    <xf numFmtId="184" fontId="14" fillId="0" borderId="0" xfId="0" applyNumberFormat="1" applyFont="1" applyAlignment="1">
      <alignment vertical="center"/>
    </xf>
    <xf numFmtId="0" fontId="159" fillId="0" borderId="0" xfId="0" applyFont="1" applyAlignment="1">
      <alignment horizontal="left" wrapText="1"/>
    </xf>
    <xf numFmtId="0" fontId="9" fillId="0" borderId="0" xfId="70" applyFont="1" applyAlignment="1">
      <alignment horizontal="justify" vertical="top" wrapText="1"/>
    </xf>
    <xf numFmtId="0" fontId="14" fillId="0" borderId="0" xfId="1711" applyFont="1" applyAlignment="1">
      <alignment horizontal="justify" vertical="top" wrapText="1"/>
    </xf>
    <xf numFmtId="4" fontId="9" fillId="0" borderId="0" xfId="0" applyNumberFormat="1" applyFont="1" applyAlignment="1">
      <alignment horizontal="justify" vertical="top"/>
    </xf>
    <xf numFmtId="4" fontId="14" fillId="0" borderId="0" xfId="0" applyNumberFormat="1" applyFont="1" applyAlignment="1"/>
    <xf numFmtId="0" fontId="9" fillId="0" borderId="0" xfId="1882" applyFont="1" applyAlignment="1">
      <alignment horizontal="center" vertical="top"/>
    </xf>
    <xf numFmtId="0" fontId="14" fillId="0" borderId="0" xfId="1097" applyFont="1" applyAlignment="1">
      <alignment horizontal="justify" vertical="top" wrapText="1"/>
    </xf>
    <xf numFmtId="0" fontId="9" fillId="0" borderId="0" xfId="1882" applyFont="1" applyAlignment="1">
      <alignment horizontal="center"/>
    </xf>
    <xf numFmtId="4" fontId="9" fillId="0" borderId="0" xfId="1882" applyNumberFormat="1" applyFont="1" applyAlignment="1">
      <alignment horizontal="right"/>
    </xf>
    <xf numFmtId="0" fontId="9" fillId="0" borderId="0" xfId="1882" applyFont="1" applyAlignment="1">
      <alignment horizontal="right" vertical="top"/>
    </xf>
    <xf numFmtId="0" fontId="9" fillId="0" borderId="0" xfId="1097" applyFont="1" applyAlignment="1">
      <alignment horizontal="center"/>
    </xf>
    <xf numFmtId="4" fontId="9" fillId="0" borderId="0" xfId="1097" applyNumberFormat="1" applyFont="1"/>
    <xf numFmtId="0" fontId="14" fillId="0" borderId="43" xfId="0" applyFont="1" applyBorder="1" applyAlignment="1">
      <alignment horizontal="left" vertical="center"/>
    </xf>
    <xf numFmtId="165" fontId="9" fillId="0" borderId="43" xfId="0" applyNumberFormat="1" applyFont="1" applyBorder="1" applyAlignment="1">
      <alignment vertical="center"/>
    </xf>
    <xf numFmtId="198" fontId="161" fillId="0" borderId="0" xfId="0" applyNumberFormat="1" applyFont="1" applyAlignment="1"/>
    <xf numFmtId="0" fontId="9" fillId="65" borderId="0" xfId="0" applyFont="1" applyFill="1" applyAlignment="1">
      <alignment horizontal="center"/>
    </xf>
    <xf numFmtId="0" fontId="9" fillId="65" borderId="0" xfId="0" applyFont="1" applyFill="1" applyAlignment="1">
      <alignment horizontal="left" vertical="center"/>
    </xf>
    <xf numFmtId="0" fontId="9" fillId="65" borderId="0" xfId="0" applyFont="1" applyFill="1" applyAlignment="1"/>
    <xf numFmtId="0" fontId="9" fillId="72" borderId="0" xfId="0" applyFont="1" applyFill="1" applyAlignment="1">
      <alignment horizontal="center"/>
    </xf>
    <xf numFmtId="0" fontId="9" fillId="72" borderId="0" xfId="0" applyFont="1" applyFill="1" applyAlignment="1">
      <alignment horizontal="left"/>
    </xf>
    <xf numFmtId="0" fontId="9" fillId="72" borderId="0" xfId="0" applyFont="1" applyFill="1" applyAlignment="1"/>
    <xf numFmtId="0" fontId="14" fillId="72" borderId="0" xfId="0" applyFont="1" applyFill="1" applyAlignment="1">
      <alignment horizontal="left"/>
    </xf>
    <xf numFmtId="0" fontId="127" fillId="0" borderId="0" xfId="0" applyFont="1" applyAlignment="1"/>
    <xf numFmtId="49" fontId="76" fillId="0" borderId="0" xfId="1880" applyNumberFormat="1" applyFont="1" applyAlignment="1">
      <alignment horizontal="left" vertical="top"/>
    </xf>
    <xf numFmtId="0" fontId="76" fillId="0" borderId="0" xfId="1880" applyFont="1"/>
    <xf numFmtId="0" fontId="76" fillId="0" borderId="0" xfId="1880" applyFont="1" applyAlignment="1">
      <alignment horizontal="justify" vertical="justify" wrapText="1"/>
    </xf>
    <xf numFmtId="0" fontId="76" fillId="0" borderId="0" xfId="1880" applyFont="1" applyAlignment="1">
      <alignment horizontal="center"/>
    </xf>
    <xf numFmtId="2" fontId="76" fillId="0" borderId="0" xfId="1880" applyNumberFormat="1" applyFont="1"/>
    <xf numFmtId="164" fontId="76" fillId="0" borderId="0" xfId="1880" applyNumberFormat="1" applyFont="1"/>
    <xf numFmtId="0" fontId="141" fillId="0" borderId="11" xfId="0" applyFont="1" applyBorder="1" applyAlignment="1">
      <alignment horizontal="left" vertical="top" wrapText="1"/>
    </xf>
    <xf numFmtId="0" fontId="153" fillId="0" borderId="93" xfId="0" applyFont="1" applyBorder="1" applyAlignment="1">
      <alignment horizontal="left" vertical="top" wrapText="1"/>
    </xf>
    <xf numFmtId="0" fontId="13" fillId="0" borderId="0" xfId="0" applyFont="1" applyAlignment="1"/>
    <xf numFmtId="0" fontId="153" fillId="0" borderId="93" xfId="603" applyFont="1" applyBorder="1" applyAlignment="1">
      <alignment horizontal="left" vertical="top" wrapText="1"/>
    </xf>
    <xf numFmtId="0" fontId="9" fillId="0" borderId="86" xfId="0" applyFont="1" applyBorder="1" applyAlignment="1"/>
    <xf numFmtId="201" fontId="7" fillId="0" borderId="86" xfId="0" applyNumberFormat="1" applyFont="1" applyBorder="1" applyAlignment="1">
      <alignment horizontal="center"/>
    </xf>
    <xf numFmtId="201" fontId="7" fillId="0" borderId="12" xfId="0" applyNumberFormat="1" applyFont="1" applyBorder="1" applyAlignment="1">
      <alignment horizontal="center"/>
    </xf>
    <xf numFmtId="0" fontId="9" fillId="0" borderId="12" xfId="0" applyFont="1" applyBorder="1" applyAlignment="1"/>
    <xf numFmtId="0" fontId="9" fillId="0" borderId="0" xfId="55" applyFont="1" applyAlignment="1">
      <alignment horizontal="center"/>
    </xf>
    <xf numFmtId="201" fontId="9" fillId="0" borderId="0" xfId="55" applyNumberFormat="1" applyFont="1" applyAlignment="1">
      <alignment horizontal="center"/>
    </xf>
    <xf numFmtId="0" fontId="146" fillId="0" borderId="0" xfId="0" applyFont="1" applyAlignment="1">
      <alignment horizontal="center"/>
    </xf>
    <xf numFmtId="201" fontId="146" fillId="0" borderId="0" xfId="0" applyNumberFormat="1" applyFont="1" applyAlignment="1">
      <alignment horizontal="center"/>
    </xf>
    <xf numFmtId="0" fontId="7" fillId="0" borderId="43" xfId="0" applyFont="1" applyBorder="1" applyAlignment="1">
      <alignment horizontal="center"/>
    </xf>
    <xf numFmtId="207" fontId="7" fillId="0" borderId="73" xfId="0" applyNumberFormat="1" applyFont="1" applyBorder="1" applyAlignment="1">
      <alignment horizontal="center"/>
    </xf>
    <xf numFmtId="201" fontId="7" fillId="0" borderId="43" xfId="0" applyNumberFormat="1" applyFont="1" applyBorder="1" applyAlignment="1">
      <alignment horizontal="center"/>
    </xf>
    <xf numFmtId="201" fontId="7" fillId="0" borderId="73" xfId="0" applyNumberFormat="1" applyFont="1" applyBorder="1" applyAlignment="1">
      <alignment horizontal="center"/>
    </xf>
    <xf numFmtId="0" fontId="9" fillId="0" borderId="11" xfId="0" applyFont="1" applyBorder="1" applyAlignment="1"/>
    <xf numFmtId="207" fontId="7" fillId="0" borderId="11" xfId="0" applyNumberFormat="1" applyFont="1" applyBorder="1" applyAlignment="1">
      <alignment horizontal="center"/>
    </xf>
    <xf numFmtId="207" fontId="7" fillId="0" borderId="76" xfId="0" applyNumberFormat="1" applyFont="1" applyBorder="1" applyAlignment="1">
      <alignment horizontal="center"/>
    </xf>
    <xf numFmtId="0" fontId="7" fillId="0" borderId="0" xfId="0" applyFont="1" applyAlignment="1">
      <alignment horizontal="justify"/>
    </xf>
    <xf numFmtId="0" fontId="7" fillId="0" borderId="86" xfId="0" applyFont="1" applyBorder="1" applyAlignment="1">
      <alignment vertical="center" wrapText="1"/>
    </xf>
    <xf numFmtId="0" fontId="153" fillId="0" borderId="0" xfId="0" applyFont="1" applyAlignment="1">
      <alignment horizontal="center" wrapText="1"/>
    </xf>
    <xf numFmtId="0" fontId="153" fillId="0" borderId="0" xfId="0" applyFont="1" applyAlignment="1">
      <alignment vertical="top" wrapText="1"/>
    </xf>
    <xf numFmtId="4" fontId="153" fillId="0" borderId="0" xfId="0" applyNumberFormat="1" applyFont="1" applyAlignment="1">
      <alignment horizontal="center" vertical="top" wrapText="1"/>
    </xf>
    <xf numFmtId="0" fontId="153" fillId="0" borderId="72" xfId="0" applyFont="1" applyBorder="1" applyAlignment="1">
      <alignment horizontal="center"/>
    </xf>
    <xf numFmtId="0" fontId="153" fillId="0" borderId="74" xfId="0" applyFont="1" applyBorder="1" applyAlignment="1">
      <alignment horizontal="center"/>
    </xf>
    <xf numFmtId="184" fontId="153" fillId="0" borderId="10" xfId="0" applyNumberFormat="1" applyFont="1" applyBorder="1" applyAlignment="1"/>
    <xf numFmtId="201" fontId="153" fillId="0" borderId="10" xfId="0" applyNumberFormat="1" applyFont="1" applyBorder="1" applyAlignment="1"/>
    <xf numFmtId="0" fontId="153" fillId="0" borderId="75" xfId="0" applyFont="1" applyBorder="1" applyAlignment="1">
      <alignment horizontal="center"/>
    </xf>
    <xf numFmtId="0" fontId="153" fillId="0" borderId="0" xfId="0" applyFont="1" applyAlignment="1">
      <alignment horizontal="justify" vertical="top"/>
    </xf>
    <xf numFmtId="1" fontId="14" fillId="0" borderId="0" xfId="0" applyNumberFormat="1" applyFont="1" applyAlignment="1">
      <alignment horizontal="center" vertical="top" wrapText="1"/>
    </xf>
    <xf numFmtId="43" fontId="9" fillId="0" borderId="0" xfId="0" applyNumberFormat="1" applyFont="1" applyAlignment="1"/>
    <xf numFmtId="43" fontId="146" fillId="0" borderId="0" xfId="0" applyNumberFormat="1" applyFont="1" applyAlignment="1"/>
    <xf numFmtId="43" fontId="14" fillId="0" borderId="0" xfId="0" applyNumberFormat="1" applyFont="1" applyAlignment="1">
      <alignment horizontal="center" vertical="top" wrapText="1"/>
    </xf>
    <xf numFmtId="185" fontId="14" fillId="0" borderId="0" xfId="0" applyNumberFormat="1" applyFont="1" applyAlignment="1">
      <alignment horizontal="center" vertical="top" wrapText="1"/>
    </xf>
    <xf numFmtId="4" fontId="14" fillId="0" borderId="0" xfId="0" applyNumberFormat="1" applyFont="1" applyAlignment="1">
      <alignment horizontal="right" vertical="top" wrapText="1"/>
    </xf>
    <xf numFmtId="0" fontId="9" fillId="0" borderId="0" xfId="1884" applyFont="1" applyBorder="1" applyAlignment="1" applyProtection="1">
      <alignment horizontal="justify" vertical="top" wrapText="1"/>
    </xf>
    <xf numFmtId="49" fontId="25" fillId="0" borderId="0" xfId="556" applyNumberFormat="1" applyFont="1" applyAlignment="1">
      <alignment horizontal="right" vertical="center"/>
    </xf>
    <xf numFmtId="4" fontId="0" fillId="0" borderId="0" xfId="556" applyNumberFormat="1" applyFont="1" applyAlignment="1">
      <alignment horizontal="left" vertical="top" wrapText="1"/>
    </xf>
    <xf numFmtId="0" fontId="0" fillId="0" borderId="0" xfId="556" applyFont="1" applyAlignment="1">
      <alignment horizontal="left" vertical="top" wrapText="1"/>
    </xf>
    <xf numFmtId="0" fontId="0" fillId="0" borderId="0" xfId="556" applyFont="1"/>
    <xf numFmtId="184" fontId="0" fillId="0" borderId="0" xfId="556" applyNumberFormat="1" applyFont="1"/>
    <xf numFmtId="0" fontId="0" fillId="0" borderId="0" xfId="556" applyFont="1" applyAlignment="1">
      <alignment vertical="top" wrapText="1"/>
    </xf>
    <xf numFmtId="0" fontId="0" fillId="0" borderId="0" xfId="556" applyFont="1" applyAlignment="1">
      <alignment horizontal="center" vertical="top" wrapText="1"/>
    </xf>
    <xf numFmtId="4" fontId="0" fillId="0" borderId="0" xfId="556" applyNumberFormat="1" applyFont="1" applyAlignment="1">
      <alignment vertical="top" wrapText="1"/>
    </xf>
    <xf numFmtId="0" fontId="102" fillId="66" borderId="55" xfId="0" applyFont="1" applyFill="1" applyBorder="1">
      <alignment vertical="top"/>
    </xf>
    <xf numFmtId="0" fontId="102" fillId="66" borderId="56" xfId="0" applyFont="1" applyFill="1" applyBorder="1">
      <alignment vertical="top"/>
    </xf>
    <xf numFmtId="0" fontId="103" fillId="66" borderId="56" xfId="0" applyFont="1" applyFill="1" applyBorder="1" applyAlignment="1">
      <alignment horizontal="center" vertical="center"/>
    </xf>
    <xf numFmtId="182" fontId="103" fillId="66" borderId="56" xfId="0" applyNumberFormat="1" applyFont="1" applyFill="1" applyBorder="1" applyAlignment="1">
      <alignment horizontal="center"/>
    </xf>
    <xf numFmtId="4" fontId="103" fillId="66" borderId="56" xfId="0" applyNumberFormat="1" applyFont="1" applyFill="1" applyBorder="1">
      <alignment vertical="top"/>
    </xf>
    <xf numFmtId="0" fontId="103" fillId="65" borderId="56" xfId="0" applyFont="1" applyFill="1" applyBorder="1">
      <alignment vertical="top"/>
    </xf>
    <xf numFmtId="0" fontId="103" fillId="65" borderId="57" xfId="0" applyFont="1" applyFill="1" applyBorder="1">
      <alignment vertical="top"/>
    </xf>
    <xf numFmtId="0" fontId="103" fillId="0" borderId="26" xfId="0" applyFont="1" applyBorder="1">
      <alignment vertical="top"/>
    </xf>
    <xf numFmtId="0" fontId="102" fillId="66" borderId="55" xfId="0" applyFont="1" applyFill="1" applyBorder="1" applyAlignment="1">
      <alignment horizontal="right" vertical="top"/>
    </xf>
    <xf numFmtId="182" fontId="103" fillId="66" borderId="56" xfId="0" applyNumberFormat="1" applyFont="1" applyFill="1" applyBorder="1">
      <alignment vertical="top"/>
    </xf>
    <xf numFmtId="2" fontId="103" fillId="65" borderId="57" xfId="0" applyNumberFormat="1" applyFont="1" applyFill="1" applyBorder="1">
      <alignment vertical="top"/>
    </xf>
    <xf numFmtId="0" fontId="103" fillId="65" borderId="55" xfId="0" applyFont="1" applyFill="1" applyBorder="1">
      <alignment vertical="top"/>
    </xf>
    <xf numFmtId="0" fontId="102" fillId="65" borderId="56" xfId="0" applyFont="1" applyFill="1" applyBorder="1">
      <alignment vertical="top"/>
    </xf>
    <xf numFmtId="0" fontId="103" fillId="65" borderId="56" xfId="0" applyFont="1" applyFill="1" applyBorder="1" applyAlignment="1">
      <alignment horizontal="center" vertical="center"/>
    </xf>
    <xf numFmtId="0" fontId="103" fillId="66" borderId="56" xfId="0" applyFont="1" applyFill="1" applyBorder="1" applyAlignment="1">
      <alignment horizontal="center" vertical="top"/>
    </xf>
    <xf numFmtId="0" fontId="103" fillId="66" borderId="56" xfId="0" applyFont="1" applyFill="1" applyBorder="1" applyAlignment="1">
      <alignment horizontal="center"/>
    </xf>
    <xf numFmtId="182" fontId="103" fillId="66" borderId="56" xfId="0" applyNumberFormat="1" applyFont="1" applyFill="1" applyBorder="1" applyAlignment="1">
      <alignment horizontal="right"/>
    </xf>
    <xf numFmtId="4" fontId="103" fillId="66" borderId="56" xfId="0" applyNumberFormat="1" applyFont="1" applyFill="1" applyBorder="1" applyAlignment="1">
      <alignment horizontal="right" vertical="top"/>
    </xf>
    <xf numFmtId="0" fontId="102" fillId="65" borderId="55" xfId="0" applyFont="1" applyFill="1" applyBorder="1">
      <alignment vertical="top"/>
    </xf>
    <xf numFmtId="0" fontId="103" fillId="65" borderId="56" xfId="0" applyFont="1" applyFill="1" applyBorder="1" applyAlignment="1">
      <alignment horizontal="center"/>
    </xf>
    <xf numFmtId="182" fontId="103" fillId="65" borderId="56" xfId="0" applyNumberFormat="1" applyFont="1" applyFill="1" applyBorder="1" applyAlignment="1"/>
    <xf numFmtId="4" fontId="103" fillId="65" borderId="56" xfId="0" applyNumberFormat="1" applyFont="1" applyFill="1" applyBorder="1" applyAlignment="1"/>
    <xf numFmtId="182" fontId="103" fillId="66" borderId="56" xfId="0" applyNumberFormat="1" applyFont="1" applyFill="1" applyBorder="1" applyAlignment="1"/>
    <xf numFmtId="4" fontId="102" fillId="66" borderId="56" xfId="0" applyNumberFormat="1" applyFont="1" applyFill="1" applyBorder="1" applyAlignment="1"/>
    <xf numFmtId="4" fontId="103" fillId="66" borderId="56" xfId="0" applyNumberFormat="1" applyFont="1" applyFill="1" applyBorder="1" applyAlignment="1"/>
    <xf numFmtId="0" fontId="103" fillId="66" borderId="56" xfId="0" applyFont="1" applyFill="1" applyBorder="1" applyAlignment="1">
      <alignment horizontal="right" vertical="top"/>
    </xf>
    <xf numFmtId="182" fontId="103" fillId="66" borderId="56" xfId="0" applyNumberFormat="1" applyFont="1" applyFill="1" applyBorder="1" applyAlignment="1">
      <alignment horizontal="right" vertical="top"/>
    </xf>
    <xf numFmtId="182" fontId="103" fillId="66" borderId="56" xfId="0" applyNumberFormat="1" applyFont="1" applyFill="1" applyBorder="1" applyAlignment="1">
      <alignment horizontal="center" vertical="top"/>
    </xf>
    <xf numFmtId="0" fontId="102" fillId="66" borderId="55" xfId="0" applyFont="1" applyFill="1" applyBorder="1" applyAlignment="1">
      <alignment horizontal="center" vertical="top"/>
    </xf>
    <xf numFmtId="0" fontId="102" fillId="0" borderId="0" xfId="0" quotePrefix="1" applyFont="1" applyAlignment="1">
      <alignment vertical="top" wrapText="1"/>
    </xf>
    <xf numFmtId="0" fontId="151" fillId="0" borderId="0" xfId="1886" applyFill="1" applyBorder="1">
      <alignment vertical="top"/>
    </xf>
    <xf numFmtId="0" fontId="165" fillId="0" borderId="0" xfId="0" applyFont="1" applyAlignment="1"/>
    <xf numFmtId="210" fontId="122" fillId="72" borderId="0" xfId="0" applyNumberFormat="1" applyFont="1" applyFill="1" applyAlignment="1">
      <alignment horizontal="right"/>
    </xf>
    <xf numFmtId="210" fontId="122" fillId="0" borderId="0" xfId="0" applyNumberFormat="1" applyFont="1" applyAlignment="1">
      <alignment horizontal="right"/>
    </xf>
    <xf numFmtId="210" fontId="124" fillId="0" borderId="0" xfId="0" applyNumberFormat="1" applyFont="1" applyAlignment="1">
      <alignment horizontal="right"/>
    </xf>
    <xf numFmtId="210" fontId="124" fillId="72" borderId="0" xfId="0" applyNumberFormat="1" applyFont="1" applyFill="1" applyAlignment="1"/>
    <xf numFmtId="210" fontId="9" fillId="72" borderId="0" xfId="0" applyNumberFormat="1" applyFont="1" applyFill="1" applyAlignment="1">
      <alignment horizontal="right"/>
    </xf>
    <xf numFmtId="210" fontId="9" fillId="0" borderId="0" xfId="0" applyNumberFormat="1" applyFont="1" applyAlignment="1"/>
    <xf numFmtId="210" fontId="9" fillId="0" borderId="0" xfId="0" applyNumberFormat="1" applyFont="1" applyAlignment="1">
      <alignment horizontal="right"/>
    </xf>
    <xf numFmtId="210" fontId="14" fillId="72" borderId="0" xfId="0" applyNumberFormat="1" applyFont="1" applyFill="1" applyAlignment="1">
      <alignment horizontal="right"/>
    </xf>
    <xf numFmtId="210" fontId="76" fillId="0" borderId="0" xfId="0" applyNumberFormat="1" applyFont="1" applyAlignment="1"/>
    <xf numFmtId="210" fontId="144" fillId="0" borderId="0" xfId="0" applyNumberFormat="1" applyFont="1" applyAlignment="1">
      <alignment horizontal="right"/>
    </xf>
    <xf numFmtId="210" fontId="144" fillId="0" borderId="0" xfId="0" applyNumberFormat="1" applyFont="1" applyAlignment="1"/>
    <xf numFmtId="210" fontId="9" fillId="0" borderId="0" xfId="0" applyNumberFormat="1" applyFont="1" applyAlignment="1" applyProtection="1">
      <alignment horizontal="center" vertical="center"/>
      <protection locked="0"/>
    </xf>
    <xf numFmtId="210" fontId="7" fillId="0" borderId="0" xfId="0" applyNumberFormat="1" applyFont="1" applyAlignment="1">
      <alignment horizontal="center" wrapText="1"/>
    </xf>
    <xf numFmtId="210" fontId="144" fillId="0" borderId="0" xfId="322" applyNumberFormat="1" applyFont="1"/>
    <xf numFmtId="210" fontId="7" fillId="0" borderId="0" xfId="0" applyNumberFormat="1" applyFont="1" applyAlignment="1">
      <alignment horizontal="center"/>
    </xf>
    <xf numFmtId="210" fontId="9" fillId="0" borderId="0" xfId="0" applyNumberFormat="1" applyFont="1" applyAlignment="1">
      <alignment horizontal="center" vertical="top" wrapText="1"/>
    </xf>
    <xf numFmtId="210" fontId="7" fillId="0" borderId="0" xfId="0" applyNumberFormat="1" applyFont="1" applyAlignment="1">
      <alignment horizontal="center" vertical="top" wrapText="1"/>
    </xf>
    <xf numFmtId="210" fontId="116" fillId="0" borderId="0" xfId="0" applyNumberFormat="1" applyFont="1" applyAlignment="1">
      <alignment horizontal="center" vertical="top" wrapText="1"/>
    </xf>
    <xf numFmtId="210" fontId="7" fillId="0" borderId="0" xfId="64" applyNumberFormat="1" applyFont="1" applyAlignment="1">
      <alignment horizontal="center" vertical="top" wrapText="1"/>
    </xf>
    <xf numFmtId="210" fontId="144" fillId="0" borderId="0" xfId="59" applyNumberFormat="1" applyFont="1"/>
    <xf numFmtId="210" fontId="7" fillId="0" borderId="0" xfId="64" applyNumberFormat="1" applyFont="1" applyAlignment="1">
      <alignment horizontal="center"/>
    </xf>
    <xf numFmtId="210" fontId="9" fillId="0" borderId="0" xfId="55" applyNumberFormat="1" applyFont="1"/>
    <xf numFmtId="210" fontId="9" fillId="0" borderId="0" xfId="64" applyNumberFormat="1" applyAlignment="1">
      <alignment horizontal="center"/>
    </xf>
    <xf numFmtId="210" fontId="146" fillId="0" borderId="0" xfId="64" applyNumberFormat="1" applyFont="1" applyAlignment="1">
      <alignment horizontal="center"/>
    </xf>
    <xf numFmtId="210" fontId="117" fillId="0" borderId="0" xfId="0" applyNumberFormat="1" applyFont="1" applyAlignment="1">
      <alignment horizontal="left" vertical="top" wrapText="1"/>
    </xf>
    <xf numFmtId="210" fontId="9" fillId="0" borderId="0" xfId="0" applyNumberFormat="1" applyFont="1" applyAlignment="1">
      <alignment horizontal="right" shrinkToFit="1"/>
    </xf>
    <xf numFmtId="210" fontId="144" fillId="0" borderId="0" xfId="322" applyNumberFormat="1" applyFont="1" applyAlignment="1"/>
    <xf numFmtId="210" fontId="153" fillId="0" borderId="0" xfId="0" applyNumberFormat="1" applyFont="1" applyAlignment="1">
      <alignment horizontal="center" vertical="top" wrapText="1"/>
    </xf>
    <xf numFmtId="210" fontId="9" fillId="0" borderId="0" xfId="0" applyNumberFormat="1" applyFont="1" applyAlignment="1">
      <alignment horizontal="center"/>
    </xf>
    <xf numFmtId="210" fontId="153" fillId="0" borderId="0" xfId="0" applyNumberFormat="1" applyFont="1" applyAlignment="1">
      <alignment horizontal="center"/>
    </xf>
    <xf numFmtId="210" fontId="116" fillId="0" borderId="0" xfId="0" applyNumberFormat="1" applyFont="1" applyAlignment="1">
      <alignment horizontal="center" wrapText="1"/>
    </xf>
    <xf numFmtId="210" fontId="117" fillId="0" borderId="0" xfId="603" applyNumberFormat="1" applyFont="1" applyAlignment="1">
      <alignment horizontal="left" vertical="top" wrapText="1"/>
    </xf>
    <xf numFmtId="210" fontId="144" fillId="0" borderId="0" xfId="0" applyNumberFormat="1" applyFont="1" applyAlignment="1" applyProtection="1">
      <alignment horizontal="left" vertical="top"/>
      <protection locked="0"/>
    </xf>
    <xf numFmtId="210" fontId="9" fillId="0" borderId="0" xfId="0" applyNumberFormat="1" applyFont="1" applyAlignment="1" applyProtection="1">
      <alignment horizontal="left" vertical="top"/>
      <protection locked="0"/>
    </xf>
    <xf numFmtId="210" fontId="9" fillId="0" borderId="0" xfId="603" applyNumberFormat="1" applyFont="1" applyAlignment="1" applyProtection="1">
      <alignment horizontal="right" vertical="top" wrapText="1"/>
      <protection locked="0"/>
    </xf>
    <xf numFmtId="210" fontId="116" fillId="0" borderId="0" xfId="603" applyNumberFormat="1" applyFont="1" applyAlignment="1">
      <alignment horizontal="center" vertical="top" wrapText="1"/>
    </xf>
    <xf numFmtId="210" fontId="7" fillId="0" borderId="0" xfId="603" applyNumberFormat="1" applyFont="1" applyAlignment="1">
      <alignment horizontal="center"/>
    </xf>
    <xf numFmtId="210" fontId="153" fillId="0" borderId="0" xfId="603" applyNumberFormat="1" applyFont="1" applyAlignment="1">
      <alignment horizontal="center" vertical="top" wrapText="1"/>
    </xf>
    <xf numFmtId="210" fontId="9" fillId="0" borderId="0" xfId="603" applyNumberFormat="1" applyFont="1" applyAlignment="1">
      <alignment horizontal="center"/>
    </xf>
    <xf numFmtId="210" fontId="148" fillId="0" borderId="0" xfId="603" applyNumberFormat="1" applyFont="1"/>
    <xf numFmtId="210" fontId="148" fillId="0" borderId="0" xfId="0" applyNumberFormat="1" applyFont="1" applyAlignment="1"/>
    <xf numFmtId="210" fontId="9" fillId="0" borderId="0" xfId="0" applyNumberFormat="1" applyFont="1" applyAlignment="1">
      <alignment horizontal="center" shrinkToFit="1"/>
    </xf>
    <xf numFmtId="210" fontId="7" fillId="0" borderId="0" xfId="0" applyNumberFormat="1" applyFont="1" applyAlignment="1">
      <alignment horizontal="center" vertical="center" wrapText="1"/>
    </xf>
    <xf numFmtId="210" fontId="7" fillId="0" borderId="0" xfId="0" applyNumberFormat="1" applyFont="1" applyAlignment="1"/>
    <xf numFmtId="210" fontId="116" fillId="0" borderId="0" xfId="0" applyNumberFormat="1" applyFont="1" applyAlignment="1">
      <alignment horizontal="center" vertical="center" wrapText="1"/>
    </xf>
    <xf numFmtId="210" fontId="14" fillId="0" borderId="0" xfId="0" applyNumberFormat="1" applyFont="1" applyAlignment="1">
      <alignment horizontal="center" vertical="top" wrapText="1"/>
    </xf>
    <xf numFmtId="210" fontId="14" fillId="0" borderId="0" xfId="55" applyNumberFormat="1" applyFont="1" applyAlignment="1">
      <alignment horizontal="center" vertical="center" wrapText="1"/>
    </xf>
    <xf numFmtId="210" fontId="14" fillId="0" borderId="0" xfId="0" applyNumberFormat="1" applyFont="1" applyAlignment="1">
      <alignment vertical="top" wrapText="1"/>
    </xf>
    <xf numFmtId="210" fontId="153" fillId="0" borderId="0" xfId="0" applyNumberFormat="1" applyFont="1" applyAlignment="1">
      <alignment vertical="top" wrapText="1"/>
    </xf>
    <xf numFmtId="210" fontId="7" fillId="0" borderId="43" xfId="0" applyNumberFormat="1" applyFont="1" applyBorder="1" applyAlignment="1">
      <alignment horizontal="center"/>
    </xf>
    <xf numFmtId="210" fontId="153" fillId="0" borderId="0" xfId="0" applyNumberFormat="1" applyFont="1" applyAlignment="1"/>
    <xf numFmtId="210" fontId="144" fillId="0" borderId="69" xfId="1884" applyNumberFormat="1" applyFont="1" applyBorder="1" applyAlignment="1" applyProtection="1">
      <alignment horizontal="center" wrapText="1"/>
    </xf>
    <xf numFmtId="210" fontId="14" fillId="0" borderId="71" xfId="1884" applyNumberFormat="1" applyFont="1" applyBorder="1" applyAlignment="1" applyProtection="1">
      <alignment horizontal="center" wrapText="1"/>
    </xf>
    <xf numFmtId="210" fontId="9" fillId="0" borderId="0" xfId="1884" applyNumberFormat="1" applyFont="1" applyBorder="1" applyAlignment="1" applyProtection="1">
      <alignment horizontal="center" wrapText="1"/>
    </xf>
    <xf numFmtId="0" fontId="110" fillId="0" borderId="55" xfId="0" applyFont="1" applyBorder="1" applyAlignment="1">
      <alignment horizontal="center" wrapText="1"/>
    </xf>
    <xf numFmtId="0" fontId="109" fillId="0" borderId="57" xfId="0" applyFont="1" applyBorder="1" applyAlignment="1">
      <alignment horizontal="left" wrapText="1"/>
    </xf>
    <xf numFmtId="0" fontId="22" fillId="0" borderId="0" xfId="596" applyFont="1"/>
    <xf numFmtId="2" fontId="168" fillId="0" borderId="0" xfId="596" applyNumberFormat="1" applyFont="1" applyAlignment="1">
      <alignment horizontal="left" vertical="top" wrapText="1"/>
    </xf>
    <xf numFmtId="49" fontId="168" fillId="0" borderId="0" xfId="596" applyNumberFormat="1" applyFont="1" applyAlignment="1">
      <alignment horizontal="left" vertical="top" wrapText="1"/>
    </xf>
    <xf numFmtId="0" fontId="169" fillId="0" borderId="0" xfId="596" applyFont="1" applyAlignment="1">
      <alignment horizontal="center" vertical="center"/>
    </xf>
    <xf numFmtId="4" fontId="169" fillId="0" borderId="0" xfId="596" applyNumberFormat="1" applyFont="1" applyAlignment="1">
      <alignment horizontal="center" vertical="center"/>
    </xf>
    <xf numFmtId="4" fontId="169" fillId="0" borderId="0" xfId="596" applyNumberFormat="1" applyFont="1" applyAlignment="1">
      <alignment horizontal="center" vertical="center" wrapText="1"/>
    </xf>
    <xf numFmtId="0" fontId="170" fillId="0" borderId="0" xfId="596" applyFont="1"/>
    <xf numFmtId="2" fontId="167" fillId="0" borderId="0" xfId="596" applyNumberFormat="1" applyFont="1"/>
    <xf numFmtId="0" fontId="167" fillId="0" borderId="0" xfId="596" applyFont="1"/>
    <xf numFmtId="0" fontId="167" fillId="0" borderId="0" xfId="596" applyFont="1" applyAlignment="1">
      <alignment horizontal="center" vertical="center"/>
    </xf>
    <xf numFmtId="4" fontId="167" fillId="0" borderId="0" xfId="596" applyNumberFormat="1" applyFont="1" applyAlignment="1">
      <alignment horizontal="center" vertical="center"/>
    </xf>
    <xf numFmtId="4" fontId="167" fillId="0" borderId="0" xfId="596" applyNumberFormat="1" applyFont="1" applyAlignment="1">
      <alignment horizontal="center" vertical="center" wrapText="1"/>
    </xf>
    <xf numFmtId="2" fontId="171" fillId="0" borderId="0" xfId="596" applyNumberFormat="1" applyFont="1"/>
    <xf numFmtId="0" fontId="171" fillId="0" borderId="0" xfId="596" applyFont="1"/>
    <xf numFmtId="4" fontId="167" fillId="0" borderId="11" xfId="596" applyNumberFormat="1" applyFont="1" applyBorder="1" applyAlignment="1">
      <alignment horizontal="center" vertical="center"/>
    </xf>
    <xf numFmtId="4" fontId="167" fillId="0" borderId="11" xfId="596" applyNumberFormat="1" applyFont="1" applyBorder="1" applyAlignment="1">
      <alignment horizontal="center" vertical="center" wrapText="1"/>
    </xf>
    <xf numFmtId="201" fontId="172" fillId="0" borderId="11" xfId="596" applyNumberFormat="1" applyFont="1" applyBorder="1" applyAlignment="1">
      <alignment horizontal="center" vertical="center"/>
    </xf>
    <xf numFmtId="201" fontId="167" fillId="0" borderId="0" xfId="596" applyNumberFormat="1" applyFont="1" applyAlignment="1">
      <alignment horizontal="center" vertical="center"/>
    </xf>
    <xf numFmtId="201" fontId="172" fillId="0" borderId="0" xfId="596" applyNumberFormat="1" applyFont="1" applyAlignment="1">
      <alignment horizontal="center" vertical="center"/>
    </xf>
    <xf numFmtId="4" fontId="171" fillId="0" borderId="11" xfId="596" applyNumberFormat="1" applyFont="1" applyBorder="1" applyAlignment="1">
      <alignment horizontal="center" vertical="center"/>
    </xf>
    <xf numFmtId="4" fontId="171" fillId="0" borderId="11" xfId="596" applyNumberFormat="1" applyFont="1" applyBorder="1" applyAlignment="1">
      <alignment horizontal="center" vertical="center" wrapText="1"/>
    </xf>
    <xf numFmtId="201" fontId="172" fillId="0" borderId="11" xfId="596" applyNumberFormat="1" applyFont="1" applyBorder="1" applyAlignment="1">
      <alignment horizontal="right" vertical="center"/>
    </xf>
    <xf numFmtId="0" fontId="171" fillId="0" borderId="0" xfId="596" applyFont="1" applyAlignment="1">
      <alignment horizontal="center" vertical="center"/>
    </xf>
    <xf numFmtId="4" fontId="171" fillId="0" borderId="0" xfId="596" applyNumberFormat="1" applyFont="1" applyAlignment="1">
      <alignment horizontal="center" vertical="center"/>
    </xf>
    <xf numFmtId="4" fontId="171" fillId="0" borderId="0" xfId="596" applyNumberFormat="1" applyFont="1" applyAlignment="1">
      <alignment horizontal="center" vertical="center" wrapText="1"/>
    </xf>
    <xf numFmtId="201" fontId="171" fillId="0" borderId="0" xfId="596" applyNumberFormat="1" applyFont="1" applyAlignment="1">
      <alignment horizontal="center" vertical="center"/>
    </xf>
    <xf numFmtId="2" fontId="167" fillId="0" borderId="0" xfId="596" applyNumberFormat="1" applyFont="1" applyAlignment="1">
      <alignment horizontal="left" vertical="top" wrapText="1"/>
    </xf>
    <xf numFmtId="0" fontId="167" fillId="0" borderId="0" xfId="596" applyFont="1" applyAlignment="1">
      <alignment vertical="top" wrapText="1"/>
    </xf>
    <xf numFmtId="0" fontId="167" fillId="0" borderId="0" xfId="596" applyFont="1" applyAlignment="1">
      <alignment horizontal="center" vertical="center" wrapText="1"/>
    </xf>
    <xf numFmtId="49" fontId="167" fillId="0" borderId="0" xfId="596" applyNumberFormat="1" applyFont="1" applyAlignment="1">
      <alignment vertical="top" wrapText="1"/>
    </xf>
    <xf numFmtId="2" fontId="171" fillId="0" borderId="0" xfId="596" applyNumberFormat="1" applyFont="1" applyAlignment="1">
      <alignment horizontal="left" vertical="top" wrapText="1"/>
    </xf>
    <xf numFmtId="49" fontId="171" fillId="0" borderId="0" xfId="596" applyNumberFormat="1" applyFont="1" applyAlignment="1">
      <alignment horizontal="justify" vertical="top" wrapText="1"/>
    </xf>
    <xf numFmtId="49" fontId="167" fillId="0" borderId="0" xfId="596" applyNumberFormat="1" applyFont="1" applyAlignment="1">
      <alignment horizontal="left" vertical="top" wrapText="1"/>
    </xf>
    <xf numFmtId="0" fontId="167" fillId="0" borderId="0" xfId="596" applyFont="1" applyAlignment="1">
      <alignment horizontal="justify" vertical="top" wrapText="1"/>
    </xf>
    <xf numFmtId="49" fontId="167" fillId="0" borderId="0" xfId="596" applyNumberFormat="1" applyFont="1" applyAlignment="1">
      <alignment horizontal="justify" vertical="top" wrapText="1"/>
    </xf>
    <xf numFmtId="0" fontId="167" fillId="0" borderId="0" xfId="596" applyFont="1" applyAlignment="1">
      <alignment horizontal="justify" vertical="top"/>
    </xf>
    <xf numFmtId="49" fontId="171" fillId="0" borderId="0" xfId="596" applyNumberFormat="1" applyFont="1" applyAlignment="1">
      <alignment horizontal="left" vertical="top" wrapText="1"/>
    </xf>
    <xf numFmtId="2" fontId="167" fillId="0" borderId="0" xfId="596" applyNumberFormat="1" applyFont="1" applyAlignment="1">
      <alignment vertical="top"/>
    </xf>
    <xf numFmtId="49" fontId="167" fillId="0" borderId="0" xfId="596" applyNumberFormat="1" applyFont="1" applyAlignment="1">
      <alignment vertical="top"/>
    </xf>
    <xf numFmtId="2" fontId="171" fillId="77" borderId="36" xfId="596" applyNumberFormat="1" applyFont="1" applyFill="1" applyBorder="1"/>
    <xf numFmtId="0" fontId="171" fillId="77" borderId="36" xfId="596" applyFont="1" applyFill="1" applyBorder="1"/>
    <xf numFmtId="0" fontId="171" fillId="77" borderId="36" xfId="596" applyFont="1" applyFill="1" applyBorder="1" applyAlignment="1">
      <alignment horizontal="center" vertical="center"/>
    </xf>
    <xf numFmtId="4" fontId="171" fillId="77" borderId="36" xfId="596" applyNumberFormat="1" applyFont="1" applyFill="1" applyBorder="1" applyAlignment="1">
      <alignment horizontal="center" vertical="center"/>
    </xf>
    <xf numFmtId="0" fontId="173" fillId="0" borderId="36" xfId="1888" applyFont="1" applyBorder="1" applyAlignment="1">
      <alignment horizontal="right" vertical="top"/>
    </xf>
    <xf numFmtId="0" fontId="174" fillId="0" borderId="36" xfId="1888" applyFont="1" applyBorder="1" applyAlignment="1">
      <alignment vertical="top" wrapText="1"/>
    </xf>
    <xf numFmtId="0" fontId="173" fillId="0" borderId="36" xfId="1888" applyFont="1" applyBorder="1" applyAlignment="1">
      <alignment horizontal="center" vertical="center"/>
    </xf>
    <xf numFmtId="201" fontId="174" fillId="0" borderId="36" xfId="1889" applyNumberFormat="1" applyFont="1" applyBorder="1" applyAlignment="1">
      <alignment horizontal="center" vertical="center"/>
    </xf>
    <xf numFmtId="0" fontId="22" fillId="0" borderId="0" xfId="596" applyFont="1" applyAlignment="1">
      <alignment vertical="center"/>
    </xf>
    <xf numFmtId="0" fontId="173" fillId="0" borderId="11" xfId="1888" applyFont="1" applyBorder="1" applyAlignment="1">
      <alignment horizontal="left" vertical="top" wrapText="1"/>
    </xf>
    <xf numFmtId="0" fontId="173" fillId="0" borderId="36" xfId="1888" applyFont="1" applyBorder="1" applyAlignment="1">
      <alignment vertical="top" wrapText="1"/>
    </xf>
    <xf numFmtId="0" fontId="174" fillId="0" borderId="36" xfId="1888" applyFont="1" applyBorder="1" applyAlignment="1" applyProtection="1">
      <alignment vertical="top" wrapText="1"/>
      <protection locked="0"/>
    </xf>
    <xf numFmtId="0" fontId="173" fillId="0" borderId="36" xfId="1888" applyFont="1" applyBorder="1" applyAlignment="1" applyProtection="1">
      <alignment vertical="top" wrapText="1"/>
      <protection locked="0"/>
    </xf>
    <xf numFmtId="0" fontId="173" fillId="0" borderId="36" xfId="1888" applyFont="1" applyBorder="1" applyAlignment="1" applyProtection="1">
      <alignment horizontal="center" vertical="center"/>
      <protection locked="0"/>
    </xf>
    <xf numFmtId="0" fontId="173" fillId="0" borderId="36" xfId="1890" applyFont="1" applyBorder="1" applyAlignment="1">
      <alignment horizontal="center" vertical="center" wrapText="1"/>
    </xf>
    <xf numFmtId="3" fontId="174" fillId="0" borderId="36" xfId="1890" applyNumberFormat="1" applyFont="1" applyBorder="1" applyAlignment="1">
      <alignment horizontal="center" vertical="center" wrapText="1"/>
    </xf>
    <xf numFmtId="2" fontId="167" fillId="75" borderId="36" xfId="596" applyNumberFormat="1" applyFont="1" applyFill="1" applyBorder="1"/>
    <xf numFmtId="0" fontId="171" fillId="75" borderId="36" xfId="596" applyFont="1" applyFill="1" applyBorder="1" applyAlignment="1">
      <alignment horizontal="right"/>
    </xf>
    <xf numFmtId="0" fontId="167" fillId="75" borderId="36" xfId="596" applyFont="1" applyFill="1" applyBorder="1" applyAlignment="1">
      <alignment horizontal="center" vertical="center"/>
    </xf>
    <xf numFmtId="4" fontId="167" fillId="75" borderId="36" xfId="596" applyNumberFormat="1" applyFont="1" applyFill="1" applyBorder="1" applyAlignment="1">
      <alignment horizontal="center" vertical="center"/>
    </xf>
    <xf numFmtId="2" fontId="167" fillId="0" borderId="36" xfId="596" applyNumberFormat="1" applyFont="1" applyBorder="1"/>
    <xf numFmtId="0" fontId="167" fillId="0" borderId="36" xfId="596" applyFont="1" applyBorder="1"/>
    <xf numFmtId="0" fontId="167" fillId="0" borderId="36" xfId="596" applyFont="1" applyBorder="1" applyAlignment="1">
      <alignment horizontal="center" vertical="center"/>
    </xf>
    <xf numFmtId="4" fontId="167" fillId="0" borderId="36" xfId="596" applyNumberFormat="1" applyFont="1" applyBorder="1" applyAlignment="1">
      <alignment horizontal="center" vertical="center"/>
    </xf>
    <xf numFmtId="2" fontId="171" fillId="75" borderId="36" xfId="596" applyNumberFormat="1" applyFont="1" applyFill="1" applyBorder="1"/>
    <xf numFmtId="0" fontId="171" fillId="75" borderId="36" xfId="596" applyFont="1" applyFill="1" applyBorder="1"/>
    <xf numFmtId="0" fontId="173" fillId="0" borderId="36" xfId="1888" applyFont="1" applyBorder="1" applyAlignment="1">
      <alignment horizontal="right" vertical="center"/>
    </xf>
    <xf numFmtId="0" fontId="173" fillId="0" borderId="36" xfId="1888" applyFont="1" applyBorder="1" applyAlignment="1">
      <alignment vertical="center" wrapText="1"/>
    </xf>
    <xf numFmtId="0" fontId="173" fillId="78" borderId="36" xfId="1888" applyFont="1" applyFill="1" applyBorder="1" applyAlignment="1">
      <alignment horizontal="center" vertical="center"/>
    </xf>
    <xf numFmtId="2" fontId="171" fillId="0" borderId="11" xfId="596" applyNumberFormat="1" applyFont="1" applyBorder="1"/>
    <xf numFmtId="0" fontId="171" fillId="0" borderId="11" xfId="596" applyFont="1" applyBorder="1"/>
    <xf numFmtId="0" fontId="167" fillId="0" borderId="11" xfId="596" applyFont="1" applyBorder="1" applyAlignment="1">
      <alignment horizontal="center" vertical="center"/>
    </xf>
    <xf numFmtId="4" fontId="171" fillId="0" borderId="86" xfId="596" applyNumberFormat="1" applyFont="1" applyBorder="1" applyAlignment="1">
      <alignment horizontal="center" vertical="center"/>
    </xf>
    <xf numFmtId="0" fontId="22" fillId="0" borderId="0" xfId="1889" applyFont="1"/>
    <xf numFmtId="2" fontId="168" fillId="0" borderId="0" xfId="1889" applyNumberFormat="1" applyFont="1" applyAlignment="1">
      <alignment horizontal="left" vertical="top" wrapText="1"/>
    </xf>
    <xf numFmtId="49" fontId="168" fillId="0" borderId="0" xfId="1889" applyNumberFormat="1" applyFont="1" applyAlignment="1">
      <alignment horizontal="left" vertical="top" wrapText="1"/>
    </xf>
    <xf numFmtId="0" fontId="169" fillId="0" borderId="0" xfId="1889" applyFont="1" applyAlignment="1">
      <alignment horizontal="center" vertical="center"/>
    </xf>
    <xf numFmtId="4" fontId="169" fillId="0" borderId="0" xfId="1889" applyNumberFormat="1" applyFont="1" applyAlignment="1">
      <alignment horizontal="center" vertical="center"/>
    </xf>
    <xf numFmtId="4" fontId="169" fillId="0" borderId="0" xfId="1889" applyNumberFormat="1" applyFont="1" applyAlignment="1">
      <alignment horizontal="center" vertical="center" wrapText="1"/>
    </xf>
    <xf numFmtId="0" fontId="170" fillId="0" borderId="0" xfId="1889" applyFont="1"/>
    <xf numFmtId="2" fontId="171" fillId="0" borderId="0" xfId="1889" applyNumberFormat="1" applyFont="1" applyAlignment="1">
      <alignment horizontal="left" vertical="top" wrapText="1"/>
    </xf>
    <xf numFmtId="49" fontId="171" fillId="0" borderId="0" xfId="1889" applyNumberFormat="1" applyFont="1" applyAlignment="1">
      <alignment horizontal="left" vertical="top" wrapText="1"/>
    </xf>
    <xf numFmtId="0" fontId="167" fillId="0" borderId="0" xfId="1889" applyFont="1" applyAlignment="1">
      <alignment horizontal="center" vertical="center"/>
    </xf>
    <xf numFmtId="4" fontId="167" fillId="0" borderId="0" xfId="1889" applyNumberFormat="1" applyFont="1" applyAlignment="1">
      <alignment horizontal="center" vertical="center"/>
    </xf>
    <xf numFmtId="4" fontId="167" fillId="0" borderId="0" xfId="1889" applyNumberFormat="1" applyFont="1" applyAlignment="1">
      <alignment horizontal="center" vertical="center" wrapText="1"/>
    </xf>
    <xf numFmtId="2" fontId="171" fillId="77" borderId="36" xfId="1889" applyNumberFormat="1" applyFont="1" applyFill="1" applyBorder="1"/>
    <xf numFmtId="0" fontId="171" fillId="77" borderId="36" xfId="1889" applyFont="1" applyFill="1" applyBorder="1" applyAlignment="1">
      <alignment wrapText="1"/>
    </xf>
    <xf numFmtId="0" fontId="171" fillId="77" borderId="36" xfId="1889" applyFont="1" applyFill="1" applyBorder="1" applyAlignment="1">
      <alignment horizontal="center" vertical="center"/>
    </xf>
    <xf numFmtId="4" fontId="171" fillId="77" borderId="36" xfId="1889" applyNumberFormat="1" applyFont="1" applyFill="1" applyBorder="1" applyAlignment="1">
      <alignment horizontal="center" vertical="center"/>
    </xf>
    <xf numFmtId="4" fontId="171" fillId="77" borderId="36" xfId="1889" applyNumberFormat="1" applyFont="1" applyFill="1" applyBorder="1" applyAlignment="1">
      <alignment horizontal="center" vertical="center" wrapText="1"/>
    </xf>
    <xf numFmtId="0" fontId="178" fillId="0" borderId="0" xfId="1888" applyFont="1" applyAlignment="1">
      <alignment vertical="center"/>
    </xf>
    <xf numFmtId="49" fontId="173" fillId="0" borderId="36" xfId="1888" applyNumberFormat="1" applyFont="1" applyBorder="1" applyAlignment="1">
      <alignment vertical="top" wrapText="1"/>
    </xf>
    <xf numFmtId="49" fontId="173" fillId="0" borderId="36" xfId="1891" applyNumberFormat="1" applyFont="1" applyBorder="1" applyAlignment="1">
      <alignment vertical="top" wrapText="1"/>
    </xf>
    <xf numFmtId="0" fontId="22" fillId="0" borderId="0" xfId="1889" applyFont="1" applyAlignment="1">
      <alignment vertical="center"/>
    </xf>
    <xf numFmtId="0" fontId="173" fillId="0" borderId="36" xfId="1891" applyFont="1" applyBorder="1" applyAlignment="1">
      <alignment horizontal="center" vertical="center"/>
    </xf>
    <xf numFmtId="0" fontId="22" fillId="78" borderId="0" xfId="1889" applyFont="1" applyFill="1"/>
    <xf numFmtId="0" fontId="173" fillId="0" borderId="36" xfId="1888" quotePrefix="1" applyFont="1" applyBorder="1" applyAlignment="1">
      <alignment vertical="top" wrapText="1"/>
    </xf>
    <xf numFmtId="0" fontId="173" fillId="0" borderId="36" xfId="1891" applyFont="1" applyBorder="1" applyAlignment="1">
      <alignment vertical="top" wrapText="1"/>
    </xf>
    <xf numFmtId="0" fontId="174" fillId="0" borderId="36" xfId="1891" applyFont="1" applyBorder="1" applyAlignment="1" applyProtection="1">
      <alignment vertical="top" wrapText="1"/>
      <protection locked="0"/>
    </xf>
    <xf numFmtId="2" fontId="167" fillId="75" borderId="36" xfId="1889" applyNumberFormat="1" applyFont="1" applyFill="1" applyBorder="1"/>
    <xf numFmtId="0" fontId="171" fillId="75" borderId="36" xfId="1889" applyFont="1" applyFill="1" applyBorder="1" applyAlignment="1">
      <alignment horizontal="right" wrapText="1"/>
    </xf>
    <xf numFmtId="0" fontId="167" fillId="75" borderId="36" xfId="1889" applyFont="1" applyFill="1" applyBorder="1" applyAlignment="1">
      <alignment horizontal="center" vertical="center"/>
    </xf>
    <xf numFmtId="4" fontId="167" fillId="75" borderId="36" xfId="1889" applyNumberFormat="1" applyFont="1" applyFill="1" applyBorder="1" applyAlignment="1">
      <alignment horizontal="center" vertical="center"/>
    </xf>
    <xf numFmtId="201" fontId="167" fillId="75" borderId="36" xfId="1889" applyNumberFormat="1" applyFont="1" applyFill="1" applyBorder="1" applyAlignment="1">
      <alignment horizontal="center" vertical="center" wrapText="1"/>
    </xf>
    <xf numFmtId="201" fontId="172" fillId="75" borderId="36" xfId="1889" applyNumberFormat="1" applyFont="1" applyFill="1" applyBorder="1" applyAlignment="1">
      <alignment horizontal="center" vertical="center"/>
    </xf>
    <xf numFmtId="2" fontId="167" fillId="0" borderId="36" xfId="1889" applyNumberFormat="1" applyFont="1" applyBorder="1"/>
    <xf numFmtId="0" fontId="167" fillId="0" borderId="36" xfId="1889" applyFont="1" applyBorder="1" applyAlignment="1">
      <alignment wrapText="1"/>
    </xf>
    <xf numFmtId="0" fontId="167" fillId="0" borderId="36" xfId="1889" applyFont="1" applyBorder="1" applyAlignment="1">
      <alignment horizontal="center" vertical="center"/>
    </xf>
    <xf numFmtId="4" fontId="167" fillId="0" borderId="36" xfId="1889" applyNumberFormat="1" applyFont="1" applyBorder="1" applyAlignment="1">
      <alignment horizontal="center" vertical="center"/>
    </xf>
    <xf numFmtId="201" fontId="167" fillId="0" borderId="36" xfId="1889" applyNumberFormat="1" applyFont="1" applyBorder="1" applyAlignment="1">
      <alignment horizontal="center" vertical="center" wrapText="1"/>
    </xf>
    <xf numFmtId="201" fontId="167" fillId="0" borderId="36" xfId="1889" applyNumberFormat="1" applyFont="1" applyBorder="1" applyAlignment="1">
      <alignment horizontal="center" vertical="center"/>
    </xf>
    <xf numFmtId="2" fontId="171" fillId="75" borderId="36" xfId="1889" applyNumberFormat="1" applyFont="1" applyFill="1" applyBorder="1"/>
    <xf numFmtId="0" fontId="171" fillId="75" borderId="36" xfId="1889" applyFont="1" applyFill="1" applyBorder="1" applyAlignment="1">
      <alignment wrapText="1"/>
    </xf>
    <xf numFmtId="201" fontId="167" fillId="75" borderId="36" xfId="1889" applyNumberFormat="1" applyFont="1" applyFill="1" applyBorder="1" applyAlignment="1">
      <alignment horizontal="center" vertical="center"/>
    </xf>
    <xf numFmtId="0" fontId="174" fillId="0" borderId="36" xfId="1888" applyFont="1" applyBorder="1" applyAlignment="1">
      <alignment horizontal="center" vertical="center"/>
    </xf>
    <xf numFmtId="0" fontId="173" fillId="0" borderId="36" xfId="1888" applyFont="1" applyBorder="1" applyAlignment="1">
      <alignment horizontal="left" vertical="top" wrapText="1"/>
    </xf>
    <xf numFmtId="4" fontId="167" fillId="0" borderId="36" xfId="1889" applyNumberFormat="1" applyFont="1" applyBorder="1" applyAlignment="1">
      <alignment horizontal="center" vertical="center" wrapText="1"/>
    </xf>
    <xf numFmtId="2" fontId="167" fillId="0" borderId="0" xfId="1889" applyNumberFormat="1" applyFont="1"/>
    <xf numFmtId="0" fontId="167" fillId="0" borderId="0" xfId="1889" applyFont="1" applyAlignment="1">
      <alignment wrapText="1"/>
    </xf>
    <xf numFmtId="2" fontId="171" fillId="0" borderId="0" xfId="1889" applyNumberFormat="1" applyFont="1"/>
    <xf numFmtId="0" fontId="171" fillId="0" borderId="0" xfId="1889" applyFont="1" applyAlignment="1">
      <alignment wrapText="1"/>
    </xf>
    <xf numFmtId="4" fontId="167" fillId="0" borderId="11" xfId="1889" applyNumberFormat="1" applyFont="1" applyBorder="1" applyAlignment="1">
      <alignment horizontal="center" vertical="center"/>
    </xf>
    <xf numFmtId="4" fontId="167" fillId="0" borderId="11" xfId="1889" applyNumberFormat="1" applyFont="1" applyBorder="1" applyAlignment="1">
      <alignment horizontal="center" vertical="center" wrapText="1"/>
    </xf>
    <xf numFmtId="201" fontId="172" fillId="0" borderId="11" xfId="1889" applyNumberFormat="1" applyFont="1" applyBorder="1" applyAlignment="1">
      <alignment horizontal="center" vertical="center"/>
    </xf>
    <xf numFmtId="201" fontId="167" fillId="0" borderId="0" xfId="1889" applyNumberFormat="1" applyFont="1" applyAlignment="1">
      <alignment horizontal="center" vertical="center"/>
    </xf>
    <xf numFmtId="2" fontId="171" fillId="0" borderId="11" xfId="1889" applyNumberFormat="1" applyFont="1" applyBorder="1"/>
    <xf numFmtId="0" fontId="171" fillId="0" borderId="11" xfId="1889" applyFont="1" applyBorder="1" applyAlignment="1">
      <alignment wrapText="1"/>
    </xf>
    <xf numFmtId="0" fontId="167" fillId="0" borderId="11" xfId="1889" applyFont="1" applyBorder="1" applyAlignment="1">
      <alignment horizontal="center" vertical="center"/>
    </xf>
    <xf numFmtId="201" fontId="167" fillId="0" borderId="11" xfId="1889" applyNumberFormat="1" applyFont="1" applyBorder="1" applyAlignment="1">
      <alignment horizontal="center" vertical="center"/>
    </xf>
    <xf numFmtId="4" fontId="171" fillId="0" borderId="86" xfId="1889" applyNumberFormat="1" applyFont="1" applyBorder="1" applyAlignment="1">
      <alignment horizontal="center" vertical="center"/>
    </xf>
    <xf numFmtId="4" fontId="171" fillId="0" borderId="86" xfId="1889" applyNumberFormat="1" applyFont="1" applyBorder="1" applyAlignment="1">
      <alignment horizontal="center" vertical="center" wrapText="1"/>
    </xf>
    <xf numFmtId="201" fontId="172" fillId="0" borderId="11" xfId="1889" applyNumberFormat="1" applyFont="1" applyBorder="1" applyAlignment="1">
      <alignment horizontal="right" vertical="center"/>
    </xf>
    <xf numFmtId="49" fontId="171" fillId="0" borderId="0" xfId="1889" applyNumberFormat="1" applyFont="1" applyAlignment="1">
      <alignment horizontal="justify" vertical="top" wrapText="1"/>
    </xf>
    <xf numFmtId="0" fontId="167" fillId="0" borderId="0" xfId="1889" applyFont="1" applyAlignment="1">
      <alignment horizontal="center" vertical="center" wrapText="1"/>
    </xf>
    <xf numFmtId="2" fontId="167" fillId="0" borderId="0" xfId="1889" applyNumberFormat="1" applyFont="1" applyAlignment="1">
      <alignment horizontal="left" vertical="top" wrapText="1"/>
    </xf>
    <xf numFmtId="49" fontId="167" fillId="0" borderId="0" xfId="1889" applyNumberFormat="1" applyFont="1" applyAlignment="1">
      <alignment horizontal="left" vertical="top" wrapText="1"/>
    </xf>
    <xf numFmtId="0" fontId="167" fillId="0" borderId="0" xfId="1889" applyFont="1" applyAlignment="1">
      <alignment horizontal="justify" vertical="top" wrapText="1"/>
    </xf>
    <xf numFmtId="49" fontId="167" fillId="0" borderId="0" xfId="1889" applyNumberFormat="1" applyFont="1" applyAlignment="1">
      <alignment horizontal="justify" vertical="top" wrapText="1"/>
    </xf>
    <xf numFmtId="2" fontId="167" fillId="0" borderId="0" xfId="1889" applyNumberFormat="1" applyFont="1" applyAlignment="1">
      <alignment vertical="top"/>
    </xf>
    <xf numFmtId="49" fontId="167" fillId="0" borderId="0" xfId="1889" applyNumberFormat="1" applyFont="1" applyAlignment="1">
      <alignment vertical="top" wrapText="1"/>
    </xf>
    <xf numFmtId="0" fontId="22" fillId="0" borderId="0" xfId="1892" applyFont="1"/>
    <xf numFmtId="2" fontId="168" fillId="0" borderId="0" xfId="1892" applyNumberFormat="1" applyFont="1" applyAlignment="1">
      <alignment horizontal="left" vertical="top" wrapText="1"/>
    </xf>
    <xf numFmtId="49" fontId="168" fillId="0" borderId="0" xfId="1892" applyNumberFormat="1" applyFont="1" applyAlignment="1">
      <alignment horizontal="left" vertical="top" wrapText="1"/>
    </xf>
    <xf numFmtId="0" fontId="169" fillId="0" borderId="0" xfId="1892" applyFont="1" applyAlignment="1">
      <alignment horizontal="center" vertical="center"/>
    </xf>
    <xf numFmtId="4" fontId="169" fillId="0" borderId="0" xfId="1892" applyNumberFormat="1" applyFont="1" applyAlignment="1">
      <alignment horizontal="center" vertical="center"/>
    </xf>
    <xf numFmtId="4" fontId="169" fillId="0" borderId="0" xfId="1892" applyNumberFormat="1" applyFont="1" applyAlignment="1">
      <alignment horizontal="center" vertical="center" wrapText="1"/>
    </xf>
    <xf numFmtId="0" fontId="170" fillId="0" borderId="0" xfId="1892" applyFont="1"/>
    <xf numFmtId="2" fontId="171" fillId="0" borderId="0" xfId="1892" applyNumberFormat="1" applyFont="1" applyAlignment="1">
      <alignment horizontal="left" vertical="top" wrapText="1"/>
    </xf>
    <xf numFmtId="49" fontId="171" fillId="0" borderId="0" xfId="1892" applyNumberFormat="1" applyFont="1" applyAlignment="1">
      <alignment horizontal="left" vertical="top" wrapText="1"/>
    </xf>
    <xf numFmtId="0" fontId="167" fillId="0" borderId="0" xfId="1892" applyFont="1" applyAlignment="1">
      <alignment horizontal="center" vertical="center"/>
    </xf>
    <xf numFmtId="4" fontId="167" fillId="0" borderId="0" xfId="1892" applyNumberFormat="1" applyFont="1" applyAlignment="1">
      <alignment horizontal="center" vertical="center"/>
    </xf>
    <xf numFmtId="4" fontId="167" fillId="0" borderId="0" xfId="1892" applyNumberFormat="1" applyFont="1" applyAlignment="1">
      <alignment horizontal="center" vertical="center" wrapText="1"/>
    </xf>
    <xf numFmtId="2" fontId="171" fillId="77" borderId="36" xfId="1892" applyNumberFormat="1" applyFont="1" applyFill="1" applyBorder="1"/>
    <xf numFmtId="0" fontId="171" fillId="77" borderId="36" xfId="1892" applyFont="1" applyFill="1" applyBorder="1"/>
    <xf numFmtId="0" fontId="171" fillId="77" borderId="36" xfId="1892" applyFont="1" applyFill="1" applyBorder="1" applyAlignment="1">
      <alignment horizontal="center" vertical="center"/>
    </xf>
    <xf numFmtId="4" fontId="171" fillId="77" borderId="36" xfId="1892" applyNumberFormat="1" applyFont="1" applyFill="1" applyBorder="1" applyAlignment="1">
      <alignment horizontal="center" vertical="center"/>
    </xf>
    <xf numFmtId="4" fontId="171" fillId="77" borderId="36" xfId="1892" applyNumberFormat="1" applyFont="1" applyFill="1" applyBorder="1" applyAlignment="1">
      <alignment horizontal="center" vertical="center" wrapText="1"/>
    </xf>
    <xf numFmtId="201" fontId="174" fillId="0" borderId="36" xfId="1892" applyNumberFormat="1" applyFont="1" applyBorder="1" applyAlignment="1">
      <alignment horizontal="center" vertical="center"/>
    </xf>
    <xf numFmtId="0" fontId="22" fillId="0" borderId="0" xfId="1892" applyFont="1" applyAlignment="1">
      <alignment vertical="center"/>
    </xf>
    <xf numFmtId="0" fontId="174" fillId="0" borderId="36" xfId="1888" quotePrefix="1" applyFont="1" applyBorder="1" applyAlignment="1">
      <alignment vertical="top" wrapText="1"/>
    </xf>
    <xf numFmtId="0" fontId="174" fillId="0" borderId="36" xfId="1888" quotePrefix="1" applyFont="1" applyBorder="1" applyAlignment="1" applyProtection="1">
      <alignment vertical="top" wrapText="1"/>
      <protection locked="0"/>
    </xf>
    <xf numFmtId="49" fontId="174" fillId="0" borderId="36" xfId="1888" applyNumberFormat="1" applyFont="1" applyBorder="1" applyAlignment="1">
      <alignment vertical="top" wrapText="1"/>
    </xf>
    <xf numFmtId="2" fontId="167" fillId="75" borderId="36" xfId="1892" applyNumberFormat="1" applyFont="1" applyFill="1" applyBorder="1"/>
    <xf numFmtId="0" fontId="171" fillId="75" borderId="36" xfId="1892" applyFont="1" applyFill="1" applyBorder="1" applyAlignment="1">
      <alignment horizontal="right"/>
    </xf>
    <xf numFmtId="0" fontId="167" fillId="75" borderId="36" xfId="1892" applyFont="1" applyFill="1" applyBorder="1" applyAlignment="1">
      <alignment horizontal="center" vertical="center"/>
    </xf>
    <xf numFmtId="4" fontId="167" fillId="75" borderId="36" xfId="1892" applyNumberFormat="1" applyFont="1" applyFill="1" applyBorder="1" applyAlignment="1">
      <alignment horizontal="center" vertical="center"/>
    </xf>
    <xf numFmtId="201" fontId="167" fillId="75" borderId="36" xfId="1892" applyNumberFormat="1" applyFont="1" applyFill="1" applyBorder="1" applyAlignment="1">
      <alignment horizontal="center" vertical="center" wrapText="1"/>
    </xf>
    <xf numFmtId="201" fontId="172" fillId="75" borderId="36" xfId="1892" applyNumberFormat="1" applyFont="1" applyFill="1" applyBorder="1" applyAlignment="1">
      <alignment horizontal="center" vertical="center"/>
    </xf>
    <xf numFmtId="2" fontId="167" fillId="0" borderId="36" xfId="1892" applyNumberFormat="1" applyFont="1" applyBorder="1"/>
    <xf numFmtId="0" fontId="167" fillId="0" borderId="36" xfId="1892" applyFont="1" applyBorder="1"/>
    <xf numFmtId="0" fontId="167" fillId="0" borderId="36" xfId="1892" applyFont="1" applyBorder="1" applyAlignment="1">
      <alignment horizontal="center" vertical="center"/>
    </xf>
    <xf numFmtId="4" fontId="167" fillId="0" borderId="36" xfId="1892" applyNumberFormat="1" applyFont="1" applyBorder="1" applyAlignment="1">
      <alignment horizontal="center" vertical="center"/>
    </xf>
    <xf numFmtId="201" fontId="167" fillId="0" borderId="36" xfId="1892" applyNumberFormat="1" applyFont="1" applyBorder="1" applyAlignment="1">
      <alignment horizontal="center" vertical="center" wrapText="1"/>
    </xf>
    <xf numFmtId="201" fontId="167" fillId="0" borderId="36" xfId="1892" applyNumberFormat="1" applyFont="1" applyBorder="1" applyAlignment="1">
      <alignment horizontal="center" vertical="center"/>
    </xf>
    <xf numFmtId="2" fontId="171" fillId="75" borderId="36" xfId="1892" applyNumberFormat="1" applyFont="1" applyFill="1" applyBorder="1"/>
    <xf numFmtId="0" fontId="171" fillId="75" borderId="36" xfId="1892" applyFont="1" applyFill="1" applyBorder="1"/>
    <xf numFmtId="201" fontId="167" fillId="75" borderId="36" xfId="1892" applyNumberFormat="1" applyFont="1" applyFill="1" applyBorder="1" applyAlignment="1">
      <alignment horizontal="center" vertical="center"/>
    </xf>
    <xf numFmtId="0" fontId="22" fillId="0" borderId="0" xfId="1892" applyFont="1" applyAlignment="1">
      <alignment vertical="top"/>
    </xf>
    <xf numFmtId="2" fontId="167" fillId="0" borderId="0" xfId="1892" applyNumberFormat="1" applyFont="1"/>
    <xf numFmtId="0" fontId="167" fillId="0" borderId="0" xfId="1892" applyFont="1"/>
    <xf numFmtId="2" fontId="171" fillId="0" borderId="0" xfId="1892" applyNumberFormat="1" applyFont="1"/>
    <xf numFmtId="0" fontId="171" fillId="0" borderId="0" xfId="1892" applyFont="1"/>
    <xf numFmtId="4" fontId="167" fillId="0" borderId="11" xfId="1892" applyNumberFormat="1" applyFont="1" applyBorder="1" applyAlignment="1">
      <alignment horizontal="center" vertical="center"/>
    </xf>
    <xf numFmtId="4" fontId="167" fillId="0" borderId="11" xfId="1892" applyNumberFormat="1" applyFont="1" applyBorder="1" applyAlignment="1">
      <alignment horizontal="center" vertical="center" wrapText="1"/>
    </xf>
    <xf numFmtId="201" fontId="172" fillId="0" borderId="11" xfId="1892" applyNumberFormat="1" applyFont="1" applyBorder="1" applyAlignment="1">
      <alignment horizontal="center"/>
    </xf>
    <xf numFmtId="201" fontId="167" fillId="0" borderId="0" xfId="1892" applyNumberFormat="1" applyFont="1" applyAlignment="1">
      <alignment horizontal="center" vertical="center"/>
    </xf>
    <xf numFmtId="201" fontId="172" fillId="0" borderId="11" xfId="1892" applyNumberFormat="1" applyFont="1" applyBorder="1" applyAlignment="1">
      <alignment horizontal="center" vertical="center"/>
    </xf>
    <xf numFmtId="2" fontId="171" fillId="0" borderId="11" xfId="1892" applyNumberFormat="1" applyFont="1" applyBorder="1"/>
    <xf numFmtId="0" fontId="171" fillId="0" borderId="11" xfId="1892" applyFont="1" applyBorder="1"/>
    <xf numFmtId="0" fontId="167" fillId="0" borderId="11" xfId="1892" applyFont="1" applyBorder="1" applyAlignment="1">
      <alignment horizontal="center" vertical="center"/>
    </xf>
    <xf numFmtId="201" fontId="167" fillId="0" borderId="11" xfId="1892" applyNumberFormat="1" applyFont="1" applyBorder="1" applyAlignment="1">
      <alignment horizontal="center" vertical="center"/>
    </xf>
    <xf numFmtId="4" fontId="171" fillId="0" borderId="86" xfId="1892" applyNumberFormat="1" applyFont="1" applyBorder="1" applyAlignment="1">
      <alignment horizontal="center" vertical="center"/>
    </xf>
    <xf numFmtId="4" fontId="171" fillId="0" borderId="86" xfId="1892" applyNumberFormat="1" applyFont="1" applyBorder="1" applyAlignment="1">
      <alignment horizontal="center" vertical="center" wrapText="1"/>
    </xf>
    <xf numFmtId="201" fontId="172" fillId="0" borderId="11" xfId="1892" applyNumberFormat="1" applyFont="1" applyBorder="1" applyAlignment="1">
      <alignment horizontal="right" vertical="center"/>
    </xf>
    <xf numFmtId="0" fontId="171" fillId="0" borderId="0" xfId="1892" applyFont="1" applyAlignment="1">
      <alignment horizontal="center" vertical="center"/>
    </xf>
    <xf numFmtId="4" fontId="171" fillId="0" borderId="0" xfId="1892" applyNumberFormat="1" applyFont="1" applyAlignment="1">
      <alignment horizontal="center" vertical="center"/>
    </xf>
    <xf numFmtId="4" fontId="171" fillId="0" borderId="0" xfId="1892" applyNumberFormat="1" applyFont="1" applyAlignment="1">
      <alignment horizontal="center" vertical="center" wrapText="1"/>
    </xf>
    <xf numFmtId="201" fontId="171" fillId="0" borderId="0" xfId="1892" applyNumberFormat="1" applyFont="1" applyAlignment="1">
      <alignment horizontal="center" vertical="center"/>
    </xf>
    <xf numFmtId="49" fontId="171" fillId="0" borderId="0" xfId="1892" applyNumberFormat="1" applyFont="1" applyAlignment="1">
      <alignment horizontal="justify" vertical="top" wrapText="1"/>
    </xf>
    <xf numFmtId="0" fontId="167" fillId="0" borderId="0" xfId="1892" applyFont="1" applyAlignment="1">
      <alignment horizontal="center" vertical="center" wrapText="1"/>
    </xf>
    <xf numFmtId="2" fontId="167" fillId="0" borderId="0" xfId="1892" applyNumberFormat="1" applyFont="1" applyAlignment="1">
      <alignment horizontal="left" vertical="top" wrapText="1"/>
    </xf>
    <xf numFmtId="0" fontId="167" fillId="0" borderId="0" xfId="1892" applyFont="1" applyAlignment="1">
      <alignment horizontal="justify" vertical="top" wrapText="1"/>
    </xf>
    <xf numFmtId="49" fontId="167" fillId="0" borderId="0" xfId="1892" applyNumberFormat="1" applyFont="1" applyAlignment="1">
      <alignment horizontal="justify" vertical="top" wrapText="1"/>
    </xf>
    <xf numFmtId="0" fontId="167" fillId="0" borderId="0" xfId="1892" applyFont="1" applyAlignment="1">
      <alignment horizontal="justify" vertical="top"/>
    </xf>
    <xf numFmtId="2" fontId="167" fillId="0" borderId="0" xfId="1892" applyNumberFormat="1" applyFont="1" applyAlignment="1">
      <alignment vertical="top"/>
    </xf>
    <xf numFmtId="49" fontId="167" fillId="0" borderId="0" xfId="1892" applyNumberFormat="1" applyFont="1" applyAlignment="1">
      <alignment vertical="top"/>
    </xf>
    <xf numFmtId="49" fontId="167" fillId="0" borderId="0" xfId="1892" applyNumberFormat="1" applyFont="1" applyAlignment="1">
      <alignment horizontal="left" vertical="top" wrapText="1"/>
    </xf>
    <xf numFmtId="0" fontId="102" fillId="70" borderId="85" xfId="0" applyFont="1" applyFill="1" applyBorder="1" applyAlignment="1">
      <alignment horizontal="right" vertical="top"/>
    </xf>
    <xf numFmtId="0" fontId="102" fillId="70" borderId="86" xfId="0" applyFont="1" applyFill="1" applyBorder="1" applyAlignment="1">
      <alignment horizontal="justify" vertical="top"/>
    </xf>
    <xf numFmtId="0" fontId="103" fillId="70" borderId="86" xfId="0" applyFont="1" applyFill="1" applyBorder="1" applyAlignment="1">
      <alignment horizontal="center"/>
    </xf>
    <xf numFmtId="4" fontId="103" fillId="70" borderId="86" xfId="0" applyNumberFormat="1" applyFont="1" applyFill="1" applyBorder="1">
      <alignment vertical="top"/>
    </xf>
    <xf numFmtId="0" fontId="103" fillId="70" borderId="86" xfId="0" applyFont="1" applyFill="1" applyBorder="1">
      <alignment vertical="top"/>
    </xf>
    <xf numFmtId="0" fontId="103" fillId="70" borderId="83" xfId="0" applyFont="1" applyFill="1" applyBorder="1">
      <alignment vertical="top"/>
    </xf>
    <xf numFmtId="2" fontId="102" fillId="0" borderId="0" xfId="0" applyNumberFormat="1" applyFont="1" applyAlignment="1">
      <alignment horizontal="left" vertical="top" wrapText="1"/>
    </xf>
    <xf numFmtId="0" fontId="103" fillId="0" borderId="0" xfId="0" applyFont="1" applyAlignment="1">
      <alignment horizontal="right" wrapText="1"/>
    </xf>
    <xf numFmtId="0" fontId="14" fillId="0" borderId="0" xfId="0" applyFont="1" applyAlignment="1">
      <alignment horizontal="right" vertical="top"/>
    </xf>
    <xf numFmtId="2" fontId="9" fillId="0" borderId="0" xfId="0" applyNumberFormat="1" applyFont="1" applyAlignment="1">
      <alignment horizontal="center" wrapText="1"/>
    </xf>
    <xf numFmtId="182" fontId="9" fillId="0" borderId="0" xfId="0" applyNumberFormat="1" applyFont="1" applyAlignment="1">
      <alignment horizontal="center"/>
    </xf>
    <xf numFmtId="0" fontId="102" fillId="0" borderId="0" xfId="0" quotePrefix="1" applyFont="1" applyAlignment="1">
      <alignment horizontal="justify" vertical="top"/>
    </xf>
    <xf numFmtId="0" fontId="181" fillId="0" borderId="0" xfId="0" applyFont="1" applyAlignment="1">
      <alignment horizontal="right" vertical="top"/>
    </xf>
    <xf numFmtId="0" fontId="102" fillId="0" borderId="0" xfId="0" applyFont="1" applyAlignment="1">
      <alignment horizontal="justify" vertical="justify" wrapText="1"/>
    </xf>
    <xf numFmtId="0" fontId="182" fillId="0" borderId="0" xfId="0" applyFont="1" applyAlignment="1">
      <alignment horizontal="center"/>
    </xf>
    <xf numFmtId="4" fontId="103" fillId="0" borderId="0" xfId="0" applyNumberFormat="1" applyFont="1" applyAlignment="1">
      <alignment wrapText="1"/>
    </xf>
    <xf numFmtId="0" fontId="103" fillId="0" borderId="0" xfId="0" applyFont="1" applyAlignment="1">
      <alignment horizontal="justify" vertical="justify" wrapText="1"/>
    </xf>
    <xf numFmtId="0" fontId="182" fillId="0" borderId="0" xfId="0" applyFont="1" applyAlignment="1">
      <alignment vertical="top" wrapText="1"/>
    </xf>
    <xf numFmtId="0" fontId="182" fillId="0" borderId="0" xfId="0" applyFont="1" applyAlignment="1">
      <alignment horizontal="right"/>
    </xf>
    <xf numFmtId="0" fontId="103" fillId="0" borderId="0" xfId="0" applyFont="1" applyAlignment="1">
      <alignment vertical="center"/>
    </xf>
    <xf numFmtId="0" fontId="103" fillId="0" borderId="0" xfId="0" applyFont="1" applyAlignment="1">
      <alignment vertical="center" wrapText="1"/>
    </xf>
    <xf numFmtId="185" fontId="103" fillId="0" borderId="0" xfId="0" applyNumberFormat="1" applyFont="1" applyAlignment="1">
      <alignment horizontal="right" vertical="top"/>
    </xf>
    <xf numFmtId="0" fontId="102" fillId="61" borderId="7" xfId="0" applyFont="1" applyFill="1" applyBorder="1" applyAlignment="1">
      <alignment horizontal="right" vertical="top"/>
    </xf>
    <xf numFmtId="0" fontId="102" fillId="61" borderId="3" xfId="0" applyFont="1" applyFill="1" applyBorder="1" applyAlignment="1">
      <alignment horizontal="center"/>
    </xf>
    <xf numFmtId="4" fontId="102" fillId="61" borderId="8" xfId="0" applyNumberFormat="1" applyFont="1" applyFill="1" applyBorder="1">
      <alignment vertical="top"/>
    </xf>
    <xf numFmtId="4" fontId="102" fillId="61" borderId="8" xfId="65" applyNumberFormat="1" applyFont="1" applyFill="1" applyBorder="1" applyProtection="1">
      <alignment vertical="top"/>
    </xf>
    <xf numFmtId="0" fontId="183" fillId="0" borderId="0" xfId="0" applyFont="1">
      <alignment vertical="top"/>
    </xf>
    <xf numFmtId="0" fontId="103" fillId="0" borderId="66" xfId="0" applyFont="1" applyBorder="1">
      <alignment vertical="top"/>
    </xf>
    <xf numFmtId="0" fontId="25" fillId="0" borderId="66" xfId="0" applyFont="1" applyBorder="1" applyAlignment="1"/>
    <xf numFmtId="0" fontId="21" fillId="0" borderId="66" xfId="596" applyFont="1" applyBorder="1"/>
    <xf numFmtId="4" fontId="171" fillId="77" borderId="85" xfId="1889" applyNumberFormat="1" applyFont="1" applyFill="1" applyBorder="1" applyAlignment="1">
      <alignment horizontal="center" vertical="center" wrapText="1"/>
    </xf>
    <xf numFmtId="0" fontId="21" fillId="0" borderId="66" xfId="1889" applyFont="1" applyBorder="1"/>
    <xf numFmtId="4" fontId="171" fillId="77" borderId="85" xfId="1892" applyNumberFormat="1" applyFont="1" applyFill="1" applyBorder="1" applyAlignment="1">
      <alignment horizontal="center" vertical="center" wrapText="1"/>
    </xf>
    <xf numFmtId="0" fontId="21" fillId="0" borderId="66" xfId="1892" applyFont="1" applyBorder="1"/>
    <xf numFmtId="2" fontId="105" fillId="68" borderId="85" xfId="0" applyNumberFormat="1" applyFont="1" applyFill="1" applyBorder="1" applyAlignment="1">
      <alignment horizontal="center" vertical="center"/>
    </xf>
    <xf numFmtId="0" fontId="109" fillId="0" borderId="66" xfId="0" applyFont="1" applyBorder="1" applyAlignment="1"/>
    <xf numFmtId="0" fontId="102" fillId="0" borderId="0" xfId="0" quotePrefix="1" applyFont="1" applyAlignment="1">
      <alignment horizontal="left" vertical="top" wrapText="1"/>
    </xf>
    <xf numFmtId="0" fontId="103" fillId="0" borderId="0" xfId="61" applyFont="1" applyAlignment="1">
      <alignment horizontal="right" vertical="top" wrapText="1"/>
    </xf>
    <xf numFmtId="2" fontId="103" fillId="0" borderId="0" xfId="584" applyNumberFormat="1" applyFont="1" applyAlignment="1">
      <alignment horizontal="left" vertical="center" wrapText="1"/>
    </xf>
    <xf numFmtId="0" fontId="103" fillId="0" borderId="0" xfId="0" applyFont="1" applyAlignment="1">
      <alignment horizontal="justify"/>
    </xf>
    <xf numFmtId="0" fontId="103" fillId="0" borderId="0" xfId="0" quotePrefix="1" applyFont="1" applyAlignment="1">
      <alignment vertical="center"/>
    </xf>
    <xf numFmtId="2" fontId="141" fillId="0" borderId="11" xfId="0" applyNumberFormat="1" applyFont="1" applyBorder="1" applyAlignment="1">
      <alignment horizontal="left" vertical="top" wrapText="1"/>
    </xf>
    <xf numFmtId="2" fontId="153" fillId="0" borderId="78" xfId="0" applyNumberFormat="1" applyFont="1" applyBorder="1" applyAlignment="1">
      <alignment horizontal="center" wrapText="1"/>
    </xf>
    <xf numFmtId="2" fontId="7" fillId="0" borderId="0" xfId="0" applyNumberFormat="1" applyFont="1" applyAlignment="1">
      <alignment horizontal="center" wrapText="1"/>
    </xf>
    <xf numFmtId="2" fontId="7" fillId="75" borderId="86" xfId="0" applyNumberFormat="1" applyFont="1" applyFill="1" applyBorder="1" applyAlignment="1">
      <alignment horizontal="center" wrapText="1"/>
    </xf>
    <xf numFmtId="2" fontId="144" fillId="0" borderId="0" xfId="0" applyNumberFormat="1" applyFont="1" applyAlignment="1"/>
    <xf numFmtId="2" fontId="144" fillId="0" borderId="0" xfId="0" applyNumberFormat="1" applyFont="1" applyAlignment="1">
      <alignment horizontal="right"/>
    </xf>
    <xf numFmtId="2" fontId="9" fillId="0" borderId="0" xfId="0" applyNumberFormat="1" applyFont="1" applyAlignment="1" applyProtection="1">
      <alignment horizontal="center" vertical="center"/>
      <protection locked="0"/>
    </xf>
    <xf numFmtId="2" fontId="116" fillId="0" borderId="93" xfId="0" applyNumberFormat="1" applyFont="1" applyBorder="1" applyAlignment="1">
      <alignment horizontal="center" vertical="top" wrapText="1"/>
    </xf>
    <xf numFmtId="2" fontId="116" fillId="0" borderId="0" xfId="0" applyNumberFormat="1" applyFont="1" applyAlignment="1">
      <alignment horizontal="center" vertical="top" wrapText="1"/>
    </xf>
    <xf numFmtId="2" fontId="116" fillId="0" borderId="11" xfId="0" applyNumberFormat="1" applyFont="1" applyBorder="1" applyAlignment="1">
      <alignment horizontal="center" vertical="top" wrapText="1"/>
    </xf>
    <xf numFmtId="2" fontId="153" fillId="75" borderId="86" xfId="0" applyNumberFormat="1" applyFont="1" applyFill="1" applyBorder="1" applyAlignment="1">
      <alignment horizontal="center"/>
    </xf>
    <xf numFmtId="2" fontId="117" fillId="0" borderId="0" xfId="0" applyNumberFormat="1" applyFont="1" applyAlignment="1">
      <alignment horizontal="left" vertical="top" wrapText="1"/>
    </xf>
    <xf numFmtId="2" fontId="7" fillId="0" borderId="0" xfId="0" applyNumberFormat="1" applyFont="1" applyAlignment="1">
      <alignment horizontal="center"/>
    </xf>
    <xf numFmtId="2" fontId="7" fillId="0" borderId="0" xfId="322" applyNumberFormat="1" applyFont="1" applyAlignment="1">
      <alignment horizontal="center" wrapText="1"/>
    </xf>
    <xf numFmtId="2" fontId="7" fillId="0" borderId="0" xfId="0" applyNumberFormat="1" applyFont="1" applyAlignment="1">
      <alignment horizontal="center" vertical="center" wrapText="1"/>
    </xf>
    <xf numFmtId="2" fontId="140" fillId="0" borderId="11" xfId="0" applyNumberFormat="1" applyFont="1" applyBorder="1" applyAlignment="1">
      <alignment horizontal="left" vertical="top" wrapText="1"/>
    </xf>
    <xf numFmtId="2" fontId="144" fillId="75" borderId="86" xfId="0" applyNumberFormat="1" applyFont="1" applyFill="1" applyBorder="1" applyAlignment="1">
      <alignment horizontal="center" wrapText="1"/>
    </xf>
    <xf numFmtId="2" fontId="144" fillId="75" borderId="86" xfId="603" applyNumberFormat="1" applyFont="1" applyFill="1" applyBorder="1" applyAlignment="1">
      <alignment horizontal="center" wrapText="1"/>
    </xf>
    <xf numFmtId="2" fontId="144" fillId="0" borderId="0" xfId="603" applyNumberFormat="1" applyFont="1" applyAlignment="1">
      <alignment horizontal="center" wrapText="1"/>
    </xf>
    <xf numFmtId="2" fontId="117" fillId="0" borderId="0" xfId="603" applyNumberFormat="1" applyFont="1" applyAlignment="1">
      <alignment horizontal="left" vertical="top" wrapText="1"/>
    </xf>
    <xf numFmtId="2" fontId="117" fillId="0" borderId="0" xfId="56" applyNumberFormat="1" applyFont="1" applyAlignment="1">
      <alignment horizontal="left" vertical="top" wrapText="1"/>
    </xf>
    <xf numFmtId="2" fontId="144" fillId="0" borderId="0" xfId="0" applyNumberFormat="1" applyFont="1" applyAlignment="1" applyProtection="1">
      <alignment horizontal="left" vertical="top"/>
      <protection locked="0"/>
    </xf>
    <xf numFmtId="2" fontId="7" fillId="0" borderId="0" xfId="56" applyNumberFormat="1" applyFont="1" applyAlignment="1" applyProtection="1">
      <alignment horizontal="left" vertical="top"/>
      <protection locked="0"/>
    </xf>
    <xf numFmtId="2" fontId="144" fillId="0" borderId="0" xfId="603" applyNumberFormat="1" applyFont="1" applyAlignment="1" applyProtection="1">
      <alignment horizontal="center" vertical="top"/>
      <protection locked="0"/>
    </xf>
    <xf numFmtId="2" fontId="116" fillId="0" borderId="93" xfId="603" applyNumberFormat="1" applyFont="1" applyBorder="1" applyAlignment="1">
      <alignment horizontal="center" vertical="top" wrapText="1"/>
    </xf>
    <xf numFmtId="2" fontId="116" fillId="0" borderId="0" xfId="603" applyNumberFormat="1" applyFont="1" applyAlignment="1">
      <alignment horizontal="center" vertical="top" wrapText="1"/>
    </xf>
    <xf numFmtId="2" fontId="116" fillId="0" borderId="11" xfId="603" applyNumberFormat="1" applyFont="1" applyBorder="1" applyAlignment="1">
      <alignment horizontal="center" vertical="top" wrapText="1"/>
    </xf>
    <xf numFmtId="2" fontId="144" fillId="0" borderId="0" xfId="603" applyNumberFormat="1" applyFont="1" applyAlignment="1">
      <alignment horizontal="center"/>
    </xf>
    <xf numFmtId="2" fontId="144" fillId="0" borderId="0" xfId="603" applyNumberFormat="1" applyFont="1" applyAlignment="1">
      <alignment horizontal="center" vertical="top" wrapText="1"/>
    </xf>
    <xf numFmtId="2" fontId="7" fillId="0" borderId="0" xfId="603" applyNumberFormat="1" applyFont="1" applyAlignment="1">
      <alignment horizontal="center" vertical="top" wrapText="1"/>
    </xf>
    <xf numFmtId="2" fontId="9" fillId="0" borderId="0" xfId="0" applyNumberFormat="1" applyFont="1" applyAlignment="1" applyProtection="1">
      <alignment horizontal="left" vertical="top"/>
      <protection locked="0"/>
    </xf>
    <xf numFmtId="2" fontId="9" fillId="0" borderId="0" xfId="603" applyNumberFormat="1" applyFont="1" applyAlignment="1" applyProtection="1">
      <alignment horizontal="right" vertical="top"/>
      <protection locked="0"/>
    </xf>
    <xf numFmtId="2" fontId="7" fillId="0" borderId="0" xfId="603" applyNumberFormat="1" applyFont="1" applyAlignment="1">
      <alignment horizontal="center"/>
    </xf>
    <xf numFmtId="2" fontId="144" fillId="0" borderId="0" xfId="603" applyNumberFormat="1" applyFont="1"/>
    <xf numFmtId="2" fontId="144" fillId="0" borderId="11" xfId="603" applyNumberFormat="1" applyFont="1" applyBorder="1" applyAlignment="1">
      <alignment horizontal="center"/>
    </xf>
    <xf numFmtId="2" fontId="7" fillId="75" borderId="86" xfId="603" applyNumberFormat="1" applyFont="1" applyFill="1" applyBorder="1" applyAlignment="1" applyProtection="1">
      <alignment horizontal="right" vertical="top"/>
      <protection locked="0"/>
    </xf>
    <xf numFmtId="2" fontId="7" fillId="0" borderId="0" xfId="603" applyNumberFormat="1" applyFont="1" applyAlignment="1" applyProtection="1">
      <alignment horizontal="right" vertical="top"/>
      <protection locked="0"/>
    </xf>
    <xf numFmtId="2" fontId="153" fillId="0" borderId="0" xfId="603" applyNumberFormat="1" applyFont="1" applyAlignment="1">
      <alignment horizontal="center" vertical="top" wrapText="1"/>
    </xf>
    <xf numFmtId="2" fontId="7" fillId="0" borderId="0" xfId="603" applyNumberFormat="1" applyFont="1" applyAlignment="1">
      <alignment horizontal="center" wrapText="1"/>
    </xf>
    <xf numFmtId="2" fontId="148" fillId="0" borderId="0" xfId="603" applyNumberFormat="1" applyFont="1"/>
    <xf numFmtId="2" fontId="7" fillId="0" borderId="11" xfId="603" applyNumberFormat="1" applyFont="1" applyBorder="1" applyAlignment="1">
      <alignment horizontal="center"/>
    </xf>
    <xf numFmtId="2" fontId="152" fillId="0" borderId="11" xfId="0" applyNumberFormat="1" applyFont="1" applyBorder="1" applyAlignment="1">
      <alignment horizontal="left" vertical="top" wrapText="1"/>
    </xf>
    <xf numFmtId="2" fontId="7" fillId="0" borderId="0" xfId="0" applyNumberFormat="1" applyFont="1" applyAlignment="1">
      <alignment horizontal="center" vertical="top" wrapText="1"/>
    </xf>
    <xf numFmtId="2" fontId="7" fillId="0" borderId="0" xfId="64" applyNumberFormat="1" applyFont="1" applyAlignment="1">
      <alignment vertical="top" wrapText="1"/>
    </xf>
    <xf numFmtId="2" fontId="7" fillId="0" borderId="0" xfId="64" applyNumberFormat="1" applyFont="1"/>
    <xf numFmtId="2" fontId="9" fillId="0" borderId="0" xfId="64" applyNumberFormat="1"/>
    <xf numFmtId="2" fontId="7" fillId="0" borderId="0" xfId="64" applyNumberFormat="1" applyFont="1" applyAlignment="1">
      <alignment horizontal="center"/>
    </xf>
    <xf numFmtId="2" fontId="9" fillId="0" borderId="0" xfId="55" applyNumberFormat="1" applyFont="1"/>
    <xf numFmtId="2" fontId="9" fillId="0" borderId="0" xfId="64" applyNumberFormat="1" applyAlignment="1">
      <alignment horizontal="center"/>
    </xf>
    <xf numFmtId="2" fontId="146" fillId="0" borderId="0" xfId="64" applyNumberFormat="1" applyFont="1" applyAlignment="1">
      <alignment horizontal="center"/>
    </xf>
    <xf numFmtId="2" fontId="9" fillId="0" borderId="0" xfId="0" applyNumberFormat="1" applyFont="1" applyAlignment="1" applyProtection="1">
      <alignment horizontal="right" shrinkToFit="1"/>
      <protection locked="0"/>
    </xf>
    <xf numFmtId="2" fontId="7" fillId="0" borderId="93" xfId="0" applyNumberFormat="1" applyFont="1" applyBorder="1" applyAlignment="1">
      <alignment horizontal="center" wrapText="1"/>
    </xf>
    <xf numFmtId="2" fontId="7" fillId="0" borderId="11" xfId="0" applyNumberFormat="1" applyFont="1" applyBorder="1" applyAlignment="1">
      <alignment horizontal="center" wrapText="1"/>
    </xf>
    <xf numFmtId="2" fontId="144" fillId="0" borderId="0" xfId="0" applyNumberFormat="1" applyFont="1" applyAlignment="1">
      <alignment horizontal="center" wrapText="1"/>
    </xf>
    <xf numFmtId="2" fontId="7" fillId="75" borderId="86" xfId="0" applyNumberFormat="1" applyFont="1" applyFill="1" applyBorder="1" applyAlignment="1" applyProtection="1">
      <alignment horizontal="right" vertical="top"/>
      <protection locked="0"/>
    </xf>
    <xf numFmtId="2" fontId="7" fillId="0" borderId="0" xfId="0" applyNumberFormat="1" applyFont="1" applyAlignment="1" applyProtection="1">
      <alignment horizontal="right" vertical="top"/>
      <protection locked="0"/>
    </xf>
    <xf numFmtId="2" fontId="153" fillId="0" borderId="0" xfId="0" applyNumberFormat="1" applyFont="1" applyAlignment="1">
      <alignment horizontal="center" vertical="top" wrapText="1"/>
    </xf>
    <xf numFmtId="2" fontId="153" fillId="0" borderId="0" xfId="0" applyNumberFormat="1" applyFont="1" applyAlignment="1">
      <alignment horizontal="center"/>
    </xf>
    <xf numFmtId="2" fontId="116" fillId="0" borderId="0" xfId="0" applyNumberFormat="1" applyFont="1" applyAlignment="1">
      <alignment horizontal="center" wrapText="1"/>
    </xf>
    <xf numFmtId="2" fontId="7" fillId="0" borderId="11" xfId="0" applyNumberFormat="1" applyFont="1" applyBorder="1" applyAlignment="1">
      <alignment horizontal="center"/>
    </xf>
    <xf numFmtId="2" fontId="148" fillId="0" borderId="0" xfId="0" applyNumberFormat="1" applyFont="1" applyAlignment="1">
      <alignment horizontal="justify" vertical="center" wrapText="1"/>
    </xf>
    <xf numFmtId="2" fontId="148" fillId="75" borderId="86" xfId="0" applyNumberFormat="1" applyFont="1" applyFill="1" applyBorder="1" applyAlignment="1"/>
    <xf numFmtId="2" fontId="9" fillId="0" borderId="0" xfId="0" applyNumberFormat="1" applyFont="1" applyAlignment="1" applyProtection="1">
      <protection locked="0"/>
    </xf>
    <xf numFmtId="2" fontId="9" fillId="0" borderId="0" xfId="0" applyNumberFormat="1" applyFont="1" applyAlignment="1">
      <alignment horizontal="right" shrinkToFit="1"/>
    </xf>
    <xf numFmtId="2" fontId="9" fillId="0" borderId="0" xfId="0" applyNumberFormat="1" applyFont="1" applyAlignment="1" applyProtection="1">
      <alignment horizontal="center" shrinkToFit="1"/>
      <protection locked="0"/>
    </xf>
    <xf numFmtId="2" fontId="148" fillId="0" borderId="0" xfId="0" applyNumberFormat="1" applyFont="1" applyAlignment="1"/>
    <xf numFmtId="2" fontId="9" fillId="0" borderId="0" xfId="0" applyNumberFormat="1" applyFont="1" applyAlignment="1">
      <alignment horizontal="center" shrinkToFit="1"/>
    </xf>
    <xf numFmtId="2" fontId="148" fillId="0" borderId="0" xfId="0" applyNumberFormat="1" applyFont="1" applyAlignment="1">
      <alignment horizontal="center"/>
    </xf>
    <xf numFmtId="2" fontId="7" fillId="0" borderId="0" xfId="0" applyNumberFormat="1" applyFont="1" applyAlignment="1">
      <alignment wrapText="1"/>
    </xf>
    <xf numFmtId="2" fontId="7" fillId="0" borderId="0" xfId="0" applyNumberFormat="1" applyFont="1" applyAlignment="1"/>
    <xf numFmtId="2" fontId="116" fillId="0" borderId="0" xfId="0" applyNumberFormat="1" applyFont="1" applyAlignment="1">
      <alignment horizontal="center" vertical="center" wrapText="1"/>
    </xf>
    <xf numFmtId="2" fontId="153" fillId="0" borderId="0" xfId="0" applyNumberFormat="1" applyFont="1" applyAlignment="1"/>
    <xf numFmtId="2" fontId="7" fillId="0" borderId="93" xfId="0" applyNumberFormat="1" applyFont="1" applyBorder="1" applyAlignment="1">
      <alignment vertical="top" wrapText="1"/>
    </xf>
    <xf numFmtId="2" fontId="7" fillId="0" borderId="0" xfId="0" applyNumberFormat="1" applyFont="1" applyAlignment="1">
      <alignment vertical="top" wrapText="1"/>
    </xf>
    <xf numFmtId="2" fontId="153" fillId="0" borderId="11" xfId="0" applyNumberFormat="1" applyFont="1" applyBorder="1" applyAlignment="1">
      <alignment horizontal="center" vertical="top" wrapText="1"/>
    </xf>
    <xf numFmtId="2" fontId="7" fillId="0" borderId="11" xfId="0" applyNumberFormat="1" applyFont="1" applyBorder="1" applyAlignment="1"/>
    <xf numFmtId="2" fontId="7" fillId="0" borderId="11" xfId="0" applyNumberFormat="1" applyFont="1" applyBorder="1" applyAlignment="1">
      <alignment horizontal="left" vertical="top" wrapText="1"/>
    </xf>
    <xf numFmtId="2" fontId="144" fillId="75" borderId="86" xfId="0" applyNumberFormat="1" applyFont="1" applyFill="1" applyBorder="1" applyAlignment="1">
      <alignment horizontal="center" vertical="top" wrapText="1"/>
    </xf>
    <xf numFmtId="2" fontId="144" fillId="0" borderId="0" xfId="0" applyNumberFormat="1" applyFont="1" applyAlignment="1">
      <alignment horizontal="center" vertical="top" wrapText="1"/>
    </xf>
    <xf numFmtId="2" fontId="9" fillId="0" borderId="0" xfId="0" applyNumberFormat="1" applyFont="1" applyAlignment="1">
      <alignment horizontal="center" vertical="top" wrapText="1"/>
    </xf>
    <xf numFmtId="207" fontId="7" fillId="0" borderId="11" xfId="0" applyNumberFormat="1" applyFont="1" applyBorder="1" applyAlignment="1">
      <alignment horizontal="left" vertical="top" wrapText="1"/>
    </xf>
    <xf numFmtId="207" fontId="153" fillId="0" borderId="78" xfId="0" applyNumberFormat="1" applyFont="1" applyBorder="1" applyAlignment="1">
      <alignment horizontal="center" wrapText="1"/>
    </xf>
    <xf numFmtId="207" fontId="9" fillId="0" borderId="0" xfId="0" applyNumberFormat="1" applyFont="1" applyAlignment="1">
      <alignment horizontal="right"/>
    </xf>
    <xf numFmtId="2" fontId="0" fillId="0" borderId="36" xfId="0" applyNumberFormat="1" applyBorder="1" applyAlignment="1" applyProtection="1">
      <alignment horizontal="center"/>
      <protection locked="0"/>
    </xf>
    <xf numFmtId="2" fontId="0" fillId="0" borderId="36" xfId="0" applyNumberFormat="1" applyBorder="1" applyAlignment="1" applyProtection="1">
      <alignment horizontal="right" vertical="center" wrapText="1"/>
      <protection locked="0"/>
    </xf>
    <xf numFmtId="2" fontId="0" fillId="0" borderId="84" xfId="0" applyNumberFormat="1" applyBorder="1" applyAlignment="1" applyProtection="1">
      <alignment horizontal="center"/>
      <protection locked="0"/>
    </xf>
    <xf numFmtId="2" fontId="0" fillId="0" borderId="84" xfId="0" applyNumberFormat="1" applyBorder="1" applyAlignment="1" applyProtection="1">
      <alignment horizontal="right" vertical="center" wrapText="1"/>
      <protection locked="0"/>
    </xf>
    <xf numFmtId="2" fontId="9" fillId="0" borderId="84" xfId="0" applyNumberFormat="1" applyFont="1" applyBorder="1" applyAlignment="1" applyProtection="1">
      <alignment horizontal="right" vertical="center" wrapText="1"/>
      <protection locked="0"/>
    </xf>
    <xf numFmtId="2" fontId="144" fillId="0" borderId="69" xfId="1884" applyNumberFormat="1" applyFont="1" applyBorder="1" applyAlignment="1" applyProtection="1">
      <alignment horizontal="center" wrapText="1"/>
    </xf>
    <xf numFmtId="2" fontId="169" fillId="0" borderId="0" xfId="596" applyNumberFormat="1" applyFont="1" applyAlignment="1">
      <alignment horizontal="center" vertical="center" wrapText="1"/>
    </xf>
    <xf numFmtId="2" fontId="167" fillId="0" borderId="0" xfId="596" applyNumberFormat="1" applyFont="1" applyAlignment="1">
      <alignment horizontal="center" vertical="center" wrapText="1"/>
    </xf>
    <xf numFmtId="2" fontId="171" fillId="77" borderId="36" xfId="596" applyNumberFormat="1" applyFont="1" applyFill="1" applyBorder="1" applyAlignment="1">
      <alignment horizontal="center" vertical="center" wrapText="1"/>
    </xf>
    <xf numFmtId="2" fontId="167" fillId="75" borderId="36" xfId="596" applyNumberFormat="1" applyFont="1" applyFill="1" applyBorder="1" applyAlignment="1">
      <alignment horizontal="center" vertical="center" wrapText="1"/>
    </xf>
    <xf numFmtId="2" fontId="167" fillId="0" borderId="36" xfId="596" applyNumberFormat="1" applyFont="1" applyBorder="1" applyAlignment="1">
      <alignment horizontal="center" vertical="center" wrapText="1"/>
    </xf>
    <xf numFmtId="2" fontId="167" fillId="0" borderId="11" xfId="596" applyNumberFormat="1" applyFont="1" applyBorder="1" applyAlignment="1">
      <alignment horizontal="center" vertical="center" wrapText="1"/>
    </xf>
    <xf numFmtId="2" fontId="171" fillId="0" borderId="86" xfId="596" applyNumberFormat="1" applyFont="1" applyBorder="1" applyAlignment="1">
      <alignment horizontal="center" vertical="center" wrapText="1"/>
    </xf>
    <xf numFmtId="2" fontId="171" fillId="0" borderId="0" xfId="596" applyNumberFormat="1" applyFont="1" applyAlignment="1">
      <alignment horizontal="center" vertical="center" wrapText="1"/>
    </xf>
    <xf numFmtId="2" fontId="167" fillId="0" borderId="0" xfId="596" applyNumberFormat="1" applyFont="1" applyAlignment="1">
      <alignment horizontal="center" vertical="center"/>
    </xf>
    <xf numFmtId="207" fontId="169" fillId="0" borderId="0" xfId="596" applyNumberFormat="1" applyFont="1" applyAlignment="1">
      <alignment horizontal="center" vertical="center"/>
    </xf>
    <xf numFmtId="207" fontId="167" fillId="0" borderId="0" xfId="596" applyNumberFormat="1" applyFont="1" applyAlignment="1">
      <alignment horizontal="center" vertical="center"/>
    </xf>
    <xf numFmtId="207" fontId="171" fillId="77" borderId="85" xfId="596" applyNumberFormat="1" applyFont="1" applyFill="1" applyBorder="1" applyAlignment="1">
      <alignment horizontal="center" vertical="center" wrapText="1"/>
    </xf>
    <xf numFmtId="207" fontId="174" fillId="0" borderId="36" xfId="596" applyNumberFormat="1" applyFont="1" applyBorder="1" applyAlignment="1">
      <alignment horizontal="center" vertical="center"/>
    </xf>
    <xf numFmtId="207" fontId="174" fillId="75" borderId="36" xfId="596" applyNumberFormat="1" applyFont="1" applyFill="1" applyBorder="1" applyAlignment="1">
      <alignment horizontal="center" vertical="center"/>
    </xf>
    <xf numFmtId="207" fontId="167" fillId="0" borderId="36" xfId="596" applyNumberFormat="1" applyFont="1" applyBorder="1" applyAlignment="1">
      <alignment horizontal="center" vertical="center"/>
    </xf>
    <xf numFmtId="207" fontId="167" fillId="75" borderId="36" xfId="596" applyNumberFormat="1" applyFont="1" applyFill="1" applyBorder="1" applyAlignment="1">
      <alignment horizontal="center" vertical="center"/>
    </xf>
    <xf numFmtId="207" fontId="172" fillId="0" borderId="11" xfId="596" applyNumberFormat="1" applyFont="1" applyBorder="1" applyAlignment="1">
      <alignment horizontal="center" vertical="center"/>
    </xf>
    <xf numFmtId="207" fontId="167" fillId="0" borderId="11" xfId="596" applyNumberFormat="1" applyFont="1" applyBorder="1" applyAlignment="1">
      <alignment horizontal="center" vertical="center"/>
    </xf>
    <xf numFmtId="207" fontId="172" fillId="0" borderId="11" xfId="596" applyNumberFormat="1" applyFont="1" applyBorder="1" applyAlignment="1">
      <alignment horizontal="right"/>
    </xf>
    <xf numFmtId="207" fontId="171" fillId="0" borderId="0" xfId="596" applyNumberFormat="1" applyFont="1" applyAlignment="1">
      <alignment horizontal="center" vertical="center"/>
    </xf>
    <xf numFmtId="207" fontId="167" fillId="0" borderId="0" xfId="596" applyNumberFormat="1" applyFont="1" applyAlignment="1">
      <alignment horizontal="center" vertical="center" wrapText="1"/>
    </xf>
    <xf numFmtId="2" fontId="174" fillId="0" borderId="36" xfId="1889" applyNumberFormat="1" applyFont="1" applyBorder="1" applyAlignment="1" applyProtection="1">
      <alignment horizontal="center" vertical="center"/>
      <protection locked="0"/>
    </xf>
    <xf numFmtId="0" fontId="184" fillId="0" borderId="0" xfId="0" applyFont="1" applyAlignment="1">
      <alignment vertical="center" wrapText="1"/>
    </xf>
    <xf numFmtId="0" fontId="185" fillId="0" borderId="0" xfId="0" applyFont="1" applyAlignment="1">
      <alignment vertical="center" wrapText="1"/>
    </xf>
    <xf numFmtId="4" fontId="103" fillId="0" borderId="0" xfId="65" applyNumberFormat="1" applyFont="1" applyProtection="1">
      <alignment vertical="top"/>
      <protection locked="0"/>
    </xf>
    <xf numFmtId="4" fontId="103" fillId="0" borderId="0" xfId="65" applyNumberFormat="1" applyFont="1" applyFill="1" applyBorder="1" applyAlignment="1" applyProtection="1">
      <protection locked="0"/>
    </xf>
    <xf numFmtId="4" fontId="103" fillId="0" borderId="0" xfId="65" applyNumberFormat="1" applyFont="1" applyFill="1" applyBorder="1" applyAlignment="1" applyProtection="1">
      <alignment horizontal="right" vertical="top"/>
      <protection locked="0"/>
    </xf>
    <xf numFmtId="4" fontId="103" fillId="0" borderId="0" xfId="65" applyNumberFormat="1" applyFont="1" applyFill="1" applyBorder="1" applyAlignment="1" applyProtection="1">
      <alignment horizontal="right"/>
      <protection locked="0"/>
    </xf>
    <xf numFmtId="4" fontId="103" fillId="0" borderId="0" xfId="0" applyNumberFormat="1" applyFont="1" applyAlignment="1" applyProtection="1">
      <alignment horizontal="right" wrapText="1"/>
      <protection locked="0"/>
    </xf>
    <xf numFmtId="4" fontId="103" fillId="0" borderId="0" xfId="584" applyNumberFormat="1" applyFont="1" applyAlignment="1" applyProtection="1">
      <alignment horizontal="right"/>
      <protection locked="0"/>
    </xf>
    <xf numFmtId="4" fontId="103" fillId="0" borderId="0" xfId="54" applyNumberFormat="1" applyFont="1" applyFill="1" applyBorder="1" applyAlignment="1" applyProtection="1">
      <protection locked="0"/>
    </xf>
    <xf numFmtId="4" fontId="103" fillId="0" borderId="0" xfId="54" applyNumberFormat="1" applyFont="1" applyFill="1" applyBorder="1" applyProtection="1">
      <alignment vertical="top"/>
      <protection locked="0"/>
    </xf>
    <xf numFmtId="4" fontId="103" fillId="0" borderId="0" xfId="0" applyNumberFormat="1" applyFont="1" applyAlignment="1" applyProtection="1">
      <alignment horizontal="right"/>
      <protection locked="0"/>
    </xf>
    <xf numFmtId="4" fontId="103" fillId="0" borderId="0" xfId="54" applyNumberFormat="1" applyFont="1" applyProtection="1">
      <alignment vertical="top"/>
      <protection locked="0"/>
    </xf>
    <xf numFmtId="4" fontId="103" fillId="0" borderId="0" xfId="54" applyNumberFormat="1" applyFont="1" applyAlignment="1" applyProtection="1">
      <protection locked="0"/>
    </xf>
    <xf numFmtId="4" fontId="9" fillId="0" borderId="0" xfId="0" applyNumberFormat="1" applyFont="1" applyAlignment="1" applyProtection="1">
      <alignment horizontal="right" vertical="center"/>
      <protection locked="0"/>
    </xf>
    <xf numFmtId="4" fontId="9" fillId="0" borderId="0" xfId="0" applyNumberFormat="1" applyFont="1" applyAlignment="1" applyProtection="1">
      <alignment vertical="center"/>
      <protection locked="0"/>
    </xf>
    <xf numFmtId="4" fontId="9" fillId="0" borderId="0" xfId="0" applyNumberFormat="1" applyFont="1" applyAlignment="1" applyProtection="1">
      <alignment horizontal="right"/>
      <protection locked="0"/>
    </xf>
    <xf numFmtId="4" fontId="9" fillId="0" borderId="0" xfId="0" applyNumberFormat="1" applyFont="1" applyProtection="1">
      <alignment vertical="top"/>
      <protection locked="0"/>
    </xf>
    <xf numFmtId="2" fontId="9" fillId="0" borderId="0" xfId="1711" applyNumberFormat="1" applyFont="1" applyAlignment="1" applyProtection="1">
      <alignment horizontal="right"/>
      <protection locked="0"/>
    </xf>
    <xf numFmtId="4" fontId="9" fillId="0" borderId="0" xfId="0" applyNumberFormat="1" applyFont="1" applyAlignment="1" applyProtection="1">
      <protection locked="0"/>
    </xf>
    <xf numFmtId="2" fontId="9" fillId="0" borderId="0" xfId="0" applyNumberFormat="1" applyFont="1" applyAlignment="1" applyProtection="1">
      <alignment horizontal="right"/>
      <protection locked="0"/>
    </xf>
    <xf numFmtId="4" fontId="9" fillId="0" borderId="0" xfId="1711" applyNumberFormat="1" applyFont="1" applyAlignment="1" applyProtection="1">
      <alignment horizontal="right"/>
      <protection locked="0"/>
    </xf>
    <xf numFmtId="196" fontId="9" fillId="0" borderId="0" xfId="0" applyNumberFormat="1" applyFont="1" applyAlignment="1" applyProtection="1">
      <alignment horizontal="right"/>
      <protection locked="0"/>
    </xf>
    <xf numFmtId="196" fontId="9" fillId="0" borderId="0" xfId="1711" applyNumberFormat="1" applyFont="1" applyAlignment="1" applyProtection="1">
      <alignment horizontal="right"/>
      <protection locked="0"/>
    </xf>
    <xf numFmtId="2" fontId="144" fillId="0" borderId="0" xfId="0" applyNumberFormat="1" applyFont="1" applyAlignment="1" applyProtection="1">
      <alignment horizontal="right"/>
      <protection locked="0"/>
    </xf>
    <xf numFmtId="2" fontId="7" fillId="0" borderId="0" xfId="0" applyNumberFormat="1" applyFont="1" applyAlignment="1" applyProtection="1">
      <alignment horizontal="center"/>
      <protection locked="0"/>
    </xf>
    <xf numFmtId="2" fontId="7" fillId="0" borderId="0" xfId="322" applyNumberFormat="1" applyFont="1" applyAlignment="1" applyProtection="1">
      <alignment horizontal="center" wrapText="1"/>
      <protection locked="0"/>
    </xf>
    <xf numFmtId="2" fontId="7" fillId="0" borderId="0" xfId="59" applyNumberFormat="1" applyFont="1" applyAlignment="1" applyProtection="1">
      <alignment horizontal="center" wrapText="1"/>
      <protection locked="0"/>
    </xf>
    <xf numFmtId="49" fontId="25" fillId="0" borderId="0" xfId="0" applyNumberFormat="1" applyFont="1" applyAlignment="1"/>
    <xf numFmtId="0" fontId="25" fillId="0" borderId="0" xfId="0" applyFont="1" applyAlignment="1"/>
    <xf numFmtId="2" fontId="25" fillId="0" borderId="0" xfId="0" applyNumberFormat="1" applyFont="1" applyAlignment="1"/>
    <xf numFmtId="0" fontId="0" fillId="0" borderId="0" xfId="0" applyAlignment="1">
      <alignment horizontal="center" wrapText="1"/>
    </xf>
    <xf numFmtId="49" fontId="25" fillId="0" borderId="32" xfId="0" applyNumberFormat="1" applyFont="1" applyBorder="1" applyAlignment="1">
      <alignment vertical="center"/>
    </xf>
    <xf numFmtId="0" fontId="25" fillId="0" borderId="47" xfId="0" applyFont="1" applyBorder="1" applyAlignment="1">
      <alignment vertical="center"/>
    </xf>
    <xf numFmtId="2" fontId="25" fillId="0" borderId="47" xfId="0" applyNumberFormat="1" applyFont="1" applyBorder="1" applyAlignment="1">
      <alignment vertical="center"/>
    </xf>
    <xf numFmtId="0" fontId="25" fillId="0" borderId="48" xfId="0" applyFont="1" applyBorder="1" applyAlignment="1">
      <alignment vertical="center"/>
    </xf>
    <xf numFmtId="49" fontId="25" fillId="72" borderId="49" xfId="0" applyNumberFormat="1" applyFont="1" applyFill="1" applyBorder="1" applyAlignment="1">
      <alignment horizontal="left" vertical="center" wrapText="1"/>
    </xf>
    <xf numFmtId="0" fontId="25" fillId="72" borderId="50" xfId="0" applyFont="1" applyFill="1" applyBorder="1" applyAlignment="1">
      <alignment horizontal="left" vertical="center" wrapText="1"/>
    </xf>
    <xf numFmtId="4" fontId="25" fillId="72" borderId="50" xfId="0" applyNumberFormat="1" applyFont="1" applyFill="1" applyBorder="1" applyAlignment="1">
      <alignment horizontal="center" vertical="center" wrapText="1"/>
    </xf>
    <xf numFmtId="0" fontId="25" fillId="72" borderId="50" xfId="0" applyFont="1" applyFill="1" applyBorder="1" applyAlignment="1">
      <alignment horizontal="center" vertical="center" wrapText="1"/>
    </xf>
    <xf numFmtId="2" fontId="25" fillId="72" borderId="50" xfId="0" applyNumberFormat="1" applyFont="1" applyFill="1" applyBorder="1" applyAlignment="1">
      <alignment horizontal="center" vertical="center" wrapText="1"/>
    </xf>
    <xf numFmtId="4" fontId="25" fillId="72" borderId="51" xfId="0" applyNumberFormat="1" applyFont="1" applyFill="1" applyBorder="1" applyAlignment="1">
      <alignment horizontal="right" vertical="center" wrapText="1"/>
    </xf>
    <xf numFmtId="0" fontId="25" fillId="0" borderId="0" xfId="0" applyFont="1" applyAlignment="1">
      <alignment wrapText="1"/>
    </xf>
    <xf numFmtId="49" fontId="25" fillId="72" borderId="52" xfId="0" applyNumberFormat="1" applyFont="1" applyFill="1" applyBorder="1" applyAlignment="1">
      <alignment horizontal="left" vertical="center" wrapText="1"/>
    </xf>
    <xf numFmtId="0" fontId="25" fillId="73" borderId="36" xfId="0" applyFont="1" applyFill="1" applyBorder="1" applyAlignment="1">
      <alignment horizontal="justify" vertical="top" wrapText="1"/>
    </xf>
    <xf numFmtId="4" fontId="25" fillId="72" borderId="40" xfId="0" applyNumberFormat="1" applyFont="1" applyFill="1" applyBorder="1" applyAlignment="1">
      <alignment horizontal="center" vertical="center" wrapText="1"/>
    </xf>
    <xf numFmtId="0" fontId="25" fillId="72" borderId="40" xfId="0" applyFont="1" applyFill="1" applyBorder="1" applyAlignment="1">
      <alignment horizontal="center" vertical="center" wrapText="1"/>
    </xf>
    <xf numFmtId="2" fontId="25" fillId="72" borderId="40" xfId="0" applyNumberFormat="1" applyFont="1" applyFill="1" applyBorder="1" applyAlignment="1">
      <alignment horizontal="center" vertical="center" wrapText="1"/>
    </xf>
    <xf numFmtId="4" fontId="25" fillId="72" borderId="53" xfId="0" applyNumberFormat="1" applyFont="1" applyFill="1" applyBorder="1" applyAlignment="1">
      <alignment horizontal="right" vertical="center" wrapText="1"/>
    </xf>
    <xf numFmtId="49" fontId="25" fillId="74" borderId="81" xfId="0" applyNumberFormat="1" applyFont="1" applyFill="1" applyBorder="1" applyAlignment="1">
      <alignment horizontal="center" vertical="top" wrapText="1"/>
    </xf>
    <xf numFmtId="0" fontId="25" fillId="74" borderId="36" xfId="0" applyFont="1" applyFill="1" applyBorder="1" applyAlignment="1">
      <alignment horizontal="left" vertical="top" wrapText="1"/>
    </xf>
    <xf numFmtId="4" fontId="25" fillId="74" borderId="36" xfId="0" applyNumberFormat="1" applyFont="1" applyFill="1" applyBorder="1" applyAlignment="1">
      <alignment horizontal="center" vertical="top" wrapText="1"/>
    </xf>
    <xf numFmtId="0" fontId="25" fillId="74" borderId="36" xfId="0" applyFont="1" applyFill="1" applyBorder="1" applyAlignment="1">
      <alignment horizontal="center" vertical="top" wrapText="1"/>
    </xf>
    <xf numFmtId="2" fontId="25" fillId="74" borderId="36" xfId="0" applyNumberFormat="1" applyFont="1" applyFill="1" applyBorder="1" applyAlignment="1">
      <alignment horizontal="center" vertical="top" wrapText="1"/>
    </xf>
    <xf numFmtId="4" fontId="25" fillId="74" borderId="82" xfId="0" applyNumberFormat="1" applyFont="1" applyFill="1" applyBorder="1" applyAlignment="1">
      <alignment horizontal="right" vertical="top" wrapText="1"/>
    </xf>
    <xf numFmtId="49" fontId="0" fillId="0" borderId="81" xfId="0" applyNumberFormat="1" applyBorder="1" applyAlignment="1">
      <alignment horizontal="center" vertical="top"/>
    </xf>
    <xf numFmtId="0" fontId="9" fillId="0" borderId="36" xfId="0" applyFont="1" applyBorder="1" applyAlignment="1">
      <alignment horizontal="justify" vertical="top" wrapText="1"/>
    </xf>
    <xf numFmtId="0" fontId="0" fillId="0" borderId="36" xfId="0" applyBorder="1" applyAlignment="1">
      <alignment horizontal="center"/>
    </xf>
    <xf numFmtId="2" fontId="0" fillId="0" borderId="36" xfId="0" applyNumberFormat="1" applyBorder="1" applyAlignment="1">
      <alignment horizontal="center"/>
    </xf>
    <xf numFmtId="201" fontId="0" fillId="0" borderId="82" xfId="0" applyNumberFormat="1" applyBorder="1" applyAlignment="1">
      <alignment horizontal="right"/>
    </xf>
    <xf numFmtId="49" fontId="0" fillId="0" borderId="81" xfId="0" applyNumberFormat="1" applyBorder="1" applyAlignment="1">
      <alignment horizontal="center" vertical="top" wrapText="1"/>
    </xf>
    <xf numFmtId="0" fontId="9" fillId="0" borderId="36" xfId="0" applyFont="1" applyBorder="1" applyAlignment="1">
      <alignment horizontal="justify" vertical="top"/>
    </xf>
    <xf numFmtId="0" fontId="0" fillId="0" borderId="0" xfId="0" applyAlignment="1">
      <alignment horizontal="center" vertical="top"/>
    </xf>
    <xf numFmtId="0" fontId="0" fillId="0" borderId="0" xfId="0" applyAlignment="1">
      <alignment horizontal="justify" vertical="top" wrapText="1"/>
    </xf>
    <xf numFmtId="0" fontId="0" fillId="0" borderId="0" xfId="0" applyAlignment="1">
      <alignment horizontal="center"/>
    </xf>
    <xf numFmtId="0" fontId="0" fillId="0" borderId="36" xfId="0" applyBorder="1" applyAlignment="1">
      <alignment horizontal="justify" vertical="top" wrapText="1"/>
    </xf>
    <xf numFmtId="0" fontId="0" fillId="0" borderId="36" xfId="0" applyBorder="1" applyAlignment="1">
      <alignment horizontal="center" vertical="center" wrapText="1"/>
    </xf>
    <xf numFmtId="2" fontId="0" fillId="0" borderId="36" xfId="0" applyNumberFormat="1" applyBorder="1" applyAlignment="1">
      <alignment horizontal="center" vertical="center" wrapText="1"/>
    </xf>
    <xf numFmtId="49" fontId="9" fillId="0" borderId="81" xfId="0" applyNumberFormat="1" applyFont="1" applyBorder="1" applyAlignment="1">
      <alignment horizontal="center" vertical="top" wrapText="1"/>
    </xf>
    <xf numFmtId="0" fontId="25" fillId="0" borderId="36" xfId="0" applyFont="1" applyBorder="1" applyAlignment="1">
      <alignment horizontal="right" vertical="top" wrapText="1"/>
    </xf>
    <xf numFmtId="2" fontId="0" fillId="0" borderId="36" xfId="0" applyNumberFormat="1" applyBorder="1" applyAlignment="1">
      <alignment horizontal="right" vertical="center" wrapText="1"/>
    </xf>
    <xf numFmtId="0" fontId="0" fillId="0" borderId="36" xfId="0" applyBorder="1" applyAlignment="1">
      <alignment horizontal="right" vertical="top" wrapText="1"/>
    </xf>
    <xf numFmtId="0" fontId="132" fillId="0" borderId="36" xfId="0" applyFont="1" applyBorder="1" applyAlignment="1">
      <alignment horizontal="center"/>
    </xf>
    <xf numFmtId="201" fontId="14" fillId="0" borderId="82" xfId="0" applyNumberFormat="1" applyFont="1" applyBorder="1" applyAlignment="1">
      <alignment horizontal="right" vertical="center" wrapText="1"/>
    </xf>
    <xf numFmtId="0" fontId="25" fillId="74" borderId="83" xfId="0" applyFont="1" applyFill="1" applyBorder="1" applyAlignment="1">
      <alignment horizontal="left" vertical="top" wrapText="1"/>
    </xf>
    <xf numFmtId="4" fontId="25" fillId="74" borderId="84" xfId="0" applyNumberFormat="1" applyFont="1" applyFill="1" applyBorder="1" applyAlignment="1">
      <alignment horizontal="center" vertical="top" wrapText="1"/>
    </xf>
    <xf numFmtId="2" fontId="25" fillId="74" borderId="84" xfId="0" applyNumberFormat="1" applyFont="1" applyFill="1" applyBorder="1" applyAlignment="1">
      <alignment horizontal="center" vertical="top" wrapText="1"/>
    </xf>
    <xf numFmtId="201" fontId="25" fillId="74" borderId="54" xfId="0" applyNumberFormat="1" applyFont="1" applyFill="1" applyBorder="1" applyAlignment="1">
      <alignment horizontal="center" vertical="top" wrapText="1"/>
    </xf>
    <xf numFmtId="0" fontId="0" fillId="0" borderId="84" xfId="0" applyBorder="1" applyAlignment="1">
      <alignment horizontal="justify" vertical="top" wrapText="1"/>
    </xf>
    <xf numFmtId="0" fontId="0" fillId="0" borderId="84" xfId="0" applyBorder="1" applyAlignment="1">
      <alignment horizontal="center" vertical="center" wrapText="1"/>
    </xf>
    <xf numFmtId="2" fontId="0" fillId="0" borderId="84" xfId="0" applyNumberFormat="1" applyBorder="1" applyAlignment="1">
      <alignment horizontal="center" vertical="center" wrapText="1"/>
    </xf>
    <xf numFmtId="2" fontId="0" fillId="0" borderId="84" xfId="0" applyNumberFormat="1" applyBorder="1" applyAlignment="1">
      <alignment horizontal="center"/>
    </xf>
    <xf numFmtId="201" fontId="0" fillId="0" borderId="54" xfId="0" applyNumberFormat="1" applyBorder="1" applyAlignment="1">
      <alignment horizontal="right"/>
    </xf>
    <xf numFmtId="49" fontId="0" fillId="0" borderId="81" xfId="0" applyNumberFormat="1" applyBorder="1" applyAlignment="1">
      <alignment horizontal="left" vertical="top" wrapText="1"/>
    </xf>
    <xf numFmtId="201" fontId="0" fillId="0" borderId="84" xfId="0" applyNumberFormat="1" applyBorder="1" applyAlignment="1">
      <alignment horizontal="right"/>
    </xf>
    <xf numFmtId="49" fontId="126" fillId="0" borderId="81" xfId="0" applyNumberFormat="1" applyFont="1" applyBorder="1" applyAlignment="1">
      <alignment horizontal="center" vertical="top" wrapText="1"/>
    </xf>
    <xf numFmtId="2" fontId="0" fillId="0" borderId="84" xfId="0" applyNumberFormat="1" applyBorder="1" applyAlignment="1">
      <alignment horizontal="right" vertical="center" wrapText="1"/>
    </xf>
    <xf numFmtId="201" fontId="0" fillId="0" borderId="54" xfId="0" applyNumberFormat="1" applyBorder="1" applyAlignment="1">
      <alignment horizontal="right" vertical="center" wrapText="1"/>
    </xf>
    <xf numFmtId="0" fontId="126" fillId="0" borderId="0" xfId="0" applyFont="1" applyAlignment="1">
      <alignment wrapText="1"/>
    </xf>
    <xf numFmtId="0" fontId="9" fillId="0" borderId="84" xfId="0" applyFont="1" applyBorder="1" applyAlignment="1">
      <alignment horizontal="justify" vertical="top" wrapText="1"/>
    </xf>
    <xf numFmtId="0" fontId="9" fillId="0" borderId="84" xfId="0" applyFont="1" applyBorder="1" applyAlignment="1">
      <alignment horizontal="center" vertical="center" wrapText="1"/>
    </xf>
    <xf numFmtId="2" fontId="9" fillId="0" borderId="84" xfId="0" applyNumberFormat="1" applyFont="1" applyBorder="1" applyAlignment="1">
      <alignment horizontal="center" vertical="center" wrapText="1"/>
    </xf>
    <xf numFmtId="0" fontId="0" fillId="0" borderId="83" xfId="0" applyBorder="1" applyAlignment="1">
      <alignment horizontal="justify" vertical="top" wrapText="1"/>
    </xf>
    <xf numFmtId="2" fontId="126" fillId="0" borderId="84" xfId="0" applyNumberFormat="1" applyFont="1" applyBorder="1" applyAlignment="1">
      <alignment horizontal="right" vertical="center" wrapText="1"/>
    </xf>
    <xf numFmtId="0" fontId="25" fillId="0" borderId="84" xfId="0" applyFont="1" applyBorder="1" applyAlignment="1">
      <alignment horizontal="right" vertical="top" wrapText="1"/>
    </xf>
    <xf numFmtId="201" fontId="14" fillId="0" borderId="54" xfId="0" applyNumberFormat="1" applyFont="1" applyBorder="1" applyAlignment="1">
      <alignment horizontal="right" vertical="center" wrapText="1"/>
    </xf>
    <xf numFmtId="0" fontId="25" fillId="74" borderId="84" xfId="0" applyFont="1" applyFill="1" applyBorder="1" applyAlignment="1">
      <alignment horizontal="left" vertical="top" wrapText="1"/>
    </xf>
    <xf numFmtId="0" fontId="25" fillId="74" borderId="84" xfId="0" applyFont="1" applyFill="1" applyBorder="1" applyAlignment="1">
      <alignment horizontal="center" vertical="top" wrapText="1"/>
    </xf>
    <xf numFmtId="201" fontId="25" fillId="74" borderId="54" xfId="0" applyNumberFormat="1" applyFont="1" applyFill="1" applyBorder="1" applyAlignment="1">
      <alignment horizontal="right" vertical="top" wrapText="1"/>
    </xf>
    <xf numFmtId="14" fontId="25" fillId="74" borderId="84" xfId="0" applyNumberFormat="1" applyFont="1" applyFill="1" applyBorder="1" applyAlignment="1">
      <alignment horizontal="center" vertical="top" wrapText="1"/>
    </xf>
    <xf numFmtId="201" fontId="25" fillId="74" borderId="84" xfId="0" applyNumberFormat="1" applyFont="1" applyFill="1" applyBorder="1" applyAlignment="1">
      <alignment horizontal="center" vertical="top" wrapText="1"/>
    </xf>
    <xf numFmtId="203" fontId="0" fillId="0" borderId="81" xfId="0" applyNumberFormat="1" applyBorder="1" applyAlignment="1">
      <alignment horizontal="left" vertical="top" wrapText="1"/>
    </xf>
    <xf numFmtId="14" fontId="25" fillId="74" borderId="81" xfId="0" applyNumberFormat="1" applyFont="1" applyFill="1" applyBorder="1" applyAlignment="1">
      <alignment horizontal="center" vertical="top" wrapText="1"/>
    </xf>
    <xf numFmtId="49" fontId="25" fillId="74" borderId="49" xfId="0" applyNumberFormat="1" applyFont="1" applyFill="1" applyBorder="1" applyAlignment="1">
      <alignment horizontal="center" vertical="top" wrapText="1"/>
    </xf>
    <xf numFmtId="199" fontId="25" fillId="74" borderId="51" xfId="0" applyNumberFormat="1" applyFont="1" applyFill="1" applyBorder="1" applyAlignment="1">
      <alignment horizontal="right" vertical="top" wrapText="1"/>
    </xf>
    <xf numFmtId="49" fontId="0" fillId="0" borderId="61" xfId="0" applyNumberFormat="1" applyBorder="1" applyAlignment="1">
      <alignment horizontal="left" vertical="top" wrapText="1"/>
    </xf>
    <xf numFmtId="199" fontId="0" fillId="0" borderId="84" xfId="0" applyNumberFormat="1" applyBorder="1" applyAlignment="1">
      <alignment horizontal="right" vertical="top" wrapText="1"/>
    </xf>
    <xf numFmtId="49" fontId="0" fillId="0" borderId="87" xfId="0" applyNumberFormat="1" applyBorder="1" applyAlignment="1">
      <alignment horizontal="left" vertical="top" wrapText="1"/>
    </xf>
    <xf numFmtId="204" fontId="25" fillId="74" borderId="66" xfId="0" applyNumberFormat="1" applyFont="1" applyFill="1" applyBorder="1" applyAlignment="1">
      <alignment horizontal="right" wrapText="1"/>
    </xf>
    <xf numFmtId="49" fontId="0" fillId="0" borderId="0" xfId="0" applyNumberFormat="1" applyAlignment="1">
      <alignment wrapText="1"/>
    </xf>
    <xf numFmtId="2" fontId="0" fillId="0" borderId="0" xfId="0" applyNumberFormat="1" applyAlignment="1">
      <alignment wrapText="1"/>
    </xf>
    <xf numFmtId="49" fontId="25" fillId="0" borderId="44" xfId="0" applyNumberFormat="1" applyFont="1" applyBorder="1" applyAlignment="1">
      <alignment horizontal="center"/>
    </xf>
    <xf numFmtId="0" fontId="25" fillId="0" borderId="45" xfId="0" applyFont="1" applyBorder="1" applyAlignment="1"/>
    <xf numFmtId="2" fontId="25" fillId="0" borderId="45" xfId="0" applyNumberFormat="1" applyFont="1" applyBorder="1" applyAlignment="1"/>
    <xf numFmtId="0" fontId="25" fillId="0" borderId="46" xfId="0" applyFont="1" applyBorder="1" applyAlignment="1">
      <alignment vertical="center"/>
    </xf>
    <xf numFmtId="49" fontId="25" fillId="0" borderId="32" xfId="0" applyNumberFormat="1" applyFont="1" applyBorder="1" applyAlignment="1">
      <alignment horizontal="left" vertical="center"/>
    </xf>
    <xf numFmtId="49" fontId="25" fillId="72" borderId="49" xfId="0" applyNumberFormat="1" applyFont="1" applyFill="1" applyBorder="1" applyAlignment="1">
      <alignment horizontal="center" vertical="center" wrapText="1"/>
    </xf>
    <xf numFmtId="0" fontId="14" fillId="0" borderId="99" xfId="0" applyFont="1" applyBorder="1" applyAlignment="1">
      <alignment horizontal="center" vertical="center" wrapText="1"/>
    </xf>
    <xf numFmtId="49" fontId="25" fillId="72" borderId="52" xfId="0" applyNumberFormat="1" applyFont="1" applyFill="1" applyBorder="1" applyAlignment="1">
      <alignment horizontal="center" vertical="center" wrapText="1"/>
    </xf>
    <xf numFmtId="0" fontId="25" fillId="73" borderId="84" xfId="0" applyFont="1" applyFill="1" applyBorder="1" applyAlignment="1">
      <alignment horizontal="justify" vertical="top" wrapText="1"/>
    </xf>
    <xf numFmtId="4" fontId="25" fillId="74" borderId="54" xfId="0" applyNumberFormat="1" applyFont="1" applyFill="1" applyBorder="1" applyAlignment="1">
      <alignment horizontal="right" vertical="center" wrapText="1"/>
    </xf>
    <xf numFmtId="201" fontId="25" fillId="0" borderId="54" xfId="0" applyNumberFormat="1" applyFont="1" applyBorder="1" applyAlignment="1">
      <alignment horizontal="right" vertical="center" wrapText="1"/>
    </xf>
    <xf numFmtId="201" fontId="25" fillId="74" borderId="54" xfId="0" applyNumberFormat="1" applyFont="1" applyFill="1" applyBorder="1" applyAlignment="1">
      <alignment horizontal="right" vertical="center" wrapText="1"/>
    </xf>
    <xf numFmtId="2" fontId="126" fillId="0" borderId="0" xfId="0" applyNumberFormat="1" applyFont="1" applyAlignment="1">
      <alignment wrapText="1"/>
    </xf>
    <xf numFmtId="2" fontId="0" fillId="0" borderId="84" xfId="555" applyNumberFormat="1" applyFont="1" applyBorder="1" applyAlignment="1">
      <alignment horizontal="center" vertical="center" wrapText="1"/>
    </xf>
    <xf numFmtId="201" fontId="0" fillId="0" borderId="84" xfId="555" applyNumberFormat="1" applyFont="1" applyBorder="1" applyAlignment="1">
      <alignment horizontal="right" vertical="center"/>
    </xf>
    <xf numFmtId="2" fontId="0" fillId="0" borderId="84" xfId="555" applyNumberFormat="1" applyFont="1" applyBorder="1" applyAlignment="1">
      <alignment horizontal="right" vertical="top" wrapText="1"/>
    </xf>
    <xf numFmtId="2" fontId="0" fillId="0" borderId="81" xfId="0" applyNumberFormat="1" applyBorder="1" applyAlignment="1">
      <alignment horizontal="center" vertical="top" wrapText="1"/>
    </xf>
    <xf numFmtId="0" fontId="25" fillId="0" borderId="84" xfId="0" applyFont="1" applyBorder="1" applyAlignment="1">
      <alignment horizontal="justify" vertical="top" wrapText="1"/>
    </xf>
    <xf numFmtId="0" fontId="0" fillId="0" borderId="84" xfId="0" applyBorder="1" applyAlignment="1">
      <alignment horizontal="right" vertical="top" wrapText="1"/>
    </xf>
    <xf numFmtId="49" fontId="0" fillId="0" borderId="61" xfId="0" applyNumberFormat="1" applyBorder="1" applyAlignment="1">
      <alignment horizontal="center" vertical="top" wrapText="1"/>
    </xf>
    <xf numFmtId="0" fontId="0" fillId="0" borderId="91" xfId="0" applyBorder="1" applyAlignment="1">
      <alignment horizontal="center" vertical="center" wrapText="1"/>
    </xf>
    <xf numFmtId="2" fontId="0" fillId="0" borderId="91" xfId="0" applyNumberFormat="1" applyBorder="1" applyAlignment="1">
      <alignment horizontal="center" vertical="center" wrapText="1"/>
    </xf>
    <xf numFmtId="201" fontId="25" fillId="0" borderId="67" xfId="0" applyNumberFormat="1" applyFont="1" applyBorder="1" applyAlignment="1">
      <alignment horizontal="right" vertical="center" wrapText="1"/>
    </xf>
    <xf numFmtId="49" fontId="25" fillId="0" borderId="81" xfId="0" applyNumberFormat="1" applyFont="1" applyBorder="1" applyAlignment="1">
      <alignment horizontal="center" vertical="top" wrapText="1"/>
    </xf>
    <xf numFmtId="49" fontId="0" fillId="0" borderId="30" xfId="0" applyNumberFormat="1" applyBorder="1" applyAlignment="1">
      <alignment horizontal="center" vertical="top" wrapText="1"/>
    </xf>
    <xf numFmtId="0" fontId="0" fillId="0" borderId="83" xfId="0" applyBorder="1" applyAlignment="1">
      <alignment horizontal="center" vertical="center" wrapText="1"/>
    </xf>
    <xf numFmtId="202" fontId="0" fillId="0" borderId="54" xfId="0" applyNumberFormat="1" applyBorder="1" applyAlignment="1">
      <alignment horizontal="right" vertical="center" wrapText="1"/>
    </xf>
    <xf numFmtId="4" fontId="25" fillId="74" borderId="51" xfId="0" applyNumberFormat="1" applyFont="1" applyFill="1" applyBorder="1" applyAlignment="1">
      <alignment horizontal="right" vertical="center" wrapText="1"/>
    </xf>
    <xf numFmtId="49" fontId="25" fillId="0" borderId="61" xfId="0" applyNumberFormat="1" applyFont="1" applyBorder="1" applyAlignment="1">
      <alignment horizontal="center" vertical="top" wrapText="1"/>
    </xf>
    <xf numFmtId="205" fontId="0" fillId="0" borderId="84" xfId="0" applyNumberFormat="1" applyBorder="1" applyAlignment="1">
      <alignment vertical="center" wrapText="1"/>
    </xf>
    <xf numFmtId="49" fontId="0" fillId="0" borderId="87" xfId="0" applyNumberFormat="1" applyBorder="1" applyAlignment="1">
      <alignment horizontal="center" vertical="top" wrapText="1"/>
    </xf>
    <xf numFmtId="205" fontId="25" fillId="74" borderId="92" xfId="0" applyNumberFormat="1" applyFont="1" applyFill="1" applyBorder="1" applyAlignment="1">
      <alignment vertical="center" wrapText="1"/>
    </xf>
    <xf numFmtId="49" fontId="0" fillId="0" borderId="0" xfId="0" applyNumberFormat="1" applyAlignment="1">
      <alignment horizontal="center" wrapText="1"/>
    </xf>
    <xf numFmtId="0" fontId="0" fillId="0" borderId="0" xfId="0" applyAlignment="1">
      <alignment vertical="center" wrapText="1"/>
    </xf>
    <xf numFmtId="2" fontId="0" fillId="0" borderId="84" xfId="555" applyNumberFormat="1" applyFont="1" applyBorder="1" applyAlignment="1" applyProtection="1">
      <alignment horizontal="center" vertical="center" wrapText="1"/>
      <protection locked="0"/>
    </xf>
    <xf numFmtId="0" fontId="144" fillId="0" borderId="0" xfId="0" applyFont="1" applyAlignment="1">
      <alignment horizontal="justify" vertical="center"/>
    </xf>
    <xf numFmtId="0" fontId="14" fillId="0" borderId="0" xfId="0" applyFont="1" applyAlignment="1">
      <alignment vertical="center"/>
    </xf>
    <xf numFmtId="0" fontId="25" fillId="65" borderId="66" xfId="0" applyFont="1" applyFill="1" applyBorder="1" applyAlignment="1">
      <alignment horizontal="justify"/>
    </xf>
    <xf numFmtId="2" fontId="144" fillId="0" borderId="69" xfId="0" applyNumberFormat="1" applyFont="1" applyBorder="1" applyAlignment="1">
      <alignment horizontal="justify" wrapText="1"/>
    </xf>
    <xf numFmtId="210" fontId="144" fillId="0" borderId="69" xfId="0" applyNumberFormat="1" applyFont="1" applyBorder="1" applyAlignment="1">
      <alignment horizontal="right" wrapText="1"/>
    </xf>
    <xf numFmtId="0" fontId="144" fillId="0" borderId="0" xfId="0" applyFont="1" applyAlignment="1">
      <alignment horizontal="right" wrapText="1"/>
    </xf>
    <xf numFmtId="2" fontId="9" fillId="0" borderId="0" xfId="0" applyNumberFormat="1" applyFont="1" applyAlignment="1">
      <alignment horizontal="justify"/>
    </xf>
    <xf numFmtId="2" fontId="144" fillId="0" borderId="0" xfId="0" applyNumberFormat="1" applyFont="1" applyAlignment="1">
      <alignment horizontal="justify" wrapText="1"/>
    </xf>
    <xf numFmtId="210" fontId="144" fillId="0" borderId="0" xfId="0" applyNumberFormat="1" applyFont="1" applyAlignment="1">
      <alignment horizontal="right" wrapText="1"/>
    </xf>
    <xf numFmtId="0" fontId="9" fillId="0" borderId="0" xfId="0" applyFont="1" applyAlignment="1">
      <alignment horizontal="center" vertical="center" wrapText="1"/>
    </xf>
    <xf numFmtId="2" fontId="9" fillId="0" borderId="0" xfId="0" applyNumberFormat="1" applyFont="1" applyAlignment="1">
      <alignment horizontal="justify" wrapText="1"/>
    </xf>
    <xf numFmtId="210" fontId="9" fillId="0" borderId="0" xfId="0" applyNumberFormat="1" applyFont="1" applyAlignment="1">
      <alignment horizontal="right" wrapText="1"/>
    </xf>
    <xf numFmtId="2" fontId="144" fillId="0" borderId="70" xfId="0" applyNumberFormat="1" applyFont="1" applyBorder="1" applyAlignment="1">
      <alignment horizontal="justify" wrapText="1"/>
    </xf>
    <xf numFmtId="210" fontId="9" fillId="0" borderId="70" xfId="0" applyNumberFormat="1" applyFont="1" applyBorder="1" applyAlignment="1">
      <alignment horizontal="right" wrapText="1"/>
    </xf>
    <xf numFmtId="0" fontId="9" fillId="0" borderId="0" xfId="1884" applyFont="1" applyProtection="1">
      <alignment horizontal="justify"/>
    </xf>
    <xf numFmtId="0" fontId="144" fillId="0" borderId="70" xfId="0" applyFont="1" applyBorder="1" applyAlignment="1">
      <alignment horizontal="center" vertical="center" wrapText="1"/>
    </xf>
    <xf numFmtId="2" fontId="9" fillId="0" borderId="70" xfId="0" applyNumberFormat="1" applyFont="1" applyBorder="1" applyAlignment="1">
      <alignment horizontal="justify" wrapText="1"/>
    </xf>
    <xf numFmtId="0" fontId="144" fillId="0" borderId="69" xfId="0" applyFont="1" applyBorder="1" applyAlignment="1">
      <alignment horizontal="center" vertical="center" wrapText="1"/>
    </xf>
    <xf numFmtId="0" fontId="9" fillId="0" borderId="69" xfId="0" applyFont="1" applyBorder="1" applyAlignment="1">
      <alignment horizontal="justify" wrapText="1"/>
    </xf>
    <xf numFmtId="2" fontId="9" fillId="0" borderId="69" xfId="0" applyNumberFormat="1" applyFont="1" applyBorder="1" applyAlignment="1">
      <alignment horizontal="justify" wrapText="1"/>
    </xf>
    <xf numFmtId="210" fontId="9" fillId="0" borderId="69" xfId="0" applyNumberFormat="1" applyFont="1" applyBorder="1" applyAlignment="1">
      <alignment horizontal="right" wrapText="1"/>
    </xf>
    <xf numFmtId="2" fontId="144" fillId="0" borderId="0" xfId="0" applyNumberFormat="1" applyFont="1" applyAlignment="1">
      <alignment horizontal="justify" vertical="center" wrapText="1"/>
    </xf>
    <xf numFmtId="210" fontId="144" fillId="0" borderId="0" xfId="0" applyNumberFormat="1" applyFont="1" applyAlignment="1">
      <alignment horizontal="right" vertical="center" wrapText="1"/>
    </xf>
    <xf numFmtId="2" fontId="146" fillId="0" borderId="0" xfId="0" applyNumberFormat="1" applyFont="1" applyAlignment="1">
      <alignment horizontal="justify" wrapText="1"/>
    </xf>
    <xf numFmtId="210" fontId="146" fillId="0" borderId="0" xfId="0" applyNumberFormat="1" applyFont="1" applyAlignment="1">
      <alignment horizontal="right" wrapText="1"/>
    </xf>
    <xf numFmtId="210" fontId="144" fillId="0" borderId="70" xfId="0" applyNumberFormat="1" applyFont="1" applyBorder="1" applyAlignment="1">
      <alignment horizontal="right" wrapText="1"/>
    </xf>
    <xf numFmtId="0" fontId="144" fillId="0" borderId="0" xfId="0" applyFont="1" applyAlignment="1">
      <alignment horizontal="justify" vertical="center" wrapText="1"/>
    </xf>
    <xf numFmtId="0" fontId="144" fillId="0" borderId="69" xfId="0" applyFont="1" applyBorder="1" applyAlignment="1">
      <alignment horizontal="justify" vertical="center" wrapText="1"/>
    </xf>
    <xf numFmtId="0" fontId="15" fillId="0" borderId="0" xfId="1884" applyFont="1" applyAlignment="1" applyProtection="1">
      <alignment horizontal="justify" wrapText="1"/>
    </xf>
    <xf numFmtId="0" fontId="9" fillId="0" borderId="0" xfId="1884" applyFont="1" applyAlignment="1" applyProtection="1">
      <alignment horizontal="center" wrapText="1"/>
    </xf>
    <xf numFmtId="0" fontId="144" fillId="0" borderId="0" xfId="1884" applyFont="1" applyAlignment="1" applyProtection="1">
      <alignment horizontal="center" wrapText="1"/>
    </xf>
    <xf numFmtId="206" fontId="148" fillId="0" borderId="71" xfId="0" applyNumberFormat="1" applyFont="1" applyBorder="1" applyAlignment="1">
      <alignment horizontal="justify" wrapText="1"/>
    </xf>
    <xf numFmtId="2" fontId="148" fillId="0" borderId="71" xfId="0" applyNumberFormat="1" applyFont="1" applyBorder="1" applyAlignment="1">
      <alignment horizontal="right" wrapText="1"/>
    </xf>
    <xf numFmtId="206" fontId="144" fillId="0" borderId="0" xfId="0" applyNumberFormat="1" applyFont="1" applyAlignment="1">
      <alignment horizontal="justify" wrapText="1"/>
    </xf>
    <xf numFmtId="2" fontId="144" fillId="0" borderId="0" xfId="0" applyNumberFormat="1" applyFont="1" applyAlignment="1">
      <alignment horizontal="right" wrapText="1"/>
    </xf>
    <xf numFmtId="0" fontId="144" fillId="0" borderId="0" xfId="0" applyFont="1" applyAlignment="1">
      <alignment horizontal="justify" wrapText="1"/>
    </xf>
    <xf numFmtId="0" fontId="9" fillId="0" borderId="11" xfId="0" applyFont="1" applyBorder="1" applyAlignment="1">
      <alignment horizontal="justify"/>
    </xf>
    <xf numFmtId="0" fontId="149" fillId="0" borderId="0" xfId="0" applyFont="1" applyAlignment="1">
      <alignment horizontal="justify"/>
    </xf>
    <xf numFmtId="0" fontId="149" fillId="0" borderId="0" xfId="0" applyFont="1" applyAlignment="1">
      <alignment horizontal="center"/>
    </xf>
    <xf numFmtId="0" fontId="149" fillId="0" borderId="0" xfId="0" applyFont="1" applyAlignment="1">
      <alignment horizontal="justify" vertical="top"/>
    </xf>
    <xf numFmtId="0" fontId="149" fillId="0" borderId="0" xfId="0" applyFont="1" applyAlignment="1">
      <alignment horizontal="justify" vertical="center"/>
    </xf>
    <xf numFmtId="0" fontId="144" fillId="0" borderId="0" xfId="0" applyFont="1" applyAlignment="1">
      <alignment horizontal="right" vertical="center"/>
    </xf>
    <xf numFmtId="0" fontId="146" fillId="0" borderId="0" xfId="0" applyFont="1" applyAlignment="1">
      <alignment horizontal="justify"/>
    </xf>
    <xf numFmtId="2" fontId="9" fillId="0" borderId="0" xfId="0" applyNumberFormat="1" applyFont="1" applyAlignment="1" applyProtection="1">
      <alignment horizontal="justify" wrapText="1"/>
      <protection locked="0"/>
    </xf>
    <xf numFmtId="2" fontId="144" fillId="0" borderId="0" xfId="0" applyNumberFormat="1" applyFont="1" applyAlignment="1" applyProtection="1">
      <alignment horizontal="justify" wrapText="1"/>
      <protection locked="0"/>
    </xf>
    <xf numFmtId="201" fontId="167" fillId="75" borderId="36" xfId="1889" applyNumberFormat="1" applyFont="1" applyFill="1" applyBorder="1" applyAlignment="1" applyProtection="1">
      <alignment horizontal="center" vertical="center" wrapText="1"/>
      <protection locked="0"/>
    </xf>
    <xf numFmtId="201" fontId="174" fillId="0" borderId="36" xfId="1889" applyNumberFormat="1" applyFont="1" applyBorder="1" applyAlignment="1" applyProtection="1">
      <alignment horizontal="center" vertical="center"/>
      <protection locked="0"/>
    </xf>
    <xf numFmtId="201" fontId="174" fillId="0" borderId="36" xfId="1892" applyNumberFormat="1" applyFont="1" applyBorder="1" applyAlignment="1" applyProtection="1">
      <alignment horizontal="right" vertical="center"/>
      <protection locked="0"/>
    </xf>
    <xf numFmtId="201" fontId="174" fillId="78" borderId="36" xfId="1889" applyNumberFormat="1" applyFont="1" applyFill="1" applyBorder="1" applyAlignment="1" applyProtection="1">
      <alignment horizontal="center" vertical="center"/>
      <protection locked="0"/>
    </xf>
    <xf numFmtId="4" fontId="167" fillId="0" borderId="36" xfId="1892" applyNumberFormat="1" applyFont="1" applyBorder="1" applyAlignment="1" applyProtection="1">
      <alignment horizontal="center" vertical="center" wrapText="1"/>
      <protection locked="0"/>
    </xf>
    <xf numFmtId="201" fontId="174" fillId="0" borderId="36" xfId="1892" applyNumberFormat="1" applyFont="1" applyBorder="1" applyAlignment="1" applyProtection="1">
      <alignment horizontal="center" vertical="center"/>
      <protection locked="0"/>
    </xf>
    <xf numFmtId="201" fontId="180" fillId="0" borderId="36" xfId="1892" applyNumberFormat="1" applyFont="1" applyBorder="1" applyAlignment="1" applyProtection="1">
      <alignment horizontal="center" vertical="center"/>
      <protection locked="0"/>
    </xf>
    <xf numFmtId="0" fontId="103" fillId="0" borderId="0" xfId="0" applyFont="1" applyProtection="1">
      <alignment vertical="top"/>
      <protection locked="0"/>
    </xf>
    <xf numFmtId="0" fontId="177" fillId="0" borderId="36" xfId="1888" applyFont="1" applyBorder="1" applyAlignment="1">
      <alignment vertical="top" wrapText="1"/>
    </xf>
    <xf numFmtId="0" fontId="173" fillId="0" borderId="91" xfId="1888" applyFont="1" applyBorder="1" applyAlignment="1">
      <alignment horizontal="right" vertical="top"/>
    </xf>
    <xf numFmtId="0" fontId="173" fillId="0" borderId="40" xfId="1888" applyFont="1" applyBorder="1" applyAlignment="1">
      <alignment horizontal="right" vertical="top"/>
    </xf>
    <xf numFmtId="49" fontId="173" fillId="0" borderId="91" xfId="1888" quotePrefix="1" applyNumberFormat="1" applyFont="1" applyBorder="1" applyAlignment="1">
      <alignment horizontal="left" vertical="top" wrapText="1"/>
    </xf>
    <xf numFmtId="49" fontId="173" fillId="0" borderId="40" xfId="1888" quotePrefix="1" applyNumberFormat="1" applyFont="1" applyBorder="1" applyAlignment="1">
      <alignment horizontal="left" vertical="top" wrapText="1"/>
    </xf>
    <xf numFmtId="0" fontId="173" fillId="0" borderId="40" xfId="1888" applyFont="1" applyBorder="1" applyAlignment="1">
      <alignment horizontal="center" vertical="center"/>
    </xf>
    <xf numFmtId="201" fontId="174" fillId="0" borderId="40" xfId="1889" applyNumberFormat="1" applyFont="1" applyBorder="1" applyAlignment="1" applyProtection="1">
      <alignment horizontal="center" vertical="center"/>
      <protection locked="0"/>
    </xf>
    <xf numFmtId="201" fontId="174" fillId="0" borderId="40" xfId="1889" applyNumberFormat="1" applyFont="1" applyBorder="1" applyAlignment="1">
      <alignment horizontal="center" vertical="center"/>
    </xf>
    <xf numFmtId="0" fontId="186" fillId="0" borderId="91" xfId="1888" applyFont="1" applyBorder="1" applyAlignment="1">
      <alignment horizontal="center" vertical="center"/>
    </xf>
    <xf numFmtId="201" fontId="172" fillId="0" borderId="91" xfId="1889" applyNumberFormat="1" applyFont="1" applyBorder="1" applyAlignment="1" applyProtection="1">
      <alignment horizontal="center" vertical="center"/>
      <protection locked="0"/>
    </xf>
    <xf numFmtId="201" fontId="172" fillId="0" borderId="91" xfId="1889" applyNumberFormat="1" applyFont="1" applyBorder="1" applyAlignment="1">
      <alignment horizontal="center" vertical="center"/>
    </xf>
    <xf numFmtId="0" fontId="115" fillId="0" borderId="31" xfId="0" applyFont="1" applyBorder="1" applyAlignment="1">
      <alignment horizontal="right" vertical="center" wrapText="1"/>
    </xf>
    <xf numFmtId="0" fontId="114" fillId="0" borderId="0" xfId="0" applyFont="1" applyAlignment="1">
      <alignment horizontal="center" vertical="top" wrapText="1"/>
    </xf>
    <xf numFmtId="0" fontId="102" fillId="0" borderId="0" xfId="0" applyFont="1" applyAlignment="1">
      <alignment horizontal="center" vertical="top"/>
    </xf>
    <xf numFmtId="0" fontId="103" fillId="0" borderId="74" xfId="0" applyFont="1" applyBorder="1" applyAlignment="1"/>
    <xf numFmtId="0" fontId="0" fillId="0" borderId="74" xfId="0" applyBorder="1" applyAlignment="1"/>
    <xf numFmtId="0" fontId="103" fillId="67" borderId="36" xfId="0" applyFont="1" applyFill="1" applyBorder="1" applyAlignment="1">
      <alignment horizontal="center" vertical="center" wrapText="1"/>
    </xf>
    <xf numFmtId="49" fontId="103" fillId="67" borderId="36" xfId="0" applyNumberFormat="1" applyFont="1" applyFill="1" applyBorder="1" applyAlignment="1">
      <alignment horizontal="center" vertical="center" wrapText="1"/>
    </xf>
    <xf numFmtId="0" fontId="103" fillId="67" borderId="38" xfId="0" applyFont="1" applyFill="1" applyBorder="1" applyAlignment="1">
      <alignment horizontal="center" vertical="center" wrapText="1"/>
    </xf>
    <xf numFmtId="0" fontId="103" fillId="67" borderId="39" xfId="0" applyFont="1" applyFill="1" applyBorder="1" applyAlignment="1">
      <alignment horizontal="center" vertical="center" wrapText="1"/>
    </xf>
    <xf numFmtId="0" fontId="103" fillId="67" borderId="40" xfId="0" applyFont="1" applyFill="1" applyBorder="1" applyAlignment="1">
      <alignment horizontal="center" vertical="center" wrapText="1"/>
    </xf>
    <xf numFmtId="2" fontId="103" fillId="67" borderId="36" xfId="0" applyNumberFormat="1" applyFont="1" applyFill="1" applyBorder="1" applyAlignment="1">
      <alignment horizontal="center" vertical="center" wrapText="1"/>
    </xf>
    <xf numFmtId="2" fontId="103" fillId="67" borderId="72" xfId="0" applyNumberFormat="1" applyFont="1" applyFill="1" applyBorder="1" applyAlignment="1">
      <alignment horizontal="center" vertical="center" wrapText="1"/>
    </xf>
    <xf numFmtId="2" fontId="103" fillId="67" borderId="73" xfId="0" applyNumberFormat="1" applyFont="1" applyFill="1" applyBorder="1" applyAlignment="1">
      <alignment horizontal="center" vertical="center" wrapText="1"/>
    </xf>
    <xf numFmtId="2" fontId="103" fillId="67" borderId="75" xfId="0" applyNumberFormat="1" applyFont="1" applyFill="1" applyBorder="1" applyAlignment="1">
      <alignment horizontal="center" vertical="center" wrapText="1"/>
    </xf>
    <xf numFmtId="2" fontId="103" fillId="67" borderId="76" xfId="0" applyNumberFormat="1" applyFont="1" applyFill="1" applyBorder="1" applyAlignment="1">
      <alignment horizontal="center" vertical="center" wrapText="1"/>
    </xf>
    <xf numFmtId="0" fontId="103" fillId="0" borderId="74" xfId="0" applyFont="1" applyBorder="1" applyAlignment="1">
      <alignment horizontal="center"/>
    </xf>
    <xf numFmtId="2" fontId="103" fillId="0" borderId="0" xfId="0" quotePrefix="1" applyNumberFormat="1" applyFont="1" applyAlignment="1" applyProtection="1">
      <alignment horizontal="left" vertical="top" wrapText="1" shrinkToFit="1" readingOrder="1"/>
      <protection locked="0"/>
    </xf>
    <xf numFmtId="2" fontId="103" fillId="0" borderId="0" xfId="0" applyNumberFormat="1" applyFont="1" applyAlignment="1" applyProtection="1">
      <alignment horizontal="left" vertical="top" wrapText="1" shrinkToFit="1" readingOrder="1"/>
      <protection locked="0"/>
    </xf>
    <xf numFmtId="0" fontId="14" fillId="0" borderId="0" xfId="556" applyFont="1" applyAlignment="1">
      <alignment horizontal="left" vertical="center" wrapText="1"/>
    </xf>
    <xf numFmtId="0" fontId="0" fillId="0" borderId="0" xfId="556" applyFont="1" applyAlignment="1">
      <alignment horizontal="left"/>
    </xf>
    <xf numFmtId="0" fontId="103" fillId="0" borderId="0" xfId="0" applyFont="1" applyAlignment="1">
      <alignment horizontal="left" vertical="top" wrapText="1"/>
    </xf>
    <xf numFmtId="0" fontId="102" fillId="0" borderId="0" xfId="0" applyFont="1" applyAlignment="1">
      <alignment horizontal="left"/>
    </xf>
    <xf numFmtId="2" fontId="103" fillId="0" borderId="0" xfId="0" applyNumberFormat="1" applyFont="1" applyAlignment="1" applyProtection="1">
      <alignment horizontal="justify" vertical="top" wrapText="1" shrinkToFit="1" readingOrder="1"/>
      <protection locked="0"/>
    </xf>
    <xf numFmtId="0" fontId="103" fillId="0" borderId="0" xfId="0" quotePrefix="1" applyFont="1" applyAlignment="1" applyProtection="1">
      <alignment horizontal="left" vertical="top" wrapText="1"/>
      <protection locked="0"/>
    </xf>
    <xf numFmtId="0" fontId="103" fillId="0" borderId="0" xfId="0" applyFont="1" applyAlignment="1" applyProtection="1">
      <alignment horizontal="left" vertical="top" wrapText="1"/>
      <protection locked="0"/>
    </xf>
    <xf numFmtId="2" fontId="103" fillId="0" borderId="0" xfId="0" quotePrefix="1" applyNumberFormat="1" applyFont="1" applyAlignment="1" applyProtection="1">
      <alignment horizontal="justify" vertical="top" wrapText="1" shrinkToFit="1" readingOrder="1"/>
      <protection locked="0"/>
    </xf>
    <xf numFmtId="0" fontId="103" fillId="0" borderId="0" xfId="0" applyFont="1" applyAlignment="1">
      <alignment wrapText="1"/>
    </xf>
    <xf numFmtId="0" fontId="103" fillId="0" borderId="0" xfId="0" applyFont="1" applyAlignment="1"/>
    <xf numFmtId="0" fontId="113" fillId="0" borderId="0" xfId="0" applyFont="1" applyAlignment="1">
      <alignment horizontal="left" vertical="top" wrapText="1"/>
    </xf>
    <xf numFmtId="0" fontId="9" fillId="0" borderId="0" xfId="0" applyFont="1" applyAlignment="1">
      <alignment horizontal="center"/>
    </xf>
    <xf numFmtId="0" fontId="9" fillId="0" borderId="0" xfId="0" applyFont="1">
      <alignment vertical="top"/>
    </xf>
    <xf numFmtId="0" fontId="14" fillId="0" borderId="0" xfId="0" applyFont="1" applyAlignment="1">
      <alignment horizontal="justify" vertical="top" wrapText="1"/>
    </xf>
    <xf numFmtId="0" fontId="14" fillId="0" borderId="0" xfId="0" applyFont="1" applyAlignment="1">
      <alignment horizontal="left" vertical="top" wrapText="1"/>
    </xf>
    <xf numFmtId="0" fontId="14" fillId="0" borderId="0" xfId="0" applyFont="1" applyAlignment="1">
      <alignment horizontal="left" wrapText="1"/>
    </xf>
    <xf numFmtId="0" fontId="14" fillId="0" borderId="0" xfId="1711" applyFont="1" applyAlignment="1">
      <alignment horizontal="justify" vertical="top" wrapText="1"/>
    </xf>
    <xf numFmtId="0" fontId="9" fillId="67" borderId="36" xfId="0" applyFont="1" applyFill="1" applyBorder="1" applyAlignment="1">
      <alignment horizontal="center" vertical="center" wrapText="1"/>
    </xf>
    <xf numFmtId="49" fontId="9" fillId="67" borderId="36" xfId="0" applyNumberFormat="1" applyFont="1" applyFill="1" applyBorder="1" applyAlignment="1">
      <alignment horizontal="center" vertical="center" wrapText="1"/>
    </xf>
    <xf numFmtId="2" fontId="9" fillId="67" borderId="36" xfId="0" applyNumberFormat="1" applyFont="1" applyFill="1" applyBorder="1" applyAlignment="1">
      <alignment horizontal="center" vertical="center" wrapText="1"/>
    </xf>
    <xf numFmtId="4" fontId="9" fillId="67" borderId="36" xfId="0" applyNumberFormat="1" applyFont="1" applyFill="1" applyBorder="1" applyAlignment="1">
      <alignment horizontal="center" vertical="center" wrapText="1"/>
    </xf>
    <xf numFmtId="0" fontId="14" fillId="0" borderId="0" xfId="0" applyFont="1" applyAlignment="1">
      <alignment horizontal="left" vertical="top"/>
    </xf>
    <xf numFmtId="0" fontId="123" fillId="0" borderId="0" xfId="0" applyFont="1" applyAlignment="1">
      <alignment horizontal="left" vertical="center" wrapText="1"/>
    </xf>
    <xf numFmtId="0" fontId="9" fillId="0" borderId="74" xfId="0" applyFont="1" applyBorder="1" applyAlignment="1">
      <alignment horizontal="center"/>
    </xf>
    <xf numFmtId="0" fontId="14" fillId="0" borderId="0" xfId="0" applyFont="1" applyAlignment="1"/>
    <xf numFmtId="0" fontId="9" fillId="0" borderId="0" xfId="0" applyFont="1" applyAlignment="1"/>
    <xf numFmtId="0" fontId="14" fillId="0" borderId="0" xfId="0" applyFont="1" applyAlignment="1">
      <alignment horizontal="left"/>
    </xf>
    <xf numFmtId="0" fontId="14" fillId="0" borderId="0" xfId="0" applyFont="1" applyAlignment="1">
      <alignment horizontal="left" vertical="center"/>
    </xf>
    <xf numFmtId="0" fontId="14" fillId="0" borderId="43" xfId="0" applyFont="1" applyBorder="1" applyAlignment="1">
      <alignment horizontal="center"/>
    </xf>
    <xf numFmtId="0" fontId="9" fillId="0" borderId="0" xfId="0" applyFont="1" applyAlignment="1">
      <alignment horizontal="justify" vertical="top" wrapText="1"/>
    </xf>
    <xf numFmtId="0" fontId="14" fillId="0" borderId="0" xfId="1711" applyFont="1" applyAlignment="1">
      <alignment horizontal="justify" wrapText="1"/>
    </xf>
    <xf numFmtId="0" fontId="14" fillId="0" borderId="0" xfId="0" applyFont="1" applyAlignment="1">
      <alignment horizontal="justify"/>
    </xf>
    <xf numFmtId="0" fontId="14" fillId="0" borderId="43" xfId="0" applyFont="1" applyBorder="1" applyAlignment="1">
      <alignment horizontal="left" vertical="center" wrapText="1"/>
    </xf>
    <xf numFmtId="0" fontId="14" fillId="0" borderId="0" xfId="0" applyFont="1" applyAlignment="1">
      <alignment horizontal="justify" vertical="center"/>
    </xf>
    <xf numFmtId="4" fontId="14" fillId="0" borderId="0" xfId="0" applyNumberFormat="1" applyFont="1" applyAlignment="1">
      <alignment horizontal="justify" vertical="center" wrapText="1"/>
    </xf>
    <xf numFmtId="0" fontId="133" fillId="0" borderId="0" xfId="0" applyFont="1" applyAlignment="1">
      <alignment horizontal="left" wrapText="1"/>
    </xf>
    <xf numFmtId="211" fontId="117" fillId="0" borderId="0" xfId="0" applyNumberFormat="1" applyFont="1" applyAlignment="1">
      <alignment vertical="top" wrapText="1"/>
    </xf>
    <xf numFmtId="211" fontId="117" fillId="0" borderId="10" xfId="0" applyNumberFormat="1" applyFont="1" applyBorder="1" applyAlignment="1">
      <alignment vertical="top" wrapText="1"/>
    </xf>
    <xf numFmtId="0" fontId="141" fillId="0" borderId="11" xfId="0" applyFont="1" applyBorder="1" applyAlignment="1">
      <alignment horizontal="left" vertical="center" wrapText="1"/>
    </xf>
    <xf numFmtId="0" fontId="153" fillId="0" borderId="0" xfId="0" applyFont="1" applyAlignment="1">
      <alignment horizontal="left" vertical="top" wrapText="1"/>
    </xf>
    <xf numFmtId="0" fontId="153" fillId="0" borderId="0" xfId="0" applyFont="1" applyAlignment="1">
      <alignment horizontal="left" wrapText="1"/>
    </xf>
    <xf numFmtId="210" fontId="117" fillId="0" borderId="0" xfId="0" applyNumberFormat="1" applyFont="1" applyAlignment="1">
      <alignment horizontal="center" vertical="top" wrapText="1"/>
    </xf>
    <xf numFmtId="210" fontId="117" fillId="0" borderId="10" xfId="0" applyNumberFormat="1" applyFont="1" applyBorder="1" applyAlignment="1">
      <alignment horizontal="center" vertical="top" wrapText="1"/>
    </xf>
    <xf numFmtId="0" fontId="146" fillId="0" borderId="0" xfId="0" applyFont="1" applyAlignment="1">
      <alignment horizontal="center" vertical="center" textRotation="90"/>
    </xf>
    <xf numFmtId="210" fontId="153" fillId="0" borderId="0" xfId="0" applyNumberFormat="1" applyFont="1" applyAlignment="1">
      <alignment horizontal="center"/>
    </xf>
    <xf numFmtId="0" fontId="93" fillId="0" borderId="11" xfId="0" applyFont="1" applyBorder="1" applyAlignment="1">
      <alignment horizontal="left" vertical="center" wrapText="1"/>
    </xf>
    <xf numFmtId="0" fontId="153" fillId="0" borderId="0" xfId="0" applyFont="1" applyAlignment="1">
      <alignment horizontal="left"/>
    </xf>
    <xf numFmtId="210" fontId="153" fillId="0" borderId="0" xfId="0" applyNumberFormat="1" applyFont="1" applyAlignment="1">
      <alignment horizontal="center" wrapText="1"/>
    </xf>
    <xf numFmtId="0" fontId="142" fillId="0" borderId="11" xfId="0" applyFont="1" applyBorder="1" applyAlignment="1">
      <alignment horizontal="left" vertical="center" wrapText="1"/>
    </xf>
    <xf numFmtId="0" fontId="117" fillId="0" borderId="0" xfId="603" applyFont="1" applyAlignment="1">
      <alignment horizontal="left" vertical="top" wrapText="1"/>
    </xf>
    <xf numFmtId="210" fontId="117" fillId="0" borderId="0" xfId="603" applyNumberFormat="1" applyFont="1" applyAlignment="1">
      <alignment horizontal="center" vertical="top" wrapText="1"/>
    </xf>
    <xf numFmtId="210" fontId="117" fillId="0" borderId="10" xfId="603" applyNumberFormat="1" applyFont="1" applyBorder="1" applyAlignment="1">
      <alignment horizontal="center" vertical="top" wrapText="1"/>
    </xf>
    <xf numFmtId="210" fontId="153" fillId="0" borderId="0" xfId="603" applyNumberFormat="1" applyFont="1" applyAlignment="1">
      <alignment horizontal="center"/>
    </xf>
    <xf numFmtId="0" fontId="146" fillId="0" borderId="0" xfId="603" applyFont="1" applyAlignment="1">
      <alignment horizontal="center" vertical="center" textRotation="90" wrapText="1"/>
    </xf>
    <xf numFmtId="210" fontId="153" fillId="0" borderId="0" xfId="0" applyNumberFormat="1" applyFont="1" applyAlignment="1">
      <alignment horizontal="center" vertical="top" wrapText="1"/>
    </xf>
    <xf numFmtId="210" fontId="153" fillId="0" borderId="10" xfId="0" applyNumberFormat="1" applyFont="1" applyBorder="1" applyAlignment="1">
      <alignment horizontal="center" vertical="top" wrapText="1"/>
    </xf>
    <xf numFmtId="0" fontId="148" fillId="0" borderId="0" xfId="0" applyFont="1" applyAlignment="1">
      <alignment horizontal="justify" vertical="center" wrapText="1"/>
    </xf>
    <xf numFmtId="0" fontId="7" fillId="0" borderId="11" xfId="0" applyFont="1" applyBorder="1" applyAlignment="1">
      <alignment horizontal="left" vertical="center" wrapText="1"/>
    </xf>
    <xf numFmtId="0" fontId="7" fillId="0" borderId="93" xfId="0" applyFont="1" applyBorder="1" applyAlignment="1">
      <alignment horizontal="center"/>
    </xf>
    <xf numFmtId="0" fontId="162" fillId="0" borderId="0" xfId="0" applyFont="1" applyAlignment="1">
      <alignment horizontal="justify" vertical="top" wrapText="1"/>
    </xf>
    <xf numFmtId="0" fontId="14" fillId="0" borderId="0" xfId="0" applyFont="1" applyAlignment="1">
      <alignment horizontal="right"/>
    </xf>
    <xf numFmtId="0" fontId="153" fillId="0" borderId="0" xfId="0" applyFont="1" applyAlignment="1">
      <alignment horizontal="justify" vertical="top" wrapText="1"/>
    </xf>
    <xf numFmtId="0" fontId="153" fillId="0" borderId="0" xfId="0" applyFont="1" applyAlignment="1">
      <alignment horizontal="justify" vertical="top"/>
    </xf>
    <xf numFmtId="0" fontId="9" fillId="0" borderId="85" xfId="0" applyFont="1" applyBorder="1" applyAlignment="1">
      <alignment horizontal="left" vertical="top" wrapText="1"/>
    </xf>
    <xf numFmtId="0" fontId="9" fillId="0" borderId="86" xfId="0" applyFont="1" applyBorder="1" applyAlignment="1">
      <alignment horizontal="left" vertical="top" wrapText="1"/>
    </xf>
    <xf numFmtId="0" fontId="9" fillId="0" borderId="83" xfId="0" applyFont="1" applyBorder="1" applyAlignment="1">
      <alignment horizontal="left" vertical="top" wrapText="1"/>
    </xf>
    <xf numFmtId="0" fontId="25" fillId="0" borderId="44" xfId="0" applyFont="1" applyBorder="1" applyAlignment="1">
      <alignment horizontal="center" wrapText="1"/>
    </xf>
    <xf numFmtId="0" fontId="25" fillId="0" borderId="45" xfId="0" applyFont="1" applyBorder="1" applyAlignment="1">
      <alignment horizontal="center" wrapText="1"/>
    </xf>
    <xf numFmtId="0" fontId="25" fillId="0" borderId="46" xfId="0" applyFont="1" applyBorder="1" applyAlignment="1">
      <alignment horizontal="center" wrapText="1"/>
    </xf>
    <xf numFmtId="0" fontId="25" fillId="0" borderId="0" xfId="0" applyFont="1" applyAlignment="1">
      <alignment horizontal="left" vertical="center"/>
    </xf>
    <xf numFmtId="203" fontId="25" fillId="74" borderId="55" xfId="0" applyNumberFormat="1" applyFont="1" applyFill="1" applyBorder="1" applyAlignment="1">
      <alignment horizontal="center" vertical="center" wrapText="1"/>
    </xf>
    <xf numFmtId="203" fontId="0" fillId="74" borderId="56" xfId="0" applyNumberFormat="1" applyFill="1" applyBorder="1" applyAlignment="1">
      <alignment horizontal="center" vertical="center" wrapText="1"/>
    </xf>
    <xf numFmtId="203" fontId="0" fillId="74" borderId="57" xfId="0" applyNumberFormat="1" applyFill="1" applyBorder="1" applyAlignment="1">
      <alignment horizontal="center" vertical="center" wrapText="1"/>
    </xf>
    <xf numFmtId="0" fontId="25" fillId="74" borderId="58" xfId="0" applyFont="1" applyFill="1" applyBorder="1" applyAlignment="1">
      <alignment horizontal="center" vertical="top" wrapText="1"/>
    </xf>
    <xf numFmtId="0" fontId="25" fillId="74" borderId="59" xfId="0" applyFont="1" applyFill="1" applyBorder="1" applyAlignment="1">
      <alignment horizontal="center" vertical="top" wrapText="1"/>
    </xf>
    <xf numFmtId="0" fontId="25" fillId="74" borderId="60" xfId="0" applyFont="1" applyFill="1" applyBorder="1" applyAlignment="1">
      <alignment horizontal="center" vertical="top" wrapText="1"/>
    </xf>
    <xf numFmtId="0" fontId="25" fillId="0" borderId="88" xfId="0" applyFont="1" applyBorder="1" applyAlignment="1">
      <alignment horizontal="right" vertical="center" wrapText="1"/>
    </xf>
    <xf numFmtId="0" fontId="25" fillId="0" borderId="89" xfId="0" applyFont="1" applyBorder="1" applyAlignment="1">
      <alignment horizontal="right" vertical="center" wrapText="1"/>
    </xf>
    <xf numFmtId="0" fontId="25" fillId="0" borderId="90" xfId="0" applyFont="1" applyBorder="1" applyAlignment="1">
      <alignment horizontal="right" vertical="center" wrapText="1"/>
    </xf>
    <xf numFmtId="0" fontId="25" fillId="0" borderId="85" xfId="0" applyFont="1" applyBorder="1" applyAlignment="1">
      <alignment horizontal="left" vertical="top" wrapText="1"/>
    </xf>
    <xf numFmtId="0" fontId="25" fillId="0" borderId="86" xfId="0" applyFont="1" applyBorder="1" applyAlignment="1">
      <alignment horizontal="left" vertical="top" wrapText="1"/>
    </xf>
    <xf numFmtId="0" fontId="25" fillId="0" borderId="83" xfId="0" applyFont="1" applyBorder="1" applyAlignment="1">
      <alignment horizontal="left" vertical="top" wrapText="1"/>
    </xf>
    <xf numFmtId="203" fontId="25" fillId="74" borderId="32" xfId="0" applyNumberFormat="1" applyFont="1" applyFill="1" applyBorder="1" applyAlignment="1">
      <alignment horizontal="center" vertical="center" wrapText="1"/>
    </xf>
    <xf numFmtId="203" fontId="25" fillId="74" borderId="47" xfId="0" applyNumberFormat="1" applyFont="1" applyFill="1" applyBorder="1" applyAlignment="1">
      <alignment horizontal="center" vertical="center" wrapText="1"/>
    </xf>
    <xf numFmtId="203" fontId="25" fillId="74" borderId="48" xfId="0" applyNumberFormat="1" applyFont="1" applyFill="1" applyBorder="1" applyAlignment="1">
      <alignment horizontal="center" vertical="center" wrapText="1"/>
    </xf>
    <xf numFmtId="0" fontId="25" fillId="0" borderId="34" xfId="0" applyFont="1" applyBorder="1" applyAlignment="1" applyProtection="1">
      <alignment horizontal="left" vertical="top" wrapText="1"/>
      <protection locked="0"/>
    </xf>
    <xf numFmtId="0" fontId="25" fillId="0" borderId="12" xfId="0" applyFont="1" applyBorder="1" applyAlignment="1" applyProtection="1">
      <alignment horizontal="left" vertical="top" wrapText="1"/>
      <protection locked="0"/>
    </xf>
    <xf numFmtId="0" fontId="25" fillId="0" borderId="35" xfId="0" applyFont="1" applyBorder="1" applyAlignment="1" applyProtection="1">
      <alignment horizontal="left" vertical="top" wrapText="1"/>
      <protection locked="0"/>
    </xf>
    <xf numFmtId="0" fontId="21" fillId="0" borderId="63" xfId="0" applyFont="1" applyBorder="1" applyAlignment="1" applyProtection="1">
      <alignment horizontal="right" vertical="center" wrapText="1"/>
      <protection locked="0"/>
    </xf>
    <xf numFmtId="0" fontId="21" fillId="0" borderId="64" xfId="0" applyFont="1" applyBorder="1" applyAlignment="1" applyProtection="1">
      <alignment horizontal="right" vertical="center" wrapText="1"/>
      <protection locked="0"/>
    </xf>
    <xf numFmtId="0" fontId="21" fillId="0" borderId="65" xfId="0" applyFont="1" applyBorder="1" applyAlignment="1" applyProtection="1">
      <alignment horizontal="right" vertical="center" wrapText="1"/>
      <protection locked="0"/>
    </xf>
    <xf numFmtId="203" fontId="21" fillId="74" borderId="55" xfId="0" applyNumberFormat="1" applyFont="1" applyFill="1" applyBorder="1" applyAlignment="1" applyProtection="1">
      <alignment horizontal="center" vertical="center" wrapText="1"/>
      <protection locked="0"/>
    </xf>
    <xf numFmtId="203" fontId="21" fillId="74" borderId="56" xfId="0" applyNumberFormat="1" applyFont="1" applyFill="1" applyBorder="1" applyAlignment="1" applyProtection="1">
      <alignment horizontal="center" vertical="center" wrapText="1"/>
      <protection locked="0"/>
    </xf>
    <xf numFmtId="203" fontId="21" fillId="74" borderId="57" xfId="0" applyNumberFormat="1" applyFont="1" applyFill="1" applyBorder="1" applyAlignment="1" applyProtection="1">
      <alignment horizontal="center" vertical="center" wrapText="1"/>
      <protection locked="0"/>
    </xf>
    <xf numFmtId="0" fontId="25" fillId="74" borderId="58" xfId="0" applyFont="1" applyFill="1" applyBorder="1" applyAlignment="1" applyProtection="1">
      <alignment horizontal="center" vertical="top" wrapText="1"/>
      <protection locked="0"/>
    </xf>
    <xf numFmtId="0" fontId="25" fillId="74" borderId="59" xfId="0" applyFont="1" applyFill="1" applyBorder="1" applyAlignment="1" applyProtection="1">
      <alignment horizontal="center" vertical="top" wrapText="1"/>
      <protection locked="0"/>
    </xf>
    <xf numFmtId="0" fontId="25" fillId="74" borderId="60" xfId="0" applyFont="1" applyFill="1" applyBorder="1" applyAlignment="1" applyProtection="1">
      <alignment horizontal="center" vertical="top" wrapText="1"/>
      <protection locked="0"/>
    </xf>
    <xf numFmtId="0" fontId="167" fillId="0" borderId="0" xfId="1887" applyFont="1" applyAlignment="1">
      <alignment horizontal="left" vertical="top" wrapText="1"/>
    </xf>
    <xf numFmtId="2" fontId="168" fillId="0" borderId="0" xfId="596" applyNumberFormat="1" applyFont="1" applyAlignment="1">
      <alignment horizontal="center"/>
    </xf>
    <xf numFmtId="0" fontId="168" fillId="0" borderId="0" xfId="596" applyFont="1" applyAlignment="1">
      <alignment horizontal="right"/>
    </xf>
    <xf numFmtId="0" fontId="176" fillId="0" borderId="0" xfId="1888" applyFont="1"/>
    <xf numFmtId="2" fontId="168" fillId="0" borderId="0" xfId="1889" applyNumberFormat="1" applyFont="1" applyAlignment="1">
      <alignment horizontal="center"/>
    </xf>
    <xf numFmtId="0" fontId="168" fillId="0" borderId="0" xfId="1889" applyFont="1" applyAlignment="1">
      <alignment horizontal="right"/>
    </xf>
    <xf numFmtId="2" fontId="168" fillId="0" borderId="0" xfId="1892" applyNumberFormat="1" applyFont="1" applyAlignment="1">
      <alignment horizontal="center"/>
    </xf>
    <xf numFmtId="0" fontId="168" fillId="0" borderId="0" xfId="1892" applyFont="1" applyAlignment="1">
      <alignment horizontal="right"/>
    </xf>
    <xf numFmtId="0" fontId="183" fillId="0" borderId="96" xfId="0" applyFont="1" applyBorder="1" applyAlignment="1">
      <alignment horizontal="center"/>
    </xf>
    <xf numFmtId="0" fontId="183" fillId="0" borderId="97" xfId="0" applyFont="1" applyBorder="1" applyAlignment="1">
      <alignment horizontal="center"/>
    </xf>
    <xf numFmtId="0" fontId="183" fillId="0" borderId="98" xfId="0" applyFont="1" applyBorder="1" applyAlignment="1">
      <alignment horizontal="center"/>
    </xf>
    <xf numFmtId="0" fontId="103" fillId="67" borderId="91" xfId="0" applyFont="1" applyFill="1" applyBorder="1" applyAlignment="1">
      <alignment horizontal="center" vertical="center" wrapText="1"/>
    </xf>
    <xf numFmtId="4" fontId="105" fillId="68" borderId="36" xfId="0" applyNumberFormat="1" applyFont="1" applyFill="1" applyBorder="1" applyAlignment="1">
      <alignment horizontal="center" vertical="center" wrapText="1"/>
    </xf>
    <xf numFmtId="4" fontId="105" fillId="68" borderId="85" xfId="0" applyNumberFormat="1" applyFont="1" applyFill="1" applyBorder="1" applyAlignment="1">
      <alignment horizontal="center" vertical="center" wrapText="1"/>
    </xf>
    <xf numFmtId="0" fontId="110" fillId="63" borderId="12" xfId="0" applyFont="1" applyFill="1" applyBorder="1" applyAlignment="1">
      <alignment horizontal="left" wrapText="1"/>
    </xf>
    <xf numFmtId="0" fontId="73" fillId="0" borderId="0" xfId="0" applyFont="1" applyAlignment="1">
      <alignment vertical="center" wrapText="1"/>
    </xf>
    <xf numFmtId="0" fontId="0" fillId="0" borderId="0" xfId="0" applyAlignment="1">
      <alignment vertical="top" wrapText="1"/>
    </xf>
  </cellXfs>
  <cellStyles count="1893">
    <cellStyle name="_HOTEL LONE" xfId="77" xr:uid="{00000000-0005-0000-0000-000000000000}"/>
    <cellStyle name="_HOTEL LONE 2" xfId="78" xr:uid="{00000000-0005-0000-0000-000001000000}"/>
    <cellStyle name="_STAMBENI DIO" xfId="79" xr:uid="{00000000-0005-0000-0000-000002000000}"/>
    <cellStyle name="_troškovnik" xfId="80" xr:uid="{00000000-0005-0000-0000-000003000000}"/>
    <cellStyle name="0,0_x000d__x000a_NA_x000d__x000a_" xfId="81" xr:uid="{00000000-0005-0000-0000-000004000000}"/>
    <cellStyle name="1. br.stavke" xfId="82" xr:uid="{00000000-0005-0000-0000-000005000000}"/>
    <cellStyle name="1-dodano" xfId="83" xr:uid="{00000000-0005-0000-0000-000006000000}"/>
    <cellStyle name="2. Tekst stavke" xfId="84" xr:uid="{00000000-0005-0000-0000-000007000000}"/>
    <cellStyle name="20% - Accent1 1" xfId="85" xr:uid="{00000000-0005-0000-0000-000008000000}"/>
    <cellStyle name="20% - Accent1 1 1" xfId="86" xr:uid="{00000000-0005-0000-0000-000009000000}"/>
    <cellStyle name="20% - Accent1 1_HRVATSKE_SUME_71_5.Privremena" xfId="87" xr:uid="{00000000-0005-0000-0000-00000A000000}"/>
    <cellStyle name="20% - Accent1 2" xfId="88" xr:uid="{00000000-0005-0000-0000-00000B000000}"/>
    <cellStyle name="20% - Accent1 2 2" xfId="89" xr:uid="{00000000-0005-0000-0000-00000C000000}"/>
    <cellStyle name="20% - Accent1 2 3" xfId="90" xr:uid="{00000000-0005-0000-0000-00000D000000}"/>
    <cellStyle name="20% - Accent2 1" xfId="91" xr:uid="{00000000-0005-0000-0000-00000E000000}"/>
    <cellStyle name="20% - Accent2 1 1" xfId="92" xr:uid="{00000000-0005-0000-0000-00000F000000}"/>
    <cellStyle name="20% - Accent2 1_HRVATSKE_SUME_71_5.Privremena" xfId="93" xr:uid="{00000000-0005-0000-0000-000010000000}"/>
    <cellStyle name="20% - Accent2 2" xfId="94" xr:uid="{00000000-0005-0000-0000-000011000000}"/>
    <cellStyle name="20% - Accent2 2 2" xfId="95" xr:uid="{00000000-0005-0000-0000-000012000000}"/>
    <cellStyle name="20% - Accent2 2 3" xfId="96" xr:uid="{00000000-0005-0000-0000-000013000000}"/>
    <cellStyle name="20% - Accent3 1" xfId="97" xr:uid="{00000000-0005-0000-0000-000014000000}"/>
    <cellStyle name="20% - Accent3 1 1" xfId="98" xr:uid="{00000000-0005-0000-0000-000015000000}"/>
    <cellStyle name="20% - Accent3 1_HRVATSKE_SUME_71_5.Privremena" xfId="99" xr:uid="{00000000-0005-0000-0000-000016000000}"/>
    <cellStyle name="20% - Accent3 2" xfId="100" xr:uid="{00000000-0005-0000-0000-000017000000}"/>
    <cellStyle name="20% - Accent3 2 2" xfId="101" xr:uid="{00000000-0005-0000-0000-000018000000}"/>
    <cellStyle name="20% - Accent3 2 3" xfId="102" xr:uid="{00000000-0005-0000-0000-000019000000}"/>
    <cellStyle name="20% - Accent4 1" xfId="103" xr:uid="{00000000-0005-0000-0000-00001A000000}"/>
    <cellStyle name="20% - Accent4 1 1" xfId="104" xr:uid="{00000000-0005-0000-0000-00001B000000}"/>
    <cellStyle name="20% - Accent4 1_HRVATSKE_SUME_71_5.Privremena" xfId="105" xr:uid="{00000000-0005-0000-0000-00001C000000}"/>
    <cellStyle name="20% - Accent4 2" xfId="106" xr:uid="{00000000-0005-0000-0000-00001D000000}"/>
    <cellStyle name="20% - Accent4 2 2" xfId="107" xr:uid="{00000000-0005-0000-0000-00001E000000}"/>
    <cellStyle name="20% - Accent4 2 3" xfId="108" xr:uid="{00000000-0005-0000-0000-00001F000000}"/>
    <cellStyle name="20% - Accent5 1" xfId="109" xr:uid="{00000000-0005-0000-0000-000020000000}"/>
    <cellStyle name="20% - Accent5 1 1" xfId="110" xr:uid="{00000000-0005-0000-0000-000021000000}"/>
    <cellStyle name="20% - Accent5 1_HRVATSKE_SUME_71_5.Privremena" xfId="111" xr:uid="{00000000-0005-0000-0000-000022000000}"/>
    <cellStyle name="20% - Accent5 2" xfId="112" xr:uid="{00000000-0005-0000-0000-000023000000}"/>
    <cellStyle name="20% - Accent5 2 2" xfId="113" xr:uid="{00000000-0005-0000-0000-000024000000}"/>
    <cellStyle name="20% - Accent5 2 3" xfId="114" xr:uid="{00000000-0005-0000-0000-000025000000}"/>
    <cellStyle name="20% - Accent6 1" xfId="115" xr:uid="{00000000-0005-0000-0000-000026000000}"/>
    <cellStyle name="20% - Accent6 1 1" xfId="116" xr:uid="{00000000-0005-0000-0000-000027000000}"/>
    <cellStyle name="20% - Accent6 1_HRVATSKE_SUME_71_5.Privremena" xfId="117" xr:uid="{00000000-0005-0000-0000-000028000000}"/>
    <cellStyle name="20% - Accent6 2" xfId="118" xr:uid="{00000000-0005-0000-0000-000029000000}"/>
    <cellStyle name="20% - Accent6 2 2" xfId="119" xr:uid="{00000000-0005-0000-0000-00002A000000}"/>
    <cellStyle name="20% - Accent6 2 3" xfId="120" xr:uid="{00000000-0005-0000-0000-00002B000000}"/>
    <cellStyle name="20% - Akzent1" xfId="121" xr:uid="{00000000-0005-0000-0000-00002C000000}"/>
    <cellStyle name="20% - Akzent2" xfId="122" xr:uid="{00000000-0005-0000-0000-00002D000000}"/>
    <cellStyle name="20% - Akzent3" xfId="123" xr:uid="{00000000-0005-0000-0000-00002E000000}"/>
    <cellStyle name="20% - Akzent4" xfId="124" xr:uid="{00000000-0005-0000-0000-00002F000000}"/>
    <cellStyle name="20% - Akzent5" xfId="125" xr:uid="{00000000-0005-0000-0000-000030000000}"/>
    <cellStyle name="20% - Akzent6" xfId="126" xr:uid="{00000000-0005-0000-0000-000031000000}"/>
    <cellStyle name="20% - Isticanje1 1" xfId="127" xr:uid="{00000000-0005-0000-0000-000032000000}"/>
    <cellStyle name="20% - Isticanje1 2" xfId="128" xr:uid="{00000000-0005-0000-0000-000033000000}"/>
    <cellStyle name="20% - Isticanje1 3" xfId="129" xr:uid="{00000000-0005-0000-0000-000034000000}"/>
    <cellStyle name="20% - Isticanje2 1" xfId="130" xr:uid="{00000000-0005-0000-0000-000035000000}"/>
    <cellStyle name="20% - Isticanje2 2" xfId="131" xr:uid="{00000000-0005-0000-0000-000036000000}"/>
    <cellStyle name="20% - Isticanje2 3" xfId="132" xr:uid="{00000000-0005-0000-0000-000037000000}"/>
    <cellStyle name="20% - Isticanje3 1" xfId="133" xr:uid="{00000000-0005-0000-0000-000038000000}"/>
    <cellStyle name="20% - Isticanje3 2" xfId="134" xr:uid="{00000000-0005-0000-0000-000039000000}"/>
    <cellStyle name="20% - Isticanje3 3" xfId="135" xr:uid="{00000000-0005-0000-0000-00003A000000}"/>
    <cellStyle name="20% - Isticanje4 1" xfId="136" xr:uid="{00000000-0005-0000-0000-00003B000000}"/>
    <cellStyle name="20% - Isticanje4 2" xfId="137" xr:uid="{00000000-0005-0000-0000-00003C000000}"/>
    <cellStyle name="20% - Isticanje4 3" xfId="138" xr:uid="{00000000-0005-0000-0000-00003D000000}"/>
    <cellStyle name="20% - Isticanje5 1" xfId="139" xr:uid="{00000000-0005-0000-0000-00003E000000}"/>
    <cellStyle name="20% - Isticanje5 2" xfId="140" xr:uid="{00000000-0005-0000-0000-00003F000000}"/>
    <cellStyle name="20% - Isticanje5 3" xfId="141" xr:uid="{00000000-0005-0000-0000-000040000000}"/>
    <cellStyle name="20% - Isticanje6 1" xfId="142" xr:uid="{00000000-0005-0000-0000-000041000000}"/>
    <cellStyle name="20% - Isticanje6 2" xfId="143" xr:uid="{00000000-0005-0000-0000-000042000000}"/>
    <cellStyle name="20% - Isticanje6 3" xfId="144" xr:uid="{00000000-0005-0000-0000-000043000000}"/>
    <cellStyle name="2-izmjena" xfId="145" xr:uid="{00000000-0005-0000-0000-000044000000}"/>
    <cellStyle name="3. jed.mjere" xfId="146" xr:uid="{00000000-0005-0000-0000-000045000000}"/>
    <cellStyle name="3-pitanje" xfId="147" xr:uid="{00000000-0005-0000-0000-000046000000}"/>
    <cellStyle name="4. količina" xfId="148" xr:uid="{00000000-0005-0000-0000-000047000000}"/>
    <cellStyle name="40% - Accent1 1" xfId="149" xr:uid="{00000000-0005-0000-0000-000048000000}"/>
    <cellStyle name="40% - Accent1 1 1" xfId="150" xr:uid="{00000000-0005-0000-0000-000049000000}"/>
    <cellStyle name="40% - Accent1 1_HRVATSKE_SUME_71_5.Privremena" xfId="151" xr:uid="{00000000-0005-0000-0000-00004A000000}"/>
    <cellStyle name="40% - Accent1 2" xfId="152" xr:uid="{00000000-0005-0000-0000-00004B000000}"/>
    <cellStyle name="40% - Accent1 2 2" xfId="153" xr:uid="{00000000-0005-0000-0000-00004C000000}"/>
    <cellStyle name="40% - Accent1 2 3" xfId="154" xr:uid="{00000000-0005-0000-0000-00004D000000}"/>
    <cellStyle name="40% - Accent2 1" xfId="155" xr:uid="{00000000-0005-0000-0000-00004E000000}"/>
    <cellStyle name="40% - Accent2 1 1" xfId="156" xr:uid="{00000000-0005-0000-0000-00004F000000}"/>
    <cellStyle name="40% - Accent2 1_HRVATSKE_SUME_71_5.Privremena" xfId="157" xr:uid="{00000000-0005-0000-0000-000050000000}"/>
    <cellStyle name="40% - Accent2 2" xfId="158" xr:uid="{00000000-0005-0000-0000-000051000000}"/>
    <cellStyle name="40% - Accent2 2 2" xfId="159" xr:uid="{00000000-0005-0000-0000-000052000000}"/>
    <cellStyle name="40% - Accent2 2 3" xfId="160" xr:uid="{00000000-0005-0000-0000-000053000000}"/>
    <cellStyle name="40% - Accent3 1" xfId="161" xr:uid="{00000000-0005-0000-0000-000054000000}"/>
    <cellStyle name="40% - Accent3 1 1" xfId="162" xr:uid="{00000000-0005-0000-0000-000055000000}"/>
    <cellStyle name="40% - Accent3 1_HRVATSKE_SUME_71_5.Privremena" xfId="163" xr:uid="{00000000-0005-0000-0000-000056000000}"/>
    <cellStyle name="40% - Accent3 2" xfId="164" xr:uid="{00000000-0005-0000-0000-000057000000}"/>
    <cellStyle name="40% - Accent3 2 2" xfId="165" xr:uid="{00000000-0005-0000-0000-000058000000}"/>
    <cellStyle name="40% - Accent3 2 3" xfId="166" xr:uid="{00000000-0005-0000-0000-000059000000}"/>
    <cellStyle name="40% - Accent4 1" xfId="167" xr:uid="{00000000-0005-0000-0000-00005A000000}"/>
    <cellStyle name="40% - Accent4 1 1" xfId="168" xr:uid="{00000000-0005-0000-0000-00005B000000}"/>
    <cellStyle name="40% - Accent4 1_HRVATSKE_SUME_71_5.Privremena" xfId="169" xr:uid="{00000000-0005-0000-0000-00005C000000}"/>
    <cellStyle name="40% - Accent4 2" xfId="170" xr:uid="{00000000-0005-0000-0000-00005D000000}"/>
    <cellStyle name="40% - Accent4 2 2" xfId="171" xr:uid="{00000000-0005-0000-0000-00005E000000}"/>
    <cellStyle name="40% - Accent4 2 3" xfId="172" xr:uid="{00000000-0005-0000-0000-00005F000000}"/>
    <cellStyle name="40% - Accent5 1" xfId="173" xr:uid="{00000000-0005-0000-0000-000060000000}"/>
    <cellStyle name="40% - Accent5 1 1" xfId="174" xr:uid="{00000000-0005-0000-0000-000061000000}"/>
    <cellStyle name="40% - Accent5 1_HRVATSKE_SUME_71_5.Privremena" xfId="175" xr:uid="{00000000-0005-0000-0000-000062000000}"/>
    <cellStyle name="40% - Accent5 2" xfId="176" xr:uid="{00000000-0005-0000-0000-000063000000}"/>
    <cellStyle name="40% - Accent5 2 2" xfId="177" xr:uid="{00000000-0005-0000-0000-000064000000}"/>
    <cellStyle name="40% - Accent5 2 3" xfId="178" xr:uid="{00000000-0005-0000-0000-000065000000}"/>
    <cellStyle name="40% - Accent6 1" xfId="179" xr:uid="{00000000-0005-0000-0000-000066000000}"/>
    <cellStyle name="40% - Accent6 1 1" xfId="180" xr:uid="{00000000-0005-0000-0000-000067000000}"/>
    <cellStyle name="40% - Accent6 1_HRVATSKE_SUME_71_5.Privremena" xfId="181" xr:uid="{00000000-0005-0000-0000-000068000000}"/>
    <cellStyle name="40% - Accent6 2" xfId="182" xr:uid="{00000000-0005-0000-0000-000069000000}"/>
    <cellStyle name="40% - Accent6 2 2" xfId="183" xr:uid="{00000000-0005-0000-0000-00006A000000}"/>
    <cellStyle name="40% - Accent6 2 3" xfId="184" xr:uid="{00000000-0005-0000-0000-00006B000000}"/>
    <cellStyle name="40% - Akzent1" xfId="185" xr:uid="{00000000-0005-0000-0000-00006C000000}"/>
    <cellStyle name="40% - Akzent2" xfId="186" xr:uid="{00000000-0005-0000-0000-00006D000000}"/>
    <cellStyle name="40% - Akzent3" xfId="187" xr:uid="{00000000-0005-0000-0000-00006E000000}"/>
    <cellStyle name="40% - Akzent4" xfId="188" xr:uid="{00000000-0005-0000-0000-00006F000000}"/>
    <cellStyle name="40% - Akzent5" xfId="189" xr:uid="{00000000-0005-0000-0000-000070000000}"/>
    <cellStyle name="40% - Akzent6" xfId="190" xr:uid="{00000000-0005-0000-0000-000071000000}"/>
    <cellStyle name="40% - Isticanje1 2" xfId="191" xr:uid="{00000000-0005-0000-0000-000072000000}"/>
    <cellStyle name="40% - Isticanje1 2 2" xfId="192" xr:uid="{00000000-0005-0000-0000-000073000000}"/>
    <cellStyle name="40% - Isticanje2 1" xfId="193" xr:uid="{00000000-0005-0000-0000-000074000000}"/>
    <cellStyle name="40% - Isticanje2 2" xfId="194" xr:uid="{00000000-0005-0000-0000-000075000000}"/>
    <cellStyle name="40% - Isticanje2 3" xfId="195" xr:uid="{00000000-0005-0000-0000-000076000000}"/>
    <cellStyle name="40% - Isticanje3 1" xfId="196" xr:uid="{00000000-0005-0000-0000-000077000000}"/>
    <cellStyle name="40% - Isticanje3 2" xfId="197" xr:uid="{00000000-0005-0000-0000-000078000000}"/>
    <cellStyle name="40% - Isticanje3 3" xfId="198" xr:uid="{00000000-0005-0000-0000-000079000000}"/>
    <cellStyle name="40% - Isticanje4 1" xfId="199" xr:uid="{00000000-0005-0000-0000-00007A000000}"/>
    <cellStyle name="40% - Isticanje4 2" xfId="200" xr:uid="{00000000-0005-0000-0000-00007B000000}"/>
    <cellStyle name="40% - Isticanje4 3" xfId="201" xr:uid="{00000000-0005-0000-0000-00007C000000}"/>
    <cellStyle name="40% - Isticanje5 1" xfId="202" xr:uid="{00000000-0005-0000-0000-00007D000000}"/>
    <cellStyle name="40% - Isticanje5 2" xfId="203" xr:uid="{00000000-0005-0000-0000-00007E000000}"/>
    <cellStyle name="40% - Isticanje5 3" xfId="204" xr:uid="{00000000-0005-0000-0000-00007F000000}"/>
    <cellStyle name="40% - Isticanje6 1" xfId="205" xr:uid="{00000000-0005-0000-0000-000080000000}"/>
    <cellStyle name="40% - Isticanje6 2" xfId="206" xr:uid="{00000000-0005-0000-0000-000081000000}"/>
    <cellStyle name="40% - Isticanje6 3" xfId="207" xr:uid="{00000000-0005-0000-0000-000082000000}"/>
    <cellStyle name="40% - Naglasak1" xfId="208" xr:uid="{00000000-0005-0000-0000-000083000000}"/>
    <cellStyle name="40% - Naglasak1 1" xfId="209" xr:uid="{00000000-0005-0000-0000-000084000000}"/>
    <cellStyle name="40% - Naglasak1 2" xfId="210" xr:uid="{00000000-0005-0000-0000-000085000000}"/>
    <cellStyle name="40% - Naglasak1_HRVATSKE_SUME_71_5.Privremena" xfId="211" xr:uid="{00000000-0005-0000-0000-000086000000}"/>
    <cellStyle name="60% - Accent1 1" xfId="212" xr:uid="{00000000-0005-0000-0000-000087000000}"/>
    <cellStyle name="60% - Accent1 1 1" xfId="213" xr:uid="{00000000-0005-0000-0000-000088000000}"/>
    <cellStyle name="60% - Accent1 2" xfId="214" xr:uid="{00000000-0005-0000-0000-000089000000}"/>
    <cellStyle name="60% - Accent1 2 2" xfId="215" xr:uid="{00000000-0005-0000-0000-00008A000000}"/>
    <cellStyle name="60% - Accent2 1" xfId="216" xr:uid="{00000000-0005-0000-0000-00008B000000}"/>
    <cellStyle name="60% - Accent2 1 1" xfId="217" xr:uid="{00000000-0005-0000-0000-00008C000000}"/>
    <cellStyle name="60% - Accent2 2" xfId="218" xr:uid="{00000000-0005-0000-0000-00008D000000}"/>
    <cellStyle name="60% - Accent2 2 2" xfId="219" xr:uid="{00000000-0005-0000-0000-00008E000000}"/>
    <cellStyle name="60% - Accent3 1" xfId="220" xr:uid="{00000000-0005-0000-0000-00008F000000}"/>
    <cellStyle name="60% - Accent3 1 1" xfId="221" xr:uid="{00000000-0005-0000-0000-000090000000}"/>
    <cellStyle name="60% - Accent3 2" xfId="222" xr:uid="{00000000-0005-0000-0000-000091000000}"/>
    <cellStyle name="60% - Accent3 2 2" xfId="223" xr:uid="{00000000-0005-0000-0000-000092000000}"/>
    <cellStyle name="60% - Accent4 1" xfId="224" xr:uid="{00000000-0005-0000-0000-000093000000}"/>
    <cellStyle name="60% - Accent4 1 1" xfId="225" xr:uid="{00000000-0005-0000-0000-000094000000}"/>
    <cellStyle name="60% - Accent4 2" xfId="226" xr:uid="{00000000-0005-0000-0000-000095000000}"/>
    <cellStyle name="60% - Accent4 2 2" xfId="227" xr:uid="{00000000-0005-0000-0000-000096000000}"/>
    <cellStyle name="60% - Accent5 1" xfId="228" xr:uid="{00000000-0005-0000-0000-000097000000}"/>
    <cellStyle name="60% - Accent5 1 1" xfId="229" xr:uid="{00000000-0005-0000-0000-000098000000}"/>
    <cellStyle name="60% - Accent5 2" xfId="230" xr:uid="{00000000-0005-0000-0000-000099000000}"/>
    <cellStyle name="60% - Accent5 2 2" xfId="231" xr:uid="{00000000-0005-0000-0000-00009A000000}"/>
    <cellStyle name="60% - Accent6 1" xfId="232" xr:uid="{00000000-0005-0000-0000-00009B000000}"/>
    <cellStyle name="60% - Accent6 1 1" xfId="233" xr:uid="{00000000-0005-0000-0000-00009C000000}"/>
    <cellStyle name="60% - Accent6 2" xfId="234" xr:uid="{00000000-0005-0000-0000-00009D000000}"/>
    <cellStyle name="60% - Accent6 2 2" xfId="235" xr:uid="{00000000-0005-0000-0000-00009E000000}"/>
    <cellStyle name="60% - Akzent1" xfId="236" xr:uid="{00000000-0005-0000-0000-00009F000000}"/>
    <cellStyle name="60% - Akzent2" xfId="237" xr:uid="{00000000-0005-0000-0000-0000A0000000}"/>
    <cellStyle name="60% - Akzent3" xfId="238" xr:uid="{00000000-0005-0000-0000-0000A1000000}"/>
    <cellStyle name="60% - Akzent4" xfId="239" xr:uid="{00000000-0005-0000-0000-0000A2000000}"/>
    <cellStyle name="60% - Akzent5" xfId="240" xr:uid="{00000000-0005-0000-0000-0000A3000000}"/>
    <cellStyle name="60% - Akzent6" xfId="241" xr:uid="{00000000-0005-0000-0000-0000A4000000}"/>
    <cellStyle name="60% - Isticanje1 1" xfId="242" xr:uid="{00000000-0005-0000-0000-0000A5000000}"/>
    <cellStyle name="60% - Isticanje1 2" xfId="243" xr:uid="{00000000-0005-0000-0000-0000A6000000}"/>
    <cellStyle name="60% - Isticanje2 1" xfId="244" xr:uid="{00000000-0005-0000-0000-0000A7000000}"/>
    <cellStyle name="60% - Isticanje2 2" xfId="245" xr:uid="{00000000-0005-0000-0000-0000A8000000}"/>
    <cellStyle name="60% - Isticanje3 1" xfId="246" xr:uid="{00000000-0005-0000-0000-0000A9000000}"/>
    <cellStyle name="60% - Isticanje3 2" xfId="247" xr:uid="{00000000-0005-0000-0000-0000AA000000}"/>
    <cellStyle name="60% - Isticanje4 1" xfId="248" xr:uid="{00000000-0005-0000-0000-0000AB000000}"/>
    <cellStyle name="60% - Isticanje4 2" xfId="249" xr:uid="{00000000-0005-0000-0000-0000AC000000}"/>
    <cellStyle name="60% - Isticanje5 1" xfId="250" xr:uid="{00000000-0005-0000-0000-0000AD000000}"/>
    <cellStyle name="60% - Isticanje5 2" xfId="251" xr:uid="{00000000-0005-0000-0000-0000AE000000}"/>
    <cellStyle name="60% - Isticanje6 1" xfId="252" xr:uid="{00000000-0005-0000-0000-0000AF000000}"/>
    <cellStyle name="60% - Isticanje6 2" xfId="253" xr:uid="{00000000-0005-0000-0000-0000B0000000}"/>
    <cellStyle name="A4 Small 210 x 297 mm" xfId="60" xr:uid="{00000000-0005-0000-0000-0000B1000000}"/>
    <cellStyle name="Accent1 1" xfId="254" xr:uid="{00000000-0005-0000-0000-0000B2000000}"/>
    <cellStyle name="Accent1 1 1" xfId="255" xr:uid="{00000000-0005-0000-0000-0000B3000000}"/>
    <cellStyle name="Accent1 2" xfId="256" xr:uid="{00000000-0005-0000-0000-0000B4000000}"/>
    <cellStyle name="Accent1 2 2" xfId="257" xr:uid="{00000000-0005-0000-0000-0000B5000000}"/>
    <cellStyle name="Accent2 1" xfId="258" xr:uid="{00000000-0005-0000-0000-0000B6000000}"/>
    <cellStyle name="Accent2 1 1" xfId="259" xr:uid="{00000000-0005-0000-0000-0000B7000000}"/>
    <cellStyle name="Accent2 2" xfId="260" xr:uid="{00000000-0005-0000-0000-0000B8000000}"/>
    <cellStyle name="Accent2 2 2" xfId="261" xr:uid="{00000000-0005-0000-0000-0000B9000000}"/>
    <cellStyle name="Accent3 1" xfId="262" xr:uid="{00000000-0005-0000-0000-0000BA000000}"/>
    <cellStyle name="Accent3 1 1" xfId="263" xr:uid="{00000000-0005-0000-0000-0000BB000000}"/>
    <cellStyle name="Accent3 2" xfId="264" xr:uid="{00000000-0005-0000-0000-0000BC000000}"/>
    <cellStyle name="Accent3 2 2" xfId="265" xr:uid="{00000000-0005-0000-0000-0000BD000000}"/>
    <cellStyle name="Accent4 1" xfId="266" xr:uid="{00000000-0005-0000-0000-0000BE000000}"/>
    <cellStyle name="Accent4 1 1" xfId="267" xr:uid="{00000000-0005-0000-0000-0000BF000000}"/>
    <cellStyle name="Accent4 2" xfId="268" xr:uid="{00000000-0005-0000-0000-0000C0000000}"/>
    <cellStyle name="Accent4 2 2" xfId="269" xr:uid="{00000000-0005-0000-0000-0000C1000000}"/>
    <cellStyle name="Accent5 1" xfId="270" xr:uid="{00000000-0005-0000-0000-0000C2000000}"/>
    <cellStyle name="Accent5 1 1" xfId="271" xr:uid="{00000000-0005-0000-0000-0000C3000000}"/>
    <cellStyle name="Accent5 2" xfId="272" xr:uid="{00000000-0005-0000-0000-0000C4000000}"/>
    <cellStyle name="Accent5 2 2" xfId="273" xr:uid="{00000000-0005-0000-0000-0000C5000000}"/>
    <cellStyle name="Accent6 1" xfId="274" xr:uid="{00000000-0005-0000-0000-0000C6000000}"/>
    <cellStyle name="Accent6 1 1" xfId="275" xr:uid="{00000000-0005-0000-0000-0000C7000000}"/>
    <cellStyle name="Accent6 2" xfId="276" xr:uid="{00000000-0005-0000-0000-0000C8000000}"/>
    <cellStyle name="Accent6 2 2" xfId="277" xr:uid="{00000000-0005-0000-0000-0000C9000000}"/>
    <cellStyle name="Akzent1" xfId="278" xr:uid="{00000000-0005-0000-0000-0000CA000000}"/>
    <cellStyle name="Akzent2" xfId="279" xr:uid="{00000000-0005-0000-0000-0000CB000000}"/>
    <cellStyle name="Akzent3" xfId="280" xr:uid="{00000000-0005-0000-0000-0000CC000000}"/>
    <cellStyle name="Akzent4" xfId="281" xr:uid="{00000000-0005-0000-0000-0000CD000000}"/>
    <cellStyle name="Akzent5" xfId="282" xr:uid="{00000000-0005-0000-0000-0000CE000000}"/>
    <cellStyle name="Akzent6" xfId="283" xr:uid="{00000000-0005-0000-0000-0000CF000000}"/>
    <cellStyle name="Ausgabe" xfId="284" xr:uid="{00000000-0005-0000-0000-0000D0000000}"/>
    <cellStyle name="Bad 1" xfId="285" xr:uid="{00000000-0005-0000-0000-0000D1000000}"/>
    <cellStyle name="Bad 1 1" xfId="286" xr:uid="{00000000-0005-0000-0000-0000D2000000}"/>
    <cellStyle name="Bad 2" xfId="287" xr:uid="{00000000-0005-0000-0000-0000D3000000}"/>
    <cellStyle name="Bad 2 2" xfId="288" xr:uid="{00000000-0005-0000-0000-0000D4000000}"/>
    <cellStyle name="Bad 3" xfId="289" xr:uid="{00000000-0005-0000-0000-0000D5000000}"/>
    <cellStyle name="Berechnung" xfId="290" xr:uid="{00000000-0005-0000-0000-0000D6000000}"/>
    <cellStyle name="Bilješka 1" xfId="292" xr:uid="{00000000-0005-0000-0000-0000D7000000}"/>
    <cellStyle name="Bilješka 2" xfId="293" xr:uid="{00000000-0005-0000-0000-0000D8000000}"/>
    <cellStyle name="Bilješka 2 2" xfId="294" xr:uid="{00000000-0005-0000-0000-0000D9000000}"/>
    <cellStyle name="Bilješka 2 2 2" xfId="295" xr:uid="{00000000-0005-0000-0000-0000DA000000}"/>
    <cellStyle name="Bilješka 2 2 3" xfId="296" xr:uid="{00000000-0005-0000-0000-0000DB000000}"/>
    <cellStyle name="Bilješka 2 2 4" xfId="297" xr:uid="{00000000-0005-0000-0000-0000DC000000}"/>
    <cellStyle name="Bilješka 2 3" xfId="298" xr:uid="{00000000-0005-0000-0000-0000DD000000}"/>
    <cellStyle name="Bilješka 3" xfId="299" xr:uid="{00000000-0005-0000-0000-0000DE000000}"/>
    <cellStyle name="Bilješka 3 2" xfId="300" xr:uid="{00000000-0005-0000-0000-0000DF000000}"/>
    <cellStyle name="Bilješka 4" xfId="301" xr:uid="{00000000-0005-0000-0000-0000E0000000}"/>
    <cellStyle name="Bilješka 4 2" xfId="302" xr:uid="{00000000-0005-0000-0000-0000E1000000}"/>
    <cellStyle name="Bilješka 4 3" xfId="303" xr:uid="{00000000-0005-0000-0000-0000E2000000}"/>
    <cellStyle name="Bilješka 5" xfId="304" xr:uid="{00000000-0005-0000-0000-0000E3000000}"/>
    <cellStyle name="Bilješka 5 2" xfId="305" xr:uid="{00000000-0005-0000-0000-0000E4000000}"/>
    <cellStyle name="Bilješka 6" xfId="306" xr:uid="{00000000-0005-0000-0000-0000E5000000}"/>
    <cellStyle name="Bilješka 7" xfId="291" xr:uid="{00000000-0005-0000-0000-0000E6000000}"/>
    <cellStyle name="Calc Currency (0)" xfId="1" xr:uid="{00000000-0005-0000-0000-0000E7000000}"/>
    <cellStyle name="Calc Currency (2)" xfId="2" xr:uid="{00000000-0005-0000-0000-0000E8000000}"/>
    <cellStyle name="Calc Percent (0)" xfId="3" xr:uid="{00000000-0005-0000-0000-0000E9000000}"/>
    <cellStyle name="Calc Percent (1)" xfId="4" xr:uid="{00000000-0005-0000-0000-0000EA000000}"/>
    <cellStyle name="Calc Percent (2)" xfId="5" xr:uid="{00000000-0005-0000-0000-0000EB000000}"/>
    <cellStyle name="Calc Units (0)" xfId="6" xr:uid="{00000000-0005-0000-0000-0000EC000000}"/>
    <cellStyle name="Calc Units (1)" xfId="7" xr:uid="{00000000-0005-0000-0000-0000ED000000}"/>
    <cellStyle name="Calc Units (2)" xfId="8" xr:uid="{00000000-0005-0000-0000-0000EE000000}"/>
    <cellStyle name="Calculation 1" xfId="307" xr:uid="{00000000-0005-0000-0000-0000EF000000}"/>
    <cellStyle name="Calculation 1 1" xfId="308" xr:uid="{00000000-0005-0000-0000-0000F0000000}"/>
    <cellStyle name="Calculation 2" xfId="309" xr:uid="{00000000-0005-0000-0000-0000F1000000}"/>
    <cellStyle name="Calculation 2 2" xfId="310" xr:uid="{00000000-0005-0000-0000-0000F2000000}"/>
    <cellStyle name="Check Cell 1" xfId="311" xr:uid="{00000000-0005-0000-0000-0000F3000000}"/>
    <cellStyle name="Check Cell 1 1" xfId="312" xr:uid="{00000000-0005-0000-0000-0000F4000000}"/>
    <cellStyle name="Check Cell 2" xfId="313" xr:uid="{00000000-0005-0000-0000-0000F5000000}"/>
    <cellStyle name="Check Cell 2 2" xfId="314" xr:uid="{00000000-0005-0000-0000-0000F6000000}"/>
    <cellStyle name="Comma [00]" xfId="9" xr:uid="{00000000-0005-0000-0000-0000F7000000}"/>
    <cellStyle name="Comma [00] 2" xfId="1099" xr:uid="{00000000-0005-0000-0000-0000F8000000}"/>
    <cellStyle name="Comma 10" xfId="315" xr:uid="{00000000-0005-0000-0000-0000F9000000}"/>
    <cellStyle name="Comma 10 2" xfId="316" xr:uid="{00000000-0005-0000-0000-0000FA000000}"/>
    <cellStyle name="Comma 10 2 2" xfId="317" xr:uid="{00000000-0005-0000-0000-0000FB000000}"/>
    <cellStyle name="Comma 10 2 2 2" xfId="1109" xr:uid="{00000000-0005-0000-0000-0000FC000000}"/>
    <cellStyle name="Comma 10 2 2 3" xfId="1367" xr:uid="{00000000-0005-0000-0000-0000FD000000}"/>
    <cellStyle name="Comma 10 2 2 4" xfId="1624" xr:uid="{00000000-0005-0000-0000-0000FE000000}"/>
    <cellStyle name="Comma 10 2 3" xfId="1108" xr:uid="{00000000-0005-0000-0000-0000FF000000}"/>
    <cellStyle name="Comma 10 2 4" xfId="1366" xr:uid="{00000000-0005-0000-0000-000000010000}"/>
    <cellStyle name="Comma 10 2 5" xfId="1623" xr:uid="{00000000-0005-0000-0000-000001010000}"/>
    <cellStyle name="Comma 10 3" xfId="1107" xr:uid="{00000000-0005-0000-0000-000002010000}"/>
    <cellStyle name="Comma 10 4" xfId="1365" xr:uid="{00000000-0005-0000-0000-000003010000}"/>
    <cellStyle name="Comma 10 5" xfId="1622" xr:uid="{00000000-0005-0000-0000-000004010000}"/>
    <cellStyle name="Comma 11" xfId="318" xr:uid="{00000000-0005-0000-0000-000005010000}"/>
    <cellStyle name="Comma 11 2" xfId="319" xr:uid="{00000000-0005-0000-0000-000006010000}"/>
    <cellStyle name="Comma 11 2 2" xfId="1111" xr:uid="{00000000-0005-0000-0000-000007010000}"/>
    <cellStyle name="Comma 11 2 3" xfId="1369" xr:uid="{00000000-0005-0000-0000-000008010000}"/>
    <cellStyle name="Comma 11 2 4" xfId="1626" xr:uid="{00000000-0005-0000-0000-000009010000}"/>
    <cellStyle name="Comma 11 3" xfId="1110" xr:uid="{00000000-0005-0000-0000-00000A010000}"/>
    <cellStyle name="Comma 11 4" xfId="1368" xr:uid="{00000000-0005-0000-0000-00000B010000}"/>
    <cellStyle name="Comma 11 5" xfId="1625" xr:uid="{00000000-0005-0000-0000-00000C010000}"/>
    <cellStyle name="Comma 12" xfId="320" xr:uid="{00000000-0005-0000-0000-00000D010000}"/>
    <cellStyle name="Comma 12 2" xfId="321" xr:uid="{00000000-0005-0000-0000-00000E010000}"/>
    <cellStyle name="Comma 12 2 2" xfId="1113" xr:uid="{00000000-0005-0000-0000-00000F010000}"/>
    <cellStyle name="Comma 12 2 3" xfId="1371" xr:uid="{00000000-0005-0000-0000-000010010000}"/>
    <cellStyle name="Comma 12 2 4" xfId="1628" xr:uid="{00000000-0005-0000-0000-000011010000}"/>
    <cellStyle name="Comma 12 3" xfId="1112" xr:uid="{00000000-0005-0000-0000-000012010000}"/>
    <cellStyle name="Comma 12 4" xfId="1370" xr:uid="{00000000-0005-0000-0000-000013010000}"/>
    <cellStyle name="Comma 12 5" xfId="1627" xr:uid="{00000000-0005-0000-0000-000014010000}"/>
    <cellStyle name="Comma 2" xfId="322" xr:uid="{00000000-0005-0000-0000-000015010000}"/>
    <cellStyle name="Comma 2 2" xfId="323" xr:uid="{00000000-0005-0000-0000-000016010000}"/>
    <cellStyle name="Comma 2 2 2" xfId="324" xr:uid="{00000000-0005-0000-0000-000017010000}"/>
    <cellStyle name="Comma 2 2 2 2" xfId="325" xr:uid="{00000000-0005-0000-0000-000018010000}"/>
    <cellStyle name="Comma 2 2 2 3" xfId="326" xr:uid="{00000000-0005-0000-0000-000019010000}"/>
    <cellStyle name="Comma 2 2 2 3 2" xfId="1117" xr:uid="{00000000-0005-0000-0000-00001A010000}"/>
    <cellStyle name="Comma 2 2 2 3 3" xfId="1375" xr:uid="{00000000-0005-0000-0000-00001B010000}"/>
    <cellStyle name="Comma 2 2 2 3 4" xfId="1632" xr:uid="{00000000-0005-0000-0000-00001C010000}"/>
    <cellStyle name="Comma 2 2 2 4" xfId="1116" xr:uid="{00000000-0005-0000-0000-00001D010000}"/>
    <cellStyle name="Comma 2 2 2 5" xfId="1374" xr:uid="{00000000-0005-0000-0000-00001E010000}"/>
    <cellStyle name="Comma 2 2 2 6" xfId="1631" xr:uid="{00000000-0005-0000-0000-00001F010000}"/>
    <cellStyle name="Comma 2 2 3" xfId="327" xr:uid="{00000000-0005-0000-0000-000020010000}"/>
    <cellStyle name="Comma 2 2 3 2" xfId="328" xr:uid="{00000000-0005-0000-0000-000021010000}"/>
    <cellStyle name="Comma 2 2 3 2 2" xfId="1119" xr:uid="{00000000-0005-0000-0000-000022010000}"/>
    <cellStyle name="Comma 2 2 3 2 3" xfId="1377" xr:uid="{00000000-0005-0000-0000-000023010000}"/>
    <cellStyle name="Comma 2 2 3 2 4" xfId="1634" xr:uid="{00000000-0005-0000-0000-000024010000}"/>
    <cellStyle name="Comma 2 2 3 3" xfId="1118" xr:uid="{00000000-0005-0000-0000-000025010000}"/>
    <cellStyle name="Comma 2 2 3 4" xfId="1376" xr:uid="{00000000-0005-0000-0000-000026010000}"/>
    <cellStyle name="Comma 2 2 3 5" xfId="1633" xr:uid="{00000000-0005-0000-0000-000027010000}"/>
    <cellStyle name="Comma 2 2 4" xfId="329" xr:uid="{00000000-0005-0000-0000-000028010000}"/>
    <cellStyle name="Comma 2 2 4 2" xfId="330" xr:uid="{00000000-0005-0000-0000-000029010000}"/>
    <cellStyle name="Comma 2 2 4 2 2" xfId="331" xr:uid="{00000000-0005-0000-0000-00002A010000}"/>
    <cellStyle name="Comma 2 2 4 2 2 2" xfId="1122" xr:uid="{00000000-0005-0000-0000-00002B010000}"/>
    <cellStyle name="Comma 2 2 4 2 2 3" xfId="1380" xr:uid="{00000000-0005-0000-0000-00002C010000}"/>
    <cellStyle name="Comma 2 2 4 2 2 4" xfId="1637" xr:uid="{00000000-0005-0000-0000-00002D010000}"/>
    <cellStyle name="Comma 2 2 4 2 3" xfId="1121" xr:uid="{00000000-0005-0000-0000-00002E010000}"/>
    <cellStyle name="Comma 2 2 4 2 4" xfId="1379" xr:uid="{00000000-0005-0000-0000-00002F010000}"/>
    <cellStyle name="Comma 2 2 4 2 5" xfId="1636" xr:uid="{00000000-0005-0000-0000-000030010000}"/>
    <cellStyle name="Comma 2 2 4 3" xfId="332" xr:uid="{00000000-0005-0000-0000-000031010000}"/>
    <cellStyle name="Comma 2 2 4 3 2" xfId="1123" xr:uid="{00000000-0005-0000-0000-000032010000}"/>
    <cellStyle name="Comma 2 2 4 3 3" xfId="1381" xr:uid="{00000000-0005-0000-0000-000033010000}"/>
    <cellStyle name="Comma 2 2 4 3 4" xfId="1638" xr:uid="{00000000-0005-0000-0000-000034010000}"/>
    <cellStyle name="Comma 2 2 4 4" xfId="1120" xr:uid="{00000000-0005-0000-0000-000035010000}"/>
    <cellStyle name="Comma 2 2 4 5" xfId="1378" xr:uid="{00000000-0005-0000-0000-000036010000}"/>
    <cellStyle name="Comma 2 2 4 6" xfId="1635" xr:uid="{00000000-0005-0000-0000-000037010000}"/>
    <cellStyle name="Comma 2 2 5" xfId="333" xr:uid="{00000000-0005-0000-0000-000038010000}"/>
    <cellStyle name="Comma 2 2 5 2" xfId="1124" xr:uid="{00000000-0005-0000-0000-000039010000}"/>
    <cellStyle name="Comma 2 2 5 3" xfId="1382" xr:uid="{00000000-0005-0000-0000-00003A010000}"/>
    <cellStyle name="Comma 2 2 5 4" xfId="1639" xr:uid="{00000000-0005-0000-0000-00003B010000}"/>
    <cellStyle name="Comma 2 2 6" xfId="1115" xr:uid="{00000000-0005-0000-0000-00003C010000}"/>
    <cellStyle name="Comma 2 2 7" xfId="1373" xr:uid="{00000000-0005-0000-0000-00003D010000}"/>
    <cellStyle name="Comma 2 2 8" xfId="1630" xr:uid="{00000000-0005-0000-0000-00003E010000}"/>
    <cellStyle name="Comma 2 3" xfId="334" xr:uid="{00000000-0005-0000-0000-00003F010000}"/>
    <cellStyle name="Comma 2 3 2" xfId="335" xr:uid="{00000000-0005-0000-0000-000040010000}"/>
    <cellStyle name="Comma 2 3 3" xfId="336" xr:uid="{00000000-0005-0000-0000-000041010000}"/>
    <cellStyle name="Comma 2 3 3 2" xfId="1126" xr:uid="{00000000-0005-0000-0000-000042010000}"/>
    <cellStyle name="Comma 2 3 3 3" xfId="1384" xr:uid="{00000000-0005-0000-0000-000043010000}"/>
    <cellStyle name="Comma 2 3 3 4" xfId="1641" xr:uid="{00000000-0005-0000-0000-000044010000}"/>
    <cellStyle name="Comma 2 3 4" xfId="1125" xr:uid="{00000000-0005-0000-0000-000045010000}"/>
    <cellStyle name="Comma 2 3 5" xfId="1383" xr:uid="{00000000-0005-0000-0000-000046010000}"/>
    <cellStyle name="Comma 2 3 6" xfId="1640" xr:uid="{00000000-0005-0000-0000-000047010000}"/>
    <cellStyle name="Comma 2 4" xfId="337" xr:uid="{00000000-0005-0000-0000-000048010000}"/>
    <cellStyle name="Comma 2 4 2" xfId="338" xr:uid="{00000000-0005-0000-0000-000049010000}"/>
    <cellStyle name="Comma 2 4 2 2" xfId="1128" xr:uid="{00000000-0005-0000-0000-00004A010000}"/>
    <cellStyle name="Comma 2 4 2 3" xfId="1386" xr:uid="{00000000-0005-0000-0000-00004B010000}"/>
    <cellStyle name="Comma 2 4 2 4" xfId="1643" xr:uid="{00000000-0005-0000-0000-00004C010000}"/>
    <cellStyle name="Comma 2 4 3" xfId="1127" xr:uid="{00000000-0005-0000-0000-00004D010000}"/>
    <cellStyle name="Comma 2 4 4" xfId="1385" xr:uid="{00000000-0005-0000-0000-00004E010000}"/>
    <cellStyle name="Comma 2 4 5" xfId="1642" xr:uid="{00000000-0005-0000-0000-00004F010000}"/>
    <cellStyle name="Comma 2 5" xfId="339" xr:uid="{00000000-0005-0000-0000-000050010000}"/>
    <cellStyle name="Comma 2 6" xfId="340" xr:uid="{00000000-0005-0000-0000-000051010000}"/>
    <cellStyle name="Comma 2 6 2" xfId="1129" xr:uid="{00000000-0005-0000-0000-000052010000}"/>
    <cellStyle name="Comma 2 6 3" xfId="1387" xr:uid="{00000000-0005-0000-0000-000053010000}"/>
    <cellStyle name="Comma 2 6 4" xfId="1644" xr:uid="{00000000-0005-0000-0000-000054010000}"/>
    <cellStyle name="Comma 2 7" xfId="1114" xr:uid="{00000000-0005-0000-0000-000055010000}"/>
    <cellStyle name="Comma 2 8" xfId="1372" xr:uid="{00000000-0005-0000-0000-000056010000}"/>
    <cellStyle name="Comma 2 9" xfId="1629" xr:uid="{00000000-0005-0000-0000-000057010000}"/>
    <cellStyle name="Comma 3" xfId="341" xr:uid="{00000000-0005-0000-0000-000058010000}"/>
    <cellStyle name="Comma 3 2" xfId="342" xr:uid="{00000000-0005-0000-0000-000059010000}"/>
    <cellStyle name="Comma 3 2 2" xfId="343" xr:uid="{00000000-0005-0000-0000-00005A010000}"/>
    <cellStyle name="Comma 3 2 3" xfId="344" xr:uid="{00000000-0005-0000-0000-00005B010000}"/>
    <cellStyle name="Comma 3 2 3 2" xfId="1131" xr:uid="{00000000-0005-0000-0000-00005C010000}"/>
    <cellStyle name="Comma 3 2 3 3" xfId="1389" xr:uid="{00000000-0005-0000-0000-00005D010000}"/>
    <cellStyle name="Comma 3 2 3 4" xfId="1646" xr:uid="{00000000-0005-0000-0000-00005E010000}"/>
    <cellStyle name="Comma 3 2 4" xfId="1130" xr:uid="{00000000-0005-0000-0000-00005F010000}"/>
    <cellStyle name="Comma 3 2 5" xfId="1388" xr:uid="{00000000-0005-0000-0000-000060010000}"/>
    <cellStyle name="Comma 3 2 6" xfId="1645" xr:uid="{00000000-0005-0000-0000-000061010000}"/>
    <cellStyle name="Comma 4" xfId="345" xr:uid="{00000000-0005-0000-0000-000062010000}"/>
    <cellStyle name="Comma 4 2" xfId="346" xr:uid="{00000000-0005-0000-0000-000063010000}"/>
    <cellStyle name="Comma 4 2 2" xfId="347" xr:uid="{00000000-0005-0000-0000-000064010000}"/>
    <cellStyle name="Comma 4 2 3" xfId="348" xr:uid="{00000000-0005-0000-0000-000065010000}"/>
    <cellStyle name="Comma 4 2 3 2" xfId="1134" xr:uid="{00000000-0005-0000-0000-000066010000}"/>
    <cellStyle name="Comma 4 2 3 3" xfId="1392" xr:uid="{00000000-0005-0000-0000-000067010000}"/>
    <cellStyle name="Comma 4 2 3 4" xfId="1649" xr:uid="{00000000-0005-0000-0000-000068010000}"/>
    <cellStyle name="Comma 4 2 4" xfId="1133" xr:uid="{00000000-0005-0000-0000-000069010000}"/>
    <cellStyle name="Comma 4 2 5" xfId="1391" xr:uid="{00000000-0005-0000-0000-00006A010000}"/>
    <cellStyle name="Comma 4 2 6" xfId="1648" xr:uid="{00000000-0005-0000-0000-00006B010000}"/>
    <cellStyle name="Comma 4 3" xfId="349" xr:uid="{00000000-0005-0000-0000-00006C010000}"/>
    <cellStyle name="Comma 4 3 2" xfId="350" xr:uid="{00000000-0005-0000-0000-00006D010000}"/>
    <cellStyle name="Comma 4 3 2 2" xfId="1136" xr:uid="{00000000-0005-0000-0000-00006E010000}"/>
    <cellStyle name="Comma 4 3 2 3" xfId="1394" xr:uid="{00000000-0005-0000-0000-00006F010000}"/>
    <cellStyle name="Comma 4 3 2 4" xfId="1651" xr:uid="{00000000-0005-0000-0000-000070010000}"/>
    <cellStyle name="Comma 4 3 3" xfId="1135" xr:uid="{00000000-0005-0000-0000-000071010000}"/>
    <cellStyle name="Comma 4 3 4" xfId="1393" xr:uid="{00000000-0005-0000-0000-000072010000}"/>
    <cellStyle name="Comma 4 3 5" xfId="1650" xr:uid="{00000000-0005-0000-0000-000073010000}"/>
    <cellStyle name="Comma 4 4" xfId="351" xr:uid="{00000000-0005-0000-0000-000074010000}"/>
    <cellStyle name="Comma 4 4 2" xfId="1137" xr:uid="{00000000-0005-0000-0000-000075010000}"/>
    <cellStyle name="Comma 4 4 3" xfId="1395" xr:uid="{00000000-0005-0000-0000-000076010000}"/>
    <cellStyle name="Comma 4 4 4" xfId="1652" xr:uid="{00000000-0005-0000-0000-000077010000}"/>
    <cellStyle name="Comma 4 5" xfId="1132" xr:uid="{00000000-0005-0000-0000-000078010000}"/>
    <cellStyle name="Comma 4 6" xfId="1390" xr:uid="{00000000-0005-0000-0000-000079010000}"/>
    <cellStyle name="Comma 4 7" xfId="1647" xr:uid="{00000000-0005-0000-0000-00007A010000}"/>
    <cellStyle name="Comma 5" xfId="352" xr:uid="{00000000-0005-0000-0000-00007B010000}"/>
    <cellStyle name="Comma 5 2" xfId="353" xr:uid="{00000000-0005-0000-0000-00007C010000}"/>
    <cellStyle name="Comma 5 2 2" xfId="354" xr:uid="{00000000-0005-0000-0000-00007D010000}"/>
    <cellStyle name="Comma 5 2 3" xfId="355" xr:uid="{00000000-0005-0000-0000-00007E010000}"/>
    <cellStyle name="Comma 5 2 3 2" xfId="1140" xr:uid="{00000000-0005-0000-0000-00007F010000}"/>
    <cellStyle name="Comma 5 2 3 3" xfId="1398" xr:uid="{00000000-0005-0000-0000-000080010000}"/>
    <cellStyle name="Comma 5 2 3 4" xfId="1655" xr:uid="{00000000-0005-0000-0000-000081010000}"/>
    <cellStyle name="Comma 5 2 4" xfId="1139" xr:uid="{00000000-0005-0000-0000-000082010000}"/>
    <cellStyle name="Comma 5 2 5" xfId="1397" xr:uid="{00000000-0005-0000-0000-000083010000}"/>
    <cellStyle name="Comma 5 2 6" xfId="1654" xr:uid="{00000000-0005-0000-0000-000084010000}"/>
    <cellStyle name="Comma 5 3" xfId="356" xr:uid="{00000000-0005-0000-0000-000085010000}"/>
    <cellStyle name="Comma 5 3 2" xfId="357" xr:uid="{00000000-0005-0000-0000-000086010000}"/>
    <cellStyle name="Comma 5 3 2 2" xfId="1142" xr:uid="{00000000-0005-0000-0000-000087010000}"/>
    <cellStyle name="Comma 5 3 2 3" xfId="1400" xr:uid="{00000000-0005-0000-0000-000088010000}"/>
    <cellStyle name="Comma 5 3 2 4" xfId="1657" xr:uid="{00000000-0005-0000-0000-000089010000}"/>
    <cellStyle name="Comma 5 3 3" xfId="1141" xr:uid="{00000000-0005-0000-0000-00008A010000}"/>
    <cellStyle name="Comma 5 3 4" xfId="1399" xr:uid="{00000000-0005-0000-0000-00008B010000}"/>
    <cellStyle name="Comma 5 3 5" xfId="1656" xr:uid="{00000000-0005-0000-0000-00008C010000}"/>
    <cellStyle name="Comma 5 4" xfId="358" xr:uid="{00000000-0005-0000-0000-00008D010000}"/>
    <cellStyle name="Comma 5 4 2" xfId="1143" xr:uid="{00000000-0005-0000-0000-00008E010000}"/>
    <cellStyle name="Comma 5 4 3" xfId="1401" xr:uid="{00000000-0005-0000-0000-00008F010000}"/>
    <cellStyle name="Comma 5 4 4" xfId="1658" xr:uid="{00000000-0005-0000-0000-000090010000}"/>
    <cellStyle name="Comma 5 5" xfId="1138" xr:uid="{00000000-0005-0000-0000-000091010000}"/>
    <cellStyle name="Comma 5 6" xfId="1396" xr:uid="{00000000-0005-0000-0000-000092010000}"/>
    <cellStyle name="Comma 5 7" xfId="1653" xr:uid="{00000000-0005-0000-0000-000093010000}"/>
    <cellStyle name="Comma 6" xfId="359" xr:uid="{00000000-0005-0000-0000-000094010000}"/>
    <cellStyle name="Comma 6 2" xfId="360" xr:uid="{00000000-0005-0000-0000-000095010000}"/>
    <cellStyle name="Comma 6 2 2" xfId="361" xr:uid="{00000000-0005-0000-0000-000096010000}"/>
    <cellStyle name="Comma 6 2 2 2" xfId="362" xr:uid="{00000000-0005-0000-0000-000097010000}"/>
    <cellStyle name="Comma 6 2 2 2 2" xfId="1147" xr:uid="{00000000-0005-0000-0000-000098010000}"/>
    <cellStyle name="Comma 6 2 2 2 3" xfId="1405" xr:uid="{00000000-0005-0000-0000-000099010000}"/>
    <cellStyle name="Comma 6 2 2 2 4" xfId="1662" xr:uid="{00000000-0005-0000-0000-00009A010000}"/>
    <cellStyle name="Comma 6 2 2 3" xfId="1146" xr:uid="{00000000-0005-0000-0000-00009B010000}"/>
    <cellStyle name="Comma 6 2 2 4" xfId="1404" xr:uid="{00000000-0005-0000-0000-00009C010000}"/>
    <cellStyle name="Comma 6 2 2 5" xfId="1661" xr:uid="{00000000-0005-0000-0000-00009D010000}"/>
    <cellStyle name="Comma 6 2 3" xfId="363" xr:uid="{00000000-0005-0000-0000-00009E010000}"/>
    <cellStyle name="Comma 6 2 3 2" xfId="1148" xr:uid="{00000000-0005-0000-0000-00009F010000}"/>
    <cellStyle name="Comma 6 2 3 3" xfId="1406" xr:uid="{00000000-0005-0000-0000-0000A0010000}"/>
    <cellStyle name="Comma 6 2 3 4" xfId="1663" xr:uid="{00000000-0005-0000-0000-0000A1010000}"/>
    <cellStyle name="Comma 6 2 4" xfId="1145" xr:uid="{00000000-0005-0000-0000-0000A2010000}"/>
    <cellStyle name="Comma 6 2 5" xfId="1403" xr:uid="{00000000-0005-0000-0000-0000A3010000}"/>
    <cellStyle name="Comma 6 2 6" xfId="1660" xr:uid="{00000000-0005-0000-0000-0000A4010000}"/>
    <cellStyle name="Comma 6 3" xfId="364" xr:uid="{00000000-0005-0000-0000-0000A5010000}"/>
    <cellStyle name="Comma 6 3 2" xfId="365" xr:uid="{00000000-0005-0000-0000-0000A6010000}"/>
    <cellStyle name="Comma 6 3 2 2" xfId="1150" xr:uid="{00000000-0005-0000-0000-0000A7010000}"/>
    <cellStyle name="Comma 6 3 2 3" xfId="1408" xr:uid="{00000000-0005-0000-0000-0000A8010000}"/>
    <cellStyle name="Comma 6 3 2 4" xfId="1665" xr:uid="{00000000-0005-0000-0000-0000A9010000}"/>
    <cellStyle name="Comma 6 3 3" xfId="1149" xr:uid="{00000000-0005-0000-0000-0000AA010000}"/>
    <cellStyle name="Comma 6 3 4" xfId="1407" xr:uid="{00000000-0005-0000-0000-0000AB010000}"/>
    <cellStyle name="Comma 6 3 5" xfId="1664" xr:uid="{00000000-0005-0000-0000-0000AC010000}"/>
    <cellStyle name="Comma 6 4" xfId="366" xr:uid="{00000000-0005-0000-0000-0000AD010000}"/>
    <cellStyle name="Comma 6 4 2" xfId="367" xr:uid="{00000000-0005-0000-0000-0000AE010000}"/>
    <cellStyle name="Comma 6 5" xfId="368" xr:uid="{00000000-0005-0000-0000-0000AF010000}"/>
    <cellStyle name="Comma 6 5 2" xfId="369" xr:uid="{00000000-0005-0000-0000-0000B0010000}"/>
    <cellStyle name="Comma 6 5 2 2" xfId="1152" xr:uid="{00000000-0005-0000-0000-0000B1010000}"/>
    <cellStyle name="Comma 6 5 2 3" xfId="1410" xr:uid="{00000000-0005-0000-0000-0000B2010000}"/>
    <cellStyle name="Comma 6 5 2 4" xfId="1667" xr:uid="{00000000-0005-0000-0000-0000B3010000}"/>
    <cellStyle name="Comma 6 5 3" xfId="1151" xr:uid="{00000000-0005-0000-0000-0000B4010000}"/>
    <cellStyle name="Comma 6 5 4" xfId="1409" xr:uid="{00000000-0005-0000-0000-0000B5010000}"/>
    <cellStyle name="Comma 6 5 5" xfId="1666" xr:uid="{00000000-0005-0000-0000-0000B6010000}"/>
    <cellStyle name="Comma 6 6" xfId="370" xr:uid="{00000000-0005-0000-0000-0000B7010000}"/>
    <cellStyle name="Comma 6 6 2" xfId="1153" xr:uid="{00000000-0005-0000-0000-0000B8010000}"/>
    <cellStyle name="Comma 6 6 3" xfId="1411" xr:uid="{00000000-0005-0000-0000-0000B9010000}"/>
    <cellStyle name="Comma 6 6 4" xfId="1668" xr:uid="{00000000-0005-0000-0000-0000BA010000}"/>
    <cellStyle name="Comma 6 7" xfId="1144" xr:uid="{00000000-0005-0000-0000-0000BB010000}"/>
    <cellStyle name="Comma 6 8" xfId="1402" xr:uid="{00000000-0005-0000-0000-0000BC010000}"/>
    <cellStyle name="Comma 6 9" xfId="1659" xr:uid="{00000000-0005-0000-0000-0000BD010000}"/>
    <cellStyle name="Comma 7" xfId="371" xr:uid="{00000000-0005-0000-0000-0000BE010000}"/>
    <cellStyle name="Comma 7 2" xfId="372" xr:uid="{00000000-0005-0000-0000-0000BF010000}"/>
    <cellStyle name="Comma 7 2 2" xfId="373" xr:uid="{00000000-0005-0000-0000-0000C0010000}"/>
    <cellStyle name="Comma 7 3" xfId="374" xr:uid="{00000000-0005-0000-0000-0000C1010000}"/>
    <cellStyle name="Comma 7 4" xfId="375" xr:uid="{00000000-0005-0000-0000-0000C2010000}"/>
    <cellStyle name="Comma 8" xfId="376" xr:uid="{00000000-0005-0000-0000-0000C3010000}"/>
    <cellStyle name="Comma 8 2" xfId="377" xr:uid="{00000000-0005-0000-0000-0000C4010000}"/>
    <cellStyle name="Comma 8 2 2" xfId="378" xr:uid="{00000000-0005-0000-0000-0000C5010000}"/>
    <cellStyle name="Comma 8 2 2 2" xfId="1156" xr:uid="{00000000-0005-0000-0000-0000C6010000}"/>
    <cellStyle name="Comma 8 2 2 3" xfId="1414" xr:uid="{00000000-0005-0000-0000-0000C7010000}"/>
    <cellStyle name="Comma 8 2 2 4" xfId="1671" xr:uid="{00000000-0005-0000-0000-0000C8010000}"/>
    <cellStyle name="Comma 8 2 3" xfId="1155" xr:uid="{00000000-0005-0000-0000-0000C9010000}"/>
    <cellStyle name="Comma 8 2 4" xfId="1413" xr:uid="{00000000-0005-0000-0000-0000CA010000}"/>
    <cellStyle name="Comma 8 2 5" xfId="1670" xr:uid="{00000000-0005-0000-0000-0000CB010000}"/>
    <cellStyle name="Comma 8 3" xfId="379" xr:uid="{00000000-0005-0000-0000-0000CC010000}"/>
    <cellStyle name="Comma 8 3 2" xfId="380" xr:uid="{00000000-0005-0000-0000-0000CD010000}"/>
    <cellStyle name="Comma 8 3 2 2" xfId="1158" xr:uid="{00000000-0005-0000-0000-0000CE010000}"/>
    <cellStyle name="Comma 8 3 2 3" xfId="1416" xr:uid="{00000000-0005-0000-0000-0000CF010000}"/>
    <cellStyle name="Comma 8 3 2 4" xfId="1673" xr:uid="{00000000-0005-0000-0000-0000D0010000}"/>
    <cellStyle name="Comma 8 3 3" xfId="1157" xr:uid="{00000000-0005-0000-0000-0000D1010000}"/>
    <cellStyle name="Comma 8 3 4" xfId="1415" xr:uid="{00000000-0005-0000-0000-0000D2010000}"/>
    <cellStyle name="Comma 8 3 5" xfId="1672" xr:uid="{00000000-0005-0000-0000-0000D3010000}"/>
    <cellStyle name="Comma 8 4" xfId="381" xr:uid="{00000000-0005-0000-0000-0000D4010000}"/>
    <cellStyle name="Comma 8 4 2" xfId="1159" xr:uid="{00000000-0005-0000-0000-0000D5010000}"/>
    <cellStyle name="Comma 8 4 3" xfId="1417" xr:uid="{00000000-0005-0000-0000-0000D6010000}"/>
    <cellStyle name="Comma 8 4 4" xfId="1674" xr:uid="{00000000-0005-0000-0000-0000D7010000}"/>
    <cellStyle name="Comma 8 5" xfId="1154" xr:uid="{00000000-0005-0000-0000-0000D8010000}"/>
    <cellStyle name="Comma 8 6" xfId="1412" xr:uid="{00000000-0005-0000-0000-0000D9010000}"/>
    <cellStyle name="Comma 8 7" xfId="1669" xr:uid="{00000000-0005-0000-0000-0000DA010000}"/>
    <cellStyle name="Comma 9" xfId="382" xr:uid="{00000000-0005-0000-0000-0000DB010000}"/>
    <cellStyle name="Comma 9 2" xfId="383" xr:uid="{00000000-0005-0000-0000-0000DC010000}"/>
    <cellStyle name="Comma 9 2 2" xfId="384" xr:uid="{00000000-0005-0000-0000-0000DD010000}"/>
    <cellStyle name="Comma 9 2 2 2" xfId="1162" xr:uid="{00000000-0005-0000-0000-0000DE010000}"/>
    <cellStyle name="Comma 9 2 2 3" xfId="1420" xr:uid="{00000000-0005-0000-0000-0000DF010000}"/>
    <cellStyle name="Comma 9 2 2 4" xfId="1677" xr:uid="{00000000-0005-0000-0000-0000E0010000}"/>
    <cellStyle name="Comma 9 2 3" xfId="1161" xr:uid="{00000000-0005-0000-0000-0000E1010000}"/>
    <cellStyle name="Comma 9 2 4" xfId="1419" xr:uid="{00000000-0005-0000-0000-0000E2010000}"/>
    <cellStyle name="Comma 9 2 5" xfId="1676" xr:uid="{00000000-0005-0000-0000-0000E3010000}"/>
    <cellStyle name="Comma 9 3" xfId="385" xr:uid="{00000000-0005-0000-0000-0000E4010000}"/>
    <cellStyle name="Comma 9 3 2" xfId="1163" xr:uid="{00000000-0005-0000-0000-0000E5010000}"/>
    <cellStyle name="Comma 9 3 3" xfId="1421" xr:uid="{00000000-0005-0000-0000-0000E6010000}"/>
    <cellStyle name="Comma 9 3 4" xfId="1678" xr:uid="{00000000-0005-0000-0000-0000E7010000}"/>
    <cellStyle name="Comma 9 4" xfId="1160" xr:uid="{00000000-0005-0000-0000-0000E8010000}"/>
    <cellStyle name="Comma 9 5" xfId="1418" xr:uid="{00000000-0005-0000-0000-0000E9010000}"/>
    <cellStyle name="Comma 9 6" xfId="1675" xr:uid="{00000000-0005-0000-0000-0000EA010000}"/>
    <cellStyle name="Currency [00]" xfId="10" xr:uid="{00000000-0005-0000-0000-0000EB010000}"/>
    <cellStyle name="Currency [00] 2" xfId="1100" xr:uid="{00000000-0005-0000-0000-0000EC010000}"/>
    <cellStyle name="Currency 2" xfId="386" xr:uid="{00000000-0005-0000-0000-0000ED010000}"/>
    <cellStyle name="Currency 2 2" xfId="387" xr:uid="{00000000-0005-0000-0000-0000EE010000}"/>
    <cellStyle name="Currency 2 2 2" xfId="388" xr:uid="{00000000-0005-0000-0000-0000EF010000}"/>
    <cellStyle name="Currency 2 2 2 2" xfId="1166" xr:uid="{00000000-0005-0000-0000-0000F0010000}"/>
    <cellStyle name="Currency 2 2 2 3" xfId="1424" xr:uid="{00000000-0005-0000-0000-0000F1010000}"/>
    <cellStyle name="Currency 2 2 2 4" xfId="1681" xr:uid="{00000000-0005-0000-0000-0000F2010000}"/>
    <cellStyle name="Currency 2 2 3" xfId="1165" xr:uid="{00000000-0005-0000-0000-0000F3010000}"/>
    <cellStyle name="Currency 2 2 4" xfId="1423" xr:uid="{00000000-0005-0000-0000-0000F4010000}"/>
    <cellStyle name="Currency 2 2 5" xfId="1680" xr:uid="{00000000-0005-0000-0000-0000F5010000}"/>
    <cellStyle name="Currency 2 3" xfId="389" xr:uid="{00000000-0005-0000-0000-0000F6010000}"/>
    <cellStyle name="Currency 2 3 2" xfId="1167" xr:uid="{00000000-0005-0000-0000-0000F7010000}"/>
    <cellStyle name="Currency 2 3 3" xfId="1425" xr:uid="{00000000-0005-0000-0000-0000F8010000}"/>
    <cellStyle name="Currency 2 3 4" xfId="1682" xr:uid="{00000000-0005-0000-0000-0000F9010000}"/>
    <cellStyle name="Currency 2 4" xfId="1164" xr:uid="{00000000-0005-0000-0000-0000FA010000}"/>
    <cellStyle name="Currency 2 5" xfId="1422" xr:uid="{00000000-0005-0000-0000-0000FB010000}"/>
    <cellStyle name="Currency 2 6" xfId="1679" xr:uid="{00000000-0005-0000-0000-0000FC010000}"/>
    <cellStyle name="Currency 3" xfId="390" xr:uid="{00000000-0005-0000-0000-0000FD010000}"/>
    <cellStyle name="Currency 3 2" xfId="391" xr:uid="{00000000-0005-0000-0000-0000FE010000}"/>
    <cellStyle name="Currency 4" xfId="392" xr:uid="{00000000-0005-0000-0000-0000FF010000}"/>
    <cellStyle name="Currency 4 2" xfId="393" xr:uid="{00000000-0005-0000-0000-000000020000}"/>
    <cellStyle name="Currency 4 2 2" xfId="394" xr:uid="{00000000-0005-0000-0000-000001020000}"/>
    <cellStyle name="Currency 4 2 2 2" xfId="395" xr:uid="{00000000-0005-0000-0000-000002020000}"/>
    <cellStyle name="Currency 4 2 2 2 2" xfId="1171" xr:uid="{00000000-0005-0000-0000-000003020000}"/>
    <cellStyle name="Currency 4 2 2 2 3" xfId="1429" xr:uid="{00000000-0005-0000-0000-000004020000}"/>
    <cellStyle name="Currency 4 2 2 2 4" xfId="1686" xr:uid="{00000000-0005-0000-0000-000005020000}"/>
    <cellStyle name="Currency 4 2 2 3" xfId="1170" xr:uid="{00000000-0005-0000-0000-000006020000}"/>
    <cellStyle name="Currency 4 2 2 4" xfId="1428" xr:uid="{00000000-0005-0000-0000-000007020000}"/>
    <cellStyle name="Currency 4 2 2 5" xfId="1685" xr:uid="{00000000-0005-0000-0000-000008020000}"/>
    <cellStyle name="Currency 4 2 3" xfId="396" xr:uid="{00000000-0005-0000-0000-000009020000}"/>
    <cellStyle name="Currency 4 2 3 2" xfId="397" xr:uid="{00000000-0005-0000-0000-00000A020000}"/>
    <cellStyle name="Currency 4 2 3 2 2" xfId="1173" xr:uid="{00000000-0005-0000-0000-00000B020000}"/>
    <cellStyle name="Currency 4 2 3 2 3" xfId="1431" xr:uid="{00000000-0005-0000-0000-00000C020000}"/>
    <cellStyle name="Currency 4 2 3 2 4" xfId="1688" xr:uid="{00000000-0005-0000-0000-00000D020000}"/>
    <cellStyle name="Currency 4 2 3 3" xfId="1172" xr:uid="{00000000-0005-0000-0000-00000E020000}"/>
    <cellStyle name="Currency 4 2 3 4" xfId="1430" xr:uid="{00000000-0005-0000-0000-00000F020000}"/>
    <cellStyle name="Currency 4 2 3 5" xfId="1687" xr:uid="{00000000-0005-0000-0000-000010020000}"/>
    <cellStyle name="Currency 4 2 4" xfId="398" xr:uid="{00000000-0005-0000-0000-000011020000}"/>
    <cellStyle name="Currency 4 2 4 2" xfId="399" xr:uid="{00000000-0005-0000-0000-000012020000}"/>
    <cellStyle name="Currency 4 2 4 2 2" xfId="1175" xr:uid="{00000000-0005-0000-0000-000013020000}"/>
    <cellStyle name="Currency 4 2 4 2 3" xfId="1433" xr:uid="{00000000-0005-0000-0000-000014020000}"/>
    <cellStyle name="Currency 4 2 4 2 4" xfId="1690" xr:uid="{00000000-0005-0000-0000-000015020000}"/>
    <cellStyle name="Currency 4 2 4 3" xfId="1174" xr:uid="{00000000-0005-0000-0000-000016020000}"/>
    <cellStyle name="Currency 4 2 4 4" xfId="1432" xr:uid="{00000000-0005-0000-0000-000017020000}"/>
    <cellStyle name="Currency 4 2 4 5" xfId="1689" xr:uid="{00000000-0005-0000-0000-000018020000}"/>
    <cellStyle name="Currency 4 2 5" xfId="400" xr:uid="{00000000-0005-0000-0000-000019020000}"/>
    <cellStyle name="Currency 4 2 5 2" xfId="1176" xr:uid="{00000000-0005-0000-0000-00001A020000}"/>
    <cellStyle name="Currency 4 2 5 3" xfId="1434" xr:uid="{00000000-0005-0000-0000-00001B020000}"/>
    <cellStyle name="Currency 4 2 5 4" xfId="1691" xr:uid="{00000000-0005-0000-0000-00001C020000}"/>
    <cellStyle name="Currency 4 2 6" xfId="1169" xr:uid="{00000000-0005-0000-0000-00001D020000}"/>
    <cellStyle name="Currency 4 2 7" xfId="1427" xr:uid="{00000000-0005-0000-0000-00001E020000}"/>
    <cellStyle name="Currency 4 2 8" xfId="1684" xr:uid="{00000000-0005-0000-0000-00001F020000}"/>
    <cellStyle name="Currency 4 3" xfId="401" xr:uid="{00000000-0005-0000-0000-000020020000}"/>
    <cellStyle name="Currency 4 3 2" xfId="1177" xr:uid="{00000000-0005-0000-0000-000021020000}"/>
    <cellStyle name="Currency 4 3 3" xfId="1435" xr:uid="{00000000-0005-0000-0000-000022020000}"/>
    <cellStyle name="Currency 4 3 4" xfId="1692" xr:uid="{00000000-0005-0000-0000-000023020000}"/>
    <cellStyle name="Currency 4 4" xfId="1168" xr:uid="{00000000-0005-0000-0000-000024020000}"/>
    <cellStyle name="Currency 4 5" xfId="1426" xr:uid="{00000000-0005-0000-0000-000025020000}"/>
    <cellStyle name="Currency 4 6" xfId="1683" xr:uid="{00000000-0005-0000-0000-000026020000}"/>
    <cellStyle name="Currency 5" xfId="402" xr:uid="{00000000-0005-0000-0000-000027020000}"/>
    <cellStyle name="Currency 5 2" xfId="403" xr:uid="{00000000-0005-0000-0000-000028020000}"/>
    <cellStyle name="Currency 5 2 2" xfId="404" xr:uid="{00000000-0005-0000-0000-000029020000}"/>
    <cellStyle name="Currency 5 2 2 2" xfId="1180" xr:uid="{00000000-0005-0000-0000-00002A020000}"/>
    <cellStyle name="Currency 5 2 2 3" xfId="1438" xr:uid="{00000000-0005-0000-0000-00002B020000}"/>
    <cellStyle name="Currency 5 2 2 4" xfId="1695" xr:uid="{00000000-0005-0000-0000-00002C020000}"/>
    <cellStyle name="Currency 5 2 3" xfId="1179" xr:uid="{00000000-0005-0000-0000-00002D020000}"/>
    <cellStyle name="Currency 5 2 4" xfId="1437" xr:uid="{00000000-0005-0000-0000-00002E020000}"/>
    <cellStyle name="Currency 5 2 5" xfId="1694" xr:uid="{00000000-0005-0000-0000-00002F020000}"/>
    <cellStyle name="Currency 5 3" xfId="405" xr:uid="{00000000-0005-0000-0000-000030020000}"/>
    <cellStyle name="Currency 5 3 2" xfId="406" xr:uid="{00000000-0005-0000-0000-000031020000}"/>
    <cellStyle name="Currency 5 3 2 2" xfId="1182" xr:uid="{00000000-0005-0000-0000-000032020000}"/>
    <cellStyle name="Currency 5 3 2 3" xfId="1440" xr:uid="{00000000-0005-0000-0000-000033020000}"/>
    <cellStyle name="Currency 5 3 2 4" xfId="1697" xr:uid="{00000000-0005-0000-0000-000034020000}"/>
    <cellStyle name="Currency 5 3 3" xfId="1181" xr:uid="{00000000-0005-0000-0000-000035020000}"/>
    <cellStyle name="Currency 5 3 4" xfId="1439" xr:uid="{00000000-0005-0000-0000-000036020000}"/>
    <cellStyle name="Currency 5 3 5" xfId="1696" xr:uid="{00000000-0005-0000-0000-000037020000}"/>
    <cellStyle name="Currency 5 4" xfId="407" xr:uid="{00000000-0005-0000-0000-000038020000}"/>
    <cellStyle name="Currency 5 4 2" xfId="408" xr:uid="{00000000-0005-0000-0000-000039020000}"/>
    <cellStyle name="Currency 5 4 2 2" xfId="1184" xr:uid="{00000000-0005-0000-0000-00003A020000}"/>
    <cellStyle name="Currency 5 4 2 3" xfId="1442" xr:uid="{00000000-0005-0000-0000-00003B020000}"/>
    <cellStyle name="Currency 5 4 2 4" xfId="1699" xr:uid="{00000000-0005-0000-0000-00003C020000}"/>
    <cellStyle name="Currency 5 4 3" xfId="1183" xr:uid="{00000000-0005-0000-0000-00003D020000}"/>
    <cellStyle name="Currency 5 4 4" xfId="1441" xr:uid="{00000000-0005-0000-0000-00003E020000}"/>
    <cellStyle name="Currency 5 4 5" xfId="1698" xr:uid="{00000000-0005-0000-0000-00003F020000}"/>
    <cellStyle name="Currency 5 5" xfId="409" xr:uid="{00000000-0005-0000-0000-000040020000}"/>
    <cellStyle name="Currency 5 5 2" xfId="1185" xr:uid="{00000000-0005-0000-0000-000041020000}"/>
    <cellStyle name="Currency 5 5 3" xfId="1443" xr:uid="{00000000-0005-0000-0000-000042020000}"/>
    <cellStyle name="Currency 5 5 4" xfId="1700" xr:uid="{00000000-0005-0000-0000-000043020000}"/>
    <cellStyle name="Currency 5 6" xfId="1178" xr:uid="{00000000-0005-0000-0000-000044020000}"/>
    <cellStyle name="Currency 5 7" xfId="1436" xr:uid="{00000000-0005-0000-0000-000045020000}"/>
    <cellStyle name="Currency 5 8" xfId="1693" xr:uid="{00000000-0005-0000-0000-000046020000}"/>
    <cellStyle name="Currency 6" xfId="410" xr:uid="{00000000-0005-0000-0000-000047020000}"/>
    <cellStyle name="Currency 6 2" xfId="411" xr:uid="{00000000-0005-0000-0000-000048020000}"/>
    <cellStyle name="Currency 7" xfId="412" xr:uid="{00000000-0005-0000-0000-000049020000}"/>
    <cellStyle name="Currency 7 2" xfId="413" xr:uid="{00000000-0005-0000-0000-00004A020000}"/>
    <cellStyle name="Date Short" xfId="11" xr:uid="{00000000-0005-0000-0000-00004B020000}"/>
    <cellStyle name="Default_Uvuceni" xfId="414" xr:uid="{00000000-0005-0000-0000-00004C020000}"/>
    <cellStyle name="DELTA" xfId="12" xr:uid="{00000000-0005-0000-0000-00004D020000}"/>
    <cellStyle name="Dobro 1" xfId="416" xr:uid="{00000000-0005-0000-0000-00004E020000}"/>
    <cellStyle name="Dobro 2" xfId="417" xr:uid="{00000000-0005-0000-0000-00004F020000}"/>
    <cellStyle name="Dobro 2 2" xfId="418" xr:uid="{00000000-0005-0000-0000-000050020000}"/>
    <cellStyle name="Dobro 2 3" xfId="419" xr:uid="{00000000-0005-0000-0000-000051020000}"/>
    <cellStyle name="Dobro 3" xfId="420" xr:uid="{00000000-0005-0000-0000-000052020000}"/>
    <cellStyle name="Dobro 4" xfId="421" xr:uid="{00000000-0005-0000-0000-000053020000}"/>
    <cellStyle name="Dobro 5" xfId="415" xr:uid="{00000000-0005-0000-0000-000054020000}"/>
    <cellStyle name="Eingabe" xfId="422" xr:uid="{00000000-0005-0000-0000-000055020000}"/>
    <cellStyle name="Enter Currency (0)" xfId="13" xr:uid="{00000000-0005-0000-0000-000056020000}"/>
    <cellStyle name="Enter Currency (2)" xfId="14" xr:uid="{00000000-0005-0000-0000-000057020000}"/>
    <cellStyle name="Enter Units (0)" xfId="15" xr:uid="{00000000-0005-0000-0000-000058020000}"/>
    <cellStyle name="Enter Units (1)" xfId="16" xr:uid="{00000000-0005-0000-0000-000059020000}"/>
    <cellStyle name="Enter Units (2)" xfId="17" xr:uid="{00000000-0005-0000-0000-00005A020000}"/>
    <cellStyle name="Ergebnis" xfId="423" xr:uid="{00000000-0005-0000-0000-00005B020000}"/>
    <cellStyle name="Erklärender Text" xfId="424" xr:uid="{00000000-0005-0000-0000-00005C020000}"/>
    <cellStyle name="Euro" xfId="425" xr:uid="{00000000-0005-0000-0000-00005D020000}"/>
    <cellStyle name="Excel Built-in Excel Built-in Excel Built-in TableStyleLight1" xfId="426" xr:uid="{00000000-0005-0000-0000-00005E020000}"/>
    <cellStyle name="Excel Built-in Normal" xfId="427" xr:uid="{00000000-0005-0000-0000-00005F020000}"/>
    <cellStyle name="Excel Built-in Normal 2" xfId="428" xr:uid="{00000000-0005-0000-0000-000060020000}"/>
    <cellStyle name="Excel Built-in Normal 2 2" xfId="429" xr:uid="{00000000-0005-0000-0000-000061020000}"/>
    <cellStyle name="Excel_BuiltIn_20% - Accent2" xfId="430" xr:uid="{00000000-0005-0000-0000-000062020000}"/>
    <cellStyle name="Explanatory Text 1" xfId="431" xr:uid="{00000000-0005-0000-0000-000063020000}"/>
    <cellStyle name="Explanatory Text 1 1" xfId="432" xr:uid="{00000000-0005-0000-0000-000064020000}"/>
    <cellStyle name="Explanatory Text 2" xfId="433" xr:uid="{00000000-0005-0000-0000-000065020000}"/>
    <cellStyle name="Flag" xfId="18" xr:uid="{00000000-0005-0000-0000-000066020000}"/>
    <cellStyle name="Good 1" xfId="434" xr:uid="{00000000-0005-0000-0000-000067020000}"/>
    <cellStyle name="Good 1 1" xfId="435" xr:uid="{00000000-0005-0000-0000-000068020000}"/>
    <cellStyle name="Good 2" xfId="436" xr:uid="{00000000-0005-0000-0000-000069020000}"/>
    <cellStyle name="Good 2 2" xfId="437" xr:uid="{00000000-0005-0000-0000-00006A020000}"/>
    <cellStyle name="Gut" xfId="438" xr:uid="{00000000-0005-0000-0000-00006B020000}"/>
    <cellStyle name="Header1" xfId="19" xr:uid="{00000000-0005-0000-0000-00006C020000}"/>
    <cellStyle name="Header2" xfId="20" xr:uid="{00000000-0005-0000-0000-00006D020000}"/>
    <cellStyle name="Heading" xfId="439" xr:uid="{00000000-0005-0000-0000-00006E020000}"/>
    <cellStyle name="Heading 1 1" xfId="440" xr:uid="{00000000-0005-0000-0000-00006F020000}"/>
    <cellStyle name="Heading 1 1 1" xfId="441" xr:uid="{00000000-0005-0000-0000-000070020000}"/>
    <cellStyle name="Heading 1 2" xfId="442" xr:uid="{00000000-0005-0000-0000-000071020000}"/>
    <cellStyle name="Heading 1 2 2" xfId="443" xr:uid="{00000000-0005-0000-0000-000072020000}"/>
    <cellStyle name="Heading 2 1" xfId="444" xr:uid="{00000000-0005-0000-0000-000073020000}"/>
    <cellStyle name="Heading 2 1 1" xfId="445" xr:uid="{00000000-0005-0000-0000-000074020000}"/>
    <cellStyle name="Heading 2 2" xfId="446" xr:uid="{00000000-0005-0000-0000-000075020000}"/>
    <cellStyle name="Heading 2 2 2" xfId="447" xr:uid="{00000000-0005-0000-0000-000076020000}"/>
    <cellStyle name="Heading 3 1" xfId="448" xr:uid="{00000000-0005-0000-0000-000077020000}"/>
    <cellStyle name="Heading 3 1 1" xfId="449" xr:uid="{00000000-0005-0000-0000-000078020000}"/>
    <cellStyle name="Heading 3 2" xfId="450" xr:uid="{00000000-0005-0000-0000-000079020000}"/>
    <cellStyle name="Heading 3 2 2" xfId="451" xr:uid="{00000000-0005-0000-0000-00007A020000}"/>
    <cellStyle name="Heading 4 1" xfId="452" xr:uid="{00000000-0005-0000-0000-00007B020000}"/>
    <cellStyle name="Heading 4 1 1" xfId="453" xr:uid="{00000000-0005-0000-0000-00007C020000}"/>
    <cellStyle name="Heading 4 2" xfId="454" xr:uid="{00000000-0005-0000-0000-00007D020000}"/>
    <cellStyle name="Heading 4 2 2" xfId="455" xr:uid="{00000000-0005-0000-0000-00007E020000}"/>
    <cellStyle name="Heading1" xfId="456" xr:uid="{00000000-0005-0000-0000-00007F020000}"/>
    <cellStyle name="Heading1 1" xfId="21" xr:uid="{00000000-0005-0000-0000-000080020000}"/>
    <cellStyle name="Heading2" xfId="22" xr:uid="{00000000-0005-0000-0000-000081020000}"/>
    <cellStyle name="Heading3" xfId="23" xr:uid="{00000000-0005-0000-0000-000082020000}"/>
    <cellStyle name="Heading4" xfId="24" xr:uid="{00000000-0005-0000-0000-000083020000}"/>
    <cellStyle name="Heading5" xfId="25" xr:uid="{00000000-0005-0000-0000-000084020000}"/>
    <cellStyle name="Heading6" xfId="26" xr:uid="{00000000-0005-0000-0000-000085020000}"/>
    <cellStyle name="Hiperveza" xfId="1886" builtinId="8"/>
    <cellStyle name="Hiperveza 10 2" xfId="457" xr:uid="{00000000-0005-0000-0000-000087020000}"/>
    <cellStyle name="Hiperveza 2 2" xfId="458" xr:uid="{00000000-0005-0000-0000-000088020000}"/>
    <cellStyle name="Horizontal" xfId="27" xr:uid="{00000000-0005-0000-0000-000089020000}"/>
    <cellStyle name="Hyperlink 2" xfId="459" xr:uid="{00000000-0005-0000-0000-00008A020000}"/>
    <cellStyle name="Hyperlink 2 2" xfId="460" xr:uid="{00000000-0005-0000-0000-00008B020000}"/>
    <cellStyle name="Îáű÷íűé_23_1 " xfId="28" xr:uid="{00000000-0005-0000-0000-00008C020000}"/>
    <cellStyle name="Input 1" xfId="461" xr:uid="{00000000-0005-0000-0000-00008D020000}"/>
    <cellStyle name="Input 1 1" xfId="462" xr:uid="{00000000-0005-0000-0000-00008E020000}"/>
    <cellStyle name="Input 2" xfId="463" xr:uid="{00000000-0005-0000-0000-00008F020000}"/>
    <cellStyle name="Input 2 2" xfId="464" xr:uid="{00000000-0005-0000-0000-000090020000}"/>
    <cellStyle name="Isticanje1 1" xfId="465" xr:uid="{00000000-0005-0000-0000-000091020000}"/>
    <cellStyle name="Isticanje1 2" xfId="466" xr:uid="{00000000-0005-0000-0000-000092020000}"/>
    <cellStyle name="Isticanje2 1" xfId="467" xr:uid="{00000000-0005-0000-0000-000093020000}"/>
    <cellStyle name="Isticanje2 2" xfId="468" xr:uid="{00000000-0005-0000-0000-000094020000}"/>
    <cellStyle name="Isticanje3 1" xfId="469" xr:uid="{00000000-0005-0000-0000-000095020000}"/>
    <cellStyle name="Isticanje3 2" xfId="470" xr:uid="{00000000-0005-0000-0000-000096020000}"/>
    <cellStyle name="Isticanje4 1" xfId="471" xr:uid="{00000000-0005-0000-0000-000097020000}"/>
    <cellStyle name="Isticanje4 2" xfId="472" xr:uid="{00000000-0005-0000-0000-000098020000}"/>
    <cellStyle name="Isticanje5 1" xfId="473" xr:uid="{00000000-0005-0000-0000-000099020000}"/>
    <cellStyle name="Isticanje5 2" xfId="474" xr:uid="{00000000-0005-0000-0000-00009A020000}"/>
    <cellStyle name="Isticanje6 1" xfId="475" xr:uid="{00000000-0005-0000-0000-00009B020000}"/>
    <cellStyle name="Isticanje6 2" xfId="476" xr:uid="{00000000-0005-0000-0000-00009C020000}"/>
    <cellStyle name="Izlaz 1" xfId="478" xr:uid="{00000000-0005-0000-0000-00009D020000}"/>
    <cellStyle name="Izlaz 2" xfId="479" xr:uid="{00000000-0005-0000-0000-00009E020000}"/>
    <cellStyle name="Izlaz 2 2" xfId="480" xr:uid="{00000000-0005-0000-0000-00009F020000}"/>
    <cellStyle name="Izlaz 2 3" xfId="481" xr:uid="{00000000-0005-0000-0000-0000A0020000}"/>
    <cellStyle name="Izlaz 3" xfId="482" xr:uid="{00000000-0005-0000-0000-0000A1020000}"/>
    <cellStyle name="Izlaz 4" xfId="483" xr:uid="{00000000-0005-0000-0000-0000A2020000}"/>
    <cellStyle name="Izlaz 5" xfId="477" xr:uid="{00000000-0005-0000-0000-0000A3020000}"/>
    <cellStyle name="Izračun 1" xfId="484" xr:uid="{00000000-0005-0000-0000-0000A4020000}"/>
    <cellStyle name="Izračun 2" xfId="485" xr:uid="{00000000-0005-0000-0000-0000A5020000}"/>
    <cellStyle name="kolona A" xfId="486" xr:uid="{00000000-0005-0000-0000-0000A6020000}"/>
    <cellStyle name="kolona B" xfId="487" xr:uid="{00000000-0005-0000-0000-0000A7020000}"/>
    <cellStyle name="kolona C" xfId="488" xr:uid="{00000000-0005-0000-0000-0000A8020000}"/>
    <cellStyle name="kolona D" xfId="489" xr:uid="{00000000-0005-0000-0000-0000A9020000}"/>
    <cellStyle name="kolona E" xfId="490" xr:uid="{00000000-0005-0000-0000-0000AA020000}"/>
    <cellStyle name="kolona F" xfId="491" xr:uid="{00000000-0005-0000-0000-0000AB020000}"/>
    <cellStyle name="kolona G" xfId="492" xr:uid="{00000000-0005-0000-0000-0000AC020000}"/>
    <cellStyle name="kolona H" xfId="493" xr:uid="{00000000-0005-0000-0000-0000AD020000}"/>
    <cellStyle name="komadi" xfId="494" xr:uid="{00000000-0005-0000-0000-0000AE020000}"/>
    <cellStyle name="Link Currency (0)" xfId="29" xr:uid="{00000000-0005-0000-0000-0000AF020000}"/>
    <cellStyle name="Link Currency (2)" xfId="30" xr:uid="{00000000-0005-0000-0000-0000B0020000}"/>
    <cellStyle name="Link Units (0)" xfId="31" xr:uid="{00000000-0005-0000-0000-0000B1020000}"/>
    <cellStyle name="Link Units (1)" xfId="32" xr:uid="{00000000-0005-0000-0000-0000B2020000}"/>
    <cellStyle name="Link Units (2)" xfId="33" xr:uid="{00000000-0005-0000-0000-0000B3020000}"/>
    <cellStyle name="Linked Cell 1" xfId="495" xr:uid="{00000000-0005-0000-0000-0000B4020000}"/>
    <cellStyle name="Linked Cell 1 1" xfId="496" xr:uid="{00000000-0005-0000-0000-0000B5020000}"/>
    <cellStyle name="Linked Cell 2" xfId="497" xr:uid="{00000000-0005-0000-0000-0000B6020000}"/>
    <cellStyle name="Linked Cell 2 2" xfId="498" xr:uid="{00000000-0005-0000-0000-0000B7020000}"/>
    <cellStyle name="Loše 1" xfId="499" xr:uid="{00000000-0005-0000-0000-0000B8020000}"/>
    <cellStyle name="Loše 2" xfId="500" xr:uid="{00000000-0005-0000-0000-0000B9020000}"/>
    <cellStyle name="Matrix" xfId="34" xr:uid="{00000000-0005-0000-0000-0000BA020000}"/>
    <cellStyle name="merge" xfId="501" xr:uid="{00000000-0005-0000-0000-0000BB020000}"/>
    <cellStyle name="nabrajanje" xfId="502" xr:uid="{00000000-0005-0000-0000-0000BC020000}"/>
    <cellStyle name="nabrajanje sa bulletima" xfId="503" xr:uid="{00000000-0005-0000-0000-0000BD020000}"/>
    <cellStyle name="napomene" xfId="504" xr:uid="{00000000-0005-0000-0000-0000BE020000}"/>
    <cellStyle name="Naslov 1 1" xfId="506" xr:uid="{00000000-0005-0000-0000-0000BF020000}"/>
    <cellStyle name="Naslov 1 2" xfId="507" xr:uid="{00000000-0005-0000-0000-0000C0020000}"/>
    <cellStyle name="Naslov 2 1" xfId="508" xr:uid="{00000000-0005-0000-0000-0000C1020000}"/>
    <cellStyle name="Naslov 2 2" xfId="509" xr:uid="{00000000-0005-0000-0000-0000C2020000}"/>
    <cellStyle name="Naslov 3 1" xfId="510" xr:uid="{00000000-0005-0000-0000-0000C3020000}"/>
    <cellStyle name="Naslov 3 2" xfId="511" xr:uid="{00000000-0005-0000-0000-0000C4020000}"/>
    <cellStyle name="Naslov 4 1" xfId="512" xr:uid="{00000000-0005-0000-0000-0000C5020000}"/>
    <cellStyle name="Naslov 4 2" xfId="513" xr:uid="{00000000-0005-0000-0000-0000C6020000}"/>
    <cellStyle name="Naslov 5" xfId="514" xr:uid="{00000000-0005-0000-0000-0000C7020000}"/>
    <cellStyle name="Naslov 5 2" xfId="515" xr:uid="{00000000-0005-0000-0000-0000C8020000}"/>
    <cellStyle name="Naslov 6" xfId="516" xr:uid="{00000000-0005-0000-0000-0000C9020000}"/>
    <cellStyle name="Naslov 7" xfId="505" xr:uid="{00000000-0005-0000-0000-0000CA020000}"/>
    <cellStyle name="Navadno_KALAMAR-PSO GREGORČIČEVA MS-16.11.04" xfId="517" xr:uid="{00000000-0005-0000-0000-0000CB020000}"/>
    <cellStyle name="Neutral 1" xfId="518" xr:uid="{00000000-0005-0000-0000-0000CC020000}"/>
    <cellStyle name="Neutral 1 1" xfId="519" xr:uid="{00000000-0005-0000-0000-0000CD020000}"/>
    <cellStyle name="Neutral 2" xfId="520" xr:uid="{00000000-0005-0000-0000-0000CE020000}"/>
    <cellStyle name="Neutral 2 2" xfId="521" xr:uid="{00000000-0005-0000-0000-0000CF020000}"/>
    <cellStyle name="Neutralno 1" xfId="522" xr:uid="{00000000-0005-0000-0000-0000D0020000}"/>
    <cellStyle name="Neutralno 2" xfId="523" xr:uid="{00000000-0005-0000-0000-0000D1020000}"/>
    <cellStyle name="Normal 10" xfId="524" xr:uid="{00000000-0005-0000-0000-0000D2020000}"/>
    <cellStyle name="Normal 10 2" xfId="525" xr:uid="{00000000-0005-0000-0000-0000D3020000}"/>
    <cellStyle name="Normal 10 2 2" xfId="526" xr:uid="{00000000-0005-0000-0000-0000D4020000}"/>
    <cellStyle name="Normal 10 2 2 2" xfId="527" xr:uid="{00000000-0005-0000-0000-0000D5020000}"/>
    <cellStyle name="Normal 10 2 2 3" xfId="528" xr:uid="{00000000-0005-0000-0000-0000D6020000}"/>
    <cellStyle name="Normal 10 2 3" xfId="529" xr:uid="{00000000-0005-0000-0000-0000D7020000}"/>
    <cellStyle name="Normal 10 3" xfId="530" xr:uid="{00000000-0005-0000-0000-0000D8020000}"/>
    <cellStyle name="Normal 10 4" xfId="531" xr:uid="{00000000-0005-0000-0000-0000D9020000}"/>
    <cellStyle name="Normal 11" xfId="532" xr:uid="{00000000-0005-0000-0000-0000DA020000}"/>
    <cellStyle name="Normal 11 2" xfId="533" xr:uid="{00000000-0005-0000-0000-0000DB020000}"/>
    <cellStyle name="Normal 11 2 2" xfId="534" xr:uid="{00000000-0005-0000-0000-0000DC020000}"/>
    <cellStyle name="Normal 11 2 3" xfId="535" xr:uid="{00000000-0005-0000-0000-0000DD020000}"/>
    <cellStyle name="Normal 114" xfId="1891" xr:uid="{00000000-0005-0000-0000-0000DE020000}"/>
    <cellStyle name="Normal 12" xfId="536" xr:uid="{00000000-0005-0000-0000-0000DF020000}"/>
    <cellStyle name="Normal 12 2" xfId="537" xr:uid="{00000000-0005-0000-0000-0000E0020000}"/>
    <cellStyle name="Normal 13" xfId="538" xr:uid="{00000000-0005-0000-0000-0000E1020000}"/>
    <cellStyle name="Normal 13 2" xfId="539" xr:uid="{00000000-0005-0000-0000-0000E2020000}"/>
    <cellStyle name="Normal 13 2 2" xfId="540" xr:uid="{00000000-0005-0000-0000-0000E3020000}"/>
    <cellStyle name="Normal 13 2 3" xfId="1187" xr:uid="{00000000-0005-0000-0000-0000E4020000}"/>
    <cellStyle name="Normal 13 2 4" xfId="1445" xr:uid="{00000000-0005-0000-0000-0000E5020000}"/>
    <cellStyle name="Normal 13 2 5" xfId="1702" xr:uid="{00000000-0005-0000-0000-0000E6020000}"/>
    <cellStyle name="Normal 13 2 6" xfId="1887" xr:uid="{00000000-0005-0000-0000-0000E7020000}"/>
    <cellStyle name="Normal 13 3" xfId="541" xr:uid="{00000000-0005-0000-0000-0000E8020000}"/>
    <cellStyle name="Normal 13 3 2" xfId="542" xr:uid="{00000000-0005-0000-0000-0000E9020000}"/>
    <cellStyle name="Normal 13 4" xfId="1186" xr:uid="{00000000-0005-0000-0000-0000EA020000}"/>
    <cellStyle name="Normal 13 5" xfId="1444" xr:uid="{00000000-0005-0000-0000-0000EB020000}"/>
    <cellStyle name="Normal 13 6" xfId="1701" xr:uid="{00000000-0005-0000-0000-0000EC020000}"/>
    <cellStyle name="Normal 13_2015-01-29 - Auto kamp Karlovac - demontaze i rusenja" xfId="543" xr:uid="{00000000-0005-0000-0000-0000ED020000}"/>
    <cellStyle name="Normal 14" xfId="544" xr:uid="{00000000-0005-0000-0000-0000EE020000}"/>
    <cellStyle name="Normal 14 2" xfId="545" xr:uid="{00000000-0005-0000-0000-0000EF020000}"/>
    <cellStyle name="Normal 15" xfId="546" xr:uid="{00000000-0005-0000-0000-0000F0020000}"/>
    <cellStyle name="Normal 15 2" xfId="547" xr:uid="{00000000-0005-0000-0000-0000F1020000}"/>
    <cellStyle name="Normal 16" xfId="548" xr:uid="{00000000-0005-0000-0000-0000F2020000}"/>
    <cellStyle name="Normal 16 2" xfId="549" xr:uid="{00000000-0005-0000-0000-0000F3020000}"/>
    <cellStyle name="Normal 17" xfId="550" xr:uid="{00000000-0005-0000-0000-0000F4020000}"/>
    <cellStyle name="Normal 17 2" xfId="551" xr:uid="{00000000-0005-0000-0000-0000F5020000}"/>
    <cellStyle name="Normal 18" xfId="552" xr:uid="{00000000-0005-0000-0000-0000F6020000}"/>
    <cellStyle name="Normal 18 2" xfId="553" xr:uid="{00000000-0005-0000-0000-0000F7020000}"/>
    <cellStyle name="Normal 19" xfId="554" xr:uid="{00000000-0005-0000-0000-0000F8020000}"/>
    <cellStyle name="Normal 19 2" xfId="555" xr:uid="{00000000-0005-0000-0000-0000F9020000}"/>
    <cellStyle name="Normal 19 3" xfId="1188" xr:uid="{00000000-0005-0000-0000-0000FA020000}"/>
    <cellStyle name="Normal 19 4" xfId="1446" xr:uid="{00000000-0005-0000-0000-0000FB020000}"/>
    <cellStyle name="Normal 19 5" xfId="1703" xr:uid="{00000000-0005-0000-0000-0000FC020000}"/>
    <cellStyle name="Normal 2" xfId="556" xr:uid="{00000000-0005-0000-0000-0000FD020000}"/>
    <cellStyle name="Normal 2 10" xfId="557" xr:uid="{00000000-0005-0000-0000-0000FE020000}"/>
    <cellStyle name="Normal 2 10 2" xfId="558" xr:uid="{00000000-0005-0000-0000-0000FF020000}"/>
    <cellStyle name="Normal 2 11" xfId="1890" xr:uid="{00000000-0005-0000-0000-000000030000}"/>
    <cellStyle name="Normal 2 2" xfId="61" xr:uid="{00000000-0005-0000-0000-000001030000}"/>
    <cellStyle name="Normal 2 2 2" xfId="560" xr:uid="{00000000-0005-0000-0000-000002030000}"/>
    <cellStyle name="Normal 2 2 2 2" xfId="561" xr:uid="{00000000-0005-0000-0000-000003030000}"/>
    <cellStyle name="Normal 2 2 3" xfId="562" xr:uid="{00000000-0005-0000-0000-000004030000}"/>
    <cellStyle name="Normal 2 2 3 2" xfId="563" xr:uid="{00000000-0005-0000-0000-000005030000}"/>
    <cellStyle name="Normal 2 2 4" xfId="564" xr:uid="{00000000-0005-0000-0000-000006030000}"/>
    <cellStyle name="Normal 2 2 4 2" xfId="565" xr:uid="{00000000-0005-0000-0000-000007030000}"/>
    <cellStyle name="Normal 2 2 5" xfId="566" xr:uid="{00000000-0005-0000-0000-000008030000}"/>
    <cellStyle name="Normal 2 2 6" xfId="567" xr:uid="{00000000-0005-0000-0000-000009030000}"/>
    <cellStyle name="Normal 2 2 7" xfId="568" xr:uid="{00000000-0005-0000-0000-00000A030000}"/>
    <cellStyle name="Normal 2 2 8" xfId="559" xr:uid="{00000000-0005-0000-0000-00000B030000}"/>
    <cellStyle name="Normal 2 2_123_IZ_troskovnik_rasvjeta_120320_telektra" xfId="569" xr:uid="{00000000-0005-0000-0000-00000C030000}"/>
    <cellStyle name="Normal 2 3" xfId="570" xr:uid="{00000000-0005-0000-0000-00000D030000}"/>
    <cellStyle name="Normal 2 3 2" xfId="571" xr:uid="{00000000-0005-0000-0000-00000E030000}"/>
    <cellStyle name="Normal 2 3 3" xfId="1097" xr:uid="{00000000-0005-0000-0000-00000F030000}"/>
    <cellStyle name="Normal 2 4" xfId="572" xr:uid="{00000000-0005-0000-0000-000010030000}"/>
    <cellStyle name="Normal 2 4 2" xfId="573" xr:uid="{00000000-0005-0000-0000-000011030000}"/>
    <cellStyle name="Normal 2 4 3" xfId="574" xr:uid="{00000000-0005-0000-0000-000012030000}"/>
    <cellStyle name="Normal 2 4 3 2" xfId="1189" xr:uid="{00000000-0005-0000-0000-000013030000}"/>
    <cellStyle name="Normal 2 4 3 3" xfId="1447" xr:uid="{00000000-0005-0000-0000-000014030000}"/>
    <cellStyle name="Normal 2 4 3 4" xfId="1704" xr:uid="{00000000-0005-0000-0000-000015030000}"/>
    <cellStyle name="Normal 2 5" xfId="575" xr:uid="{00000000-0005-0000-0000-000016030000}"/>
    <cellStyle name="Normal 2 5 2" xfId="576" xr:uid="{00000000-0005-0000-0000-000017030000}"/>
    <cellStyle name="Normal 2 5 2 2" xfId="577" xr:uid="{00000000-0005-0000-0000-000018030000}"/>
    <cellStyle name="Normal 2 5 3" xfId="578" xr:uid="{00000000-0005-0000-0000-000019030000}"/>
    <cellStyle name="Normal 2 5 4" xfId="579" xr:uid="{00000000-0005-0000-0000-00001A030000}"/>
    <cellStyle name="Normal 2 5 5" xfId="580" xr:uid="{00000000-0005-0000-0000-00001B030000}"/>
    <cellStyle name="Normal 2 5_123_IZ_troskovnik_rasvjeta_120320_telektra" xfId="581" xr:uid="{00000000-0005-0000-0000-00001C030000}"/>
    <cellStyle name="Normal 2 52" xfId="582" xr:uid="{00000000-0005-0000-0000-00001D030000}"/>
    <cellStyle name="Normal 2 6" xfId="583" xr:uid="{00000000-0005-0000-0000-00001E030000}"/>
    <cellStyle name="Normal 2 6 2" xfId="584" xr:uid="{00000000-0005-0000-0000-00001F030000}"/>
    <cellStyle name="Normal 2 6 3" xfId="585" xr:uid="{00000000-0005-0000-0000-000020030000}"/>
    <cellStyle name="Normal 2 6 4" xfId="1190" xr:uid="{00000000-0005-0000-0000-000021030000}"/>
    <cellStyle name="Normal 2 6 5" xfId="1448" xr:uid="{00000000-0005-0000-0000-000022030000}"/>
    <cellStyle name="Normal 2 6 6" xfId="1705" xr:uid="{00000000-0005-0000-0000-000023030000}"/>
    <cellStyle name="Normal 2 7" xfId="586" xr:uid="{00000000-0005-0000-0000-000024030000}"/>
    <cellStyle name="Normal 2 7 2" xfId="587" xr:uid="{00000000-0005-0000-0000-000025030000}"/>
    <cellStyle name="Normal 2 8" xfId="588" xr:uid="{00000000-0005-0000-0000-000026030000}"/>
    <cellStyle name="Normal 2 9" xfId="589" xr:uid="{00000000-0005-0000-0000-000027030000}"/>
    <cellStyle name="Normal 20" xfId="590" xr:uid="{00000000-0005-0000-0000-000028030000}"/>
    <cellStyle name="Normal 21" xfId="591" xr:uid="{00000000-0005-0000-0000-000029030000}"/>
    <cellStyle name="Normal 21 2" xfId="1191" xr:uid="{00000000-0005-0000-0000-00002A030000}"/>
    <cellStyle name="Normal 21 3" xfId="1449" xr:uid="{00000000-0005-0000-0000-00002B030000}"/>
    <cellStyle name="Normal 21 4" xfId="1706" xr:uid="{00000000-0005-0000-0000-00002C030000}"/>
    <cellStyle name="Normal 23" xfId="592" xr:uid="{00000000-0005-0000-0000-00002D030000}"/>
    <cellStyle name="Normal 3" xfId="64" xr:uid="{00000000-0005-0000-0000-00002E030000}"/>
    <cellStyle name="Normal 3 2" xfId="75" xr:uid="{00000000-0005-0000-0000-00002F030000}"/>
    <cellStyle name="Normal 3 2 2" xfId="595" xr:uid="{00000000-0005-0000-0000-000030030000}"/>
    <cellStyle name="Normal 3 2 3" xfId="594" xr:uid="{00000000-0005-0000-0000-000031030000}"/>
    <cellStyle name="Normal 3 2 31" xfId="1892" xr:uid="{00000000-0005-0000-0000-000032030000}"/>
    <cellStyle name="Normal 3 2 4" xfId="1889" xr:uid="{00000000-0005-0000-0000-000033030000}"/>
    <cellStyle name="Normal 3 3" xfId="596" xr:uid="{00000000-0005-0000-0000-000034030000}"/>
    <cellStyle name="Normal 3 3 2" xfId="597" xr:uid="{00000000-0005-0000-0000-000035030000}"/>
    <cellStyle name="Normal 3 3 3" xfId="598" xr:uid="{00000000-0005-0000-0000-000036030000}"/>
    <cellStyle name="Normal 3 3 4" xfId="599" xr:uid="{00000000-0005-0000-0000-000037030000}"/>
    <cellStyle name="Normal 3 4" xfId="600" xr:uid="{00000000-0005-0000-0000-000038030000}"/>
    <cellStyle name="Normal 3 4 2" xfId="601" xr:uid="{00000000-0005-0000-0000-000039030000}"/>
    <cellStyle name="Normal 3 5" xfId="593" xr:uid="{00000000-0005-0000-0000-00003A030000}"/>
    <cellStyle name="Normal 3_HRVATSKE_SUME_71_5.Privremena" xfId="602" xr:uid="{00000000-0005-0000-0000-00003B030000}"/>
    <cellStyle name="Normal 4" xfId="603" xr:uid="{00000000-0005-0000-0000-00003C030000}"/>
    <cellStyle name="Normal 4 2" xfId="604" xr:uid="{00000000-0005-0000-0000-00003D030000}"/>
    <cellStyle name="Normal 4 2 2" xfId="605" xr:uid="{00000000-0005-0000-0000-00003E030000}"/>
    <cellStyle name="Normal 4 3" xfId="606" xr:uid="{00000000-0005-0000-0000-00003F030000}"/>
    <cellStyle name="Normal 4 3 2" xfId="607" xr:uid="{00000000-0005-0000-0000-000040030000}"/>
    <cellStyle name="Normal 4 4" xfId="608" xr:uid="{00000000-0005-0000-0000-000041030000}"/>
    <cellStyle name="Normal 4 5" xfId="609" xr:uid="{00000000-0005-0000-0000-000042030000}"/>
    <cellStyle name="Normal 4 5 2" xfId="1192" xr:uid="{00000000-0005-0000-0000-000043030000}"/>
    <cellStyle name="Normal 4 5 3" xfId="1450" xr:uid="{00000000-0005-0000-0000-000044030000}"/>
    <cellStyle name="Normal 4 5 4" xfId="1707" xr:uid="{00000000-0005-0000-0000-000045030000}"/>
    <cellStyle name="Normal 4 9" xfId="610" xr:uid="{00000000-0005-0000-0000-000046030000}"/>
    <cellStyle name="Normal 49" xfId="1879" xr:uid="{00000000-0005-0000-0000-000047030000}"/>
    <cellStyle name="Normal 5" xfId="611" xr:uid="{00000000-0005-0000-0000-000048030000}"/>
    <cellStyle name="Normal 5 2" xfId="612" xr:uid="{00000000-0005-0000-0000-000049030000}"/>
    <cellStyle name="Normal 6" xfId="613" xr:uid="{00000000-0005-0000-0000-00004A030000}"/>
    <cellStyle name="Normal 6 2" xfId="614" xr:uid="{00000000-0005-0000-0000-00004B030000}"/>
    <cellStyle name="Normal 6 2 2" xfId="615" xr:uid="{00000000-0005-0000-0000-00004C030000}"/>
    <cellStyle name="Normal 6 3" xfId="616" xr:uid="{00000000-0005-0000-0000-00004D030000}"/>
    <cellStyle name="Normal 6 3 2" xfId="617" xr:uid="{00000000-0005-0000-0000-00004E030000}"/>
    <cellStyle name="Normal 6 3 3" xfId="618" xr:uid="{00000000-0005-0000-0000-00004F030000}"/>
    <cellStyle name="Normal 7" xfId="619" xr:uid="{00000000-0005-0000-0000-000050030000}"/>
    <cellStyle name="Normal 7 2" xfId="620" xr:uid="{00000000-0005-0000-0000-000051030000}"/>
    <cellStyle name="Normal 8" xfId="621" xr:uid="{00000000-0005-0000-0000-000052030000}"/>
    <cellStyle name="Normal 8 2" xfId="622" xr:uid="{00000000-0005-0000-0000-000053030000}"/>
    <cellStyle name="Normal 9" xfId="623" xr:uid="{00000000-0005-0000-0000-000054030000}"/>
    <cellStyle name="Normal 9 2" xfId="624" xr:uid="{00000000-0005-0000-0000-000055030000}"/>
    <cellStyle name="Normal 9 3" xfId="625" xr:uid="{00000000-0005-0000-0000-000056030000}"/>
    <cellStyle name="Normal 96" xfId="626" xr:uid="{00000000-0005-0000-0000-000057030000}"/>
    <cellStyle name="Normal 96 2" xfId="1193" xr:uid="{00000000-0005-0000-0000-000058030000}"/>
    <cellStyle name="Normal 96 3" xfId="1451" xr:uid="{00000000-0005-0000-0000-000059030000}"/>
    <cellStyle name="Normal 96 4" xfId="1708" xr:uid="{00000000-0005-0000-0000-00005A030000}"/>
    <cellStyle name="Normal 97" xfId="627" xr:uid="{00000000-0005-0000-0000-00005B030000}"/>
    <cellStyle name="Normal 97 2" xfId="1194" xr:uid="{00000000-0005-0000-0000-00005C030000}"/>
    <cellStyle name="Normal 97 3" xfId="1452" xr:uid="{00000000-0005-0000-0000-00005D030000}"/>
    <cellStyle name="Normal 97 4" xfId="1709" xr:uid="{00000000-0005-0000-0000-00005E030000}"/>
    <cellStyle name="Normal 98" xfId="628" xr:uid="{00000000-0005-0000-0000-00005F030000}"/>
    <cellStyle name="Normal 98 2" xfId="1195" xr:uid="{00000000-0005-0000-0000-000060030000}"/>
    <cellStyle name="Normal 98 3" xfId="1453" xr:uid="{00000000-0005-0000-0000-000061030000}"/>
    <cellStyle name="Normal 98 4" xfId="1710" xr:uid="{00000000-0005-0000-0000-000062030000}"/>
    <cellStyle name="Normal_ponder" xfId="1882" xr:uid="{00000000-0005-0000-0000-000063030000}"/>
    <cellStyle name="Normal_TROŠKOVNIK - KAM - ŽUTO" xfId="1881" xr:uid="{00000000-0005-0000-0000-000064030000}"/>
    <cellStyle name="Normal_VLAšKA 69-A,B,C,D (2)" xfId="1880" xr:uid="{00000000-0005-0000-0000-000065030000}"/>
    <cellStyle name="Normal1" xfId="629" xr:uid="{00000000-0005-0000-0000-000066030000}"/>
    <cellStyle name="Normal1 2" xfId="630" xr:uid="{00000000-0005-0000-0000-000067030000}"/>
    <cellStyle name="Normal2" xfId="631" xr:uid="{00000000-0005-0000-0000-000068030000}"/>
    <cellStyle name="Normal3" xfId="632" xr:uid="{00000000-0005-0000-0000-000069030000}"/>
    <cellStyle name="Normalno" xfId="0" builtinId="0"/>
    <cellStyle name="Normalno 10" xfId="69" xr:uid="{00000000-0005-0000-0000-00006B030000}"/>
    <cellStyle name="Normalno 11" xfId="70" xr:uid="{00000000-0005-0000-0000-00006C030000}"/>
    <cellStyle name="Normalno 12" xfId="71" xr:uid="{00000000-0005-0000-0000-00006D030000}"/>
    <cellStyle name="Normalno 13" xfId="72" xr:uid="{00000000-0005-0000-0000-00006E030000}"/>
    <cellStyle name="Normalno 14" xfId="76" xr:uid="{00000000-0005-0000-0000-00006F030000}"/>
    <cellStyle name="Normalno 14 2" xfId="1106" xr:uid="{00000000-0005-0000-0000-000070030000}"/>
    <cellStyle name="Normalno 14 3" xfId="1364" xr:uid="{00000000-0005-0000-0000-000071030000}"/>
    <cellStyle name="Normalno 14 4" xfId="1621" xr:uid="{00000000-0005-0000-0000-000072030000}"/>
    <cellStyle name="Normalno 15" xfId="1093" xr:uid="{00000000-0005-0000-0000-000073030000}"/>
    <cellStyle name="Normalno 16" xfId="1095" xr:uid="{00000000-0005-0000-0000-000074030000}"/>
    <cellStyle name="Normalno 17" xfId="1096" xr:uid="{00000000-0005-0000-0000-000075030000}"/>
    <cellStyle name="Normalno 18" xfId="1098" xr:uid="{00000000-0005-0000-0000-000076030000}"/>
    <cellStyle name="Normalno 19" xfId="1711" xr:uid="{00000000-0005-0000-0000-000077030000}"/>
    <cellStyle name="Normalno 2" xfId="55" xr:uid="{00000000-0005-0000-0000-000078030000}"/>
    <cellStyle name="Normalno 2 2" xfId="73" xr:uid="{00000000-0005-0000-0000-000079030000}"/>
    <cellStyle name="Normalno 2 2 2" xfId="634" xr:uid="{00000000-0005-0000-0000-00007A030000}"/>
    <cellStyle name="Normalno 2 3" xfId="635" xr:uid="{00000000-0005-0000-0000-00007B030000}"/>
    <cellStyle name="Normalno 2 4" xfId="633" xr:uid="{00000000-0005-0000-0000-00007C030000}"/>
    <cellStyle name="Normalno 2 4 2" xfId="1196" xr:uid="{00000000-0005-0000-0000-00007D030000}"/>
    <cellStyle name="Normalno 2 4 3" xfId="1454" xr:uid="{00000000-0005-0000-0000-00007E030000}"/>
    <cellStyle name="Normalno 2 4 4" xfId="1712" xr:uid="{00000000-0005-0000-0000-00007F030000}"/>
    <cellStyle name="Normalno 20" xfId="1878" xr:uid="{00000000-0005-0000-0000-000080030000}"/>
    <cellStyle name="Normalno 21" xfId="1888" xr:uid="{00000000-0005-0000-0000-000081030000}"/>
    <cellStyle name="Normalno 3" xfId="56" xr:uid="{00000000-0005-0000-0000-000082030000}"/>
    <cellStyle name="Normalno 4" xfId="57" xr:uid="{00000000-0005-0000-0000-000083030000}"/>
    <cellStyle name="Normalno 5" xfId="58" xr:uid="{00000000-0005-0000-0000-000084030000}"/>
    <cellStyle name="Normalno 6" xfId="63" xr:uid="{00000000-0005-0000-0000-000085030000}"/>
    <cellStyle name="Normalno 7" xfId="66" xr:uid="{00000000-0005-0000-0000-000086030000}"/>
    <cellStyle name="Normalno 7 2" xfId="1104" xr:uid="{00000000-0005-0000-0000-000087030000}"/>
    <cellStyle name="Normalno 8" xfId="67" xr:uid="{00000000-0005-0000-0000-000088030000}"/>
    <cellStyle name="Normalno 9" xfId="68" xr:uid="{00000000-0005-0000-0000-000089030000}"/>
    <cellStyle name="Note 1" xfId="636" xr:uid="{00000000-0005-0000-0000-00008A030000}"/>
    <cellStyle name="Note 1 1" xfId="637" xr:uid="{00000000-0005-0000-0000-00008B030000}"/>
    <cellStyle name="Note 2" xfId="638" xr:uid="{00000000-0005-0000-0000-00008C030000}"/>
    <cellStyle name="Note 2 2" xfId="639" xr:uid="{00000000-0005-0000-0000-00008D030000}"/>
    <cellStyle name="Note 2 2 2" xfId="640" xr:uid="{00000000-0005-0000-0000-00008E030000}"/>
    <cellStyle name="Note 2 3" xfId="641" xr:uid="{00000000-0005-0000-0000-00008F030000}"/>
    <cellStyle name="Note 2 4" xfId="642" xr:uid="{00000000-0005-0000-0000-000090030000}"/>
    <cellStyle name="Note 3" xfId="643" xr:uid="{00000000-0005-0000-0000-000091030000}"/>
    <cellStyle name="Note 3 2" xfId="644" xr:uid="{00000000-0005-0000-0000-000092030000}"/>
    <cellStyle name="Notiz" xfId="645" xr:uid="{00000000-0005-0000-0000-000093030000}"/>
    <cellStyle name="Notiz 2" xfId="646" xr:uid="{00000000-0005-0000-0000-000094030000}"/>
    <cellStyle name="Notiz 2 2" xfId="647" xr:uid="{00000000-0005-0000-0000-000095030000}"/>
    <cellStyle name="Notiz 3" xfId="648" xr:uid="{00000000-0005-0000-0000-000096030000}"/>
    <cellStyle name="Notiz 3 2" xfId="649" xr:uid="{00000000-0005-0000-0000-000097030000}"/>
    <cellStyle name="Notiz 4" xfId="650" xr:uid="{00000000-0005-0000-0000-000098030000}"/>
    <cellStyle name="Notiz 4 2" xfId="651" xr:uid="{00000000-0005-0000-0000-000099030000}"/>
    <cellStyle name="Notiz 4 2 2" xfId="652" xr:uid="{00000000-0005-0000-0000-00009A030000}"/>
    <cellStyle name="Notiz 4 3" xfId="653" xr:uid="{00000000-0005-0000-0000-00009B030000}"/>
    <cellStyle name="Notiz 4 3 2" xfId="654" xr:uid="{00000000-0005-0000-0000-00009C030000}"/>
    <cellStyle name="Notiz 4 4" xfId="655" xr:uid="{00000000-0005-0000-0000-00009D030000}"/>
    <cellStyle name="Notiz 4 4 2" xfId="656" xr:uid="{00000000-0005-0000-0000-00009E030000}"/>
    <cellStyle name="Notiz 4 5" xfId="657" xr:uid="{00000000-0005-0000-0000-00009F030000}"/>
    <cellStyle name="Notiz 5" xfId="658" xr:uid="{00000000-0005-0000-0000-0000A0030000}"/>
    <cellStyle name="Novi" xfId="35" xr:uid="{00000000-0005-0000-0000-0000A1030000}"/>
    <cellStyle name="Obično 10" xfId="659" xr:uid="{00000000-0005-0000-0000-0000A2030000}"/>
    <cellStyle name="Obično 10 2" xfId="660" xr:uid="{00000000-0005-0000-0000-0000A3030000}"/>
    <cellStyle name="Obično 10 2 2" xfId="661" xr:uid="{00000000-0005-0000-0000-0000A4030000}"/>
    <cellStyle name="Obično 10 3" xfId="662" xr:uid="{00000000-0005-0000-0000-0000A5030000}"/>
    <cellStyle name="Obično 10 3 2" xfId="663" xr:uid="{00000000-0005-0000-0000-0000A6030000}"/>
    <cellStyle name="Obično 11" xfId="664" xr:uid="{00000000-0005-0000-0000-0000A7030000}"/>
    <cellStyle name="Obično 11 2" xfId="665" xr:uid="{00000000-0005-0000-0000-0000A8030000}"/>
    <cellStyle name="Obično 11 3" xfId="666" xr:uid="{00000000-0005-0000-0000-0000A9030000}"/>
    <cellStyle name="Obično 12" xfId="667" xr:uid="{00000000-0005-0000-0000-0000AA030000}"/>
    <cellStyle name="Obično 12 2" xfId="668" xr:uid="{00000000-0005-0000-0000-0000AB030000}"/>
    <cellStyle name="Obično 12 3" xfId="669" xr:uid="{00000000-0005-0000-0000-0000AC030000}"/>
    <cellStyle name="Obično 13" xfId="670" xr:uid="{00000000-0005-0000-0000-0000AD030000}"/>
    <cellStyle name="Obično 13 2" xfId="671" xr:uid="{00000000-0005-0000-0000-0000AE030000}"/>
    <cellStyle name="Obično 13 3" xfId="672" xr:uid="{00000000-0005-0000-0000-0000AF030000}"/>
    <cellStyle name="Obično 14" xfId="673" xr:uid="{00000000-0005-0000-0000-0000B0030000}"/>
    <cellStyle name="Obično 14 2" xfId="674" xr:uid="{00000000-0005-0000-0000-0000B1030000}"/>
    <cellStyle name="Obično 14 3" xfId="675" xr:uid="{00000000-0005-0000-0000-0000B2030000}"/>
    <cellStyle name="Obično 15" xfId="676" xr:uid="{00000000-0005-0000-0000-0000B3030000}"/>
    <cellStyle name="Obično 16" xfId="677" xr:uid="{00000000-0005-0000-0000-0000B4030000}"/>
    <cellStyle name="Obično 17" xfId="678" xr:uid="{00000000-0005-0000-0000-0000B5030000}"/>
    <cellStyle name="Obično 17 2" xfId="679" xr:uid="{00000000-0005-0000-0000-0000B6030000}"/>
    <cellStyle name="Obično 18" xfId="680" xr:uid="{00000000-0005-0000-0000-0000B7030000}"/>
    <cellStyle name="Obično 18 2" xfId="681" xr:uid="{00000000-0005-0000-0000-0000B8030000}"/>
    <cellStyle name="Obično 19" xfId="682" xr:uid="{00000000-0005-0000-0000-0000B9030000}"/>
    <cellStyle name="Obično 2" xfId="683" xr:uid="{00000000-0005-0000-0000-0000BA030000}"/>
    <cellStyle name="Obično 2 10" xfId="684" xr:uid="{00000000-0005-0000-0000-0000BB030000}"/>
    <cellStyle name="Obično 2 11" xfId="685" xr:uid="{00000000-0005-0000-0000-0000BC030000}"/>
    <cellStyle name="Obično 2 12" xfId="686" xr:uid="{00000000-0005-0000-0000-0000BD030000}"/>
    <cellStyle name="Obično 2 13" xfId="687" xr:uid="{00000000-0005-0000-0000-0000BE030000}"/>
    <cellStyle name="Obično 2 14" xfId="688" xr:uid="{00000000-0005-0000-0000-0000BF030000}"/>
    <cellStyle name="Obično 2 15" xfId="689" xr:uid="{00000000-0005-0000-0000-0000C0030000}"/>
    <cellStyle name="Obično 2 16" xfId="690" xr:uid="{00000000-0005-0000-0000-0000C1030000}"/>
    <cellStyle name="Obično 2 17" xfId="691" xr:uid="{00000000-0005-0000-0000-0000C2030000}"/>
    <cellStyle name="Obično 2 18" xfId="692" xr:uid="{00000000-0005-0000-0000-0000C3030000}"/>
    <cellStyle name="Obično 2 19" xfId="693" xr:uid="{00000000-0005-0000-0000-0000C4030000}"/>
    <cellStyle name="Obično 2 2" xfId="694" xr:uid="{00000000-0005-0000-0000-0000C5030000}"/>
    <cellStyle name="Obično 2 2 10" xfId="695" xr:uid="{00000000-0005-0000-0000-0000C6030000}"/>
    <cellStyle name="Obično 2 2 10 2" xfId="696" xr:uid="{00000000-0005-0000-0000-0000C7030000}"/>
    <cellStyle name="Obično 2 2 10 3" xfId="697" xr:uid="{00000000-0005-0000-0000-0000C8030000}"/>
    <cellStyle name="Obično 2 2 11" xfId="698" xr:uid="{00000000-0005-0000-0000-0000C9030000}"/>
    <cellStyle name="Obično 2 2 11 2" xfId="699" xr:uid="{00000000-0005-0000-0000-0000CA030000}"/>
    <cellStyle name="Obično 2 2 11 3" xfId="700" xr:uid="{00000000-0005-0000-0000-0000CB030000}"/>
    <cellStyle name="Obično 2 2 12" xfId="701" xr:uid="{00000000-0005-0000-0000-0000CC030000}"/>
    <cellStyle name="Obično 2 2 12 2" xfId="702" xr:uid="{00000000-0005-0000-0000-0000CD030000}"/>
    <cellStyle name="Obično 2 2 12 3" xfId="703" xr:uid="{00000000-0005-0000-0000-0000CE030000}"/>
    <cellStyle name="Obično 2 2 13" xfId="704" xr:uid="{00000000-0005-0000-0000-0000CF030000}"/>
    <cellStyle name="Obično 2 2 13 2" xfId="705" xr:uid="{00000000-0005-0000-0000-0000D0030000}"/>
    <cellStyle name="Obično 2 2 13 3" xfId="706" xr:uid="{00000000-0005-0000-0000-0000D1030000}"/>
    <cellStyle name="Obično 2 2 14" xfId="707" xr:uid="{00000000-0005-0000-0000-0000D2030000}"/>
    <cellStyle name="Obično 2 2 14 2" xfId="708" xr:uid="{00000000-0005-0000-0000-0000D3030000}"/>
    <cellStyle name="Obično 2 2 14 3" xfId="709" xr:uid="{00000000-0005-0000-0000-0000D4030000}"/>
    <cellStyle name="Obično 2 2 15" xfId="710" xr:uid="{00000000-0005-0000-0000-0000D5030000}"/>
    <cellStyle name="Obično 2 2 15 2" xfId="711" xr:uid="{00000000-0005-0000-0000-0000D6030000}"/>
    <cellStyle name="Obično 2 2 15 3" xfId="712" xr:uid="{00000000-0005-0000-0000-0000D7030000}"/>
    <cellStyle name="Obično 2 2 16" xfId="713" xr:uid="{00000000-0005-0000-0000-0000D8030000}"/>
    <cellStyle name="Obično 2 2 16 2" xfId="714" xr:uid="{00000000-0005-0000-0000-0000D9030000}"/>
    <cellStyle name="Obično 2 2 16 3" xfId="715" xr:uid="{00000000-0005-0000-0000-0000DA030000}"/>
    <cellStyle name="Obično 2 2 17" xfId="716" xr:uid="{00000000-0005-0000-0000-0000DB030000}"/>
    <cellStyle name="Obično 2 2 17 2" xfId="717" xr:uid="{00000000-0005-0000-0000-0000DC030000}"/>
    <cellStyle name="Obično 2 2 17 3" xfId="718" xr:uid="{00000000-0005-0000-0000-0000DD030000}"/>
    <cellStyle name="Obično 2 2 18" xfId="719" xr:uid="{00000000-0005-0000-0000-0000DE030000}"/>
    <cellStyle name="Obično 2 2 18 2" xfId="720" xr:uid="{00000000-0005-0000-0000-0000DF030000}"/>
    <cellStyle name="Obično 2 2 18 3" xfId="721" xr:uid="{00000000-0005-0000-0000-0000E0030000}"/>
    <cellStyle name="Obično 2 2 19" xfId="722" xr:uid="{00000000-0005-0000-0000-0000E1030000}"/>
    <cellStyle name="Obično 2 2 19 2" xfId="723" xr:uid="{00000000-0005-0000-0000-0000E2030000}"/>
    <cellStyle name="Obično 2 2 19 3" xfId="724" xr:uid="{00000000-0005-0000-0000-0000E3030000}"/>
    <cellStyle name="Obično 2 2 2" xfId="725" xr:uid="{00000000-0005-0000-0000-0000E4030000}"/>
    <cellStyle name="Obično 2 2 2 10" xfId="726" xr:uid="{00000000-0005-0000-0000-0000E5030000}"/>
    <cellStyle name="Obično 2 2 2 11" xfId="727" xr:uid="{00000000-0005-0000-0000-0000E6030000}"/>
    <cellStyle name="Obično 2 2 2 12" xfId="728" xr:uid="{00000000-0005-0000-0000-0000E7030000}"/>
    <cellStyle name="Obično 2 2 2 13" xfId="729" xr:uid="{00000000-0005-0000-0000-0000E8030000}"/>
    <cellStyle name="Obično 2 2 2 14" xfId="730" xr:uid="{00000000-0005-0000-0000-0000E9030000}"/>
    <cellStyle name="Obično 2 2 2 15" xfId="731" xr:uid="{00000000-0005-0000-0000-0000EA030000}"/>
    <cellStyle name="Obično 2 2 2 16" xfId="732" xr:uid="{00000000-0005-0000-0000-0000EB030000}"/>
    <cellStyle name="Obično 2 2 2 17" xfId="733" xr:uid="{00000000-0005-0000-0000-0000EC030000}"/>
    <cellStyle name="Obično 2 2 2 18" xfId="734" xr:uid="{00000000-0005-0000-0000-0000ED030000}"/>
    <cellStyle name="Obično 2 2 2 2" xfId="735" xr:uid="{00000000-0005-0000-0000-0000EE030000}"/>
    <cellStyle name="Obično 2 2 2 2 10" xfId="736" xr:uid="{00000000-0005-0000-0000-0000EF030000}"/>
    <cellStyle name="Obično 2 2 2 2 10 2" xfId="737" xr:uid="{00000000-0005-0000-0000-0000F0030000}"/>
    <cellStyle name="Obično 2 2 2 2 10 3" xfId="738" xr:uid="{00000000-0005-0000-0000-0000F1030000}"/>
    <cellStyle name="Obično 2 2 2 2 11" xfId="739" xr:uid="{00000000-0005-0000-0000-0000F2030000}"/>
    <cellStyle name="Obično 2 2 2 2 11 2" xfId="740" xr:uid="{00000000-0005-0000-0000-0000F3030000}"/>
    <cellStyle name="Obično 2 2 2 2 11 3" xfId="741" xr:uid="{00000000-0005-0000-0000-0000F4030000}"/>
    <cellStyle name="Obično 2 2 2 2 12" xfId="742" xr:uid="{00000000-0005-0000-0000-0000F5030000}"/>
    <cellStyle name="Obično 2 2 2 2 12 2" xfId="743" xr:uid="{00000000-0005-0000-0000-0000F6030000}"/>
    <cellStyle name="Obično 2 2 2 2 12 3" xfId="744" xr:uid="{00000000-0005-0000-0000-0000F7030000}"/>
    <cellStyle name="Obično 2 2 2 2 13" xfId="745" xr:uid="{00000000-0005-0000-0000-0000F8030000}"/>
    <cellStyle name="Obično 2 2 2 2 13 2" xfId="746" xr:uid="{00000000-0005-0000-0000-0000F9030000}"/>
    <cellStyle name="Obično 2 2 2 2 13 3" xfId="747" xr:uid="{00000000-0005-0000-0000-0000FA030000}"/>
    <cellStyle name="Obično 2 2 2 2 14" xfId="748" xr:uid="{00000000-0005-0000-0000-0000FB030000}"/>
    <cellStyle name="Obično 2 2 2 2 14 2" xfId="749" xr:uid="{00000000-0005-0000-0000-0000FC030000}"/>
    <cellStyle name="Obično 2 2 2 2 14 3" xfId="750" xr:uid="{00000000-0005-0000-0000-0000FD030000}"/>
    <cellStyle name="Obično 2 2 2 2 15" xfId="751" xr:uid="{00000000-0005-0000-0000-0000FE030000}"/>
    <cellStyle name="Obično 2 2 2 2 15 2" xfId="752" xr:uid="{00000000-0005-0000-0000-0000FF030000}"/>
    <cellStyle name="Obično 2 2 2 2 15 3" xfId="753" xr:uid="{00000000-0005-0000-0000-000000040000}"/>
    <cellStyle name="Obično 2 2 2 2 16" xfId="754" xr:uid="{00000000-0005-0000-0000-000001040000}"/>
    <cellStyle name="Obično 2 2 2 2 2" xfId="755" xr:uid="{00000000-0005-0000-0000-000002040000}"/>
    <cellStyle name="Obično 2 2 2 2 2 2" xfId="756" xr:uid="{00000000-0005-0000-0000-000003040000}"/>
    <cellStyle name="Obično 2 2 2 2 2 3" xfId="757" xr:uid="{00000000-0005-0000-0000-000004040000}"/>
    <cellStyle name="Obično 2 2 2 2 3" xfId="758" xr:uid="{00000000-0005-0000-0000-000005040000}"/>
    <cellStyle name="Obično 2 2 2 2 3 2" xfId="759" xr:uid="{00000000-0005-0000-0000-000006040000}"/>
    <cellStyle name="Obično 2 2 2 2 3 3" xfId="760" xr:uid="{00000000-0005-0000-0000-000007040000}"/>
    <cellStyle name="Obično 2 2 2 2 4" xfId="761" xr:uid="{00000000-0005-0000-0000-000008040000}"/>
    <cellStyle name="Obično 2 2 2 2 4 2" xfId="762" xr:uid="{00000000-0005-0000-0000-000009040000}"/>
    <cellStyle name="Obično 2 2 2 2 4 3" xfId="763" xr:uid="{00000000-0005-0000-0000-00000A040000}"/>
    <cellStyle name="Obično 2 2 2 2 5" xfId="764" xr:uid="{00000000-0005-0000-0000-00000B040000}"/>
    <cellStyle name="Obično 2 2 2 2 5 2" xfId="765" xr:uid="{00000000-0005-0000-0000-00000C040000}"/>
    <cellStyle name="Obično 2 2 2 2 5 3" xfId="766" xr:uid="{00000000-0005-0000-0000-00000D040000}"/>
    <cellStyle name="Obično 2 2 2 2 6" xfId="767" xr:uid="{00000000-0005-0000-0000-00000E040000}"/>
    <cellStyle name="Obično 2 2 2 2 6 2" xfId="768" xr:uid="{00000000-0005-0000-0000-00000F040000}"/>
    <cellStyle name="Obično 2 2 2 2 6 3" xfId="769" xr:uid="{00000000-0005-0000-0000-000010040000}"/>
    <cellStyle name="Obično 2 2 2 2 7" xfId="770" xr:uid="{00000000-0005-0000-0000-000011040000}"/>
    <cellStyle name="Obično 2 2 2 2 7 2" xfId="771" xr:uid="{00000000-0005-0000-0000-000012040000}"/>
    <cellStyle name="Obično 2 2 2 2 7 3" xfId="772" xr:uid="{00000000-0005-0000-0000-000013040000}"/>
    <cellStyle name="Obično 2 2 2 2 8" xfId="773" xr:uid="{00000000-0005-0000-0000-000014040000}"/>
    <cellStyle name="Obično 2 2 2 2 8 2" xfId="774" xr:uid="{00000000-0005-0000-0000-000015040000}"/>
    <cellStyle name="Obično 2 2 2 2 8 3" xfId="775" xr:uid="{00000000-0005-0000-0000-000016040000}"/>
    <cellStyle name="Obično 2 2 2 2 9" xfId="776" xr:uid="{00000000-0005-0000-0000-000017040000}"/>
    <cellStyle name="Obično 2 2 2 2 9 2" xfId="777" xr:uid="{00000000-0005-0000-0000-000018040000}"/>
    <cellStyle name="Obično 2 2 2 2 9 3" xfId="778" xr:uid="{00000000-0005-0000-0000-000019040000}"/>
    <cellStyle name="Obično 2 2 2 3" xfId="779" xr:uid="{00000000-0005-0000-0000-00001A040000}"/>
    <cellStyle name="Obično 2 2 2 3 2" xfId="780" xr:uid="{00000000-0005-0000-0000-00001B040000}"/>
    <cellStyle name="Obično 2 2 2 3 3" xfId="781" xr:uid="{00000000-0005-0000-0000-00001C040000}"/>
    <cellStyle name="Obično 2 2 2 4" xfId="782" xr:uid="{00000000-0005-0000-0000-00001D040000}"/>
    <cellStyle name="Obično 2 2 2 5" xfId="783" xr:uid="{00000000-0005-0000-0000-00001E040000}"/>
    <cellStyle name="Obično 2 2 2 6" xfId="784" xr:uid="{00000000-0005-0000-0000-00001F040000}"/>
    <cellStyle name="Obično 2 2 2 7" xfId="785" xr:uid="{00000000-0005-0000-0000-000020040000}"/>
    <cellStyle name="Obično 2 2 2 8" xfId="786" xr:uid="{00000000-0005-0000-0000-000021040000}"/>
    <cellStyle name="Obično 2 2 2 9" xfId="787" xr:uid="{00000000-0005-0000-0000-000022040000}"/>
    <cellStyle name="Obično 2 2 20" xfId="788" xr:uid="{00000000-0005-0000-0000-000023040000}"/>
    <cellStyle name="Obično 2 2 20 2" xfId="789" xr:uid="{00000000-0005-0000-0000-000024040000}"/>
    <cellStyle name="Obično 2 2 20 3" xfId="790" xr:uid="{00000000-0005-0000-0000-000025040000}"/>
    <cellStyle name="Obično 2 2 21" xfId="791" xr:uid="{00000000-0005-0000-0000-000026040000}"/>
    <cellStyle name="Obično 2 2 22" xfId="792" xr:uid="{00000000-0005-0000-0000-000027040000}"/>
    <cellStyle name="Obično 2 2 3" xfId="793" xr:uid="{00000000-0005-0000-0000-000028040000}"/>
    <cellStyle name="Obično 2 2 3 2" xfId="794" xr:uid="{00000000-0005-0000-0000-000029040000}"/>
    <cellStyle name="Obično 2 2 3 3" xfId="795" xr:uid="{00000000-0005-0000-0000-00002A040000}"/>
    <cellStyle name="Obično 2 2 4" xfId="796" xr:uid="{00000000-0005-0000-0000-00002B040000}"/>
    <cellStyle name="Obično 2 2 4 2" xfId="797" xr:uid="{00000000-0005-0000-0000-00002C040000}"/>
    <cellStyle name="Obično 2 2 4 3" xfId="798" xr:uid="{00000000-0005-0000-0000-00002D040000}"/>
    <cellStyle name="Obično 2 2 5" xfId="799" xr:uid="{00000000-0005-0000-0000-00002E040000}"/>
    <cellStyle name="Obično 2 2 5 2" xfId="800" xr:uid="{00000000-0005-0000-0000-00002F040000}"/>
    <cellStyle name="Obično 2 2 5 3" xfId="801" xr:uid="{00000000-0005-0000-0000-000030040000}"/>
    <cellStyle name="Obično 2 2 6" xfId="802" xr:uid="{00000000-0005-0000-0000-000031040000}"/>
    <cellStyle name="Obično 2 2 6 2" xfId="803" xr:uid="{00000000-0005-0000-0000-000032040000}"/>
    <cellStyle name="Obično 2 2 6 3" xfId="804" xr:uid="{00000000-0005-0000-0000-000033040000}"/>
    <cellStyle name="Obično 2 2 7" xfId="805" xr:uid="{00000000-0005-0000-0000-000034040000}"/>
    <cellStyle name="Obično 2 2 8" xfId="806" xr:uid="{00000000-0005-0000-0000-000035040000}"/>
    <cellStyle name="Obično 2 2 8 2" xfId="807" xr:uid="{00000000-0005-0000-0000-000036040000}"/>
    <cellStyle name="Obično 2 2 8 3" xfId="808" xr:uid="{00000000-0005-0000-0000-000037040000}"/>
    <cellStyle name="Obično 2 2 9" xfId="809" xr:uid="{00000000-0005-0000-0000-000038040000}"/>
    <cellStyle name="Obično 2 2 9 2" xfId="810" xr:uid="{00000000-0005-0000-0000-000039040000}"/>
    <cellStyle name="Obično 2 2 9 3" xfId="811" xr:uid="{00000000-0005-0000-0000-00003A040000}"/>
    <cellStyle name="Obično 2 20" xfId="812" xr:uid="{00000000-0005-0000-0000-00003B040000}"/>
    <cellStyle name="Obično 2 21" xfId="813" xr:uid="{00000000-0005-0000-0000-00003C040000}"/>
    <cellStyle name="Obično 2 22" xfId="814" xr:uid="{00000000-0005-0000-0000-00003D040000}"/>
    <cellStyle name="Obično 2 23" xfId="815" xr:uid="{00000000-0005-0000-0000-00003E040000}"/>
    <cellStyle name="Obično 2 24" xfId="816" xr:uid="{00000000-0005-0000-0000-00003F040000}"/>
    <cellStyle name="Obično 2 3" xfId="817" xr:uid="{00000000-0005-0000-0000-000040040000}"/>
    <cellStyle name="Obično 2 3 2" xfId="818" xr:uid="{00000000-0005-0000-0000-000041040000}"/>
    <cellStyle name="Obično 2 4" xfId="819" xr:uid="{00000000-0005-0000-0000-000042040000}"/>
    <cellStyle name="Obično 2 5" xfId="820" xr:uid="{00000000-0005-0000-0000-000043040000}"/>
    <cellStyle name="Obično 2 6" xfId="821" xr:uid="{00000000-0005-0000-0000-000044040000}"/>
    <cellStyle name="Obično 2 7" xfId="822" xr:uid="{00000000-0005-0000-0000-000045040000}"/>
    <cellStyle name="Obično 2 7 2" xfId="823" xr:uid="{00000000-0005-0000-0000-000046040000}"/>
    <cellStyle name="Obično 2 7 3" xfId="824" xr:uid="{00000000-0005-0000-0000-000047040000}"/>
    <cellStyle name="Obično 2 8" xfId="825" xr:uid="{00000000-0005-0000-0000-000048040000}"/>
    <cellStyle name="Obično 2 9" xfId="826" xr:uid="{00000000-0005-0000-0000-000049040000}"/>
    <cellStyle name="Obično 20" xfId="827" xr:uid="{00000000-0005-0000-0000-00004A040000}"/>
    <cellStyle name="Obično 20 2" xfId="828" xr:uid="{00000000-0005-0000-0000-00004B040000}"/>
    <cellStyle name="Obično 20_- - - ITU SOL Garden Istra - KERAMIKA var.2" xfId="829" xr:uid="{00000000-0005-0000-0000-00004C040000}"/>
    <cellStyle name="Obično 21" xfId="830" xr:uid="{00000000-0005-0000-0000-00004D040000}"/>
    <cellStyle name="Obično 21 2" xfId="831" xr:uid="{00000000-0005-0000-0000-00004E040000}"/>
    <cellStyle name="Obično 21 3" xfId="832" xr:uid="{00000000-0005-0000-0000-00004F040000}"/>
    <cellStyle name="Obično 22" xfId="833" xr:uid="{00000000-0005-0000-0000-000050040000}"/>
    <cellStyle name="Obično 22 2" xfId="834" xr:uid="{00000000-0005-0000-0000-000051040000}"/>
    <cellStyle name="Obično 3" xfId="835" xr:uid="{00000000-0005-0000-0000-000052040000}"/>
    <cellStyle name="Obično 3 2" xfId="836" xr:uid="{00000000-0005-0000-0000-000053040000}"/>
    <cellStyle name="Obično 3 2 10" xfId="1455" xr:uid="{00000000-0005-0000-0000-000054040000}"/>
    <cellStyle name="Obično 3 2 11" xfId="1713" xr:uid="{00000000-0005-0000-0000-000055040000}"/>
    <cellStyle name="Obično 3 2 2" xfId="837" xr:uid="{00000000-0005-0000-0000-000056040000}"/>
    <cellStyle name="Obično 3 2 2 2" xfId="838" xr:uid="{00000000-0005-0000-0000-000057040000}"/>
    <cellStyle name="Obično 3 2 2 2 2" xfId="839" xr:uid="{00000000-0005-0000-0000-000058040000}"/>
    <cellStyle name="Obično 3 2 2 2 2 2" xfId="1200" xr:uid="{00000000-0005-0000-0000-000059040000}"/>
    <cellStyle name="Obično 3 2 2 2 2 3" xfId="1458" xr:uid="{00000000-0005-0000-0000-00005A040000}"/>
    <cellStyle name="Obično 3 2 2 2 2 4" xfId="1716" xr:uid="{00000000-0005-0000-0000-00005B040000}"/>
    <cellStyle name="Obično 3 2 2 2 3" xfId="840" xr:uid="{00000000-0005-0000-0000-00005C040000}"/>
    <cellStyle name="Obično 3 2 2 2 3 2" xfId="1201" xr:uid="{00000000-0005-0000-0000-00005D040000}"/>
    <cellStyle name="Obično 3 2 2 2 3 3" xfId="1459" xr:uid="{00000000-0005-0000-0000-00005E040000}"/>
    <cellStyle name="Obično 3 2 2 2 3 4" xfId="1717" xr:uid="{00000000-0005-0000-0000-00005F040000}"/>
    <cellStyle name="Obično 3 2 2 2 4" xfId="1199" xr:uid="{00000000-0005-0000-0000-000060040000}"/>
    <cellStyle name="Obično 3 2 2 2 5" xfId="1457" xr:uid="{00000000-0005-0000-0000-000061040000}"/>
    <cellStyle name="Obično 3 2 2 2 6" xfId="1715" xr:uid="{00000000-0005-0000-0000-000062040000}"/>
    <cellStyle name="Obično 3 2 2 3" xfId="841" xr:uid="{00000000-0005-0000-0000-000063040000}"/>
    <cellStyle name="Obično 3 2 2 3 2" xfId="842" xr:uid="{00000000-0005-0000-0000-000064040000}"/>
    <cellStyle name="Obično 3 2 2 3 2 2" xfId="1203" xr:uid="{00000000-0005-0000-0000-000065040000}"/>
    <cellStyle name="Obično 3 2 2 3 2 3" xfId="1461" xr:uid="{00000000-0005-0000-0000-000066040000}"/>
    <cellStyle name="Obično 3 2 2 3 2 4" xfId="1719" xr:uid="{00000000-0005-0000-0000-000067040000}"/>
    <cellStyle name="Obično 3 2 2 3 3" xfId="843" xr:uid="{00000000-0005-0000-0000-000068040000}"/>
    <cellStyle name="Obično 3 2 2 3 3 2" xfId="1204" xr:uid="{00000000-0005-0000-0000-000069040000}"/>
    <cellStyle name="Obično 3 2 2 3 3 3" xfId="1462" xr:uid="{00000000-0005-0000-0000-00006A040000}"/>
    <cellStyle name="Obično 3 2 2 3 3 4" xfId="1720" xr:uid="{00000000-0005-0000-0000-00006B040000}"/>
    <cellStyle name="Obično 3 2 2 3 4" xfId="1202" xr:uid="{00000000-0005-0000-0000-00006C040000}"/>
    <cellStyle name="Obično 3 2 2 3 5" xfId="1460" xr:uid="{00000000-0005-0000-0000-00006D040000}"/>
    <cellStyle name="Obično 3 2 2 3 6" xfId="1718" xr:uid="{00000000-0005-0000-0000-00006E040000}"/>
    <cellStyle name="Obično 3 2 2 4" xfId="844" xr:uid="{00000000-0005-0000-0000-00006F040000}"/>
    <cellStyle name="Obično 3 2 2 4 2" xfId="845" xr:uid="{00000000-0005-0000-0000-000070040000}"/>
    <cellStyle name="Obično 3 2 2 4 2 2" xfId="1206" xr:uid="{00000000-0005-0000-0000-000071040000}"/>
    <cellStyle name="Obično 3 2 2 4 2 3" xfId="1464" xr:uid="{00000000-0005-0000-0000-000072040000}"/>
    <cellStyle name="Obično 3 2 2 4 2 4" xfId="1722" xr:uid="{00000000-0005-0000-0000-000073040000}"/>
    <cellStyle name="Obično 3 2 2 4 3" xfId="1205" xr:uid="{00000000-0005-0000-0000-000074040000}"/>
    <cellStyle name="Obično 3 2 2 4 4" xfId="1463" xr:uid="{00000000-0005-0000-0000-000075040000}"/>
    <cellStyle name="Obično 3 2 2 4 5" xfId="1721" xr:uid="{00000000-0005-0000-0000-000076040000}"/>
    <cellStyle name="Obično 3 2 2 5" xfId="846" xr:uid="{00000000-0005-0000-0000-000077040000}"/>
    <cellStyle name="Obično 3 2 2 5 2" xfId="1207" xr:uid="{00000000-0005-0000-0000-000078040000}"/>
    <cellStyle name="Obično 3 2 2 5 3" xfId="1465" xr:uid="{00000000-0005-0000-0000-000079040000}"/>
    <cellStyle name="Obično 3 2 2 5 4" xfId="1723" xr:uid="{00000000-0005-0000-0000-00007A040000}"/>
    <cellStyle name="Obično 3 2 2 6" xfId="847" xr:uid="{00000000-0005-0000-0000-00007B040000}"/>
    <cellStyle name="Obično 3 2 2 6 2" xfId="1208" xr:uid="{00000000-0005-0000-0000-00007C040000}"/>
    <cellStyle name="Obično 3 2 2 6 3" xfId="1466" xr:uid="{00000000-0005-0000-0000-00007D040000}"/>
    <cellStyle name="Obično 3 2 2 6 4" xfId="1724" xr:uid="{00000000-0005-0000-0000-00007E040000}"/>
    <cellStyle name="Obično 3 2 2 7" xfId="1198" xr:uid="{00000000-0005-0000-0000-00007F040000}"/>
    <cellStyle name="Obično 3 2 2 8" xfId="1456" xr:uid="{00000000-0005-0000-0000-000080040000}"/>
    <cellStyle name="Obično 3 2 2 9" xfId="1714" xr:uid="{00000000-0005-0000-0000-000081040000}"/>
    <cellStyle name="Obično 3 2 3" xfId="848" xr:uid="{00000000-0005-0000-0000-000082040000}"/>
    <cellStyle name="Obično 3 2 3 2" xfId="849" xr:uid="{00000000-0005-0000-0000-000083040000}"/>
    <cellStyle name="Obično 3 2 3 2 2" xfId="850" xr:uid="{00000000-0005-0000-0000-000084040000}"/>
    <cellStyle name="Obično 3 2 3 2 2 2" xfId="1211" xr:uid="{00000000-0005-0000-0000-000085040000}"/>
    <cellStyle name="Obično 3 2 3 2 2 3" xfId="1469" xr:uid="{00000000-0005-0000-0000-000086040000}"/>
    <cellStyle name="Obično 3 2 3 2 2 4" xfId="1727" xr:uid="{00000000-0005-0000-0000-000087040000}"/>
    <cellStyle name="Obično 3 2 3 2 3" xfId="851" xr:uid="{00000000-0005-0000-0000-000088040000}"/>
    <cellStyle name="Obično 3 2 3 2 3 2" xfId="1212" xr:uid="{00000000-0005-0000-0000-000089040000}"/>
    <cellStyle name="Obično 3 2 3 2 3 3" xfId="1470" xr:uid="{00000000-0005-0000-0000-00008A040000}"/>
    <cellStyle name="Obično 3 2 3 2 3 4" xfId="1728" xr:uid="{00000000-0005-0000-0000-00008B040000}"/>
    <cellStyle name="Obično 3 2 3 2 4" xfId="1210" xr:uid="{00000000-0005-0000-0000-00008C040000}"/>
    <cellStyle name="Obično 3 2 3 2 5" xfId="1468" xr:uid="{00000000-0005-0000-0000-00008D040000}"/>
    <cellStyle name="Obično 3 2 3 2 6" xfId="1726" xr:uid="{00000000-0005-0000-0000-00008E040000}"/>
    <cellStyle name="Obično 3 2 3 3" xfId="852" xr:uid="{00000000-0005-0000-0000-00008F040000}"/>
    <cellStyle name="Obično 3 2 3 3 2" xfId="853" xr:uid="{00000000-0005-0000-0000-000090040000}"/>
    <cellStyle name="Obično 3 2 3 3 2 2" xfId="1214" xr:uid="{00000000-0005-0000-0000-000091040000}"/>
    <cellStyle name="Obično 3 2 3 3 2 3" xfId="1472" xr:uid="{00000000-0005-0000-0000-000092040000}"/>
    <cellStyle name="Obično 3 2 3 3 2 4" xfId="1730" xr:uid="{00000000-0005-0000-0000-000093040000}"/>
    <cellStyle name="Obično 3 2 3 3 3" xfId="1213" xr:uid="{00000000-0005-0000-0000-000094040000}"/>
    <cellStyle name="Obično 3 2 3 3 4" xfId="1471" xr:uid="{00000000-0005-0000-0000-000095040000}"/>
    <cellStyle name="Obično 3 2 3 3 5" xfId="1729" xr:uid="{00000000-0005-0000-0000-000096040000}"/>
    <cellStyle name="Obično 3 2 3 4" xfId="854" xr:uid="{00000000-0005-0000-0000-000097040000}"/>
    <cellStyle name="Obično 3 2 3 4 2" xfId="1215" xr:uid="{00000000-0005-0000-0000-000098040000}"/>
    <cellStyle name="Obično 3 2 3 4 3" xfId="1473" xr:uid="{00000000-0005-0000-0000-000099040000}"/>
    <cellStyle name="Obično 3 2 3 4 4" xfId="1731" xr:uid="{00000000-0005-0000-0000-00009A040000}"/>
    <cellStyle name="Obično 3 2 3 5" xfId="855" xr:uid="{00000000-0005-0000-0000-00009B040000}"/>
    <cellStyle name="Obično 3 2 3 5 2" xfId="1216" xr:uid="{00000000-0005-0000-0000-00009C040000}"/>
    <cellStyle name="Obično 3 2 3 5 3" xfId="1474" xr:uid="{00000000-0005-0000-0000-00009D040000}"/>
    <cellStyle name="Obično 3 2 3 5 4" xfId="1732" xr:uid="{00000000-0005-0000-0000-00009E040000}"/>
    <cellStyle name="Obično 3 2 3 6" xfId="1209" xr:uid="{00000000-0005-0000-0000-00009F040000}"/>
    <cellStyle name="Obično 3 2 3 7" xfId="1467" xr:uid="{00000000-0005-0000-0000-0000A0040000}"/>
    <cellStyle name="Obično 3 2 3 8" xfId="1725" xr:uid="{00000000-0005-0000-0000-0000A1040000}"/>
    <cellStyle name="Obično 3 2 4" xfId="856" xr:uid="{00000000-0005-0000-0000-0000A2040000}"/>
    <cellStyle name="Obično 3 2 4 2" xfId="857" xr:uid="{00000000-0005-0000-0000-0000A3040000}"/>
    <cellStyle name="Obično 3 2 4 2 2" xfId="1218" xr:uid="{00000000-0005-0000-0000-0000A4040000}"/>
    <cellStyle name="Obično 3 2 4 2 3" xfId="1476" xr:uid="{00000000-0005-0000-0000-0000A5040000}"/>
    <cellStyle name="Obično 3 2 4 2 4" xfId="1734" xr:uid="{00000000-0005-0000-0000-0000A6040000}"/>
    <cellStyle name="Obično 3 2 4 3" xfId="858" xr:uid="{00000000-0005-0000-0000-0000A7040000}"/>
    <cellStyle name="Obično 3 2 4 3 2" xfId="1219" xr:uid="{00000000-0005-0000-0000-0000A8040000}"/>
    <cellStyle name="Obično 3 2 4 3 3" xfId="1477" xr:uid="{00000000-0005-0000-0000-0000A9040000}"/>
    <cellStyle name="Obično 3 2 4 3 4" xfId="1735" xr:uid="{00000000-0005-0000-0000-0000AA040000}"/>
    <cellStyle name="Obično 3 2 4 4" xfId="1217" xr:uid="{00000000-0005-0000-0000-0000AB040000}"/>
    <cellStyle name="Obično 3 2 4 5" xfId="1475" xr:uid="{00000000-0005-0000-0000-0000AC040000}"/>
    <cellStyle name="Obično 3 2 4 6" xfId="1733" xr:uid="{00000000-0005-0000-0000-0000AD040000}"/>
    <cellStyle name="Obično 3 2 5" xfId="859" xr:uid="{00000000-0005-0000-0000-0000AE040000}"/>
    <cellStyle name="Obično 3 2 5 2" xfId="860" xr:uid="{00000000-0005-0000-0000-0000AF040000}"/>
    <cellStyle name="Obično 3 2 5 2 2" xfId="1221" xr:uid="{00000000-0005-0000-0000-0000B0040000}"/>
    <cellStyle name="Obično 3 2 5 2 3" xfId="1479" xr:uid="{00000000-0005-0000-0000-0000B1040000}"/>
    <cellStyle name="Obično 3 2 5 2 4" xfId="1737" xr:uid="{00000000-0005-0000-0000-0000B2040000}"/>
    <cellStyle name="Obično 3 2 5 3" xfId="1220" xr:uid="{00000000-0005-0000-0000-0000B3040000}"/>
    <cellStyle name="Obično 3 2 5 4" xfId="1478" xr:uid="{00000000-0005-0000-0000-0000B4040000}"/>
    <cellStyle name="Obično 3 2 5 5" xfId="1736" xr:uid="{00000000-0005-0000-0000-0000B5040000}"/>
    <cellStyle name="Obično 3 2 6" xfId="861" xr:uid="{00000000-0005-0000-0000-0000B6040000}"/>
    <cellStyle name="Obično 3 2 6 2" xfId="1222" xr:uid="{00000000-0005-0000-0000-0000B7040000}"/>
    <cellStyle name="Obično 3 2 6 3" xfId="1480" xr:uid="{00000000-0005-0000-0000-0000B8040000}"/>
    <cellStyle name="Obično 3 2 6 4" xfId="1738" xr:uid="{00000000-0005-0000-0000-0000B9040000}"/>
    <cellStyle name="Obično 3 2 7" xfId="862" xr:uid="{00000000-0005-0000-0000-0000BA040000}"/>
    <cellStyle name="Obično 3 2 7 2" xfId="1223" xr:uid="{00000000-0005-0000-0000-0000BB040000}"/>
    <cellStyle name="Obično 3 2 7 3" xfId="1481" xr:uid="{00000000-0005-0000-0000-0000BC040000}"/>
    <cellStyle name="Obično 3 2 7 4" xfId="1739" xr:uid="{00000000-0005-0000-0000-0000BD040000}"/>
    <cellStyle name="Obično 3 2 8" xfId="863" xr:uid="{00000000-0005-0000-0000-0000BE040000}"/>
    <cellStyle name="Obično 3 2 9" xfId="1197" xr:uid="{00000000-0005-0000-0000-0000BF040000}"/>
    <cellStyle name="Obično 3 3" xfId="864" xr:uid="{00000000-0005-0000-0000-0000C0040000}"/>
    <cellStyle name="Obično 3 3 10" xfId="1740" xr:uid="{00000000-0005-0000-0000-0000C1040000}"/>
    <cellStyle name="Obično 3 3 2" xfId="865" xr:uid="{00000000-0005-0000-0000-0000C2040000}"/>
    <cellStyle name="Obično 3 3 2 2" xfId="866" xr:uid="{00000000-0005-0000-0000-0000C3040000}"/>
    <cellStyle name="Obično 3 3 2 2 2" xfId="867" xr:uid="{00000000-0005-0000-0000-0000C4040000}"/>
    <cellStyle name="Obično 3 3 2 2 2 2" xfId="1227" xr:uid="{00000000-0005-0000-0000-0000C5040000}"/>
    <cellStyle name="Obično 3 3 2 2 2 3" xfId="1485" xr:uid="{00000000-0005-0000-0000-0000C6040000}"/>
    <cellStyle name="Obično 3 3 2 2 2 4" xfId="1743" xr:uid="{00000000-0005-0000-0000-0000C7040000}"/>
    <cellStyle name="Obično 3 3 2 2 3" xfId="868" xr:uid="{00000000-0005-0000-0000-0000C8040000}"/>
    <cellStyle name="Obično 3 3 2 2 3 2" xfId="1228" xr:uid="{00000000-0005-0000-0000-0000C9040000}"/>
    <cellStyle name="Obično 3 3 2 2 3 3" xfId="1486" xr:uid="{00000000-0005-0000-0000-0000CA040000}"/>
    <cellStyle name="Obično 3 3 2 2 3 4" xfId="1744" xr:uid="{00000000-0005-0000-0000-0000CB040000}"/>
    <cellStyle name="Obično 3 3 2 2 4" xfId="1226" xr:uid="{00000000-0005-0000-0000-0000CC040000}"/>
    <cellStyle name="Obično 3 3 2 2 5" xfId="1484" xr:uid="{00000000-0005-0000-0000-0000CD040000}"/>
    <cellStyle name="Obično 3 3 2 2 6" xfId="1742" xr:uid="{00000000-0005-0000-0000-0000CE040000}"/>
    <cellStyle name="Obično 3 3 2 3" xfId="869" xr:uid="{00000000-0005-0000-0000-0000CF040000}"/>
    <cellStyle name="Obično 3 3 2 3 2" xfId="870" xr:uid="{00000000-0005-0000-0000-0000D0040000}"/>
    <cellStyle name="Obično 3 3 2 3 2 2" xfId="1230" xr:uid="{00000000-0005-0000-0000-0000D1040000}"/>
    <cellStyle name="Obično 3 3 2 3 2 3" xfId="1488" xr:uid="{00000000-0005-0000-0000-0000D2040000}"/>
    <cellStyle name="Obično 3 3 2 3 2 4" xfId="1746" xr:uid="{00000000-0005-0000-0000-0000D3040000}"/>
    <cellStyle name="Obično 3 3 2 3 3" xfId="871" xr:uid="{00000000-0005-0000-0000-0000D4040000}"/>
    <cellStyle name="Obično 3 3 2 3 3 2" xfId="1231" xr:uid="{00000000-0005-0000-0000-0000D5040000}"/>
    <cellStyle name="Obično 3 3 2 3 3 3" xfId="1489" xr:uid="{00000000-0005-0000-0000-0000D6040000}"/>
    <cellStyle name="Obično 3 3 2 3 3 4" xfId="1747" xr:uid="{00000000-0005-0000-0000-0000D7040000}"/>
    <cellStyle name="Obično 3 3 2 3 4" xfId="1229" xr:uid="{00000000-0005-0000-0000-0000D8040000}"/>
    <cellStyle name="Obično 3 3 2 3 5" xfId="1487" xr:uid="{00000000-0005-0000-0000-0000D9040000}"/>
    <cellStyle name="Obično 3 3 2 3 6" xfId="1745" xr:uid="{00000000-0005-0000-0000-0000DA040000}"/>
    <cellStyle name="Obično 3 3 2 4" xfId="872" xr:uid="{00000000-0005-0000-0000-0000DB040000}"/>
    <cellStyle name="Obično 3 3 2 4 2" xfId="873" xr:uid="{00000000-0005-0000-0000-0000DC040000}"/>
    <cellStyle name="Obično 3 3 2 4 2 2" xfId="1233" xr:uid="{00000000-0005-0000-0000-0000DD040000}"/>
    <cellStyle name="Obično 3 3 2 4 2 3" xfId="1491" xr:uid="{00000000-0005-0000-0000-0000DE040000}"/>
    <cellStyle name="Obično 3 3 2 4 2 4" xfId="1749" xr:uid="{00000000-0005-0000-0000-0000DF040000}"/>
    <cellStyle name="Obično 3 3 2 4 3" xfId="1232" xr:uid="{00000000-0005-0000-0000-0000E0040000}"/>
    <cellStyle name="Obično 3 3 2 4 4" xfId="1490" xr:uid="{00000000-0005-0000-0000-0000E1040000}"/>
    <cellStyle name="Obično 3 3 2 4 5" xfId="1748" xr:uid="{00000000-0005-0000-0000-0000E2040000}"/>
    <cellStyle name="Obično 3 3 2 5" xfId="874" xr:uid="{00000000-0005-0000-0000-0000E3040000}"/>
    <cellStyle name="Obično 3 3 2 5 2" xfId="1234" xr:uid="{00000000-0005-0000-0000-0000E4040000}"/>
    <cellStyle name="Obično 3 3 2 5 3" xfId="1492" xr:uid="{00000000-0005-0000-0000-0000E5040000}"/>
    <cellStyle name="Obično 3 3 2 5 4" xfId="1750" xr:uid="{00000000-0005-0000-0000-0000E6040000}"/>
    <cellStyle name="Obično 3 3 2 6" xfId="875" xr:uid="{00000000-0005-0000-0000-0000E7040000}"/>
    <cellStyle name="Obično 3 3 2 6 2" xfId="1235" xr:uid="{00000000-0005-0000-0000-0000E8040000}"/>
    <cellStyle name="Obično 3 3 2 6 3" xfId="1493" xr:uid="{00000000-0005-0000-0000-0000E9040000}"/>
    <cellStyle name="Obično 3 3 2 6 4" xfId="1751" xr:uid="{00000000-0005-0000-0000-0000EA040000}"/>
    <cellStyle name="Obično 3 3 2 7" xfId="1225" xr:uid="{00000000-0005-0000-0000-0000EB040000}"/>
    <cellStyle name="Obično 3 3 2 8" xfId="1483" xr:uid="{00000000-0005-0000-0000-0000EC040000}"/>
    <cellStyle name="Obično 3 3 2 9" xfId="1741" xr:uid="{00000000-0005-0000-0000-0000ED040000}"/>
    <cellStyle name="Obično 3 3 3" xfId="876" xr:uid="{00000000-0005-0000-0000-0000EE040000}"/>
    <cellStyle name="Obično 3 3 3 2" xfId="877" xr:uid="{00000000-0005-0000-0000-0000EF040000}"/>
    <cellStyle name="Obično 3 3 3 2 2" xfId="878" xr:uid="{00000000-0005-0000-0000-0000F0040000}"/>
    <cellStyle name="Obično 3 3 3 2 2 2" xfId="1238" xr:uid="{00000000-0005-0000-0000-0000F1040000}"/>
    <cellStyle name="Obično 3 3 3 2 2 3" xfId="1496" xr:uid="{00000000-0005-0000-0000-0000F2040000}"/>
    <cellStyle name="Obično 3 3 3 2 2 4" xfId="1754" xr:uid="{00000000-0005-0000-0000-0000F3040000}"/>
    <cellStyle name="Obično 3 3 3 2 3" xfId="879" xr:uid="{00000000-0005-0000-0000-0000F4040000}"/>
    <cellStyle name="Obično 3 3 3 2 3 2" xfId="1239" xr:uid="{00000000-0005-0000-0000-0000F5040000}"/>
    <cellStyle name="Obično 3 3 3 2 3 3" xfId="1497" xr:uid="{00000000-0005-0000-0000-0000F6040000}"/>
    <cellStyle name="Obično 3 3 3 2 3 4" xfId="1755" xr:uid="{00000000-0005-0000-0000-0000F7040000}"/>
    <cellStyle name="Obično 3 3 3 2 4" xfId="1237" xr:uid="{00000000-0005-0000-0000-0000F8040000}"/>
    <cellStyle name="Obično 3 3 3 2 5" xfId="1495" xr:uid="{00000000-0005-0000-0000-0000F9040000}"/>
    <cellStyle name="Obično 3 3 3 2 6" xfId="1753" xr:uid="{00000000-0005-0000-0000-0000FA040000}"/>
    <cellStyle name="Obično 3 3 3 3" xfId="880" xr:uid="{00000000-0005-0000-0000-0000FB040000}"/>
    <cellStyle name="Obično 3 3 3 3 2" xfId="881" xr:uid="{00000000-0005-0000-0000-0000FC040000}"/>
    <cellStyle name="Obično 3 3 3 3 2 2" xfId="1241" xr:uid="{00000000-0005-0000-0000-0000FD040000}"/>
    <cellStyle name="Obično 3 3 3 3 2 3" xfId="1499" xr:uid="{00000000-0005-0000-0000-0000FE040000}"/>
    <cellStyle name="Obično 3 3 3 3 2 4" xfId="1757" xr:uid="{00000000-0005-0000-0000-0000FF040000}"/>
    <cellStyle name="Obično 3 3 3 3 3" xfId="1240" xr:uid="{00000000-0005-0000-0000-000000050000}"/>
    <cellStyle name="Obično 3 3 3 3 4" xfId="1498" xr:uid="{00000000-0005-0000-0000-000001050000}"/>
    <cellStyle name="Obično 3 3 3 3 5" xfId="1756" xr:uid="{00000000-0005-0000-0000-000002050000}"/>
    <cellStyle name="Obično 3 3 3 4" xfId="882" xr:uid="{00000000-0005-0000-0000-000003050000}"/>
    <cellStyle name="Obično 3 3 3 4 2" xfId="1242" xr:uid="{00000000-0005-0000-0000-000004050000}"/>
    <cellStyle name="Obično 3 3 3 4 3" xfId="1500" xr:uid="{00000000-0005-0000-0000-000005050000}"/>
    <cellStyle name="Obično 3 3 3 4 4" xfId="1758" xr:uid="{00000000-0005-0000-0000-000006050000}"/>
    <cellStyle name="Obično 3 3 3 5" xfId="883" xr:uid="{00000000-0005-0000-0000-000007050000}"/>
    <cellStyle name="Obično 3 3 3 5 2" xfId="1243" xr:uid="{00000000-0005-0000-0000-000008050000}"/>
    <cellStyle name="Obično 3 3 3 5 3" xfId="1501" xr:uid="{00000000-0005-0000-0000-000009050000}"/>
    <cellStyle name="Obično 3 3 3 5 4" xfId="1759" xr:uid="{00000000-0005-0000-0000-00000A050000}"/>
    <cellStyle name="Obično 3 3 3 6" xfId="1236" xr:uid="{00000000-0005-0000-0000-00000B050000}"/>
    <cellStyle name="Obično 3 3 3 7" xfId="1494" xr:uid="{00000000-0005-0000-0000-00000C050000}"/>
    <cellStyle name="Obično 3 3 3 8" xfId="1752" xr:uid="{00000000-0005-0000-0000-00000D050000}"/>
    <cellStyle name="Obično 3 3 4" xfId="884" xr:uid="{00000000-0005-0000-0000-00000E050000}"/>
    <cellStyle name="Obično 3 3 4 2" xfId="885" xr:uid="{00000000-0005-0000-0000-00000F050000}"/>
    <cellStyle name="Obično 3 3 4 2 2" xfId="1245" xr:uid="{00000000-0005-0000-0000-000010050000}"/>
    <cellStyle name="Obično 3 3 4 2 3" xfId="1503" xr:uid="{00000000-0005-0000-0000-000011050000}"/>
    <cellStyle name="Obično 3 3 4 2 4" xfId="1761" xr:uid="{00000000-0005-0000-0000-000012050000}"/>
    <cellStyle name="Obično 3 3 4 3" xfId="886" xr:uid="{00000000-0005-0000-0000-000013050000}"/>
    <cellStyle name="Obično 3 3 4 3 2" xfId="1246" xr:uid="{00000000-0005-0000-0000-000014050000}"/>
    <cellStyle name="Obično 3 3 4 3 3" xfId="1504" xr:uid="{00000000-0005-0000-0000-000015050000}"/>
    <cellStyle name="Obično 3 3 4 3 4" xfId="1762" xr:uid="{00000000-0005-0000-0000-000016050000}"/>
    <cellStyle name="Obično 3 3 4 4" xfId="1244" xr:uid="{00000000-0005-0000-0000-000017050000}"/>
    <cellStyle name="Obično 3 3 4 5" xfId="1502" xr:uid="{00000000-0005-0000-0000-000018050000}"/>
    <cellStyle name="Obično 3 3 4 6" xfId="1760" xr:uid="{00000000-0005-0000-0000-000019050000}"/>
    <cellStyle name="Obično 3 3 5" xfId="887" xr:uid="{00000000-0005-0000-0000-00001A050000}"/>
    <cellStyle name="Obično 3 3 5 2" xfId="888" xr:uid="{00000000-0005-0000-0000-00001B050000}"/>
    <cellStyle name="Obično 3 3 5 2 2" xfId="1248" xr:uid="{00000000-0005-0000-0000-00001C050000}"/>
    <cellStyle name="Obično 3 3 5 2 3" xfId="1506" xr:uid="{00000000-0005-0000-0000-00001D050000}"/>
    <cellStyle name="Obično 3 3 5 2 4" xfId="1764" xr:uid="{00000000-0005-0000-0000-00001E050000}"/>
    <cellStyle name="Obično 3 3 5 3" xfId="1247" xr:uid="{00000000-0005-0000-0000-00001F050000}"/>
    <cellStyle name="Obično 3 3 5 4" xfId="1505" xr:uid="{00000000-0005-0000-0000-000020050000}"/>
    <cellStyle name="Obično 3 3 5 5" xfId="1763" xr:uid="{00000000-0005-0000-0000-000021050000}"/>
    <cellStyle name="Obično 3 3 6" xfId="889" xr:uid="{00000000-0005-0000-0000-000022050000}"/>
    <cellStyle name="Obično 3 3 6 2" xfId="1249" xr:uid="{00000000-0005-0000-0000-000023050000}"/>
    <cellStyle name="Obično 3 3 6 3" xfId="1507" xr:uid="{00000000-0005-0000-0000-000024050000}"/>
    <cellStyle name="Obično 3 3 6 4" xfId="1765" xr:uid="{00000000-0005-0000-0000-000025050000}"/>
    <cellStyle name="Obično 3 3 7" xfId="890" xr:uid="{00000000-0005-0000-0000-000026050000}"/>
    <cellStyle name="Obično 3 3 7 2" xfId="1250" xr:uid="{00000000-0005-0000-0000-000027050000}"/>
    <cellStyle name="Obično 3 3 7 3" xfId="1508" xr:uid="{00000000-0005-0000-0000-000028050000}"/>
    <cellStyle name="Obično 3 3 7 4" xfId="1766" xr:uid="{00000000-0005-0000-0000-000029050000}"/>
    <cellStyle name="Obično 3 3 8" xfId="1224" xr:uid="{00000000-0005-0000-0000-00002A050000}"/>
    <cellStyle name="Obično 3 3 9" xfId="1482" xr:uid="{00000000-0005-0000-0000-00002B050000}"/>
    <cellStyle name="Obično 3 4" xfId="891" xr:uid="{00000000-0005-0000-0000-00002C050000}"/>
    <cellStyle name="Obično 3 5" xfId="892" xr:uid="{00000000-0005-0000-0000-00002D050000}"/>
    <cellStyle name="Obično 3 6" xfId="893" xr:uid="{00000000-0005-0000-0000-00002E050000}"/>
    <cellStyle name="Obično 3 7" xfId="894" xr:uid="{00000000-0005-0000-0000-00002F050000}"/>
    <cellStyle name="Obično 4" xfId="895" xr:uid="{00000000-0005-0000-0000-000030050000}"/>
    <cellStyle name="Obično 4 2" xfId="896" xr:uid="{00000000-0005-0000-0000-000031050000}"/>
    <cellStyle name="Obično 4 2 2" xfId="897" xr:uid="{00000000-0005-0000-0000-000032050000}"/>
    <cellStyle name="Obično 4 3" xfId="898" xr:uid="{00000000-0005-0000-0000-000033050000}"/>
    <cellStyle name="Obično 5" xfId="899" xr:uid="{00000000-0005-0000-0000-000034050000}"/>
    <cellStyle name="Obično 5 2" xfId="900" xr:uid="{00000000-0005-0000-0000-000035050000}"/>
    <cellStyle name="Obično 5 2 2" xfId="901" xr:uid="{00000000-0005-0000-0000-000036050000}"/>
    <cellStyle name="Obično 5 3" xfId="902" xr:uid="{00000000-0005-0000-0000-000037050000}"/>
    <cellStyle name="Obično 5 4" xfId="903" xr:uid="{00000000-0005-0000-0000-000038050000}"/>
    <cellStyle name="Obično 6" xfId="904" xr:uid="{00000000-0005-0000-0000-000039050000}"/>
    <cellStyle name="Obično 6 2" xfId="905" xr:uid="{00000000-0005-0000-0000-00003A050000}"/>
    <cellStyle name="Obično 7" xfId="906" xr:uid="{00000000-0005-0000-0000-00003B050000}"/>
    <cellStyle name="Obično 7 2" xfId="907" xr:uid="{00000000-0005-0000-0000-00003C050000}"/>
    <cellStyle name="Obično 7 2 2" xfId="908" xr:uid="{00000000-0005-0000-0000-00003D050000}"/>
    <cellStyle name="Obično 7 3" xfId="909" xr:uid="{00000000-0005-0000-0000-00003E050000}"/>
    <cellStyle name="Obično 8" xfId="910" xr:uid="{00000000-0005-0000-0000-00003F050000}"/>
    <cellStyle name="Obično 8 2" xfId="911" xr:uid="{00000000-0005-0000-0000-000040050000}"/>
    <cellStyle name="Obično 8 3" xfId="912" xr:uid="{00000000-0005-0000-0000-000041050000}"/>
    <cellStyle name="Obično 8 4" xfId="913" xr:uid="{00000000-0005-0000-0000-000042050000}"/>
    <cellStyle name="Obično 9" xfId="914" xr:uid="{00000000-0005-0000-0000-000043050000}"/>
    <cellStyle name="Obično 9 2" xfId="915" xr:uid="{00000000-0005-0000-0000-000044050000}"/>
    <cellStyle name="Obično_5_Elektro ins" xfId="916" xr:uid="{00000000-0005-0000-0000-000045050000}"/>
    <cellStyle name="Ôčíŕíńîâűé [0]_laroux" xfId="36" xr:uid="{00000000-0005-0000-0000-000046050000}"/>
    <cellStyle name="Ôčíŕíńîâűé_laroux" xfId="37" xr:uid="{00000000-0005-0000-0000-000047050000}"/>
    <cellStyle name="Option" xfId="38" xr:uid="{00000000-0005-0000-0000-000048050000}"/>
    <cellStyle name="OptionHeading" xfId="39" xr:uid="{00000000-0005-0000-0000-000049050000}"/>
    <cellStyle name="Output 1" xfId="917" xr:uid="{00000000-0005-0000-0000-00004A050000}"/>
    <cellStyle name="Output 1 1" xfId="918" xr:uid="{00000000-0005-0000-0000-00004B050000}"/>
    <cellStyle name="Output 2" xfId="919" xr:uid="{00000000-0005-0000-0000-00004C050000}"/>
    <cellStyle name="Output 2 2" xfId="920" xr:uid="{00000000-0005-0000-0000-00004D050000}"/>
    <cellStyle name="Percent [0]" xfId="40" xr:uid="{00000000-0005-0000-0000-00004E050000}"/>
    <cellStyle name="Percent [0] 2" xfId="1101" xr:uid="{00000000-0005-0000-0000-00004F050000}"/>
    <cellStyle name="Percent [00]" xfId="41" xr:uid="{00000000-0005-0000-0000-000050050000}"/>
    <cellStyle name="Percent [00] 2" xfId="1102" xr:uid="{00000000-0005-0000-0000-000051050000}"/>
    <cellStyle name="Percent 2" xfId="921" xr:uid="{00000000-0005-0000-0000-000052050000}"/>
    <cellStyle name="Percent 2 2" xfId="922" xr:uid="{00000000-0005-0000-0000-000053050000}"/>
    <cellStyle name="Percent 2 2 2" xfId="923" xr:uid="{00000000-0005-0000-0000-000054050000}"/>
    <cellStyle name="Percent 2 2 2 2" xfId="924" xr:uid="{00000000-0005-0000-0000-000055050000}"/>
    <cellStyle name="Percent 2 2 2 3" xfId="925" xr:uid="{00000000-0005-0000-0000-000056050000}"/>
    <cellStyle name="Percent 2 3" xfId="926" xr:uid="{00000000-0005-0000-0000-000057050000}"/>
    <cellStyle name="Percent 2 4" xfId="927" xr:uid="{00000000-0005-0000-0000-000058050000}"/>
    <cellStyle name="Percent 2 4 2" xfId="928" xr:uid="{00000000-0005-0000-0000-000059050000}"/>
    <cellStyle name="Percent 2 5" xfId="929" xr:uid="{00000000-0005-0000-0000-00005A050000}"/>
    <cellStyle name="Percent 2 5 2" xfId="930" xr:uid="{00000000-0005-0000-0000-00005B050000}"/>
    <cellStyle name="Percent 2 6" xfId="931" xr:uid="{00000000-0005-0000-0000-00005C050000}"/>
    <cellStyle name="Percent 3" xfId="932" xr:uid="{00000000-0005-0000-0000-00005D050000}"/>
    <cellStyle name="Percent 3 2" xfId="933" xr:uid="{00000000-0005-0000-0000-00005E050000}"/>
    <cellStyle name="Percent 3 3" xfId="934" xr:uid="{00000000-0005-0000-0000-00005F050000}"/>
    <cellStyle name="Postotak 2 2" xfId="935" xr:uid="{00000000-0005-0000-0000-000060050000}"/>
    <cellStyle name="Povezana ćelija 1" xfId="936" xr:uid="{00000000-0005-0000-0000-000061050000}"/>
    <cellStyle name="Povezana ćelija 2" xfId="937" xr:uid="{00000000-0005-0000-0000-000062050000}"/>
    <cellStyle name="PrePop Currency (0)" xfId="42" xr:uid="{00000000-0005-0000-0000-000063050000}"/>
    <cellStyle name="PrePop Currency (2)" xfId="43" xr:uid="{00000000-0005-0000-0000-000064050000}"/>
    <cellStyle name="PrePop Units (0)" xfId="44" xr:uid="{00000000-0005-0000-0000-000065050000}"/>
    <cellStyle name="PrePop Units (1)" xfId="45" xr:uid="{00000000-0005-0000-0000-000066050000}"/>
    <cellStyle name="PrePop Units (2)" xfId="46" xr:uid="{00000000-0005-0000-0000-000067050000}"/>
    <cellStyle name="Price" xfId="47" xr:uid="{00000000-0005-0000-0000-000068050000}"/>
    <cellStyle name="Provjera ćelije 1" xfId="938" xr:uid="{00000000-0005-0000-0000-000069050000}"/>
    <cellStyle name="Provjera ćelije 2" xfId="939" xr:uid="{00000000-0005-0000-0000-00006A050000}"/>
    <cellStyle name="redni brojevi" xfId="940" xr:uid="{00000000-0005-0000-0000-00006B050000}"/>
    <cellStyle name="Result" xfId="941" xr:uid="{00000000-0005-0000-0000-00006C050000}"/>
    <cellStyle name="Result2" xfId="942" xr:uid="{00000000-0005-0000-0000-00006D050000}"/>
    <cellStyle name="RO" xfId="943" xr:uid="{00000000-0005-0000-0000-00006E050000}"/>
    <cellStyle name="Schlecht" xfId="944" xr:uid="{00000000-0005-0000-0000-00006F050000}"/>
    <cellStyle name="Standard" xfId="945" xr:uid="{00000000-0005-0000-0000-000070050000}"/>
    <cellStyle name="Standard 2" xfId="946" xr:uid="{00000000-0005-0000-0000-000071050000}"/>
    <cellStyle name="Stavka" xfId="947" xr:uid="{00000000-0005-0000-0000-000072050000}"/>
    <cellStyle name="Stil 1" xfId="948" xr:uid="{00000000-0005-0000-0000-000073050000}"/>
    <cellStyle name="Stil 1 2" xfId="949" xr:uid="{00000000-0005-0000-0000-000074050000}"/>
    <cellStyle name="Style 1" xfId="62" xr:uid="{00000000-0005-0000-0000-000075050000}"/>
    <cellStyle name="Style 1 2" xfId="950" xr:uid="{00000000-0005-0000-0000-000076050000}"/>
    <cellStyle name="Style 1 3" xfId="951" xr:uid="{00000000-0005-0000-0000-000077050000}"/>
    <cellStyle name="Tekst objašnjenja 1" xfId="952" xr:uid="{00000000-0005-0000-0000-000078050000}"/>
    <cellStyle name="Tekst objašnjenja 2" xfId="953" xr:uid="{00000000-0005-0000-0000-000079050000}"/>
    <cellStyle name="Tekst upozorenja 1" xfId="955" xr:uid="{00000000-0005-0000-0000-00007A050000}"/>
    <cellStyle name="Tekst upozorenja 2" xfId="956" xr:uid="{00000000-0005-0000-0000-00007B050000}"/>
    <cellStyle name="Tekst upozorenja 2 2" xfId="957" xr:uid="{00000000-0005-0000-0000-00007C050000}"/>
    <cellStyle name="Tekst upozorenja 3" xfId="954" xr:uid="{00000000-0005-0000-0000-00007D050000}"/>
    <cellStyle name="Text Indent A" xfId="48" xr:uid="{00000000-0005-0000-0000-00007E050000}"/>
    <cellStyle name="Text Indent B" xfId="49" xr:uid="{00000000-0005-0000-0000-00007F050000}"/>
    <cellStyle name="Text Indent C" xfId="50" xr:uid="{00000000-0005-0000-0000-000080050000}"/>
    <cellStyle name="tigle!" xfId="51" xr:uid="{00000000-0005-0000-0000-000081050000}"/>
    <cellStyle name="Title 1" xfId="958" xr:uid="{00000000-0005-0000-0000-000082050000}"/>
    <cellStyle name="Title 1 1" xfId="959" xr:uid="{00000000-0005-0000-0000-000083050000}"/>
    <cellStyle name="Title 2" xfId="960" xr:uid="{00000000-0005-0000-0000-000084050000}"/>
    <cellStyle name="Total 1" xfId="961" xr:uid="{00000000-0005-0000-0000-000085050000}"/>
    <cellStyle name="Total 1 1" xfId="962" xr:uid="{00000000-0005-0000-0000-000086050000}"/>
    <cellStyle name="Total 2" xfId="963" xr:uid="{00000000-0005-0000-0000-000087050000}"/>
    <cellStyle name="Überschrift" xfId="964" xr:uid="{00000000-0005-0000-0000-000088050000}"/>
    <cellStyle name="Überschrift 1" xfId="965" xr:uid="{00000000-0005-0000-0000-000089050000}"/>
    <cellStyle name="Überschrift 2" xfId="966" xr:uid="{00000000-0005-0000-0000-00008A050000}"/>
    <cellStyle name="Überschrift 3" xfId="967" xr:uid="{00000000-0005-0000-0000-00008B050000}"/>
    <cellStyle name="Überschrift 4" xfId="968" xr:uid="{00000000-0005-0000-0000-00008C050000}"/>
    <cellStyle name="Ukupni zbroj 1" xfId="969" xr:uid="{00000000-0005-0000-0000-00008D050000}"/>
    <cellStyle name="Ukupni zbroj 2" xfId="970" xr:uid="{00000000-0005-0000-0000-00008E050000}"/>
    <cellStyle name="Ukupno" xfId="971" xr:uid="{00000000-0005-0000-0000-00008F050000}"/>
    <cellStyle name="Unit" xfId="52" xr:uid="{00000000-0005-0000-0000-000090050000}"/>
    <cellStyle name="Unos 1" xfId="972" xr:uid="{00000000-0005-0000-0000-000091050000}"/>
    <cellStyle name="Unos 2" xfId="973" xr:uid="{00000000-0005-0000-0000-000092050000}"/>
    <cellStyle name="Valuta 2" xfId="974" xr:uid="{00000000-0005-0000-0000-000093050000}"/>
    <cellStyle name="Valuta 2 2" xfId="975" xr:uid="{00000000-0005-0000-0000-000094050000}"/>
    <cellStyle name="Valuta 2 2 2" xfId="976" xr:uid="{00000000-0005-0000-0000-000095050000}"/>
    <cellStyle name="Valuta 2 2 2 2" xfId="1253" xr:uid="{00000000-0005-0000-0000-000096050000}"/>
    <cellStyle name="Valuta 2 2 2 3" xfId="1511" xr:uid="{00000000-0005-0000-0000-000097050000}"/>
    <cellStyle name="Valuta 2 2 2 4" xfId="1769" xr:uid="{00000000-0005-0000-0000-000098050000}"/>
    <cellStyle name="Valuta 2 2 3" xfId="1252" xr:uid="{00000000-0005-0000-0000-000099050000}"/>
    <cellStyle name="Valuta 2 2 4" xfId="1510" xr:uid="{00000000-0005-0000-0000-00009A050000}"/>
    <cellStyle name="Valuta 2 2 5" xfId="1768" xr:uid="{00000000-0005-0000-0000-00009B050000}"/>
    <cellStyle name="Valuta 2 3" xfId="1251" xr:uid="{00000000-0005-0000-0000-00009C050000}"/>
    <cellStyle name="Valuta 2 4" xfId="1509" xr:uid="{00000000-0005-0000-0000-00009D050000}"/>
    <cellStyle name="Valuta 2 5" xfId="1767" xr:uid="{00000000-0005-0000-0000-00009E050000}"/>
    <cellStyle name="Verknüpfte Zelle" xfId="977" xr:uid="{00000000-0005-0000-0000-00009F050000}"/>
    <cellStyle name="Vertical" xfId="53" xr:uid="{00000000-0005-0000-0000-0000A0050000}"/>
    <cellStyle name="Warnender Text" xfId="978" xr:uid="{00000000-0005-0000-0000-0000A1050000}"/>
    <cellStyle name="Warning Text 1" xfId="979" xr:uid="{00000000-0005-0000-0000-0000A2050000}"/>
    <cellStyle name="Warning Text 1 1" xfId="980" xr:uid="{00000000-0005-0000-0000-0000A3050000}"/>
    <cellStyle name="Warning Text 2" xfId="981" xr:uid="{00000000-0005-0000-0000-0000A4050000}"/>
    <cellStyle name="zadnja" xfId="982" xr:uid="{00000000-0005-0000-0000-0000A5050000}"/>
    <cellStyle name="Zarez" xfId="54" builtinId="3"/>
    <cellStyle name="Zarez 10" xfId="983" xr:uid="{00000000-0005-0000-0000-0000A7050000}"/>
    <cellStyle name="Zarez 10 2" xfId="984" xr:uid="{00000000-0005-0000-0000-0000A8050000}"/>
    <cellStyle name="Zarez 10 2 2" xfId="985" xr:uid="{00000000-0005-0000-0000-0000A9050000}"/>
    <cellStyle name="Zarez 10 2 2 2" xfId="1256" xr:uid="{00000000-0005-0000-0000-0000AA050000}"/>
    <cellStyle name="Zarez 10 2 2 3" xfId="1514" xr:uid="{00000000-0005-0000-0000-0000AB050000}"/>
    <cellStyle name="Zarez 10 2 2 4" xfId="1772" xr:uid="{00000000-0005-0000-0000-0000AC050000}"/>
    <cellStyle name="Zarez 10 2 3" xfId="1255" xr:uid="{00000000-0005-0000-0000-0000AD050000}"/>
    <cellStyle name="Zarez 10 2 4" xfId="1513" xr:uid="{00000000-0005-0000-0000-0000AE050000}"/>
    <cellStyle name="Zarez 10 2 5" xfId="1771" xr:uid="{00000000-0005-0000-0000-0000AF050000}"/>
    <cellStyle name="Zarez 10 3" xfId="986" xr:uid="{00000000-0005-0000-0000-0000B0050000}"/>
    <cellStyle name="Zarez 10 3 2" xfId="987" xr:uid="{00000000-0005-0000-0000-0000B1050000}"/>
    <cellStyle name="Zarez 10 3 2 2" xfId="1258" xr:uid="{00000000-0005-0000-0000-0000B2050000}"/>
    <cellStyle name="Zarez 10 3 2 3" xfId="1516" xr:uid="{00000000-0005-0000-0000-0000B3050000}"/>
    <cellStyle name="Zarez 10 3 2 4" xfId="1774" xr:uid="{00000000-0005-0000-0000-0000B4050000}"/>
    <cellStyle name="Zarez 10 3 3" xfId="1257" xr:uid="{00000000-0005-0000-0000-0000B5050000}"/>
    <cellStyle name="Zarez 10 3 4" xfId="1515" xr:uid="{00000000-0005-0000-0000-0000B6050000}"/>
    <cellStyle name="Zarez 10 3 5" xfId="1773" xr:uid="{00000000-0005-0000-0000-0000B7050000}"/>
    <cellStyle name="Zarez 10 4" xfId="988" xr:uid="{00000000-0005-0000-0000-0000B8050000}"/>
    <cellStyle name="Zarez 10 4 2" xfId="1259" xr:uid="{00000000-0005-0000-0000-0000B9050000}"/>
    <cellStyle name="Zarez 10 4 3" xfId="1517" xr:uid="{00000000-0005-0000-0000-0000BA050000}"/>
    <cellStyle name="Zarez 10 4 4" xfId="1775" xr:uid="{00000000-0005-0000-0000-0000BB050000}"/>
    <cellStyle name="Zarez 10 5" xfId="1254" xr:uid="{00000000-0005-0000-0000-0000BC050000}"/>
    <cellStyle name="Zarez 10 6" xfId="1512" xr:uid="{00000000-0005-0000-0000-0000BD050000}"/>
    <cellStyle name="Zarez 10 7" xfId="1770" xr:uid="{00000000-0005-0000-0000-0000BE050000}"/>
    <cellStyle name="Zarez 18" xfId="989" xr:uid="{00000000-0005-0000-0000-0000BF050000}"/>
    <cellStyle name="Zarez 18 2" xfId="990" xr:uid="{00000000-0005-0000-0000-0000C0050000}"/>
    <cellStyle name="Zarez 18 2 2" xfId="991" xr:uid="{00000000-0005-0000-0000-0000C1050000}"/>
    <cellStyle name="Zarez 18 2 2 2" xfId="1262" xr:uid="{00000000-0005-0000-0000-0000C2050000}"/>
    <cellStyle name="Zarez 18 2 2 3" xfId="1520" xr:uid="{00000000-0005-0000-0000-0000C3050000}"/>
    <cellStyle name="Zarez 18 2 2 4" xfId="1778" xr:uid="{00000000-0005-0000-0000-0000C4050000}"/>
    <cellStyle name="Zarez 18 2 3" xfId="1261" xr:uid="{00000000-0005-0000-0000-0000C5050000}"/>
    <cellStyle name="Zarez 18 2 4" xfId="1519" xr:uid="{00000000-0005-0000-0000-0000C6050000}"/>
    <cellStyle name="Zarez 18 2 5" xfId="1777" xr:uid="{00000000-0005-0000-0000-0000C7050000}"/>
    <cellStyle name="Zarez 18 3" xfId="992" xr:uid="{00000000-0005-0000-0000-0000C8050000}"/>
    <cellStyle name="Zarez 18 3 2" xfId="1263" xr:uid="{00000000-0005-0000-0000-0000C9050000}"/>
    <cellStyle name="Zarez 18 3 3" xfId="1521" xr:uid="{00000000-0005-0000-0000-0000CA050000}"/>
    <cellStyle name="Zarez 18 3 4" xfId="1779" xr:uid="{00000000-0005-0000-0000-0000CB050000}"/>
    <cellStyle name="Zarez 18 4" xfId="1260" xr:uid="{00000000-0005-0000-0000-0000CC050000}"/>
    <cellStyle name="Zarez 18 5" xfId="1518" xr:uid="{00000000-0005-0000-0000-0000CD050000}"/>
    <cellStyle name="Zarez 18 6" xfId="1776" xr:uid="{00000000-0005-0000-0000-0000CE050000}"/>
    <cellStyle name="Zarez 2" xfId="59" xr:uid="{00000000-0005-0000-0000-0000CF050000}"/>
    <cellStyle name="Zarez 2 10" xfId="994" xr:uid="{00000000-0005-0000-0000-0000D0050000}"/>
    <cellStyle name="Zarez 2 10 2" xfId="995" xr:uid="{00000000-0005-0000-0000-0000D1050000}"/>
    <cellStyle name="Zarez 2 10 2 2" xfId="996" xr:uid="{00000000-0005-0000-0000-0000D2050000}"/>
    <cellStyle name="Zarez 2 10 2 2 2" xfId="1267" xr:uid="{00000000-0005-0000-0000-0000D3050000}"/>
    <cellStyle name="Zarez 2 10 2 2 3" xfId="1525" xr:uid="{00000000-0005-0000-0000-0000D4050000}"/>
    <cellStyle name="Zarez 2 10 2 2 4" xfId="1783" xr:uid="{00000000-0005-0000-0000-0000D5050000}"/>
    <cellStyle name="Zarez 2 10 2 3" xfId="1266" xr:uid="{00000000-0005-0000-0000-0000D6050000}"/>
    <cellStyle name="Zarez 2 10 2 4" xfId="1524" xr:uid="{00000000-0005-0000-0000-0000D7050000}"/>
    <cellStyle name="Zarez 2 10 2 5" xfId="1782" xr:uid="{00000000-0005-0000-0000-0000D8050000}"/>
    <cellStyle name="Zarez 2 10 3" xfId="997" xr:uid="{00000000-0005-0000-0000-0000D9050000}"/>
    <cellStyle name="Zarez 2 10 3 2" xfId="998" xr:uid="{00000000-0005-0000-0000-0000DA050000}"/>
    <cellStyle name="Zarez 2 10 3 2 2" xfId="1269" xr:uid="{00000000-0005-0000-0000-0000DB050000}"/>
    <cellStyle name="Zarez 2 10 3 2 3" xfId="1527" xr:uid="{00000000-0005-0000-0000-0000DC050000}"/>
    <cellStyle name="Zarez 2 10 3 2 4" xfId="1785" xr:uid="{00000000-0005-0000-0000-0000DD050000}"/>
    <cellStyle name="Zarez 2 10 3 3" xfId="1268" xr:uid="{00000000-0005-0000-0000-0000DE050000}"/>
    <cellStyle name="Zarez 2 10 3 4" xfId="1526" xr:uid="{00000000-0005-0000-0000-0000DF050000}"/>
    <cellStyle name="Zarez 2 10 3 5" xfId="1784" xr:uid="{00000000-0005-0000-0000-0000E0050000}"/>
    <cellStyle name="Zarez 2 10 4" xfId="999" xr:uid="{00000000-0005-0000-0000-0000E1050000}"/>
    <cellStyle name="Zarez 2 10 4 2" xfId="1270" xr:uid="{00000000-0005-0000-0000-0000E2050000}"/>
    <cellStyle name="Zarez 2 10 4 3" xfId="1528" xr:uid="{00000000-0005-0000-0000-0000E3050000}"/>
    <cellStyle name="Zarez 2 10 4 4" xfId="1786" xr:uid="{00000000-0005-0000-0000-0000E4050000}"/>
    <cellStyle name="Zarez 2 10 5" xfId="1265" xr:uid="{00000000-0005-0000-0000-0000E5050000}"/>
    <cellStyle name="Zarez 2 10 6" xfId="1523" xr:uid="{00000000-0005-0000-0000-0000E6050000}"/>
    <cellStyle name="Zarez 2 10 7" xfId="1781" xr:uid="{00000000-0005-0000-0000-0000E7050000}"/>
    <cellStyle name="Zarez 2 11" xfId="1000" xr:uid="{00000000-0005-0000-0000-0000E8050000}"/>
    <cellStyle name="Zarez 2 11 2" xfId="1001" xr:uid="{00000000-0005-0000-0000-0000E9050000}"/>
    <cellStyle name="Zarez 2 11 2 2" xfId="1002" xr:uid="{00000000-0005-0000-0000-0000EA050000}"/>
    <cellStyle name="Zarez 2 11 2 2 2" xfId="1273" xr:uid="{00000000-0005-0000-0000-0000EB050000}"/>
    <cellStyle name="Zarez 2 11 2 2 3" xfId="1531" xr:uid="{00000000-0005-0000-0000-0000EC050000}"/>
    <cellStyle name="Zarez 2 11 2 2 4" xfId="1789" xr:uid="{00000000-0005-0000-0000-0000ED050000}"/>
    <cellStyle name="Zarez 2 11 2 3" xfId="1272" xr:uid="{00000000-0005-0000-0000-0000EE050000}"/>
    <cellStyle name="Zarez 2 11 2 4" xfId="1530" xr:uid="{00000000-0005-0000-0000-0000EF050000}"/>
    <cellStyle name="Zarez 2 11 2 5" xfId="1788" xr:uid="{00000000-0005-0000-0000-0000F0050000}"/>
    <cellStyle name="Zarez 2 11 3" xfId="1003" xr:uid="{00000000-0005-0000-0000-0000F1050000}"/>
    <cellStyle name="Zarez 2 11 3 2" xfId="1004" xr:uid="{00000000-0005-0000-0000-0000F2050000}"/>
    <cellStyle name="Zarez 2 11 3 2 2" xfId="1275" xr:uid="{00000000-0005-0000-0000-0000F3050000}"/>
    <cellStyle name="Zarez 2 11 3 2 3" xfId="1533" xr:uid="{00000000-0005-0000-0000-0000F4050000}"/>
    <cellStyle name="Zarez 2 11 3 2 4" xfId="1791" xr:uid="{00000000-0005-0000-0000-0000F5050000}"/>
    <cellStyle name="Zarez 2 11 3 3" xfId="1274" xr:uid="{00000000-0005-0000-0000-0000F6050000}"/>
    <cellStyle name="Zarez 2 11 3 4" xfId="1532" xr:uid="{00000000-0005-0000-0000-0000F7050000}"/>
    <cellStyle name="Zarez 2 11 3 5" xfId="1790" xr:uid="{00000000-0005-0000-0000-0000F8050000}"/>
    <cellStyle name="Zarez 2 11 4" xfId="1005" xr:uid="{00000000-0005-0000-0000-0000F9050000}"/>
    <cellStyle name="Zarez 2 11 4 2" xfId="1276" xr:uid="{00000000-0005-0000-0000-0000FA050000}"/>
    <cellStyle name="Zarez 2 11 4 3" xfId="1534" xr:uid="{00000000-0005-0000-0000-0000FB050000}"/>
    <cellStyle name="Zarez 2 11 4 4" xfId="1792" xr:uid="{00000000-0005-0000-0000-0000FC050000}"/>
    <cellStyle name="Zarez 2 11 5" xfId="1271" xr:uid="{00000000-0005-0000-0000-0000FD050000}"/>
    <cellStyle name="Zarez 2 11 6" xfId="1529" xr:uid="{00000000-0005-0000-0000-0000FE050000}"/>
    <cellStyle name="Zarez 2 11 7" xfId="1787" xr:uid="{00000000-0005-0000-0000-0000FF050000}"/>
    <cellStyle name="Zarez 2 12" xfId="1006" xr:uid="{00000000-0005-0000-0000-000000060000}"/>
    <cellStyle name="Zarez 2 12 2" xfId="1007" xr:uid="{00000000-0005-0000-0000-000001060000}"/>
    <cellStyle name="Zarez 2 12 2 2" xfId="1008" xr:uid="{00000000-0005-0000-0000-000002060000}"/>
    <cellStyle name="Zarez 2 12 2 2 2" xfId="1279" xr:uid="{00000000-0005-0000-0000-000003060000}"/>
    <cellStyle name="Zarez 2 12 2 2 3" xfId="1537" xr:uid="{00000000-0005-0000-0000-000004060000}"/>
    <cellStyle name="Zarez 2 12 2 2 4" xfId="1795" xr:uid="{00000000-0005-0000-0000-000005060000}"/>
    <cellStyle name="Zarez 2 12 2 3" xfId="1278" xr:uid="{00000000-0005-0000-0000-000006060000}"/>
    <cellStyle name="Zarez 2 12 2 4" xfId="1536" xr:uid="{00000000-0005-0000-0000-000007060000}"/>
    <cellStyle name="Zarez 2 12 2 5" xfId="1794" xr:uid="{00000000-0005-0000-0000-000008060000}"/>
    <cellStyle name="Zarez 2 12 3" xfId="1009" xr:uid="{00000000-0005-0000-0000-000009060000}"/>
    <cellStyle name="Zarez 2 12 3 2" xfId="1010" xr:uid="{00000000-0005-0000-0000-00000A060000}"/>
    <cellStyle name="Zarez 2 12 3 2 2" xfId="1281" xr:uid="{00000000-0005-0000-0000-00000B060000}"/>
    <cellStyle name="Zarez 2 12 3 2 3" xfId="1539" xr:uid="{00000000-0005-0000-0000-00000C060000}"/>
    <cellStyle name="Zarez 2 12 3 2 4" xfId="1797" xr:uid="{00000000-0005-0000-0000-00000D060000}"/>
    <cellStyle name="Zarez 2 12 3 3" xfId="1280" xr:uid="{00000000-0005-0000-0000-00000E060000}"/>
    <cellStyle name="Zarez 2 12 3 4" xfId="1538" xr:uid="{00000000-0005-0000-0000-00000F060000}"/>
    <cellStyle name="Zarez 2 12 3 5" xfId="1796" xr:uid="{00000000-0005-0000-0000-000010060000}"/>
    <cellStyle name="Zarez 2 12 4" xfId="1011" xr:uid="{00000000-0005-0000-0000-000011060000}"/>
    <cellStyle name="Zarez 2 12 4 2" xfId="1282" xr:uid="{00000000-0005-0000-0000-000012060000}"/>
    <cellStyle name="Zarez 2 12 4 3" xfId="1540" xr:uid="{00000000-0005-0000-0000-000013060000}"/>
    <cellStyle name="Zarez 2 12 4 4" xfId="1798" xr:uid="{00000000-0005-0000-0000-000014060000}"/>
    <cellStyle name="Zarez 2 12 5" xfId="1277" xr:uid="{00000000-0005-0000-0000-000015060000}"/>
    <cellStyle name="Zarez 2 12 6" xfId="1535" xr:uid="{00000000-0005-0000-0000-000016060000}"/>
    <cellStyle name="Zarez 2 12 7" xfId="1793" xr:uid="{00000000-0005-0000-0000-000017060000}"/>
    <cellStyle name="Zarez 2 13" xfId="1012" xr:uid="{00000000-0005-0000-0000-000018060000}"/>
    <cellStyle name="Zarez 2 13 2" xfId="1013" xr:uid="{00000000-0005-0000-0000-000019060000}"/>
    <cellStyle name="Zarez 2 13 2 2" xfId="1014" xr:uid="{00000000-0005-0000-0000-00001A060000}"/>
    <cellStyle name="Zarez 2 13 2 2 2" xfId="1285" xr:uid="{00000000-0005-0000-0000-00001B060000}"/>
    <cellStyle name="Zarez 2 13 2 2 3" xfId="1543" xr:uid="{00000000-0005-0000-0000-00001C060000}"/>
    <cellStyle name="Zarez 2 13 2 2 4" xfId="1801" xr:uid="{00000000-0005-0000-0000-00001D060000}"/>
    <cellStyle name="Zarez 2 13 2 3" xfId="1284" xr:uid="{00000000-0005-0000-0000-00001E060000}"/>
    <cellStyle name="Zarez 2 13 2 4" xfId="1542" xr:uid="{00000000-0005-0000-0000-00001F060000}"/>
    <cellStyle name="Zarez 2 13 2 5" xfId="1800" xr:uid="{00000000-0005-0000-0000-000020060000}"/>
    <cellStyle name="Zarez 2 13 3" xfId="1015" xr:uid="{00000000-0005-0000-0000-000021060000}"/>
    <cellStyle name="Zarez 2 13 3 2" xfId="1016" xr:uid="{00000000-0005-0000-0000-000022060000}"/>
    <cellStyle name="Zarez 2 13 3 2 2" xfId="1287" xr:uid="{00000000-0005-0000-0000-000023060000}"/>
    <cellStyle name="Zarez 2 13 3 2 3" xfId="1545" xr:uid="{00000000-0005-0000-0000-000024060000}"/>
    <cellStyle name="Zarez 2 13 3 2 4" xfId="1803" xr:uid="{00000000-0005-0000-0000-000025060000}"/>
    <cellStyle name="Zarez 2 13 3 3" xfId="1286" xr:uid="{00000000-0005-0000-0000-000026060000}"/>
    <cellStyle name="Zarez 2 13 3 4" xfId="1544" xr:uid="{00000000-0005-0000-0000-000027060000}"/>
    <cellStyle name="Zarez 2 13 3 5" xfId="1802" xr:uid="{00000000-0005-0000-0000-000028060000}"/>
    <cellStyle name="Zarez 2 13 4" xfId="1017" xr:uid="{00000000-0005-0000-0000-000029060000}"/>
    <cellStyle name="Zarez 2 13 4 2" xfId="1288" xr:uid="{00000000-0005-0000-0000-00002A060000}"/>
    <cellStyle name="Zarez 2 13 4 3" xfId="1546" xr:uid="{00000000-0005-0000-0000-00002B060000}"/>
    <cellStyle name="Zarez 2 13 4 4" xfId="1804" xr:uid="{00000000-0005-0000-0000-00002C060000}"/>
    <cellStyle name="Zarez 2 13 5" xfId="1283" xr:uid="{00000000-0005-0000-0000-00002D060000}"/>
    <cellStyle name="Zarez 2 13 6" xfId="1541" xr:uid="{00000000-0005-0000-0000-00002E060000}"/>
    <cellStyle name="Zarez 2 13 7" xfId="1799" xr:uid="{00000000-0005-0000-0000-00002F060000}"/>
    <cellStyle name="Zarez 2 14" xfId="1018" xr:uid="{00000000-0005-0000-0000-000030060000}"/>
    <cellStyle name="Zarez 2 14 2" xfId="1019" xr:uid="{00000000-0005-0000-0000-000031060000}"/>
    <cellStyle name="Zarez 2 14 2 2" xfId="1020" xr:uid="{00000000-0005-0000-0000-000032060000}"/>
    <cellStyle name="Zarez 2 14 2 2 2" xfId="1291" xr:uid="{00000000-0005-0000-0000-000033060000}"/>
    <cellStyle name="Zarez 2 14 2 2 3" xfId="1549" xr:uid="{00000000-0005-0000-0000-000034060000}"/>
    <cellStyle name="Zarez 2 14 2 2 4" xfId="1807" xr:uid="{00000000-0005-0000-0000-000035060000}"/>
    <cellStyle name="Zarez 2 14 2 3" xfId="1290" xr:uid="{00000000-0005-0000-0000-000036060000}"/>
    <cellStyle name="Zarez 2 14 2 4" xfId="1548" xr:uid="{00000000-0005-0000-0000-000037060000}"/>
    <cellStyle name="Zarez 2 14 2 5" xfId="1806" xr:uid="{00000000-0005-0000-0000-000038060000}"/>
    <cellStyle name="Zarez 2 14 3" xfId="1021" xr:uid="{00000000-0005-0000-0000-000039060000}"/>
    <cellStyle name="Zarez 2 14 3 2" xfId="1022" xr:uid="{00000000-0005-0000-0000-00003A060000}"/>
    <cellStyle name="Zarez 2 14 3 2 2" xfId="1293" xr:uid="{00000000-0005-0000-0000-00003B060000}"/>
    <cellStyle name="Zarez 2 14 3 2 3" xfId="1551" xr:uid="{00000000-0005-0000-0000-00003C060000}"/>
    <cellStyle name="Zarez 2 14 3 2 4" xfId="1809" xr:uid="{00000000-0005-0000-0000-00003D060000}"/>
    <cellStyle name="Zarez 2 14 3 3" xfId="1292" xr:uid="{00000000-0005-0000-0000-00003E060000}"/>
    <cellStyle name="Zarez 2 14 3 4" xfId="1550" xr:uid="{00000000-0005-0000-0000-00003F060000}"/>
    <cellStyle name="Zarez 2 14 3 5" xfId="1808" xr:uid="{00000000-0005-0000-0000-000040060000}"/>
    <cellStyle name="Zarez 2 14 4" xfId="1023" xr:uid="{00000000-0005-0000-0000-000041060000}"/>
    <cellStyle name="Zarez 2 14 4 2" xfId="1294" xr:uid="{00000000-0005-0000-0000-000042060000}"/>
    <cellStyle name="Zarez 2 14 4 3" xfId="1552" xr:uid="{00000000-0005-0000-0000-000043060000}"/>
    <cellStyle name="Zarez 2 14 4 4" xfId="1810" xr:uid="{00000000-0005-0000-0000-000044060000}"/>
    <cellStyle name="Zarez 2 14 5" xfId="1289" xr:uid="{00000000-0005-0000-0000-000045060000}"/>
    <cellStyle name="Zarez 2 14 6" xfId="1547" xr:uid="{00000000-0005-0000-0000-000046060000}"/>
    <cellStyle name="Zarez 2 14 7" xfId="1805" xr:uid="{00000000-0005-0000-0000-000047060000}"/>
    <cellStyle name="Zarez 2 15" xfId="1024" xr:uid="{00000000-0005-0000-0000-000048060000}"/>
    <cellStyle name="Zarez 2 15 2" xfId="1025" xr:uid="{00000000-0005-0000-0000-000049060000}"/>
    <cellStyle name="Zarez 2 15 2 2" xfId="1026" xr:uid="{00000000-0005-0000-0000-00004A060000}"/>
    <cellStyle name="Zarez 2 15 2 2 2" xfId="1297" xr:uid="{00000000-0005-0000-0000-00004B060000}"/>
    <cellStyle name="Zarez 2 15 2 2 3" xfId="1555" xr:uid="{00000000-0005-0000-0000-00004C060000}"/>
    <cellStyle name="Zarez 2 15 2 2 4" xfId="1813" xr:uid="{00000000-0005-0000-0000-00004D060000}"/>
    <cellStyle name="Zarez 2 15 2 3" xfId="1296" xr:uid="{00000000-0005-0000-0000-00004E060000}"/>
    <cellStyle name="Zarez 2 15 2 4" xfId="1554" xr:uid="{00000000-0005-0000-0000-00004F060000}"/>
    <cellStyle name="Zarez 2 15 2 5" xfId="1812" xr:uid="{00000000-0005-0000-0000-000050060000}"/>
    <cellStyle name="Zarez 2 15 3" xfId="1027" xr:uid="{00000000-0005-0000-0000-000051060000}"/>
    <cellStyle name="Zarez 2 15 3 2" xfId="1028" xr:uid="{00000000-0005-0000-0000-000052060000}"/>
    <cellStyle name="Zarez 2 15 3 2 2" xfId="1299" xr:uid="{00000000-0005-0000-0000-000053060000}"/>
    <cellStyle name="Zarez 2 15 3 2 3" xfId="1557" xr:uid="{00000000-0005-0000-0000-000054060000}"/>
    <cellStyle name="Zarez 2 15 3 2 4" xfId="1815" xr:uid="{00000000-0005-0000-0000-000055060000}"/>
    <cellStyle name="Zarez 2 15 3 3" xfId="1298" xr:uid="{00000000-0005-0000-0000-000056060000}"/>
    <cellStyle name="Zarez 2 15 3 4" xfId="1556" xr:uid="{00000000-0005-0000-0000-000057060000}"/>
    <cellStyle name="Zarez 2 15 3 5" xfId="1814" xr:uid="{00000000-0005-0000-0000-000058060000}"/>
    <cellStyle name="Zarez 2 15 4" xfId="1029" xr:uid="{00000000-0005-0000-0000-000059060000}"/>
    <cellStyle name="Zarez 2 15 4 2" xfId="1300" xr:uid="{00000000-0005-0000-0000-00005A060000}"/>
    <cellStyle name="Zarez 2 15 4 3" xfId="1558" xr:uid="{00000000-0005-0000-0000-00005B060000}"/>
    <cellStyle name="Zarez 2 15 4 4" xfId="1816" xr:uid="{00000000-0005-0000-0000-00005C060000}"/>
    <cellStyle name="Zarez 2 15 5" xfId="1295" xr:uid="{00000000-0005-0000-0000-00005D060000}"/>
    <cellStyle name="Zarez 2 15 6" xfId="1553" xr:uid="{00000000-0005-0000-0000-00005E060000}"/>
    <cellStyle name="Zarez 2 15 7" xfId="1811" xr:uid="{00000000-0005-0000-0000-00005F060000}"/>
    <cellStyle name="Zarez 2 16" xfId="1030" xr:uid="{00000000-0005-0000-0000-000060060000}"/>
    <cellStyle name="Zarez 2 16 2" xfId="1031" xr:uid="{00000000-0005-0000-0000-000061060000}"/>
    <cellStyle name="Zarez 2 16 2 2" xfId="1302" xr:uid="{00000000-0005-0000-0000-000062060000}"/>
    <cellStyle name="Zarez 2 16 2 3" xfId="1560" xr:uid="{00000000-0005-0000-0000-000063060000}"/>
    <cellStyle name="Zarez 2 16 2 4" xfId="1818" xr:uid="{00000000-0005-0000-0000-000064060000}"/>
    <cellStyle name="Zarez 2 16 3" xfId="1301" xr:uid="{00000000-0005-0000-0000-000065060000}"/>
    <cellStyle name="Zarez 2 16 4" xfId="1559" xr:uid="{00000000-0005-0000-0000-000066060000}"/>
    <cellStyle name="Zarez 2 16 5" xfId="1817" xr:uid="{00000000-0005-0000-0000-000067060000}"/>
    <cellStyle name="Zarez 2 17" xfId="1032" xr:uid="{00000000-0005-0000-0000-000068060000}"/>
    <cellStyle name="Zarez 2 17 2" xfId="1033" xr:uid="{00000000-0005-0000-0000-000069060000}"/>
    <cellStyle name="Zarez 2 17 2 2" xfId="1304" xr:uid="{00000000-0005-0000-0000-00006A060000}"/>
    <cellStyle name="Zarez 2 17 2 3" xfId="1562" xr:uid="{00000000-0005-0000-0000-00006B060000}"/>
    <cellStyle name="Zarez 2 17 2 4" xfId="1820" xr:uid="{00000000-0005-0000-0000-00006C060000}"/>
    <cellStyle name="Zarez 2 17 3" xfId="1303" xr:uid="{00000000-0005-0000-0000-00006D060000}"/>
    <cellStyle name="Zarez 2 17 4" xfId="1561" xr:uid="{00000000-0005-0000-0000-00006E060000}"/>
    <cellStyle name="Zarez 2 17 5" xfId="1819" xr:uid="{00000000-0005-0000-0000-00006F060000}"/>
    <cellStyle name="Zarez 2 18" xfId="1034" xr:uid="{00000000-0005-0000-0000-000070060000}"/>
    <cellStyle name="Zarez 2 19" xfId="1035" xr:uid="{00000000-0005-0000-0000-000071060000}"/>
    <cellStyle name="Zarez 2 19 2" xfId="1305" xr:uid="{00000000-0005-0000-0000-000072060000}"/>
    <cellStyle name="Zarez 2 19 3" xfId="1563" xr:uid="{00000000-0005-0000-0000-000073060000}"/>
    <cellStyle name="Zarez 2 19 4" xfId="1821" xr:uid="{00000000-0005-0000-0000-000074060000}"/>
    <cellStyle name="Zarez 2 2" xfId="1036" xr:uid="{00000000-0005-0000-0000-000075060000}"/>
    <cellStyle name="Zarez 2 2 2" xfId="1037" xr:uid="{00000000-0005-0000-0000-000076060000}"/>
    <cellStyle name="Zarez 2 2 2 2" xfId="1038" xr:uid="{00000000-0005-0000-0000-000077060000}"/>
    <cellStyle name="Zarez 2 2 2 2 2" xfId="1308" xr:uid="{00000000-0005-0000-0000-000078060000}"/>
    <cellStyle name="Zarez 2 2 2 2 3" xfId="1566" xr:uid="{00000000-0005-0000-0000-000079060000}"/>
    <cellStyle name="Zarez 2 2 2 2 4" xfId="1824" xr:uid="{00000000-0005-0000-0000-00007A060000}"/>
    <cellStyle name="Zarez 2 2 2 3" xfId="1307" xr:uid="{00000000-0005-0000-0000-00007B060000}"/>
    <cellStyle name="Zarez 2 2 2 4" xfId="1565" xr:uid="{00000000-0005-0000-0000-00007C060000}"/>
    <cellStyle name="Zarez 2 2 2 5" xfId="1823" xr:uid="{00000000-0005-0000-0000-00007D060000}"/>
    <cellStyle name="Zarez 2 2 3" xfId="1039" xr:uid="{00000000-0005-0000-0000-00007E060000}"/>
    <cellStyle name="Zarez 2 2 3 2" xfId="1040" xr:uid="{00000000-0005-0000-0000-00007F060000}"/>
    <cellStyle name="Zarez 2 2 3 2 2" xfId="1310" xr:uid="{00000000-0005-0000-0000-000080060000}"/>
    <cellStyle name="Zarez 2 2 3 2 3" xfId="1568" xr:uid="{00000000-0005-0000-0000-000081060000}"/>
    <cellStyle name="Zarez 2 2 3 2 4" xfId="1826" xr:uid="{00000000-0005-0000-0000-000082060000}"/>
    <cellStyle name="Zarez 2 2 3 3" xfId="1309" xr:uid="{00000000-0005-0000-0000-000083060000}"/>
    <cellStyle name="Zarez 2 2 3 4" xfId="1567" xr:uid="{00000000-0005-0000-0000-000084060000}"/>
    <cellStyle name="Zarez 2 2 3 5" xfId="1825" xr:uid="{00000000-0005-0000-0000-000085060000}"/>
    <cellStyle name="Zarez 2 2 4" xfId="1041" xr:uid="{00000000-0005-0000-0000-000086060000}"/>
    <cellStyle name="Zarez 2 2 4 2" xfId="1042" xr:uid="{00000000-0005-0000-0000-000087060000}"/>
    <cellStyle name="Zarez 2 2 4 2 2" xfId="1312" xr:uid="{00000000-0005-0000-0000-000088060000}"/>
    <cellStyle name="Zarez 2 2 4 2 3" xfId="1570" xr:uid="{00000000-0005-0000-0000-000089060000}"/>
    <cellStyle name="Zarez 2 2 4 2 4" xfId="1828" xr:uid="{00000000-0005-0000-0000-00008A060000}"/>
    <cellStyle name="Zarez 2 2 4 3" xfId="1311" xr:uid="{00000000-0005-0000-0000-00008B060000}"/>
    <cellStyle name="Zarez 2 2 4 4" xfId="1569" xr:uid="{00000000-0005-0000-0000-00008C060000}"/>
    <cellStyle name="Zarez 2 2 4 5" xfId="1827" xr:uid="{00000000-0005-0000-0000-00008D060000}"/>
    <cellStyle name="Zarez 2 2 5" xfId="1043" xr:uid="{00000000-0005-0000-0000-00008E060000}"/>
    <cellStyle name="Zarez 2 2 5 2" xfId="1313" xr:uid="{00000000-0005-0000-0000-00008F060000}"/>
    <cellStyle name="Zarez 2 2 5 3" xfId="1571" xr:uid="{00000000-0005-0000-0000-000090060000}"/>
    <cellStyle name="Zarez 2 2 5 4" xfId="1829" xr:uid="{00000000-0005-0000-0000-000091060000}"/>
    <cellStyle name="Zarez 2 2 6" xfId="1306" xr:uid="{00000000-0005-0000-0000-000092060000}"/>
    <cellStyle name="Zarez 2 2 7" xfId="1564" xr:uid="{00000000-0005-0000-0000-000093060000}"/>
    <cellStyle name="Zarez 2 2 8" xfId="1822" xr:uid="{00000000-0005-0000-0000-000094060000}"/>
    <cellStyle name="Zarez 2 20" xfId="993" xr:uid="{00000000-0005-0000-0000-000095060000}"/>
    <cellStyle name="Zarez 2 20 2" xfId="1264" xr:uid="{00000000-0005-0000-0000-000096060000}"/>
    <cellStyle name="Zarez 2 20 3" xfId="1522" xr:uid="{00000000-0005-0000-0000-000097060000}"/>
    <cellStyle name="Zarez 2 20 4" xfId="1780" xr:uid="{00000000-0005-0000-0000-000098060000}"/>
    <cellStyle name="Zarez 2 21" xfId="1103" xr:uid="{00000000-0005-0000-0000-000099060000}"/>
    <cellStyle name="Zarez 2 22" xfId="1363" xr:uid="{00000000-0005-0000-0000-00009A060000}"/>
    <cellStyle name="Zarez 2 23" xfId="1620" xr:uid="{00000000-0005-0000-0000-00009B060000}"/>
    <cellStyle name="Zarez 2 3" xfId="1044" xr:uid="{00000000-0005-0000-0000-00009C060000}"/>
    <cellStyle name="Zarez 2 3 2" xfId="1045" xr:uid="{00000000-0005-0000-0000-00009D060000}"/>
    <cellStyle name="Zarez 2 3 2 2" xfId="1046" xr:uid="{00000000-0005-0000-0000-00009E060000}"/>
    <cellStyle name="Zarez 2 3 2 2 2" xfId="1316" xr:uid="{00000000-0005-0000-0000-00009F060000}"/>
    <cellStyle name="Zarez 2 3 2 2 3" xfId="1574" xr:uid="{00000000-0005-0000-0000-0000A0060000}"/>
    <cellStyle name="Zarez 2 3 2 2 4" xfId="1832" xr:uid="{00000000-0005-0000-0000-0000A1060000}"/>
    <cellStyle name="Zarez 2 3 2 3" xfId="1315" xr:uid="{00000000-0005-0000-0000-0000A2060000}"/>
    <cellStyle name="Zarez 2 3 2 4" xfId="1573" xr:uid="{00000000-0005-0000-0000-0000A3060000}"/>
    <cellStyle name="Zarez 2 3 2 5" xfId="1831" xr:uid="{00000000-0005-0000-0000-0000A4060000}"/>
    <cellStyle name="Zarez 2 3 3" xfId="1047" xr:uid="{00000000-0005-0000-0000-0000A5060000}"/>
    <cellStyle name="Zarez 2 3 3 2" xfId="1048" xr:uid="{00000000-0005-0000-0000-0000A6060000}"/>
    <cellStyle name="Zarez 2 3 3 2 2" xfId="1318" xr:uid="{00000000-0005-0000-0000-0000A7060000}"/>
    <cellStyle name="Zarez 2 3 3 2 3" xfId="1576" xr:uid="{00000000-0005-0000-0000-0000A8060000}"/>
    <cellStyle name="Zarez 2 3 3 2 4" xfId="1834" xr:uid="{00000000-0005-0000-0000-0000A9060000}"/>
    <cellStyle name="Zarez 2 3 3 3" xfId="1317" xr:uid="{00000000-0005-0000-0000-0000AA060000}"/>
    <cellStyle name="Zarez 2 3 3 4" xfId="1575" xr:uid="{00000000-0005-0000-0000-0000AB060000}"/>
    <cellStyle name="Zarez 2 3 3 5" xfId="1833" xr:uid="{00000000-0005-0000-0000-0000AC060000}"/>
    <cellStyle name="Zarez 2 3 4" xfId="1049" xr:uid="{00000000-0005-0000-0000-0000AD060000}"/>
    <cellStyle name="Zarez 2 3 4 2" xfId="1319" xr:uid="{00000000-0005-0000-0000-0000AE060000}"/>
    <cellStyle name="Zarez 2 3 4 3" xfId="1577" xr:uid="{00000000-0005-0000-0000-0000AF060000}"/>
    <cellStyle name="Zarez 2 3 4 4" xfId="1835" xr:uid="{00000000-0005-0000-0000-0000B0060000}"/>
    <cellStyle name="Zarez 2 3 5" xfId="1314" xr:uid="{00000000-0005-0000-0000-0000B1060000}"/>
    <cellStyle name="Zarez 2 3 6" xfId="1572" xr:uid="{00000000-0005-0000-0000-0000B2060000}"/>
    <cellStyle name="Zarez 2 3 7" xfId="1830" xr:uid="{00000000-0005-0000-0000-0000B3060000}"/>
    <cellStyle name="Zarez 2 4" xfId="1050" xr:uid="{00000000-0005-0000-0000-0000B4060000}"/>
    <cellStyle name="Zarez 2 4 2" xfId="1051" xr:uid="{00000000-0005-0000-0000-0000B5060000}"/>
    <cellStyle name="Zarez 2 4 2 2" xfId="1052" xr:uid="{00000000-0005-0000-0000-0000B6060000}"/>
    <cellStyle name="Zarez 2 4 2 2 2" xfId="1322" xr:uid="{00000000-0005-0000-0000-0000B7060000}"/>
    <cellStyle name="Zarez 2 4 2 2 3" xfId="1580" xr:uid="{00000000-0005-0000-0000-0000B8060000}"/>
    <cellStyle name="Zarez 2 4 2 2 4" xfId="1838" xr:uid="{00000000-0005-0000-0000-0000B9060000}"/>
    <cellStyle name="Zarez 2 4 2 3" xfId="1321" xr:uid="{00000000-0005-0000-0000-0000BA060000}"/>
    <cellStyle name="Zarez 2 4 2 4" xfId="1579" xr:uid="{00000000-0005-0000-0000-0000BB060000}"/>
    <cellStyle name="Zarez 2 4 2 5" xfId="1837" xr:uid="{00000000-0005-0000-0000-0000BC060000}"/>
    <cellStyle name="Zarez 2 4 3" xfId="1053" xr:uid="{00000000-0005-0000-0000-0000BD060000}"/>
    <cellStyle name="Zarez 2 4 3 2" xfId="1054" xr:uid="{00000000-0005-0000-0000-0000BE060000}"/>
    <cellStyle name="Zarez 2 4 3 2 2" xfId="1324" xr:uid="{00000000-0005-0000-0000-0000BF060000}"/>
    <cellStyle name="Zarez 2 4 3 2 3" xfId="1582" xr:uid="{00000000-0005-0000-0000-0000C0060000}"/>
    <cellStyle name="Zarez 2 4 3 2 4" xfId="1840" xr:uid="{00000000-0005-0000-0000-0000C1060000}"/>
    <cellStyle name="Zarez 2 4 3 3" xfId="1323" xr:uid="{00000000-0005-0000-0000-0000C2060000}"/>
    <cellStyle name="Zarez 2 4 3 4" xfId="1581" xr:uid="{00000000-0005-0000-0000-0000C3060000}"/>
    <cellStyle name="Zarez 2 4 3 5" xfId="1839" xr:uid="{00000000-0005-0000-0000-0000C4060000}"/>
    <cellStyle name="Zarez 2 4 4" xfId="1055" xr:uid="{00000000-0005-0000-0000-0000C5060000}"/>
    <cellStyle name="Zarez 2 4 4 2" xfId="1325" xr:uid="{00000000-0005-0000-0000-0000C6060000}"/>
    <cellStyle name="Zarez 2 4 4 3" xfId="1583" xr:uid="{00000000-0005-0000-0000-0000C7060000}"/>
    <cellStyle name="Zarez 2 4 4 4" xfId="1841" xr:uid="{00000000-0005-0000-0000-0000C8060000}"/>
    <cellStyle name="Zarez 2 4 5" xfId="1320" xr:uid="{00000000-0005-0000-0000-0000C9060000}"/>
    <cellStyle name="Zarez 2 4 6" xfId="1578" xr:uid="{00000000-0005-0000-0000-0000CA060000}"/>
    <cellStyle name="Zarez 2 4 7" xfId="1836" xr:uid="{00000000-0005-0000-0000-0000CB060000}"/>
    <cellStyle name="Zarez 2 5" xfId="1056" xr:uid="{00000000-0005-0000-0000-0000CC060000}"/>
    <cellStyle name="Zarez 2 5 2" xfId="1057" xr:uid="{00000000-0005-0000-0000-0000CD060000}"/>
    <cellStyle name="Zarez 2 5 2 2" xfId="1058" xr:uid="{00000000-0005-0000-0000-0000CE060000}"/>
    <cellStyle name="Zarez 2 5 2 2 2" xfId="1328" xr:uid="{00000000-0005-0000-0000-0000CF060000}"/>
    <cellStyle name="Zarez 2 5 2 2 3" xfId="1586" xr:uid="{00000000-0005-0000-0000-0000D0060000}"/>
    <cellStyle name="Zarez 2 5 2 2 4" xfId="1844" xr:uid="{00000000-0005-0000-0000-0000D1060000}"/>
    <cellStyle name="Zarez 2 5 2 3" xfId="1327" xr:uid="{00000000-0005-0000-0000-0000D2060000}"/>
    <cellStyle name="Zarez 2 5 2 4" xfId="1585" xr:uid="{00000000-0005-0000-0000-0000D3060000}"/>
    <cellStyle name="Zarez 2 5 2 5" xfId="1843" xr:uid="{00000000-0005-0000-0000-0000D4060000}"/>
    <cellStyle name="Zarez 2 5 3" xfId="1059" xr:uid="{00000000-0005-0000-0000-0000D5060000}"/>
    <cellStyle name="Zarez 2 5 3 2" xfId="1060" xr:uid="{00000000-0005-0000-0000-0000D6060000}"/>
    <cellStyle name="Zarez 2 5 3 2 2" xfId="1330" xr:uid="{00000000-0005-0000-0000-0000D7060000}"/>
    <cellStyle name="Zarez 2 5 3 2 3" xfId="1588" xr:uid="{00000000-0005-0000-0000-0000D8060000}"/>
    <cellStyle name="Zarez 2 5 3 2 4" xfId="1846" xr:uid="{00000000-0005-0000-0000-0000D9060000}"/>
    <cellStyle name="Zarez 2 5 3 3" xfId="1329" xr:uid="{00000000-0005-0000-0000-0000DA060000}"/>
    <cellStyle name="Zarez 2 5 3 4" xfId="1587" xr:uid="{00000000-0005-0000-0000-0000DB060000}"/>
    <cellStyle name="Zarez 2 5 3 5" xfId="1845" xr:uid="{00000000-0005-0000-0000-0000DC060000}"/>
    <cellStyle name="Zarez 2 5 4" xfId="1061" xr:uid="{00000000-0005-0000-0000-0000DD060000}"/>
    <cellStyle name="Zarez 2 5 4 2" xfId="1331" xr:uid="{00000000-0005-0000-0000-0000DE060000}"/>
    <cellStyle name="Zarez 2 5 4 3" xfId="1589" xr:uid="{00000000-0005-0000-0000-0000DF060000}"/>
    <cellStyle name="Zarez 2 5 4 4" xfId="1847" xr:uid="{00000000-0005-0000-0000-0000E0060000}"/>
    <cellStyle name="Zarez 2 5 5" xfId="1326" xr:uid="{00000000-0005-0000-0000-0000E1060000}"/>
    <cellStyle name="Zarez 2 5 6" xfId="1584" xr:uid="{00000000-0005-0000-0000-0000E2060000}"/>
    <cellStyle name="Zarez 2 5 7" xfId="1842" xr:uid="{00000000-0005-0000-0000-0000E3060000}"/>
    <cellStyle name="Zarez 2 6" xfId="1062" xr:uid="{00000000-0005-0000-0000-0000E4060000}"/>
    <cellStyle name="Zarez 2 6 2" xfId="1063" xr:uid="{00000000-0005-0000-0000-0000E5060000}"/>
    <cellStyle name="Zarez 2 6 2 2" xfId="1064" xr:uid="{00000000-0005-0000-0000-0000E6060000}"/>
    <cellStyle name="Zarez 2 6 2 2 2" xfId="1334" xr:uid="{00000000-0005-0000-0000-0000E7060000}"/>
    <cellStyle name="Zarez 2 6 2 2 3" xfId="1592" xr:uid="{00000000-0005-0000-0000-0000E8060000}"/>
    <cellStyle name="Zarez 2 6 2 2 4" xfId="1850" xr:uid="{00000000-0005-0000-0000-0000E9060000}"/>
    <cellStyle name="Zarez 2 6 2 3" xfId="1333" xr:uid="{00000000-0005-0000-0000-0000EA060000}"/>
    <cellStyle name="Zarez 2 6 2 4" xfId="1591" xr:uid="{00000000-0005-0000-0000-0000EB060000}"/>
    <cellStyle name="Zarez 2 6 2 5" xfId="1849" xr:uid="{00000000-0005-0000-0000-0000EC060000}"/>
    <cellStyle name="Zarez 2 6 3" xfId="1065" xr:uid="{00000000-0005-0000-0000-0000ED060000}"/>
    <cellStyle name="Zarez 2 6 3 2" xfId="1066" xr:uid="{00000000-0005-0000-0000-0000EE060000}"/>
    <cellStyle name="Zarez 2 6 3 2 2" xfId="1336" xr:uid="{00000000-0005-0000-0000-0000EF060000}"/>
    <cellStyle name="Zarez 2 6 3 2 3" xfId="1594" xr:uid="{00000000-0005-0000-0000-0000F0060000}"/>
    <cellStyle name="Zarez 2 6 3 2 4" xfId="1852" xr:uid="{00000000-0005-0000-0000-0000F1060000}"/>
    <cellStyle name="Zarez 2 6 3 3" xfId="1335" xr:uid="{00000000-0005-0000-0000-0000F2060000}"/>
    <cellStyle name="Zarez 2 6 3 4" xfId="1593" xr:uid="{00000000-0005-0000-0000-0000F3060000}"/>
    <cellStyle name="Zarez 2 6 3 5" xfId="1851" xr:uid="{00000000-0005-0000-0000-0000F4060000}"/>
    <cellStyle name="Zarez 2 6 4" xfId="1067" xr:uid="{00000000-0005-0000-0000-0000F5060000}"/>
    <cellStyle name="Zarez 2 6 4 2" xfId="1337" xr:uid="{00000000-0005-0000-0000-0000F6060000}"/>
    <cellStyle name="Zarez 2 6 4 3" xfId="1595" xr:uid="{00000000-0005-0000-0000-0000F7060000}"/>
    <cellStyle name="Zarez 2 6 4 4" xfId="1853" xr:uid="{00000000-0005-0000-0000-0000F8060000}"/>
    <cellStyle name="Zarez 2 6 5" xfId="1332" xr:uid="{00000000-0005-0000-0000-0000F9060000}"/>
    <cellStyle name="Zarez 2 6 6" xfId="1590" xr:uid="{00000000-0005-0000-0000-0000FA060000}"/>
    <cellStyle name="Zarez 2 6 7" xfId="1848" xr:uid="{00000000-0005-0000-0000-0000FB060000}"/>
    <cellStyle name="Zarez 2 7" xfId="1068" xr:uid="{00000000-0005-0000-0000-0000FC060000}"/>
    <cellStyle name="Zarez 2 7 2" xfId="1069" xr:uid="{00000000-0005-0000-0000-0000FD060000}"/>
    <cellStyle name="Zarez 2 7 2 2" xfId="1070" xr:uid="{00000000-0005-0000-0000-0000FE060000}"/>
    <cellStyle name="Zarez 2 7 2 2 2" xfId="1340" xr:uid="{00000000-0005-0000-0000-0000FF060000}"/>
    <cellStyle name="Zarez 2 7 2 2 3" xfId="1598" xr:uid="{00000000-0005-0000-0000-000000070000}"/>
    <cellStyle name="Zarez 2 7 2 2 4" xfId="1856" xr:uid="{00000000-0005-0000-0000-000001070000}"/>
    <cellStyle name="Zarez 2 7 2 3" xfId="1339" xr:uid="{00000000-0005-0000-0000-000002070000}"/>
    <cellStyle name="Zarez 2 7 2 4" xfId="1597" xr:uid="{00000000-0005-0000-0000-000003070000}"/>
    <cellStyle name="Zarez 2 7 2 5" xfId="1855" xr:uid="{00000000-0005-0000-0000-000004070000}"/>
    <cellStyle name="Zarez 2 7 3" xfId="1071" xr:uid="{00000000-0005-0000-0000-000005070000}"/>
    <cellStyle name="Zarez 2 7 3 2" xfId="1072" xr:uid="{00000000-0005-0000-0000-000006070000}"/>
    <cellStyle name="Zarez 2 7 3 2 2" xfId="1342" xr:uid="{00000000-0005-0000-0000-000007070000}"/>
    <cellStyle name="Zarez 2 7 3 2 3" xfId="1600" xr:uid="{00000000-0005-0000-0000-000008070000}"/>
    <cellStyle name="Zarez 2 7 3 2 4" xfId="1858" xr:uid="{00000000-0005-0000-0000-000009070000}"/>
    <cellStyle name="Zarez 2 7 3 3" xfId="1341" xr:uid="{00000000-0005-0000-0000-00000A070000}"/>
    <cellStyle name="Zarez 2 7 3 4" xfId="1599" xr:uid="{00000000-0005-0000-0000-00000B070000}"/>
    <cellStyle name="Zarez 2 7 3 5" xfId="1857" xr:uid="{00000000-0005-0000-0000-00000C070000}"/>
    <cellStyle name="Zarez 2 7 4" xfId="1073" xr:uid="{00000000-0005-0000-0000-00000D070000}"/>
    <cellStyle name="Zarez 2 7 4 2" xfId="1343" xr:uid="{00000000-0005-0000-0000-00000E070000}"/>
    <cellStyle name="Zarez 2 7 4 3" xfId="1601" xr:uid="{00000000-0005-0000-0000-00000F070000}"/>
    <cellStyle name="Zarez 2 7 4 4" xfId="1859" xr:uid="{00000000-0005-0000-0000-000010070000}"/>
    <cellStyle name="Zarez 2 7 5" xfId="1338" xr:uid="{00000000-0005-0000-0000-000011070000}"/>
    <cellStyle name="Zarez 2 7 6" xfId="1596" xr:uid="{00000000-0005-0000-0000-000012070000}"/>
    <cellStyle name="Zarez 2 7 7" xfId="1854" xr:uid="{00000000-0005-0000-0000-000013070000}"/>
    <cellStyle name="Zarez 2 8" xfId="1074" xr:uid="{00000000-0005-0000-0000-000014070000}"/>
    <cellStyle name="Zarez 2 8 2" xfId="1075" xr:uid="{00000000-0005-0000-0000-000015070000}"/>
    <cellStyle name="Zarez 2 8 2 2" xfId="1076" xr:uid="{00000000-0005-0000-0000-000016070000}"/>
    <cellStyle name="Zarez 2 8 2 2 2" xfId="1346" xr:uid="{00000000-0005-0000-0000-000017070000}"/>
    <cellStyle name="Zarez 2 8 2 2 3" xfId="1604" xr:uid="{00000000-0005-0000-0000-000018070000}"/>
    <cellStyle name="Zarez 2 8 2 2 4" xfId="1862" xr:uid="{00000000-0005-0000-0000-000019070000}"/>
    <cellStyle name="Zarez 2 8 2 3" xfId="1345" xr:uid="{00000000-0005-0000-0000-00001A070000}"/>
    <cellStyle name="Zarez 2 8 2 4" xfId="1603" xr:uid="{00000000-0005-0000-0000-00001B070000}"/>
    <cellStyle name="Zarez 2 8 2 5" xfId="1861" xr:uid="{00000000-0005-0000-0000-00001C070000}"/>
    <cellStyle name="Zarez 2 8 3" xfId="1077" xr:uid="{00000000-0005-0000-0000-00001D070000}"/>
    <cellStyle name="Zarez 2 8 3 2" xfId="1078" xr:uid="{00000000-0005-0000-0000-00001E070000}"/>
    <cellStyle name="Zarez 2 8 3 2 2" xfId="1348" xr:uid="{00000000-0005-0000-0000-00001F070000}"/>
    <cellStyle name="Zarez 2 8 3 2 3" xfId="1606" xr:uid="{00000000-0005-0000-0000-000020070000}"/>
    <cellStyle name="Zarez 2 8 3 2 4" xfId="1864" xr:uid="{00000000-0005-0000-0000-000021070000}"/>
    <cellStyle name="Zarez 2 8 3 3" xfId="1347" xr:uid="{00000000-0005-0000-0000-000022070000}"/>
    <cellStyle name="Zarez 2 8 3 4" xfId="1605" xr:uid="{00000000-0005-0000-0000-000023070000}"/>
    <cellStyle name="Zarez 2 8 3 5" xfId="1863" xr:uid="{00000000-0005-0000-0000-000024070000}"/>
    <cellStyle name="Zarez 2 8 4" xfId="1079" xr:uid="{00000000-0005-0000-0000-000025070000}"/>
    <cellStyle name="Zarez 2 8 4 2" xfId="1349" xr:uid="{00000000-0005-0000-0000-000026070000}"/>
    <cellStyle name="Zarez 2 8 4 3" xfId="1607" xr:uid="{00000000-0005-0000-0000-000027070000}"/>
    <cellStyle name="Zarez 2 8 4 4" xfId="1865" xr:uid="{00000000-0005-0000-0000-000028070000}"/>
    <cellStyle name="Zarez 2 8 5" xfId="1344" xr:uid="{00000000-0005-0000-0000-000029070000}"/>
    <cellStyle name="Zarez 2 8 6" xfId="1602" xr:uid="{00000000-0005-0000-0000-00002A070000}"/>
    <cellStyle name="Zarez 2 8 7" xfId="1860" xr:uid="{00000000-0005-0000-0000-00002B070000}"/>
    <cellStyle name="Zarez 2 9" xfId="1080" xr:uid="{00000000-0005-0000-0000-00002C070000}"/>
    <cellStyle name="Zarez 2 9 2" xfId="1081" xr:uid="{00000000-0005-0000-0000-00002D070000}"/>
    <cellStyle name="Zarez 2 9 2 2" xfId="1082" xr:uid="{00000000-0005-0000-0000-00002E070000}"/>
    <cellStyle name="Zarez 2 9 2 2 2" xfId="1352" xr:uid="{00000000-0005-0000-0000-00002F070000}"/>
    <cellStyle name="Zarez 2 9 2 2 3" xfId="1610" xr:uid="{00000000-0005-0000-0000-000030070000}"/>
    <cellStyle name="Zarez 2 9 2 2 4" xfId="1868" xr:uid="{00000000-0005-0000-0000-000031070000}"/>
    <cellStyle name="Zarez 2 9 2 3" xfId="1351" xr:uid="{00000000-0005-0000-0000-000032070000}"/>
    <cellStyle name="Zarez 2 9 2 4" xfId="1609" xr:uid="{00000000-0005-0000-0000-000033070000}"/>
    <cellStyle name="Zarez 2 9 2 5" xfId="1867" xr:uid="{00000000-0005-0000-0000-000034070000}"/>
    <cellStyle name="Zarez 2 9 3" xfId="1083" xr:uid="{00000000-0005-0000-0000-000035070000}"/>
    <cellStyle name="Zarez 2 9 3 2" xfId="1084" xr:uid="{00000000-0005-0000-0000-000036070000}"/>
    <cellStyle name="Zarez 2 9 3 2 2" xfId="1354" xr:uid="{00000000-0005-0000-0000-000037070000}"/>
    <cellStyle name="Zarez 2 9 3 2 3" xfId="1612" xr:uid="{00000000-0005-0000-0000-000038070000}"/>
    <cellStyle name="Zarez 2 9 3 2 4" xfId="1870" xr:uid="{00000000-0005-0000-0000-000039070000}"/>
    <cellStyle name="Zarez 2 9 3 3" xfId="1353" xr:uid="{00000000-0005-0000-0000-00003A070000}"/>
    <cellStyle name="Zarez 2 9 3 4" xfId="1611" xr:uid="{00000000-0005-0000-0000-00003B070000}"/>
    <cellStyle name="Zarez 2 9 3 5" xfId="1869" xr:uid="{00000000-0005-0000-0000-00003C070000}"/>
    <cellStyle name="Zarez 2 9 4" xfId="1085" xr:uid="{00000000-0005-0000-0000-00003D070000}"/>
    <cellStyle name="Zarez 2 9 4 2" xfId="1355" xr:uid="{00000000-0005-0000-0000-00003E070000}"/>
    <cellStyle name="Zarez 2 9 4 3" xfId="1613" xr:uid="{00000000-0005-0000-0000-00003F070000}"/>
    <cellStyle name="Zarez 2 9 4 4" xfId="1871" xr:uid="{00000000-0005-0000-0000-000040070000}"/>
    <cellStyle name="Zarez 2 9 5" xfId="1350" xr:uid="{00000000-0005-0000-0000-000041070000}"/>
    <cellStyle name="Zarez 2 9 6" xfId="1608" xr:uid="{00000000-0005-0000-0000-000042070000}"/>
    <cellStyle name="Zarez 2 9 7" xfId="1866" xr:uid="{00000000-0005-0000-0000-000043070000}"/>
    <cellStyle name="Zarez 3" xfId="65" xr:uid="{00000000-0005-0000-0000-000044070000}"/>
    <cellStyle name="Zarez 3 2" xfId="1087" xr:uid="{00000000-0005-0000-0000-000045070000}"/>
    <cellStyle name="Zarez 3 2 2" xfId="1088" xr:uid="{00000000-0005-0000-0000-000046070000}"/>
    <cellStyle name="Zarez 3 2 2 2" xfId="1358" xr:uid="{00000000-0005-0000-0000-000047070000}"/>
    <cellStyle name="Zarez 3 2 2 3" xfId="1616" xr:uid="{00000000-0005-0000-0000-000048070000}"/>
    <cellStyle name="Zarez 3 2 2 4" xfId="1874" xr:uid="{00000000-0005-0000-0000-000049070000}"/>
    <cellStyle name="Zarez 3 2 3" xfId="1357" xr:uid="{00000000-0005-0000-0000-00004A070000}"/>
    <cellStyle name="Zarez 3 2 4" xfId="1615" xr:uid="{00000000-0005-0000-0000-00004B070000}"/>
    <cellStyle name="Zarez 3 2 5" xfId="1873" xr:uid="{00000000-0005-0000-0000-00004C070000}"/>
    <cellStyle name="Zarez 3 3" xfId="1086" xr:uid="{00000000-0005-0000-0000-00004D070000}"/>
    <cellStyle name="Zarez 3 3 2" xfId="1356" xr:uid="{00000000-0005-0000-0000-00004E070000}"/>
    <cellStyle name="Zarez 3 3 3" xfId="1614" xr:uid="{00000000-0005-0000-0000-00004F070000}"/>
    <cellStyle name="Zarez 3 3 4" xfId="1872" xr:uid="{00000000-0005-0000-0000-000050070000}"/>
    <cellStyle name="Zarez 4" xfId="74" xr:uid="{00000000-0005-0000-0000-000051070000}"/>
    <cellStyle name="Zarez 4 2" xfId="1089" xr:uid="{00000000-0005-0000-0000-000052070000}"/>
    <cellStyle name="Zarez 4 2 2" xfId="1359" xr:uid="{00000000-0005-0000-0000-000053070000}"/>
    <cellStyle name="Zarez 4 2 3" xfId="1617" xr:uid="{00000000-0005-0000-0000-000054070000}"/>
    <cellStyle name="Zarez 4 2 4" xfId="1875" xr:uid="{00000000-0005-0000-0000-000055070000}"/>
    <cellStyle name="Zarez 4 3" xfId="1105" xr:uid="{00000000-0005-0000-0000-000056070000}"/>
    <cellStyle name="Zarez 5" xfId="1090" xr:uid="{00000000-0005-0000-0000-000057070000}"/>
    <cellStyle name="Zarez 5 2" xfId="1091" xr:uid="{00000000-0005-0000-0000-000058070000}"/>
    <cellStyle name="Zarez 5 2 2" xfId="1361" xr:uid="{00000000-0005-0000-0000-000059070000}"/>
    <cellStyle name="Zarez 5 2 3" xfId="1619" xr:uid="{00000000-0005-0000-0000-00005A070000}"/>
    <cellStyle name="Zarez 5 2 4" xfId="1877" xr:uid="{00000000-0005-0000-0000-00005B070000}"/>
    <cellStyle name="Zarez 5 3" xfId="1360" xr:uid="{00000000-0005-0000-0000-00005C070000}"/>
    <cellStyle name="Zarez 5 4" xfId="1618" xr:uid="{00000000-0005-0000-0000-00005D070000}"/>
    <cellStyle name="Zarez 5 5" xfId="1876" xr:uid="{00000000-0005-0000-0000-00005E070000}"/>
    <cellStyle name="Zarez 6" xfId="1094" xr:uid="{00000000-0005-0000-0000-00005F070000}"/>
    <cellStyle name="Zarez 6 2" xfId="1362" xr:uid="{00000000-0005-0000-0000-000060070000}"/>
    <cellStyle name="Zelle überprüfen" xfId="1092" xr:uid="{00000000-0005-0000-0000-000061070000}"/>
    <cellStyle name="ZI _HEADING" xfId="1883" xr:uid="{00000000-0005-0000-0000-000062070000}"/>
    <cellStyle name="ZI_glavni tekst" xfId="1884" xr:uid="{00000000-0005-0000-0000-000063070000}"/>
    <cellStyle name="ZI_HEADING 2" xfId="1885" xr:uid="{00000000-0005-0000-0000-000064070000}"/>
  </cellStyles>
  <dxfs count="1">
    <dxf>
      <font>
        <condense val="0"/>
        <extend val="0"/>
        <color auto="1"/>
      </font>
    </dxf>
  </dxfs>
  <tableStyles count="0" defaultTableStyle="TableStyleMedium9" defaultPivotStyle="PivotStyleLight16"/>
  <colors>
    <mruColors>
      <color rgb="FF0069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2" Type="http://schemas.openxmlformats.org/officeDocument/2006/relationships/image" Target="http://www.babic.hr/images/navig/nadoknada.gif" TargetMode="External"/><Relationship Id="rId1" Type="http://schemas.openxmlformats.org/officeDocument/2006/relationships/image" Target="../media/image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png"/><Relationship Id="rId1" Type="http://schemas.openxmlformats.org/officeDocument/2006/relationships/image" Target="../media/image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18317</xdr:colOff>
      <xdr:row>25</xdr:row>
      <xdr:rowOff>141409</xdr:rowOff>
    </xdr:from>
    <xdr:to>
      <xdr:col>1</xdr:col>
      <xdr:colOff>2979957</xdr:colOff>
      <xdr:row>30</xdr:row>
      <xdr:rowOff>60471</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9317" y="10252563"/>
          <a:ext cx="2961640" cy="834927"/>
        </a:xfrm>
        <a:prstGeom prst="rect">
          <a:avLst/>
        </a:prstGeom>
      </xdr:spPr>
    </xdr:pic>
    <xdr:clientData/>
  </xdr:twoCellAnchor>
  <xdr:twoCellAnchor editAs="oneCell">
    <xdr:from>
      <xdr:col>1</xdr:col>
      <xdr:colOff>40298</xdr:colOff>
      <xdr:row>20</xdr:row>
      <xdr:rowOff>492369</xdr:rowOff>
    </xdr:from>
    <xdr:to>
      <xdr:col>1</xdr:col>
      <xdr:colOff>1601128</xdr:colOff>
      <xdr:row>24</xdr:row>
      <xdr:rowOff>122751</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1298" y="9020907"/>
          <a:ext cx="1560830" cy="1029824"/>
        </a:xfrm>
        <a:prstGeom prst="rect">
          <a:avLst/>
        </a:prstGeom>
      </xdr:spPr>
    </xdr:pic>
    <xdr:clientData/>
  </xdr:twoCellAnchor>
  <xdr:twoCellAnchor editAs="oneCell">
    <xdr:from>
      <xdr:col>2</xdr:col>
      <xdr:colOff>1568824</xdr:colOff>
      <xdr:row>20</xdr:row>
      <xdr:rowOff>336177</xdr:rowOff>
    </xdr:from>
    <xdr:to>
      <xdr:col>4</xdr:col>
      <xdr:colOff>427505</xdr:colOff>
      <xdr:row>25</xdr:row>
      <xdr:rowOff>148478</xdr:rowOff>
    </xdr:to>
    <xdr:pic>
      <xdr:nvPicPr>
        <xdr:cNvPr id="4" name="Picture 3" descr="scan_komora">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390030" y="8975912"/>
          <a:ext cx="2679887" cy="138112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0300-000002000000}"/>
            </a:ext>
          </a:extLst>
        </xdr:cNvPr>
        <xdr:cNvSpPr txBox="1"/>
      </xdr:nvSpPr>
      <xdr:spPr>
        <a:xfrm>
          <a:off x="1581150" y="80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0400-000002000000}"/>
            </a:ext>
          </a:extLst>
        </xdr:cNvPr>
        <xdr:cNvSpPr txBox="1"/>
      </xdr:nvSpPr>
      <xdr:spPr>
        <a:xfrm>
          <a:off x="1657350" y="333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0500-000002000000}"/>
            </a:ext>
          </a:extLst>
        </xdr:cNvPr>
        <xdr:cNvSpPr txBox="1"/>
      </xdr:nvSpPr>
      <xdr:spPr>
        <a:xfrm>
          <a:off x="165735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0600-000002000000}"/>
            </a:ext>
          </a:extLst>
        </xdr:cNvPr>
        <xdr:cNvSpPr txBox="1"/>
      </xdr:nvSpPr>
      <xdr:spPr>
        <a:xfrm>
          <a:off x="171450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0700-000002000000}"/>
            </a:ext>
          </a:extLst>
        </xdr:cNvPr>
        <xdr:cNvSpPr txBox="1"/>
      </xdr:nvSpPr>
      <xdr:spPr>
        <a:xfrm>
          <a:off x="161925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0800-000002000000}"/>
            </a:ext>
          </a:extLst>
        </xdr:cNvPr>
        <xdr:cNvSpPr txBox="1"/>
      </xdr:nvSpPr>
      <xdr:spPr>
        <a:xfrm>
          <a:off x="161925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0900-000002000000}"/>
            </a:ext>
          </a:extLst>
        </xdr:cNvPr>
        <xdr:cNvSpPr txBox="1"/>
      </xdr:nvSpPr>
      <xdr:spPr>
        <a:xfrm>
          <a:off x="186690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0A00-000002000000}"/>
            </a:ext>
          </a:extLst>
        </xdr:cNvPr>
        <xdr:cNvSpPr txBox="1"/>
      </xdr:nvSpPr>
      <xdr:spPr>
        <a:xfrm>
          <a:off x="1895475"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0B00-000002000000}"/>
            </a:ext>
          </a:extLst>
        </xdr:cNvPr>
        <xdr:cNvSpPr txBox="1"/>
      </xdr:nvSpPr>
      <xdr:spPr>
        <a:xfrm>
          <a:off x="1584325"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0C00-000002000000}"/>
            </a:ext>
          </a:extLst>
        </xdr:cNvPr>
        <xdr:cNvSpPr txBox="1"/>
      </xdr:nvSpPr>
      <xdr:spPr>
        <a:xfrm>
          <a:off x="1717675"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0D00-000002000000}"/>
            </a:ext>
          </a:extLst>
        </xdr:cNvPr>
        <xdr:cNvSpPr txBox="1"/>
      </xdr:nvSpPr>
      <xdr:spPr>
        <a:xfrm>
          <a:off x="1704975"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0E00-000002000000}"/>
            </a:ext>
          </a:extLst>
        </xdr:cNvPr>
        <xdr:cNvSpPr txBox="1"/>
      </xdr:nvSpPr>
      <xdr:spPr>
        <a:xfrm>
          <a:off x="1724025"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0F00-000002000000}"/>
            </a:ext>
          </a:extLst>
        </xdr:cNvPr>
        <xdr:cNvSpPr txBox="1"/>
      </xdr:nvSpPr>
      <xdr:spPr>
        <a:xfrm>
          <a:off x="1704975"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1000-000002000000}"/>
            </a:ext>
          </a:extLst>
        </xdr:cNvPr>
        <xdr:cNvSpPr txBox="1"/>
      </xdr:nvSpPr>
      <xdr:spPr>
        <a:xfrm>
          <a:off x="1685925"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1100-000002000000}"/>
            </a:ext>
          </a:extLst>
        </xdr:cNvPr>
        <xdr:cNvSpPr txBox="1"/>
      </xdr:nvSpPr>
      <xdr:spPr>
        <a:xfrm>
          <a:off x="1704975"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1200-000002000000}"/>
            </a:ext>
          </a:extLst>
        </xdr:cNvPr>
        <xdr:cNvSpPr txBox="1"/>
      </xdr:nvSpPr>
      <xdr:spPr>
        <a:xfrm>
          <a:off x="1724025"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1300-000002000000}"/>
            </a:ext>
          </a:extLst>
        </xdr:cNvPr>
        <xdr:cNvSpPr txBox="1"/>
      </xdr:nvSpPr>
      <xdr:spPr>
        <a:xfrm>
          <a:off x="1895475" y="35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1400-000002000000}"/>
            </a:ext>
          </a:extLst>
        </xdr:cNvPr>
        <xdr:cNvSpPr txBox="1"/>
      </xdr:nvSpPr>
      <xdr:spPr>
        <a:xfrm>
          <a:off x="1736725"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1</xdr:col>
      <xdr:colOff>1247775</xdr:colOff>
      <xdr:row>6</xdr:row>
      <xdr:rowOff>0</xdr:rowOff>
    </xdr:from>
    <xdr:ext cx="184731" cy="264560"/>
    <xdr:sp macro="" textlink="">
      <xdr:nvSpPr>
        <xdr:cNvPr id="2" name="TekstniOkvir 1">
          <a:extLst>
            <a:ext uri="{FF2B5EF4-FFF2-40B4-BE49-F238E27FC236}">
              <a16:creationId xmlns:a16="http://schemas.microsoft.com/office/drawing/2014/main" id="{00000000-0008-0000-1500-000002000000}"/>
            </a:ext>
          </a:extLst>
        </xdr:cNvPr>
        <xdr:cNvSpPr txBox="1"/>
      </xdr:nvSpPr>
      <xdr:spPr>
        <a:xfrm>
          <a:off x="171450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1700-000002000000}"/>
            </a:ext>
          </a:extLst>
        </xdr:cNvPr>
        <xdr:cNvSpPr txBox="1"/>
      </xdr:nvSpPr>
      <xdr:spPr>
        <a:xfrm>
          <a:off x="1889125"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1B00-000002000000}"/>
            </a:ext>
          </a:extLst>
        </xdr:cNvPr>
        <xdr:cNvSpPr txBox="1"/>
      </xdr:nvSpPr>
      <xdr:spPr>
        <a:xfrm>
          <a:off x="1581150" y="80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23.xml><?xml version="1.0" encoding="utf-8"?>
<xdr:wsDr xmlns:xdr="http://schemas.openxmlformats.org/drawingml/2006/spreadsheetDrawing" xmlns:a="http://schemas.openxmlformats.org/drawingml/2006/main">
  <xdr:twoCellAnchor>
    <xdr:from>
      <xdr:col>1</xdr:col>
      <xdr:colOff>0</xdr:colOff>
      <xdr:row>56</xdr:row>
      <xdr:rowOff>0</xdr:rowOff>
    </xdr:from>
    <xdr:to>
      <xdr:col>1</xdr:col>
      <xdr:colOff>142875</xdr:colOff>
      <xdr:row>56</xdr:row>
      <xdr:rowOff>76200</xdr:rowOff>
    </xdr:to>
    <xdr:pic>
      <xdr:nvPicPr>
        <xdr:cNvPr id="4" name="Picture 3" descr="http://www.babic.hr/images/navig/nadoknada.gif">
          <a:extLst>
            <a:ext uri="{FF2B5EF4-FFF2-40B4-BE49-F238E27FC236}">
              <a16:creationId xmlns:a16="http://schemas.microsoft.com/office/drawing/2014/main" id="{00000000-0008-0000-1F00-000004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0231100"/>
          <a:ext cx="1428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48</xdr:row>
      <xdr:rowOff>0</xdr:rowOff>
    </xdr:from>
    <xdr:to>
      <xdr:col>1</xdr:col>
      <xdr:colOff>142875</xdr:colOff>
      <xdr:row>48</xdr:row>
      <xdr:rowOff>76200</xdr:rowOff>
    </xdr:to>
    <xdr:pic>
      <xdr:nvPicPr>
        <xdr:cNvPr id="5" name="Picture 3" descr="http://www.babic.hr/images/navig/nadoknada.gif">
          <a:extLst>
            <a:ext uri="{FF2B5EF4-FFF2-40B4-BE49-F238E27FC236}">
              <a16:creationId xmlns:a16="http://schemas.microsoft.com/office/drawing/2014/main" id="{00000000-0008-0000-1F00-000005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609600" y="18011775"/>
          <a:ext cx="1428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5</xdr:col>
      <xdr:colOff>1333500</xdr:colOff>
      <xdr:row>0</xdr:row>
      <xdr:rowOff>976093</xdr:rowOff>
    </xdr:to>
    <xdr:pic>
      <xdr:nvPicPr>
        <xdr:cNvPr id="2" name="Slika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28575" y="9525"/>
          <a:ext cx="6581775" cy="554612"/>
        </a:xfrm>
        <a:prstGeom prst="rect">
          <a:avLst/>
        </a:prstGeom>
      </xdr:spPr>
    </xdr:pic>
    <xdr:clientData/>
  </xdr:twoCellAnchor>
  <xdr:twoCellAnchor editAs="oneCell">
    <xdr:from>
      <xdr:col>0</xdr:col>
      <xdr:colOff>28575</xdr:colOff>
      <xdr:row>0</xdr:row>
      <xdr:rowOff>9525</xdr:rowOff>
    </xdr:from>
    <xdr:to>
      <xdr:col>5</xdr:col>
      <xdr:colOff>1320311</xdr:colOff>
      <xdr:row>0</xdr:row>
      <xdr:rowOff>979574</xdr:rowOff>
    </xdr:to>
    <xdr:pic>
      <xdr:nvPicPr>
        <xdr:cNvPr id="3" name="Slika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a:stretch>
          <a:fillRect/>
        </a:stretch>
      </xdr:blipFill>
      <xdr:spPr>
        <a:xfrm>
          <a:off x="28575" y="9525"/>
          <a:ext cx="6581775" cy="554612"/>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6</xdr:col>
      <xdr:colOff>304800</xdr:colOff>
      <xdr:row>3</xdr:row>
      <xdr:rowOff>44440</xdr:rowOff>
    </xdr:to>
    <xdr:sp macro="" textlink="">
      <xdr:nvSpPr>
        <xdr:cNvPr id="2" name="AutoShape 525" descr="data:image/jpeg;base64,/9j/4AAQSkZJRgABAQAAAQABAAD/2wCEAAkGBxQSEhUUEBQWFBUVFBUXFRYYFBUVFRcVFhQXFhQVFxQYHCggGBolHBQUIjIhJSkrLi4uFx8zODMsNygtLisBCgoKDQ0OFA8PFCwZFBksLCwrLCwsLCwrLDc3NywrLDcrLCwsNywsKyssKysrLCsrLCwrKysrKysrNysrKysrK//AABEIALgBEQMBIgACEQEDEQH/xAAcAAABBQEBAQAAAAAAAAAAAAAAAQIFBgcDBAj/xABHEAABAwICBgYHBAgFAwUAAAABAAIRAyESMQQFIkFRcQYTMkJhgRQjUoKRobEHM3LBFSQ0Q2KD0fBTc5KTskTh8RYlosLD/8QAFgEBAQEAAAAAAAAAAAAAAAAAAAEC/8QAHBEBAQEBAAIDAAAAAAAAAAAAAAERQQJhEiEx/9oADAMBAAIRAxEAPwDbjVbxHxSGu32h8VTdfacadOIOHES5wMECLbW6TZQA1zU4HEYsahtVdnT5Bu0pq4086Sz2gk9LZ7QWWu10d5GHOesfJpAjC7PNz7ckw6zqHcwPmO08jrSJqd7JrPmppjVPTWe0E06wp+0ssOsTmA3DAMQ8k05IojPMuvyQ3TH3u2ZIJwGMbYOkPHgRDR4ppjUDrSl7X9nJMOuKXtDfvG7NZmNOqboGRjqx37UW+4LngnjTXxm6OGFtwwwRzqOuOIV1caOddUuO8DMZkSPknUtasdGGTOULOPSKmWNwzBdsiJ2nv90bPNTOpdYYNp7jic6wLhs2syNxwifNTTIvOj1g8SOMLqorUulh42YLSMQPFSq1GQhCEAhCEAhCEAhCEAhCEAhebSdOYzMyeAzUTpOtHOy2R8/igmK+lNZ2iPzUbpGufYHmf6KJc7imErOrj0VdOe7Nx+i87qp3krk+ovPUrIO7qyZ6W4GQ4jzXlc9NlBetU6X1tIOOeR5he1ZrW1hVpACm9zROQO/+wn6FruuTBquPmmmNHQqS3WdX/Ed8V7qOnVWYHOcS114N7TB5K6i0IXk9PZxQgpfSj7qSJAd2YkuO4RvvBVXe05EnMtLsIG1nVr57xsSrR0n+7EHaxHDJMC1yY8JVUc1kbsIaLQZNAO2G/idUvyUaDZzwnc4MtvtToR4dspxAiC44YgvxCcAMuqzGbnbCGMM5gPxEE4bddANWpyDNlPbGEEMJbDTgw3LMqVKPB22gUTN4DsRMYhAqOEFnJjNrmkAA8Ww2LmTTafUn8T35+C6AEZknMF1hcXqVveOwE6TmBeZwy2znCBT5U27SBoHtRO3J2okidKPkIAXQDgBMtizrOI/V58GtufFDDa1xA7wu1p9Ubb6js0rDniNtuTiORM6QbezZoQIIAylsExguWB0Obze+/ILqGGfGSC7CO3E1KgvlhhgTJJMiMWIESXQKhb6ochTknxSsw2gS3CIsSTSxRTF95qXPggvnRgjC2G4BgEN9kWgKeUH0dDgBjMuwbRGRO9TisZoQhCoEIQgEIQgEIUJrzpFT0c4STiibNc4DnAU0S1eu1glxhQ+l60LrN2R81WK/Syi4y5zifwlMHSfR97nD3Hx8YU1cTLnJpK8uhaxpVgTSeHAZxu5jcnVdIAyRXVzl5qlfguD6pKYgc55KYhJKIEJEIrzawGxyK8OivhwUjpYljuRUHRq3Cgueq9DNZ2EGLTKl9caHgo07zh2ec3Ve0HSXNhzCQYzCktK1k6q1rXbvmeJVRyxoS4PBIg8nSr7q9mk7TgYLR4HdOXmq0XOJFodixAYzAqkENp8ms2uas/Sj7rLEA7sRJedwjfe/kqwWnLEd7S6Gi+dSv59iUVJjVNLC2XVHNdSAkCdhpDiPEudC9DdApTMvnFM4QNpwwl2e5tvBejTYOitIGEgMLGzEO7oPATEqsSI7QIh4BlxOHPSXfGwQT40KgBk6IaIlo2WnYbnvJkcUdRQGYdN5PWMF3XrOzzixVem+QmWWh3aMDRhnuFylDBGUiHScLrsafX+b3WHggsLXUBky9iB1jM8qTfhccEvpGjjutjjjthZd5gDLFY8SoGDugOkCcIjG4bB5U25+KVkezaJDYb2WmAzm9214hBO+k0csLJOzHWP7T9qJ/Ded2Sd+kaGYDI7Y7Z2fu2mOJNoUFgNwXHeC8Yd96lXy7C6tnOCDIIbIEOIhtLk1u2gsFDXrWANYWtiW2Do2BiqeQHzUlqvXBqujE7cSYIADrtHOFTQRHalsC+O5Y0+rdlnUfY+C9mjaaacxh7RJOIza+kZezkEGi6BUu4Eze3Je1Vzo1Ue7C6pEkEiPZPZz3xCsasZoQhCoEIQg46XVwMc72Wk/ASvmbWmsH1aj3ucSXOJueJX0H010nq9B0h2/qnAczYfVfNtR11OtQOrHiubq7hMEjxSFc64seSovf2ePeNI0llQy4AScpIMZDmrtKpXRC2sdLA4H/k1XRSoEkoQooSIQiBJKEIGvEg8iqsx0EjxVqXi6a6A2lUp1GCG1mBxH8Qzj4hKr1avfLArNqnU/WND3GATYDeB4qo6lqSxaPqP7hnI/UpEdvQWeyhelC0ihdJewI7WI4ZmAYuTHhKq4DYEDZwggYTeiHQxl+8X35K0dJ/ujNmztumCB4HdJt5quYjO4OxW2jArEWZ+FrL81lpYdYB3ooB7Ra0Fw7s5uHJVUutk6LGC8ZNPqm5fvDcqz6eB6GMJlga2ZklzB2hxM5KuAGMtqW9wdtw9Wc/3bboOXn7QJxDN0HSH+4LBPbugDuECTmLaK3ke0UjW2ydEcANlpuP5rv7K7MY42MgmbyLOcJe7L922wQMa0REjDD77U4AZ0l3MusF1wmd2LENxIFUt9V5NZn4pWsO5pPZIbI3Wos5P7RXT0ZxtDo2mk7U4Jms62/FsjwQcmtbFhLYkNw3NMGMF97n35LqGGYm8kF2EdrOrU5EQwLrT0WrmGHFIOT4FQiGe61nzT2ateP3ZgCAMJnq2mWNv3i/aPgg85ncCMiG2F3CGM/lCXJ7DzOUAuF8J2B/NNzyXcarqnNhmTLsIzN6zhfvCGhdG6sq+zBtHZEF1qZz/dt+JKCz9FAAGw7F2pMztTtCeANvJWZVnULurDcYwYQRmDMd4xxz81N/pFnFWJXrQuNHSWuMNXZVAhCEFN+1nSMGr3j2nsb/8AKfyWAOW1fbhXw6HSA71YfANP9Vijkan4am1eyUpSOyPJBdehz/8A3Gv/ABMn44SryVnnQSrOnOPGiP8Ai1aEVKFSIQoBIhCASLoylK7BgCDzBhXj6c6WHM0VgN203E+ZAH/FShVf6VaPZtQbtk8jklDtQPsQtQ1F9wzl+ayXUVaDHFaR0U0qQWHdcfmkSrEhCFpFE6R/dznDuxE4juH5+SrThuLjvaXS0WzqVvMwxWXpGNiBZxdsk5C1yRylVg4YsCRhBDcBvTmGUr94u2j4LLSw6wM6K0xhMMLWzG1IwAxumFWGhsZiNu9zbPST5nZCtWnh3ooBucLQXCLcXjhF1WJtvA2TGPc0+pbb/EdcoLBogLdHZUIjDtBoAkt/dtPiBC8w107+OMRbOFgGWJ1X8Is1e7V7T6KcJl0PJJMgPk4hPAGR5KqYmxkMOEmIcSdHDjIz7TqnyQTh6Qv9l8xiDcTRcmGU8syNpczrt2UujLF1jew2C+p8dlRBY6YtjxROEwKxE4/wtZbmlYBhkNOCAQ3Dfq5htLm521yQSv6YqHccR7vW/vHCzPJm0mfpY+7GeNxmk0w13Nz7cl4Aw5F3FpfDe1E1Kw8ANgFPAvIbwIbsjO1Oj7o24Qev9J1MtkOkg3eR1kTW8ms+aVus3HLD3SBDjZ0jRxz3leQNEXJwxGLEJLWkHHzqP2fELrHEwdqdo2c4eu3ZU25eKDuNPd4ZGYZm1h9dv7zoAUjqnSX4yXmw7WyGy43F+DWwFDg5RGbMILidoW0ZptvEuKUBscWweJJp4vWeZqWHgmLrQ9A04OqSMzDSLW4ZKZVM6Ji9xt9Z6wwQC+B2Z3AQFc1YzQhCFUZb9uVaGaOIm9QxyDR+ax0mbrW/tydtaMPCofm1ZbptPJ7ey75O3hGuPIh2SUpr0RPfZq+dMv8A4bh8AtQKyr7NP2z3H/RaqVKoSIQoBdaTN5XIL0ZIHkphKaSkJQKSvDreljovHhPwuvXKZVuCPAoKhoFSCCr90e0nDUYeMA+dln7KeGDmD2TxgwrbqirstPCFIVpqF4PT28ULTKq9JI6o4rNnaMxbn4mAqy6Z7uLFxJiuRcfhaz5q86TSa4HFB2uyR5yoTXOqy9wwAw8YXRAgdpzgfaMAKNHaYB6IMJ2AxvElzREt5nLzVeaw7859lo2nDZ/22qyawH6s3EIcAyGzYPkYQSN0wq1AjMRDhMOyF9IPmbBBYtEw+iHNjcLhO8ie355+arO1n3sQcG47dbBDKWXZDdpWbRzGiEvGLZJDQMmnstjwEfBVkNMEYjvbjwgQ4yX1s+6Iag44W5E7GEicRnqQZqP/ABF+zyXenJPdFTFltQKxaMIz7LafzXXRNFfUJwNnCA8tLmtAAtTpGRke2V66ep6hABIIs3F1jZLXbT327xOyPBBHtwxYSzDlhdJog7Lebql+S7YTPB0uBMfvImrUvuw7I8V7v0XU7U0w674xyA8bIFu61t+aX9Ebi+nhlrO26TT7TR+Jz78kHhp3uG22SG4W5G1Gn7vbKcBzI8rhp2jzqusvaNW2k1qeKHOkSRjNqzr7sIgcF1/RzAbVWC4aNich+rj3c/FBHv5kZg7URN6jv5Y2RzStccx2pBDS+2OIpMyywy8+K97NXU8zVtAJikbtB9aM++7Pkuo1a24NV87QkMI2jcu8m7KCV6KGzYjBi2Dvc3e4+JMq4KmatrMokluN1wQC2IBADWgeGalB0gvlGd93gc9+5JUxPoUfS01xwkgQ4x/YUgtIyT7ce3o/4an1aspLjETaclq/25Da0Y/w1Pq1ZPIUa4aSFzcuhg+C5uComvs2/bB+F/0WqlZX9nH7YPwv+i1MrNQJEIRSszXdxXBua6OKIQlNlIiUUSkJQmkqCk6v0kGlUBnY0l4HANcd3nNlc9VhoaMJOU3VQp0QxhbF3VHvdzJOH5Kw9HnE5+CuotHXFKvR6GeCFBZToVPPAEo0RgyaF3Qtop3SMbFQCwmCbbIm7vCBdU/FbL2bYuBIoNt7RuVceko2anCZIiS4T2QN85KoHF5z/ABicLn+U1ZaWDV/7KcBBdD5M2xycdzumVVhhAyGANmMJJNAEy2/ec/5K0aJB0S8sbhIneWjJ3iTn5quYjO7FiBALzAqwRTp23Bu0fFBM9GAcVUHwxmIxPMkxxAaWjyUdpNV7HuY3DsnCIZIxunqr/wDNSXRdgl8G0ANuZLQ4y4zvLsXkFEayjrX3GHaDZcbM/6h8DIgWCBHac/cT5Ux2aZ2/wDcOSQaZVJ7RByOy0DE8T8KTV5XchMsjM3y0Vv5lPYB4RD74TkI9Jdn3jYIO40p9zieRYxIFmWptyzqG6Q13ZF7o2gXYxk69Z/udkJrWmcodLe7bG4ep8qbc06BGRwwTGG5Y07TOdR1+SBxrPmQXEy0hpefvIijT5YZcUgIjMlkROJ0mkDLnc3VLck4NM3JBuC7ZABIBdV9wbCe07wLyCGy3OIZS5RtoEgzeA/EZu6BUI9d5NZAHiumjBoc2RaWWgmxP6u3yuSmkCLklsRixXLAZD+dR+zyS4s8RjtScTrEj9Y/0NsEIs+r9b43BgDr4iDEAYDhJz3nJXGgZaJ4D6LPej4PWGIjCMVySBA6kD3bnxK0HR+y3kPorErL/tzZs6M7gag+Ib/RY+B81tf240v1Wi7hVj4tP9FixVXhiR6ckOSonPs7bGmN/C/6LTys06Aj9cH+W76LSys0IhKkUAnEpqAVEKkQhFIudd8NJ4ArovBrqrhou8YHxKCtUrq2dHKU4RxcB8Sqto4V/wChei4nt4N2j+SkKu/o4Qu6FvGQhCFRVNd0S/GGxikls2GIXE+CqWn6AaVnRGEmQCdnOt7ziQAtB0jRKhLgAIcZmRK8mkakdUADxYOB7W8XHkstagtFcfRZcMRwk4IyByZHgIHkq6G2iTmQXbIg5vreQhoVx0rQeppvYyxhxkmbm5M+apoAjs7OGYwkk0QTsX3uffkgnOjR2nyLkNkSDgFw1kcgD5qH08+teYIvJAgQGnZYP8wqY6MgzUndGIwBieZJIjMAQ3yUPp4d11Te4OEnDIc9wIpXO5guUHlcb5nN0nFEF33x/liwSscLRlDCBiOQgaM3Lvdooc0cLQZ2W9lp9Z/uuT2B05kHyG04X/2m2/ogQtG8iIfeTOHPSnfHZC7CZ3YsTYsYDyPUDk1tz4rljPjGyYLgOzai3L94655Jwje60PBOPum+kP5tOyEDhHAlsG2EyaYO23m99+QXVzDOcGSC7CID4l9TkG7HNc2ZiIxYmwJJirh9S3kGbR8U+W4bCWRwdJpAxH4nVPkgcTwb7JDYbabU6fuDbQ22Um3EXDTb/dd9EBpkyRil0uw2xxNZ48MMNHilpichHZI2W2keqH8sXPNBJ6hjrLuvDoGKcTiQahj+Ew0LQtH7LeQ+iz/ULvWWaYLTBsMIBjd7Zly0DR+y3kPorEqmfa9ovWaAd2Gowyd0mPzWC1BC+j/tB0brNX6QODMX+kz+S+b3CLf3Cqw0pDv5JyR2RVFi+z79qH+W76LSCs7+zwfrJ/yz9QtEKxQJEqECJEqRQCJQkhASvfrDVw/RtZ7hd0Obya4R8VHEKQ6bazbS0GlQB26jWSN4Y2CSeZgIKLoDJIC13onoQZSDt7voFl+oqcmeC1zUP3FPl+ZTxSpBCELaBCEIBCEIKz0jA9ZiMCL/AAVFkzmMWIWxOIFYg4G23Blz4q+dIM32xWy42VDeLEFxjaaXS0WzqVuYswFZaTHRaJfBtAwZ9mTLjO8uxKJ1gB1rr22wJLpwf9Q4x4WCmOjWdSRchpN5w54WD3QD5qK1ifWvtFwS2QIwnYZH8Zz4wg8RGVhmwgQ43y0VvlmU4AW4bV8G5pHpB991gugHE+3O1kXXrkR7AsEgI8O5AlxytorfPtFArWmd4dIvhHacNg55Um/NKDaYMWIbYSGmGU+dQ7SaGjfEQ+4BJwi+knm42C6kGctqRfDYPcPVnPJjM/EoEncXbnAuxDKxq1R+EwwJ7XmbAYyRbFIFTDDWW3Bm0fFIG8AYiQMIu0GBT5vdtcgnhovidxBdLZ41Knx2EDABHFsNAu6SwO9V5uqXPguh3gxfFisT46Sb8bNCSTPAzOHEIDyLstuYza5lDSN17NgFzrgfs494yTyQS2oAesN4EbQiJJA6sD8LIB8StA0fst5D6LPdRYetE3dhfhImO0OucZ4vsPALQqHZHIfRWJXDWtDrKNRh7zHD4gr5h0miQ5wObSQfIwvqgrKOl3QXB1ppSWVSXTE4TMxZKRkxam1MvJWH/wBOPpkyQbGOM8io6pqao0XE2V1Uz9nQ/WH/AOV/9gtAVF+zqiRWqkjKmB54v+yvSzUCRKkUUJEqRAJEIQISqRpGkOqVHOcS4zmTNhkOSuOmvwseeDT9FSKKlFm1A2xWp6geDQZG4QecrMtSNhgVi0HSHMILXEedjzC1EX1Civ0oeCFdRKoQhUCEIQQmsaWJ7srCTfwVY1nqtjaYNNg2RBbmXNknB/qMq8V9AY8y4SeZCaNW0+HzKmLqkdHtGew1Mc7gSRGJ2bncrgeSitOaetfvOLPDm8g4DJ3MF1oGtNHa0NwiJneVn2sA3rHZRt4ZxE4M65MfAKK4N88uDRLWn/8AVyCDO+ZPeA2nAdYbf4bbBJF8hMtjZJuf2cX9gXKdHOwPdbJa0jrM/wDEcgMXCO6YLjutozfe7RTRh4gjbkyScEzpDueLZC6XnMg3vsi7htO/lNtzQHnMT3SG494tRYbd+7igXAZtGLEO6YFQtHVnk2n80MaNzSWwCG4c2TDKd95dtppwxc7OF0nESTTkGs7mXw0LoQZ3B2Lg4gVS255Np25lAYNxJOYLtm8GalT3zsJ5nxbn3gILht5f4TcuaawC2EWhsDCezMUWX3gy8p0cyLzstvhO3/uOt5IJTUBOMwBGEScRJAECkOZbLjzV/wBH7LeQ+iz/AFH95d14da20TBdYbmWatAodlvIfRWJXRIWg5pUKog9ZdHWPuyGnhFj/AEVV07VApH1lJvPCCD5rRk2pTDhDgCOBWb4rrNKLGMnA1rZzgAT8F0kK06x6L033pHqzwzb/ANlWNYan0ijmwub7Tbj+qz9xTCkXhbp24r0M0gHehjqkSSklUKhJKaSg8Gv6uGg7xgfFVXRgp7pPiLGhoJGKSQCRYbzuULoLJIHioLjqmgS0BoJMTYSrLrHR8DaOzhJZe2+d6jtQawNAyG4gRBvHwU5rrT2VWMwGTMkbxbJaQkIXp9DdwQgnUIQtIEIQgEIQgjNdZN8/yWd6xPrXyLyCW4gIg+qZH8brlaJrnJvn+SoGsKL+seQHWIl2Gxc8HC6eDAs1qI/PeO/O0TnfSXW4DZCfnEAdwgQ43MDRh5C5TMYGc7rSBLWnYH8x2fFPFQb3e3JxbzBrm3sDZCBQ0RxbB7ubWn1ue+o6w8E7Cd8gznDQAXC7+VNtkwVBuidiAcXaIjRhyAlxQ5zYykQ4nZklgd60c3vy8EHU5iJ7pALh2halTP4rvKS0XdLYIJxSTTmXOtvc/Z5BNvMGQZgnDEOIBNTkxuzzKe15Fw0zYhthciKdMiOEvKB5F7wHS6e1GMj13k1kAeJSsGUCOzGyd49QL+yJcVzB5lsROK5YDsutve+3ILocW+O9iMu4TpBHKzWoJPUQHWWb3TBgANANz77pcr/Q7I5D6KhahY/GTYCNoRvIHVgfhZE+JV9odkcgrErohCFUCEIQCEIQRusNR0K33lME8RZ3xCrOn9At+j1iP4XiR8R/RXhCmRdZTpWpNOo50TUHGmcXyzXj9Pc21WnUpnfiY4fNbEmVKYdZwBHAiVPiu+mTU9NY7JwPmuvWBaHpXR3RanboUyeIaAfkvLQ6I6Kx0hhPgXuI+BTKmn9FdCw0AXC7ziuN27+/Fe+tqui/t0mHm0L1gRklWkRb9Q0D3I5EhLo2pKTHYhJjKTYKTQmAQhCAQhCAQhCAQhCCO1uQA2cpvCh61MPDmwcLgRB4FCFmrEKOjLyZt3j2Sbi1E+6Pmu1Loo7eXHsDsgWF3/6jmhCGvQ3omd5fMPvIF3788wLBelnRYTJB7TDd3sCG/wBUIVw13PRdp7TR2S3M5E4iPiF2b0bZMw2ZLsjmRhnPhZKhMNdqeoGDc3cOyMhl8F2bqdg/8DfmhCYjq3VrPFexrYEIQqFQhCAQhCAQhCAQhCAQhCAQhCAQhCAQhCAQhCD/2Q==">
          <a:extLst>
            <a:ext uri="{FF2B5EF4-FFF2-40B4-BE49-F238E27FC236}">
              <a16:creationId xmlns:a16="http://schemas.microsoft.com/office/drawing/2014/main" id="{00000000-0008-0000-2400-000002000000}"/>
            </a:ext>
          </a:extLst>
        </xdr:cNvPr>
        <xdr:cNvSpPr>
          <a:spLocks noChangeAspect="1" noChangeArrowheads="1"/>
        </xdr:cNvSpPr>
      </xdr:nvSpPr>
      <xdr:spPr bwMode="auto">
        <a:xfrm>
          <a:off x="6629400" y="114861975"/>
          <a:ext cx="304800" cy="1766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0</xdr:row>
      <xdr:rowOff>0</xdr:rowOff>
    </xdr:from>
    <xdr:to>
      <xdr:col>6</xdr:col>
      <xdr:colOff>304800</xdr:colOff>
      <xdr:row>4</xdr:row>
      <xdr:rowOff>465039</xdr:rowOff>
    </xdr:to>
    <xdr:sp macro="" textlink="">
      <xdr:nvSpPr>
        <xdr:cNvPr id="3" name="AutoShape 526" descr="data:image/jpeg;base64,/9j/4AAQSkZJRgABAQAAAQABAAD/2wCEAAkGBxQSEhUUEBQWFBUVFBUXFRYYFBUVFRcVFhQXFhQVFxQYHCggGBolHBQUIjIhJSkrLi4uFx8zODMsNygtLisBCgoKDQ0OFA8PFCwZFBksLCwrLCwsLCwrLDc3NywrLDcrLCwsNywsKyssKysrLCsrLCwrKysrKysrNysrKysrK//AABEIALgBEQMBIgACEQEDEQH/xAAcAAABBQEBAQAAAAAAAAAAAAAAAQIFBgcDBAj/xABHEAABAwICBgYHBAgFAwUAAAABAAIRAyESMQQFIkFRcQYTMkJhgRQjUoKRobEHM3LBFSQ0Q2KD0fBTc5KTskTh8RYlosLD/8QAFgEBAQEAAAAAAAAAAAAAAAAAAAEC/8QAHBEBAQEBAAIDAAAAAAAAAAAAAAERQQJhEiEx/9oADAMBAAIRAxEAPwDbjVbxHxSGu32h8VTdfacadOIOHES5wMECLbW6TZQA1zU4HEYsahtVdnT5Bu0pq4086Sz2gk9LZ7QWWu10d5GHOesfJpAjC7PNz7ckw6zqHcwPmO08jrSJqd7JrPmppjVPTWe0E06wp+0ssOsTmA3DAMQ8k05IojPMuvyQ3TH3u2ZIJwGMbYOkPHgRDR4ppjUDrSl7X9nJMOuKXtDfvG7NZmNOqboGRjqx37UW+4LngnjTXxm6OGFtwwwRzqOuOIV1caOddUuO8DMZkSPknUtasdGGTOULOPSKmWNwzBdsiJ2nv90bPNTOpdYYNp7jic6wLhs2syNxwifNTTIvOj1g8SOMLqorUulh42YLSMQPFSq1GQhCEAhCEAhCEAhCEAhCEAhebSdOYzMyeAzUTpOtHOy2R8/igmK+lNZ2iPzUbpGufYHmf6KJc7imErOrj0VdOe7Nx+i87qp3krk+ovPUrIO7qyZ6W4GQ4jzXlc9NlBetU6X1tIOOeR5he1ZrW1hVpACm9zROQO/+wn6FruuTBquPmmmNHQqS3WdX/Ed8V7qOnVWYHOcS114N7TB5K6i0IXk9PZxQgpfSj7qSJAd2YkuO4RvvBVXe05EnMtLsIG1nVr57xsSrR0n+7EHaxHDJMC1yY8JVUc1kbsIaLQZNAO2G/idUvyUaDZzwnc4MtvtToR4dspxAiC44YgvxCcAMuqzGbnbCGMM5gPxEE4bddANWpyDNlPbGEEMJbDTgw3LMqVKPB22gUTN4DsRMYhAqOEFnJjNrmkAA8Ww2LmTTafUn8T35+C6AEZknMF1hcXqVveOwE6TmBeZwy2znCBT5U27SBoHtRO3J2okidKPkIAXQDgBMtizrOI/V58GtufFDDa1xA7wu1p9Ubb6js0rDniNtuTiORM6QbezZoQIIAylsExguWB0Obze+/ILqGGfGSC7CO3E1KgvlhhgTJJMiMWIESXQKhb6ochTknxSsw2gS3CIsSTSxRTF95qXPggvnRgjC2G4BgEN9kWgKeUH0dDgBjMuwbRGRO9TisZoQhCoEIQgEIQgEIUJrzpFT0c4STiibNc4DnAU0S1eu1glxhQ+l60LrN2R81WK/Syi4y5zifwlMHSfR97nD3Hx8YU1cTLnJpK8uhaxpVgTSeHAZxu5jcnVdIAyRXVzl5qlfguD6pKYgc55KYhJKIEJEIrzawGxyK8OivhwUjpYljuRUHRq3Cgueq9DNZ2EGLTKl9caHgo07zh2ec3Ve0HSXNhzCQYzCktK1k6q1rXbvmeJVRyxoS4PBIg8nSr7q9mk7TgYLR4HdOXmq0XOJFodixAYzAqkENp8ms2uas/Sj7rLEA7sRJedwjfe/kqwWnLEd7S6Gi+dSv59iUVJjVNLC2XVHNdSAkCdhpDiPEudC9DdApTMvnFM4QNpwwl2e5tvBejTYOitIGEgMLGzEO7oPATEqsSI7QIh4BlxOHPSXfGwQT40KgBk6IaIlo2WnYbnvJkcUdRQGYdN5PWMF3XrOzzixVem+QmWWh3aMDRhnuFylDBGUiHScLrsafX+b3WHggsLXUBky9iB1jM8qTfhccEvpGjjutjjjthZd5gDLFY8SoGDugOkCcIjG4bB5U25+KVkezaJDYb2WmAzm9214hBO+k0csLJOzHWP7T9qJ/Ded2Sd+kaGYDI7Y7Z2fu2mOJNoUFgNwXHeC8Yd96lXy7C6tnOCDIIbIEOIhtLk1u2gsFDXrWANYWtiW2Do2BiqeQHzUlqvXBqujE7cSYIADrtHOFTQRHalsC+O5Y0+rdlnUfY+C9mjaaacxh7RJOIza+kZezkEGi6BUu4Eze3Je1Vzo1Ue7C6pEkEiPZPZz3xCsasZoQhCoEIQg46XVwMc72Wk/ASvmbWmsH1aj3ucSXOJueJX0H010nq9B0h2/qnAczYfVfNtR11OtQOrHiubq7hMEjxSFc64seSovf2ePeNI0llQy4AScpIMZDmrtKpXRC2sdLA4H/k1XRSoEkoQooSIQiBJKEIGvEg8iqsx0EjxVqXi6a6A2lUp1GCG1mBxH8Qzj4hKr1avfLArNqnU/WND3GATYDeB4qo6lqSxaPqP7hnI/UpEdvQWeyhelC0ihdJewI7WI4ZmAYuTHhKq4DYEDZwggYTeiHQxl+8X35K0dJ/ujNmztumCB4HdJt5quYjO4OxW2jArEWZ+FrL81lpYdYB3ooB7Ra0Fw7s5uHJVUutk6LGC8ZNPqm5fvDcqz6eB6GMJlga2ZklzB2hxM5KuAGMtqW9wdtw9Wc/3bboOXn7QJxDN0HSH+4LBPbugDuECTmLaK3ke0UjW2ydEcANlpuP5rv7K7MY42MgmbyLOcJe7L922wQMa0REjDD77U4AZ0l3MusF1wmd2LENxIFUt9V5NZn4pWsO5pPZIbI3Wos5P7RXT0ZxtDo2mk7U4Jms62/FsjwQcmtbFhLYkNw3NMGMF97n35LqGGYm8kF2EdrOrU5EQwLrT0WrmGHFIOT4FQiGe61nzT2ateP3ZgCAMJnq2mWNv3i/aPgg85ncCMiG2F3CGM/lCXJ7DzOUAuF8J2B/NNzyXcarqnNhmTLsIzN6zhfvCGhdG6sq+zBtHZEF1qZz/dt+JKCz9FAAGw7F2pMztTtCeANvJWZVnULurDcYwYQRmDMd4xxz81N/pFnFWJXrQuNHSWuMNXZVAhCEFN+1nSMGr3j2nsb/8AKfyWAOW1fbhXw6HSA71YfANP9Vijkan4am1eyUpSOyPJBdehz/8A3Gv/ABMn44SryVnnQSrOnOPGiP8Ai1aEVKFSIQoBIhCASLoylK7BgCDzBhXj6c6WHM0VgN203E+ZAH/FShVf6VaPZtQbtk8jklDtQPsQtQ1F9wzl+ayXUVaDHFaR0U0qQWHdcfmkSrEhCFpFE6R/dznDuxE4juH5+SrThuLjvaXS0WzqVvMwxWXpGNiBZxdsk5C1yRylVg4YsCRhBDcBvTmGUr94u2j4LLSw6wM6K0xhMMLWzG1IwAxumFWGhsZiNu9zbPST5nZCtWnh3ooBucLQXCLcXjhF1WJtvA2TGPc0+pbb/EdcoLBogLdHZUIjDtBoAkt/dtPiBC8w107+OMRbOFgGWJ1X8Is1e7V7T6KcJl0PJJMgPk4hPAGR5KqYmxkMOEmIcSdHDjIz7TqnyQTh6Qv9l8xiDcTRcmGU8syNpczrt2UujLF1jew2C+p8dlRBY6YtjxROEwKxE4/wtZbmlYBhkNOCAQ3Dfq5htLm521yQSv6YqHccR7vW/vHCzPJm0mfpY+7GeNxmk0w13Nz7cl4Aw5F3FpfDe1E1Kw8ANgFPAvIbwIbsjO1Oj7o24Qev9J1MtkOkg3eR1kTW8ms+aVus3HLD3SBDjZ0jRxz3leQNEXJwxGLEJLWkHHzqP2fELrHEwdqdo2c4eu3ZU25eKDuNPd4ZGYZm1h9dv7zoAUjqnSX4yXmw7WyGy43F+DWwFDg5RGbMILidoW0ZptvEuKUBscWweJJp4vWeZqWHgmLrQ9A04OqSMzDSLW4ZKZVM6Ji9xt9Z6wwQC+B2Z3AQFc1YzQhCFUZb9uVaGaOIm9QxyDR+ax0mbrW/tydtaMPCofm1ZbptPJ7ey75O3hGuPIh2SUpr0RPfZq+dMv8A4bh8AtQKyr7NP2z3H/RaqVKoSIQoBdaTN5XIL0ZIHkphKaSkJQKSvDreljovHhPwuvXKZVuCPAoKhoFSCCr90e0nDUYeMA+dln7KeGDmD2TxgwrbqirstPCFIVpqF4PT28ULTKq9JI6o4rNnaMxbn4mAqy6Z7uLFxJiuRcfhaz5q86TSa4HFB2uyR5yoTXOqy9wwAw8YXRAgdpzgfaMAKNHaYB6IMJ2AxvElzREt5nLzVeaw7859lo2nDZ/22qyawH6s3EIcAyGzYPkYQSN0wq1AjMRDhMOyF9IPmbBBYtEw+iHNjcLhO8ie355+arO1n3sQcG47dbBDKWXZDdpWbRzGiEvGLZJDQMmnstjwEfBVkNMEYjvbjwgQ4yX1s+6Iag44W5E7GEicRnqQZqP/ABF+zyXenJPdFTFltQKxaMIz7LafzXXRNFfUJwNnCA8tLmtAAtTpGRke2V66ep6hABIIs3F1jZLXbT327xOyPBBHtwxYSzDlhdJog7Lebql+S7YTPB0uBMfvImrUvuw7I8V7v0XU7U0w674xyA8bIFu61t+aX9Ebi+nhlrO26TT7TR+Jz78kHhp3uG22SG4W5G1Gn7vbKcBzI8rhp2jzqusvaNW2k1qeKHOkSRjNqzr7sIgcF1/RzAbVWC4aNich+rj3c/FBHv5kZg7URN6jv5Y2RzStccx2pBDS+2OIpMyywy8+K97NXU8zVtAJikbtB9aM++7Pkuo1a24NV87QkMI2jcu8m7KCV6KGzYjBi2Dvc3e4+JMq4KmatrMokluN1wQC2IBADWgeGalB0gvlGd93gc9+5JUxPoUfS01xwkgQ4x/YUgtIyT7ce3o/4an1aspLjETaclq/25Da0Y/w1Pq1ZPIUa4aSFzcuhg+C5uComvs2/bB+F/0WqlZX9nH7YPwv+i1MrNQJEIRSszXdxXBua6OKIQlNlIiUUSkJQmkqCk6v0kGlUBnY0l4HANcd3nNlc9VhoaMJOU3VQp0QxhbF3VHvdzJOH5Kw9HnE5+CuotHXFKvR6GeCFBZToVPPAEo0RgyaF3Qtop3SMbFQCwmCbbIm7vCBdU/FbL2bYuBIoNt7RuVceko2anCZIiS4T2QN85KoHF5z/ABicLn+U1ZaWDV/7KcBBdD5M2xycdzumVVhhAyGANmMJJNAEy2/ec/5K0aJB0S8sbhIneWjJ3iTn5quYjO7FiBALzAqwRTp23Bu0fFBM9GAcVUHwxmIxPMkxxAaWjyUdpNV7HuY3DsnCIZIxunqr/wDNSXRdgl8G0ANuZLQ4y4zvLsXkFEayjrX3GHaDZcbM/6h8DIgWCBHac/cT5Ux2aZ2/wDcOSQaZVJ7RByOy0DE8T8KTV5XchMsjM3y0Vv5lPYB4RD74TkI9Jdn3jYIO40p9zieRYxIFmWptyzqG6Q13ZF7o2gXYxk69Z/udkJrWmcodLe7bG4ep8qbc06BGRwwTGG5Y07TOdR1+SBxrPmQXEy0hpefvIijT5YZcUgIjMlkROJ0mkDLnc3VLck4NM3JBuC7ZABIBdV9wbCe07wLyCGy3OIZS5RtoEgzeA/EZu6BUI9d5NZAHiumjBoc2RaWWgmxP6u3yuSmkCLklsRixXLAZD+dR+zyS4s8RjtScTrEj9Y/0NsEIs+r9b43BgDr4iDEAYDhJz3nJXGgZaJ4D6LPej4PWGIjCMVySBA6kD3bnxK0HR+y3kPorErL/tzZs6M7gag+Ib/RY+B81tf240v1Wi7hVj4tP9FixVXhiR6ckOSonPs7bGmN/C/6LTys06Aj9cH+W76LSys0IhKkUAnEpqAVEKkQhFIudd8NJ4ArovBrqrhou8YHxKCtUrq2dHKU4RxcB8Sqto4V/wChei4nt4N2j+SkKu/o4Qu6FvGQhCFRVNd0S/GGxikls2GIXE+CqWn6AaVnRGEmQCdnOt7ziQAtB0jRKhLgAIcZmRK8mkakdUADxYOB7W8XHkstagtFcfRZcMRwk4IyByZHgIHkq6G2iTmQXbIg5vreQhoVx0rQeppvYyxhxkmbm5M+apoAjs7OGYwkk0QTsX3uffkgnOjR2nyLkNkSDgFw1kcgD5qH08+teYIvJAgQGnZYP8wqY6MgzUndGIwBieZJIjMAQ3yUPp4d11Te4OEnDIc9wIpXO5guUHlcb5nN0nFEF33x/liwSscLRlDCBiOQgaM3Lvdooc0cLQZ2W9lp9Z/uuT2B05kHyG04X/2m2/ogQtG8iIfeTOHPSnfHZC7CZ3YsTYsYDyPUDk1tz4rljPjGyYLgOzai3L94655Jwje60PBOPum+kP5tOyEDhHAlsG2EyaYO23m99+QXVzDOcGSC7CID4l9TkG7HNc2ZiIxYmwJJirh9S3kGbR8U+W4bCWRwdJpAxH4nVPkgcTwb7JDYbabU6fuDbQ22Um3EXDTb/dd9EBpkyRil0uw2xxNZ48MMNHilpichHZI2W2keqH8sXPNBJ6hjrLuvDoGKcTiQahj+Ew0LQtH7LeQ+iz/ULvWWaYLTBsMIBjd7Zly0DR+y3kPorEqmfa9ovWaAd2Gowyd0mPzWC1BC+j/tB0brNX6QODMX+kz+S+b3CLf3Cqw0pDv5JyR2RVFi+z79qH+W76LSCs7+zwfrJ/yz9QtEKxQJEqECJEqRQCJQkhASvfrDVw/RtZ7hd0Obya4R8VHEKQ6bazbS0GlQB26jWSN4Y2CSeZgIKLoDJIC13onoQZSDt7voFl+oqcmeC1zUP3FPl+ZTxSpBCELaBCEIBCEIKz0jA9ZiMCL/AAVFkzmMWIWxOIFYg4G23Blz4q+dIM32xWy42VDeLEFxjaaXS0WzqVuYswFZaTHRaJfBtAwZ9mTLjO8uxKJ1gB1rr22wJLpwf9Q4x4WCmOjWdSRchpN5w54WD3QD5qK1ifWvtFwS2QIwnYZH8Zz4wg8RGVhmwgQ43y0VvlmU4AW4bV8G5pHpB991gugHE+3O1kXXrkR7AsEgI8O5AlxytorfPtFArWmd4dIvhHacNg55Um/NKDaYMWIbYSGmGU+dQ7SaGjfEQ+4BJwi+knm42C6kGctqRfDYPcPVnPJjM/EoEncXbnAuxDKxq1R+EwwJ7XmbAYyRbFIFTDDWW3Bm0fFIG8AYiQMIu0GBT5vdtcgnhovidxBdLZ41Knx2EDABHFsNAu6SwO9V5uqXPguh3gxfFisT46Sb8bNCSTPAzOHEIDyLstuYza5lDSN17NgFzrgfs494yTyQS2oAesN4EbQiJJA6sD8LIB8StA0fst5D6LPdRYetE3dhfhImO0OucZ4vsPALQqHZHIfRWJXDWtDrKNRh7zHD4gr5h0miQ5wObSQfIwvqgrKOl3QXB1ppSWVSXTE4TMxZKRkxam1MvJWH/wBOPpkyQbGOM8io6pqao0XE2V1Uz9nQ/WH/AOV/9gtAVF+zqiRWqkjKmB54v+yvSzUCRKkUUJEqRAJEIQISqRpGkOqVHOcS4zmTNhkOSuOmvwseeDT9FSKKlFm1A2xWp6geDQZG4QecrMtSNhgVi0HSHMILXEedjzC1EX1Civ0oeCFdRKoQhUCEIQQmsaWJ7srCTfwVY1nqtjaYNNg2RBbmXNknB/qMq8V9AY8y4SeZCaNW0+HzKmLqkdHtGew1Mc7gSRGJ2bncrgeSitOaetfvOLPDm8g4DJ3MF1oGtNHa0NwiJneVn2sA3rHZRt4ZxE4M65MfAKK4N88uDRLWn/8AVyCDO+ZPeA2nAdYbf4bbBJF8hMtjZJuf2cX9gXKdHOwPdbJa0jrM/wDEcgMXCO6YLjutozfe7RTRh4gjbkyScEzpDueLZC6XnMg3vsi7htO/lNtzQHnMT3SG494tRYbd+7igXAZtGLEO6YFQtHVnk2n80MaNzSWwCG4c2TDKd95dtppwxc7OF0nESTTkGs7mXw0LoQZ3B2Lg4gVS255Np25lAYNxJOYLtm8GalT3zsJ5nxbn3gILht5f4TcuaawC2EWhsDCezMUWX3gy8p0cyLzstvhO3/uOt5IJTUBOMwBGEScRJAECkOZbLjzV/wBH7LeQ+iz/AFH95d14da20TBdYbmWatAodlvIfRWJXRIWg5pUKog9ZdHWPuyGnhFj/AEVV07VApH1lJvPCCD5rRk2pTDhDgCOBWb4rrNKLGMnA1rZzgAT8F0kK06x6L033pHqzwzb/ANlWNYan0ijmwub7Tbj+qz9xTCkXhbp24r0M0gHehjqkSSklUKhJKaSg8Gv6uGg7xgfFVXRgp7pPiLGhoJGKSQCRYbzuULoLJIHioLjqmgS0BoJMTYSrLrHR8DaOzhJZe2+d6jtQawNAyG4gRBvHwU5rrT2VWMwGTMkbxbJaQkIXp9DdwQgnUIQtIEIQgEIQgjNdZN8/yWd6xPrXyLyCW4gIg+qZH8brlaJrnJvn+SoGsKL+seQHWIl2Gxc8HC6eDAs1qI/PeO/O0TnfSXW4DZCfnEAdwgQ43MDRh5C5TMYGc7rSBLWnYH8x2fFPFQb3e3JxbzBrm3sDZCBQ0RxbB7ubWn1ue+o6w8E7Cd8gznDQAXC7+VNtkwVBuidiAcXaIjRhyAlxQ5zYykQ4nZklgd60c3vy8EHU5iJ7pALh2halTP4rvKS0XdLYIJxSTTmXOtvc/Z5BNvMGQZgnDEOIBNTkxuzzKe15Fw0zYhthciKdMiOEvKB5F7wHS6e1GMj13k1kAeJSsGUCOzGyd49QL+yJcVzB5lsROK5YDsutve+3ILocW+O9iMu4TpBHKzWoJPUQHWWb3TBgANANz77pcr/Q7I5D6KhahY/GTYCNoRvIHVgfhZE+JV9odkcgrErohCFUCEIQCEIQRusNR0K33lME8RZ3xCrOn9At+j1iP4XiR8R/RXhCmRdZTpWpNOo50TUHGmcXyzXj9Pc21WnUpnfiY4fNbEmVKYdZwBHAiVPiu+mTU9NY7JwPmuvWBaHpXR3RanboUyeIaAfkvLQ6I6Kx0hhPgXuI+BTKmn9FdCw0AXC7ziuN27+/Fe+tqui/t0mHm0L1gRklWkRb9Q0D3I5EhLo2pKTHYhJjKTYKTQmAQhCAQhCAQhCAQhCCO1uQA2cpvCh61MPDmwcLgRB4FCFmrEKOjLyZt3j2Sbi1E+6Pmu1Loo7eXHsDsgWF3/6jmhCGvQ3omd5fMPvIF3788wLBelnRYTJB7TDd3sCG/wBUIVw13PRdp7TR2S3M5E4iPiF2b0bZMw2ZLsjmRhnPhZKhMNdqeoGDc3cOyMhl8F2bqdg/8DfmhCYjq3VrPFexrYEIQqFQhCAQhCAQhCAQhCAQhCAQhCAQhCAQhCAQhCD/2Q==">
          <a:extLst>
            <a:ext uri="{FF2B5EF4-FFF2-40B4-BE49-F238E27FC236}">
              <a16:creationId xmlns:a16="http://schemas.microsoft.com/office/drawing/2014/main" id="{00000000-0008-0000-2400-000003000000}"/>
            </a:ext>
          </a:extLst>
        </xdr:cNvPr>
        <xdr:cNvSpPr>
          <a:spLocks noChangeAspect="1" noChangeArrowheads="1"/>
        </xdr:cNvSpPr>
      </xdr:nvSpPr>
      <xdr:spPr bwMode="auto">
        <a:xfrm>
          <a:off x="6629400" y="114861975"/>
          <a:ext cx="304800" cy="2544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0</xdr:row>
      <xdr:rowOff>0</xdr:rowOff>
    </xdr:from>
    <xdr:to>
      <xdr:col>6</xdr:col>
      <xdr:colOff>304800</xdr:colOff>
      <xdr:row>1</xdr:row>
      <xdr:rowOff>358637</xdr:rowOff>
    </xdr:to>
    <xdr:sp macro="" textlink="">
      <xdr:nvSpPr>
        <xdr:cNvPr id="4" name="AutoShape 527" descr="data:image/jpeg;base64,/9j/4AAQSkZJRgABAQAAAQABAAD/2wCEAAkGBxQSEhUUEBQWFBUVFBUXFRYYFBUVFRcVFhQXFhQVFxQYHCggGBolHBQUIjIhJSkrLi4uFx8zODMsNygtLisBCgoKDQ0OFA8PFCwZFBksLCwrLCwsLCwrLDc3NywrLDcrLCwsNywsKyssKysrLCsrLCwrKysrKysrNysrKysrK//AABEIALgBEQMBIgACEQEDEQH/xAAcAAABBQEBAQAAAAAAAAAAAAAAAQIFBgcDBAj/xABHEAABAwICBgYHBAgFAwUAAAABAAIRAyESMQQFIkFRcQYTMkJhgRQjUoKRobEHM3LBFSQ0Q2KD0fBTc5KTskTh8RYlosLD/8QAFgEBAQEAAAAAAAAAAAAAAAAAAAEC/8QAHBEBAQEBAAIDAAAAAAAAAAAAAAERQQJhEiEx/9oADAMBAAIRAxEAPwDbjVbxHxSGu32h8VTdfacadOIOHES5wMECLbW6TZQA1zU4HEYsahtVdnT5Bu0pq4086Sz2gk9LZ7QWWu10d5GHOesfJpAjC7PNz7ckw6zqHcwPmO08jrSJqd7JrPmppjVPTWe0E06wp+0ssOsTmA3DAMQ8k05IojPMuvyQ3TH3u2ZIJwGMbYOkPHgRDR4ppjUDrSl7X9nJMOuKXtDfvG7NZmNOqboGRjqx37UW+4LngnjTXxm6OGFtwwwRzqOuOIV1caOddUuO8DMZkSPknUtasdGGTOULOPSKmWNwzBdsiJ2nv90bPNTOpdYYNp7jic6wLhs2syNxwifNTTIvOj1g8SOMLqorUulh42YLSMQPFSq1GQhCEAhCEAhCEAhCEAhCEAhebSdOYzMyeAzUTpOtHOy2R8/igmK+lNZ2iPzUbpGufYHmf6KJc7imErOrj0VdOe7Nx+i87qp3krk+ovPUrIO7qyZ6W4GQ4jzXlc9NlBetU6X1tIOOeR5he1ZrW1hVpACm9zROQO/+wn6FruuTBquPmmmNHQqS3WdX/Ed8V7qOnVWYHOcS114N7TB5K6i0IXk9PZxQgpfSj7qSJAd2YkuO4RvvBVXe05EnMtLsIG1nVr57xsSrR0n+7EHaxHDJMC1yY8JVUc1kbsIaLQZNAO2G/idUvyUaDZzwnc4MtvtToR4dspxAiC44YgvxCcAMuqzGbnbCGMM5gPxEE4bddANWpyDNlPbGEEMJbDTgw3LMqVKPB22gUTN4DsRMYhAqOEFnJjNrmkAA8Ww2LmTTafUn8T35+C6AEZknMF1hcXqVveOwE6TmBeZwy2znCBT5U27SBoHtRO3J2okidKPkIAXQDgBMtizrOI/V58GtufFDDa1xA7wu1p9Ubb6js0rDniNtuTiORM6QbezZoQIIAylsExguWB0Obze+/ILqGGfGSC7CO3E1KgvlhhgTJJMiMWIESXQKhb6ochTknxSsw2gS3CIsSTSxRTF95qXPggvnRgjC2G4BgEN9kWgKeUH0dDgBjMuwbRGRO9TisZoQhCoEIQgEIQgEIUJrzpFT0c4STiibNc4DnAU0S1eu1glxhQ+l60LrN2R81WK/Syi4y5zifwlMHSfR97nD3Hx8YU1cTLnJpK8uhaxpVgTSeHAZxu5jcnVdIAyRXVzl5qlfguD6pKYgc55KYhJKIEJEIrzawGxyK8OivhwUjpYljuRUHRq3Cgueq9DNZ2EGLTKl9caHgo07zh2ec3Ve0HSXNhzCQYzCktK1k6q1rXbvmeJVRyxoS4PBIg8nSr7q9mk7TgYLR4HdOXmq0XOJFodixAYzAqkENp8ms2uas/Sj7rLEA7sRJedwjfe/kqwWnLEd7S6Gi+dSv59iUVJjVNLC2XVHNdSAkCdhpDiPEudC9DdApTMvnFM4QNpwwl2e5tvBejTYOitIGEgMLGzEO7oPATEqsSI7QIh4BlxOHPSXfGwQT40KgBk6IaIlo2WnYbnvJkcUdRQGYdN5PWMF3XrOzzixVem+QmWWh3aMDRhnuFylDBGUiHScLrsafX+b3WHggsLXUBky9iB1jM8qTfhccEvpGjjutjjjthZd5gDLFY8SoGDugOkCcIjG4bB5U25+KVkezaJDYb2WmAzm9214hBO+k0csLJOzHWP7T9qJ/Ded2Sd+kaGYDI7Y7Z2fu2mOJNoUFgNwXHeC8Yd96lXy7C6tnOCDIIbIEOIhtLk1u2gsFDXrWANYWtiW2Do2BiqeQHzUlqvXBqujE7cSYIADrtHOFTQRHalsC+O5Y0+rdlnUfY+C9mjaaacxh7RJOIza+kZezkEGi6BUu4Eze3Je1Vzo1Ue7C6pEkEiPZPZz3xCsasZoQhCoEIQg46XVwMc72Wk/ASvmbWmsH1aj3ucSXOJueJX0H010nq9B0h2/qnAczYfVfNtR11OtQOrHiubq7hMEjxSFc64seSovf2ePeNI0llQy4AScpIMZDmrtKpXRC2sdLA4H/k1XRSoEkoQooSIQiBJKEIGvEg8iqsx0EjxVqXi6a6A2lUp1GCG1mBxH8Qzj4hKr1avfLArNqnU/WND3GATYDeB4qo6lqSxaPqP7hnI/UpEdvQWeyhelC0ihdJewI7WI4ZmAYuTHhKq4DYEDZwggYTeiHQxl+8X35K0dJ/ujNmztumCB4HdJt5quYjO4OxW2jArEWZ+FrL81lpYdYB3ooB7Ra0Fw7s5uHJVUutk6LGC8ZNPqm5fvDcqz6eB6GMJlga2ZklzB2hxM5KuAGMtqW9wdtw9Wc/3bboOXn7QJxDN0HSH+4LBPbugDuECTmLaK3ke0UjW2ydEcANlpuP5rv7K7MY42MgmbyLOcJe7L922wQMa0REjDD77U4AZ0l3MusF1wmd2LENxIFUt9V5NZn4pWsO5pPZIbI3Wos5P7RXT0ZxtDo2mk7U4Jms62/FsjwQcmtbFhLYkNw3NMGMF97n35LqGGYm8kF2EdrOrU5EQwLrT0WrmGHFIOT4FQiGe61nzT2ateP3ZgCAMJnq2mWNv3i/aPgg85ncCMiG2F3CGM/lCXJ7DzOUAuF8J2B/NNzyXcarqnNhmTLsIzN6zhfvCGhdG6sq+zBtHZEF1qZz/dt+JKCz9FAAGw7F2pMztTtCeANvJWZVnULurDcYwYQRmDMd4xxz81N/pFnFWJXrQuNHSWuMNXZVAhCEFN+1nSMGr3j2nsb/8AKfyWAOW1fbhXw6HSA71YfANP9Vijkan4am1eyUpSOyPJBdehz/8A3Gv/ABMn44SryVnnQSrOnOPGiP8Ai1aEVKFSIQoBIhCASLoylK7BgCDzBhXj6c6WHM0VgN203E+ZAH/FShVf6VaPZtQbtk8jklDtQPsQtQ1F9wzl+ayXUVaDHFaR0U0qQWHdcfmkSrEhCFpFE6R/dznDuxE4juH5+SrThuLjvaXS0WzqVvMwxWXpGNiBZxdsk5C1yRylVg4YsCRhBDcBvTmGUr94u2j4LLSw6wM6K0xhMMLWzG1IwAxumFWGhsZiNu9zbPST5nZCtWnh3ooBucLQXCLcXjhF1WJtvA2TGPc0+pbb/EdcoLBogLdHZUIjDtBoAkt/dtPiBC8w107+OMRbOFgGWJ1X8Is1e7V7T6KcJl0PJJMgPk4hPAGR5KqYmxkMOEmIcSdHDjIz7TqnyQTh6Qv9l8xiDcTRcmGU8syNpczrt2UujLF1jew2C+p8dlRBY6YtjxROEwKxE4/wtZbmlYBhkNOCAQ3Dfq5htLm521yQSv6YqHccR7vW/vHCzPJm0mfpY+7GeNxmk0w13Nz7cl4Aw5F3FpfDe1E1Kw8ANgFPAvIbwIbsjO1Oj7o24Qev9J1MtkOkg3eR1kTW8ms+aVus3HLD3SBDjZ0jRxz3leQNEXJwxGLEJLWkHHzqP2fELrHEwdqdo2c4eu3ZU25eKDuNPd4ZGYZm1h9dv7zoAUjqnSX4yXmw7WyGy43F+DWwFDg5RGbMILidoW0ZptvEuKUBscWweJJp4vWeZqWHgmLrQ9A04OqSMzDSLW4ZKZVM6Ji9xt9Z6wwQC+B2Z3AQFc1YzQhCFUZb9uVaGaOIm9QxyDR+ax0mbrW/tydtaMPCofm1ZbptPJ7ey75O3hGuPIh2SUpr0RPfZq+dMv8A4bh8AtQKyr7NP2z3H/RaqVKoSIQoBdaTN5XIL0ZIHkphKaSkJQKSvDreljovHhPwuvXKZVuCPAoKhoFSCCr90e0nDUYeMA+dln7KeGDmD2TxgwrbqirstPCFIVpqF4PT28ULTKq9JI6o4rNnaMxbn4mAqy6Z7uLFxJiuRcfhaz5q86TSa4HFB2uyR5yoTXOqy9wwAw8YXRAgdpzgfaMAKNHaYB6IMJ2AxvElzREt5nLzVeaw7859lo2nDZ/22qyawH6s3EIcAyGzYPkYQSN0wq1AjMRDhMOyF9IPmbBBYtEw+iHNjcLhO8ie355+arO1n3sQcG47dbBDKWXZDdpWbRzGiEvGLZJDQMmnstjwEfBVkNMEYjvbjwgQ4yX1s+6Iag44W5E7GEicRnqQZqP/ABF+zyXenJPdFTFltQKxaMIz7LafzXXRNFfUJwNnCA8tLmtAAtTpGRke2V66ep6hABIIs3F1jZLXbT327xOyPBBHtwxYSzDlhdJog7Lebql+S7YTPB0uBMfvImrUvuw7I8V7v0XU7U0w674xyA8bIFu61t+aX9Ebi+nhlrO26TT7TR+Jz78kHhp3uG22SG4W5G1Gn7vbKcBzI8rhp2jzqusvaNW2k1qeKHOkSRjNqzr7sIgcF1/RzAbVWC4aNich+rj3c/FBHv5kZg7URN6jv5Y2RzStccx2pBDS+2OIpMyywy8+K97NXU8zVtAJikbtB9aM++7Pkuo1a24NV87QkMI2jcu8m7KCV6KGzYjBi2Dvc3e4+JMq4KmatrMokluN1wQC2IBADWgeGalB0gvlGd93gc9+5JUxPoUfS01xwkgQ4x/YUgtIyT7ce3o/4an1aspLjETaclq/25Da0Y/w1Pq1ZPIUa4aSFzcuhg+C5uComvs2/bB+F/0WqlZX9nH7YPwv+i1MrNQJEIRSszXdxXBua6OKIQlNlIiUUSkJQmkqCk6v0kGlUBnY0l4HANcd3nNlc9VhoaMJOU3VQp0QxhbF3VHvdzJOH5Kw9HnE5+CuotHXFKvR6GeCFBZToVPPAEo0RgyaF3Qtop3SMbFQCwmCbbIm7vCBdU/FbL2bYuBIoNt7RuVceko2anCZIiS4T2QN85KoHF5z/ABicLn+U1ZaWDV/7KcBBdD5M2xycdzumVVhhAyGANmMJJNAEy2/ec/5K0aJB0S8sbhIneWjJ3iTn5quYjO7FiBALzAqwRTp23Bu0fFBM9GAcVUHwxmIxPMkxxAaWjyUdpNV7HuY3DsnCIZIxunqr/wDNSXRdgl8G0ANuZLQ4y4zvLsXkFEayjrX3GHaDZcbM/6h8DIgWCBHac/cT5Ux2aZ2/wDcOSQaZVJ7RByOy0DE8T8KTV5XchMsjM3y0Vv5lPYB4RD74TkI9Jdn3jYIO40p9zieRYxIFmWptyzqG6Q13ZF7o2gXYxk69Z/udkJrWmcodLe7bG4ep8qbc06BGRwwTGG5Y07TOdR1+SBxrPmQXEy0hpefvIijT5YZcUgIjMlkROJ0mkDLnc3VLck4NM3JBuC7ZABIBdV9wbCe07wLyCGy3OIZS5RtoEgzeA/EZu6BUI9d5NZAHiumjBoc2RaWWgmxP6u3yuSmkCLklsRixXLAZD+dR+zyS4s8RjtScTrEj9Y/0NsEIs+r9b43BgDr4iDEAYDhJz3nJXGgZaJ4D6LPej4PWGIjCMVySBA6kD3bnxK0HR+y3kPorErL/tzZs6M7gag+Ib/RY+B81tf240v1Wi7hVj4tP9FixVXhiR6ckOSonPs7bGmN/C/6LTys06Aj9cH+W76LSys0IhKkUAnEpqAVEKkQhFIudd8NJ4ArovBrqrhou8YHxKCtUrq2dHKU4RxcB8Sqto4V/wChei4nt4N2j+SkKu/o4Qu6FvGQhCFRVNd0S/GGxikls2GIXE+CqWn6AaVnRGEmQCdnOt7ziQAtB0jRKhLgAIcZmRK8mkakdUADxYOB7W8XHkstagtFcfRZcMRwk4IyByZHgIHkq6G2iTmQXbIg5vreQhoVx0rQeppvYyxhxkmbm5M+apoAjs7OGYwkk0QTsX3uffkgnOjR2nyLkNkSDgFw1kcgD5qH08+teYIvJAgQGnZYP8wqY6MgzUndGIwBieZJIjMAQ3yUPp4d11Te4OEnDIc9wIpXO5guUHlcb5nN0nFEF33x/liwSscLRlDCBiOQgaM3Lvdooc0cLQZ2W9lp9Z/uuT2B05kHyG04X/2m2/ogQtG8iIfeTOHPSnfHZC7CZ3YsTYsYDyPUDk1tz4rljPjGyYLgOzai3L94655Jwje60PBOPum+kP5tOyEDhHAlsG2EyaYO23m99+QXVzDOcGSC7CID4l9TkG7HNc2ZiIxYmwJJirh9S3kGbR8U+W4bCWRwdJpAxH4nVPkgcTwb7JDYbabU6fuDbQ22Um3EXDTb/dd9EBpkyRil0uw2xxNZ48MMNHilpichHZI2W2keqH8sXPNBJ6hjrLuvDoGKcTiQahj+Ew0LQtH7LeQ+iz/ULvWWaYLTBsMIBjd7Zly0DR+y3kPorEqmfa9ovWaAd2Gowyd0mPzWC1BC+j/tB0brNX6QODMX+kz+S+b3CLf3Cqw0pDv5JyR2RVFi+z79qH+W76LSCs7+zwfrJ/yz9QtEKxQJEqECJEqRQCJQkhASvfrDVw/RtZ7hd0Obya4R8VHEKQ6bazbS0GlQB26jWSN4Y2CSeZgIKLoDJIC13onoQZSDt7voFl+oqcmeC1zUP3FPl+ZTxSpBCELaBCEIBCEIKz0jA9ZiMCL/AAVFkzmMWIWxOIFYg4G23Blz4q+dIM32xWy42VDeLEFxjaaXS0WzqVuYswFZaTHRaJfBtAwZ9mTLjO8uxKJ1gB1rr22wJLpwf9Q4x4WCmOjWdSRchpN5w54WD3QD5qK1ifWvtFwS2QIwnYZH8Zz4wg8RGVhmwgQ43y0VvlmU4AW4bV8G5pHpB991gugHE+3O1kXXrkR7AsEgI8O5AlxytorfPtFArWmd4dIvhHacNg55Um/NKDaYMWIbYSGmGU+dQ7SaGjfEQ+4BJwi+knm42C6kGctqRfDYPcPVnPJjM/EoEncXbnAuxDKxq1R+EwwJ7XmbAYyRbFIFTDDWW3Bm0fFIG8AYiQMIu0GBT5vdtcgnhovidxBdLZ41Knx2EDABHFsNAu6SwO9V5uqXPguh3gxfFisT46Sb8bNCSTPAzOHEIDyLstuYza5lDSN17NgFzrgfs494yTyQS2oAesN4EbQiJJA6sD8LIB8StA0fst5D6LPdRYetE3dhfhImO0OucZ4vsPALQqHZHIfRWJXDWtDrKNRh7zHD4gr5h0miQ5wObSQfIwvqgrKOl3QXB1ppSWVSXTE4TMxZKRkxam1MvJWH/wBOPpkyQbGOM8io6pqao0XE2V1Uz9nQ/WH/AOV/9gtAVF+zqiRWqkjKmB54v+yvSzUCRKkUUJEqRAJEIQISqRpGkOqVHOcS4zmTNhkOSuOmvwseeDT9FSKKlFm1A2xWp6geDQZG4QecrMtSNhgVi0HSHMILXEedjzC1EX1Civ0oeCFdRKoQhUCEIQQmsaWJ7srCTfwVY1nqtjaYNNg2RBbmXNknB/qMq8V9AY8y4SeZCaNW0+HzKmLqkdHtGew1Mc7gSRGJ2bncrgeSitOaetfvOLPDm8g4DJ3MF1oGtNHa0NwiJneVn2sA3rHZRt4ZxE4M65MfAKK4N88uDRLWn/8AVyCDO+ZPeA2nAdYbf4bbBJF8hMtjZJuf2cX9gXKdHOwPdbJa0jrM/wDEcgMXCO6YLjutozfe7RTRh4gjbkyScEzpDueLZC6XnMg3vsi7htO/lNtzQHnMT3SG494tRYbd+7igXAZtGLEO6YFQtHVnk2n80MaNzSWwCG4c2TDKd95dtppwxc7OF0nESTTkGs7mXw0LoQZ3B2Lg4gVS255Np25lAYNxJOYLtm8GalT3zsJ5nxbn3gILht5f4TcuaawC2EWhsDCezMUWX3gy8p0cyLzstvhO3/uOt5IJTUBOMwBGEScRJAECkOZbLjzV/wBH7LeQ+iz/AFH95d14da20TBdYbmWatAodlvIfRWJXRIWg5pUKog9ZdHWPuyGnhFj/AEVV07VApH1lJvPCCD5rRk2pTDhDgCOBWb4rrNKLGMnA1rZzgAT8F0kK06x6L033pHqzwzb/ANlWNYan0ijmwub7Tbj+qz9xTCkXhbp24r0M0gHehjqkSSklUKhJKaSg8Gv6uGg7xgfFVXRgp7pPiLGhoJGKSQCRYbzuULoLJIHioLjqmgS0BoJMTYSrLrHR8DaOzhJZe2+d6jtQawNAyG4gRBvHwU5rrT2VWMwGTMkbxbJaQkIXp9DdwQgnUIQtIEIQgEIQgjNdZN8/yWd6xPrXyLyCW4gIg+qZH8brlaJrnJvn+SoGsKL+seQHWIl2Gxc8HC6eDAs1qI/PeO/O0TnfSXW4DZCfnEAdwgQ43MDRh5C5TMYGc7rSBLWnYH8x2fFPFQb3e3JxbzBrm3sDZCBQ0RxbB7ubWn1ue+o6w8E7Cd8gznDQAXC7+VNtkwVBuidiAcXaIjRhyAlxQ5zYykQ4nZklgd60c3vy8EHU5iJ7pALh2halTP4rvKS0XdLYIJxSTTmXOtvc/Z5BNvMGQZgnDEOIBNTkxuzzKe15Fw0zYhthciKdMiOEvKB5F7wHS6e1GMj13k1kAeJSsGUCOzGyd49QL+yJcVzB5lsROK5YDsutve+3ILocW+O9iMu4TpBHKzWoJPUQHWWb3TBgANANz77pcr/Q7I5D6KhahY/GTYCNoRvIHVgfhZE+JV9odkcgrErohCFUCEIQCEIQRusNR0K33lME8RZ3xCrOn9At+j1iP4XiR8R/RXhCmRdZTpWpNOo50TUHGmcXyzXj9Pc21WnUpnfiY4fNbEmVKYdZwBHAiVPiu+mTU9NY7JwPmuvWBaHpXR3RanboUyeIaAfkvLQ6I6Kx0hhPgXuI+BTKmn9FdCw0AXC7ziuN27+/Fe+tqui/t0mHm0L1gRklWkRb9Q0D3I5EhLo2pKTHYhJjKTYKTQmAQhCAQhCAQhCAQhCCO1uQA2cpvCh61MPDmwcLgRB4FCFmrEKOjLyZt3j2Sbi1E+6Pmu1Loo7eXHsDsgWF3/6jmhCGvQ3omd5fMPvIF3788wLBelnRYTJB7TDd3sCG/wBUIVw13PRdp7TR2S3M5E4iPiF2b0bZMw2ZLsjmRhnPhZKhMNdqeoGDc3cOyMhl8F2bqdg/8DfmhCYjq3VrPFexrYEIQqFQhCAQhCAQhCAQhCAQhCAQhCAQhCAQhCAQhCD/2Q==">
          <a:extLst>
            <a:ext uri="{FF2B5EF4-FFF2-40B4-BE49-F238E27FC236}">
              <a16:creationId xmlns:a16="http://schemas.microsoft.com/office/drawing/2014/main" id="{00000000-0008-0000-2400-000004000000}"/>
            </a:ext>
          </a:extLst>
        </xdr:cNvPr>
        <xdr:cNvSpPr>
          <a:spLocks noChangeAspect="1" noChangeArrowheads="1"/>
        </xdr:cNvSpPr>
      </xdr:nvSpPr>
      <xdr:spPr bwMode="auto">
        <a:xfrm>
          <a:off x="6629400" y="114861975"/>
          <a:ext cx="304800" cy="1406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0</xdr:row>
      <xdr:rowOff>0</xdr:rowOff>
    </xdr:from>
    <xdr:to>
      <xdr:col>6</xdr:col>
      <xdr:colOff>304800</xdr:colOff>
      <xdr:row>1</xdr:row>
      <xdr:rowOff>358637</xdr:rowOff>
    </xdr:to>
    <xdr:sp macro="" textlink="">
      <xdr:nvSpPr>
        <xdr:cNvPr id="5" name="AutoShape 528" descr="data:image/jpeg;base64,/9j/4AAQSkZJRgABAQAAAQABAAD/2wCEAAkGBxQSEhAUEhISFBQQFBUQEBYSEBQUFhUQFBQWFxQVFBUYHSggGBolGxUTITEhJSkrLjEuFx8zODMsNygtOisBCgoKDA0MFA8NFCwcFBkrLCwsLCssLCssKywsKzgrNysrKysrKysrNyssKysrKysrKysrKysrKysrKysrKyssK//AABEIAOEA4QMBIgACEQEDEQH/xAAcAAEAAQUBAQAAAAAAAAAAAAAAAgEDBAUHBgj/xABFEAABAwIDAwgGBwUHBQAAAAABAAIRAyEEEjFBUWEFBgciMnGBkRMjUqGxwUJicoKS0fAUM0OTolNjg7LC4fEkNNLT4v/EABcBAQEBAQAAAAAAAAAAAAAAAAABAgP/xAAZEQEBAQADAAAAAAAAAAAAAAAAARECEjH/2gAMAwEAAhEDEQA/AO4oiICIiAiKkoKoqAqqAiKkoKoqKqAiIgIiICIiAiIgIiICIiAiIgIiICIiAiIgIo1HhoJJgASTuA1XiMbztqueRShrZtIkkbzuQep5T5UbRABu49lo+J3BedxPKdWpq4gHY2w/NYeYuJc4y513H9bFIBdJxxNSDjvPmVMOO8+ZVAFINWk1UVXe078RVxuJqD+I/wDGVDKpBqC+zHVR/Ed43+KzMNyhV2kHvA+SxaFDesoNhSyDc4XEB4nbtV5ajA1g1xkwCFsRime23zXOxpeRQFVvtDzCmoCIiAiIgIiICIiAiIgIiICIiAiIg1POqtkwmIP1CB4kBcT5f5zHBsBY0Oqv7ObRomMxG08OC7Bz9fGDePbcxvm4fkvmjn1jc9ctGjer+G3xlBsj0n4z2qf8pqk3pRxg+lT/AJTV4Rzd1+5SFIq7R0Cn0r4saiif8OPgVnUOl6r9KhRPcXj5rmXoTvCg5pCbR2PC9L1M9vDEfZfPxXruaXPXDY6r6NmdtTKXNDwIcBrBG2+1fODAumcxaobjORHC3pGPpOjaRmF95uFdqY7tlhUKm4KK0i24K0FfIV/CUaZHWPWm94UqqDB+rzyZ1jZAWRyZVN2nZccFmGmA2NkQsHksdZ3d81lWyREUBERAREQEREBERAREQEREBERB5zn/AIptPBVnOE6Bs+1rPkCvlDlB+eo9x3+/Ur6G6cOUMmGp057RJP67sy+eTS9WHnV7yG9wEuPmQgx2hSCJKKqhCoqoLeQjRe85rvyu5Cd7OKfSPjVpj5rxLV7DkV3qeTHexyi0ebmO+SqPox6grlTUqBW0RKsvF1fKsv1UomKhiJMbpWw5KbZx7gq0uT2wJknbeFl0qYaIAgLKpoiKAiIgIiICIiAiIgIiICIiAqFVUajgASdBc9yDhPT1j5rBk9hoHiQD/qXL+UGgUsLHsPJ+0SM3yXqelnH+lxlQjQvt3TI90LxtTESxjD9AuLTwdEj3DyRVgqiqVRBUIkIgm1et5F/7bBcOU2D+lq8k1ev5Cvh8CNp5UafJlMfMqxK+j6mpUFOpqVBaniIlW46zeJA96uFUaYLSfokFKN6io0z4qqwoiIgIiICIiAiIgIiICIiAiIgLRc78b6OjlBvVOX7ou78vFb1eF574iaobspt95En3QrB8/c9K2bFP+0fdb5LRLYc4Kmau88SfMrXKKqkKirmKCoRMyBBVq9pzXZI5Mb7XKGbydSBXjAvd8yKWavyM3++rVD4PaR/lKI+gnaqKkVQrSKEKJCuEKBQZ3JlSWlvs/A6LNWpwLoqD6wgrbLKiIiAiIgIiICIiAiIgIiICIiCi5xzwd67EHcP9AC6Qucc/GZX4g72B3m0D5FWD535UdNZ/62rEKv48+sf3qw1ZiirHf5oqhUUVQUCQgmF03o3oZsZyX/d0H1Pxl5+QXMJsuxdFWH/64f3GDY08Dlp/+wqxHXSgCqqBVEioQplUQQaYezvW6Wi9J6ymzaet4Ahb1Sqs4rECm0udZrQS4kgQAJJusFnL1A6VWaB37xnZNgddCVTnLVa2hWL2F7Qx2ZjQSXCIIgd65BXh0gtESGuBabhzR6GmNLNIM/NQdqZj2HQ8LXvuspjFN3+4rhj3kyYYXgveCcwnESPSON7NDZjipMxWXqsdUa2CwRVLS2gXS6oZ+nJgDzG1B3MV2+0PNTDxvHmuIDliuL+krCzXEelD4LJDKfFzgAd/B11fpc4sS3WrUMGYNMEF1RvZG/KUHaVVcbHO7Eiwqj6VMZqX0mEEuJjcYmPALKbz8ri4dSI6rzLX2Z2SLHUmN+qDrSLldHpFrggGnSPaBy1C3rQTTAknWOPgthQ6QXn+AXGBDWPDi58jM0DLqJQdERYFDGOLGOIu7ZuO4rMpukAlBNERAXhukuh6sv303MPeLj4le5XmukSnOBrHa2CPEx80HyrVo56tW8RLieAA/wBlirbYWlmq4tu00KhHEtDTA8AVqiiqKqokoKhSCoFVBOnSzOa32yG/iMLuHRFSzV+UquzMyi37rqk+5tNca5Ij09InSnNQ/cBd+S7v0O4XLgS861arnnvAaD7wVYj3aoiKoIqSoucgnhGTVB3D9DzK26wOS6di47bDuCz1mq1PONzxReaZaHBsy7QCRm8YmOMLj+ZoDYIDcrnNhz5FF7iyo++pzWA14GxXUOfeT9mqZ3lturlsXPAJa3uMfFcwfUPWsXXBLZEOfImlGkAGSL6dxQRcw7C6TkbZ7DBDfVtH1ngTxv3K2694JnM6MrSDIEUxwYb7uAVc1wJnrFocWh0lpOWqdTABga/JWgRAMADICJBEU4LakwdSTbYN7VFXDSIMaunKCaetQPDg8xsynS42wVHqyIygXN84imS5j9p62kd/cokTMxudd2mWaTb7ZAm3zVTUN94JfZ2tQkSPAE+8SQqi09kCPqhrofEWmmBItIHhP0Uq7TB1kixk2JbHCZj/AJV1oJtJgRckO6skek8NAe6CNFZBO4TBdHoxaBDgeJ+ezVBbpUZIJnW5jiQ10+7u27FsaFQsLHU7PZ1m2BAeAQ+RxidscFhNtqREDfo/K4d5nx71k0jcfaH8xpIgX+sN3eEHtOQOcNepUawGkQXZ3wHiKLoiNma5/MrolHst7guRc0mNOIp9bLAdVYAYNQubDgd4GUm+5dfaLBBVERAWi58snA4kfVB/qC3q1fOenmwuIH1CfK/yQfJFbFGjiQ8CcpuN7CCHDyJWJXaA4hplv0T9XZ4q/wA4GRWPl5FYFJ+xFXUVYQIKhSHFQJhW3VJQZmAfLj9fqfdJl39IPmvp3mPhPRYDCNIgmk2o77VQZz/mXzXzcwJrVqdMfxHNZ/MIbPkSfBfV9NgaABo0Bo7hYKxFURFUW3OUWNL3Bo2/BK62PJ1EBoO11ylGVTbAAGyykioVlXkekKqRQLRTDhUcGueQIogwPSunYOMd4XOInY4dqJpmWhrOu4kbXxb/AHC6B0jPcKTesPR+kHpqcS6oyW2btEeGvBc7g2nKXZg09VwnENJNOI0aGkbvmgi9wAM6ZRm1Hq3lrmM75ud+8qJcc2zMKk9owa7DbuaAeHfsT0gMaEG4hx7LgRXcZGxwsP8ANCnnJaBoQ0/SaSOqC0ni+CP1CC0IAEG0GCXDskuaakEDsnTTSdkqmUmw100BLSGjXi+B327UoYEyDAgkQOwXAmnb2XGdkHYEDYgWkPAnJE1WyGOtsgxpfcdQEX6uNgBLtCOoYyAdxlRadm2zdf4jSROzYf8AhUtlBERBIEuBhwy1feLRe23RVqG5g2s2S4fVdTd8tkcEFAZ/LbBacw75E/Iq813EAgGCXdkgBzHyNrtPnsVljgDN9rgOOaHt8jp4xtUgNknRrHEOFw4HK4TuIA8NqD1fMMA4g9QmG9VwBimczmvYTFiSZi3dddYC5j0ctc6o8iAzMGvntGu3KXR9WCd3cF08ICIiAsXlVmajVG9jvgspeL6Q+V6lIUqVNxbnBe8tsSBYCdyD5x540C2u8Ro94/qke4habB0wajGuMBzg1x3AkAldt5S5r0MSc5zNc4AksIvbaCCFqMR0dtPYrfjpg/AhXKOecv4OnTewUXuIcwOIdGZrtCCRrotY8OGpXR6vRxU2Oon8TfkViVejqv7NM91T8wmU15PH8jPpU21HxDoHavdsgxuWsAXva/MXFkNaWOcG9kelBA7pNlYb0e4kn9y7+ZT/APJTKazeh7k70uOokiRTD8QfuAMaPxP9y+hF4Dot5ruwbatSrlFSqGsa0OzZaTSTc7yTPgF79aiCoUVCgs1yt1hR1G9wWjebrc4WsC1txMRCUZCIqFZVzvpKqU5o/wBs1tR7JJgUSCKmm2BbbZeGqAaAw2AwEVNKUipTdfaf0AvcdItZ+aizKAw9am4Oh1SsXZfQ8AQfGV4xvW25gSSLtdmY9sA78tJwHD7KCDnmZIJMlzmZgbh0OoAEG0EOj3HVW8uw69SnORpBe6cj9ey3TbwnRXXMOwXIcQSwR6VsF7yBNnNBtx8UNFpcfYvrM/sz3At+9M/7oMTNoYicz2yCDLWRWJjut/pVadIXBcAA0tmSPVOIqU3GRrJH5bVkV2O4A2Op/fMcQB3FkeO0aK2WyNRGnaBmm5pmRupkDu4K4IGziImXAxm+mwkPb4giReeKswNJJERMA9RwIYZn6LhGvlorwYdSCXHOezI9I0B2aR7YjfMbbFWXkeAAcJB/dOdDh4E6+/YgqzW4/pj1jQCQY2EAHTXYNVfOUcWm/Zn1DnXJG0ieP3li06egtMhsye2xpFNw79PyV8PEHqzZ7wJ1zZTVYLaAyRPE3mVB7roxpDO9xd6yGteybBoAyv7zB8l0tc+6L2Qx4ydl0elP8VvWyuB2gCBqV0FAREQFzXpKfOIpjdSHve78l0pc855V/QcoUKz2Z2NY0xa+UuBAnbcFBq+TycjZBBAgyI0/QWWFk8p8vUMU5pp52uaMrg9oBI1kEEzH5LHAW+KKhSCoApALQkFMKICmEGfydWiy3LTK85RdBC3uFfIUovqLipK1VKyLYV3LCuYfDOlpynUG+5ZPKLeye8fkgv4F0sE9yvuVjBDqDxV2obHuWVcv6QCTiGZapcS0ZWDKRQqNILXm/VLrgcd68tIaJILWtbng07ig5+Soz7WZ2bhOo0W/57VGOxNXLSc2AKNZzmEh9ZzfUlpnQOAmImNHaLRVTlJPVzZi8CXiazGt9OPsgXGnyQRyiYJEl1Om6zhNVjSKEbII1n3aoMT1S4AQQ9/ajNnEVGxsDSJE7puolo9rqtzNB9J/CzzTq3i4Lo2RwVwNc6NQRlJb1YDmy2rTje+ZiPAoLdV+wE3LW5pBuMrmVZ+sJAPHU6K218EGCBd8EC1PNlezgbk8J1CrVZJgC3ZnJqHN9QQR7JAB4e0oh0Zoyyczh2h61paKg3RFxp4aIIVRNidQymSQe04F1EiOAg/oqlV+pBmXF5GaAXQDVHW2Wkb97tBIAAwCchOUHPEUC6zzMXExfxA1QUyRtDjeOqYeARlM7XNAPj9JBGiNL6WnM3sh3UqHuJibd40VwNteQYkAgdUgEVGwfamf1KthoEzMAAH1YEseGloBBtlcP1orrBDrZcxqRo4ZsSx3haHcPBB1Do5pOFElxGVzi6iAILaJALWu3mSd69kvJdHFKmMKw0nFwdL3Ez+8MBwEgGJavWoCIiAsHlXkmliWZKrQ4AyDoWne0jRZyIPDV+jpocHUcQ5kGRnph/wLVg4ikab3Mdq0x37iOC6OtTy3yM3ECZyvb2XR7nbwrKPGgqYWQ7m9ih9BrvsvA9zoUTyViRrQd4Fp+BWu0EApgKP7PVGtGqP8N35JmI1a4d7T+SuouALZ4F61jKgWZhHXQboKw43ncsvA0s1yLfFZhwbPZCxRjUsf7Q8j8kxWJDhDZ3q+cCziPvFSpYVrdnmipYdsNaOCrX7JjcfgriEKDy9Kr6Wo5r2XAlpa5zZLdJE71z7E4es573OY3OS6o9razOrVZmbkAJmXiBv79F2MYZkzlE6SNysVeSqTpmmwzcy1pv4hUcaqcnVIM0qhENY4NYHjJVGYMBHsPA/+bKzWwrweycwe8iaZbNeiQ5x00IJ99hquwO5t4f8AsmDXRoGuuisv5rUrwagkAdWtUbYcMyg446mItGXLaM0+ge8tdPHM62tt6qwZbEdYlrO3o9lMtYG7swBBP/C63X5qNdPrKkGxGZpBbM5TmabTBhYdbmdMHOC4OFSX0aTvWA9VxsJIFkHLIBvBIh7gBDpY/L6sQRam4Tbfo1SdRNxqc2QFzIzVWu7Yj6JZI+RXQqnMYiIFEwC0TSqAw4EO7D9d25Y2I5kOuMrYIa3q1HtMMgjtNdqQJnyGqDwdEtMdmCCR2h6sgtq2nWRx8VcYLC5HUjMHnqtADqRbxJ6s7Nw0Xr63NKpJOSoeuX9WvTdYmMgzAWiTdYg5r1WiMlbQtnJTd1r5DZxs2Rr4IPf8zQf2anmpCicsFg2XN7Aa66bVvlrOb9FzKLW1HZnts50RJA1hbNAREQEREBERAREQFQhVRBbdRadWt8grf7FTmfRsn7IWQiCgCqiICIiAiIgIiICIiAiIgIiIKEKhpjcPJSRBQBVREBERAREQEREBERAREQEREBERAREQEREBERAREQEREBERAREQEREBERAREQEREBERAREQEREBERAREQEREBERAREQEREBERAREQEREBERB//Z">
          <a:extLst>
            <a:ext uri="{FF2B5EF4-FFF2-40B4-BE49-F238E27FC236}">
              <a16:creationId xmlns:a16="http://schemas.microsoft.com/office/drawing/2014/main" id="{00000000-0008-0000-2400-000005000000}"/>
            </a:ext>
          </a:extLst>
        </xdr:cNvPr>
        <xdr:cNvSpPr>
          <a:spLocks noChangeAspect="1" noChangeArrowheads="1"/>
        </xdr:cNvSpPr>
      </xdr:nvSpPr>
      <xdr:spPr bwMode="auto">
        <a:xfrm>
          <a:off x="6629400" y="114861975"/>
          <a:ext cx="304800" cy="1406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895350</xdr:colOff>
      <xdr:row>0</xdr:row>
      <xdr:rowOff>0</xdr:rowOff>
    </xdr:from>
    <xdr:to>
      <xdr:col>1</xdr:col>
      <xdr:colOff>895350</xdr:colOff>
      <xdr:row>0</xdr:row>
      <xdr:rowOff>28575</xdr:rowOff>
    </xdr:to>
    <xdr:pic>
      <xdr:nvPicPr>
        <xdr:cNvPr id="7" name="Picture 6">
          <a:extLst>
            <a:ext uri="{FF2B5EF4-FFF2-40B4-BE49-F238E27FC236}">
              <a16:creationId xmlns:a16="http://schemas.microsoft.com/office/drawing/2014/main" id="{00000000-0008-0000-24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8" name="Picture 1">
          <a:extLst>
            <a:ext uri="{FF2B5EF4-FFF2-40B4-BE49-F238E27FC236}">
              <a16:creationId xmlns:a16="http://schemas.microsoft.com/office/drawing/2014/main" id="{00000000-0008-0000-24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9" name="Picture 2">
          <a:extLst>
            <a:ext uri="{FF2B5EF4-FFF2-40B4-BE49-F238E27FC236}">
              <a16:creationId xmlns:a16="http://schemas.microsoft.com/office/drawing/2014/main" id="{00000000-0008-0000-24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0" name="Picture 1">
          <a:extLst>
            <a:ext uri="{FF2B5EF4-FFF2-40B4-BE49-F238E27FC236}">
              <a16:creationId xmlns:a16="http://schemas.microsoft.com/office/drawing/2014/main" id="{00000000-0008-0000-24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11" name="Picture 2">
          <a:extLst>
            <a:ext uri="{FF2B5EF4-FFF2-40B4-BE49-F238E27FC236}">
              <a16:creationId xmlns:a16="http://schemas.microsoft.com/office/drawing/2014/main" id="{00000000-0008-0000-24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2" name="Picture 1">
          <a:extLst>
            <a:ext uri="{FF2B5EF4-FFF2-40B4-BE49-F238E27FC236}">
              <a16:creationId xmlns:a16="http://schemas.microsoft.com/office/drawing/2014/main" id="{00000000-0008-0000-24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13" name="Picture 2">
          <a:extLst>
            <a:ext uri="{FF2B5EF4-FFF2-40B4-BE49-F238E27FC236}">
              <a16:creationId xmlns:a16="http://schemas.microsoft.com/office/drawing/2014/main" id="{00000000-0008-0000-24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4" name="Picture 1">
          <a:extLst>
            <a:ext uri="{FF2B5EF4-FFF2-40B4-BE49-F238E27FC236}">
              <a16:creationId xmlns:a16="http://schemas.microsoft.com/office/drawing/2014/main" id="{00000000-0008-0000-24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15" name="Picture 2">
          <a:extLst>
            <a:ext uri="{FF2B5EF4-FFF2-40B4-BE49-F238E27FC236}">
              <a16:creationId xmlns:a16="http://schemas.microsoft.com/office/drawing/2014/main" id="{00000000-0008-0000-24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6" name="Picture 1">
          <a:extLst>
            <a:ext uri="{FF2B5EF4-FFF2-40B4-BE49-F238E27FC236}">
              <a16:creationId xmlns:a16="http://schemas.microsoft.com/office/drawing/2014/main" id="{00000000-0008-0000-24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17" name="Picture 2">
          <a:extLst>
            <a:ext uri="{FF2B5EF4-FFF2-40B4-BE49-F238E27FC236}">
              <a16:creationId xmlns:a16="http://schemas.microsoft.com/office/drawing/2014/main" id="{00000000-0008-0000-24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8" name="Picture 1">
          <a:extLst>
            <a:ext uri="{FF2B5EF4-FFF2-40B4-BE49-F238E27FC236}">
              <a16:creationId xmlns:a16="http://schemas.microsoft.com/office/drawing/2014/main" id="{00000000-0008-0000-24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19" name="Picture 2">
          <a:extLst>
            <a:ext uri="{FF2B5EF4-FFF2-40B4-BE49-F238E27FC236}">
              <a16:creationId xmlns:a16="http://schemas.microsoft.com/office/drawing/2014/main" id="{00000000-0008-0000-24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20" name="Picture 1">
          <a:extLst>
            <a:ext uri="{FF2B5EF4-FFF2-40B4-BE49-F238E27FC236}">
              <a16:creationId xmlns:a16="http://schemas.microsoft.com/office/drawing/2014/main" id="{00000000-0008-0000-24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21" name="Picture 2">
          <a:extLst>
            <a:ext uri="{FF2B5EF4-FFF2-40B4-BE49-F238E27FC236}">
              <a16:creationId xmlns:a16="http://schemas.microsoft.com/office/drawing/2014/main" id="{00000000-0008-0000-24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22" name="Picture 1">
          <a:extLst>
            <a:ext uri="{FF2B5EF4-FFF2-40B4-BE49-F238E27FC236}">
              <a16:creationId xmlns:a16="http://schemas.microsoft.com/office/drawing/2014/main" id="{00000000-0008-0000-24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23" name="Picture 2">
          <a:extLst>
            <a:ext uri="{FF2B5EF4-FFF2-40B4-BE49-F238E27FC236}">
              <a16:creationId xmlns:a16="http://schemas.microsoft.com/office/drawing/2014/main" id="{00000000-0008-0000-24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24" name="Picture 1">
          <a:extLst>
            <a:ext uri="{FF2B5EF4-FFF2-40B4-BE49-F238E27FC236}">
              <a16:creationId xmlns:a16="http://schemas.microsoft.com/office/drawing/2014/main" id="{00000000-0008-0000-24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25" name="Picture 2">
          <a:extLst>
            <a:ext uri="{FF2B5EF4-FFF2-40B4-BE49-F238E27FC236}">
              <a16:creationId xmlns:a16="http://schemas.microsoft.com/office/drawing/2014/main" id="{00000000-0008-0000-24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26" name="Picture 1">
          <a:extLst>
            <a:ext uri="{FF2B5EF4-FFF2-40B4-BE49-F238E27FC236}">
              <a16:creationId xmlns:a16="http://schemas.microsoft.com/office/drawing/2014/main" id="{00000000-0008-0000-24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27" name="Picture 2">
          <a:extLst>
            <a:ext uri="{FF2B5EF4-FFF2-40B4-BE49-F238E27FC236}">
              <a16:creationId xmlns:a16="http://schemas.microsoft.com/office/drawing/2014/main" id="{00000000-0008-0000-24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28" name="Picture 1">
          <a:extLst>
            <a:ext uri="{FF2B5EF4-FFF2-40B4-BE49-F238E27FC236}">
              <a16:creationId xmlns:a16="http://schemas.microsoft.com/office/drawing/2014/main" id="{00000000-0008-0000-24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29" name="Picture 2">
          <a:extLst>
            <a:ext uri="{FF2B5EF4-FFF2-40B4-BE49-F238E27FC236}">
              <a16:creationId xmlns:a16="http://schemas.microsoft.com/office/drawing/2014/main" id="{00000000-0008-0000-24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30" name="Picture 1">
          <a:extLst>
            <a:ext uri="{FF2B5EF4-FFF2-40B4-BE49-F238E27FC236}">
              <a16:creationId xmlns:a16="http://schemas.microsoft.com/office/drawing/2014/main" id="{00000000-0008-0000-24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31" name="Picture 2">
          <a:extLst>
            <a:ext uri="{FF2B5EF4-FFF2-40B4-BE49-F238E27FC236}">
              <a16:creationId xmlns:a16="http://schemas.microsoft.com/office/drawing/2014/main" id="{00000000-0008-0000-24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32" name="Picture 1">
          <a:extLst>
            <a:ext uri="{FF2B5EF4-FFF2-40B4-BE49-F238E27FC236}">
              <a16:creationId xmlns:a16="http://schemas.microsoft.com/office/drawing/2014/main" id="{00000000-0008-0000-24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33" name="Picture 2">
          <a:extLst>
            <a:ext uri="{FF2B5EF4-FFF2-40B4-BE49-F238E27FC236}">
              <a16:creationId xmlns:a16="http://schemas.microsoft.com/office/drawing/2014/main" id="{00000000-0008-0000-24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34" name="Picture 1">
          <a:extLst>
            <a:ext uri="{FF2B5EF4-FFF2-40B4-BE49-F238E27FC236}">
              <a16:creationId xmlns:a16="http://schemas.microsoft.com/office/drawing/2014/main" id="{00000000-0008-0000-2400-00002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35" name="Picture 2">
          <a:extLst>
            <a:ext uri="{FF2B5EF4-FFF2-40B4-BE49-F238E27FC236}">
              <a16:creationId xmlns:a16="http://schemas.microsoft.com/office/drawing/2014/main" id="{00000000-0008-0000-24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36" name="Picture 1">
          <a:extLst>
            <a:ext uri="{FF2B5EF4-FFF2-40B4-BE49-F238E27FC236}">
              <a16:creationId xmlns:a16="http://schemas.microsoft.com/office/drawing/2014/main" id="{00000000-0008-0000-2400-00002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37" name="Picture 2">
          <a:extLst>
            <a:ext uri="{FF2B5EF4-FFF2-40B4-BE49-F238E27FC236}">
              <a16:creationId xmlns:a16="http://schemas.microsoft.com/office/drawing/2014/main" id="{00000000-0008-0000-24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38" name="Picture 1">
          <a:extLst>
            <a:ext uri="{FF2B5EF4-FFF2-40B4-BE49-F238E27FC236}">
              <a16:creationId xmlns:a16="http://schemas.microsoft.com/office/drawing/2014/main" id="{00000000-0008-0000-24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39" name="Picture 2">
          <a:extLst>
            <a:ext uri="{FF2B5EF4-FFF2-40B4-BE49-F238E27FC236}">
              <a16:creationId xmlns:a16="http://schemas.microsoft.com/office/drawing/2014/main" id="{00000000-0008-0000-24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40" name="Picture 1">
          <a:extLst>
            <a:ext uri="{FF2B5EF4-FFF2-40B4-BE49-F238E27FC236}">
              <a16:creationId xmlns:a16="http://schemas.microsoft.com/office/drawing/2014/main" id="{00000000-0008-0000-2400-00002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41" name="Picture 2">
          <a:extLst>
            <a:ext uri="{FF2B5EF4-FFF2-40B4-BE49-F238E27FC236}">
              <a16:creationId xmlns:a16="http://schemas.microsoft.com/office/drawing/2014/main" id="{00000000-0008-0000-24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42" name="Picture 1">
          <a:extLst>
            <a:ext uri="{FF2B5EF4-FFF2-40B4-BE49-F238E27FC236}">
              <a16:creationId xmlns:a16="http://schemas.microsoft.com/office/drawing/2014/main" id="{00000000-0008-0000-2400-00002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43" name="Picture 2">
          <a:extLst>
            <a:ext uri="{FF2B5EF4-FFF2-40B4-BE49-F238E27FC236}">
              <a16:creationId xmlns:a16="http://schemas.microsoft.com/office/drawing/2014/main" id="{00000000-0008-0000-24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44" name="Picture 1">
          <a:extLst>
            <a:ext uri="{FF2B5EF4-FFF2-40B4-BE49-F238E27FC236}">
              <a16:creationId xmlns:a16="http://schemas.microsoft.com/office/drawing/2014/main" id="{00000000-0008-0000-2400-00002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45" name="Picture 2">
          <a:extLst>
            <a:ext uri="{FF2B5EF4-FFF2-40B4-BE49-F238E27FC236}">
              <a16:creationId xmlns:a16="http://schemas.microsoft.com/office/drawing/2014/main" id="{00000000-0008-0000-24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46" name="Picture 1">
          <a:extLst>
            <a:ext uri="{FF2B5EF4-FFF2-40B4-BE49-F238E27FC236}">
              <a16:creationId xmlns:a16="http://schemas.microsoft.com/office/drawing/2014/main" id="{00000000-0008-0000-2400-00002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47" name="Picture 2">
          <a:extLst>
            <a:ext uri="{FF2B5EF4-FFF2-40B4-BE49-F238E27FC236}">
              <a16:creationId xmlns:a16="http://schemas.microsoft.com/office/drawing/2014/main" id="{00000000-0008-0000-24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48" name="Picture 1">
          <a:extLst>
            <a:ext uri="{FF2B5EF4-FFF2-40B4-BE49-F238E27FC236}">
              <a16:creationId xmlns:a16="http://schemas.microsoft.com/office/drawing/2014/main" id="{00000000-0008-0000-2400-00003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49" name="Picture 2">
          <a:extLst>
            <a:ext uri="{FF2B5EF4-FFF2-40B4-BE49-F238E27FC236}">
              <a16:creationId xmlns:a16="http://schemas.microsoft.com/office/drawing/2014/main" id="{00000000-0008-0000-24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50" name="Picture 1">
          <a:extLst>
            <a:ext uri="{FF2B5EF4-FFF2-40B4-BE49-F238E27FC236}">
              <a16:creationId xmlns:a16="http://schemas.microsoft.com/office/drawing/2014/main" id="{00000000-0008-0000-2400-00003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51" name="Picture 2">
          <a:extLst>
            <a:ext uri="{FF2B5EF4-FFF2-40B4-BE49-F238E27FC236}">
              <a16:creationId xmlns:a16="http://schemas.microsoft.com/office/drawing/2014/main" id="{00000000-0008-0000-24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52" name="Picture 1">
          <a:extLst>
            <a:ext uri="{FF2B5EF4-FFF2-40B4-BE49-F238E27FC236}">
              <a16:creationId xmlns:a16="http://schemas.microsoft.com/office/drawing/2014/main" id="{00000000-0008-0000-2400-00003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53" name="Picture 2">
          <a:extLst>
            <a:ext uri="{FF2B5EF4-FFF2-40B4-BE49-F238E27FC236}">
              <a16:creationId xmlns:a16="http://schemas.microsoft.com/office/drawing/2014/main" id="{00000000-0008-0000-24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54" name="Picture 1">
          <a:extLst>
            <a:ext uri="{FF2B5EF4-FFF2-40B4-BE49-F238E27FC236}">
              <a16:creationId xmlns:a16="http://schemas.microsoft.com/office/drawing/2014/main" id="{00000000-0008-0000-2400-00003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55" name="Picture 2">
          <a:extLst>
            <a:ext uri="{FF2B5EF4-FFF2-40B4-BE49-F238E27FC236}">
              <a16:creationId xmlns:a16="http://schemas.microsoft.com/office/drawing/2014/main" id="{00000000-0008-0000-24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56" name="Picture 1">
          <a:extLst>
            <a:ext uri="{FF2B5EF4-FFF2-40B4-BE49-F238E27FC236}">
              <a16:creationId xmlns:a16="http://schemas.microsoft.com/office/drawing/2014/main" id="{00000000-0008-0000-2400-00003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57" name="Picture 2">
          <a:extLst>
            <a:ext uri="{FF2B5EF4-FFF2-40B4-BE49-F238E27FC236}">
              <a16:creationId xmlns:a16="http://schemas.microsoft.com/office/drawing/2014/main" id="{00000000-0008-0000-24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58" name="Picture 1">
          <a:extLst>
            <a:ext uri="{FF2B5EF4-FFF2-40B4-BE49-F238E27FC236}">
              <a16:creationId xmlns:a16="http://schemas.microsoft.com/office/drawing/2014/main" id="{00000000-0008-0000-2400-00003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59" name="Picture 2">
          <a:extLst>
            <a:ext uri="{FF2B5EF4-FFF2-40B4-BE49-F238E27FC236}">
              <a16:creationId xmlns:a16="http://schemas.microsoft.com/office/drawing/2014/main" id="{00000000-0008-0000-24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60" name="Picture 1">
          <a:extLst>
            <a:ext uri="{FF2B5EF4-FFF2-40B4-BE49-F238E27FC236}">
              <a16:creationId xmlns:a16="http://schemas.microsoft.com/office/drawing/2014/main" id="{00000000-0008-0000-2400-00003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61" name="Picture 2">
          <a:extLst>
            <a:ext uri="{FF2B5EF4-FFF2-40B4-BE49-F238E27FC236}">
              <a16:creationId xmlns:a16="http://schemas.microsoft.com/office/drawing/2014/main" id="{00000000-0008-0000-24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92815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62" name="Picture 1">
          <a:extLst>
            <a:ext uri="{FF2B5EF4-FFF2-40B4-BE49-F238E27FC236}">
              <a16:creationId xmlns:a16="http://schemas.microsoft.com/office/drawing/2014/main" id="{00000000-0008-0000-24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92815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63" name="Picture 2">
          <a:extLst>
            <a:ext uri="{FF2B5EF4-FFF2-40B4-BE49-F238E27FC236}">
              <a16:creationId xmlns:a16="http://schemas.microsoft.com/office/drawing/2014/main" id="{00000000-0008-0000-24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64" name="Picture 1">
          <a:extLst>
            <a:ext uri="{FF2B5EF4-FFF2-40B4-BE49-F238E27FC236}">
              <a16:creationId xmlns:a16="http://schemas.microsoft.com/office/drawing/2014/main" id="{00000000-0008-0000-2400-00004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65" name="Picture 2">
          <a:extLst>
            <a:ext uri="{FF2B5EF4-FFF2-40B4-BE49-F238E27FC236}">
              <a16:creationId xmlns:a16="http://schemas.microsoft.com/office/drawing/2014/main" id="{00000000-0008-0000-24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66" name="Picture 1">
          <a:extLst>
            <a:ext uri="{FF2B5EF4-FFF2-40B4-BE49-F238E27FC236}">
              <a16:creationId xmlns:a16="http://schemas.microsoft.com/office/drawing/2014/main" id="{00000000-0008-0000-2400-00004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67" name="Picture 2">
          <a:extLst>
            <a:ext uri="{FF2B5EF4-FFF2-40B4-BE49-F238E27FC236}">
              <a16:creationId xmlns:a16="http://schemas.microsoft.com/office/drawing/2014/main" id="{00000000-0008-0000-24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68" name="Picture 1">
          <a:extLst>
            <a:ext uri="{FF2B5EF4-FFF2-40B4-BE49-F238E27FC236}">
              <a16:creationId xmlns:a16="http://schemas.microsoft.com/office/drawing/2014/main" id="{00000000-0008-0000-2400-00004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69" name="Picture 2">
          <a:extLst>
            <a:ext uri="{FF2B5EF4-FFF2-40B4-BE49-F238E27FC236}">
              <a16:creationId xmlns:a16="http://schemas.microsoft.com/office/drawing/2014/main" id="{00000000-0008-0000-24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70" name="Picture 1">
          <a:extLst>
            <a:ext uri="{FF2B5EF4-FFF2-40B4-BE49-F238E27FC236}">
              <a16:creationId xmlns:a16="http://schemas.microsoft.com/office/drawing/2014/main" id="{00000000-0008-0000-2400-00004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71" name="Picture 2">
          <a:extLst>
            <a:ext uri="{FF2B5EF4-FFF2-40B4-BE49-F238E27FC236}">
              <a16:creationId xmlns:a16="http://schemas.microsoft.com/office/drawing/2014/main" id="{00000000-0008-0000-24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72" name="Picture 1">
          <a:extLst>
            <a:ext uri="{FF2B5EF4-FFF2-40B4-BE49-F238E27FC236}">
              <a16:creationId xmlns:a16="http://schemas.microsoft.com/office/drawing/2014/main" id="{00000000-0008-0000-2400-00004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73" name="Picture 2">
          <a:extLst>
            <a:ext uri="{FF2B5EF4-FFF2-40B4-BE49-F238E27FC236}">
              <a16:creationId xmlns:a16="http://schemas.microsoft.com/office/drawing/2014/main" id="{00000000-0008-0000-24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74" name="Picture 1">
          <a:extLst>
            <a:ext uri="{FF2B5EF4-FFF2-40B4-BE49-F238E27FC236}">
              <a16:creationId xmlns:a16="http://schemas.microsoft.com/office/drawing/2014/main" id="{00000000-0008-0000-24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75" name="Picture 2">
          <a:extLst>
            <a:ext uri="{FF2B5EF4-FFF2-40B4-BE49-F238E27FC236}">
              <a16:creationId xmlns:a16="http://schemas.microsoft.com/office/drawing/2014/main" id="{00000000-0008-0000-24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76" name="Picture 1">
          <a:extLst>
            <a:ext uri="{FF2B5EF4-FFF2-40B4-BE49-F238E27FC236}">
              <a16:creationId xmlns:a16="http://schemas.microsoft.com/office/drawing/2014/main" id="{00000000-0008-0000-2400-00004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77" name="Picture 2">
          <a:extLst>
            <a:ext uri="{FF2B5EF4-FFF2-40B4-BE49-F238E27FC236}">
              <a16:creationId xmlns:a16="http://schemas.microsoft.com/office/drawing/2014/main" id="{00000000-0008-0000-24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78" name="Picture 1">
          <a:extLst>
            <a:ext uri="{FF2B5EF4-FFF2-40B4-BE49-F238E27FC236}">
              <a16:creationId xmlns:a16="http://schemas.microsoft.com/office/drawing/2014/main" id="{00000000-0008-0000-2400-00004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79" name="Picture 2">
          <a:extLst>
            <a:ext uri="{FF2B5EF4-FFF2-40B4-BE49-F238E27FC236}">
              <a16:creationId xmlns:a16="http://schemas.microsoft.com/office/drawing/2014/main" id="{00000000-0008-0000-24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80" name="Picture 1">
          <a:extLst>
            <a:ext uri="{FF2B5EF4-FFF2-40B4-BE49-F238E27FC236}">
              <a16:creationId xmlns:a16="http://schemas.microsoft.com/office/drawing/2014/main" id="{00000000-0008-0000-2400-00005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81" name="Picture 2">
          <a:extLst>
            <a:ext uri="{FF2B5EF4-FFF2-40B4-BE49-F238E27FC236}">
              <a16:creationId xmlns:a16="http://schemas.microsoft.com/office/drawing/2014/main" id="{00000000-0008-0000-24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82" name="Picture 1">
          <a:extLst>
            <a:ext uri="{FF2B5EF4-FFF2-40B4-BE49-F238E27FC236}">
              <a16:creationId xmlns:a16="http://schemas.microsoft.com/office/drawing/2014/main" id="{00000000-0008-0000-2400-00005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83" name="Picture 2">
          <a:extLst>
            <a:ext uri="{FF2B5EF4-FFF2-40B4-BE49-F238E27FC236}">
              <a16:creationId xmlns:a16="http://schemas.microsoft.com/office/drawing/2014/main" id="{00000000-0008-0000-24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84" name="Picture 1">
          <a:extLst>
            <a:ext uri="{FF2B5EF4-FFF2-40B4-BE49-F238E27FC236}">
              <a16:creationId xmlns:a16="http://schemas.microsoft.com/office/drawing/2014/main" id="{00000000-0008-0000-2400-00005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85" name="Picture 2">
          <a:extLst>
            <a:ext uri="{FF2B5EF4-FFF2-40B4-BE49-F238E27FC236}">
              <a16:creationId xmlns:a16="http://schemas.microsoft.com/office/drawing/2014/main" id="{00000000-0008-0000-24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86" name="Picture 1">
          <a:extLst>
            <a:ext uri="{FF2B5EF4-FFF2-40B4-BE49-F238E27FC236}">
              <a16:creationId xmlns:a16="http://schemas.microsoft.com/office/drawing/2014/main" id="{00000000-0008-0000-2400-00005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87" name="Picture 2">
          <a:extLst>
            <a:ext uri="{FF2B5EF4-FFF2-40B4-BE49-F238E27FC236}">
              <a16:creationId xmlns:a16="http://schemas.microsoft.com/office/drawing/2014/main" id="{00000000-0008-0000-24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88" name="Picture 1">
          <a:extLst>
            <a:ext uri="{FF2B5EF4-FFF2-40B4-BE49-F238E27FC236}">
              <a16:creationId xmlns:a16="http://schemas.microsoft.com/office/drawing/2014/main" id="{00000000-0008-0000-2400-00005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89" name="Picture 2">
          <a:extLst>
            <a:ext uri="{FF2B5EF4-FFF2-40B4-BE49-F238E27FC236}">
              <a16:creationId xmlns:a16="http://schemas.microsoft.com/office/drawing/2014/main" id="{00000000-0008-0000-2400-00005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90" name="Picture 1">
          <a:extLst>
            <a:ext uri="{FF2B5EF4-FFF2-40B4-BE49-F238E27FC236}">
              <a16:creationId xmlns:a16="http://schemas.microsoft.com/office/drawing/2014/main" id="{00000000-0008-0000-2400-00005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91" name="Picture 2">
          <a:extLst>
            <a:ext uri="{FF2B5EF4-FFF2-40B4-BE49-F238E27FC236}">
              <a16:creationId xmlns:a16="http://schemas.microsoft.com/office/drawing/2014/main" id="{00000000-0008-0000-24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92" name="Picture 1">
          <a:extLst>
            <a:ext uri="{FF2B5EF4-FFF2-40B4-BE49-F238E27FC236}">
              <a16:creationId xmlns:a16="http://schemas.microsoft.com/office/drawing/2014/main" id="{00000000-0008-0000-2400-00005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93" name="Picture 2">
          <a:extLst>
            <a:ext uri="{FF2B5EF4-FFF2-40B4-BE49-F238E27FC236}">
              <a16:creationId xmlns:a16="http://schemas.microsoft.com/office/drawing/2014/main" id="{00000000-0008-0000-24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94" name="Picture 1">
          <a:extLst>
            <a:ext uri="{FF2B5EF4-FFF2-40B4-BE49-F238E27FC236}">
              <a16:creationId xmlns:a16="http://schemas.microsoft.com/office/drawing/2014/main" id="{00000000-0008-0000-2400-00005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95" name="Picture 2">
          <a:extLst>
            <a:ext uri="{FF2B5EF4-FFF2-40B4-BE49-F238E27FC236}">
              <a16:creationId xmlns:a16="http://schemas.microsoft.com/office/drawing/2014/main" id="{00000000-0008-0000-24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96" name="Picture 1">
          <a:extLst>
            <a:ext uri="{FF2B5EF4-FFF2-40B4-BE49-F238E27FC236}">
              <a16:creationId xmlns:a16="http://schemas.microsoft.com/office/drawing/2014/main" id="{00000000-0008-0000-2400-00006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97" name="Picture 2">
          <a:extLst>
            <a:ext uri="{FF2B5EF4-FFF2-40B4-BE49-F238E27FC236}">
              <a16:creationId xmlns:a16="http://schemas.microsoft.com/office/drawing/2014/main" id="{00000000-0008-0000-24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98" name="Picture 1">
          <a:extLst>
            <a:ext uri="{FF2B5EF4-FFF2-40B4-BE49-F238E27FC236}">
              <a16:creationId xmlns:a16="http://schemas.microsoft.com/office/drawing/2014/main" id="{00000000-0008-0000-2400-00006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99" name="Picture 2">
          <a:extLst>
            <a:ext uri="{FF2B5EF4-FFF2-40B4-BE49-F238E27FC236}">
              <a16:creationId xmlns:a16="http://schemas.microsoft.com/office/drawing/2014/main" id="{00000000-0008-0000-24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00" name="Picture 1">
          <a:extLst>
            <a:ext uri="{FF2B5EF4-FFF2-40B4-BE49-F238E27FC236}">
              <a16:creationId xmlns:a16="http://schemas.microsoft.com/office/drawing/2014/main" id="{00000000-0008-0000-2400-00006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101" name="Picture 2">
          <a:extLst>
            <a:ext uri="{FF2B5EF4-FFF2-40B4-BE49-F238E27FC236}">
              <a16:creationId xmlns:a16="http://schemas.microsoft.com/office/drawing/2014/main" id="{00000000-0008-0000-24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02" name="Picture 1">
          <a:extLst>
            <a:ext uri="{FF2B5EF4-FFF2-40B4-BE49-F238E27FC236}">
              <a16:creationId xmlns:a16="http://schemas.microsoft.com/office/drawing/2014/main" id="{00000000-0008-0000-2400-00006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103" name="Picture 2">
          <a:extLst>
            <a:ext uri="{FF2B5EF4-FFF2-40B4-BE49-F238E27FC236}">
              <a16:creationId xmlns:a16="http://schemas.microsoft.com/office/drawing/2014/main" id="{00000000-0008-0000-24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04" name="Picture 1">
          <a:extLst>
            <a:ext uri="{FF2B5EF4-FFF2-40B4-BE49-F238E27FC236}">
              <a16:creationId xmlns:a16="http://schemas.microsoft.com/office/drawing/2014/main" id="{00000000-0008-0000-2400-00006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105" name="Picture 2">
          <a:extLst>
            <a:ext uri="{FF2B5EF4-FFF2-40B4-BE49-F238E27FC236}">
              <a16:creationId xmlns:a16="http://schemas.microsoft.com/office/drawing/2014/main" id="{00000000-0008-0000-24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06" name="Picture 1">
          <a:extLst>
            <a:ext uri="{FF2B5EF4-FFF2-40B4-BE49-F238E27FC236}">
              <a16:creationId xmlns:a16="http://schemas.microsoft.com/office/drawing/2014/main" id="{00000000-0008-0000-2400-00006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107" name="Picture 2">
          <a:extLst>
            <a:ext uri="{FF2B5EF4-FFF2-40B4-BE49-F238E27FC236}">
              <a16:creationId xmlns:a16="http://schemas.microsoft.com/office/drawing/2014/main" id="{00000000-0008-0000-24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08" name="Picture 1">
          <a:extLst>
            <a:ext uri="{FF2B5EF4-FFF2-40B4-BE49-F238E27FC236}">
              <a16:creationId xmlns:a16="http://schemas.microsoft.com/office/drawing/2014/main" id="{00000000-0008-0000-2400-00006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109" name="Picture 2">
          <a:extLst>
            <a:ext uri="{FF2B5EF4-FFF2-40B4-BE49-F238E27FC236}">
              <a16:creationId xmlns:a16="http://schemas.microsoft.com/office/drawing/2014/main" id="{00000000-0008-0000-24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10" name="Picture 1">
          <a:extLst>
            <a:ext uri="{FF2B5EF4-FFF2-40B4-BE49-F238E27FC236}">
              <a16:creationId xmlns:a16="http://schemas.microsoft.com/office/drawing/2014/main" id="{00000000-0008-0000-2400-00006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111" name="Picture 2">
          <a:extLst>
            <a:ext uri="{FF2B5EF4-FFF2-40B4-BE49-F238E27FC236}">
              <a16:creationId xmlns:a16="http://schemas.microsoft.com/office/drawing/2014/main" id="{00000000-0008-0000-24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12" name="Picture 1">
          <a:extLst>
            <a:ext uri="{FF2B5EF4-FFF2-40B4-BE49-F238E27FC236}">
              <a16:creationId xmlns:a16="http://schemas.microsoft.com/office/drawing/2014/main" id="{00000000-0008-0000-2400-00007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113" name="Picture 2">
          <a:extLst>
            <a:ext uri="{FF2B5EF4-FFF2-40B4-BE49-F238E27FC236}">
              <a16:creationId xmlns:a16="http://schemas.microsoft.com/office/drawing/2014/main" id="{00000000-0008-0000-24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14" name="Picture 1">
          <a:extLst>
            <a:ext uri="{FF2B5EF4-FFF2-40B4-BE49-F238E27FC236}">
              <a16:creationId xmlns:a16="http://schemas.microsoft.com/office/drawing/2014/main" id="{00000000-0008-0000-2400-00007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115" name="Picture 2">
          <a:extLst>
            <a:ext uri="{FF2B5EF4-FFF2-40B4-BE49-F238E27FC236}">
              <a16:creationId xmlns:a16="http://schemas.microsoft.com/office/drawing/2014/main" id="{00000000-0008-0000-24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16" name="Picture 1">
          <a:extLst>
            <a:ext uri="{FF2B5EF4-FFF2-40B4-BE49-F238E27FC236}">
              <a16:creationId xmlns:a16="http://schemas.microsoft.com/office/drawing/2014/main" id="{00000000-0008-0000-2400-00007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0</xdr:row>
      <xdr:rowOff>0</xdr:rowOff>
    </xdr:from>
    <xdr:to>
      <xdr:col>1</xdr:col>
      <xdr:colOff>895350</xdr:colOff>
      <xdr:row>0</xdr:row>
      <xdr:rowOff>28575</xdr:rowOff>
    </xdr:to>
    <xdr:pic>
      <xdr:nvPicPr>
        <xdr:cNvPr id="117" name="Picture 2">
          <a:extLst>
            <a:ext uri="{FF2B5EF4-FFF2-40B4-BE49-F238E27FC236}">
              <a16:creationId xmlns:a16="http://schemas.microsoft.com/office/drawing/2014/main" id="{00000000-0008-0000-24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6239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0</xdr:row>
      <xdr:rowOff>0</xdr:rowOff>
    </xdr:from>
    <xdr:to>
      <xdr:col>1</xdr:col>
      <xdr:colOff>771525</xdr:colOff>
      <xdr:row>0</xdr:row>
      <xdr:rowOff>76200</xdr:rowOff>
    </xdr:to>
    <xdr:pic>
      <xdr:nvPicPr>
        <xdr:cNvPr id="118" name="Picture 1">
          <a:extLst>
            <a:ext uri="{FF2B5EF4-FFF2-40B4-BE49-F238E27FC236}">
              <a16:creationId xmlns:a16="http://schemas.microsoft.com/office/drawing/2014/main" id="{00000000-0008-0000-2400-00007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6239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6</xdr:col>
      <xdr:colOff>0</xdr:colOff>
      <xdr:row>167</xdr:row>
      <xdr:rowOff>0</xdr:rowOff>
    </xdr:from>
    <xdr:to>
      <xdr:col>6</xdr:col>
      <xdr:colOff>304800</xdr:colOff>
      <xdr:row>170</xdr:row>
      <xdr:rowOff>139690</xdr:rowOff>
    </xdr:to>
    <xdr:sp macro="" textlink="">
      <xdr:nvSpPr>
        <xdr:cNvPr id="119" name="AutoShape 525" descr="data:image/jpeg;base64,/9j/4AAQSkZJRgABAQAAAQABAAD/2wCEAAkGBxQSEhUUEBQWFBUVFBUXFRYYFBUVFRcVFhQXFhQVFxQYHCggGBolHBQUIjIhJSkrLi4uFx8zODMsNygtLisBCgoKDQ0OFA8PFCwZFBksLCwrLCwsLCwrLDc3NywrLDcrLCwsNywsKyssKysrLCsrLCwrKysrKysrNysrKysrK//AABEIALgBEQMBIgACEQEDEQH/xAAcAAABBQEBAQAAAAAAAAAAAAAAAQIFBgcDBAj/xABHEAABAwICBgYHBAgFAwUAAAABAAIRAyESMQQFIkFRcQYTMkJhgRQjUoKRobEHM3LBFSQ0Q2KD0fBTc5KTskTh8RYlosLD/8QAFgEBAQEAAAAAAAAAAAAAAAAAAAEC/8QAHBEBAQEBAAIDAAAAAAAAAAAAAAERQQJhEiEx/9oADAMBAAIRAxEAPwDbjVbxHxSGu32h8VTdfacadOIOHES5wMECLbW6TZQA1zU4HEYsahtVdnT5Bu0pq4086Sz2gk9LZ7QWWu10d5GHOesfJpAjC7PNz7ckw6zqHcwPmO08jrSJqd7JrPmppjVPTWe0E06wp+0ssOsTmA3DAMQ8k05IojPMuvyQ3TH3u2ZIJwGMbYOkPHgRDR4ppjUDrSl7X9nJMOuKXtDfvG7NZmNOqboGRjqx37UW+4LngnjTXxm6OGFtwwwRzqOuOIV1caOddUuO8DMZkSPknUtasdGGTOULOPSKmWNwzBdsiJ2nv90bPNTOpdYYNp7jic6wLhs2syNxwifNTTIvOj1g8SOMLqorUulh42YLSMQPFSq1GQhCEAhCEAhCEAhCEAhCEAhebSdOYzMyeAzUTpOtHOy2R8/igmK+lNZ2iPzUbpGufYHmf6KJc7imErOrj0VdOe7Nx+i87qp3krk+ovPUrIO7qyZ6W4GQ4jzXlc9NlBetU6X1tIOOeR5he1ZrW1hVpACm9zROQO/+wn6FruuTBquPmmmNHQqS3WdX/Ed8V7qOnVWYHOcS114N7TB5K6i0IXk9PZxQgpfSj7qSJAd2YkuO4RvvBVXe05EnMtLsIG1nVr57xsSrR0n+7EHaxHDJMC1yY8JVUc1kbsIaLQZNAO2G/idUvyUaDZzwnc4MtvtToR4dspxAiC44YgvxCcAMuqzGbnbCGMM5gPxEE4bddANWpyDNlPbGEEMJbDTgw3LMqVKPB22gUTN4DsRMYhAqOEFnJjNrmkAA8Ww2LmTTafUn8T35+C6AEZknMF1hcXqVveOwE6TmBeZwy2znCBT5U27SBoHtRO3J2okidKPkIAXQDgBMtizrOI/V58GtufFDDa1xA7wu1p9Ubb6js0rDniNtuTiORM6QbezZoQIIAylsExguWB0Obze+/ILqGGfGSC7CO3E1KgvlhhgTJJMiMWIESXQKhb6ochTknxSsw2gS3CIsSTSxRTF95qXPggvnRgjC2G4BgEN9kWgKeUH0dDgBjMuwbRGRO9TisZoQhCoEIQgEIQgEIUJrzpFT0c4STiibNc4DnAU0S1eu1glxhQ+l60LrN2R81WK/Syi4y5zifwlMHSfR97nD3Hx8YU1cTLnJpK8uhaxpVgTSeHAZxu5jcnVdIAyRXVzl5qlfguD6pKYgc55KYhJKIEJEIrzawGxyK8OivhwUjpYljuRUHRq3Cgueq9DNZ2EGLTKl9caHgo07zh2ec3Ve0HSXNhzCQYzCktK1k6q1rXbvmeJVRyxoS4PBIg8nSr7q9mk7TgYLR4HdOXmq0XOJFodixAYzAqkENp8ms2uas/Sj7rLEA7sRJedwjfe/kqwWnLEd7S6Gi+dSv59iUVJjVNLC2XVHNdSAkCdhpDiPEudC9DdApTMvnFM4QNpwwl2e5tvBejTYOitIGEgMLGzEO7oPATEqsSI7QIh4BlxOHPSXfGwQT40KgBk6IaIlo2WnYbnvJkcUdRQGYdN5PWMF3XrOzzixVem+QmWWh3aMDRhnuFylDBGUiHScLrsafX+b3WHggsLXUBky9iB1jM8qTfhccEvpGjjutjjjthZd5gDLFY8SoGDugOkCcIjG4bB5U25+KVkezaJDYb2WmAzm9214hBO+k0csLJOzHWP7T9qJ/Ded2Sd+kaGYDI7Y7Z2fu2mOJNoUFgNwXHeC8Yd96lXy7C6tnOCDIIbIEOIhtLk1u2gsFDXrWANYWtiW2Do2BiqeQHzUlqvXBqujE7cSYIADrtHOFTQRHalsC+O5Y0+rdlnUfY+C9mjaaacxh7RJOIza+kZezkEGi6BUu4Eze3Je1Vzo1Ue7C6pEkEiPZPZz3xCsasZoQhCoEIQg46XVwMc72Wk/ASvmbWmsH1aj3ucSXOJueJX0H010nq9B0h2/qnAczYfVfNtR11OtQOrHiubq7hMEjxSFc64seSovf2ePeNI0llQy4AScpIMZDmrtKpXRC2sdLA4H/k1XRSoEkoQooSIQiBJKEIGvEg8iqsx0EjxVqXi6a6A2lUp1GCG1mBxH8Qzj4hKr1avfLArNqnU/WND3GATYDeB4qo6lqSxaPqP7hnI/UpEdvQWeyhelC0ihdJewI7WI4ZmAYuTHhKq4DYEDZwggYTeiHQxl+8X35K0dJ/ujNmztumCB4HdJt5quYjO4OxW2jArEWZ+FrL81lpYdYB3ooB7Ra0Fw7s5uHJVUutk6LGC8ZNPqm5fvDcqz6eB6GMJlga2ZklzB2hxM5KuAGMtqW9wdtw9Wc/3bboOXn7QJxDN0HSH+4LBPbugDuECTmLaK3ke0UjW2ydEcANlpuP5rv7K7MY42MgmbyLOcJe7L922wQMa0REjDD77U4AZ0l3MusF1wmd2LENxIFUt9V5NZn4pWsO5pPZIbI3Wos5P7RXT0ZxtDo2mk7U4Jms62/FsjwQcmtbFhLYkNw3NMGMF97n35LqGGYm8kF2EdrOrU5EQwLrT0WrmGHFIOT4FQiGe61nzT2ateP3ZgCAMJnq2mWNv3i/aPgg85ncCMiG2F3CGM/lCXJ7DzOUAuF8J2B/NNzyXcarqnNhmTLsIzN6zhfvCGhdG6sq+zBtHZEF1qZz/dt+JKCz9FAAGw7F2pMztTtCeANvJWZVnULurDcYwYQRmDMd4xxz81N/pFnFWJXrQuNHSWuMNXZVAhCEFN+1nSMGr3j2nsb/8AKfyWAOW1fbhXw6HSA71YfANP9Vijkan4am1eyUpSOyPJBdehz/8A3Gv/ABMn44SryVnnQSrOnOPGiP8Ai1aEVKFSIQoBIhCASLoylK7BgCDzBhXj6c6WHM0VgN203E+ZAH/FShVf6VaPZtQbtk8jklDtQPsQtQ1F9wzl+ayXUVaDHFaR0U0qQWHdcfmkSrEhCFpFE6R/dznDuxE4juH5+SrThuLjvaXS0WzqVvMwxWXpGNiBZxdsk5C1yRylVg4YsCRhBDcBvTmGUr94u2j4LLSw6wM6K0xhMMLWzG1IwAxumFWGhsZiNu9zbPST5nZCtWnh3ooBucLQXCLcXjhF1WJtvA2TGPc0+pbb/EdcoLBogLdHZUIjDtBoAkt/dtPiBC8w107+OMRbOFgGWJ1X8Is1e7V7T6KcJl0PJJMgPk4hPAGR5KqYmxkMOEmIcSdHDjIz7TqnyQTh6Qv9l8xiDcTRcmGU8syNpczrt2UujLF1jew2C+p8dlRBY6YtjxROEwKxE4/wtZbmlYBhkNOCAQ3Dfq5htLm521yQSv6YqHccR7vW/vHCzPJm0mfpY+7GeNxmk0w13Nz7cl4Aw5F3FpfDe1E1Kw8ANgFPAvIbwIbsjO1Oj7o24Qev9J1MtkOkg3eR1kTW8ms+aVus3HLD3SBDjZ0jRxz3leQNEXJwxGLEJLWkHHzqP2fELrHEwdqdo2c4eu3ZU25eKDuNPd4ZGYZm1h9dv7zoAUjqnSX4yXmw7WyGy43F+DWwFDg5RGbMILidoW0ZptvEuKUBscWweJJp4vWeZqWHgmLrQ9A04OqSMzDSLW4ZKZVM6Ji9xt9Z6wwQC+B2Z3AQFc1YzQhCFUZb9uVaGaOIm9QxyDR+ax0mbrW/tydtaMPCofm1ZbptPJ7ey75O3hGuPIh2SUpr0RPfZq+dMv8A4bh8AtQKyr7NP2z3H/RaqVKoSIQoBdaTN5XIL0ZIHkphKaSkJQKSvDreljovHhPwuvXKZVuCPAoKhoFSCCr90e0nDUYeMA+dln7KeGDmD2TxgwrbqirstPCFIVpqF4PT28ULTKq9JI6o4rNnaMxbn4mAqy6Z7uLFxJiuRcfhaz5q86TSa4HFB2uyR5yoTXOqy9wwAw8YXRAgdpzgfaMAKNHaYB6IMJ2AxvElzREt5nLzVeaw7859lo2nDZ/22qyawH6s3EIcAyGzYPkYQSN0wq1AjMRDhMOyF9IPmbBBYtEw+iHNjcLhO8ie355+arO1n3sQcG47dbBDKWXZDdpWbRzGiEvGLZJDQMmnstjwEfBVkNMEYjvbjwgQ4yX1s+6Iag44W5E7GEicRnqQZqP/ABF+zyXenJPdFTFltQKxaMIz7LafzXXRNFfUJwNnCA8tLmtAAtTpGRke2V66ep6hABIIs3F1jZLXbT327xOyPBBHtwxYSzDlhdJog7Lebql+S7YTPB0uBMfvImrUvuw7I8V7v0XU7U0w674xyA8bIFu61t+aX9Ebi+nhlrO26TT7TR+Jz78kHhp3uG22SG4W5G1Gn7vbKcBzI8rhp2jzqusvaNW2k1qeKHOkSRjNqzr7sIgcF1/RzAbVWC4aNich+rj3c/FBHv5kZg7URN6jv5Y2RzStccx2pBDS+2OIpMyywy8+K97NXU8zVtAJikbtB9aM++7Pkuo1a24NV87QkMI2jcu8m7KCV6KGzYjBi2Dvc3e4+JMq4KmatrMokluN1wQC2IBADWgeGalB0gvlGd93gc9+5JUxPoUfS01xwkgQ4x/YUgtIyT7ce3o/4an1aspLjETaclq/25Da0Y/w1Pq1ZPIUa4aSFzcuhg+C5uComvs2/bB+F/0WqlZX9nH7YPwv+i1MrNQJEIRSszXdxXBua6OKIQlNlIiUUSkJQmkqCk6v0kGlUBnY0l4HANcd3nNlc9VhoaMJOU3VQp0QxhbF3VHvdzJOH5Kw9HnE5+CuotHXFKvR6GeCFBZToVPPAEo0RgyaF3Qtop3SMbFQCwmCbbIm7vCBdU/FbL2bYuBIoNt7RuVceko2anCZIiS4T2QN85KoHF5z/ABicLn+U1ZaWDV/7KcBBdD5M2xycdzumVVhhAyGANmMJJNAEy2/ec/5K0aJB0S8sbhIneWjJ3iTn5quYjO7FiBALzAqwRTp23Bu0fFBM9GAcVUHwxmIxPMkxxAaWjyUdpNV7HuY3DsnCIZIxunqr/wDNSXRdgl8G0ANuZLQ4y4zvLsXkFEayjrX3GHaDZcbM/6h8DIgWCBHac/cT5Ux2aZ2/wDcOSQaZVJ7RByOy0DE8T8KTV5XchMsjM3y0Vv5lPYB4RD74TkI9Jdn3jYIO40p9zieRYxIFmWptyzqG6Q13ZF7o2gXYxk69Z/udkJrWmcodLe7bG4ep8qbc06BGRwwTGG5Y07TOdR1+SBxrPmQXEy0hpefvIijT5YZcUgIjMlkROJ0mkDLnc3VLck4NM3JBuC7ZABIBdV9wbCe07wLyCGy3OIZS5RtoEgzeA/EZu6BUI9d5NZAHiumjBoc2RaWWgmxP6u3yuSmkCLklsRixXLAZD+dR+zyS4s8RjtScTrEj9Y/0NsEIs+r9b43BgDr4iDEAYDhJz3nJXGgZaJ4D6LPej4PWGIjCMVySBA6kD3bnxK0HR+y3kPorErL/tzZs6M7gag+Ib/RY+B81tf240v1Wi7hVj4tP9FixVXhiR6ckOSonPs7bGmN/C/6LTys06Aj9cH+W76LSys0IhKkUAnEpqAVEKkQhFIudd8NJ4ArovBrqrhou8YHxKCtUrq2dHKU4RxcB8Sqto4V/wChei4nt4N2j+SkKu/o4Qu6FvGQhCFRVNd0S/GGxikls2GIXE+CqWn6AaVnRGEmQCdnOt7ziQAtB0jRKhLgAIcZmRK8mkakdUADxYOB7W8XHkstagtFcfRZcMRwk4IyByZHgIHkq6G2iTmQXbIg5vreQhoVx0rQeppvYyxhxkmbm5M+apoAjs7OGYwkk0QTsX3uffkgnOjR2nyLkNkSDgFw1kcgD5qH08+teYIvJAgQGnZYP8wqY6MgzUndGIwBieZJIjMAQ3yUPp4d11Te4OEnDIc9wIpXO5guUHlcb5nN0nFEF33x/liwSscLRlDCBiOQgaM3Lvdooc0cLQZ2W9lp9Z/uuT2B05kHyG04X/2m2/ogQtG8iIfeTOHPSnfHZC7CZ3YsTYsYDyPUDk1tz4rljPjGyYLgOzai3L94655Jwje60PBOPum+kP5tOyEDhHAlsG2EyaYO23m99+QXVzDOcGSC7CID4l9TkG7HNc2ZiIxYmwJJirh9S3kGbR8U+W4bCWRwdJpAxH4nVPkgcTwb7JDYbabU6fuDbQ22Um3EXDTb/dd9EBpkyRil0uw2xxNZ48MMNHilpichHZI2W2keqH8sXPNBJ6hjrLuvDoGKcTiQahj+Ew0LQtH7LeQ+iz/ULvWWaYLTBsMIBjd7Zly0DR+y3kPorEqmfa9ovWaAd2Gowyd0mPzWC1BC+j/tB0brNX6QODMX+kz+S+b3CLf3Cqw0pDv5JyR2RVFi+z79qH+W76LSCs7+zwfrJ/yz9QtEKxQJEqECJEqRQCJQkhASvfrDVw/RtZ7hd0Obya4R8VHEKQ6bazbS0GlQB26jWSN4Y2CSeZgIKLoDJIC13onoQZSDt7voFl+oqcmeC1zUP3FPl+ZTxSpBCELaBCEIBCEIKz0jA9ZiMCL/AAVFkzmMWIWxOIFYg4G23Blz4q+dIM32xWy42VDeLEFxjaaXS0WzqVuYswFZaTHRaJfBtAwZ9mTLjO8uxKJ1gB1rr22wJLpwf9Q4x4WCmOjWdSRchpN5w54WD3QD5qK1ifWvtFwS2QIwnYZH8Zz4wg8RGVhmwgQ43y0VvlmU4AW4bV8G5pHpB991gugHE+3O1kXXrkR7AsEgI8O5AlxytorfPtFArWmd4dIvhHacNg55Um/NKDaYMWIbYSGmGU+dQ7SaGjfEQ+4BJwi+knm42C6kGctqRfDYPcPVnPJjM/EoEncXbnAuxDKxq1R+EwwJ7XmbAYyRbFIFTDDWW3Bm0fFIG8AYiQMIu0GBT5vdtcgnhovidxBdLZ41Knx2EDABHFsNAu6SwO9V5uqXPguh3gxfFisT46Sb8bNCSTPAzOHEIDyLstuYza5lDSN17NgFzrgfs494yTyQS2oAesN4EbQiJJA6sD8LIB8StA0fst5D6LPdRYetE3dhfhImO0OucZ4vsPALQqHZHIfRWJXDWtDrKNRh7zHD4gr5h0miQ5wObSQfIwvqgrKOl3QXB1ppSWVSXTE4TMxZKRkxam1MvJWH/wBOPpkyQbGOM8io6pqao0XE2V1Uz9nQ/WH/AOV/9gtAVF+zqiRWqkjKmB54v+yvSzUCRKkUUJEqRAJEIQISqRpGkOqVHOcS4zmTNhkOSuOmvwseeDT9FSKKlFm1A2xWp6geDQZG4QecrMtSNhgVi0HSHMILXEedjzC1EX1Civ0oeCFdRKoQhUCEIQQmsaWJ7srCTfwVY1nqtjaYNNg2RBbmXNknB/qMq8V9AY8y4SeZCaNW0+HzKmLqkdHtGew1Mc7gSRGJ2bncrgeSitOaetfvOLPDm8g4DJ3MF1oGtNHa0NwiJneVn2sA3rHZRt4ZxE4M65MfAKK4N88uDRLWn/8AVyCDO+ZPeA2nAdYbf4bbBJF8hMtjZJuf2cX9gXKdHOwPdbJa0jrM/wDEcgMXCO6YLjutozfe7RTRh4gjbkyScEzpDueLZC6XnMg3vsi7htO/lNtzQHnMT3SG494tRYbd+7igXAZtGLEO6YFQtHVnk2n80MaNzSWwCG4c2TDKd95dtppwxc7OF0nESTTkGs7mXw0LoQZ3B2Lg4gVS255Np25lAYNxJOYLtm8GalT3zsJ5nxbn3gILht5f4TcuaawC2EWhsDCezMUWX3gy8p0cyLzstvhO3/uOt5IJTUBOMwBGEScRJAECkOZbLjzV/wBH7LeQ+iz/AFH95d14da20TBdYbmWatAodlvIfRWJXRIWg5pUKog9ZdHWPuyGnhFj/AEVV07VApH1lJvPCCD5rRk2pTDhDgCOBWb4rrNKLGMnA1rZzgAT8F0kK06x6L033pHqzwzb/ANlWNYan0ijmwub7Tbj+qz9xTCkXhbp24r0M0gHehjqkSSklUKhJKaSg8Gv6uGg7xgfFVXRgp7pPiLGhoJGKSQCRYbzuULoLJIHioLjqmgS0BoJMTYSrLrHR8DaOzhJZe2+d6jtQawNAyG4gRBvHwU5rrT2VWMwGTMkbxbJaQkIXp9DdwQgnUIQtIEIQgEIQgjNdZN8/yWd6xPrXyLyCW4gIg+qZH8brlaJrnJvn+SoGsKL+seQHWIl2Gxc8HC6eDAs1qI/PeO/O0TnfSXW4DZCfnEAdwgQ43MDRh5C5TMYGc7rSBLWnYH8x2fFPFQb3e3JxbzBrm3sDZCBQ0RxbB7ubWn1ue+o6w8E7Cd8gznDQAXC7+VNtkwVBuidiAcXaIjRhyAlxQ5zYykQ4nZklgd60c3vy8EHU5iJ7pALh2halTP4rvKS0XdLYIJxSTTmXOtvc/Z5BNvMGQZgnDEOIBNTkxuzzKe15Fw0zYhthciKdMiOEvKB5F7wHS6e1GMj13k1kAeJSsGUCOzGyd49QL+yJcVzB5lsROK5YDsutve+3ILocW+O9iMu4TpBHKzWoJPUQHWWb3TBgANANz77pcr/Q7I5D6KhahY/GTYCNoRvIHVgfhZE+JV9odkcgrErohCFUCEIQCEIQRusNR0K33lME8RZ3xCrOn9At+j1iP4XiR8R/RXhCmRdZTpWpNOo50TUHGmcXyzXj9Pc21WnUpnfiY4fNbEmVKYdZwBHAiVPiu+mTU9NY7JwPmuvWBaHpXR3RanboUyeIaAfkvLQ6I6Kx0hhPgXuI+BTKmn9FdCw0AXC7ziuN27+/Fe+tqui/t0mHm0L1gRklWkRb9Q0D3I5EhLo2pKTHYhJjKTYKTQmAQhCAQhCAQhCAQhCCO1uQA2cpvCh61MPDmwcLgRB4FCFmrEKOjLyZt3j2Sbi1E+6Pmu1Loo7eXHsDsgWF3/6jmhCGvQ3omd5fMPvIF3788wLBelnRYTJB7TDd3sCG/wBUIVw13PRdp7TR2S3M5E4iPiF2b0bZMw2ZLsjmRhnPhZKhMNdqeoGDc3cOyMhl8F2bqdg/8DfmhCYjq3VrPFexrYEIQqFQhCAQhCAQhCAQhCAQhCAQhCAQhCAQhCAQhCD/2Q==">
          <a:extLst>
            <a:ext uri="{FF2B5EF4-FFF2-40B4-BE49-F238E27FC236}">
              <a16:creationId xmlns:a16="http://schemas.microsoft.com/office/drawing/2014/main" id="{00000000-0008-0000-2400-000077000000}"/>
            </a:ext>
          </a:extLst>
        </xdr:cNvPr>
        <xdr:cNvSpPr>
          <a:spLocks noChangeAspect="1" noChangeArrowheads="1"/>
        </xdr:cNvSpPr>
      </xdr:nvSpPr>
      <xdr:spPr bwMode="auto">
        <a:xfrm>
          <a:off x="6629400" y="111318675"/>
          <a:ext cx="304800" cy="1766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167</xdr:row>
      <xdr:rowOff>0</xdr:rowOff>
    </xdr:from>
    <xdr:to>
      <xdr:col>6</xdr:col>
      <xdr:colOff>304800</xdr:colOff>
      <xdr:row>170</xdr:row>
      <xdr:rowOff>914178</xdr:rowOff>
    </xdr:to>
    <xdr:sp macro="" textlink="">
      <xdr:nvSpPr>
        <xdr:cNvPr id="120" name="AutoShape 526" descr="data:image/jpeg;base64,/9j/4AAQSkZJRgABAQAAAQABAAD/2wCEAAkGBxQSEhUUEBQWFBUVFBUXFRYYFBUVFRcVFhQXFhQVFxQYHCggGBolHBQUIjIhJSkrLi4uFx8zODMsNygtLisBCgoKDQ0OFA8PFCwZFBksLCwrLCwsLCwrLDc3NywrLDcrLCwsNywsKyssKysrLCsrLCwrKysrKysrNysrKysrK//AABEIALgBEQMBIgACEQEDEQH/xAAcAAABBQEBAQAAAAAAAAAAAAAAAQIFBgcDBAj/xABHEAABAwICBgYHBAgFAwUAAAABAAIRAyESMQQFIkFRcQYTMkJhgRQjUoKRobEHM3LBFSQ0Q2KD0fBTc5KTskTh8RYlosLD/8QAFgEBAQEAAAAAAAAAAAAAAAAAAAEC/8QAHBEBAQEBAAIDAAAAAAAAAAAAAAERQQJhEiEx/9oADAMBAAIRAxEAPwDbjVbxHxSGu32h8VTdfacadOIOHES5wMECLbW6TZQA1zU4HEYsahtVdnT5Bu0pq4086Sz2gk9LZ7QWWu10d5GHOesfJpAjC7PNz7ckw6zqHcwPmO08jrSJqd7JrPmppjVPTWe0E06wp+0ssOsTmA3DAMQ8k05IojPMuvyQ3TH3u2ZIJwGMbYOkPHgRDR4ppjUDrSl7X9nJMOuKXtDfvG7NZmNOqboGRjqx37UW+4LngnjTXxm6OGFtwwwRzqOuOIV1caOddUuO8DMZkSPknUtasdGGTOULOPSKmWNwzBdsiJ2nv90bPNTOpdYYNp7jic6wLhs2syNxwifNTTIvOj1g8SOMLqorUulh42YLSMQPFSq1GQhCEAhCEAhCEAhCEAhCEAhebSdOYzMyeAzUTpOtHOy2R8/igmK+lNZ2iPzUbpGufYHmf6KJc7imErOrj0VdOe7Nx+i87qp3krk+ovPUrIO7qyZ6W4GQ4jzXlc9NlBetU6X1tIOOeR5he1ZrW1hVpACm9zROQO/+wn6FruuTBquPmmmNHQqS3WdX/Ed8V7qOnVWYHOcS114N7TB5K6i0IXk9PZxQgpfSj7qSJAd2YkuO4RvvBVXe05EnMtLsIG1nVr57xsSrR0n+7EHaxHDJMC1yY8JVUc1kbsIaLQZNAO2G/idUvyUaDZzwnc4MtvtToR4dspxAiC44YgvxCcAMuqzGbnbCGMM5gPxEE4bddANWpyDNlPbGEEMJbDTgw3LMqVKPB22gUTN4DsRMYhAqOEFnJjNrmkAA8Ww2LmTTafUn8T35+C6AEZknMF1hcXqVveOwE6TmBeZwy2znCBT5U27SBoHtRO3J2okidKPkIAXQDgBMtizrOI/V58GtufFDDa1xA7wu1p9Ubb6js0rDniNtuTiORM6QbezZoQIIAylsExguWB0Obze+/ILqGGfGSC7CO3E1KgvlhhgTJJMiMWIESXQKhb6ochTknxSsw2gS3CIsSTSxRTF95qXPggvnRgjC2G4BgEN9kWgKeUH0dDgBjMuwbRGRO9TisZoQhCoEIQgEIQgEIUJrzpFT0c4STiibNc4DnAU0S1eu1glxhQ+l60LrN2R81WK/Syi4y5zifwlMHSfR97nD3Hx8YU1cTLnJpK8uhaxpVgTSeHAZxu5jcnVdIAyRXVzl5qlfguD6pKYgc55KYhJKIEJEIrzawGxyK8OivhwUjpYljuRUHRq3Cgueq9DNZ2EGLTKl9caHgo07zh2ec3Ve0HSXNhzCQYzCktK1k6q1rXbvmeJVRyxoS4PBIg8nSr7q9mk7TgYLR4HdOXmq0XOJFodixAYzAqkENp8ms2uas/Sj7rLEA7sRJedwjfe/kqwWnLEd7S6Gi+dSv59iUVJjVNLC2XVHNdSAkCdhpDiPEudC9DdApTMvnFM4QNpwwl2e5tvBejTYOitIGEgMLGzEO7oPATEqsSI7QIh4BlxOHPSXfGwQT40KgBk6IaIlo2WnYbnvJkcUdRQGYdN5PWMF3XrOzzixVem+QmWWh3aMDRhnuFylDBGUiHScLrsafX+b3WHggsLXUBky9iB1jM8qTfhccEvpGjjutjjjthZd5gDLFY8SoGDugOkCcIjG4bB5U25+KVkezaJDYb2WmAzm9214hBO+k0csLJOzHWP7T9qJ/Ded2Sd+kaGYDI7Y7Z2fu2mOJNoUFgNwXHeC8Yd96lXy7C6tnOCDIIbIEOIhtLk1u2gsFDXrWANYWtiW2Do2BiqeQHzUlqvXBqujE7cSYIADrtHOFTQRHalsC+O5Y0+rdlnUfY+C9mjaaacxh7RJOIza+kZezkEGi6BUu4Eze3Je1Vzo1Ue7C6pEkEiPZPZz3xCsasZoQhCoEIQg46XVwMc72Wk/ASvmbWmsH1aj3ucSXOJueJX0H010nq9B0h2/qnAczYfVfNtR11OtQOrHiubq7hMEjxSFc64seSovf2ePeNI0llQy4AScpIMZDmrtKpXRC2sdLA4H/k1XRSoEkoQooSIQiBJKEIGvEg8iqsx0EjxVqXi6a6A2lUp1GCG1mBxH8Qzj4hKr1avfLArNqnU/WND3GATYDeB4qo6lqSxaPqP7hnI/UpEdvQWeyhelC0ihdJewI7WI4ZmAYuTHhKq4DYEDZwggYTeiHQxl+8X35K0dJ/ujNmztumCB4HdJt5quYjO4OxW2jArEWZ+FrL81lpYdYB3ooB7Ra0Fw7s5uHJVUutk6LGC8ZNPqm5fvDcqz6eB6GMJlga2ZklzB2hxM5KuAGMtqW9wdtw9Wc/3bboOXn7QJxDN0HSH+4LBPbugDuECTmLaK3ke0UjW2ydEcANlpuP5rv7K7MY42MgmbyLOcJe7L922wQMa0REjDD77U4AZ0l3MusF1wmd2LENxIFUt9V5NZn4pWsO5pPZIbI3Wos5P7RXT0ZxtDo2mk7U4Jms62/FsjwQcmtbFhLYkNw3NMGMF97n35LqGGYm8kF2EdrOrU5EQwLrT0WrmGHFIOT4FQiGe61nzT2ateP3ZgCAMJnq2mWNv3i/aPgg85ncCMiG2F3CGM/lCXJ7DzOUAuF8J2B/NNzyXcarqnNhmTLsIzN6zhfvCGhdG6sq+zBtHZEF1qZz/dt+JKCz9FAAGw7F2pMztTtCeANvJWZVnULurDcYwYQRmDMd4xxz81N/pFnFWJXrQuNHSWuMNXZVAhCEFN+1nSMGr3j2nsb/8AKfyWAOW1fbhXw6HSA71YfANP9Vijkan4am1eyUpSOyPJBdehz/8A3Gv/ABMn44SryVnnQSrOnOPGiP8Ai1aEVKFSIQoBIhCASLoylK7BgCDzBhXj6c6WHM0VgN203E+ZAH/FShVf6VaPZtQbtk8jklDtQPsQtQ1F9wzl+ayXUVaDHFaR0U0qQWHdcfmkSrEhCFpFE6R/dznDuxE4juH5+SrThuLjvaXS0WzqVvMwxWXpGNiBZxdsk5C1yRylVg4YsCRhBDcBvTmGUr94u2j4LLSw6wM6K0xhMMLWzG1IwAxumFWGhsZiNu9zbPST5nZCtWnh3ooBucLQXCLcXjhF1WJtvA2TGPc0+pbb/EdcoLBogLdHZUIjDtBoAkt/dtPiBC8w107+OMRbOFgGWJ1X8Is1e7V7T6KcJl0PJJMgPk4hPAGR5KqYmxkMOEmIcSdHDjIz7TqnyQTh6Qv9l8xiDcTRcmGU8syNpczrt2UujLF1jew2C+p8dlRBY6YtjxROEwKxE4/wtZbmlYBhkNOCAQ3Dfq5htLm521yQSv6YqHccR7vW/vHCzPJm0mfpY+7GeNxmk0w13Nz7cl4Aw5F3FpfDe1E1Kw8ANgFPAvIbwIbsjO1Oj7o24Qev9J1MtkOkg3eR1kTW8ms+aVus3HLD3SBDjZ0jRxz3leQNEXJwxGLEJLWkHHzqP2fELrHEwdqdo2c4eu3ZU25eKDuNPd4ZGYZm1h9dv7zoAUjqnSX4yXmw7WyGy43F+DWwFDg5RGbMILidoW0ZptvEuKUBscWweJJp4vWeZqWHgmLrQ9A04OqSMzDSLW4ZKZVM6Ji9xt9Z6wwQC+B2Z3AQFc1YzQhCFUZb9uVaGaOIm9QxyDR+ax0mbrW/tydtaMPCofm1ZbptPJ7ey75O3hGuPIh2SUpr0RPfZq+dMv8A4bh8AtQKyr7NP2z3H/RaqVKoSIQoBdaTN5XIL0ZIHkphKaSkJQKSvDreljovHhPwuvXKZVuCPAoKhoFSCCr90e0nDUYeMA+dln7KeGDmD2TxgwrbqirstPCFIVpqF4PT28ULTKq9JI6o4rNnaMxbn4mAqy6Z7uLFxJiuRcfhaz5q86TSa4HFB2uyR5yoTXOqy9wwAw8YXRAgdpzgfaMAKNHaYB6IMJ2AxvElzREt5nLzVeaw7859lo2nDZ/22qyawH6s3EIcAyGzYPkYQSN0wq1AjMRDhMOyF9IPmbBBYtEw+iHNjcLhO8ie355+arO1n3sQcG47dbBDKWXZDdpWbRzGiEvGLZJDQMmnstjwEfBVkNMEYjvbjwgQ4yX1s+6Iag44W5E7GEicRnqQZqP/ABF+zyXenJPdFTFltQKxaMIz7LafzXXRNFfUJwNnCA8tLmtAAtTpGRke2V66ep6hABIIs3F1jZLXbT327xOyPBBHtwxYSzDlhdJog7Lebql+S7YTPB0uBMfvImrUvuw7I8V7v0XU7U0w674xyA8bIFu61t+aX9Ebi+nhlrO26TT7TR+Jz78kHhp3uG22SG4W5G1Gn7vbKcBzI8rhp2jzqusvaNW2k1qeKHOkSRjNqzr7sIgcF1/RzAbVWC4aNich+rj3c/FBHv5kZg7URN6jv5Y2RzStccx2pBDS+2OIpMyywy8+K97NXU8zVtAJikbtB9aM++7Pkuo1a24NV87QkMI2jcu8m7KCV6KGzYjBi2Dvc3e4+JMq4KmatrMokluN1wQC2IBADWgeGalB0gvlGd93gc9+5JUxPoUfS01xwkgQ4x/YUgtIyT7ce3o/4an1aspLjETaclq/25Da0Y/w1Pq1ZPIUa4aSFzcuhg+C5uComvs2/bB+F/0WqlZX9nH7YPwv+i1MrNQJEIRSszXdxXBua6OKIQlNlIiUUSkJQmkqCk6v0kGlUBnY0l4HANcd3nNlc9VhoaMJOU3VQp0QxhbF3VHvdzJOH5Kw9HnE5+CuotHXFKvR6GeCFBZToVPPAEo0RgyaF3Qtop3SMbFQCwmCbbIm7vCBdU/FbL2bYuBIoNt7RuVceko2anCZIiS4T2QN85KoHF5z/ABicLn+U1ZaWDV/7KcBBdD5M2xycdzumVVhhAyGANmMJJNAEy2/ec/5K0aJB0S8sbhIneWjJ3iTn5quYjO7FiBALzAqwRTp23Bu0fFBM9GAcVUHwxmIxPMkxxAaWjyUdpNV7HuY3DsnCIZIxunqr/wDNSXRdgl8G0ANuZLQ4y4zvLsXkFEayjrX3GHaDZcbM/6h8DIgWCBHac/cT5Ux2aZ2/wDcOSQaZVJ7RByOy0DE8T8KTV5XchMsjM3y0Vv5lPYB4RD74TkI9Jdn3jYIO40p9zieRYxIFmWptyzqG6Q13ZF7o2gXYxk69Z/udkJrWmcodLe7bG4ep8qbc06BGRwwTGG5Y07TOdR1+SBxrPmQXEy0hpefvIijT5YZcUgIjMlkROJ0mkDLnc3VLck4NM3JBuC7ZABIBdV9wbCe07wLyCGy3OIZS5RtoEgzeA/EZu6BUI9d5NZAHiumjBoc2RaWWgmxP6u3yuSmkCLklsRixXLAZD+dR+zyS4s8RjtScTrEj9Y/0NsEIs+r9b43BgDr4iDEAYDhJz3nJXGgZaJ4D6LPej4PWGIjCMVySBA6kD3bnxK0HR+y3kPorErL/tzZs6M7gag+Ib/RY+B81tf240v1Wi7hVj4tP9FixVXhiR6ckOSonPs7bGmN/C/6LTys06Aj9cH+W76LSys0IhKkUAnEpqAVEKkQhFIudd8NJ4ArovBrqrhou8YHxKCtUrq2dHKU4RxcB8Sqto4V/wChei4nt4N2j+SkKu/o4Qu6FvGQhCFRVNd0S/GGxikls2GIXE+CqWn6AaVnRGEmQCdnOt7ziQAtB0jRKhLgAIcZmRK8mkakdUADxYOB7W8XHkstagtFcfRZcMRwk4IyByZHgIHkq6G2iTmQXbIg5vreQhoVx0rQeppvYyxhxkmbm5M+apoAjs7OGYwkk0QTsX3uffkgnOjR2nyLkNkSDgFw1kcgD5qH08+teYIvJAgQGnZYP8wqY6MgzUndGIwBieZJIjMAQ3yUPp4d11Te4OEnDIc9wIpXO5guUHlcb5nN0nFEF33x/liwSscLRlDCBiOQgaM3Lvdooc0cLQZ2W9lp9Z/uuT2B05kHyG04X/2m2/ogQtG8iIfeTOHPSnfHZC7CZ3YsTYsYDyPUDk1tz4rljPjGyYLgOzai3L94655Jwje60PBOPum+kP5tOyEDhHAlsG2EyaYO23m99+QXVzDOcGSC7CID4l9TkG7HNc2ZiIxYmwJJirh9S3kGbR8U+W4bCWRwdJpAxH4nVPkgcTwb7JDYbabU6fuDbQ22Um3EXDTb/dd9EBpkyRil0uw2xxNZ48MMNHilpichHZI2W2keqH8sXPNBJ6hjrLuvDoGKcTiQahj+Ew0LQtH7LeQ+iz/ULvWWaYLTBsMIBjd7Zly0DR+y3kPorEqmfa9ovWaAd2Gowyd0mPzWC1BC+j/tB0brNX6QODMX+kz+S+b3CLf3Cqw0pDv5JyR2RVFi+z79qH+W76LSCs7+zwfrJ/yz9QtEKxQJEqECJEqRQCJQkhASvfrDVw/RtZ7hd0Obya4R8VHEKQ6bazbS0GlQB26jWSN4Y2CSeZgIKLoDJIC13onoQZSDt7voFl+oqcmeC1zUP3FPl+ZTxSpBCELaBCEIBCEIKz0jA9ZiMCL/AAVFkzmMWIWxOIFYg4G23Blz4q+dIM32xWy42VDeLEFxjaaXS0WzqVuYswFZaTHRaJfBtAwZ9mTLjO8uxKJ1gB1rr22wJLpwf9Q4x4WCmOjWdSRchpN5w54WD3QD5qK1ifWvtFwS2QIwnYZH8Zz4wg8RGVhmwgQ43y0VvlmU4AW4bV8G5pHpB991gugHE+3O1kXXrkR7AsEgI8O5AlxytorfPtFArWmd4dIvhHacNg55Um/NKDaYMWIbYSGmGU+dQ7SaGjfEQ+4BJwi+knm42C6kGctqRfDYPcPVnPJjM/EoEncXbnAuxDKxq1R+EwwJ7XmbAYyRbFIFTDDWW3Bm0fFIG8AYiQMIu0GBT5vdtcgnhovidxBdLZ41Knx2EDABHFsNAu6SwO9V5uqXPguh3gxfFisT46Sb8bNCSTPAzOHEIDyLstuYza5lDSN17NgFzrgfs494yTyQS2oAesN4EbQiJJA6sD8LIB8StA0fst5D6LPdRYetE3dhfhImO0OucZ4vsPALQqHZHIfRWJXDWtDrKNRh7zHD4gr5h0miQ5wObSQfIwvqgrKOl3QXB1ppSWVSXTE4TMxZKRkxam1MvJWH/wBOPpkyQbGOM8io6pqao0XE2V1Uz9nQ/WH/AOV/9gtAVF+zqiRWqkjKmB54v+yvSzUCRKkUUJEqRAJEIQISqRpGkOqVHOcS4zmTNhkOSuOmvwseeDT9FSKKlFm1A2xWp6geDQZG4QecrMtSNhgVi0HSHMILXEedjzC1EX1Civ0oeCFdRKoQhUCEIQQmsaWJ7srCTfwVY1nqtjaYNNg2RBbmXNknB/qMq8V9AY8y4SeZCaNW0+HzKmLqkdHtGew1Mc7gSRGJ2bncrgeSitOaetfvOLPDm8g4DJ3MF1oGtNHa0NwiJneVn2sA3rHZRt4ZxE4M65MfAKK4N88uDRLWn/8AVyCDO+ZPeA2nAdYbf4bbBJF8hMtjZJuf2cX9gXKdHOwPdbJa0jrM/wDEcgMXCO6YLjutozfe7RTRh4gjbkyScEzpDueLZC6XnMg3vsi7htO/lNtzQHnMT3SG494tRYbd+7igXAZtGLEO6YFQtHVnk2n80MaNzSWwCG4c2TDKd95dtppwxc7OF0nESTTkGs7mXw0LoQZ3B2Lg4gVS255Np25lAYNxJOYLtm8GalT3zsJ5nxbn3gILht5f4TcuaawC2EWhsDCezMUWX3gy8p0cyLzstvhO3/uOt5IJTUBOMwBGEScRJAECkOZbLjzV/wBH7LeQ+iz/AFH95d14da20TBdYbmWatAodlvIfRWJXRIWg5pUKog9ZdHWPuyGnhFj/AEVV07VApH1lJvPCCD5rRk2pTDhDgCOBWb4rrNKLGMnA1rZzgAT8F0kK06x6L033pHqzwzb/ANlWNYan0ijmwub7Tbj+qz9xTCkXhbp24r0M0gHehjqkSSklUKhJKaSg8Gv6uGg7xgfFVXRgp7pPiLGhoJGKSQCRYbzuULoLJIHioLjqmgS0BoJMTYSrLrHR8DaOzhJZe2+d6jtQawNAyG4gRBvHwU5rrT2VWMwGTMkbxbJaQkIXp9DdwQgnUIQtIEIQgEIQgjNdZN8/yWd6xPrXyLyCW4gIg+qZH8brlaJrnJvn+SoGsKL+seQHWIl2Gxc8HC6eDAs1qI/PeO/O0TnfSXW4DZCfnEAdwgQ43MDRh5C5TMYGc7rSBLWnYH8x2fFPFQb3e3JxbzBrm3sDZCBQ0RxbB7ubWn1ue+o6w8E7Cd8gznDQAXC7+VNtkwVBuidiAcXaIjRhyAlxQ5zYykQ4nZklgd60c3vy8EHU5iJ7pALh2halTP4rvKS0XdLYIJxSTTmXOtvc/Z5BNvMGQZgnDEOIBNTkxuzzKe15Fw0zYhthciKdMiOEvKB5F7wHS6e1GMj13k1kAeJSsGUCOzGyd49QL+yJcVzB5lsROK5YDsutve+3ILocW+O9iMu4TpBHKzWoJPUQHWWb3TBgANANz77pcr/Q7I5D6KhahY/GTYCNoRvIHVgfhZE+JV9odkcgrErohCFUCEIQCEIQRusNR0K33lME8RZ3xCrOn9At+j1iP4XiR8R/RXhCmRdZTpWpNOo50TUHGmcXyzXj9Pc21WnUpnfiY4fNbEmVKYdZwBHAiVPiu+mTU9NY7JwPmuvWBaHpXR3RanboUyeIaAfkvLQ6I6Kx0hhPgXuI+BTKmn9FdCw0AXC7ziuN27+/Fe+tqui/t0mHm0L1gRklWkRb9Q0D3I5EhLo2pKTHYhJjKTYKTQmAQhCAQhCAQhCAQhCCO1uQA2cpvCh61MPDmwcLgRB4FCFmrEKOjLyZt3j2Sbi1E+6Pmu1Loo7eXHsDsgWF3/6jmhCGvQ3omd5fMPvIF3788wLBelnRYTJB7TDd3sCG/wBUIVw13PRdp7TR2S3M5E4iPiF2b0bZMw2ZLsjmRhnPhZKhMNdqeoGDc3cOyMhl8F2bqdg/8DfmhCYjq3VrPFexrYEIQqFQhCAQhCAQhCAQhCAQhCAQhCAQhCAQhCAQhCD/2Q==">
          <a:extLst>
            <a:ext uri="{FF2B5EF4-FFF2-40B4-BE49-F238E27FC236}">
              <a16:creationId xmlns:a16="http://schemas.microsoft.com/office/drawing/2014/main" id="{00000000-0008-0000-2400-000078000000}"/>
            </a:ext>
          </a:extLst>
        </xdr:cNvPr>
        <xdr:cNvSpPr>
          <a:spLocks noChangeAspect="1" noChangeArrowheads="1"/>
        </xdr:cNvSpPr>
      </xdr:nvSpPr>
      <xdr:spPr bwMode="auto">
        <a:xfrm>
          <a:off x="6629400" y="111318675"/>
          <a:ext cx="304800" cy="2544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167</xdr:row>
      <xdr:rowOff>0</xdr:rowOff>
    </xdr:from>
    <xdr:to>
      <xdr:col>6</xdr:col>
      <xdr:colOff>304800</xdr:colOff>
      <xdr:row>169</xdr:row>
      <xdr:rowOff>594564</xdr:rowOff>
    </xdr:to>
    <xdr:sp macro="" textlink="">
      <xdr:nvSpPr>
        <xdr:cNvPr id="121" name="AutoShape 527" descr="data:image/jpeg;base64,/9j/4AAQSkZJRgABAQAAAQABAAD/2wCEAAkGBxQSEhUUEBQWFBUVFBUXFRYYFBUVFRcVFhQXFhQVFxQYHCggGBolHBQUIjIhJSkrLi4uFx8zODMsNygtLisBCgoKDQ0OFA8PFCwZFBksLCwrLCwsLCwrLDc3NywrLDcrLCwsNywsKyssKysrLCsrLCwrKysrKysrNysrKysrK//AABEIALgBEQMBIgACEQEDEQH/xAAcAAABBQEBAQAAAAAAAAAAAAAAAQIFBgcDBAj/xABHEAABAwICBgYHBAgFAwUAAAABAAIRAyESMQQFIkFRcQYTMkJhgRQjUoKRobEHM3LBFSQ0Q2KD0fBTc5KTskTh8RYlosLD/8QAFgEBAQEAAAAAAAAAAAAAAAAAAAEC/8QAHBEBAQEBAAIDAAAAAAAAAAAAAAERQQJhEiEx/9oADAMBAAIRAxEAPwDbjVbxHxSGu32h8VTdfacadOIOHES5wMECLbW6TZQA1zU4HEYsahtVdnT5Bu0pq4086Sz2gk9LZ7QWWu10d5GHOesfJpAjC7PNz7ckw6zqHcwPmO08jrSJqd7JrPmppjVPTWe0E06wp+0ssOsTmA3DAMQ8k05IojPMuvyQ3TH3u2ZIJwGMbYOkPHgRDR4ppjUDrSl7X9nJMOuKXtDfvG7NZmNOqboGRjqx37UW+4LngnjTXxm6OGFtwwwRzqOuOIV1caOddUuO8DMZkSPknUtasdGGTOULOPSKmWNwzBdsiJ2nv90bPNTOpdYYNp7jic6wLhs2syNxwifNTTIvOj1g8SOMLqorUulh42YLSMQPFSq1GQhCEAhCEAhCEAhCEAhCEAhebSdOYzMyeAzUTpOtHOy2R8/igmK+lNZ2iPzUbpGufYHmf6KJc7imErOrj0VdOe7Nx+i87qp3krk+ovPUrIO7qyZ6W4GQ4jzXlc9NlBetU6X1tIOOeR5he1ZrW1hVpACm9zROQO/+wn6FruuTBquPmmmNHQqS3WdX/Ed8V7qOnVWYHOcS114N7TB5K6i0IXk9PZxQgpfSj7qSJAd2YkuO4RvvBVXe05EnMtLsIG1nVr57xsSrR0n+7EHaxHDJMC1yY8JVUc1kbsIaLQZNAO2G/idUvyUaDZzwnc4MtvtToR4dspxAiC44YgvxCcAMuqzGbnbCGMM5gPxEE4bddANWpyDNlPbGEEMJbDTgw3LMqVKPB22gUTN4DsRMYhAqOEFnJjNrmkAA8Ww2LmTTafUn8T35+C6AEZknMF1hcXqVveOwE6TmBeZwy2znCBT5U27SBoHtRO3J2okidKPkIAXQDgBMtizrOI/V58GtufFDDa1xA7wu1p9Ubb6js0rDniNtuTiORM6QbezZoQIIAylsExguWB0Obze+/ILqGGfGSC7CO3E1KgvlhhgTJJMiMWIESXQKhb6ochTknxSsw2gS3CIsSTSxRTF95qXPggvnRgjC2G4BgEN9kWgKeUH0dDgBjMuwbRGRO9TisZoQhCoEIQgEIQgEIUJrzpFT0c4STiibNc4DnAU0S1eu1glxhQ+l60LrN2R81WK/Syi4y5zifwlMHSfR97nD3Hx8YU1cTLnJpK8uhaxpVgTSeHAZxu5jcnVdIAyRXVzl5qlfguD6pKYgc55KYhJKIEJEIrzawGxyK8OivhwUjpYljuRUHRq3Cgueq9DNZ2EGLTKl9caHgo07zh2ec3Ve0HSXNhzCQYzCktK1k6q1rXbvmeJVRyxoS4PBIg8nSr7q9mk7TgYLR4HdOXmq0XOJFodixAYzAqkENp8ms2uas/Sj7rLEA7sRJedwjfe/kqwWnLEd7S6Gi+dSv59iUVJjVNLC2XVHNdSAkCdhpDiPEudC9DdApTMvnFM4QNpwwl2e5tvBejTYOitIGEgMLGzEO7oPATEqsSI7QIh4BlxOHPSXfGwQT40KgBk6IaIlo2WnYbnvJkcUdRQGYdN5PWMF3XrOzzixVem+QmWWh3aMDRhnuFylDBGUiHScLrsafX+b3WHggsLXUBky9iB1jM8qTfhccEvpGjjutjjjthZd5gDLFY8SoGDugOkCcIjG4bB5U25+KVkezaJDYb2WmAzm9214hBO+k0csLJOzHWP7T9qJ/Ded2Sd+kaGYDI7Y7Z2fu2mOJNoUFgNwXHeC8Yd96lXy7C6tnOCDIIbIEOIhtLk1u2gsFDXrWANYWtiW2Do2BiqeQHzUlqvXBqujE7cSYIADrtHOFTQRHalsC+O5Y0+rdlnUfY+C9mjaaacxh7RJOIza+kZezkEGi6BUu4Eze3Je1Vzo1Ue7C6pEkEiPZPZz3xCsasZoQhCoEIQg46XVwMc72Wk/ASvmbWmsH1aj3ucSXOJueJX0H010nq9B0h2/qnAczYfVfNtR11OtQOrHiubq7hMEjxSFc64seSovf2ePeNI0llQy4AScpIMZDmrtKpXRC2sdLA4H/k1XRSoEkoQooSIQiBJKEIGvEg8iqsx0EjxVqXi6a6A2lUp1GCG1mBxH8Qzj4hKr1avfLArNqnU/WND3GATYDeB4qo6lqSxaPqP7hnI/UpEdvQWeyhelC0ihdJewI7WI4ZmAYuTHhKq4DYEDZwggYTeiHQxl+8X35K0dJ/ujNmztumCB4HdJt5quYjO4OxW2jArEWZ+FrL81lpYdYB3ooB7Ra0Fw7s5uHJVUutk6LGC8ZNPqm5fvDcqz6eB6GMJlga2ZklzB2hxM5KuAGMtqW9wdtw9Wc/3bboOXn7QJxDN0HSH+4LBPbugDuECTmLaK3ke0UjW2ydEcANlpuP5rv7K7MY42MgmbyLOcJe7L922wQMa0REjDD77U4AZ0l3MusF1wmd2LENxIFUt9V5NZn4pWsO5pPZIbI3Wos5P7RXT0ZxtDo2mk7U4Jms62/FsjwQcmtbFhLYkNw3NMGMF97n35LqGGYm8kF2EdrOrU5EQwLrT0WrmGHFIOT4FQiGe61nzT2ateP3ZgCAMJnq2mWNv3i/aPgg85ncCMiG2F3CGM/lCXJ7DzOUAuF8J2B/NNzyXcarqnNhmTLsIzN6zhfvCGhdG6sq+zBtHZEF1qZz/dt+JKCz9FAAGw7F2pMztTtCeANvJWZVnULurDcYwYQRmDMd4xxz81N/pFnFWJXrQuNHSWuMNXZVAhCEFN+1nSMGr3j2nsb/8AKfyWAOW1fbhXw6HSA71YfANP9Vijkan4am1eyUpSOyPJBdehz/8A3Gv/ABMn44SryVnnQSrOnOPGiP8Ai1aEVKFSIQoBIhCASLoylK7BgCDzBhXj6c6WHM0VgN203E+ZAH/FShVf6VaPZtQbtk8jklDtQPsQtQ1F9wzl+ayXUVaDHFaR0U0qQWHdcfmkSrEhCFpFE6R/dznDuxE4juH5+SrThuLjvaXS0WzqVvMwxWXpGNiBZxdsk5C1yRylVg4YsCRhBDcBvTmGUr94u2j4LLSw6wM6K0xhMMLWzG1IwAxumFWGhsZiNu9zbPST5nZCtWnh3ooBucLQXCLcXjhF1WJtvA2TGPc0+pbb/EdcoLBogLdHZUIjDtBoAkt/dtPiBC8w107+OMRbOFgGWJ1X8Is1e7V7T6KcJl0PJJMgPk4hPAGR5KqYmxkMOEmIcSdHDjIz7TqnyQTh6Qv9l8xiDcTRcmGU8syNpczrt2UujLF1jew2C+p8dlRBY6YtjxROEwKxE4/wtZbmlYBhkNOCAQ3Dfq5htLm521yQSv6YqHccR7vW/vHCzPJm0mfpY+7GeNxmk0w13Nz7cl4Aw5F3FpfDe1E1Kw8ANgFPAvIbwIbsjO1Oj7o24Qev9J1MtkOkg3eR1kTW8ms+aVus3HLD3SBDjZ0jRxz3leQNEXJwxGLEJLWkHHzqP2fELrHEwdqdo2c4eu3ZU25eKDuNPd4ZGYZm1h9dv7zoAUjqnSX4yXmw7WyGy43F+DWwFDg5RGbMILidoW0ZptvEuKUBscWweJJp4vWeZqWHgmLrQ9A04OqSMzDSLW4ZKZVM6Ji9xt9Z6wwQC+B2Z3AQFc1YzQhCFUZb9uVaGaOIm9QxyDR+ax0mbrW/tydtaMPCofm1ZbptPJ7ey75O3hGuPIh2SUpr0RPfZq+dMv8A4bh8AtQKyr7NP2z3H/RaqVKoSIQoBdaTN5XIL0ZIHkphKaSkJQKSvDreljovHhPwuvXKZVuCPAoKhoFSCCr90e0nDUYeMA+dln7KeGDmD2TxgwrbqirstPCFIVpqF4PT28ULTKq9JI6o4rNnaMxbn4mAqy6Z7uLFxJiuRcfhaz5q86TSa4HFB2uyR5yoTXOqy9wwAw8YXRAgdpzgfaMAKNHaYB6IMJ2AxvElzREt5nLzVeaw7859lo2nDZ/22qyawH6s3EIcAyGzYPkYQSN0wq1AjMRDhMOyF9IPmbBBYtEw+iHNjcLhO8ie355+arO1n3sQcG47dbBDKWXZDdpWbRzGiEvGLZJDQMmnstjwEfBVkNMEYjvbjwgQ4yX1s+6Iag44W5E7GEicRnqQZqP/ABF+zyXenJPdFTFltQKxaMIz7LafzXXRNFfUJwNnCA8tLmtAAtTpGRke2V66ep6hABIIs3F1jZLXbT327xOyPBBHtwxYSzDlhdJog7Lebql+S7YTPB0uBMfvImrUvuw7I8V7v0XU7U0w674xyA8bIFu61t+aX9Ebi+nhlrO26TT7TR+Jz78kHhp3uG22SG4W5G1Gn7vbKcBzI8rhp2jzqusvaNW2k1qeKHOkSRjNqzr7sIgcF1/RzAbVWC4aNich+rj3c/FBHv5kZg7URN6jv5Y2RzStccx2pBDS+2OIpMyywy8+K97NXU8zVtAJikbtB9aM++7Pkuo1a24NV87QkMI2jcu8m7KCV6KGzYjBi2Dvc3e4+JMq4KmatrMokluN1wQC2IBADWgeGalB0gvlGd93gc9+5JUxPoUfS01xwkgQ4x/YUgtIyT7ce3o/4an1aspLjETaclq/25Da0Y/w1Pq1ZPIUa4aSFzcuhg+C5uComvs2/bB+F/0WqlZX9nH7YPwv+i1MrNQJEIRSszXdxXBua6OKIQlNlIiUUSkJQmkqCk6v0kGlUBnY0l4HANcd3nNlc9VhoaMJOU3VQp0QxhbF3VHvdzJOH5Kw9HnE5+CuotHXFKvR6GeCFBZToVPPAEo0RgyaF3Qtop3SMbFQCwmCbbIm7vCBdU/FbL2bYuBIoNt7RuVceko2anCZIiS4T2QN85KoHF5z/ABicLn+U1ZaWDV/7KcBBdD5M2xycdzumVVhhAyGANmMJJNAEy2/ec/5K0aJB0S8sbhIneWjJ3iTn5quYjO7FiBALzAqwRTp23Bu0fFBM9GAcVUHwxmIxPMkxxAaWjyUdpNV7HuY3DsnCIZIxunqr/wDNSXRdgl8G0ANuZLQ4y4zvLsXkFEayjrX3GHaDZcbM/6h8DIgWCBHac/cT5Ux2aZ2/wDcOSQaZVJ7RByOy0DE8T8KTV5XchMsjM3y0Vv5lPYB4RD74TkI9Jdn3jYIO40p9zieRYxIFmWptyzqG6Q13ZF7o2gXYxk69Z/udkJrWmcodLe7bG4ep8qbc06BGRwwTGG5Y07TOdR1+SBxrPmQXEy0hpefvIijT5YZcUgIjMlkROJ0mkDLnc3VLck4NM3JBuC7ZABIBdV9wbCe07wLyCGy3OIZS5RtoEgzeA/EZu6BUI9d5NZAHiumjBoc2RaWWgmxP6u3yuSmkCLklsRixXLAZD+dR+zyS4s8RjtScTrEj9Y/0NsEIs+r9b43BgDr4iDEAYDhJz3nJXGgZaJ4D6LPej4PWGIjCMVySBA6kD3bnxK0HR+y3kPorErL/tzZs6M7gag+Ib/RY+B81tf240v1Wi7hVj4tP9FixVXhiR6ckOSonPs7bGmN/C/6LTys06Aj9cH+W76LSys0IhKkUAnEpqAVEKkQhFIudd8NJ4ArovBrqrhou8YHxKCtUrq2dHKU4RxcB8Sqto4V/wChei4nt4N2j+SkKu/o4Qu6FvGQhCFRVNd0S/GGxikls2GIXE+CqWn6AaVnRGEmQCdnOt7ziQAtB0jRKhLgAIcZmRK8mkakdUADxYOB7W8XHkstagtFcfRZcMRwk4IyByZHgIHkq6G2iTmQXbIg5vreQhoVx0rQeppvYyxhxkmbm5M+apoAjs7OGYwkk0QTsX3uffkgnOjR2nyLkNkSDgFw1kcgD5qH08+teYIvJAgQGnZYP8wqY6MgzUndGIwBieZJIjMAQ3yUPp4d11Te4OEnDIc9wIpXO5guUHlcb5nN0nFEF33x/liwSscLRlDCBiOQgaM3Lvdooc0cLQZ2W9lp9Z/uuT2B05kHyG04X/2m2/ogQtG8iIfeTOHPSnfHZC7CZ3YsTYsYDyPUDk1tz4rljPjGyYLgOzai3L94655Jwje60PBOPum+kP5tOyEDhHAlsG2EyaYO23m99+QXVzDOcGSC7CID4l9TkG7HNc2ZiIxYmwJJirh9S3kGbR8U+W4bCWRwdJpAxH4nVPkgcTwb7JDYbabU6fuDbQ22Um3EXDTb/dd9EBpkyRil0uw2xxNZ48MMNHilpichHZI2W2keqH8sXPNBJ6hjrLuvDoGKcTiQahj+Ew0LQtH7LeQ+iz/ULvWWaYLTBsMIBjd7Zly0DR+y3kPorEqmfa9ovWaAd2Gowyd0mPzWC1BC+j/tB0brNX6QODMX+kz+S+b3CLf3Cqw0pDv5JyR2RVFi+z79qH+W76LSCs7+zwfrJ/yz9QtEKxQJEqECJEqRQCJQkhASvfrDVw/RtZ7hd0Obya4R8VHEKQ6bazbS0GlQB26jWSN4Y2CSeZgIKLoDJIC13onoQZSDt7voFl+oqcmeC1zUP3FPl+ZTxSpBCELaBCEIBCEIKz0jA9ZiMCL/AAVFkzmMWIWxOIFYg4G23Blz4q+dIM32xWy42VDeLEFxjaaXS0WzqVuYswFZaTHRaJfBtAwZ9mTLjO8uxKJ1gB1rr22wJLpwf9Q4x4WCmOjWdSRchpN5w54WD3QD5qK1ifWvtFwS2QIwnYZH8Zz4wg8RGVhmwgQ43y0VvlmU4AW4bV8G5pHpB991gugHE+3O1kXXrkR7AsEgI8O5AlxytorfPtFArWmd4dIvhHacNg55Um/NKDaYMWIbYSGmGU+dQ7SaGjfEQ+4BJwi+knm42C6kGctqRfDYPcPVnPJjM/EoEncXbnAuxDKxq1R+EwwJ7XmbAYyRbFIFTDDWW3Bm0fFIG8AYiQMIu0GBT5vdtcgnhovidxBdLZ41Knx2EDABHFsNAu6SwO9V5uqXPguh3gxfFisT46Sb8bNCSTPAzOHEIDyLstuYza5lDSN17NgFzrgfs494yTyQS2oAesN4EbQiJJA6sD8LIB8StA0fst5D6LPdRYetE3dhfhImO0OucZ4vsPALQqHZHIfRWJXDWtDrKNRh7zHD4gr5h0miQ5wObSQfIwvqgrKOl3QXB1ppSWVSXTE4TMxZKRkxam1MvJWH/wBOPpkyQbGOM8io6pqao0XE2V1Uz9nQ/WH/AOV/9gtAVF+zqiRWqkjKmB54v+yvSzUCRKkUUJEqRAJEIQISqRpGkOqVHOcS4zmTNhkOSuOmvwseeDT9FSKKlFm1A2xWp6geDQZG4QecrMtSNhgVi0HSHMILXEedjzC1EX1Civ0oeCFdRKoQhUCEIQQmsaWJ7srCTfwVY1nqtjaYNNg2RBbmXNknB/qMq8V9AY8y4SeZCaNW0+HzKmLqkdHtGew1Mc7gSRGJ2bncrgeSitOaetfvOLPDm8g4DJ3MF1oGtNHa0NwiJneVn2sA3rHZRt4ZxE4M65MfAKK4N88uDRLWn/8AVyCDO+ZPeA2nAdYbf4bbBJF8hMtjZJuf2cX9gXKdHOwPdbJa0jrM/wDEcgMXCO6YLjutozfe7RTRh4gjbkyScEzpDueLZC6XnMg3vsi7htO/lNtzQHnMT3SG494tRYbd+7igXAZtGLEO6YFQtHVnk2n80MaNzSWwCG4c2TDKd95dtppwxc7OF0nESTTkGs7mXw0LoQZ3B2Lg4gVS255Np25lAYNxJOYLtm8GalT3zsJ5nxbn3gILht5f4TcuaawC2EWhsDCezMUWX3gy8p0cyLzstvhO3/uOt5IJTUBOMwBGEScRJAECkOZbLjzV/wBH7LeQ+iz/AFH95d14da20TBdYbmWatAodlvIfRWJXRIWg5pUKog9ZdHWPuyGnhFj/AEVV07VApH1lJvPCCD5rRk2pTDhDgCOBWb4rrNKLGMnA1rZzgAT8F0kK06x6L033pHqzwzb/ANlWNYan0ijmwub7Tbj+qz9xTCkXhbp24r0M0gHehjqkSSklUKhJKaSg8Gv6uGg7xgfFVXRgp7pPiLGhoJGKSQCRYbzuULoLJIHioLjqmgS0BoJMTYSrLrHR8DaOzhJZe2+d6jtQawNAyG4gRBvHwU5rrT2VWMwGTMkbxbJaQkIXp9DdwQgnUIQtIEIQgEIQgjNdZN8/yWd6xPrXyLyCW4gIg+qZH8brlaJrnJvn+SoGsKL+seQHWIl2Gxc8HC6eDAs1qI/PeO/O0TnfSXW4DZCfnEAdwgQ43MDRh5C5TMYGc7rSBLWnYH8x2fFPFQb3e3JxbzBrm3sDZCBQ0RxbB7ubWn1ue+o6w8E7Cd8gznDQAXC7+VNtkwVBuidiAcXaIjRhyAlxQ5zYykQ4nZklgd60c3vy8EHU5iJ7pALh2halTP4rvKS0XdLYIJxSTTmXOtvc/Z5BNvMGQZgnDEOIBNTkxuzzKe15Fw0zYhthciKdMiOEvKB5F7wHS6e1GMj13k1kAeJSsGUCOzGyd49QL+yJcVzB5lsROK5YDsutve+3ILocW+O9iMu4TpBHKzWoJPUQHWWb3TBgANANz77pcr/Q7I5D6KhahY/GTYCNoRvIHVgfhZE+JV9odkcgrErohCFUCEIQCEIQRusNR0K33lME8RZ3xCrOn9At+j1iP4XiR8R/RXhCmRdZTpWpNOo50TUHGmcXyzXj9Pc21WnUpnfiY4fNbEmVKYdZwBHAiVPiu+mTU9NY7JwPmuvWBaHpXR3RanboUyeIaAfkvLQ6I6Kx0hhPgXuI+BTKmn9FdCw0AXC7ziuN27+/Fe+tqui/t0mHm0L1gRklWkRb9Q0D3I5EhLo2pKTHYhJjKTYKTQmAQhCAQhCAQhCAQhCCO1uQA2cpvCh61MPDmwcLgRB4FCFmrEKOjLyZt3j2Sbi1E+6Pmu1Loo7eXHsDsgWF3/6jmhCGvQ3omd5fMPvIF3788wLBelnRYTJB7TDd3sCG/wBUIVw13PRdp7TR2S3M5E4iPiF2b0bZMw2ZLsjmRhnPhZKhMNdqeoGDc3cOyMhl8F2bqdg/8DfmhCYjq3VrPFexrYEIQqFQhCAQhCAQhCAQhCAQhCAQhCAQhCAQhCAQhCD/2Q==">
          <a:extLst>
            <a:ext uri="{FF2B5EF4-FFF2-40B4-BE49-F238E27FC236}">
              <a16:creationId xmlns:a16="http://schemas.microsoft.com/office/drawing/2014/main" id="{00000000-0008-0000-2400-000079000000}"/>
            </a:ext>
          </a:extLst>
        </xdr:cNvPr>
        <xdr:cNvSpPr>
          <a:spLocks noChangeAspect="1" noChangeArrowheads="1"/>
        </xdr:cNvSpPr>
      </xdr:nvSpPr>
      <xdr:spPr bwMode="auto">
        <a:xfrm>
          <a:off x="6629400" y="111318675"/>
          <a:ext cx="304800" cy="1406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167</xdr:row>
      <xdr:rowOff>0</xdr:rowOff>
    </xdr:from>
    <xdr:to>
      <xdr:col>6</xdr:col>
      <xdr:colOff>304800</xdr:colOff>
      <xdr:row>169</xdr:row>
      <xdr:rowOff>594564</xdr:rowOff>
    </xdr:to>
    <xdr:sp macro="" textlink="">
      <xdr:nvSpPr>
        <xdr:cNvPr id="122" name="AutoShape 528" descr="data:image/jpeg;base64,/9j/4AAQSkZJRgABAQAAAQABAAD/2wCEAAkGBxQSEhAUEhISFBQQFBUQEBYSEBQUFhUQFBQWFxQVFBUYHSggGBolGxUTITEhJSkrLjEuFx8zODMsNygtOisBCgoKDA0MFA8NFCwcFBkrLCwsLCssLCssKywsKzgrNysrKysrKysrNyssKysrKysrKysrKysrKysrKysrKyssK//AABEIAOEA4QMBIgACEQEDEQH/xAAcAAEAAQUBAQAAAAAAAAAAAAAAAgEDBAUHBgj/xABFEAABAwIDAwgGBwUHBQAAAAABAAIRAyEEEjFBUWEFBgciMnGBkRMjUqGxwUJicoKS0fAUM0OTolNjg7LC4fEkNNLT4v/EABcBAQEBAQAAAAAAAAAAAAAAAAABAgP/xAAZEQEBAQADAAAAAAAAAAAAAAAAARECEjH/2gAMAwEAAhEDEQA/AO4oiICIiAiKkoKoqAqqAiKkoKoqKqAiIgIiICIiAiIgIiICIiAiIgIiICIiAiIgIo1HhoJJgASTuA1XiMbztqueRShrZtIkkbzuQep5T5UbRABu49lo+J3BedxPKdWpq4gHY2w/NYeYuJc4y513H9bFIBdJxxNSDjvPmVMOO8+ZVAFINWk1UVXe078RVxuJqD+I/wDGVDKpBqC+zHVR/Ed43+KzMNyhV2kHvA+SxaFDesoNhSyDc4XEB4nbtV5ajA1g1xkwCFsRime23zXOxpeRQFVvtDzCmoCIiAiIgIiICIiAiIgIiICIiAiIg1POqtkwmIP1CB4kBcT5f5zHBsBY0Oqv7ObRomMxG08OC7Bz9fGDePbcxvm4fkvmjn1jc9ctGjer+G3xlBsj0n4z2qf8pqk3pRxg+lT/AJTV4Rzd1+5SFIq7R0Cn0r4saiif8OPgVnUOl6r9KhRPcXj5rmXoTvCg5pCbR2PC9L1M9vDEfZfPxXruaXPXDY6r6NmdtTKXNDwIcBrBG2+1fODAumcxaobjORHC3pGPpOjaRmF95uFdqY7tlhUKm4KK0i24K0FfIV/CUaZHWPWm94UqqDB+rzyZ1jZAWRyZVN2nZccFmGmA2NkQsHksdZ3d81lWyREUBERAREQEREBERAREQEREBERB5zn/AIptPBVnOE6Bs+1rPkCvlDlB+eo9x3+/Ur6G6cOUMmGp057RJP67sy+eTS9WHnV7yG9wEuPmQgx2hSCJKKqhCoqoLeQjRe85rvyu5Cd7OKfSPjVpj5rxLV7DkV3qeTHexyi0ebmO+SqPox6grlTUqBW0RKsvF1fKsv1UomKhiJMbpWw5KbZx7gq0uT2wJknbeFl0qYaIAgLKpoiKAiIgIiICIiAiIgIiICIiAqFVUajgASdBc9yDhPT1j5rBk9hoHiQD/qXL+UGgUsLHsPJ+0SM3yXqelnH+lxlQjQvt3TI90LxtTESxjD9AuLTwdEj3DyRVgqiqVRBUIkIgm1et5F/7bBcOU2D+lq8k1ev5Cvh8CNp5UafJlMfMqxK+j6mpUFOpqVBaniIlW46zeJA96uFUaYLSfokFKN6io0z4qqwoiIgIiICIiAiIgIiICIiAiIgLRc78b6OjlBvVOX7ou78vFb1eF574iaobspt95En3QrB8/c9K2bFP+0fdb5LRLYc4Kmau88SfMrXKKqkKirmKCoRMyBBVq9pzXZI5Mb7XKGbydSBXjAvd8yKWavyM3++rVD4PaR/lKI+gnaqKkVQrSKEKJCuEKBQZ3JlSWlvs/A6LNWpwLoqD6wgrbLKiIiAiIgIiICIiAiIgIiICIiCi5xzwd67EHcP9AC6Qucc/GZX4g72B3m0D5FWD535UdNZ/62rEKv48+sf3qw1ZiirHf5oqhUUVQUCQgmF03o3oZsZyX/d0H1Pxl5+QXMJsuxdFWH/64f3GDY08Dlp/+wqxHXSgCqqBVEioQplUQQaYezvW6Wi9J6ymzaet4Ahb1Sqs4rECm0udZrQS4kgQAJJusFnL1A6VWaB37xnZNgddCVTnLVa2hWL2F7Qx2ZjQSXCIIgd65BXh0gtESGuBabhzR6GmNLNIM/NQdqZj2HQ8LXvuspjFN3+4rhj3kyYYXgveCcwnESPSON7NDZjipMxWXqsdUa2CwRVLS2gXS6oZ+nJgDzG1B3MV2+0PNTDxvHmuIDliuL+krCzXEelD4LJDKfFzgAd/B11fpc4sS3WrUMGYNMEF1RvZG/KUHaVVcbHO7Eiwqj6VMZqX0mEEuJjcYmPALKbz8ri4dSI6rzLX2Z2SLHUmN+qDrSLldHpFrggGnSPaBy1C3rQTTAknWOPgthQ6QXn+AXGBDWPDi58jM0DLqJQdERYFDGOLGOIu7ZuO4rMpukAlBNERAXhukuh6sv303MPeLj4le5XmukSnOBrHa2CPEx80HyrVo56tW8RLieAA/wBlirbYWlmq4tu00KhHEtDTA8AVqiiqKqokoKhSCoFVBOnSzOa32yG/iMLuHRFSzV+UquzMyi37rqk+5tNca5Ij09InSnNQ/cBd+S7v0O4XLgS861arnnvAaD7wVYj3aoiKoIqSoucgnhGTVB3D9DzK26wOS6di47bDuCz1mq1PONzxReaZaHBsy7QCRm8YmOMLj+ZoDYIDcrnNhz5FF7iyo++pzWA14GxXUOfeT9mqZ3lturlsXPAJa3uMfFcwfUPWsXXBLZEOfImlGkAGSL6dxQRcw7C6TkbZ7DBDfVtH1ngTxv3K2694JnM6MrSDIEUxwYb7uAVc1wJnrFocWh0lpOWqdTABga/JWgRAMADICJBEU4LakwdSTbYN7VFXDSIMaunKCaetQPDg8xsynS42wVHqyIygXN84imS5j9p62kd/cokTMxudd2mWaTb7ZAm3zVTUN94JfZ2tQkSPAE+8SQqi09kCPqhrofEWmmBItIHhP0Uq7TB1kixk2JbHCZj/AJV1oJtJgRckO6skek8NAe6CNFZBO4TBdHoxaBDgeJ+ezVBbpUZIJnW5jiQ10+7u27FsaFQsLHU7PZ1m2BAeAQ+RxidscFhNtqREDfo/K4d5nx71k0jcfaH8xpIgX+sN3eEHtOQOcNepUawGkQXZ3wHiKLoiNma5/MrolHst7guRc0mNOIp9bLAdVYAYNQubDgd4GUm+5dfaLBBVERAWi58snA4kfVB/qC3q1fOenmwuIH1CfK/yQfJFbFGjiQ8CcpuN7CCHDyJWJXaA4hplv0T9XZ4q/wA4GRWPl5FYFJ+xFXUVYQIKhSHFQJhW3VJQZmAfLj9fqfdJl39IPmvp3mPhPRYDCNIgmk2o77VQZz/mXzXzcwJrVqdMfxHNZ/MIbPkSfBfV9NgaABo0Bo7hYKxFURFUW3OUWNL3Bo2/BK62PJ1EBoO11ylGVTbAAGyykioVlXkekKqRQLRTDhUcGueQIogwPSunYOMd4XOInY4dqJpmWhrOu4kbXxb/AHC6B0jPcKTesPR+kHpqcS6oyW2btEeGvBc7g2nKXZg09VwnENJNOI0aGkbvmgi9wAM6ZRm1Hq3lrmM75ud+8qJcc2zMKk9owa7DbuaAeHfsT0gMaEG4hx7LgRXcZGxwsP8ANCnnJaBoQ0/SaSOqC0ni+CP1CC0IAEG0GCXDskuaakEDsnTTSdkqmUmw100BLSGjXi+B327UoYEyDAgkQOwXAmnb2XGdkHYEDYgWkPAnJE1WyGOtsgxpfcdQEX6uNgBLtCOoYyAdxlRadm2zdf4jSROzYf8AhUtlBERBIEuBhwy1feLRe23RVqG5g2s2S4fVdTd8tkcEFAZ/LbBacw75E/Iq813EAgGCXdkgBzHyNrtPnsVljgDN9rgOOaHt8jp4xtUgNknRrHEOFw4HK4TuIA8NqD1fMMA4g9QmG9VwBimczmvYTFiSZi3dddYC5j0ctc6o8iAzMGvntGu3KXR9WCd3cF08ICIiAsXlVmajVG9jvgspeL6Q+V6lIUqVNxbnBe8tsSBYCdyD5x540C2u8Ro94/qke4habB0wajGuMBzg1x3AkAldt5S5r0MSc5zNc4AksIvbaCCFqMR0dtPYrfjpg/AhXKOecv4OnTewUXuIcwOIdGZrtCCRrotY8OGpXR6vRxU2Oon8TfkViVejqv7NM91T8wmU15PH8jPpU21HxDoHavdsgxuWsAXva/MXFkNaWOcG9kelBA7pNlYb0e4kn9y7+ZT/APJTKazeh7k70uOokiRTD8QfuAMaPxP9y+hF4Dot5ruwbatSrlFSqGsa0OzZaTSTc7yTPgF79aiCoUVCgs1yt1hR1G9wWjebrc4WsC1txMRCUZCIqFZVzvpKqU5o/wBs1tR7JJgUSCKmm2BbbZeGqAaAw2AwEVNKUipTdfaf0AvcdItZ+aizKAw9am4Oh1SsXZfQ8AQfGV4xvW25gSSLtdmY9sA78tJwHD7KCDnmZIJMlzmZgbh0OoAEG0EOj3HVW8uw69SnORpBe6cj9ey3TbwnRXXMOwXIcQSwR6VsF7yBNnNBtx8UNFpcfYvrM/sz3At+9M/7oMTNoYicz2yCDLWRWJjut/pVadIXBcAA0tmSPVOIqU3GRrJH5bVkV2O4A2Op/fMcQB3FkeO0aK2WyNRGnaBmm5pmRupkDu4K4IGziImXAxm+mwkPb4giReeKswNJJERMA9RwIYZn6LhGvlorwYdSCXHOezI9I0B2aR7YjfMbbFWXkeAAcJB/dOdDh4E6+/YgqzW4/pj1jQCQY2EAHTXYNVfOUcWm/Zn1DnXJG0ieP3li06egtMhsye2xpFNw79PyV8PEHqzZ7wJ1zZTVYLaAyRPE3mVB7roxpDO9xd6yGteybBoAyv7zB8l0tc+6L2Qx4ydl0elP8VvWyuB2gCBqV0FAREQFzXpKfOIpjdSHve78l0pc855V/QcoUKz2Z2NY0xa+UuBAnbcFBq+TycjZBBAgyI0/QWWFk8p8vUMU5pp52uaMrg9oBI1kEEzH5LHAW+KKhSCoApALQkFMKICmEGfydWiy3LTK85RdBC3uFfIUovqLipK1VKyLYV3LCuYfDOlpynUG+5ZPKLeye8fkgv4F0sE9yvuVjBDqDxV2obHuWVcv6QCTiGZapcS0ZWDKRQqNILXm/VLrgcd68tIaJILWtbng07ig5+Soz7WZ2bhOo0W/57VGOxNXLSc2AKNZzmEh9ZzfUlpnQOAmImNHaLRVTlJPVzZi8CXiazGt9OPsgXGnyQRyiYJEl1Om6zhNVjSKEbII1n3aoMT1S4AQQ9/ajNnEVGxsDSJE7puolo9rqtzNB9J/CzzTq3i4Lo2RwVwNc6NQRlJb1YDmy2rTje+ZiPAoLdV+wE3LW5pBuMrmVZ+sJAPHU6K218EGCBd8EC1PNlezgbk8J1CrVZJgC3ZnJqHN9QQR7JAB4e0oh0Zoyyczh2h61paKg3RFxp4aIIVRNidQymSQe04F1EiOAg/oqlV+pBmXF5GaAXQDVHW2Wkb97tBIAAwCchOUHPEUC6zzMXExfxA1QUyRtDjeOqYeARlM7XNAPj9JBGiNL6WnM3sh3UqHuJibd40VwNteQYkAgdUgEVGwfamf1KthoEzMAAH1YEseGloBBtlcP1orrBDrZcxqRo4ZsSx3haHcPBB1Do5pOFElxGVzi6iAILaJALWu3mSd69kvJdHFKmMKw0nFwdL3Ez+8MBwEgGJavWoCIiAsHlXkmliWZKrQ4AyDoWne0jRZyIPDV+jpocHUcQ5kGRnph/wLVg4ikab3Mdq0x37iOC6OtTy3yM3ECZyvb2XR7nbwrKPGgqYWQ7m9ih9BrvsvA9zoUTyViRrQd4Fp+BWu0EApgKP7PVGtGqP8N35JmI1a4d7T+SuouALZ4F61jKgWZhHXQboKw43ncsvA0s1yLfFZhwbPZCxRjUsf7Q8j8kxWJDhDZ3q+cCziPvFSpYVrdnmipYdsNaOCrX7JjcfgriEKDy9Kr6Wo5r2XAlpa5zZLdJE71z7E4es573OY3OS6o9razOrVZmbkAJmXiBv79F2MYZkzlE6SNysVeSqTpmmwzcy1pv4hUcaqcnVIM0qhENY4NYHjJVGYMBHsPA/+bKzWwrweycwe8iaZbNeiQ5x00IJ99hquwO5t4f8AsmDXRoGuuisv5rUrwagkAdWtUbYcMyg446mItGXLaM0+ge8tdPHM62tt6qwZbEdYlrO3o9lMtYG7swBBP/C63X5qNdPrKkGxGZpBbM5TmabTBhYdbmdMHOC4OFSX0aTvWA9VxsJIFkHLIBvBIh7gBDpY/L6sQRam4Tbfo1SdRNxqc2QFzIzVWu7Yj6JZI+RXQqnMYiIFEwC0TSqAw4EO7D9d25Y2I5kOuMrYIa3q1HtMMgjtNdqQJnyGqDwdEtMdmCCR2h6sgtq2nWRx8VcYLC5HUjMHnqtADqRbxJ6s7Nw0Xr63NKpJOSoeuX9WvTdYmMgzAWiTdYg5r1WiMlbQtnJTd1r5DZxs2Rr4IPf8zQf2anmpCicsFg2XN7Aa66bVvlrOb9FzKLW1HZnts50RJA1hbNAREQEREBERAREQFQhVRBbdRadWt8grf7FTmfRsn7IWQiCgCqiICIiAiIgIiICIiAiIgIiIKEKhpjcPJSRBQBVREBERAREQEREBERAREQEREBERAREQEREBERAREQEREBERAREQEREBERAREQEREBERAREQEREBERAREQEREBERAREQEREBERAREQEREBERB//Z">
          <a:extLst>
            <a:ext uri="{FF2B5EF4-FFF2-40B4-BE49-F238E27FC236}">
              <a16:creationId xmlns:a16="http://schemas.microsoft.com/office/drawing/2014/main" id="{00000000-0008-0000-2400-00007A000000}"/>
            </a:ext>
          </a:extLst>
        </xdr:cNvPr>
        <xdr:cNvSpPr>
          <a:spLocks noChangeAspect="1" noChangeArrowheads="1"/>
        </xdr:cNvSpPr>
      </xdr:nvSpPr>
      <xdr:spPr bwMode="auto">
        <a:xfrm>
          <a:off x="6629400" y="111318675"/>
          <a:ext cx="304800" cy="1406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63395</xdr:colOff>
      <xdr:row>0</xdr:row>
      <xdr:rowOff>22299</xdr:rowOff>
    </xdr:from>
    <xdr:to>
      <xdr:col>5</xdr:col>
      <xdr:colOff>1284314</xdr:colOff>
      <xdr:row>0</xdr:row>
      <xdr:rowOff>1030272</xdr:rowOff>
    </xdr:to>
    <xdr:pic>
      <xdr:nvPicPr>
        <xdr:cNvPr id="123" name="Slika 1">
          <a:extLst>
            <a:ext uri="{FF2B5EF4-FFF2-40B4-BE49-F238E27FC236}">
              <a16:creationId xmlns:a16="http://schemas.microsoft.com/office/drawing/2014/main" id="{00000000-0008-0000-2400-00007B000000}"/>
            </a:ext>
          </a:extLst>
        </xdr:cNvPr>
        <xdr:cNvPicPr>
          <a:picLocks noChangeAspect="1"/>
        </xdr:cNvPicPr>
      </xdr:nvPicPr>
      <xdr:blipFill>
        <a:blip xmlns:r="http://schemas.openxmlformats.org/officeDocument/2006/relationships" r:embed="rId3"/>
        <a:stretch>
          <a:fillRect/>
        </a:stretch>
      </xdr:blipFill>
      <xdr:spPr>
        <a:xfrm>
          <a:off x="63395" y="22299"/>
          <a:ext cx="6496304" cy="1007973"/>
        </a:xfrm>
        <a:prstGeom prst="rect">
          <a:avLst/>
        </a:prstGeom>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24" name="Picture 123">
          <a:extLst>
            <a:ext uri="{FF2B5EF4-FFF2-40B4-BE49-F238E27FC236}">
              <a16:creationId xmlns:a16="http://schemas.microsoft.com/office/drawing/2014/main" id="{00000000-0008-0000-24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25" name="Picture 1">
          <a:extLst>
            <a:ext uri="{FF2B5EF4-FFF2-40B4-BE49-F238E27FC236}">
              <a16:creationId xmlns:a16="http://schemas.microsoft.com/office/drawing/2014/main" id="{00000000-0008-0000-2400-00007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26" name="Picture 2">
          <a:extLst>
            <a:ext uri="{FF2B5EF4-FFF2-40B4-BE49-F238E27FC236}">
              <a16:creationId xmlns:a16="http://schemas.microsoft.com/office/drawing/2014/main" id="{00000000-0008-0000-24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27" name="Picture 1">
          <a:extLst>
            <a:ext uri="{FF2B5EF4-FFF2-40B4-BE49-F238E27FC236}">
              <a16:creationId xmlns:a16="http://schemas.microsoft.com/office/drawing/2014/main" id="{00000000-0008-0000-2400-00007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28" name="Picture 2">
          <a:extLst>
            <a:ext uri="{FF2B5EF4-FFF2-40B4-BE49-F238E27FC236}">
              <a16:creationId xmlns:a16="http://schemas.microsoft.com/office/drawing/2014/main" id="{00000000-0008-0000-24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29" name="Picture 1">
          <a:extLst>
            <a:ext uri="{FF2B5EF4-FFF2-40B4-BE49-F238E27FC236}">
              <a16:creationId xmlns:a16="http://schemas.microsoft.com/office/drawing/2014/main" id="{00000000-0008-0000-2400-00008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30" name="Picture 2">
          <a:extLst>
            <a:ext uri="{FF2B5EF4-FFF2-40B4-BE49-F238E27FC236}">
              <a16:creationId xmlns:a16="http://schemas.microsoft.com/office/drawing/2014/main" id="{00000000-0008-0000-24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31" name="Picture 1">
          <a:extLst>
            <a:ext uri="{FF2B5EF4-FFF2-40B4-BE49-F238E27FC236}">
              <a16:creationId xmlns:a16="http://schemas.microsoft.com/office/drawing/2014/main" id="{00000000-0008-0000-2400-00008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32" name="Picture 2">
          <a:extLst>
            <a:ext uri="{FF2B5EF4-FFF2-40B4-BE49-F238E27FC236}">
              <a16:creationId xmlns:a16="http://schemas.microsoft.com/office/drawing/2014/main" id="{00000000-0008-0000-24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33" name="Picture 1">
          <a:extLst>
            <a:ext uri="{FF2B5EF4-FFF2-40B4-BE49-F238E27FC236}">
              <a16:creationId xmlns:a16="http://schemas.microsoft.com/office/drawing/2014/main" id="{00000000-0008-0000-2400-00008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34" name="Picture 2">
          <a:extLst>
            <a:ext uri="{FF2B5EF4-FFF2-40B4-BE49-F238E27FC236}">
              <a16:creationId xmlns:a16="http://schemas.microsoft.com/office/drawing/2014/main" id="{00000000-0008-0000-2400-00008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35" name="Picture 1">
          <a:extLst>
            <a:ext uri="{FF2B5EF4-FFF2-40B4-BE49-F238E27FC236}">
              <a16:creationId xmlns:a16="http://schemas.microsoft.com/office/drawing/2014/main" id="{00000000-0008-0000-2400-00008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36" name="Picture 2">
          <a:extLst>
            <a:ext uri="{FF2B5EF4-FFF2-40B4-BE49-F238E27FC236}">
              <a16:creationId xmlns:a16="http://schemas.microsoft.com/office/drawing/2014/main" id="{00000000-0008-0000-2400-00008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37" name="Picture 1">
          <a:extLst>
            <a:ext uri="{FF2B5EF4-FFF2-40B4-BE49-F238E27FC236}">
              <a16:creationId xmlns:a16="http://schemas.microsoft.com/office/drawing/2014/main" id="{00000000-0008-0000-2400-00008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38" name="Picture 2">
          <a:extLst>
            <a:ext uri="{FF2B5EF4-FFF2-40B4-BE49-F238E27FC236}">
              <a16:creationId xmlns:a16="http://schemas.microsoft.com/office/drawing/2014/main" id="{00000000-0008-0000-24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39" name="Picture 1">
          <a:extLst>
            <a:ext uri="{FF2B5EF4-FFF2-40B4-BE49-F238E27FC236}">
              <a16:creationId xmlns:a16="http://schemas.microsoft.com/office/drawing/2014/main" id="{00000000-0008-0000-2400-00008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40" name="Picture 2">
          <a:extLst>
            <a:ext uri="{FF2B5EF4-FFF2-40B4-BE49-F238E27FC236}">
              <a16:creationId xmlns:a16="http://schemas.microsoft.com/office/drawing/2014/main" id="{00000000-0008-0000-24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41" name="Picture 1">
          <a:extLst>
            <a:ext uri="{FF2B5EF4-FFF2-40B4-BE49-F238E27FC236}">
              <a16:creationId xmlns:a16="http://schemas.microsoft.com/office/drawing/2014/main" id="{00000000-0008-0000-2400-00008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42" name="Picture 2">
          <a:extLst>
            <a:ext uri="{FF2B5EF4-FFF2-40B4-BE49-F238E27FC236}">
              <a16:creationId xmlns:a16="http://schemas.microsoft.com/office/drawing/2014/main" id="{00000000-0008-0000-24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43" name="Picture 1">
          <a:extLst>
            <a:ext uri="{FF2B5EF4-FFF2-40B4-BE49-F238E27FC236}">
              <a16:creationId xmlns:a16="http://schemas.microsoft.com/office/drawing/2014/main" id="{00000000-0008-0000-2400-00008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44" name="Picture 2">
          <a:extLst>
            <a:ext uri="{FF2B5EF4-FFF2-40B4-BE49-F238E27FC236}">
              <a16:creationId xmlns:a16="http://schemas.microsoft.com/office/drawing/2014/main" id="{00000000-0008-0000-24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45" name="Picture 1">
          <a:extLst>
            <a:ext uri="{FF2B5EF4-FFF2-40B4-BE49-F238E27FC236}">
              <a16:creationId xmlns:a16="http://schemas.microsoft.com/office/drawing/2014/main" id="{00000000-0008-0000-2400-00009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46" name="Picture 2">
          <a:extLst>
            <a:ext uri="{FF2B5EF4-FFF2-40B4-BE49-F238E27FC236}">
              <a16:creationId xmlns:a16="http://schemas.microsoft.com/office/drawing/2014/main" id="{00000000-0008-0000-24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47" name="Picture 1">
          <a:extLst>
            <a:ext uri="{FF2B5EF4-FFF2-40B4-BE49-F238E27FC236}">
              <a16:creationId xmlns:a16="http://schemas.microsoft.com/office/drawing/2014/main" id="{00000000-0008-0000-2400-00009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48" name="Picture 2">
          <a:extLst>
            <a:ext uri="{FF2B5EF4-FFF2-40B4-BE49-F238E27FC236}">
              <a16:creationId xmlns:a16="http://schemas.microsoft.com/office/drawing/2014/main" id="{00000000-0008-0000-24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49" name="Picture 1">
          <a:extLst>
            <a:ext uri="{FF2B5EF4-FFF2-40B4-BE49-F238E27FC236}">
              <a16:creationId xmlns:a16="http://schemas.microsoft.com/office/drawing/2014/main" id="{00000000-0008-0000-2400-00009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50" name="Picture 2">
          <a:extLst>
            <a:ext uri="{FF2B5EF4-FFF2-40B4-BE49-F238E27FC236}">
              <a16:creationId xmlns:a16="http://schemas.microsoft.com/office/drawing/2014/main" id="{00000000-0008-0000-24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51" name="Picture 1">
          <a:extLst>
            <a:ext uri="{FF2B5EF4-FFF2-40B4-BE49-F238E27FC236}">
              <a16:creationId xmlns:a16="http://schemas.microsoft.com/office/drawing/2014/main" id="{00000000-0008-0000-2400-00009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52" name="Picture 2">
          <a:extLst>
            <a:ext uri="{FF2B5EF4-FFF2-40B4-BE49-F238E27FC236}">
              <a16:creationId xmlns:a16="http://schemas.microsoft.com/office/drawing/2014/main" id="{00000000-0008-0000-24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53" name="Picture 1">
          <a:extLst>
            <a:ext uri="{FF2B5EF4-FFF2-40B4-BE49-F238E27FC236}">
              <a16:creationId xmlns:a16="http://schemas.microsoft.com/office/drawing/2014/main" id="{00000000-0008-0000-2400-00009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54" name="Picture 2">
          <a:extLst>
            <a:ext uri="{FF2B5EF4-FFF2-40B4-BE49-F238E27FC236}">
              <a16:creationId xmlns:a16="http://schemas.microsoft.com/office/drawing/2014/main" id="{00000000-0008-0000-24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55" name="Picture 1">
          <a:extLst>
            <a:ext uri="{FF2B5EF4-FFF2-40B4-BE49-F238E27FC236}">
              <a16:creationId xmlns:a16="http://schemas.microsoft.com/office/drawing/2014/main" id="{00000000-0008-0000-2400-00009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56" name="Picture 2">
          <a:extLst>
            <a:ext uri="{FF2B5EF4-FFF2-40B4-BE49-F238E27FC236}">
              <a16:creationId xmlns:a16="http://schemas.microsoft.com/office/drawing/2014/main" id="{00000000-0008-0000-24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57" name="Picture 1">
          <a:extLst>
            <a:ext uri="{FF2B5EF4-FFF2-40B4-BE49-F238E27FC236}">
              <a16:creationId xmlns:a16="http://schemas.microsoft.com/office/drawing/2014/main" id="{00000000-0008-0000-2400-00009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58" name="Picture 2">
          <a:extLst>
            <a:ext uri="{FF2B5EF4-FFF2-40B4-BE49-F238E27FC236}">
              <a16:creationId xmlns:a16="http://schemas.microsoft.com/office/drawing/2014/main" id="{00000000-0008-0000-24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59" name="Picture 1">
          <a:extLst>
            <a:ext uri="{FF2B5EF4-FFF2-40B4-BE49-F238E27FC236}">
              <a16:creationId xmlns:a16="http://schemas.microsoft.com/office/drawing/2014/main" id="{00000000-0008-0000-2400-00009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60" name="Picture 2">
          <a:extLst>
            <a:ext uri="{FF2B5EF4-FFF2-40B4-BE49-F238E27FC236}">
              <a16:creationId xmlns:a16="http://schemas.microsoft.com/office/drawing/2014/main" id="{00000000-0008-0000-24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61" name="Picture 1">
          <a:extLst>
            <a:ext uri="{FF2B5EF4-FFF2-40B4-BE49-F238E27FC236}">
              <a16:creationId xmlns:a16="http://schemas.microsoft.com/office/drawing/2014/main" id="{00000000-0008-0000-2400-0000A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62" name="Picture 2">
          <a:extLst>
            <a:ext uri="{FF2B5EF4-FFF2-40B4-BE49-F238E27FC236}">
              <a16:creationId xmlns:a16="http://schemas.microsoft.com/office/drawing/2014/main" id="{00000000-0008-0000-24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63" name="Picture 1">
          <a:extLst>
            <a:ext uri="{FF2B5EF4-FFF2-40B4-BE49-F238E27FC236}">
              <a16:creationId xmlns:a16="http://schemas.microsoft.com/office/drawing/2014/main" id="{00000000-0008-0000-2400-0000A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64" name="Picture 2">
          <a:extLst>
            <a:ext uri="{FF2B5EF4-FFF2-40B4-BE49-F238E27FC236}">
              <a16:creationId xmlns:a16="http://schemas.microsoft.com/office/drawing/2014/main" id="{00000000-0008-0000-2400-0000A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65" name="Picture 1">
          <a:extLst>
            <a:ext uri="{FF2B5EF4-FFF2-40B4-BE49-F238E27FC236}">
              <a16:creationId xmlns:a16="http://schemas.microsoft.com/office/drawing/2014/main" id="{00000000-0008-0000-2400-0000A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66" name="Picture 2">
          <a:extLst>
            <a:ext uri="{FF2B5EF4-FFF2-40B4-BE49-F238E27FC236}">
              <a16:creationId xmlns:a16="http://schemas.microsoft.com/office/drawing/2014/main" id="{00000000-0008-0000-24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67" name="Picture 1">
          <a:extLst>
            <a:ext uri="{FF2B5EF4-FFF2-40B4-BE49-F238E27FC236}">
              <a16:creationId xmlns:a16="http://schemas.microsoft.com/office/drawing/2014/main" id="{00000000-0008-0000-2400-0000A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68" name="Picture 2">
          <a:extLst>
            <a:ext uri="{FF2B5EF4-FFF2-40B4-BE49-F238E27FC236}">
              <a16:creationId xmlns:a16="http://schemas.microsoft.com/office/drawing/2014/main" id="{00000000-0008-0000-24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69" name="Picture 1">
          <a:extLst>
            <a:ext uri="{FF2B5EF4-FFF2-40B4-BE49-F238E27FC236}">
              <a16:creationId xmlns:a16="http://schemas.microsoft.com/office/drawing/2014/main" id="{00000000-0008-0000-2400-0000A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70" name="Picture 2">
          <a:extLst>
            <a:ext uri="{FF2B5EF4-FFF2-40B4-BE49-F238E27FC236}">
              <a16:creationId xmlns:a16="http://schemas.microsoft.com/office/drawing/2014/main" id="{00000000-0008-0000-2400-0000A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71" name="Picture 1">
          <a:extLst>
            <a:ext uri="{FF2B5EF4-FFF2-40B4-BE49-F238E27FC236}">
              <a16:creationId xmlns:a16="http://schemas.microsoft.com/office/drawing/2014/main" id="{00000000-0008-0000-2400-0000A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72" name="Picture 2">
          <a:extLst>
            <a:ext uri="{FF2B5EF4-FFF2-40B4-BE49-F238E27FC236}">
              <a16:creationId xmlns:a16="http://schemas.microsoft.com/office/drawing/2014/main" id="{00000000-0008-0000-24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73" name="Picture 1">
          <a:extLst>
            <a:ext uri="{FF2B5EF4-FFF2-40B4-BE49-F238E27FC236}">
              <a16:creationId xmlns:a16="http://schemas.microsoft.com/office/drawing/2014/main" id="{00000000-0008-0000-2400-0000A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74" name="Picture 2">
          <a:extLst>
            <a:ext uri="{FF2B5EF4-FFF2-40B4-BE49-F238E27FC236}">
              <a16:creationId xmlns:a16="http://schemas.microsoft.com/office/drawing/2014/main" id="{00000000-0008-0000-2400-0000A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75" name="Picture 1">
          <a:extLst>
            <a:ext uri="{FF2B5EF4-FFF2-40B4-BE49-F238E27FC236}">
              <a16:creationId xmlns:a16="http://schemas.microsoft.com/office/drawing/2014/main" id="{00000000-0008-0000-2400-0000A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76" name="Picture 2">
          <a:extLst>
            <a:ext uri="{FF2B5EF4-FFF2-40B4-BE49-F238E27FC236}">
              <a16:creationId xmlns:a16="http://schemas.microsoft.com/office/drawing/2014/main" id="{00000000-0008-0000-2400-0000B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77" name="Picture 1">
          <a:extLst>
            <a:ext uri="{FF2B5EF4-FFF2-40B4-BE49-F238E27FC236}">
              <a16:creationId xmlns:a16="http://schemas.microsoft.com/office/drawing/2014/main" id="{00000000-0008-0000-2400-0000B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174</xdr:row>
      <xdr:rowOff>0</xdr:rowOff>
    </xdr:from>
    <xdr:to>
      <xdr:col>1</xdr:col>
      <xdr:colOff>896816</xdr:colOff>
      <xdr:row>174</xdr:row>
      <xdr:rowOff>28575</xdr:rowOff>
    </xdr:to>
    <xdr:pic>
      <xdr:nvPicPr>
        <xdr:cNvPr id="178" name="Picture 2">
          <a:extLst>
            <a:ext uri="{FF2B5EF4-FFF2-40B4-BE49-F238E27FC236}">
              <a16:creationId xmlns:a16="http://schemas.microsoft.com/office/drawing/2014/main" id="{00000000-0008-0000-2400-0000B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57382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174</xdr:row>
      <xdr:rowOff>0</xdr:rowOff>
    </xdr:from>
    <xdr:to>
      <xdr:col>1</xdr:col>
      <xdr:colOff>772991</xdr:colOff>
      <xdr:row>174</xdr:row>
      <xdr:rowOff>76200</xdr:rowOff>
    </xdr:to>
    <xdr:pic>
      <xdr:nvPicPr>
        <xdr:cNvPr id="179" name="Picture 1">
          <a:extLst>
            <a:ext uri="{FF2B5EF4-FFF2-40B4-BE49-F238E27FC236}">
              <a16:creationId xmlns:a16="http://schemas.microsoft.com/office/drawing/2014/main" id="{00000000-0008-0000-2400-0000B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57382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180" name="Picture 2">
          <a:extLst>
            <a:ext uri="{FF2B5EF4-FFF2-40B4-BE49-F238E27FC236}">
              <a16:creationId xmlns:a16="http://schemas.microsoft.com/office/drawing/2014/main" id="{00000000-0008-0000-2400-0000B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181" name="Picture 1">
          <a:extLst>
            <a:ext uri="{FF2B5EF4-FFF2-40B4-BE49-F238E27FC236}">
              <a16:creationId xmlns:a16="http://schemas.microsoft.com/office/drawing/2014/main" id="{00000000-0008-0000-2400-0000B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182" name="Picture 2">
          <a:extLst>
            <a:ext uri="{FF2B5EF4-FFF2-40B4-BE49-F238E27FC236}">
              <a16:creationId xmlns:a16="http://schemas.microsoft.com/office/drawing/2014/main" id="{00000000-0008-0000-2400-0000B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183" name="Picture 1">
          <a:extLst>
            <a:ext uri="{FF2B5EF4-FFF2-40B4-BE49-F238E27FC236}">
              <a16:creationId xmlns:a16="http://schemas.microsoft.com/office/drawing/2014/main" id="{00000000-0008-0000-2400-0000B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184" name="Picture 2">
          <a:extLst>
            <a:ext uri="{FF2B5EF4-FFF2-40B4-BE49-F238E27FC236}">
              <a16:creationId xmlns:a16="http://schemas.microsoft.com/office/drawing/2014/main" id="{00000000-0008-0000-2400-0000B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185" name="Picture 1">
          <a:extLst>
            <a:ext uri="{FF2B5EF4-FFF2-40B4-BE49-F238E27FC236}">
              <a16:creationId xmlns:a16="http://schemas.microsoft.com/office/drawing/2014/main" id="{00000000-0008-0000-2400-0000B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186" name="Picture 2">
          <a:extLst>
            <a:ext uri="{FF2B5EF4-FFF2-40B4-BE49-F238E27FC236}">
              <a16:creationId xmlns:a16="http://schemas.microsoft.com/office/drawing/2014/main" id="{00000000-0008-0000-2400-0000B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187" name="Picture 1">
          <a:extLst>
            <a:ext uri="{FF2B5EF4-FFF2-40B4-BE49-F238E27FC236}">
              <a16:creationId xmlns:a16="http://schemas.microsoft.com/office/drawing/2014/main" id="{00000000-0008-0000-2400-0000B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188" name="Picture 2">
          <a:extLst>
            <a:ext uri="{FF2B5EF4-FFF2-40B4-BE49-F238E27FC236}">
              <a16:creationId xmlns:a16="http://schemas.microsoft.com/office/drawing/2014/main" id="{00000000-0008-0000-2400-0000B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189" name="Picture 1">
          <a:extLst>
            <a:ext uri="{FF2B5EF4-FFF2-40B4-BE49-F238E27FC236}">
              <a16:creationId xmlns:a16="http://schemas.microsoft.com/office/drawing/2014/main" id="{00000000-0008-0000-2400-0000B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190" name="Picture 2">
          <a:extLst>
            <a:ext uri="{FF2B5EF4-FFF2-40B4-BE49-F238E27FC236}">
              <a16:creationId xmlns:a16="http://schemas.microsoft.com/office/drawing/2014/main" id="{00000000-0008-0000-2400-0000B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191" name="Picture 1">
          <a:extLst>
            <a:ext uri="{FF2B5EF4-FFF2-40B4-BE49-F238E27FC236}">
              <a16:creationId xmlns:a16="http://schemas.microsoft.com/office/drawing/2014/main" id="{00000000-0008-0000-2400-0000B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192" name="Picture 2">
          <a:extLst>
            <a:ext uri="{FF2B5EF4-FFF2-40B4-BE49-F238E27FC236}">
              <a16:creationId xmlns:a16="http://schemas.microsoft.com/office/drawing/2014/main" id="{00000000-0008-0000-2400-0000C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193" name="Picture 1">
          <a:extLst>
            <a:ext uri="{FF2B5EF4-FFF2-40B4-BE49-F238E27FC236}">
              <a16:creationId xmlns:a16="http://schemas.microsoft.com/office/drawing/2014/main" id="{00000000-0008-0000-2400-0000C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194" name="Picture 2">
          <a:extLst>
            <a:ext uri="{FF2B5EF4-FFF2-40B4-BE49-F238E27FC236}">
              <a16:creationId xmlns:a16="http://schemas.microsoft.com/office/drawing/2014/main" id="{00000000-0008-0000-2400-0000C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195" name="Picture 1">
          <a:extLst>
            <a:ext uri="{FF2B5EF4-FFF2-40B4-BE49-F238E27FC236}">
              <a16:creationId xmlns:a16="http://schemas.microsoft.com/office/drawing/2014/main" id="{00000000-0008-0000-2400-0000C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196" name="Picture 2">
          <a:extLst>
            <a:ext uri="{FF2B5EF4-FFF2-40B4-BE49-F238E27FC236}">
              <a16:creationId xmlns:a16="http://schemas.microsoft.com/office/drawing/2014/main" id="{00000000-0008-0000-2400-0000C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197" name="Picture 1">
          <a:extLst>
            <a:ext uri="{FF2B5EF4-FFF2-40B4-BE49-F238E27FC236}">
              <a16:creationId xmlns:a16="http://schemas.microsoft.com/office/drawing/2014/main" id="{00000000-0008-0000-2400-0000C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198" name="Picture 2">
          <a:extLst>
            <a:ext uri="{FF2B5EF4-FFF2-40B4-BE49-F238E27FC236}">
              <a16:creationId xmlns:a16="http://schemas.microsoft.com/office/drawing/2014/main" id="{00000000-0008-0000-2400-0000C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199" name="Picture 1">
          <a:extLst>
            <a:ext uri="{FF2B5EF4-FFF2-40B4-BE49-F238E27FC236}">
              <a16:creationId xmlns:a16="http://schemas.microsoft.com/office/drawing/2014/main" id="{00000000-0008-0000-2400-0000C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00" name="Picture 2">
          <a:extLst>
            <a:ext uri="{FF2B5EF4-FFF2-40B4-BE49-F238E27FC236}">
              <a16:creationId xmlns:a16="http://schemas.microsoft.com/office/drawing/2014/main" id="{00000000-0008-0000-2400-0000C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01" name="Picture 1">
          <a:extLst>
            <a:ext uri="{FF2B5EF4-FFF2-40B4-BE49-F238E27FC236}">
              <a16:creationId xmlns:a16="http://schemas.microsoft.com/office/drawing/2014/main" id="{00000000-0008-0000-2400-0000C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02" name="Picture 2">
          <a:extLst>
            <a:ext uri="{FF2B5EF4-FFF2-40B4-BE49-F238E27FC236}">
              <a16:creationId xmlns:a16="http://schemas.microsoft.com/office/drawing/2014/main" id="{00000000-0008-0000-2400-0000C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03" name="Picture 1">
          <a:extLst>
            <a:ext uri="{FF2B5EF4-FFF2-40B4-BE49-F238E27FC236}">
              <a16:creationId xmlns:a16="http://schemas.microsoft.com/office/drawing/2014/main" id="{00000000-0008-0000-2400-0000C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04" name="Picture 2">
          <a:extLst>
            <a:ext uri="{FF2B5EF4-FFF2-40B4-BE49-F238E27FC236}">
              <a16:creationId xmlns:a16="http://schemas.microsoft.com/office/drawing/2014/main" id="{00000000-0008-0000-2400-0000C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05" name="Picture 1">
          <a:extLst>
            <a:ext uri="{FF2B5EF4-FFF2-40B4-BE49-F238E27FC236}">
              <a16:creationId xmlns:a16="http://schemas.microsoft.com/office/drawing/2014/main" id="{00000000-0008-0000-2400-0000C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06" name="Picture 2">
          <a:extLst>
            <a:ext uri="{FF2B5EF4-FFF2-40B4-BE49-F238E27FC236}">
              <a16:creationId xmlns:a16="http://schemas.microsoft.com/office/drawing/2014/main" id="{00000000-0008-0000-2400-0000C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07" name="Picture 1">
          <a:extLst>
            <a:ext uri="{FF2B5EF4-FFF2-40B4-BE49-F238E27FC236}">
              <a16:creationId xmlns:a16="http://schemas.microsoft.com/office/drawing/2014/main" id="{00000000-0008-0000-2400-0000C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08" name="Picture 2">
          <a:extLst>
            <a:ext uri="{FF2B5EF4-FFF2-40B4-BE49-F238E27FC236}">
              <a16:creationId xmlns:a16="http://schemas.microsoft.com/office/drawing/2014/main" id="{00000000-0008-0000-2400-0000D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09" name="Picture 1">
          <a:extLst>
            <a:ext uri="{FF2B5EF4-FFF2-40B4-BE49-F238E27FC236}">
              <a16:creationId xmlns:a16="http://schemas.microsoft.com/office/drawing/2014/main" id="{00000000-0008-0000-2400-0000D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10" name="Picture 2">
          <a:extLst>
            <a:ext uri="{FF2B5EF4-FFF2-40B4-BE49-F238E27FC236}">
              <a16:creationId xmlns:a16="http://schemas.microsoft.com/office/drawing/2014/main" id="{00000000-0008-0000-2400-0000D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11" name="Picture 1">
          <a:extLst>
            <a:ext uri="{FF2B5EF4-FFF2-40B4-BE49-F238E27FC236}">
              <a16:creationId xmlns:a16="http://schemas.microsoft.com/office/drawing/2014/main" id="{00000000-0008-0000-2400-0000D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12" name="Picture 2">
          <a:extLst>
            <a:ext uri="{FF2B5EF4-FFF2-40B4-BE49-F238E27FC236}">
              <a16:creationId xmlns:a16="http://schemas.microsoft.com/office/drawing/2014/main" id="{00000000-0008-0000-2400-0000D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13" name="Picture 1">
          <a:extLst>
            <a:ext uri="{FF2B5EF4-FFF2-40B4-BE49-F238E27FC236}">
              <a16:creationId xmlns:a16="http://schemas.microsoft.com/office/drawing/2014/main" id="{00000000-0008-0000-2400-0000D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14" name="Picture 2">
          <a:extLst>
            <a:ext uri="{FF2B5EF4-FFF2-40B4-BE49-F238E27FC236}">
              <a16:creationId xmlns:a16="http://schemas.microsoft.com/office/drawing/2014/main" id="{00000000-0008-0000-2400-0000D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15" name="Picture 1">
          <a:extLst>
            <a:ext uri="{FF2B5EF4-FFF2-40B4-BE49-F238E27FC236}">
              <a16:creationId xmlns:a16="http://schemas.microsoft.com/office/drawing/2014/main" id="{00000000-0008-0000-2400-0000D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16" name="Picture 2">
          <a:extLst>
            <a:ext uri="{FF2B5EF4-FFF2-40B4-BE49-F238E27FC236}">
              <a16:creationId xmlns:a16="http://schemas.microsoft.com/office/drawing/2014/main" id="{00000000-0008-0000-2400-0000D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17" name="Picture 1">
          <a:extLst>
            <a:ext uri="{FF2B5EF4-FFF2-40B4-BE49-F238E27FC236}">
              <a16:creationId xmlns:a16="http://schemas.microsoft.com/office/drawing/2014/main" id="{00000000-0008-0000-2400-0000D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18" name="Picture 2">
          <a:extLst>
            <a:ext uri="{FF2B5EF4-FFF2-40B4-BE49-F238E27FC236}">
              <a16:creationId xmlns:a16="http://schemas.microsoft.com/office/drawing/2014/main" id="{00000000-0008-0000-2400-0000D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19" name="Picture 1">
          <a:extLst>
            <a:ext uri="{FF2B5EF4-FFF2-40B4-BE49-F238E27FC236}">
              <a16:creationId xmlns:a16="http://schemas.microsoft.com/office/drawing/2014/main" id="{00000000-0008-0000-2400-0000D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20" name="Picture 2">
          <a:extLst>
            <a:ext uri="{FF2B5EF4-FFF2-40B4-BE49-F238E27FC236}">
              <a16:creationId xmlns:a16="http://schemas.microsoft.com/office/drawing/2014/main" id="{00000000-0008-0000-2400-0000D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21" name="Picture 1">
          <a:extLst>
            <a:ext uri="{FF2B5EF4-FFF2-40B4-BE49-F238E27FC236}">
              <a16:creationId xmlns:a16="http://schemas.microsoft.com/office/drawing/2014/main" id="{00000000-0008-0000-2400-0000D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22" name="Picture 2">
          <a:extLst>
            <a:ext uri="{FF2B5EF4-FFF2-40B4-BE49-F238E27FC236}">
              <a16:creationId xmlns:a16="http://schemas.microsoft.com/office/drawing/2014/main" id="{00000000-0008-0000-2400-0000D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23" name="Picture 1">
          <a:extLst>
            <a:ext uri="{FF2B5EF4-FFF2-40B4-BE49-F238E27FC236}">
              <a16:creationId xmlns:a16="http://schemas.microsoft.com/office/drawing/2014/main" id="{00000000-0008-0000-2400-0000D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24" name="Picture 2">
          <a:extLst>
            <a:ext uri="{FF2B5EF4-FFF2-40B4-BE49-F238E27FC236}">
              <a16:creationId xmlns:a16="http://schemas.microsoft.com/office/drawing/2014/main" id="{00000000-0008-0000-2400-0000E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25" name="Picture 1">
          <a:extLst>
            <a:ext uri="{FF2B5EF4-FFF2-40B4-BE49-F238E27FC236}">
              <a16:creationId xmlns:a16="http://schemas.microsoft.com/office/drawing/2014/main" id="{00000000-0008-0000-2400-0000E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26" name="Picture 2">
          <a:extLst>
            <a:ext uri="{FF2B5EF4-FFF2-40B4-BE49-F238E27FC236}">
              <a16:creationId xmlns:a16="http://schemas.microsoft.com/office/drawing/2014/main" id="{00000000-0008-0000-2400-0000E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27" name="Picture 1">
          <a:extLst>
            <a:ext uri="{FF2B5EF4-FFF2-40B4-BE49-F238E27FC236}">
              <a16:creationId xmlns:a16="http://schemas.microsoft.com/office/drawing/2014/main" id="{00000000-0008-0000-2400-0000E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28" name="Picture 2">
          <a:extLst>
            <a:ext uri="{FF2B5EF4-FFF2-40B4-BE49-F238E27FC236}">
              <a16:creationId xmlns:a16="http://schemas.microsoft.com/office/drawing/2014/main" id="{00000000-0008-0000-2400-0000E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29" name="Picture 1">
          <a:extLst>
            <a:ext uri="{FF2B5EF4-FFF2-40B4-BE49-F238E27FC236}">
              <a16:creationId xmlns:a16="http://schemas.microsoft.com/office/drawing/2014/main" id="{00000000-0008-0000-2400-0000E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30" name="Picture 2">
          <a:extLst>
            <a:ext uri="{FF2B5EF4-FFF2-40B4-BE49-F238E27FC236}">
              <a16:creationId xmlns:a16="http://schemas.microsoft.com/office/drawing/2014/main" id="{00000000-0008-0000-2400-0000E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31" name="Picture 1">
          <a:extLst>
            <a:ext uri="{FF2B5EF4-FFF2-40B4-BE49-F238E27FC236}">
              <a16:creationId xmlns:a16="http://schemas.microsoft.com/office/drawing/2014/main" id="{00000000-0008-0000-2400-0000E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32" name="Picture 2">
          <a:extLst>
            <a:ext uri="{FF2B5EF4-FFF2-40B4-BE49-F238E27FC236}">
              <a16:creationId xmlns:a16="http://schemas.microsoft.com/office/drawing/2014/main" id="{00000000-0008-0000-2400-0000E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33" name="Picture 1">
          <a:extLst>
            <a:ext uri="{FF2B5EF4-FFF2-40B4-BE49-F238E27FC236}">
              <a16:creationId xmlns:a16="http://schemas.microsoft.com/office/drawing/2014/main" id="{00000000-0008-0000-2400-0000E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895350</xdr:colOff>
      <xdr:row>169</xdr:row>
      <xdr:rowOff>0</xdr:rowOff>
    </xdr:from>
    <xdr:to>
      <xdr:col>1</xdr:col>
      <xdr:colOff>896816</xdr:colOff>
      <xdr:row>169</xdr:row>
      <xdr:rowOff>28575</xdr:rowOff>
    </xdr:to>
    <xdr:pic>
      <xdr:nvPicPr>
        <xdr:cNvPr id="234" name="Picture 2">
          <a:extLst>
            <a:ext uri="{FF2B5EF4-FFF2-40B4-BE49-F238E27FC236}">
              <a16:creationId xmlns:a16="http://schemas.microsoft.com/office/drawing/2014/main" id="{00000000-0008-0000-2400-0000E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1208067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771525</xdr:colOff>
      <xdr:row>169</xdr:row>
      <xdr:rowOff>0</xdr:rowOff>
    </xdr:from>
    <xdr:to>
      <xdr:col>1</xdr:col>
      <xdr:colOff>772991</xdr:colOff>
      <xdr:row>169</xdr:row>
      <xdr:rowOff>76200</xdr:rowOff>
    </xdr:to>
    <xdr:pic>
      <xdr:nvPicPr>
        <xdr:cNvPr id="235" name="Picture 1">
          <a:extLst>
            <a:ext uri="{FF2B5EF4-FFF2-40B4-BE49-F238E27FC236}">
              <a16:creationId xmlns:a16="http://schemas.microsoft.com/office/drawing/2014/main" id="{00000000-0008-0000-2400-0000E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112080675"/>
          <a:ext cx="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74071</xdr:colOff>
      <xdr:row>0</xdr:row>
      <xdr:rowOff>60819</xdr:rowOff>
    </xdr:from>
    <xdr:to>
      <xdr:col>5</xdr:col>
      <xdr:colOff>1817914</xdr:colOff>
      <xdr:row>0</xdr:row>
      <xdr:rowOff>610685</xdr:rowOff>
    </xdr:to>
    <xdr:pic>
      <xdr:nvPicPr>
        <xdr:cNvPr id="3" name="Slika 1">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a:stretch>
          <a:fillRect/>
        </a:stretch>
      </xdr:blipFill>
      <xdr:spPr>
        <a:xfrm>
          <a:off x="74071" y="60819"/>
          <a:ext cx="6898229" cy="54986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oneCellAnchor>
    <xdr:from>
      <xdr:col>1</xdr:col>
      <xdr:colOff>1247775</xdr:colOff>
      <xdr:row>2</xdr:row>
      <xdr:rowOff>0</xdr:rowOff>
    </xdr:from>
    <xdr:ext cx="184731" cy="264560"/>
    <xdr:sp macro="" textlink="">
      <xdr:nvSpPr>
        <xdr:cNvPr id="2" name="TekstniOkvir 1">
          <a:extLst>
            <a:ext uri="{FF2B5EF4-FFF2-40B4-BE49-F238E27FC236}">
              <a16:creationId xmlns:a16="http://schemas.microsoft.com/office/drawing/2014/main" id="{00000000-0008-0000-1600-000002000000}"/>
            </a:ext>
          </a:extLst>
        </xdr:cNvPr>
        <xdr:cNvSpPr txBox="1"/>
      </xdr:nvSpPr>
      <xdr:spPr>
        <a:xfrm>
          <a:off x="1695450" y="333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drawings/drawing28.xml><?xml version="1.0" encoding="utf-8"?>
<xdr:wsDr xmlns:xdr="http://schemas.openxmlformats.org/drawingml/2006/spreadsheetDrawing" xmlns:a="http://schemas.openxmlformats.org/drawingml/2006/main">
  <xdr:oneCellAnchor>
    <xdr:from>
      <xdr:col>1</xdr:col>
      <xdr:colOff>1247775</xdr:colOff>
      <xdr:row>3</xdr:row>
      <xdr:rowOff>0</xdr:rowOff>
    </xdr:from>
    <xdr:ext cx="184731" cy="264560"/>
    <xdr:sp macro="" textlink="">
      <xdr:nvSpPr>
        <xdr:cNvPr id="2" name="TekstniOkvir 1">
          <a:extLst>
            <a:ext uri="{FF2B5EF4-FFF2-40B4-BE49-F238E27FC236}">
              <a16:creationId xmlns:a16="http://schemas.microsoft.com/office/drawing/2014/main" id="{00000000-0008-0000-2700-000002000000}"/>
            </a:ext>
          </a:extLst>
        </xdr:cNvPr>
        <xdr:cNvSpPr txBox="1"/>
      </xdr:nvSpPr>
      <xdr:spPr>
        <a:xfrm>
          <a:off x="1679575"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sz="11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ristina\Desktop\EOJN\2025\3.%20O&#382;ujak\HR%20&#352;ume%20-%20Jeleni&#263;%20ku&#263;a\Predano%201.natje&#269;aj\H&#352;%20Jeleni&#263;%20ku&#263;a\Kopija%20datoteke%204Tro&#353;kovnik_DIR_2025_126_izmjena%201_210325%20(002)%20ZA%20PREDAJU.xlsx" TargetMode="External"/><Relationship Id="rId1" Type="http://schemas.openxmlformats.org/officeDocument/2006/relationships/externalLinkPath" Target="/Users/kristina/Desktop/EOJN/2025/3.%20O&#382;ujak/HR%20&#352;ume%20-%20Jeleni&#263;%20ku&#263;a/Predano%201.natje&#269;aj/H&#352;%20Jeleni&#263;%20ku&#263;a/Kopija%20datoteke%204Tro&#353;kovnik_DIR_2025_126_izmjena%201_210325%20(002)%20ZA%20PREDAJ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XXXXXX"/>
      <sheetName val="NASLOVNICA"/>
      <sheetName val="OPĆI UVJETI"/>
      <sheetName val="A_I_RUŠENJE I DEMONTAŽE"/>
      <sheetName val="A_II_ ZEMLJANI"/>
      <sheetName val="A_III_ BETONSKI I AB"/>
      <sheetName val="A_IV_ ZIDARSKI RADOVI"/>
      <sheetName val="A_V_ IZOLATERSKI RADOVI"/>
      <sheetName val="A_VI_METALNE KONSTRUKCIJE"/>
      <sheetName val="A_VII_TESARSKI RADOVI"/>
      <sheetName val="B_I_LIMARSKI RADOVI"/>
      <sheetName val="B_II_POKRIVAČKI RADOVI"/>
      <sheetName val="B_III_STOLARSKI RADOVI"/>
      <sheetName val="B_IV_BRAVARSKI RADOVI "/>
      <sheetName val="B_V_ ZAVRŠNI ZIDARSKI RADOVI"/>
      <sheetName val="B_VI_ GIPSARSKI RADOVI"/>
      <sheetName val="B_VII_RADOVI NA PROČELJU"/>
      <sheetName val="B.VII KAMENOREZAČKI RADOVI"/>
      <sheetName val="B_X_ KERAMIČARSKI RADOVI"/>
      <sheetName val="B_XI_ SOBOSLIKARSKI RADOVI"/>
      <sheetName val="B_XIII_ PODOPOLAGAČKI RADOVI"/>
      <sheetName val="B_XIV_KONZERVATORSKI RADOVI"/>
      <sheetName val="B_XVI_ ISPITIVANJE"/>
      <sheetName val="REKAPITULACIJA GRAĐ.OBRT."/>
      <sheetName val="MANIPULATIVNE POVRŠINE"/>
      <sheetName val="REKAPITULACIJA MANIPULATIVNE"/>
      <sheetName val="VODOOPSKRBA, ODVODNJA I VATROZA"/>
      <sheetName val="REKAPITULACIJA VIO I VATROZAŠT."/>
      <sheetName val="STROJARSKE INST. - VRV I DT"/>
      <sheetName val="STROJARSKE INST. - STROJARNICA"/>
      <sheetName val="STROJARSKE INST. - RADIJATORI"/>
      <sheetName val="STROJARSKE INST. - ODSIS"/>
      <sheetName val="STROJARSKE INST. - EL.PODNO"/>
      <sheetName val="REKAPITULACIJA STROJ. INST."/>
      <sheetName val="ELEKTRO E.1"/>
      <sheetName val="ELEKTRO E.2"/>
      <sheetName val="REKAPITULACIJA ELEKTROTEHN. IN."/>
      <sheetName val="KRAJOBRAZ"/>
      <sheetName val="TZ PP "/>
      <sheetName val="TZ VN"/>
      <sheetName val="TZ KP "/>
      <sheetName val="REKAPITULACIJA Tehnička zastita"/>
      <sheetName val="B_XV_ OPREMA PROSTORA"/>
      <sheetName val="REKAPITULACIJA"/>
    </sheetNames>
    <sheetDataSet>
      <sheetData sheetId="0"/>
      <sheetData sheetId="1"/>
      <sheetData sheetId="2"/>
      <sheetData sheetId="3"/>
      <sheetData sheetId="4">
        <row r="8">
          <cell r="E8">
            <v>500</v>
          </cell>
        </row>
        <row r="11">
          <cell r="E11">
            <v>20</v>
          </cell>
        </row>
        <row r="14">
          <cell r="E14">
            <v>40</v>
          </cell>
        </row>
        <row r="17">
          <cell r="E17">
            <v>40</v>
          </cell>
        </row>
        <row r="20">
          <cell r="E20">
            <v>20</v>
          </cell>
        </row>
        <row r="23">
          <cell r="E23">
            <v>20</v>
          </cell>
        </row>
        <row r="26">
          <cell r="E26">
            <v>1500</v>
          </cell>
        </row>
        <row r="29">
          <cell r="E29">
            <v>20</v>
          </cell>
        </row>
      </sheetData>
      <sheetData sheetId="5">
        <row r="10">
          <cell r="E10">
            <v>200</v>
          </cell>
        </row>
        <row r="11">
          <cell r="E11">
            <v>50</v>
          </cell>
        </row>
        <row r="14">
          <cell r="E14">
            <v>200</v>
          </cell>
        </row>
        <row r="15">
          <cell r="E15">
            <v>50</v>
          </cell>
        </row>
        <row r="20">
          <cell r="E20">
            <v>200</v>
          </cell>
        </row>
        <row r="21">
          <cell r="E21">
            <v>50</v>
          </cell>
        </row>
        <row r="24">
          <cell r="E24">
            <v>200</v>
          </cell>
        </row>
        <row r="25">
          <cell r="E25">
            <v>50</v>
          </cell>
        </row>
        <row r="28">
          <cell r="E28">
            <v>200</v>
          </cell>
        </row>
        <row r="29">
          <cell r="E29">
            <v>40</v>
          </cell>
        </row>
        <row r="32">
          <cell r="E32">
            <v>200</v>
          </cell>
        </row>
        <row r="33">
          <cell r="E33">
            <v>50</v>
          </cell>
        </row>
        <row r="36">
          <cell r="E36">
            <v>200</v>
          </cell>
        </row>
        <row r="37">
          <cell r="E37">
            <v>50</v>
          </cell>
        </row>
        <row r="40">
          <cell r="E40">
            <v>200</v>
          </cell>
        </row>
        <row r="41">
          <cell r="E41">
            <v>50</v>
          </cell>
        </row>
        <row r="44">
          <cell r="E44">
            <v>500</v>
          </cell>
        </row>
        <row r="45">
          <cell r="E45">
            <v>100</v>
          </cell>
        </row>
        <row r="48">
          <cell r="E48">
            <v>250</v>
          </cell>
        </row>
        <row r="49">
          <cell r="E49">
            <v>60</v>
          </cell>
        </row>
        <row r="52">
          <cell r="E52">
            <v>500</v>
          </cell>
        </row>
        <row r="53">
          <cell r="E53">
            <v>100</v>
          </cell>
        </row>
        <row r="56">
          <cell r="E56">
            <v>200</v>
          </cell>
        </row>
        <row r="59">
          <cell r="E59">
            <v>250</v>
          </cell>
        </row>
        <row r="60">
          <cell r="E60">
            <v>60</v>
          </cell>
        </row>
        <row r="61">
          <cell r="E61">
            <v>100</v>
          </cell>
        </row>
        <row r="64">
          <cell r="E64">
            <v>500</v>
          </cell>
        </row>
        <row r="65">
          <cell r="E65">
            <v>100</v>
          </cell>
        </row>
        <row r="68">
          <cell r="E68">
            <v>250</v>
          </cell>
        </row>
        <row r="69">
          <cell r="E69">
            <v>60</v>
          </cell>
        </row>
        <row r="72">
          <cell r="E72">
            <v>500</v>
          </cell>
        </row>
        <row r="73">
          <cell r="E73">
            <v>100</v>
          </cell>
        </row>
        <row r="76">
          <cell r="E76">
            <v>200</v>
          </cell>
        </row>
        <row r="79">
          <cell r="E79">
            <v>250</v>
          </cell>
        </row>
        <row r="80">
          <cell r="E80">
            <v>60</v>
          </cell>
        </row>
        <row r="81">
          <cell r="E81">
            <v>100</v>
          </cell>
        </row>
        <row r="84">
          <cell r="E84">
            <v>500</v>
          </cell>
        </row>
        <row r="85">
          <cell r="E85">
            <v>100</v>
          </cell>
        </row>
        <row r="88">
          <cell r="E88">
            <v>250</v>
          </cell>
        </row>
        <row r="89">
          <cell r="E89">
            <v>60</v>
          </cell>
        </row>
        <row r="92">
          <cell r="E92">
            <v>500</v>
          </cell>
        </row>
        <row r="93">
          <cell r="E93">
            <v>100</v>
          </cell>
        </row>
        <row r="96">
          <cell r="E96">
            <v>200</v>
          </cell>
        </row>
        <row r="99">
          <cell r="E99">
            <v>2</v>
          </cell>
        </row>
        <row r="100">
          <cell r="E100">
            <v>2</v>
          </cell>
        </row>
        <row r="101">
          <cell r="E101">
            <v>2</v>
          </cell>
        </row>
        <row r="102">
          <cell r="E102">
            <v>2</v>
          </cell>
        </row>
        <row r="103">
          <cell r="E103">
            <v>2</v>
          </cell>
        </row>
        <row r="104">
          <cell r="E104">
            <v>2</v>
          </cell>
        </row>
        <row r="105">
          <cell r="E105">
            <v>2</v>
          </cell>
        </row>
        <row r="106">
          <cell r="E106">
            <v>5</v>
          </cell>
        </row>
      </sheetData>
      <sheetData sheetId="6">
        <row r="8">
          <cell r="E8">
            <v>350</v>
          </cell>
        </row>
        <row r="9">
          <cell r="E9">
            <v>350</v>
          </cell>
        </row>
        <row r="10">
          <cell r="E10">
            <v>350</v>
          </cell>
        </row>
        <row r="13">
          <cell r="E13">
            <v>350</v>
          </cell>
        </row>
        <row r="14">
          <cell r="E14">
            <v>350</v>
          </cell>
        </row>
      </sheetData>
      <sheetData sheetId="7">
        <row r="8">
          <cell r="E8">
            <v>30</v>
          </cell>
        </row>
        <row r="11">
          <cell r="E11">
            <v>40</v>
          </cell>
        </row>
        <row r="12">
          <cell r="E12">
            <v>10</v>
          </cell>
        </row>
        <row r="16">
          <cell r="E16">
            <v>50</v>
          </cell>
        </row>
        <row r="17">
          <cell r="E17">
            <v>40</v>
          </cell>
        </row>
        <row r="21">
          <cell r="E21">
            <v>40</v>
          </cell>
        </row>
        <row r="22">
          <cell r="E22">
            <v>5</v>
          </cell>
        </row>
        <row r="23">
          <cell r="E23">
            <v>2</v>
          </cell>
        </row>
        <row r="24">
          <cell r="E24">
            <v>15</v>
          </cell>
        </row>
      </sheetData>
      <sheetData sheetId="8">
        <row r="8">
          <cell r="E8">
            <v>3.8</v>
          </cell>
        </row>
        <row r="11">
          <cell r="E11">
            <v>0.5</v>
          </cell>
        </row>
        <row r="15">
          <cell r="E15">
            <v>10</v>
          </cell>
        </row>
        <row r="16">
          <cell r="E16">
            <v>10</v>
          </cell>
        </row>
        <row r="19">
          <cell r="E19">
            <v>200</v>
          </cell>
        </row>
        <row r="23">
          <cell r="E23">
            <v>10</v>
          </cell>
        </row>
        <row r="24">
          <cell r="E24">
            <v>10</v>
          </cell>
        </row>
        <row r="25">
          <cell r="E25">
            <v>15</v>
          </cell>
        </row>
        <row r="26">
          <cell r="E26">
            <v>100</v>
          </cell>
        </row>
        <row r="27">
          <cell r="E27">
            <v>200</v>
          </cell>
        </row>
        <row r="30">
          <cell r="E30">
            <v>300</v>
          </cell>
        </row>
      </sheetData>
      <sheetData sheetId="9"/>
      <sheetData sheetId="10">
        <row r="12">
          <cell r="E12">
            <v>60</v>
          </cell>
        </row>
        <row r="15">
          <cell r="E15">
            <v>60</v>
          </cell>
        </row>
        <row r="18">
          <cell r="E18">
            <v>150</v>
          </cell>
        </row>
        <row r="21">
          <cell r="E21">
            <v>150</v>
          </cell>
        </row>
        <row r="24">
          <cell r="E24">
            <v>80</v>
          </cell>
        </row>
        <row r="25">
          <cell r="E25">
            <v>60</v>
          </cell>
        </row>
        <row r="29">
          <cell r="E29">
            <v>500</v>
          </cell>
        </row>
      </sheetData>
      <sheetData sheetId="11"/>
      <sheetData sheetId="12">
        <row r="53">
          <cell r="E53">
            <v>600</v>
          </cell>
        </row>
        <row r="54">
          <cell r="E54">
            <v>1800</v>
          </cell>
        </row>
        <row r="57">
          <cell r="E57">
            <v>400</v>
          </cell>
        </row>
        <row r="60">
          <cell r="E60">
            <v>600</v>
          </cell>
        </row>
        <row r="63">
          <cell r="E63">
            <v>1100</v>
          </cell>
        </row>
        <row r="66">
          <cell r="E66">
            <v>550</v>
          </cell>
        </row>
        <row r="67">
          <cell r="E67">
            <v>550</v>
          </cell>
        </row>
        <row r="70">
          <cell r="E70">
            <v>3300</v>
          </cell>
        </row>
        <row r="73">
          <cell r="E73">
            <v>650</v>
          </cell>
        </row>
        <row r="76">
          <cell r="E76">
            <v>900</v>
          </cell>
        </row>
        <row r="79">
          <cell r="E79">
            <v>6000</v>
          </cell>
        </row>
        <row r="82">
          <cell r="E82">
            <v>600</v>
          </cell>
        </row>
        <row r="85">
          <cell r="E85">
            <v>600</v>
          </cell>
        </row>
        <row r="86">
          <cell r="E86">
            <v>600</v>
          </cell>
        </row>
        <row r="89">
          <cell r="E89">
            <v>800</v>
          </cell>
        </row>
        <row r="92">
          <cell r="E92">
            <v>750</v>
          </cell>
        </row>
        <row r="95">
          <cell r="E95">
            <v>1800</v>
          </cell>
        </row>
        <row r="98">
          <cell r="E98">
            <v>1350</v>
          </cell>
        </row>
        <row r="101">
          <cell r="E101">
            <v>1800</v>
          </cell>
        </row>
        <row r="106">
          <cell r="E106">
            <v>1500</v>
          </cell>
        </row>
        <row r="107">
          <cell r="E107">
            <v>1500</v>
          </cell>
        </row>
        <row r="110">
          <cell r="E110">
            <v>510</v>
          </cell>
        </row>
        <row r="111">
          <cell r="E111">
            <v>510</v>
          </cell>
        </row>
        <row r="114">
          <cell r="E114">
            <v>495</v>
          </cell>
        </row>
        <row r="115">
          <cell r="E115">
            <v>495</v>
          </cell>
        </row>
        <row r="116">
          <cell r="E116">
            <v>495</v>
          </cell>
        </row>
        <row r="117">
          <cell r="E117">
            <v>495</v>
          </cell>
        </row>
        <row r="120">
          <cell r="E120">
            <v>490</v>
          </cell>
        </row>
        <row r="121">
          <cell r="E121">
            <v>490</v>
          </cell>
        </row>
        <row r="124">
          <cell r="E124">
            <v>5900</v>
          </cell>
        </row>
        <row r="127">
          <cell r="E127">
            <v>6450</v>
          </cell>
        </row>
        <row r="130">
          <cell r="E130">
            <v>2390</v>
          </cell>
        </row>
        <row r="133">
          <cell r="E133">
            <v>1520</v>
          </cell>
        </row>
        <row r="136">
          <cell r="E136">
            <v>1560</v>
          </cell>
        </row>
        <row r="139">
          <cell r="E139">
            <v>50</v>
          </cell>
        </row>
        <row r="142">
          <cell r="E142">
            <v>200</v>
          </cell>
        </row>
        <row r="143">
          <cell r="E143">
            <v>150</v>
          </cell>
        </row>
        <row r="144">
          <cell r="E144">
            <v>100</v>
          </cell>
        </row>
      </sheetData>
      <sheetData sheetId="13"/>
      <sheetData sheetId="14">
        <row r="9">
          <cell r="E9">
            <v>40</v>
          </cell>
        </row>
        <row r="10">
          <cell r="E10">
            <v>30</v>
          </cell>
        </row>
        <row r="11">
          <cell r="E11">
            <v>30</v>
          </cell>
        </row>
        <row r="14">
          <cell r="E14">
            <v>300</v>
          </cell>
        </row>
        <row r="15">
          <cell r="E15">
            <v>200</v>
          </cell>
        </row>
        <row r="16">
          <cell r="E16">
            <v>200</v>
          </cell>
        </row>
        <row r="17">
          <cell r="E17">
            <v>500</v>
          </cell>
        </row>
        <row r="18">
          <cell r="E18">
            <v>200</v>
          </cell>
        </row>
        <row r="22">
          <cell r="E22">
            <v>30</v>
          </cell>
        </row>
        <row r="25">
          <cell r="E25">
            <v>30</v>
          </cell>
        </row>
        <row r="28">
          <cell r="E28">
            <v>15</v>
          </cell>
        </row>
        <row r="31">
          <cell r="E31">
            <v>2500</v>
          </cell>
        </row>
      </sheetData>
      <sheetData sheetId="15">
        <row r="8">
          <cell r="E8">
            <v>75</v>
          </cell>
        </row>
        <row r="9">
          <cell r="E9">
            <v>5</v>
          </cell>
        </row>
        <row r="10">
          <cell r="E10">
            <v>100</v>
          </cell>
        </row>
        <row r="13">
          <cell r="E13">
            <v>75</v>
          </cell>
        </row>
        <row r="14">
          <cell r="E14">
            <v>5</v>
          </cell>
        </row>
        <row r="17">
          <cell r="E17">
            <v>65</v>
          </cell>
        </row>
        <row r="20">
          <cell r="E20">
            <v>100</v>
          </cell>
        </row>
        <row r="21">
          <cell r="E21">
            <v>10</v>
          </cell>
        </row>
        <row r="24">
          <cell r="E24">
            <v>60</v>
          </cell>
        </row>
        <row r="25">
          <cell r="E25">
            <v>100</v>
          </cell>
        </row>
        <row r="32">
          <cell r="E32">
            <v>60</v>
          </cell>
        </row>
        <row r="35">
          <cell r="E35">
            <v>60</v>
          </cell>
        </row>
      </sheetData>
      <sheetData sheetId="16">
        <row r="11">
          <cell r="E11">
            <v>60</v>
          </cell>
        </row>
        <row r="15">
          <cell r="E15">
            <v>20</v>
          </cell>
        </row>
        <row r="18">
          <cell r="E18">
            <v>20</v>
          </cell>
        </row>
        <row r="19">
          <cell r="E19">
            <v>30</v>
          </cell>
        </row>
        <row r="22">
          <cell r="E22">
            <v>30</v>
          </cell>
        </row>
        <row r="25">
          <cell r="E25">
            <v>8000</v>
          </cell>
        </row>
      </sheetData>
      <sheetData sheetId="17"/>
      <sheetData sheetId="18">
        <row r="8">
          <cell r="E8">
            <v>80</v>
          </cell>
        </row>
        <row r="9">
          <cell r="E9">
            <v>20</v>
          </cell>
        </row>
        <row r="12">
          <cell r="E12">
            <v>20</v>
          </cell>
        </row>
        <row r="15">
          <cell r="E15">
            <v>70</v>
          </cell>
        </row>
        <row r="18">
          <cell r="E18">
            <v>20</v>
          </cell>
        </row>
        <row r="21">
          <cell r="E21">
            <v>200</v>
          </cell>
        </row>
      </sheetData>
      <sheetData sheetId="19">
        <row r="8">
          <cell r="E8">
            <v>8</v>
          </cell>
        </row>
        <row r="9">
          <cell r="E9">
            <v>8</v>
          </cell>
        </row>
        <row r="10">
          <cell r="E10">
            <v>9</v>
          </cell>
        </row>
        <row r="13">
          <cell r="E13">
            <v>5</v>
          </cell>
        </row>
        <row r="14">
          <cell r="E14">
            <v>7.5</v>
          </cell>
        </row>
      </sheetData>
      <sheetData sheetId="20">
        <row r="13">
          <cell r="E13">
            <v>100</v>
          </cell>
        </row>
        <row r="14">
          <cell r="E14">
            <v>30</v>
          </cell>
        </row>
        <row r="17">
          <cell r="E17">
            <v>30</v>
          </cell>
        </row>
        <row r="20">
          <cell r="E20">
            <v>80</v>
          </cell>
        </row>
        <row r="21">
          <cell r="E21">
            <v>30</v>
          </cell>
        </row>
        <row r="24">
          <cell r="E24">
            <v>500</v>
          </cell>
        </row>
        <row r="25">
          <cell r="E25">
            <v>50</v>
          </cell>
        </row>
      </sheetData>
      <sheetData sheetId="21">
        <row r="12">
          <cell r="E12">
            <v>8000</v>
          </cell>
        </row>
        <row r="15">
          <cell r="E15">
            <v>80</v>
          </cell>
        </row>
        <row r="18">
          <cell r="E18">
            <v>60</v>
          </cell>
        </row>
        <row r="21">
          <cell r="E21">
            <v>100</v>
          </cell>
        </row>
        <row r="24">
          <cell r="E24">
            <v>200</v>
          </cell>
        </row>
        <row r="25">
          <cell r="E25">
            <v>200</v>
          </cell>
        </row>
        <row r="26">
          <cell r="E26">
            <v>200</v>
          </cell>
        </row>
        <row r="27">
          <cell r="E27">
            <v>200</v>
          </cell>
        </row>
        <row r="28">
          <cell r="E28">
            <v>200</v>
          </cell>
        </row>
        <row r="29">
          <cell r="E29">
            <v>200</v>
          </cell>
        </row>
        <row r="30">
          <cell r="E30">
            <v>200</v>
          </cell>
        </row>
        <row r="31">
          <cell r="E31">
            <v>200</v>
          </cell>
        </row>
        <row r="36">
          <cell r="E36">
            <v>200</v>
          </cell>
        </row>
        <row r="37">
          <cell r="E37">
            <v>100</v>
          </cell>
        </row>
        <row r="40">
          <cell r="E40">
            <v>200</v>
          </cell>
        </row>
        <row r="41">
          <cell r="E41">
            <v>100</v>
          </cell>
        </row>
        <row r="44">
          <cell r="E44">
            <v>200</v>
          </cell>
        </row>
        <row r="45">
          <cell r="E45">
            <v>100</v>
          </cell>
        </row>
        <row r="48">
          <cell r="E48">
            <v>200</v>
          </cell>
        </row>
        <row r="49">
          <cell r="E49">
            <v>100</v>
          </cell>
        </row>
        <row r="52">
          <cell r="E52">
            <v>200</v>
          </cell>
        </row>
        <row r="53">
          <cell r="E53">
            <v>10</v>
          </cell>
        </row>
        <row r="56">
          <cell r="E56">
            <v>200</v>
          </cell>
        </row>
        <row r="57">
          <cell r="E57">
            <v>100</v>
          </cell>
        </row>
        <row r="60">
          <cell r="E60">
            <v>200</v>
          </cell>
        </row>
        <row r="61">
          <cell r="E61">
            <v>100</v>
          </cell>
        </row>
        <row r="65">
          <cell r="E65">
            <v>40</v>
          </cell>
        </row>
        <row r="68">
          <cell r="E68">
            <v>500</v>
          </cell>
        </row>
      </sheetData>
      <sheetData sheetId="22"/>
      <sheetData sheetId="23"/>
      <sheetData sheetId="24"/>
      <sheetData sheetId="25"/>
      <sheetData sheetId="26">
        <row r="168">
          <cell r="E168">
            <v>200</v>
          </cell>
        </row>
      </sheetData>
      <sheetData sheetId="27"/>
      <sheetData sheetId="28"/>
      <sheetData sheetId="29"/>
      <sheetData sheetId="30"/>
      <sheetData sheetId="31"/>
      <sheetData sheetId="32"/>
      <sheetData sheetId="33"/>
      <sheetData sheetId="34">
        <row r="7">
          <cell r="E7">
            <v>0.5</v>
          </cell>
        </row>
        <row r="8">
          <cell r="E8">
            <v>40</v>
          </cell>
        </row>
        <row r="9">
          <cell r="E9">
            <v>20</v>
          </cell>
        </row>
        <row r="10">
          <cell r="E10">
            <v>20</v>
          </cell>
        </row>
        <row r="11">
          <cell r="E11">
            <v>50</v>
          </cell>
        </row>
        <row r="12">
          <cell r="E12">
            <v>40</v>
          </cell>
        </row>
        <row r="20">
          <cell r="E20">
            <v>500</v>
          </cell>
        </row>
        <row r="21">
          <cell r="E21">
            <v>50</v>
          </cell>
        </row>
        <row r="27">
          <cell r="E27">
            <v>250</v>
          </cell>
        </row>
        <row r="28">
          <cell r="E28">
            <v>20</v>
          </cell>
        </row>
        <row r="34">
          <cell r="E34">
            <v>50</v>
          </cell>
        </row>
        <row r="35">
          <cell r="E35">
            <v>1200</v>
          </cell>
        </row>
        <row r="41">
          <cell r="E41">
            <v>100</v>
          </cell>
        </row>
        <row r="42">
          <cell r="E42">
            <v>800</v>
          </cell>
        </row>
        <row r="48">
          <cell r="E48">
            <v>100</v>
          </cell>
        </row>
        <row r="49">
          <cell r="E49">
            <v>1500</v>
          </cell>
        </row>
        <row r="55">
          <cell r="E55">
            <v>100</v>
          </cell>
        </row>
        <row r="56">
          <cell r="E56">
            <v>1500</v>
          </cell>
        </row>
        <row r="62">
          <cell r="E62">
            <v>100</v>
          </cell>
        </row>
        <row r="63">
          <cell r="E63">
            <v>40</v>
          </cell>
        </row>
        <row r="65">
          <cell r="E65">
            <v>14</v>
          </cell>
        </row>
        <row r="66">
          <cell r="E66">
            <v>13</v>
          </cell>
        </row>
        <row r="67">
          <cell r="E67">
            <v>12</v>
          </cell>
        </row>
        <row r="68">
          <cell r="E68">
            <v>5</v>
          </cell>
        </row>
        <row r="69">
          <cell r="E69">
            <v>30</v>
          </cell>
        </row>
        <row r="71">
          <cell r="E71">
            <v>11</v>
          </cell>
        </row>
        <row r="73">
          <cell r="E73">
            <v>155</v>
          </cell>
        </row>
        <row r="74">
          <cell r="E74">
            <v>170</v>
          </cell>
        </row>
        <row r="75">
          <cell r="E75">
            <v>25</v>
          </cell>
        </row>
        <row r="76">
          <cell r="E76">
            <v>25</v>
          </cell>
        </row>
        <row r="77">
          <cell r="E77">
            <v>400</v>
          </cell>
        </row>
        <row r="78">
          <cell r="E78">
            <v>2.5</v>
          </cell>
        </row>
        <row r="79">
          <cell r="E79">
            <v>2</v>
          </cell>
        </row>
        <row r="80">
          <cell r="E80">
            <v>2.5499999999999998</v>
          </cell>
        </row>
        <row r="81">
          <cell r="E81">
            <v>20</v>
          </cell>
        </row>
        <row r="82">
          <cell r="E82">
            <v>15</v>
          </cell>
        </row>
        <row r="84">
          <cell r="E84">
            <v>200</v>
          </cell>
        </row>
        <row r="85">
          <cell r="E85">
            <v>2</v>
          </cell>
        </row>
        <row r="87">
          <cell r="E87">
            <v>5</v>
          </cell>
        </row>
        <row r="88">
          <cell r="E88">
            <v>10</v>
          </cell>
        </row>
        <row r="89">
          <cell r="E89">
            <v>15</v>
          </cell>
        </row>
        <row r="90">
          <cell r="E90">
            <v>11</v>
          </cell>
        </row>
        <row r="91">
          <cell r="E91">
            <v>25</v>
          </cell>
        </row>
        <row r="92">
          <cell r="E92">
            <v>19</v>
          </cell>
        </row>
        <row r="93">
          <cell r="E93">
            <v>25</v>
          </cell>
        </row>
        <row r="94">
          <cell r="E94">
            <v>11</v>
          </cell>
        </row>
        <row r="95">
          <cell r="E95">
            <v>15</v>
          </cell>
        </row>
        <row r="96">
          <cell r="E96">
            <v>15</v>
          </cell>
        </row>
        <row r="97">
          <cell r="E97">
            <v>32</v>
          </cell>
        </row>
        <row r="98">
          <cell r="E98">
            <v>33</v>
          </cell>
        </row>
        <row r="99">
          <cell r="E99">
            <v>35</v>
          </cell>
        </row>
        <row r="100">
          <cell r="E100">
            <v>55</v>
          </cell>
        </row>
        <row r="101">
          <cell r="E101">
            <v>125</v>
          </cell>
        </row>
        <row r="106">
          <cell r="E106">
            <v>210</v>
          </cell>
        </row>
        <row r="108">
          <cell r="E108">
            <v>4.28</v>
          </cell>
        </row>
        <row r="109">
          <cell r="E109">
            <v>4.28</v>
          </cell>
        </row>
        <row r="110">
          <cell r="E110">
            <v>5.88</v>
          </cell>
        </row>
        <row r="111">
          <cell r="E111">
            <v>25</v>
          </cell>
        </row>
        <row r="112">
          <cell r="E112">
            <v>23</v>
          </cell>
        </row>
        <row r="113">
          <cell r="E113">
            <v>31</v>
          </cell>
        </row>
        <row r="114">
          <cell r="E114">
            <v>39</v>
          </cell>
        </row>
        <row r="115">
          <cell r="E115">
            <v>5</v>
          </cell>
        </row>
        <row r="116">
          <cell r="E116">
            <v>12</v>
          </cell>
        </row>
        <row r="117">
          <cell r="E117">
            <v>19</v>
          </cell>
        </row>
        <row r="118">
          <cell r="E118">
            <v>155</v>
          </cell>
        </row>
        <row r="119">
          <cell r="E119">
            <v>55</v>
          </cell>
        </row>
        <row r="120">
          <cell r="E120">
            <v>6</v>
          </cell>
        </row>
        <row r="121">
          <cell r="E121">
            <v>4.2</v>
          </cell>
        </row>
        <row r="122">
          <cell r="E122">
            <v>25</v>
          </cell>
        </row>
        <row r="123">
          <cell r="E123">
            <v>11</v>
          </cell>
        </row>
        <row r="124">
          <cell r="E124">
            <v>4.55</v>
          </cell>
        </row>
        <row r="125">
          <cell r="E125">
            <v>4.0999999999999996</v>
          </cell>
        </row>
        <row r="126">
          <cell r="E126">
            <v>7.55</v>
          </cell>
        </row>
        <row r="127">
          <cell r="E127">
            <v>30</v>
          </cell>
        </row>
        <row r="130">
          <cell r="E130">
            <v>150</v>
          </cell>
        </row>
        <row r="131">
          <cell r="E131">
            <v>250</v>
          </cell>
        </row>
        <row r="132">
          <cell r="E132">
            <v>300</v>
          </cell>
        </row>
        <row r="133">
          <cell r="E133">
            <v>350</v>
          </cell>
        </row>
        <row r="134">
          <cell r="E134">
            <v>500</v>
          </cell>
        </row>
        <row r="143">
          <cell r="E143">
            <v>325</v>
          </cell>
        </row>
        <row r="144">
          <cell r="E144">
            <v>95</v>
          </cell>
        </row>
        <row r="146">
          <cell r="E146">
            <v>665</v>
          </cell>
        </row>
        <row r="147">
          <cell r="E147">
            <v>270</v>
          </cell>
        </row>
        <row r="148">
          <cell r="E148">
            <v>474</v>
          </cell>
        </row>
        <row r="149">
          <cell r="E149">
            <v>420</v>
          </cell>
        </row>
        <row r="150">
          <cell r="E150">
            <v>225</v>
          </cell>
        </row>
        <row r="151">
          <cell r="E151">
            <v>215</v>
          </cell>
        </row>
        <row r="152">
          <cell r="E152">
            <v>110</v>
          </cell>
        </row>
        <row r="153">
          <cell r="E153">
            <v>650</v>
          </cell>
        </row>
        <row r="156">
          <cell r="E156">
            <v>250</v>
          </cell>
        </row>
        <row r="157">
          <cell r="E157">
            <v>250</v>
          </cell>
        </row>
        <row r="158">
          <cell r="E158">
            <v>250</v>
          </cell>
        </row>
        <row r="159">
          <cell r="E159">
            <v>250</v>
          </cell>
        </row>
        <row r="160">
          <cell r="E160">
            <v>500</v>
          </cell>
        </row>
        <row r="163">
          <cell r="E163">
            <v>1500</v>
          </cell>
        </row>
        <row r="164">
          <cell r="E164">
            <v>800</v>
          </cell>
        </row>
        <row r="167">
          <cell r="E167">
            <v>1500</v>
          </cell>
        </row>
      </sheetData>
      <sheetData sheetId="35"/>
      <sheetData sheetId="36"/>
      <sheetData sheetId="37">
        <row r="36">
          <cell r="E36">
            <v>2</v>
          </cell>
        </row>
        <row r="49">
          <cell r="E49">
            <v>2</v>
          </cell>
        </row>
        <row r="57">
          <cell r="E57">
            <v>200</v>
          </cell>
        </row>
        <row r="71">
          <cell r="E71">
            <v>100</v>
          </cell>
        </row>
        <row r="79">
          <cell r="E79">
            <v>50</v>
          </cell>
        </row>
        <row r="85">
          <cell r="E85">
            <v>50</v>
          </cell>
        </row>
        <row r="90">
          <cell r="E90">
            <v>20</v>
          </cell>
        </row>
        <row r="103">
          <cell r="E103">
            <v>100</v>
          </cell>
        </row>
        <row r="107">
          <cell r="E107">
            <v>20</v>
          </cell>
        </row>
        <row r="123">
          <cell r="E123">
            <v>550</v>
          </cell>
        </row>
        <row r="132">
          <cell r="E132">
            <v>1000</v>
          </cell>
        </row>
        <row r="140">
          <cell r="E140">
            <v>1500</v>
          </cell>
        </row>
        <row r="148">
          <cell r="E148">
            <v>500</v>
          </cell>
        </row>
        <row r="157">
          <cell r="E157">
            <v>800</v>
          </cell>
        </row>
        <row r="165">
          <cell r="E165">
            <v>400</v>
          </cell>
        </row>
        <row r="172">
          <cell r="E172">
            <v>200</v>
          </cell>
        </row>
        <row r="180">
          <cell r="E180">
            <v>1000</v>
          </cell>
        </row>
        <row r="191">
          <cell r="E191">
            <v>2850</v>
          </cell>
        </row>
        <row r="197">
          <cell r="E197">
            <v>100</v>
          </cell>
        </row>
        <row r="203">
          <cell r="E203">
            <v>1900</v>
          </cell>
        </row>
        <row r="208">
          <cell r="E208">
            <v>1950</v>
          </cell>
        </row>
        <row r="224">
          <cell r="E224">
            <v>200</v>
          </cell>
        </row>
        <row r="225">
          <cell r="E225">
            <v>200</v>
          </cell>
        </row>
        <row r="226">
          <cell r="E226">
            <v>200</v>
          </cell>
        </row>
        <row r="227">
          <cell r="E227">
            <v>200</v>
          </cell>
        </row>
        <row r="233">
          <cell r="E233">
            <v>50</v>
          </cell>
        </row>
        <row r="234">
          <cell r="E234">
            <v>50</v>
          </cell>
        </row>
        <row r="235">
          <cell r="E235">
            <v>50</v>
          </cell>
        </row>
        <row r="236">
          <cell r="E236">
            <v>20</v>
          </cell>
        </row>
        <row r="237">
          <cell r="E237">
            <v>20</v>
          </cell>
        </row>
        <row r="238">
          <cell r="E238">
            <v>20</v>
          </cell>
        </row>
        <row r="239">
          <cell r="E239">
            <v>20</v>
          </cell>
        </row>
        <row r="240">
          <cell r="E240">
            <v>50</v>
          </cell>
        </row>
        <row r="241">
          <cell r="E241">
            <v>50</v>
          </cell>
        </row>
        <row r="247">
          <cell r="E247">
            <v>10</v>
          </cell>
        </row>
        <row r="248">
          <cell r="E248">
            <v>10</v>
          </cell>
        </row>
        <row r="249">
          <cell r="E249">
            <v>10</v>
          </cell>
        </row>
        <row r="250">
          <cell r="E250">
            <v>10</v>
          </cell>
        </row>
        <row r="251">
          <cell r="E251">
            <v>10</v>
          </cell>
        </row>
        <row r="252">
          <cell r="E252">
            <v>10</v>
          </cell>
        </row>
        <row r="253">
          <cell r="E253">
            <v>10</v>
          </cell>
        </row>
        <row r="262">
          <cell r="E262">
            <v>1</v>
          </cell>
        </row>
        <row r="264">
          <cell r="E264">
            <v>2</v>
          </cell>
        </row>
        <row r="266">
          <cell r="E266">
            <v>0.2</v>
          </cell>
        </row>
        <row r="274">
          <cell r="E274">
            <v>100</v>
          </cell>
        </row>
        <row r="276">
          <cell r="E276">
            <v>15</v>
          </cell>
        </row>
        <row r="278">
          <cell r="E278">
            <v>8</v>
          </cell>
        </row>
        <row r="280">
          <cell r="E280">
            <v>20</v>
          </cell>
        </row>
        <row r="282">
          <cell r="E282">
            <v>20</v>
          </cell>
        </row>
        <row r="291">
          <cell r="E291">
            <v>5</v>
          </cell>
        </row>
        <row r="293">
          <cell r="E293">
            <v>100</v>
          </cell>
        </row>
      </sheetData>
      <sheetData sheetId="38">
        <row r="8">
          <cell r="E8">
            <v>480</v>
          </cell>
        </row>
        <row r="9">
          <cell r="E9">
            <v>155</v>
          </cell>
        </row>
        <row r="10">
          <cell r="E10">
            <v>2570</v>
          </cell>
        </row>
        <row r="11">
          <cell r="E11">
            <v>10</v>
          </cell>
        </row>
        <row r="12">
          <cell r="E12">
            <v>273</v>
          </cell>
        </row>
        <row r="13">
          <cell r="E13">
            <v>135</v>
          </cell>
        </row>
        <row r="14">
          <cell r="E14">
            <v>244</v>
          </cell>
        </row>
        <row r="15">
          <cell r="E15">
            <v>23</v>
          </cell>
        </row>
        <row r="16">
          <cell r="E16">
            <v>12</v>
          </cell>
        </row>
        <row r="17">
          <cell r="E17">
            <v>9</v>
          </cell>
        </row>
        <row r="18">
          <cell r="E18">
            <v>284</v>
          </cell>
        </row>
        <row r="19">
          <cell r="E19">
            <v>492</v>
          </cell>
        </row>
        <row r="20">
          <cell r="E20">
            <v>377</v>
          </cell>
        </row>
        <row r="21">
          <cell r="E21">
            <v>84</v>
          </cell>
        </row>
        <row r="22">
          <cell r="E22">
            <v>64</v>
          </cell>
        </row>
        <row r="23">
          <cell r="E23">
            <v>7</v>
          </cell>
        </row>
        <row r="24">
          <cell r="E24">
            <v>39</v>
          </cell>
        </row>
        <row r="25">
          <cell r="E25">
            <v>95</v>
          </cell>
        </row>
        <row r="26">
          <cell r="E26">
            <v>10</v>
          </cell>
        </row>
        <row r="27">
          <cell r="E27">
            <v>145</v>
          </cell>
        </row>
        <row r="28">
          <cell r="E28">
            <v>133</v>
          </cell>
        </row>
        <row r="29">
          <cell r="E29">
            <v>24</v>
          </cell>
        </row>
        <row r="30">
          <cell r="E30">
            <v>500</v>
          </cell>
        </row>
        <row r="34">
          <cell r="E34">
            <v>200</v>
          </cell>
        </row>
        <row r="35">
          <cell r="E35">
            <v>100</v>
          </cell>
        </row>
        <row r="36">
          <cell r="E36">
            <v>100</v>
          </cell>
        </row>
        <row r="37">
          <cell r="E37">
            <v>100</v>
          </cell>
        </row>
        <row r="38">
          <cell r="E38">
            <v>100</v>
          </cell>
        </row>
        <row r="39">
          <cell r="E39">
            <v>30</v>
          </cell>
        </row>
        <row r="40">
          <cell r="E40">
            <v>200</v>
          </cell>
        </row>
        <row r="41">
          <cell r="E41">
            <v>50</v>
          </cell>
        </row>
        <row r="42">
          <cell r="E42">
            <v>50</v>
          </cell>
        </row>
        <row r="43">
          <cell r="E43">
            <v>50</v>
          </cell>
        </row>
        <row r="44">
          <cell r="E44">
            <v>100</v>
          </cell>
        </row>
        <row r="45">
          <cell r="E45">
            <v>100</v>
          </cell>
        </row>
        <row r="46">
          <cell r="E46">
            <v>100</v>
          </cell>
        </row>
        <row r="47">
          <cell r="E47">
            <v>1760</v>
          </cell>
        </row>
        <row r="48">
          <cell r="E48">
            <v>1890</v>
          </cell>
        </row>
        <row r="49">
          <cell r="E49">
            <v>740</v>
          </cell>
        </row>
        <row r="50">
          <cell r="E50">
            <v>140</v>
          </cell>
        </row>
        <row r="51">
          <cell r="E51">
            <v>500</v>
          </cell>
        </row>
      </sheetData>
      <sheetData sheetId="39">
        <row r="8">
          <cell r="E8">
            <v>1484</v>
          </cell>
        </row>
        <row r="9">
          <cell r="E9">
            <v>212</v>
          </cell>
        </row>
        <row r="10">
          <cell r="E10">
            <v>587</v>
          </cell>
        </row>
        <row r="11">
          <cell r="E11">
            <v>34</v>
          </cell>
        </row>
        <row r="12">
          <cell r="E12">
            <v>34</v>
          </cell>
        </row>
        <row r="13">
          <cell r="E13">
            <v>34</v>
          </cell>
        </row>
        <row r="14">
          <cell r="E14">
            <v>310</v>
          </cell>
        </row>
        <row r="15">
          <cell r="E15">
            <v>10</v>
          </cell>
        </row>
        <row r="16">
          <cell r="E16">
            <v>280</v>
          </cell>
        </row>
        <row r="17">
          <cell r="E17">
            <v>10</v>
          </cell>
        </row>
        <row r="18">
          <cell r="E18">
            <v>280</v>
          </cell>
        </row>
        <row r="19">
          <cell r="E19">
            <v>10</v>
          </cell>
        </row>
        <row r="20">
          <cell r="E20">
            <v>1360</v>
          </cell>
        </row>
        <row r="21">
          <cell r="E21">
            <v>644</v>
          </cell>
        </row>
        <row r="22">
          <cell r="E22">
            <v>722</v>
          </cell>
        </row>
        <row r="23">
          <cell r="E23">
            <v>34</v>
          </cell>
        </row>
        <row r="24">
          <cell r="E24">
            <v>34</v>
          </cell>
        </row>
        <row r="25">
          <cell r="E25">
            <v>1244</v>
          </cell>
        </row>
        <row r="26">
          <cell r="E26">
            <v>488</v>
          </cell>
        </row>
        <row r="27">
          <cell r="E27">
            <v>460</v>
          </cell>
        </row>
        <row r="28">
          <cell r="E28">
            <v>34</v>
          </cell>
        </row>
        <row r="29">
          <cell r="E29">
            <v>797</v>
          </cell>
        </row>
        <row r="30">
          <cell r="E30">
            <v>34</v>
          </cell>
        </row>
        <row r="31">
          <cell r="E31">
            <v>194</v>
          </cell>
        </row>
        <row r="32">
          <cell r="E32">
            <v>1000</v>
          </cell>
        </row>
        <row r="33">
          <cell r="E33">
            <v>500</v>
          </cell>
        </row>
        <row r="34">
          <cell r="E34">
            <v>500</v>
          </cell>
        </row>
        <row r="35">
          <cell r="E35">
            <v>500</v>
          </cell>
        </row>
        <row r="36">
          <cell r="E36">
            <v>100</v>
          </cell>
        </row>
        <row r="37">
          <cell r="E37">
            <v>50</v>
          </cell>
        </row>
        <row r="38">
          <cell r="E38">
            <v>497</v>
          </cell>
        </row>
        <row r="39">
          <cell r="E39">
            <v>744</v>
          </cell>
        </row>
        <row r="40">
          <cell r="E40">
            <v>80</v>
          </cell>
        </row>
        <row r="41">
          <cell r="E41">
            <v>300</v>
          </cell>
        </row>
        <row r="42">
          <cell r="E42">
            <v>2860</v>
          </cell>
        </row>
        <row r="43">
          <cell r="E43">
            <v>2000</v>
          </cell>
        </row>
        <row r="44">
          <cell r="E44">
            <v>1200</v>
          </cell>
        </row>
        <row r="45">
          <cell r="E45">
            <v>54</v>
          </cell>
        </row>
        <row r="46">
          <cell r="E46">
            <v>50</v>
          </cell>
        </row>
        <row r="47">
          <cell r="E47">
            <v>100</v>
          </cell>
        </row>
        <row r="51">
          <cell r="E51">
            <v>50</v>
          </cell>
        </row>
        <row r="52">
          <cell r="E52">
            <v>50</v>
          </cell>
        </row>
        <row r="53">
          <cell r="E53">
            <v>50</v>
          </cell>
        </row>
        <row r="54">
          <cell r="E54">
            <v>50</v>
          </cell>
        </row>
        <row r="55">
          <cell r="E55">
            <v>50</v>
          </cell>
        </row>
        <row r="56">
          <cell r="E56">
            <v>50</v>
          </cell>
        </row>
        <row r="57">
          <cell r="E57">
            <v>50</v>
          </cell>
        </row>
        <row r="58">
          <cell r="E58">
            <v>50</v>
          </cell>
        </row>
        <row r="59">
          <cell r="E59">
            <v>50</v>
          </cell>
        </row>
        <row r="60">
          <cell r="E60">
            <v>50</v>
          </cell>
        </row>
        <row r="61">
          <cell r="E61">
            <v>50</v>
          </cell>
        </row>
        <row r="62">
          <cell r="E62">
            <v>50</v>
          </cell>
        </row>
        <row r="63">
          <cell r="E63">
            <v>1860</v>
          </cell>
        </row>
        <row r="64">
          <cell r="E64">
            <v>50</v>
          </cell>
        </row>
        <row r="65">
          <cell r="E65">
            <v>50</v>
          </cell>
        </row>
        <row r="66">
          <cell r="E66">
            <v>50</v>
          </cell>
        </row>
        <row r="67">
          <cell r="E67">
            <v>2580</v>
          </cell>
        </row>
        <row r="68">
          <cell r="E68">
            <v>150</v>
          </cell>
        </row>
        <row r="69">
          <cell r="E69">
            <v>500</v>
          </cell>
        </row>
      </sheetData>
      <sheetData sheetId="40"/>
      <sheetData sheetId="41"/>
      <sheetData sheetId="42">
        <row r="10">
          <cell r="E10">
            <v>1000</v>
          </cell>
        </row>
        <row r="11">
          <cell r="E11">
            <v>1000</v>
          </cell>
        </row>
        <row r="13">
          <cell r="E13">
            <v>500</v>
          </cell>
        </row>
        <row r="15">
          <cell r="E15">
            <v>500</v>
          </cell>
        </row>
        <row r="17">
          <cell r="E17">
            <v>1200</v>
          </cell>
        </row>
        <row r="19">
          <cell r="E19">
            <v>800</v>
          </cell>
        </row>
        <row r="20">
          <cell r="E20">
            <v>500</v>
          </cell>
        </row>
        <row r="24">
          <cell r="E24">
            <v>1000</v>
          </cell>
        </row>
        <row r="25">
          <cell r="E25">
            <v>500</v>
          </cell>
        </row>
        <row r="26">
          <cell r="E26">
            <v>300</v>
          </cell>
        </row>
        <row r="27">
          <cell r="E27">
            <v>1000</v>
          </cell>
        </row>
        <row r="28">
          <cell r="E28">
            <v>500</v>
          </cell>
        </row>
        <row r="29">
          <cell r="E29">
            <v>500</v>
          </cell>
        </row>
        <row r="30">
          <cell r="E30">
            <v>500</v>
          </cell>
        </row>
        <row r="31">
          <cell r="E31">
            <v>200</v>
          </cell>
        </row>
        <row r="33">
          <cell r="E33">
            <v>250</v>
          </cell>
        </row>
        <row r="34">
          <cell r="E34">
            <v>800</v>
          </cell>
        </row>
        <row r="35">
          <cell r="E35">
            <v>400</v>
          </cell>
        </row>
        <row r="37">
          <cell r="E37">
            <v>1000</v>
          </cell>
        </row>
        <row r="39">
          <cell r="E39">
            <v>100</v>
          </cell>
        </row>
        <row r="42">
          <cell r="E42">
            <v>200</v>
          </cell>
        </row>
        <row r="43">
          <cell r="E43">
            <v>200</v>
          </cell>
        </row>
        <row r="44">
          <cell r="E44">
            <v>50</v>
          </cell>
        </row>
        <row r="47">
          <cell r="E47">
            <v>1000</v>
          </cell>
        </row>
        <row r="48">
          <cell r="E48">
            <v>500</v>
          </cell>
        </row>
        <row r="53">
          <cell r="E53">
            <v>400</v>
          </cell>
        </row>
        <row r="54">
          <cell r="E54">
            <v>200</v>
          </cell>
        </row>
        <row r="55">
          <cell r="E55">
            <v>100</v>
          </cell>
        </row>
        <row r="57">
          <cell r="E57">
            <v>500</v>
          </cell>
        </row>
        <row r="59">
          <cell r="E59">
            <v>500</v>
          </cell>
        </row>
        <row r="61">
          <cell r="E61">
            <v>120</v>
          </cell>
        </row>
        <row r="64">
          <cell r="E64">
            <v>500</v>
          </cell>
        </row>
        <row r="65">
          <cell r="E65">
            <v>1000</v>
          </cell>
        </row>
        <row r="67">
          <cell r="E67">
            <v>100</v>
          </cell>
        </row>
        <row r="69">
          <cell r="E69">
            <v>100</v>
          </cell>
        </row>
        <row r="75">
          <cell r="E75">
            <v>200</v>
          </cell>
        </row>
        <row r="76">
          <cell r="E76">
            <v>200</v>
          </cell>
        </row>
        <row r="81">
          <cell r="E81">
            <v>100</v>
          </cell>
        </row>
        <row r="82">
          <cell r="E82">
            <v>120</v>
          </cell>
        </row>
        <row r="85">
          <cell r="E85">
            <v>50</v>
          </cell>
        </row>
        <row r="86">
          <cell r="E86">
            <v>100</v>
          </cell>
        </row>
        <row r="87">
          <cell r="E87">
            <v>50</v>
          </cell>
        </row>
        <row r="89">
          <cell r="E89">
            <v>1000</v>
          </cell>
        </row>
        <row r="91">
          <cell r="E91">
            <v>500</v>
          </cell>
        </row>
        <row r="93">
          <cell r="E93">
            <v>1500</v>
          </cell>
        </row>
        <row r="95">
          <cell r="E95">
            <v>20</v>
          </cell>
        </row>
        <row r="98">
          <cell r="E98">
            <v>50</v>
          </cell>
        </row>
        <row r="99">
          <cell r="E99">
            <v>40</v>
          </cell>
        </row>
        <row r="101">
          <cell r="E101">
            <v>120</v>
          </cell>
        </row>
        <row r="103">
          <cell r="E103">
            <v>100</v>
          </cell>
        </row>
        <row r="106">
          <cell r="E106">
            <v>50</v>
          </cell>
        </row>
        <row r="107">
          <cell r="E107">
            <v>40</v>
          </cell>
        </row>
        <row r="110">
          <cell r="E110">
            <v>2500</v>
          </cell>
        </row>
        <row r="111">
          <cell r="E111">
            <v>2800</v>
          </cell>
        </row>
        <row r="114">
          <cell r="E114">
            <v>800</v>
          </cell>
        </row>
        <row r="115">
          <cell r="E115">
            <v>700</v>
          </cell>
        </row>
        <row r="121">
          <cell r="E121">
            <v>500</v>
          </cell>
        </row>
        <row r="122">
          <cell r="E122">
            <v>500</v>
          </cell>
        </row>
        <row r="124">
          <cell r="E124">
            <v>2500</v>
          </cell>
        </row>
        <row r="126">
          <cell r="E126">
            <v>2500</v>
          </cell>
        </row>
        <row r="128">
          <cell r="E128">
            <v>1000</v>
          </cell>
        </row>
        <row r="131">
          <cell r="E131">
            <v>500</v>
          </cell>
        </row>
        <row r="134">
          <cell r="E134">
            <v>50</v>
          </cell>
        </row>
      </sheetData>
      <sheetData sheetId="4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www.europeanwaterlabel.eu/" TargetMode="External"/><Relationship Id="rId2" Type="http://schemas.openxmlformats.org/officeDocument/2006/relationships/hyperlink" Target="https://mingor.gov.hr/o-ministarstvu-1065/djelokrug/uprava-za-klimatske-aktivnosti-1879/eko-oznake/znak-zastite-okolisa-europske-unije-eu-ecolabel/1420" TargetMode="External"/><Relationship Id="rId1" Type="http://schemas.openxmlformats.org/officeDocument/2006/relationships/hyperlink" Target="https://environment.ec.europa.eu/topics/circular-economy/eu-ecolabel-home/product-groups-and-criteria/holiday-accommodation_en"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40.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view="pageBreakPreview" zoomScaleNormal="90" zoomScaleSheetLayoutView="100" workbookViewId="0"/>
  </sheetViews>
  <sheetFormatPr defaultRowHeight="13.2"/>
  <sheetData/>
  <phoneticPr fontId="23" type="noConversion"/>
  <pageMargins left="0.74791666666666667" right="0.74791666666666667" top="0.98402777777777772" bottom="0.98402777777777772" header="0.51180555555555551" footer="0.51180555555555551"/>
  <pageSetup paperSize="9"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List4">
    <tabColor theme="9" tint="0.39997558519241921"/>
  </sheetPr>
  <dimension ref="A1:H52"/>
  <sheetViews>
    <sheetView view="pageLayout" topLeftCell="A11" zoomScale="115" zoomScaleNormal="90" zoomScaleSheetLayoutView="130" zoomScalePageLayoutView="115" workbookViewId="0">
      <selection activeCell="B37" sqref="B37"/>
    </sheetView>
  </sheetViews>
  <sheetFormatPr defaultRowHeight="13.8"/>
  <cols>
    <col min="1" max="1" width="5.6640625" customWidth="1"/>
    <col min="2" max="2" width="48.6640625" customWidth="1"/>
    <col min="3" max="3" width="48.6640625" style="1" customWidth="1"/>
    <col min="4" max="4" width="5.6640625" style="6" customWidth="1"/>
    <col min="5" max="5" width="11.44140625" bestFit="1" customWidth="1"/>
    <col min="6" max="6" width="12.6640625" bestFit="1" customWidth="1"/>
  </cols>
  <sheetData>
    <row r="1" spans="1:8" ht="15.6">
      <c r="A1" s="221"/>
      <c r="B1" s="221"/>
      <c r="D1" s="5"/>
      <c r="E1" s="222"/>
      <c r="F1" s="222"/>
    </row>
    <row r="2" spans="1:8" ht="27" customHeight="1">
      <c r="A2" s="4"/>
      <c r="B2" s="4"/>
      <c r="D2" s="5"/>
      <c r="E2" s="222"/>
      <c r="F2" s="222"/>
    </row>
    <row r="3" spans="1:8" ht="15.75" customHeight="1">
      <c r="A3" s="1523" t="s">
        <v>2059</v>
      </c>
      <c r="B3" s="1523"/>
      <c r="C3" s="1523"/>
      <c r="D3" s="1523"/>
      <c r="E3" s="229"/>
      <c r="F3" s="229"/>
      <c r="G3" s="229"/>
      <c r="H3" s="229"/>
    </row>
    <row r="4" spans="1:8" ht="15.75" customHeight="1">
      <c r="A4" s="1523"/>
      <c r="B4" s="1523"/>
      <c r="C4" s="1523"/>
      <c r="D4" s="1523"/>
      <c r="E4" s="229"/>
      <c r="F4" s="229"/>
      <c r="G4" s="229"/>
      <c r="H4" s="229"/>
    </row>
    <row r="5" spans="1:8" ht="139.5" customHeight="1">
      <c r="A5" s="1523"/>
      <c r="B5" s="1523"/>
      <c r="C5" s="1523"/>
      <c r="D5" s="1523"/>
      <c r="E5" s="229"/>
      <c r="F5" s="229"/>
      <c r="G5" s="229"/>
      <c r="H5" s="229"/>
    </row>
    <row r="6" spans="1:8" ht="15.75" customHeight="1">
      <c r="A6" s="223"/>
      <c r="B6" s="224" t="s">
        <v>391</v>
      </c>
      <c r="C6" s="225" t="s">
        <v>392</v>
      </c>
      <c r="D6" s="223"/>
      <c r="E6" s="223"/>
      <c r="F6" s="223"/>
      <c r="G6" s="223"/>
      <c r="H6" s="223"/>
    </row>
    <row r="7" spans="1:8" ht="15.75" customHeight="1">
      <c r="A7" s="223"/>
      <c r="B7" s="226" t="s">
        <v>393</v>
      </c>
      <c r="C7" s="227" t="s">
        <v>394</v>
      </c>
      <c r="D7" s="223"/>
      <c r="E7" s="223"/>
      <c r="F7" s="223"/>
      <c r="G7" s="223"/>
      <c r="H7" s="223"/>
    </row>
    <row r="8" spans="1:8" ht="10.5" customHeight="1">
      <c r="A8" s="223"/>
      <c r="B8" s="226"/>
      <c r="C8" s="227"/>
      <c r="D8" s="223"/>
      <c r="E8" s="223"/>
      <c r="F8" s="223"/>
      <c r="G8" s="223"/>
      <c r="H8" s="223"/>
    </row>
    <row r="9" spans="1:8" ht="31.2">
      <c r="A9" s="223"/>
      <c r="B9" s="224" t="s">
        <v>395</v>
      </c>
      <c r="C9" s="225" t="s">
        <v>402</v>
      </c>
      <c r="D9" s="223"/>
      <c r="E9" s="223"/>
      <c r="F9" s="223"/>
      <c r="G9" s="223"/>
      <c r="H9" s="223"/>
    </row>
    <row r="10" spans="1:8" ht="15.75" customHeight="1">
      <c r="A10" s="223"/>
      <c r="B10" s="1522" t="s">
        <v>396</v>
      </c>
      <c r="C10" s="227"/>
      <c r="D10" s="223"/>
      <c r="E10" s="223"/>
      <c r="F10" s="223"/>
      <c r="G10" s="223"/>
      <c r="H10" s="223"/>
    </row>
    <row r="11" spans="1:8" ht="15.75" customHeight="1">
      <c r="A11" s="223"/>
      <c r="B11" s="1522"/>
      <c r="C11" s="227" t="s">
        <v>397</v>
      </c>
      <c r="D11" s="223"/>
      <c r="E11" s="223"/>
      <c r="F11" s="223"/>
      <c r="G11" s="223"/>
      <c r="H11" s="223"/>
    </row>
    <row r="12" spans="1:8" ht="15.75" customHeight="1">
      <c r="A12" s="223"/>
      <c r="B12" s="1522"/>
      <c r="C12" s="227" t="s">
        <v>398</v>
      </c>
      <c r="D12" s="223"/>
      <c r="E12" s="223"/>
      <c r="F12" s="223"/>
      <c r="G12" s="223"/>
      <c r="H12" s="223"/>
    </row>
    <row r="13" spans="1:8" ht="15.75" customHeight="1">
      <c r="A13" s="223"/>
      <c r="B13" s="226" t="s">
        <v>1641</v>
      </c>
      <c r="C13" s="228" t="s">
        <v>1640</v>
      </c>
      <c r="D13" s="223"/>
      <c r="E13" s="223"/>
      <c r="F13" s="223"/>
      <c r="G13" s="223"/>
      <c r="H13" s="223"/>
    </row>
    <row r="14" spans="1:8" ht="15.75" customHeight="1">
      <c r="A14" s="223"/>
      <c r="B14" s="226"/>
      <c r="C14" s="228"/>
      <c r="D14" s="223"/>
      <c r="E14" s="223"/>
      <c r="F14" s="223"/>
      <c r="G14" s="223"/>
      <c r="H14" s="223"/>
    </row>
    <row r="15" spans="1:8" ht="50.1" customHeight="1">
      <c r="A15" s="223"/>
      <c r="B15" s="230" t="s">
        <v>401</v>
      </c>
      <c r="C15" s="280" t="s">
        <v>2049</v>
      </c>
      <c r="D15" s="223"/>
      <c r="E15" s="223"/>
      <c r="F15" s="223"/>
      <c r="G15" s="223"/>
      <c r="H15" s="223"/>
    </row>
    <row r="16" spans="1:8" ht="50.1" customHeight="1">
      <c r="A16" s="223"/>
      <c r="B16" s="230" t="s">
        <v>2050</v>
      </c>
      <c r="C16" s="280" t="s">
        <v>2048</v>
      </c>
      <c r="D16" s="223"/>
      <c r="E16" s="223"/>
      <c r="F16" s="223"/>
      <c r="G16" s="223"/>
      <c r="H16" s="223"/>
    </row>
    <row r="17" spans="1:8" ht="50.1" customHeight="1">
      <c r="A17" s="223"/>
      <c r="B17" s="230" t="s">
        <v>2052</v>
      </c>
      <c r="C17" s="280" t="s">
        <v>2053</v>
      </c>
      <c r="D17" s="223"/>
      <c r="E17" s="223"/>
      <c r="F17" s="223"/>
      <c r="G17" s="223"/>
      <c r="H17" s="223"/>
    </row>
    <row r="18" spans="1:8" ht="50.1" customHeight="1">
      <c r="A18" s="223"/>
      <c r="B18" s="230" t="s">
        <v>2051</v>
      </c>
      <c r="C18" s="280" t="s">
        <v>2054</v>
      </c>
      <c r="D18" s="223"/>
      <c r="E18" s="223"/>
      <c r="F18" s="223"/>
      <c r="G18" s="223"/>
      <c r="H18" s="223"/>
    </row>
    <row r="19" spans="1:8" ht="50.1" customHeight="1">
      <c r="A19" s="223"/>
      <c r="B19" s="230" t="s">
        <v>2056</v>
      </c>
      <c r="C19" s="280" t="s">
        <v>2055</v>
      </c>
      <c r="D19" s="223"/>
      <c r="E19" s="223"/>
      <c r="F19" s="223"/>
      <c r="G19" s="223"/>
      <c r="H19" s="223"/>
    </row>
    <row r="20" spans="1:8" ht="50.1" customHeight="1">
      <c r="A20" s="223"/>
      <c r="B20" s="230"/>
      <c r="C20" s="280" t="s">
        <v>2057</v>
      </c>
      <c r="D20" s="223"/>
      <c r="E20" s="223"/>
      <c r="F20" s="223"/>
      <c r="G20" s="223"/>
      <c r="H20" s="223"/>
    </row>
    <row r="21" spans="1:8" ht="50.1" customHeight="1">
      <c r="A21" s="223"/>
      <c r="B21" s="230"/>
      <c r="C21" s="292"/>
      <c r="D21" s="223"/>
      <c r="E21" s="223"/>
      <c r="F21" s="223"/>
      <c r="G21" s="223"/>
      <c r="H21" s="223"/>
    </row>
    <row r="22" spans="1:8" ht="14.25" customHeight="1">
      <c r="A22" s="223"/>
      <c r="B22" s="230" t="s">
        <v>2058</v>
      </c>
      <c r="C22" s="280" t="s">
        <v>2055</v>
      </c>
      <c r="D22" s="223"/>
      <c r="E22" s="223"/>
      <c r="F22" s="223"/>
      <c r="G22" s="223"/>
      <c r="H22" s="223"/>
    </row>
    <row r="23" spans="1:8" ht="31.5" customHeight="1">
      <c r="A23" s="223"/>
      <c r="B23" s="230"/>
      <c r="C23" s="223"/>
      <c r="D23" s="223"/>
      <c r="E23" s="223"/>
      <c r="F23" s="223"/>
      <c r="G23" s="223"/>
      <c r="H23" s="223"/>
    </row>
    <row r="24" spans="1:8" ht="14.25" customHeight="1">
      <c r="A24" s="223"/>
      <c r="B24" s="230" t="s">
        <v>399</v>
      </c>
      <c r="C24" s="231" t="s">
        <v>400</v>
      </c>
      <c r="D24" s="223"/>
      <c r="E24" s="223"/>
      <c r="F24" s="223"/>
      <c r="G24" s="223"/>
      <c r="H24" s="223"/>
    </row>
    <row r="25" spans="1:8" ht="14.25" customHeight="1">
      <c r="A25" s="223"/>
      <c r="B25" s="223"/>
      <c r="C25" s="223"/>
      <c r="D25" s="223"/>
      <c r="E25" s="223"/>
      <c r="F25" s="223"/>
      <c r="G25" s="223"/>
      <c r="H25" s="223"/>
    </row>
    <row r="26" spans="1:8" ht="14.25" customHeight="1">
      <c r="A26" s="223"/>
      <c r="B26" s="223"/>
      <c r="C26" s="223"/>
      <c r="D26" s="223"/>
      <c r="E26" s="223"/>
      <c r="F26" s="223"/>
      <c r="G26" s="223"/>
      <c r="H26" s="223"/>
    </row>
    <row r="27" spans="1:8" ht="14.25" customHeight="1">
      <c r="A27" s="223"/>
      <c r="B27" s="223"/>
      <c r="C27" s="223"/>
      <c r="D27" s="223"/>
      <c r="E27" s="223"/>
      <c r="F27" s="223"/>
      <c r="G27" s="223"/>
      <c r="H27" s="223"/>
    </row>
    <row r="28" spans="1:8" ht="14.25" customHeight="1">
      <c r="A28" s="223"/>
      <c r="B28" s="223"/>
      <c r="C28" s="223"/>
      <c r="D28" s="223"/>
      <c r="E28" s="223"/>
      <c r="F28" s="223"/>
      <c r="G28" s="223"/>
      <c r="H28" s="223"/>
    </row>
    <row r="29" spans="1:8" ht="14.25" customHeight="1">
      <c r="A29" s="223"/>
      <c r="B29" s="223"/>
      <c r="C29" s="223"/>
      <c r="D29" s="223"/>
      <c r="E29" s="223"/>
      <c r="F29" s="223"/>
      <c r="G29" s="223"/>
      <c r="H29" s="223"/>
    </row>
    <row r="30" spans="1:8" ht="14.25" customHeight="1">
      <c r="A30" s="223"/>
      <c r="B30" s="223"/>
      <c r="C30" s="223"/>
      <c r="D30" s="223"/>
      <c r="E30" s="223"/>
      <c r="F30" s="223"/>
      <c r="G30" s="223"/>
      <c r="H30" s="223"/>
    </row>
    <row r="31" spans="1:8" ht="14.25" customHeight="1">
      <c r="A31" s="223"/>
      <c r="B31" s="223"/>
      <c r="C31" s="223"/>
      <c r="D31" s="223"/>
      <c r="E31" s="223"/>
      <c r="F31" s="223"/>
      <c r="G31" s="223"/>
      <c r="H31" s="223"/>
    </row>
    <row r="32" spans="1:8" ht="14.25" customHeight="1">
      <c r="A32" s="223"/>
      <c r="B32" s="223"/>
      <c r="C32" s="223"/>
      <c r="D32" s="223"/>
      <c r="E32" s="223"/>
      <c r="F32" s="223"/>
      <c r="G32" s="223"/>
      <c r="H32" s="223"/>
    </row>
    <row r="33" spans="1:8" ht="14.25" customHeight="1">
      <c r="A33" s="223"/>
      <c r="B33" s="223"/>
      <c r="C33" s="223"/>
      <c r="D33" s="223"/>
      <c r="E33" s="223"/>
      <c r="F33" s="223"/>
      <c r="G33" s="223"/>
      <c r="H33" s="223"/>
    </row>
    <row r="34" spans="1:8" ht="14.25" customHeight="1">
      <c r="A34" s="223"/>
      <c r="B34" s="223"/>
      <c r="C34" s="223"/>
      <c r="D34" s="223"/>
      <c r="E34" s="223"/>
      <c r="F34" s="223"/>
      <c r="G34" s="223"/>
      <c r="H34" s="223"/>
    </row>
    <row r="35" spans="1:8" ht="14.25" customHeight="1">
      <c r="A35" s="223"/>
      <c r="B35" s="223"/>
      <c r="C35" s="223"/>
      <c r="D35" s="223"/>
      <c r="E35" s="223"/>
      <c r="F35" s="223"/>
      <c r="G35" s="223"/>
      <c r="H35" s="223"/>
    </row>
    <row r="36" spans="1:8" ht="14.25" customHeight="1">
      <c r="A36" s="223"/>
      <c r="B36" s="223"/>
      <c r="C36" s="223"/>
      <c r="D36" s="223"/>
      <c r="E36" s="223"/>
      <c r="F36" s="223"/>
      <c r="G36" s="223"/>
      <c r="H36" s="223"/>
    </row>
    <row r="37" spans="1:8" ht="14.25" customHeight="1">
      <c r="A37" s="223"/>
      <c r="B37" s="223"/>
      <c r="C37" s="223"/>
      <c r="D37" s="223"/>
      <c r="E37" s="223"/>
      <c r="F37" s="223"/>
      <c r="G37" s="223"/>
      <c r="H37" s="223"/>
    </row>
    <row r="38" spans="1:8" ht="14.25" customHeight="1">
      <c r="A38" s="223"/>
      <c r="B38" s="223"/>
      <c r="C38" s="223"/>
      <c r="D38" s="223"/>
      <c r="E38" s="223"/>
      <c r="F38" s="223"/>
      <c r="G38" s="223"/>
      <c r="H38" s="223"/>
    </row>
    <row r="39" spans="1:8" ht="14.25" customHeight="1">
      <c r="A39" s="223"/>
      <c r="B39" s="223"/>
      <c r="C39" s="223"/>
      <c r="D39" s="223"/>
      <c r="E39" s="223"/>
      <c r="F39" s="223"/>
      <c r="G39" s="223"/>
      <c r="H39" s="223"/>
    </row>
    <row r="40" spans="1:8" ht="14.25" customHeight="1">
      <c r="A40" s="223"/>
      <c r="B40" s="223"/>
      <c r="C40" s="223"/>
      <c r="D40" s="223"/>
      <c r="E40" s="223"/>
      <c r="F40" s="223"/>
      <c r="G40" s="223"/>
      <c r="H40" s="223"/>
    </row>
    <row r="41" spans="1:8" ht="14.25" customHeight="1">
      <c r="A41" s="223"/>
      <c r="B41" s="223"/>
      <c r="C41" s="223"/>
      <c r="D41" s="223"/>
      <c r="E41" s="223"/>
      <c r="F41" s="223"/>
      <c r="G41" s="223"/>
      <c r="H41" s="223"/>
    </row>
    <row r="42" spans="1:8" ht="14.25" customHeight="1">
      <c r="A42" s="223"/>
      <c r="B42" s="223"/>
      <c r="C42" s="223"/>
      <c r="D42" s="223"/>
      <c r="E42" s="223"/>
      <c r="F42" s="223"/>
      <c r="G42" s="223"/>
      <c r="H42" s="223"/>
    </row>
    <row r="43" spans="1:8" ht="14.25" customHeight="1">
      <c r="A43" s="223"/>
      <c r="B43" s="223"/>
      <c r="C43" s="223"/>
      <c r="D43" s="223"/>
      <c r="E43" s="223"/>
      <c r="F43" s="223"/>
      <c r="G43" s="223"/>
      <c r="H43" s="223"/>
    </row>
    <row r="44" spans="1:8" ht="14.25" customHeight="1">
      <c r="A44" s="223"/>
      <c r="B44" s="223"/>
      <c r="C44" s="223"/>
      <c r="D44" s="223"/>
      <c r="E44" s="223"/>
      <c r="F44" s="223"/>
      <c r="G44" s="223"/>
      <c r="H44" s="223"/>
    </row>
    <row r="45" spans="1:8" ht="14.25" customHeight="1">
      <c r="A45" s="223"/>
      <c r="B45" s="223"/>
      <c r="C45" s="223"/>
      <c r="D45" s="223"/>
      <c r="E45" s="223"/>
      <c r="F45" s="223"/>
      <c r="G45" s="223"/>
      <c r="H45" s="223"/>
    </row>
    <row r="46" spans="1:8" ht="14.25" customHeight="1">
      <c r="A46" s="223"/>
      <c r="B46" s="223"/>
      <c r="C46" s="223"/>
      <c r="D46" s="223"/>
      <c r="E46" s="223"/>
      <c r="F46" s="223"/>
      <c r="G46" s="223"/>
      <c r="H46" s="223"/>
    </row>
    <row r="47" spans="1:8" ht="14.25" customHeight="1">
      <c r="A47" s="223"/>
      <c r="B47" s="223"/>
      <c r="C47" s="223"/>
      <c r="D47" s="223"/>
      <c r="E47" s="223"/>
      <c r="F47" s="223"/>
      <c r="G47" s="223"/>
      <c r="H47" s="223"/>
    </row>
    <row r="48" spans="1:8" ht="14.25" customHeight="1">
      <c r="A48" s="223"/>
      <c r="B48" s="223"/>
      <c r="C48" s="223"/>
      <c r="D48" s="223"/>
      <c r="E48" s="223"/>
      <c r="F48" s="223"/>
      <c r="G48" s="223"/>
      <c r="H48" s="223"/>
    </row>
    <row r="49" spans="1:8" ht="14.25" customHeight="1">
      <c r="A49" s="223"/>
      <c r="B49" s="223"/>
      <c r="C49" s="223"/>
      <c r="D49" s="223"/>
      <c r="E49" s="223"/>
      <c r="F49" s="223"/>
      <c r="G49" s="223"/>
      <c r="H49" s="223"/>
    </row>
    <row r="50" spans="1:8" ht="14.25" customHeight="1">
      <c r="A50" s="223"/>
      <c r="B50" s="223"/>
      <c r="C50" s="223"/>
      <c r="D50" s="223"/>
      <c r="E50" s="223"/>
      <c r="F50" s="223"/>
      <c r="G50" s="223"/>
      <c r="H50" s="223"/>
    </row>
    <row r="51" spans="1:8" ht="14.25" customHeight="1">
      <c r="A51" s="223"/>
      <c r="B51" s="223"/>
      <c r="C51" s="223"/>
      <c r="D51" s="223"/>
      <c r="E51" s="223"/>
      <c r="F51" s="223"/>
      <c r="G51" s="223"/>
      <c r="H51" s="223"/>
    </row>
    <row r="52" spans="1:8" ht="14.25" customHeight="1">
      <c r="A52" s="223"/>
      <c r="B52" s="223"/>
      <c r="C52" s="223"/>
      <c r="D52" s="223"/>
      <c r="E52" s="223"/>
      <c r="F52" s="223"/>
      <c r="G52" s="223"/>
      <c r="H52" s="223"/>
    </row>
  </sheetData>
  <sheetProtection algorithmName="SHA-512" hashValue="b/mqcUiurkNt/+lhbJ2lWmwRhKax4OlnMtu/DDeJGb8RI6Xpti8YCOlzgZ4U1Lm7W1tIgo7WxSp6uEk0AnRDdw==" saltValue="R5YQfJXtuEW1MS6bY+adsw==" spinCount="100000" sheet="1" objects="1" scenarios="1" formatCells="0" formatColumns="0" formatRows="0" insertColumns="0" insertRows="0" insertHyperlinks="0" deleteColumns="0" deleteRows="0" sort="0" autoFilter="0" pivotTables="0"/>
  <mergeCells count="2">
    <mergeCell ref="B10:B12"/>
    <mergeCell ref="A3:D5"/>
  </mergeCells>
  <pageMargins left="0.7583333333333333" right="0.39374999999999999" top="0.88958333333333328" bottom="0.59055118110236227" header="0" footer="0"/>
  <pageSetup paperSize="9" scale="70" firstPageNumber="0" fitToHeight="0" orientation="portrait" horizontalDpi="4294967293"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M46"/>
  <sheetViews>
    <sheetView zoomScaleNormal="100" zoomScaleSheetLayoutView="115" workbookViewId="0">
      <selection activeCell="C39" sqref="C39"/>
    </sheetView>
  </sheetViews>
  <sheetFormatPr defaultColWidth="9.109375" defaultRowHeight="13.2"/>
  <cols>
    <col min="1" max="1" width="9.33203125" style="10" customWidth="1"/>
    <col min="2" max="2" width="57.6640625" style="10" customWidth="1"/>
    <col min="3" max="3" width="11.33203125" style="56" customWidth="1"/>
    <col min="4" max="4" width="10.109375" style="48" customWidth="1"/>
    <col min="5" max="5" width="11.44140625" style="10" bestFit="1" customWidth="1"/>
    <col min="6" max="6" width="12.6640625" style="10" bestFit="1" customWidth="1"/>
    <col min="7" max="7" width="9.109375" style="10"/>
    <col min="8" max="8" width="6.109375" style="10" customWidth="1"/>
    <col min="9" max="9" width="57.6640625" style="10" customWidth="1"/>
    <col min="10" max="10" width="11.33203125" style="56" customWidth="1"/>
    <col min="11" max="11" width="10.109375" style="10" customWidth="1"/>
    <col min="12" max="12" width="11.44140625" style="10" bestFit="1" customWidth="1"/>
    <col min="13" max="13" width="12.6640625" style="10" bestFit="1" customWidth="1"/>
    <col min="14" max="16384" width="9.109375" style="10"/>
  </cols>
  <sheetData>
    <row r="1" spans="1:13" ht="13.8" thickBot="1">
      <c r="A1" s="878"/>
      <c r="B1" s="879" t="s">
        <v>2063</v>
      </c>
      <c r="C1" s="880"/>
      <c r="D1" s="877"/>
    </row>
    <row r="3" spans="1:13">
      <c r="A3" s="1524"/>
      <c r="B3" s="1524"/>
      <c r="C3" s="1524"/>
      <c r="D3" s="1524"/>
      <c r="E3" s="14"/>
      <c r="F3" s="14"/>
      <c r="H3" s="7"/>
      <c r="I3" s="7"/>
      <c r="J3" s="104"/>
      <c r="K3" s="8"/>
      <c r="L3" s="9"/>
      <c r="M3" s="9"/>
    </row>
    <row r="4" spans="1:13" ht="26.4">
      <c r="A4" s="44" t="s">
        <v>416</v>
      </c>
      <c r="B4" s="37" t="s">
        <v>2090</v>
      </c>
      <c r="C4" s="295"/>
      <c r="D4" s="296"/>
      <c r="E4" s="297"/>
      <c r="F4" s="14"/>
      <c r="K4" s="13"/>
      <c r="L4" s="14"/>
      <c r="M4" s="14"/>
    </row>
    <row r="5" spans="1:13" ht="145.19999999999999">
      <c r="A5" s="44" t="s">
        <v>421</v>
      </c>
      <c r="B5" s="37" t="s">
        <v>2109</v>
      </c>
      <c r="D5" s="298"/>
      <c r="E5" s="68"/>
      <c r="F5" s="297"/>
      <c r="K5" s="13"/>
      <c r="L5" s="14"/>
      <c r="M5" s="14"/>
    </row>
    <row r="6" spans="1:13" ht="39.6">
      <c r="A6" s="44" t="s">
        <v>434</v>
      </c>
      <c r="B6" s="37" t="s">
        <v>2064</v>
      </c>
      <c r="C6" s="295"/>
      <c r="D6" s="296"/>
      <c r="E6" s="297"/>
      <c r="F6" s="68"/>
      <c r="K6" s="13"/>
      <c r="L6" s="14"/>
      <c r="M6" s="14"/>
    </row>
    <row r="7" spans="1:13" ht="79.2">
      <c r="A7" s="44" t="s">
        <v>439</v>
      </c>
      <c r="B7" s="37" t="s">
        <v>2065</v>
      </c>
      <c r="D7" s="298"/>
      <c r="E7" s="68"/>
      <c r="F7" s="68"/>
      <c r="K7" s="13"/>
      <c r="L7" s="14"/>
      <c r="M7" s="14"/>
    </row>
    <row r="8" spans="1:13" ht="26.4">
      <c r="A8" s="44" t="s">
        <v>442</v>
      </c>
      <c r="B8" s="37" t="s">
        <v>2066</v>
      </c>
      <c r="D8" s="298"/>
      <c r="E8" s="68"/>
      <c r="F8" s="297"/>
      <c r="K8" s="13"/>
      <c r="L8" s="14"/>
      <c r="M8" s="14"/>
    </row>
    <row r="9" spans="1:13" ht="79.2">
      <c r="A9" s="44" t="s">
        <v>497</v>
      </c>
      <c r="B9" s="37" t="s">
        <v>2067</v>
      </c>
      <c r="C9" s="295"/>
      <c r="D9" s="296"/>
      <c r="E9" s="297"/>
      <c r="F9" s="68"/>
      <c r="K9" s="13"/>
      <c r="L9" s="14"/>
      <c r="M9" s="14"/>
    </row>
    <row r="10" spans="1:13" ht="39.6">
      <c r="A10" s="44" t="s">
        <v>499</v>
      </c>
      <c r="B10" s="37" t="s">
        <v>2068</v>
      </c>
      <c r="D10" s="298"/>
      <c r="E10" s="68"/>
      <c r="F10" s="68"/>
      <c r="K10" s="13"/>
      <c r="L10" s="14"/>
      <c r="M10" s="14"/>
    </row>
    <row r="11" spans="1:13" ht="39.6">
      <c r="A11" s="44" t="s">
        <v>559</v>
      </c>
      <c r="B11" s="37" t="s">
        <v>2069</v>
      </c>
      <c r="C11" s="112"/>
      <c r="D11" s="299"/>
      <c r="E11" s="46"/>
      <c r="F11" s="297"/>
      <c r="K11" s="13"/>
      <c r="L11" s="14"/>
      <c r="M11" s="14"/>
    </row>
    <row r="12" spans="1:13" ht="39.6">
      <c r="A12" s="44" t="s">
        <v>562</v>
      </c>
      <c r="B12" s="37" t="s">
        <v>2070</v>
      </c>
      <c r="F12" s="68"/>
      <c r="K12" s="13"/>
      <c r="L12" s="14"/>
      <c r="M12" s="14"/>
    </row>
    <row r="13" spans="1:13" ht="39.6">
      <c r="A13" s="300"/>
      <c r="B13" s="37" t="s">
        <v>2071</v>
      </c>
      <c r="F13" s="68"/>
      <c r="K13" s="13"/>
      <c r="L13" s="14"/>
      <c r="M13" s="14"/>
    </row>
    <row r="14" spans="1:13" ht="39.6">
      <c r="A14" s="300"/>
      <c r="B14" s="37" t="s">
        <v>2072</v>
      </c>
      <c r="F14" s="14"/>
      <c r="H14" s="43"/>
      <c r="I14" s="67"/>
      <c r="K14" s="13"/>
      <c r="L14" s="14"/>
      <c r="M14" s="14"/>
    </row>
    <row r="15" spans="1:13" ht="26.4">
      <c r="A15" s="300"/>
      <c r="B15" s="37" t="s">
        <v>2073</v>
      </c>
      <c r="F15" s="39"/>
      <c r="H15" s="22"/>
      <c r="K15" s="13"/>
      <c r="L15" s="39"/>
      <c r="M15" s="39"/>
    </row>
    <row r="16" spans="1:13" ht="92.4">
      <c r="A16" s="300"/>
      <c r="B16" s="37" t="s">
        <v>2074</v>
      </c>
      <c r="F16" s="39"/>
      <c r="H16" s="22"/>
      <c r="K16" s="13"/>
      <c r="L16" s="39"/>
      <c r="M16" s="39"/>
    </row>
    <row r="17" spans="1:13" ht="26.4">
      <c r="A17" s="300"/>
      <c r="B17" s="37" t="s">
        <v>2075</v>
      </c>
      <c r="F17" s="47"/>
      <c r="H17" s="43"/>
      <c r="I17" s="43"/>
      <c r="J17" s="112"/>
      <c r="K17" s="45"/>
      <c r="L17" s="46"/>
      <c r="M17" s="47"/>
    </row>
    <row r="18" spans="1:13" ht="52.8">
      <c r="A18" s="301" t="s">
        <v>565</v>
      </c>
      <c r="B18" s="37" t="s">
        <v>2114</v>
      </c>
      <c r="F18" s="39"/>
      <c r="K18" s="13"/>
      <c r="L18" s="39"/>
      <c r="M18" s="39"/>
    </row>
    <row r="19" spans="1:13" ht="79.2">
      <c r="A19" s="301"/>
      <c r="B19" s="37" t="s">
        <v>2076</v>
      </c>
    </row>
    <row r="20" spans="1:13" ht="39.6">
      <c r="A20" s="301" t="s">
        <v>568</v>
      </c>
      <c r="B20" s="37" t="s">
        <v>2077</v>
      </c>
    </row>
    <row r="21" spans="1:13" ht="39.6">
      <c r="A21" s="301" t="s">
        <v>570</v>
      </c>
      <c r="B21" s="37" t="s">
        <v>2078</v>
      </c>
    </row>
    <row r="22" spans="1:13">
      <c r="A22" s="301" t="s">
        <v>575</v>
      </c>
      <c r="B22" s="94" t="s">
        <v>2079</v>
      </c>
      <c r="C22" s="94"/>
      <c r="D22" s="94"/>
    </row>
    <row r="23" spans="1:13" ht="92.4">
      <c r="A23" s="301" t="s">
        <v>578</v>
      </c>
      <c r="B23" s="37" t="s">
        <v>2080</v>
      </c>
    </row>
    <row r="24" spans="1:13" ht="39.6">
      <c r="A24" s="301"/>
      <c r="B24" s="37" t="s">
        <v>2081</v>
      </c>
    </row>
    <row r="25" spans="1:13" ht="52.8">
      <c r="A25" s="301" t="s">
        <v>581</v>
      </c>
      <c r="B25" s="37" t="s">
        <v>2082</v>
      </c>
    </row>
    <row r="26" spans="1:13" ht="52.8">
      <c r="A26" s="301" t="s">
        <v>584</v>
      </c>
      <c r="B26" s="37" t="s">
        <v>2083</v>
      </c>
    </row>
    <row r="27" spans="1:13" ht="39.6">
      <c r="A27" s="301" t="s">
        <v>587</v>
      </c>
      <c r="B27" s="37" t="s">
        <v>2084</v>
      </c>
    </row>
    <row r="28" spans="1:13" ht="66">
      <c r="A28" s="301" t="s">
        <v>720</v>
      </c>
      <c r="B28" s="37" t="s">
        <v>2085</v>
      </c>
    </row>
    <row r="29" spans="1:13" ht="79.2">
      <c r="A29" s="301" t="s">
        <v>722</v>
      </c>
      <c r="B29" s="37" t="s">
        <v>2086</v>
      </c>
    </row>
    <row r="30" spans="1:13" ht="92.4">
      <c r="A30" s="301" t="s">
        <v>723</v>
      </c>
      <c r="B30" s="37" t="s">
        <v>2087</v>
      </c>
    </row>
    <row r="31" spans="1:13" ht="52.8">
      <c r="A31" s="301" t="s">
        <v>726</v>
      </c>
      <c r="B31" s="37" t="s">
        <v>2088</v>
      </c>
    </row>
    <row r="32" spans="1:13" ht="52.8">
      <c r="A32" s="301" t="s">
        <v>729</v>
      </c>
      <c r="B32" s="37" t="s">
        <v>2089</v>
      </c>
    </row>
    <row r="33" spans="1:4" ht="79.2">
      <c r="A33" s="342" t="s">
        <v>735</v>
      </c>
      <c r="B33" s="16" t="s">
        <v>2559</v>
      </c>
    </row>
    <row r="34" spans="1:4" ht="39.6">
      <c r="A34" s="300"/>
      <c r="B34" s="343" t="s">
        <v>2157</v>
      </c>
    </row>
    <row r="35" spans="1:4" ht="12.75" customHeight="1">
      <c r="A35" s="342"/>
      <c r="B35" s="126" t="s">
        <v>2158</v>
      </c>
    </row>
    <row r="36" spans="1:4" ht="39.6">
      <c r="A36" s="300"/>
      <c r="B36" s="343" t="s">
        <v>2159</v>
      </c>
    </row>
    <row r="37" spans="1:4" ht="26.4">
      <c r="A37" s="301"/>
      <c r="B37" s="16" t="s">
        <v>2160</v>
      </c>
    </row>
    <row r="38" spans="1:4">
      <c r="A38" s="301"/>
      <c r="B38" s="16"/>
    </row>
    <row r="39" spans="1:4" ht="30" customHeight="1">
      <c r="A39" s="342" t="s">
        <v>737</v>
      </c>
      <c r="B39" s="152" t="s">
        <v>2308</v>
      </c>
      <c r="C39" s="152"/>
      <c r="D39" s="152"/>
    </row>
    <row r="40" spans="1:4" ht="69.900000000000006" customHeight="1">
      <c r="A40" s="342"/>
      <c r="B40" s="896" t="s">
        <v>2309</v>
      </c>
      <c r="C40" s="152"/>
      <c r="D40" s="152"/>
    </row>
    <row r="41" spans="1:4" ht="30" customHeight="1">
      <c r="A41" s="342"/>
      <c r="B41" s="896" t="s">
        <v>2310</v>
      </c>
      <c r="C41" s="152"/>
      <c r="D41" s="152"/>
    </row>
    <row r="42" spans="1:4" ht="84.75" customHeight="1">
      <c r="B42" s="1197" t="s">
        <v>2551</v>
      </c>
    </row>
    <row r="43" spans="1:4">
      <c r="B43" s="897" t="s">
        <v>2304</v>
      </c>
    </row>
    <row r="44" spans="1:4" ht="26.4">
      <c r="A44" s="301"/>
      <c r="B44" s="16" t="s">
        <v>2160</v>
      </c>
    </row>
    <row r="46" spans="1:4" ht="54.9" customHeight="1">
      <c r="A46" s="342" t="s">
        <v>739</v>
      </c>
      <c r="B46" s="152" t="s">
        <v>2305</v>
      </c>
    </row>
  </sheetData>
  <sheetProtection algorithmName="SHA-512" hashValue="OZlYqWMRFt43iHceoNGdokjUi43UJqqJUgwgp0Ba1O/RTYVwgu79Hjrf0XI2XF12B/xXfZIPgc8fHr6wAtZr6Q==" saltValue="/SLnE9S8e3zjr6t46HmijA==" spinCount="100000" sheet="1" objects="1" scenarios="1"/>
  <mergeCells count="1">
    <mergeCell ref="A3:D3"/>
  </mergeCells>
  <hyperlinks>
    <hyperlink ref="B34" r:id="rId1" xr:uid="{00000000-0004-0000-0200-000000000000}"/>
    <hyperlink ref="B36" r:id="rId2" xr:uid="{00000000-0004-0000-0200-000001000000}"/>
    <hyperlink ref="B43" r:id="rId3" xr:uid="{00000000-0004-0000-0200-000002000000}"/>
  </hyperlinks>
  <pageMargins left="0.7583333333333333" right="0.39374999999999999" top="0.88958333333333328" bottom="0.59055118110236227" header="0" footer="0"/>
  <pageSetup paperSize="9" scale="70" orientation="portrait" horizontalDpi="4294967293" r:id="rId4"/>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N178"/>
  <sheetViews>
    <sheetView topLeftCell="A37" zoomScaleNormal="100" zoomScaleSheetLayoutView="100" zoomScalePageLayoutView="115" workbookViewId="0">
      <selection activeCell="B62" sqref="B62"/>
    </sheetView>
  </sheetViews>
  <sheetFormatPr defaultColWidth="9.109375" defaultRowHeight="13.2"/>
  <cols>
    <col min="1" max="1" width="6.6640625" style="11" customWidth="1"/>
    <col min="2" max="2" width="57.6640625" style="10" customWidth="1"/>
    <col min="3" max="3" width="10.5546875" style="56" customWidth="1"/>
    <col min="4" max="6" width="10.5546875" style="10" customWidth="1"/>
    <col min="7" max="16384" width="9.109375" style="10"/>
  </cols>
  <sheetData>
    <row r="1" spans="1:7" ht="13.8" thickBot="1">
      <c r="A1" s="875" t="s">
        <v>36</v>
      </c>
      <c r="B1" s="868" t="s">
        <v>35</v>
      </c>
      <c r="C1" s="869"/>
      <c r="D1" s="876"/>
      <c r="E1" s="871"/>
      <c r="F1" s="871"/>
    </row>
    <row r="2" spans="1:7">
      <c r="D2" s="13"/>
      <c r="E2" s="14"/>
      <c r="F2" s="14"/>
    </row>
    <row r="3" spans="1:7" s="20" customFormat="1" ht="14.25" customHeight="1">
      <c r="A3" s="1527" t="s">
        <v>145</v>
      </c>
      <c r="B3" s="1528" t="s">
        <v>146</v>
      </c>
      <c r="C3" s="1529" t="s">
        <v>147</v>
      </c>
      <c r="D3" s="1532" t="s">
        <v>148</v>
      </c>
      <c r="E3" s="1533" t="s">
        <v>149</v>
      </c>
      <c r="F3" s="1534"/>
      <c r="G3" s="1525" t="s">
        <v>2523</v>
      </c>
    </row>
    <row r="4" spans="1:7" s="20" customFormat="1">
      <c r="A4" s="1527"/>
      <c r="B4" s="1528"/>
      <c r="C4" s="1530"/>
      <c r="D4" s="1532"/>
      <c r="E4" s="1535"/>
      <c r="F4" s="1536"/>
      <c r="G4" s="1526"/>
    </row>
    <row r="5" spans="1:7" s="20" customFormat="1">
      <c r="A5" s="1527"/>
      <c r="B5" s="1528"/>
      <c r="C5" s="1531"/>
      <c r="D5" s="1532"/>
      <c r="E5" s="49" t="s">
        <v>150</v>
      </c>
      <c r="F5" s="50" t="s">
        <v>151</v>
      </c>
      <c r="G5" s="1526"/>
    </row>
    <row r="6" spans="1:7" s="20" customFormat="1">
      <c r="A6" s="52"/>
      <c r="B6" s="53"/>
      <c r="C6" s="54"/>
      <c r="D6" s="55"/>
      <c r="E6" s="56"/>
      <c r="F6" s="57"/>
    </row>
    <row r="7" spans="1:7" ht="26.4">
      <c r="A7" s="22">
        <v>1</v>
      </c>
      <c r="B7" s="105" t="s">
        <v>152</v>
      </c>
      <c r="D7" s="13"/>
      <c r="E7" s="14"/>
      <c r="F7" s="14"/>
    </row>
    <row r="8" spans="1:7">
      <c r="A8" s="22"/>
      <c r="B8" s="113" t="s">
        <v>34</v>
      </c>
      <c r="D8" s="13"/>
      <c r="E8" s="14"/>
      <c r="F8" s="14"/>
    </row>
    <row r="9" spans="1:7" ht="39.6">
      <c r="A9" s="22"/>
      <c r="B9" s="67" t="s">
        <v>90</v>
      </c>
      <c r="D9" s="13"/>
      <c r="E9" s="14"/>
      <c r="F9" s="14"/>
    </row>
    <row r="10" spans="1:7">
      <c r="D10" s="13"/>
      <c r="E10" s="14"/>
      <c r="F10" s="14"/>
    </row>
    <row r="11" spans="1:7">
      <c r="B11" s="43" t="s">
        <v>33</v>
      </c>
      <c r="D11" s="13"/>
      <c r="E11" s="14"/>
      <c r="F11" s="14"/>
    </row>
    <row r="12" spans="1:7" ht="105.6">
      <c r="B12" s="37" t="s">
        <v>2536</v>
      </c>
      <c r="D12" s="13"/>
      <c r="E12" s="14"/>
      <c r="F12" s="14"/>
    </row>
    <row r="13" spans="1:7">
      <c r="B13" s="67"/>
      <c r="D13" s="13"/>
      <c r="E13" s="14"/>
      <c r="F13" s="14"/>
    </row>
    <row r="14" spans="1:7" ht="26.4">
      <c r="B14" s="67" t="s">
        <v>32</v>
      </c>
      <c r="D14" s="13"/>
      <c r="E14" s="14"/>
      <c r="F14" s="14"/>
    </row>
    <row r="15" spans="1:7" ht="79.2">
      <c r="A15" s="22" t="s">
        <v>12</v>
      </c>
      <c r="B15" s="67" t="s">
        <v>185</v>
      </c>
    </row>
    <row r="16" spans="1:7">
      <c r="A16" s="22"/>
      <c r="B16" s="67"/>
      <c r="C16" s="10" t="s">
        <v>31</v>
      </c>
      <c r="D16" s="61">
        <v>1</v>
      </c>
      <c r="E16" s="156">
        <v>1000</v>
      </c>
      <c r="F16" s="39">
        <f>D16*E16</f>
        <v>1000</v>
      </c>
    </row>
    <row r="17" spans="1:6" ht="66">
      <c r="A17" s="22" t="s">
        <v>13</v>
      </c>
      <c r="B17" s="114" t="s">
        <v>186</v>
      </c>
      <c r="C17" s="10"/>
      <c r="D17" s="61"/>
      <c r="E17" s="39"/>
      <c r="F17" s="39"/>
    </row>
    <row r="18" spans="1:6">
      <c r="A18" s="22"/>
      <c r="B18" s="67"/>
      <c r="C18" s="10" t="s">
        <v>31</v>
      </c>
      <c r="D18" s="61">
        <v>1</v>
      </c>
      <c r="E18" s="156">
        <v>1000</v>
      </c>
      <c r="F18" s="39">
        <f>SUM(D18*E18)</f>
        <v>1000</v>
      </c>
    </row>
    <row r="19" spans="1:6">
      <c r="A19" s="22"/>
      <c r="B19" s="67"/>
      <c r="C19" s="10"/>
      <c r="D19" s="61"/>
      <c r="E19" s="39"/>
      <c r="F19" s="39"/>
    </row>
    <row r="20" spans="1:6" ht="39.6">
      <c r="A20" s="22" t="s">
        <v>14</v>
      </c>
      <c r="B20" s="67" t="s">
        <v>187</v>
      </c>
      <c r="C20" s="12"/>
      <c r="D20" s="38"/>
      <c r="E20" s="39"/>
      <c r="F20" s="39"/>
    </row>
    <row r="21" spans="1:6" ht="15">
      <c r="A21" s="22"/>
      <c r="B21" s="67"/>
      <c r="C21" s="12" t="s">
        <v>173</v>
      </c>
      <c r="D21" s="61">
        <v>110</v>
      </c>
      <c r="E21" s="1315">
        <v>20</v>
      </c>
      <c r="F21" s="106">
        <f>SUM(D21*E21)</f>
        <v>2200</v>
      </c>
    </row>
    <row r="22" spans="1:6" ht="158.4">
      <c r="A22" s="22" t="s">
        <v>15</v>
      </c>
      <c r="B22" s="37" t="s">
        <v>2307</v>
      </c>
      <c r="C22" s="10"/>
      <c r="D22" s="61"/>
      <c r="E22" s="39"/>
      <c r="F22" s="39"/>
    </row>
    <row r="23" spans="1:6">
      <c r="A23" s="22"/>
      <c r="B23" s="67" t="s">
        <v>2060</v>
      </c>
      <c r="C23" s="10" t="s">
        <v>44</v>
      </c>
      <c r="D23" s="61">
        <v>1</v>
      </c>
      <c r="E23" s="156">
        <v>100</v>
      </c>
      <c r="F23" s="39">
        <f>SUM(D23*E23)</f>
        <v>100</v>
      </c>
    </row>
    <row r="24" spans="1:6">
      <c r="A24" s="22"/>
      <c r="B24" s="67" t="s">
        <v>2061</v>
      </c>
      <c r="C24" s="10" t="s">
        <v>44</v>
      </c>
      <c r="D24" s="61">
        <v>10</v>
      </c>
      <c r="E24" s="156">
        <v>100</v>
      </c>
      <c r="F24" s="39">
        <f>SUM(D24*E24)</f>
        <v>1000</v>
      </c>
    </row>
    <row r="25" spans="1:6">
      <c r="A25" s="22"/>
      <c r="B25" s="67" t="s">
        <v>2062</v>
      </c>
      <c r="C25" s="10" t="s">
        <v>44</v>
      </c>
      <c r="D25" s="61">
        <v>26</v>
      </c>
      <c r="E25" s="156">
        <v>100</v>
      </c>
      <c r="F25" s="39">
        <f>SUM(D25*E25)</f>
        <v>2600</v>
      </c>
    </row>
    <row r="26" spans="1:6">
      <c r="A26" s="22"/>
      <c r="B26" s="67"/>
      <c r="C26" s="10"/>
      <c r="D26" s="61"/>
      <c r="E26" s="39"/>
      <c r="F26" s="39"/>
    </row>
    <row r="27" spans="1:6" ht="52.8">
      <c r="A27" s="22" t="s">
        <v>21</v>
      </c>
      <c r="B27" s="67" t="s">
        <v>231</v>
      </c>
      <c r="C27" s="12"/>
      <c r="D27" s="38"/>
      <c r="E27" s="39"/>
      <c r="F27" s="39"/>
    </row>
    <row r="28" spans="1:6" ht="15">
      <c r="A28" s="22"/>
      <c r="B28" s="67"/>
      <c r="C28" s="12" t="s">
        <v>173</v>
      </c>
      <c r="D28" s="61">
        <v>200</v>
      </c>
      <c r="E28" s="1315">
        <v>20</v>
      </c>
      <c r="F28" s="106">
        <f>SUM(D28*E28)</f>
        <v>4000</v>
      </c>
    </row>
    <row r="29" spans="1:6">
      <c r="A29" s="22"/>
      <c r="B29" s="67"/>
      <c r="C29" s="12"/>
      <c r="D29" s="61"/>
      <c r="E29" s="106"/>
      <c r="F29" s="106"/>
    </row>
    <row r="30" spans="1:6" ht="39.6">
      <c r="A30" s="22" t="s">
        <v>89</v>
      </c>
      <c r="B30" s="67" t="s">
        <v>188</v>
      </c>
      <c r="C30" s="12"/>
      <c r="D30" s="38"/>
      <c r="E30" s="39"/>
      <c r="F30" s="39"/>
    </row>
    <row r="31" spans="1:6" ht="15">
      <c r="A31" s="22"/>
      <c r="B31" s="67"/>
      <c r="C31" s="12" t="s">
        <v>173</v>
      </c>
      <c r="D31" s="61">
        <v>220</v>
      </c>
      <c r="E31" s="1315">
        <v>20</v>
      </c>
      <c r="F31" s="106">
        <f>SUM(D31*E31)</f>
        <v>4400</v>
      </c>
    </row>
    <row r="32" spans="1:6">
      <c r="A32" s="22"/>
      <c r="B32" s="67"/>
      <c r="C32" s="12"/>
      <c r="D32" s="61"/>
      <c r="E32" s="106"/>
      <c r="F32" s="106"/>
    </row>
    <row r="33" spans="1:6" ht="39.6">
      <c r="A33" s="22" t="s">
        <v>1</v>
      </c>
      <c r="B33" s="67" t="s">
        <v>189</v>
      </c>
      <c r="C33" s="12"/>
      <c r="D33" s="61"/>
      <c r="E33" s="106"/>
      <c r="F33" s="106"/>
    </row>
    <row r="34" spans="1:6" ht="15">
      <c r="A34" s="22"/>
      <c r="B34" s="67"/>
      <c r="C34" s="12" t="s">
        <v>190</v>
      </c>
      <c r="D34" s="61">
        <v>22</v>
      </c>
      <c r="E34" s="1315">
        <v>100</v>
      </c>
      <c r="F34" s="106">
        <f>SUM(D34*E34)</f>
        <v>2200</v>
      </c>
    </row>
    <row r="35" spans="1:6">
      <c r="A35" s="22"/>
      <c r="B35" s="67"/>
      <c r="C35" s="12"/>
      <c r="D35" s="61"/>
      <c r="E35" s="106"/>
      <c r="F35" s="106"/>
    </row>
    <row r="36" spans="1:6" ht="66">
      <c r="A36" s="22" t="s">
        <v>2</v>
      </c>
      <c r="B36" s="67" t="s">
        <v>232</v>
      </c>
      <c r="C36" s="12"/>
      <c r="D36" s="61"/>
      <c r="E36" s="106"/>
      <c r="F36" s="106"/>
    </row>
    <row r="37" spans="1:6" ht="15">
      <c r="A37" s="22"/>
      <c r="B37" s="67"/>
      <c r="C37" s="12" t="s">
        <v>173</v>
      </c>
      <c r="D37" s="61">
        <v>460</v>
      </c>
      <c r="E37" s="1315">
        <v>40</v>
      </c>
      <c r="F37" s="106">
        <f>SUM(D37*E37)</f>
        <v>18400</v>
      </c>
    </row>
    <row r="38" spans="1:6" ht="66">
      <c r="A38" s="22" t="s">
        <v>26</v>
      </c>
      <c r="B38" s="67" t="s">
        <v>191</v>
      </c>
      <c r="C38" s="12"/>
      <c r="D38" s="61"/>
      <c r="E38" s="106"/>
      <c r="F38" s="106"/>
    </row>
    <row r="39" spans="1:6" ht="15">
      <c r="A39" s="22"/>
      <c r="B39" s="67"/>
      <c r="C39" s="12" t="s">
        <v>173</v>
      </c>
      <c r="D39" s="61">
        <v>260</v>
      </c>
      <c r="E39" s="1315">
        <v>40</v>
      </c>
      <c r="F39" s="106">
        <f>SUM(D39*E39)</f>
        <v>10400</v>
      </c>
    </row>
    <row r="40" spans="1:6" ht="26.4">
      <c r="A40" s="22" t="s">
        <v>28</v>
      </c>
      <c r="B40" s="67" t="s">
        <v>192</v>
      </c>
      <c r="C40" s="12"/>
      <c r="D40" s="38"/>
      <c r="E40" s="39"/>
      <c r="F40" s="39"/>
    </row>
    <row r="41" spans="1:6">
      <c r="A41" s="22"/>
      <c r="B41" s="105"/>
      <c r="C41" s="60" t="s">
        <v>31</v>
      </c>
      <c r="D41" s="61">
        <v>1</v>
      </c>
      <c r="E41" s="1316">
        <v>2000</v>
      </c>
      <c r="F41" s="62">
        <f>SUM(D41*E41)</f>
        <v>2000</v>
      </c>
    </row>
    <row r="42" spans="1:6">
      <c r="A42" s="22"/>
      <c r="B42" s="67"/>
      <c r="D42" s="13"/>
      <c r="E42" s="39"/>
      <c r="F42" s="39"/>
    </row>
    <row r="43" spans="1:6" ht="52.8">
      <c r="A43" s="22" t="s">
        <v>91</v>
      </c>
      <c r="B43" s="67" t="s">
        <v>193</v>
      </c>
      <c r="C43" s="12"/>
      <c r="D43" s="38"/>
      <c r="E43" s="39"/>
      <c r="F43" s="39"/>
    </row>
    <row r="44" spans="1:6">
      <c r="A44" s="22"/>
      <c r="B44" s="67"/>
      <c r="C44" s="12" t="s">
        <v>31</v>
      </c>
      <c r="D44" s="61">
        <v>1</v>
      </c>
      <c r="E44" s="1315">
        <v>10000</v>
      </c>
      <c r="F44" s="106">
        <f>SUM(D44*E44)</f>
        <v>10000</v>
      </c>
    </row>
    <row r="45" spans="1:6">
      <c r="A45" s="22"/>
      <c r="B45" s="67"/>
      <c r="D45" s="13"/>
      <c r="E45" s="39"/>
      <c r="F45" s="39"/>
    </row>
    <row r="46" spans="1:6" ht="13.8" thickBot="1">
      <c r="A46" s="115"/>
      <c r="B46" s="107" t="s">
        <v>153</v>
      </c>
      <c r="C46" s="108"/>
      <c r="D46" s="116"/>
      <c r="E46" s="110" t="s">
        <v>159</v>
      </c>
      <c r="F46" s="111">
        <f>SUM(F16:F44)</f>
        <v>59300</v>
      </c>
    </row>
    <row r="177" spans="14:14" ht="13.8" thickBot="1"/>
    <row r="178" spans="14:14" ht="13.8" thickBot="1">
      <c r="N178" s="874"/>
    </row>
  </sheetData>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orientation="portrait"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39997558519241921"/>
  </sheetPr>
  <dimension ref="A1:G681"/>
  <sheetViews>
    <sheetView topLeftCell="A18" zoomScale="90" zoomScaleNormal="90" zoomScaleSheetLayoutView="100" workbookViewId="0">
      <selection activeCell="F34" sqref="F34"/>
    </sheetView>
  </sheetViews>
  <sheetFormatPr defaultColWidth="9.109375" defaultRowHeight="13.2"/>
  <cols>
    <col min="1" max="1" width="6.6640625" style="10" customWidth="1"/>
    <col min="2" max="2" width="57.5546875" style="10" bestFit="1" customWidth="1"/>
    <col min="3" max="3" width="10.6640625" style="56" customWidth="1"/>
    <col min="4" max="4" width="10.6640625" style="60" customWidth="1"/>
    <col min="5" max="5" width="10.6640625" style="14" customWidth="1"/>
    <col min="6" max="6" width="12.6640625" style="14" customWidth="1"/>
    <col min="7" max="16384" width="9.109375" style="10"/>
  </cols>
  <sheetData>
    <row r="1" spans="1:7" ht="13.8" thickBot="1">
      <c r="A1" s="867" t="s">
        <v>10</v>
      </c>
      <c r="B1" s="868" t="s">
        <v>11</v>
      </c>
      <c r="C1" s="869"/>
      <c r="D1" s="870"/>
      <c r="E1" s="871"/>
      <c r="F1" s="871"/>
    </row>
    <row r="2" spans="1:7">
      <c r="C2" s="10"/>
      <c r="D2" s="61"/>
    </row>
    <row r="3" spans="1:7" s="20" customFormat="1" ht="14.25" customHeight="1">
      <c r="A3" s="1527" t="s">
        <v>145</v>
      </c>
      <c r="B3" s="1528" t="s">
        <v>146</v>
      </c>
      <c r="C3" s="1529" t="s">
        <v>147</v>
      </c>
      <c r="D3" s="1532" t="s">
        <v>148</v>
      </c>
      <c r="E3" s="1532" t="s">
        <v>149</v>
      </c>
      <c r="F3" s="1532"/>
      <c r="G3" s="1525" t="s">
        <v>2523</v>
      </c>
    </row>
    <row r="4" spans="1:7" s="20" customFormat="1">
      <c r="A4" s="1527"/>
      <c r="B4" s="1528"/>
      <c r="C4" s="1530"/>
      <c r="D4" s="1532"/>
      <c r="E4" s="1532"/>
      <c r="F4" s="1532"/>
      <c r="G4" s="1526"/>
    </row>
    <row r="5" spans="1:7" s="20" customFormat="1">
      <c r="A5" s="1527"/>
      <c r="B5" s="1528"/>
      <c r="C5" s="1531"/>
      <c r="D5" s="1532"/>
      <c r="E5" s="49" t="s">
        <v>150</v>
      </c>
      <c r="F5" s="50" t="s">
        <v>151</v>
      </c>
      <c r="G5" s="1526"/>
    </row>
    <row r="6" spans="1:7" s="20" customFormat="1">
      <c r="A6" s="52"/>
      <c r="B6" s="53"/>
      <c r="C6" s="54"/>
      <c r="D6" s="55"/>
      <c r="E6" s="56"/>
      <c r="F6" s="57"/>
    </row>
    <row r="7" spans="1:7" ht="26.4">
      <c r="A7" s="22">
        <v>1</v>
      </c>
      <c r="B7" s="67" t="s">
        <v>110</v>
      </c>
      <c r="C7" s="10"/>
      <c r="D7" s="61"/>
    </row>
    <row r="8" spans="1:7">
      <c r="A8" s="43"/>
      <c r="C8" s="56" t="s">
        <v>27</v>
      </c>
      <c r="D8" s="61">
        <v>1</v>
      </c>
      <c r="E8" s="156">
        <f>'[1]A_II_ ZEMLJANI'!E8</f>
        <v>500</v>
      </c>
      <c r="F8" s="39">
        <f>D8*E8</f>
        <v>500</v>
      </c>
    </row>
    <row r="9" spans="1:7">
      <c r="C9" s="10"/>
      <c r="D9" s="61"/>
      <c r="F9" s="39"/>
    </row>
    <row r="10" spans="1:7" ht="66">
      <c r="A10" s="43">
        <v>2</v>
      </c>
      <c r="B10" s="67" t="s">
        <v>180</v>
      </c>
      <c r="C10" s="10"/>
      <c r="D10" s="61"/>
      <c r="F10" s="39"/>
    </row>
    <row r="11" spans="1:7" ht="15">
      <c r="A11" s="43"/>
      <c r="C11" s="56" t="s">
        <v>173</v>
      </c>
      <c r="D11" s="61">
        <v>500</v>
      </c>
      <c r="E11" s="156">
        <f>'[1]A_II_ ZEMLJANI'!E11</f>
        <v>20</v>
      </c>
      <c r="F11" s="39">
        <f>E11*D11</f>
        <v>10000</v>
      </c>
    </row>
    <row r="12" spans="1:7">
      <c r="A12" s="43"/>
      <c r="D12" s="61"/>
      <c r="E12" s="39"/>
      <c r="F12" s="39"/>
    </row>
    <row r="13" spans="1:7" ht="158.4">
      <c r="A13" s="43">
        <v>3</v>
      </c>
      <c r="B13" s="127" t="s">
        <v>233</v>
      </c>
      <c r="C13" s="10"/>
      <c r="D13" s="61"/>
      <c r="F13" s="39"/>
    </row>
    <row r="14" spans="1:7" ht="15">
      <c r="A14" s="22"/>
      <c r="C14" s="56" t="s">
        <v>172</v>
      </c>
      <c r="D14" s="61">
        <v>275</v>
      </c>
      <c r="E14" s="156">
        <f>'[1]A_II_ ZEMLJANI'!E14</f>
        <v>40</v>
      </c>
      <c r="F14" s="39">
        <f>E14*D14</f>
        <v>11000</v>
      </c>
    </row>
    <row r="15" spans="1:7">
      <c r="A15" s="22"/>
      <c r="C15" s="10"/>
      <c r="D15" s="61"/>
      <c r="E15" s="39"/>
      <c r="F15" s="39"/>
    </row>
    <row r="16" spans="1:7" ht="79.2">
      <c r="A16" s="43">
        <v>4</v>
      </c>
      <c r="B16" s="105" t="s">
        <v>181</v>
      </c>
      <c r="C16" s="10"/>
      <c r="D16" s="61"/>
      <c r="F16" s="39"/>
    </row>
    <row r="17" spans="1:6" ht="15">
      <c r="A17" s="22"/>
      <c r="C17" s="56" t="s">
        <v>172</v>
      </c>
      <c r="D17" s="61">
        <v>50</v>
      </c>
      <c r="E17" s="156">
        <f>'[1]A_II_ ZEMLJANI'!E17</f>
        <v>40</v>
      </c>
      <c r="F17" s="39">
        <f>E17*D17</f>
        <v>2000</v>
      </c>
    </row>
    <row r="18" spans="1:6">
      <c r="A18" s="22"/>
      <c r="C18" s="10"/>
      <c r="D18" s="61"/>
      <c r="E18" s="39"/>
      <c r="F18" s="39"/>
    </row>
    <row r="19" spans="1:6" ht="92.4">
      <c r="A19" s="43">
        <v>5</v>
      </c>
      <c r="B19" s="105" t="s">
        <v>182</v>
      </c>
      <c r="C19" s="10"/>
      <c r="D19" s="61"/>
      <c r="F19" s="39"/>
    </row>
    <row r="20" spans="1:6" ht="15">
      <c r="A20" s="43"/>
      <c r="C20" s="56" t="s">
        <v>173</v>
      </c>
      <c r="D20" s="61">
        <v>450</v>
      </c>
      <c r="E20" s="1315">
        <f>'[1]A_II_ ZEMLJANI'!E20</f>
        <v>20</v>
      </c>
      <c r="F20" s="39">
        <f>E20*D20</f>
        <v>9000</v>
      </c>
    </row>
    <row r="21" spans="1:6">
      <c r="A21" s="43"/>
      <c r="B21" s="67"/>
      <c r="C21" s="10"/>
      <c r="D21" s="61"/>
      <c r="F21" s="39"/>
    </row>
    <row r="22" spans="1:6" ht="52.8">
      <c r="A22" s="43">
        <v>6</v>
      </c>
      <c r="B22" s="105" t="s">
        <v>183</v>
      </c>
      <c r="C22" s="10"/>
      <c r="D22" s="61"/>
      <c r="F22" s="39"/>
    </row>
    <row r="23" spans="1:6" ht="15">
      <c r="A23" s="43"/>
      <c r="C23" s="56" t="s">
        <v>172</v>
      </c>
      <c r="D23" s="61">
        <v>50</v>
      </c>
      <c r="E23" s="1315">
        <f>'[1]A_II_ ZEMLJANI'!E23</f>
        <v>20</v>
      </c>
      <c r="F23" s="39">
        <f>E23*D23</f>
        <v>1000</v>
      </c>
    </row>
    <row r="24" spans="1:6">
      <c r="A24" s="22"/>
      <c r="C24" s="10"/>
      <c r="D24" s="61"/>
      <c r="E24" s="39"/>
      <c r="F24" s="39"/>
    </row>
    <row r="25" spans="1:6" ht="39.6">
      <c r="A25" s="43">
        <v>7</v>
      </c>
      <c r="B25" s="67" t="s">
        <v>111</v>
      </c>
      <c r="C25" s="10"/>
      <c r="D25" s="61"/>
      <c r="E25" s="39"/>
      <c r="F25" s="39"/>
    </row>
    <row r="26" spans="1:6">
      <c r="C26" s="10" t="s">
        <v>31</v>
      </c>
      <c r="D26" s="61">
        <v>1</v>
      </c>
      <c r="E26" s="156">
        <f>'[1]A_II_ ZEMLJANI'!E26</f>
        <v>1500</v>
      </c>
      <c r="F26" s="39">
        <f>E26*D26</f>
        <v>1500</v>
      </c>
    </row>
    <row r="27" spans="1:6">
      <c r="A27" s="22"/>
      <c r="B27" s="67"/>
      <c r="C27" s="12"/>
      <c r="D27" s="61"/>
      <c r="E27" s="106"/>
      <c r="F27" s="39"/>
    </row>
    <row r="28" spans="1:6" ht="39.6">
      <c r="A28" s="43">
        <v>8</v>
      </c>
      <c r="B28" s="67" t="s">
        <v>184</v>
      </c>
      <c r="C28" s="10"/>
      <c r="D28" s="61"/>
      <c r="E28" s="39"/>
      <c r="F28" s="39"/>
    </row>
    <row r="29" spans="1:6" ht="15">
      <c r="B29" s="10" t="s">
        <v>37</v>
      </c>
      <c r="C29" s="56" t="s">
        <v>172</v>
      </c>
      <c r="D29" s="61">
        <v>225</v>
      </c>
      <c r="E29" s="156">
        <f>'[1]A_II_ ZEMLJANI'!E29</f>
        <v>20</v>
      </c>
      <c r="F29" s="39">
        <f>E29*D29</f>
        <v>4500</v>
      </c>
    </row>
    <row r="30" spans="1:6">
      <c r="C30" s="10"/>
      <c r="D30" s="61"/>
      <c r="E30" s="39"/>
      <c r="F30" s="39"/>
    </row>
    <row r="31" spans="1:6" ht="13.8" thickBot="1">
      <c r="A31" s="107"/>
      <c r="B31" s="107" t="s">
        <v>154</v>
      </c>
      <c r="C31" s="108"/>
      <c r="D31" s="109"/>
      <c r="E31" s="110"/>
      <c r="F31" s="111">
        <f>SUM(F8:F29)</f>
        <v>39500</v>
      </c>
    </row>
    <row r="33" spans="1:6">
      <c r="A33" s="43"/>
      <c r="B33" s="43"/>
      <c r="C33" s="112"/>
      <c r="D33" s="64"/>
      <c r="E33" s="46"/>
      <c r="F33" s="47"/>
    </row>
    <row r="34" spans="1:6">
      <c r="A34" s="43"/>
      <c r="B34" s="43"/>
      <c r="C34" s="112"/>
      <c r="D34" s="64"/>
      <c r="E34" s="46"/>
      <c r="F34" s="47"/>
    </row>
    <row r="35" spans="1:6">
      <c r="A35" s="43"/>
      <c r="B35" s="43"/>
      <c r="C35" s="112"/>
      <c r="D35" s="64"/>
      <c r="E35" s="46"/>
      <c r="F35" s="47"/>
    </row>
    <row r="36" spans="1:6">
      <c r="A36" s="43"/>
      <c r="B36" s="43"/>
      <c r="C36" s="112"/>
      <c r="D36" s="64"/>
      <c r="E36" s="46"/>
      <c r="F36" s="47"/>
    </row>
    <row r="37" spans="1:6">
      <c r="A37" s="43"/>
      <c r="B37" s="43"/>
      <c r="C37" s="112"/>
      <c r="D37" s="64"/>
      <c r="E37" s="46"/>
      <c r="F37" s="47"/>
    </row>
    <row r="38" spans="1:6">
      <c r="A38" s="43"/>
      <c r="B38" s="43"/>
      <c r="C38" s="112"/>
      <c r="D38" s="64"/>
      <c r="E38" s="46"/>
      <c r="F38" s="47"/>
    </row>
    <row r="39" spans="1:6">
      <c r="A39" s="43"/>
      <c r="B39" s="43"/>
      <c r="C39" s="112"/>
      <c r="D39" s="64"/>
      <c r="E39" s="46"/>
      <c r="F39" s="47"/>
    </row>
    <row r="40" spans="1:6">
      <c r="A40" s="43"/>
      <c r="B40" s="43"/>
      <c r="C40" s="112"/>
      <c r="D40" s="64"/>
      <c r="E40" s="46"/>
      <c r="F40" s="47"/>
    </row>
    <row r="41" spans="1:6">
      <c r="A41" s="43"/>
      <c r="B41" s="43"/>
      <c r="C41" s="112"/>
      <c r="D41" s="64"/>
      <c r="E41" s="46"/>
      <c r="F41" s="47"/>
    </row>
    <row r="42" spans="1:6">
      <c r="A42" s="43"/>
      <c r="B42" s="43"/>
      <c r="C42" s="112"/>
      <c r="D42" s="64"/>
      <c r="E42" s="46"/>
      <c r="F42" s="47"/>
    </row>
    <row r="43" spans="1:6">
      <c r="A43" s="43"/>
      <c r="B43" s="43"/>
      <c r="C43" s="112"/>
      <c r="D43" s="64"/>
      <c r="E43" s="46"/>
      <c r="F43" s="47"/>
    </row>
    <row r="44" spans="1:6">
      <c r="A44" s="43"/>
      <c r="B44" s="43"/>
      <c r="C44" s="112"/>
      <c r="D44" s="64"/>
      <c r="E44" s="46"/>
      <c r="F44" s="47"/>
    </row>
    <row r="45" spans="1:6">
      <c r="A45" s="43"/>
      <c r="B45" s="43"/>
      <c r="C45" s="112"/>
      <c r="D45" s="64"/>
      <c r="E45" s="46"/>
      <c r="F45" s="47"/>
    </row>
    <row r="46" spans="1:6">
      <c r="A46" s="43"/>
      <c r="B46" s="43"/>
      <c r="C46" s="112"/>
      <c r="D46" s="64"/>
      <c r="E46" s="46"/>
      <c r="F46" s="47"/>
    </row>
    <row r="47" spans="1:6">
      <c r="A47" s="43"/>
      <c r="B47" s="43"/>
      <c r="C47" s="112"/>
      <c r="D47" s="64"/>
      <c r="E47" s="46"/>
      <c r="F47" s="47"/>
    </row>
    <row r="48" spans="1:6">
      <c r="A48" s="43"/>
      <c r="B48" s="43"/>
      <c r="C48" s="112"/>
      <c r="D48" s="64"/>
      <c r="E48" s="46"/>
      <c r="F48" s="47"/>
    </row>
    <row r="49" spans="1:6">
      <c r="A49" s="43"/>
      <c r="B49" s="43"/>
      <c r="C49" s="112"/>
      <c r="D49" s="64"/>
      <c r="E49" s="46"/>
      <c r="F49" s="47"/>
    </row>
    <row r="50" spans="1:6">
      <c r="A50" s="43"/>
      <c r="B50" s="43"/>
      <c r="C50" s="112"/>
      <c r="D50" s="64"/>
      <c r="E50" s="46"/>
      <c r="F50" s="47"/>
    </row>
    <row r="51" spans="1:6">
      <c r="A51" s="43"/>
      <c r="B51" s="43"/>
      <c r="C51" s="112"/>
      <c r="D51" s="64"/>
      <c r="E51" s="46"/>
      <c r="F51" s="47"/>
    </row>
    <row r="52" spans="1:6">
      <c r="A52" s="43"/>
      <c r="B52" s="43"/>
      <c r="C52" s="112"/>
      <c r="D52" s="64"/>
      <c r="E52" s="46"/>
      <c r="F52" s="47"/>
    </row>
    <row r="53" spans="1:6">
      <c r="A53" s="43"/>
      <c r="B53" s="43"/>
      <c r="C53" s="112"/>
      <c r="D53" s="64"/>
      <c r="E53" s="46"/>
      <c r="F53" s="47"/>
    </row>
    <row r="54" spans="1:6">
      <c r="A54" s="43"/>
      <c r="B54" s="43"/>
      <c r="C54" s="112"/>
      <c r="D54" s="64"/>
      <c r="E54" s="46"/>
      <c r="F54" s="47"/>
    </row>
    <row r="55" spans="1:6">
      <c r="A55" s="43"/>
      <c r="B55" s="43"/>
      <c r="C55" s="112"/>
      <c r="D55" s="64"/>
      <c r="E55" s="46"/>
      <c r="F55" s="47"/>
    </row>
    <row r="56" spans="1:6">
      <c r="A56" s="43"/>
      <c r="B56" s="43"/>
      <c r="C56" s="112"/>
      <c r="D56" s="64"/>
      <c r="E56" s="46"/>
      <c r="F56" s="47"/>
    </row>
    <row r="57" spans="1:6">
      <c r="A57" s="43"/>
      <c r="B57" s="43"/>
      <c r="C57" s="112"/>
      <c r="D57" s="64"/>
      <c r="E57" s="46"/>
      <c r="F57" s="47"/>
    </row>
    <row r="58" spans="1:6">
      <c r="A58" s="43"/>
      <c r="B58" s="43"/>
      <c r="C58" s="112"/>
      <c r="D58" s="64"/>
      <c r="E58" s="46"/>
      <c r="F58" s="47"/>
    </row>
    <row r="59" spans="1:6">
      <c r="A59" s="43"/>
      <c r="B59" s="43"/>
      <c r="C59" s="112"/>
      <c r="D59" s="64"/>
      <c r="E59" s="46"/>
      <c r="F59" s="47"/>
    </row>
    <row r="60" spans="1:6">
      <c r="A60" s="43"/>
      <c r="B60" s="43"/>
      <c r="C60" s="112"/>
      <c r="D60" s="64"/>
      <c r="E60" s="46"/>
      <c r="F60" s="47"/>
    </row>
    <row r="61" spans="1:6">
      <c r="A61" s="43"/>
      <c r="B61" s="43"/>
      <c r="C61" s="112"/>
      <c r="D61" s="64"/>
      <c r="E61" s="46"/>
      <c r="F61" s="47"/>
    </row>
    <row r="62" spans="1:6">
      <c r="A62" s="43"/>
      <c r="B62" s="43"/>
      <c r="C62" s="112"/>
      <c r="D62" s="64"/>
      <c r="E62" s="46"/>
      <c r="F62" s="47"/>
    </row>
    <row r="63" spans="1:6">
      <c r="A63" s="43"/>
      <c r="B63" s="43"/>
      <c r="C63" s="112"/>
      <c r="D63" s="64"/>
      <c r="E63" s="46"/>
      <c r="F63" s="47"/>
    </row>
    <row r="64" spans="1:6">
      <c r="A64" s="43"/>
      <c r="B64" s="43"/>
      <c r="C64" s="112"/>
      <c r="D64" s="64"/>
      <c r="E64" s="46"/>
      <c r="F64" s="47"/>
    </row>
    <row r="65" spans="1:6">
      <c r="A65" s="43"/>
      <c r="B65" s="43"/>
      <c r="C65" s="112"/>
      <c r="D65" s="64"/>
      <c r="E65" s="46"/>
      <c r="F65" s="47"/>
    </row>
    <row r="66" spans="1:6">
      <c r="A66" s="43"/>
      <c r="B66" s="43"/>
      <c r="C66" s="112"/>
      <c r="D66" s="64"/>
      <c r="E66" s="46"/>
      <c r="F66" s="47"/>
    </row>
    <row r="67" spans="1:6">
      <c r="A67" s="43"/>
      <c r="B67" s="43"/>
      <c r="C67" s="112"/>
      <c r="D67" s="64"/>
      <c r="E67" s="46"/>
      <c r="F67" s="47"/>
    </row>
    <row r="68" spans="1:6">
      <c r="A68" s="43"/>
      <c r="B68" s="43"/>
      <c r="C68" s="112"/>
      <c r="D68" s="64"/>
      <c r="E68" s="46"/>
      <c r="F68" s="47"/>
    </row>
    <row r="69" spans="1:6">
      <c r="A69" s="43"/>
      <c r="B69" s="43"/>
      <c r="C69" s="112"/>
      <c r="D69" s="64"/>
      <c r="E69" s="46"/>
      <c r="F69" s="47"/>
    </row>
    <row r="70" spans="1:6">
      <c r="A70" s="43"/>
      <c r="B70" s="43"/>
      <c r="C70" s="112"/>
      <c r="D70" s="64"/>
      <c r="E70" s="46"/>
      <c r="F70" s="47"/>
    </row>
    <row r="71" spans="1:6">
      <c r="A71" s="43"/>
      <c r="B71" s="43"/>
      <c r="C71" s="112"/>
      <c r="D71" s="64"/>
      <c r="E71" s="46"/>
      <c r="F71" s="47"/>
    </row>
    <row r="72" spans="1:6">
      <c r="A72" s="43"/>
      <c r="B72" s="43"/>
      <c r="C72" s="112"/>
      <c r="D72" s="64"/>
      <c r="E72" s="46"/>
      <c r="F72" s="47"/>
    </row>
    <row r="73" spans="1:6">
      <c r="A73" s="43"/>
      <c r="B73" s="43"/>
      <c r="C73" s="112"/>
      <c r="D73" s="64"/>
      <c r="E73" s="46"/>
      <c r="F73" s="47"/>
    </row>
    <row r="74" spans="1:6">
      <c r="A74" s="43"/>
      <c r="B74" s="43"/>
      <c r="C74" s="112"/>
      <c r="D74" s="64"/>
      <c r="E74" s="46"/>
      <c r="F74" s="47"/>
    </row>
    <row r="75" spans="1:6">
      <c r="A75" s="43"/>
      <c r="B75" s="43"/>
      <c r="C75" s="112"/>
      <c r="D75" s="64"/>
      <c r="E75" s="46"/>
      <c r="F75" s="47"/>
    </row>
    <row r="76" spans="1:6">
      <c r="A76" s="43"/>
      <c r="B76" s="43"/>
      <c r="C76" s="112"/>
      <c r="D76" s="64"/>
      <c r="E76" s="46"/>
      <c r="F76" s="47"/>
    </row>
    <row r="77" spans="1:6">
      <c r="A77" s="43"/>
      <c r="B77" s="43"/>
      <c r="C77" s="112"/>
      <c r="D77" s="64"/>
      <c r="E77" s="46"/>
      <c r="F77" s="47"/>
    </row>
    <row r="78" spans="1:6">
      <c r="A78" s="43"/>
      <c r="B78" s="43"/>
      <c r="C78" s="112"/>
      <c r="D78" s="64"/>
      <c r="E78" s="46"/>
      <c r="F78" s="47"/>
    </row>
    <row r="79" spans="1:6">
      <c r="A79" s="43"/>
      <c r="B79" s="43"/>
      <c r="C79" s="112"/>
      <c r="D79" s="64"/>
      <c r="E79" s="46"/>
      <c r="F79" s="47"/>
    </row>
    <row r="80" spans="1:6">
      <c r="A80" s="43"/>
      <c r="B80" s="43"/>
      <c r="C80" s="112"/>
      <c r="D80" s="64"/>
      <c r="E80" s="46"/>
      <c r="F80" s="47"/>
    </row>
    <row r="81" spans="1:6">
      <c r="A81" s="43"/>
      <c r="B81" s="43"/>
      <c r="C81" s="112"/>
      <c r="D81" s="64"/>
      <c r="E81" s="46"/>
      <c r="F81" s="47"/>
    </row>
    <row r="82" spans="1:6">
      <c r="A82" s="43"/>
      <c r="B82" s="43"/>
      <c r="C82" s="112"/>
      <c r="D82" s="64"/>
      <c r="E82" s="46"/>
      <c r="F82" s="47"/>
    </row>
    <row r="83" spans="1:6">
      <c r="A83" s="43"/>
      <c r="B83" s="43"/>
      <c r="C83" s="112"/>
      <c r="D83" s="64"/>
      <c r="E83" s="46"/>
      <c r="F83" s="47"/>
    </row>
    <row r="84" spans="1:6">
      <c r="A84" s="43"/>
      <c r="B84" s="43"/>
      <c r="C84" s="112"/>
      <c r="D84" s="64"/>
      <c r="E84" s="46"/>
      <c r="F84" s="47"/>
    </row>
    <row r="85" spans="1:6">
      <c r="A85" s="43"/>
      <c r="B85" s="43"/>
      <c r="C85" s="112"/>
      <c r="D85" s="64"/>
      <c r="E85" s="46"/>
      <c r="F85" s="47"/>
    </row>
    <row r="86" spans="1:6">
      <c r="A86" s="43"/>
      <c r="B86" s="43"/>
      <c r="C86" s="112"/>
      <c r="D86" s="64"/>
      <c r="E86" s="46"/>
      <c r="F86" s="47"/>
    </row>
    <row r="87" spans="1:6">
      <c r="A87" s="43"/>
      <c r="B87" s="43"/>
      <c r="C87" s="112"/>
      <c r="D87" s="64"/>
      <c r="E87" s="46"/>
      <c r="F87" s="47"/>
    </row>
    <row r="88" spans="1:6">
      <c r="A88" s="43"/>
      <c r="B88" s="43"/>
      <c r="C88" s="112"/>
      <c r="D88" s="64"/>
      <c r="E88" s="46"/>
      <c r="F88" s="47"/>
    </row>
    <row r="89" spans="1:6">
      <c r="A89" s="43"/>
      <c r="B89" s="43"/>
      <c r="C89" s="112"/>
      <c r="D89" s="64"/>
      <c r="E89" s="46"/>
      <c r="F89" s="47"/>
    </row>
    <row r="90" spans="1:6">
      <c r="A90" s="43"/>
      <c r="B90" s="43"/>
      <c r="C90" s="112"/>
      <c r="D90" s="64"/>
      <c r="E90" s="46"/>
      <c r="F90" s="47"/>
    </row>
    <row r="91" spans="1:6">
      <c r="A91" s="43"/>
      <c r="B91" s="43"/>
      <c r="C91" s="112"/>
      <c r="D91" s="64"/>
      <c r="E91" s="46"/>
      <c r="F91" s="47"/>
    </row>
    <row r="92" spans="1:6">
      <c r="A92" s="43"/>
      <c r="B92" s="43"/>
      <c r="C92" s="112"/>
      <c r="D92" s="64"/>
      <c r="E92" s="46"/>
      <c r="F92" s="47"/>
    </row>
    <row r="93" spans="1:6">
      <c r="A93" s="43"/>
      <c r="B93" s="43"/>
      <c r="C93" s="112"/>
      <c r="D93" s="64"/>
      <c r="E93" s="46"/>
      <c r="F93" s="47"/>
    </row>
    <row r="94" spans="1:6">
      <c r="A94" s="43"/>
      <c r="B94" s="43"/>
      <c r="C94" s="112"/>
      <c r="D94" s="64"/>
      <c r="E94" s="46"/>
      <c r="F94" s="47"/>
    </row>
    <row r="95" spans="1:6">
      <c r="A95" s="43"/>
      <c r="B95" s="43"/>
      <c r="C95" s="112"/>
      <c r="D95" s="64"/>
      <c r="E95" s="46"/>
      <c r="F95" s="47"/>
    </row>
    <row r="96" spans="1:6">
      <c r="A96" s="43"/>
      <c r="B96" s="43"/>
      <c r="C96" s="112"/>
      <c r="D96" s="64"/>
      <c r="E96" s="46"/>
      <c r="F96" s="47"/>
    </row>
    <row r="97" spans="1:6">
      <c r="A97" s="43"/>
      <c r="B97" s="43"/>
      <c r="C97" s="112"/>
      <c r="D97" s="64"/>
      <c r="E97" s="46"/>
      <c r="F97" s="47"/>
    </row>
    <row r="98" spans="1:6">
      <c r="A98" s="43"/>
      <c r="B98" s="43"/>
      <c r="C98" s="112"/>
      <c r="D98" s="64"/>
      <c r="E98" s="46"/>
      <c r="F98" s="47"/>
    </row>
    <row r="99" spans="1:6">
      <c r="A99" s="43"/>
      <c r="B99" s="43"/>
      <c r="C99" s="112"/>
      <c r="D99" s="64"/>
      <c r="E99" s="46"/>
      <c r="F99" s="47"/>
    </row>
    <row r="100" spans="1:6">
      <c r="A100" s="43"/>
      <c r="B100" s="43"/>
      <c r="C100" s="112"/>
      <c r="D100" s="64"/>
      <c r="E100" s="46"/>
      <c r="F100" s="47"/>
    </row>
    <row r="101" spans="1:6">
      <c r="A101" s="43"/>
      <c r="B101" s="43"/>
      <c r="C101" s="112"/>
      <c r="D101" s="64"/>
      <c r="E101" s="46"/>
      <c r="F101" s="47"/>
    </row>
    <row r="102" spans="1:6">
      <c r="A102" s="43"/>
      <c r="B102" s="43"/>
      <c r="C102" s="112"/>
      <c r="D102" s="64"/>
      <c r="E102" s="46"/>
      <c r="F102" s="47"/>
    </row>
    <row r="103" spans="1:6">
      <c r="A103" s="43"/>
      <c r="B103" s="43"/>
      <c r="C103" s="112"/>
      <c r="D103" s="64"/>
      <c r="E103" s="46"/>
      <c r="F103" s="47"/>
    </row>
    <row r="104" spans="1:6">
      <c r="A104" s="43"/>
      <c r="B104" s="43"/>
      <c r="C104" s="112"/>
      <c r="D104" s="64"/>
      <c r="E104" s="46"/>
      <c r="F104" s="47"/>
    </row>
    <row r="105" spans="1:6">
      <c r="A105" s="43"/>
      <c r="B105" s="43"/>
      <c r="C105" s="112"/>
      <c r="D105" s="64"/>
      <c r="E105" s="46"/>
      <c r="F105" s="47"/>
    </row>
    <row r="106" spans="1:6">
      <c r="A106" s="43"/>
      <c r="B106" s="43"/>
      <c r="C106" s="112"/>
      <c r="D106" s="64"/>
      <c r="E106" s="46"/>
      <c r="F106" s="47"/>
    </row>
    <row r="107" spans="1:6">
      <c r="A107" s="43"/>
      <c r="B107" s="43"/>
      <c r="C107" s="112"/>
      <c r="D107" s="64"/>
      <c r="E107" s="46"/>
      <c r="F107" s="47"/>
    </row>
    <row r="108" spans="1:6">
      <c r="A108" s="43"/>
      <c r="B108" s="43"/>
      <c r="C108" s="112"/>
      <c r="D108" s="64"/>
      <c r="E108" s="46"/>
      <c r="F108" s="47"/>
    </row>
    <row r="109" spans="1:6">
      <c r="A109" s="43"/>
      <c r="B109" s="43"/>
      <c r="C109" s="112"/>
      <c r="D109" s="64"/>
      <c r="E109" s="46"/>
      <c r="F109" s="47"/>
    </row>
    <row r="110" spans="1:6">
      <c r="A110" s="43"/>
      <c r="B110" s="43"/>
      <c r="C110" s="112"/>
      <c r="D110" s="64"/>
      <c r="E110" s="46"/>
      <c r="F110" s="47"/>
    </row>
    <row r="111" spans="1:6">
      <c r="A111" s="43"/>
      <c r="B111" s="43"/>
      <c r="C111" s="112"/>
      <c r="D111" s="64"/>
      <c r="E111" s="46"/>
      <c r="F111" s="47"/>
    </row>
    <row r="112" spans="1:6">
      <c r="A112" s="43"/>
      <c r="B112" s="43"/>
      <c r="C112" s="112"/>
      <c r="D112" s="64"/>
      <c r="E112" s="46"/>
      <c r="F112" s="47"/>
    </row>
    <row r="113" spans="1:6">
      <c r="A113" s="43"/>
      <c r="B113" s="43"/>
      <c r="C113" s="112"/>
      <c r="D113" s="64"/>
      <c r="E113" s="46"/>
      <c r="F113" s="47"/>
    </row>
    <row r="114" spans="1:6">
      <c r="A114" s="43"/>
      <c r="B114" s="43"/>
      <c r="C114" s="112"/>
      <c r="D114" s="64"/>
      <c r="E114" s="46"/>
      <c r="F114" s="47"/>
    </row>
    <row r="115" spans="1:6">
      <c r="A115" s="43"/>
      <c r="B115" s="43"/>
      <c r="C115" s="112"/>
      <c r="D115" s="64"/>
      <c r="E115" s="46"/>
      <c r="F115" s="47"/>
    </row>
    <row r="116" spans="1:6">
      <c r="A116" s="43"/>
      <c r="B116" s="43"/>
      <c r="C116" s="112"/>
      <c r="D116" s="64"/>
      <c r="E116" s="46"/>
      <c r="F116" s="47"/>
    </row>
    <row r="117" spans="1:6">
      <c r="A117" s="43"/>
      <c r="B117" s="43"/>
      <c r="C117" s="112"/>
      <c r="D117" s="64"/>
      <c r="E117" s="46"/>
      <c r="F117" s="47"/>
    </row>
    <row r="118" spans="1:6">
      <c r="A118" s="43"/>
      <c r="B118" s="43"/>
      <c r="C118" s="112"/>
      <c r="D118" s="64"/>
      <c r="E118" s="46"/>
      <c r="F118" s="47"/>
    </row>
    <row r="119" spans="1:6">
      <c r="A119" s="43"/>
      <c r="B119" s="43"/>
      <c r="C119" s="112"/>
      <c r="D119" s="64"/>
      <c r="E119" s="46"/>
      <c r="F119" s="47"/>
    </row>
    <row r="120" spans="1:6">
      <c r="A120" s="43"/>
      <c r="B120" s="43"/>
      <c r="C120" s="112"/>
      <c r="D120" s="64"/>
      <c r="E120" s="46"/>
      <c r="F120" s="47"/>
    </row>
    <row r="121" spans="1:6">
      <c r="A121" s="43"/>
      <c r="B121" s="43"/>
      <c r="C121" s="112"/>
      <c r="D121" s="64"/>
      <c r="E121" s="46"/>
      <c r="F121" s="47"/>
    </row>
    <row r="122" spans="1:6">
      <c r="A122" s="43"/>
      <c r="B122" s="43"/>
      <c r="C122" s="112"/>
      <c r="D122" s="64"/>
      <c r="E122" s="46"/>
      <c r="F122" s="47"/>
    </row>
    <row r="123" spans="1:6">
      <c r="A123" s="43"/>
      <c r="B123" s="43"/>
      <c r="C123" s="112"/>
      <c r="D123" s="64"/>
      <c r="E123" s="46"/>
      <c r="F123" s="47"/>
    </row>
    <row r="124" spans="1:6">
      <c r="A124" s="43"/>
      <c r="B124" s="43"/>
      <c r="C124" s="112"/>
      <c r="D124" s="64"/>
      <c r="E124" s="46"/>
      <c r="F124" s="47"/>
    </row>
    <row r="125" spans="1:6">
      <c r="A125" s="43"/>
      <c r="B125" s="43"/>
      <c r="C125" s="112"/>
      <c r="D125" s="64"/>
      <c r="E125" s="46"/>
      <c r="F125" s="47"/>
    </row>
    <row r="126" spans="1:6">
      <c r="A126" s="43"/>
      <c r="B126" s="43"/>
      <c r="C126" s="112"/>
      <c r="D126" s="64"/>
      <c r="E126" s="46"/>
      <c r="F126" s="47"/>
    </row>
    <row r="127" spans="1:6">
      <c r="A127" s="43"/>
      <c r="B127" s="43"/>
      <c r="C127" s="112"/>
      <c r="D127" s="64"/>
      <c r="E127" s="46"/>
      <c r="F127" s="47"/>
    </row>
    <row r="128" spans="1:6">
      <c r="A128" s="43"/>
      <c r="B128" s="43"/>
      <c r="C128" s="112"/>
      <c r="D128" s="64"/>
      <c r="E128" s="46"/>
      <c r="F128" s="47"/>
    </row>
    <row r="129" spans="1:6">
      <c r="A129" s="43"/>
      <c r="B129" s="43"/>
      <c r="C129" s="112"/>
      <c r="D129" s="64"/>
      <c r="E129" s="46"/>
      <c r="F129" s="47"/>
    </row>
    <row r="130" spans="1:6">
      <c r="A130" s="43"/>
      <c r="B130" s="43"/>
      <c r="C130" s="112"/>
      <c r="D130" s="64"/>
      <c r="E130" s="46"/>
      <c r="F130" s="47"/>
    </row>
    <row r="131" spans="1:6">
      <c r="A131" s="43"/>
      <c r="B131" s="43"/>
      <c r="C131" s="112"/>
      <c r="D131" s="64"/>
      <c r="E131" s="46"/>
      <c r="F131" s="47"/>
    </row>
    <row r="132" spans="1:6">
      <c r="A132" s="43"/>
      <c r="B132" s="43"/>
      <c r="C132" s="112"/>
      <c r="D132" s="64"/>
      <c r="E132" s="46"/>
      <c r="F132" s="47"/>
    </row>
    <row r="133" spans="1:6">
      <c r="A133" s="43"/>
      <c r="B133" s="43"/>
      <c r="C133" s="112"/>
      <c r="D133" s="64"/>
      <c r="E133" s="46"/>
      <c r="F133" s="47"/>
    </row>
    <row r="134" spans="1:6">
      <c r="A134" s="43"/>
      <c r="B134" s="43"/>
      <c r="C134" s="112"/>
      <c r="D134" s="64"/>
      <c r="E134" s="46"/>
      <c r="F134" s="47"/>
    </row>
    <row r="135" spans="1:6">
      <c r="A135" s="43"/>
      <c r="B135" s="43"/>
      <c r="C135" s="112"/>
      <c r="D135" s="64"/>
      <c r="E135" s="46"/>
      <c r="F135" s="47"/>
    </row>
    <row r="136" spans="1:6">
      <c r="A136" s="43"/>
      <c r="B136" s="43"/>
      <c r="C136" s="112"/>
      <c r="D136" s="64"/>
      <c r="E136" s="46"/>
      <c r="F136" s="47"/>
    </row>
    <row r="137" spans="1:6">
      <c r="A137" s="43"/>
      <c r="B137" s="43"/>
      <c r="C137" s="112"/>
      <c r="D137" s="64"/>
      <c r="E137" s="46"/>
      <c r="F137" s="47"/>
    </row>
    <row r="138" spans="1:6">
      <c r="A138" s="43"/>
      <c r="B138" s="43"/>
      <c r="C138" s="112"/>
      <c r="D138" s="64"/>
      <c r="E138" s="46"/>
      <c r="F138" s="47"/>
    </row>
    <row r="139" spans="1:6">
      <c r="A139" s="43"/>
      <c r="B139" s="43"/>
      <c r="C139" s="112"/>
      <c r="D139" s="64"/>
      <c r="E139" s="46"/>
      <c r="F139" s="47"/>
    </row>
    <row r="140" spans="1:6">
      <c r="A140" s="43"/>
      <c r="B140" s="43"/>
      <c r="C140" s="112"/>
      <c r="D140" s="64"/>
      <c r="E140" s="46"/>
      <c r="F140" s="47"/>
    </row>
    <row r="141" spans="1:6">
      <c r="A141" s="43"/>
      <c r="B141" s="43"/>
      <c r="C141" s="112"/>
      <c r="D141" s="64"/>
      <c r="E141" s="46"/>
      <c r="F141" s="47"/>
    </row>
    <row r="142" spans="1:6">
      <c r="A142" s="43"/>
      <c r="B142" s="43"/>
      <c r="C142" s="112"/>
      <c r="D142" s="64"/>
      <c r="E142" s="46"/>
      <c r="F142" s="47"/>
    </row>
    <row r="143" spans="1:6">
      <c r="A143" s="43"/>
      <c r="B143" s="43"/>
      <c r="C143" s="112"/>
      <c r="D143" s="64"/>
      <c r="E143" s="46"/>
      <c r="F143" s="47"/>
    </row>
    <row r="144" spans="1:6">
      <c r="A144" s="43"/>
      <c r="B144" s="43"/>
      <c r="C144" s="112"/>
      <c r="D144" s="64"/>
      <c r="E144" s="46"/>
      <c r="F144" s="47"/>
    </row>
    <row r="145" spans="1:6">
      <c r="A145" s="43"/>
      <c r="B145" s="43"/>
      <c r="C145" s="112"/>
      <c r="D145" s="64"/>
      <c r="E145" s="46"/>
      <c r="F145" s="47"/>
    </row>
    <row r="146" spans="1:6">
      <c r="A146" s="43"/>
      <c r="B146" s="43"/>
      <c r="C146" s="112"/>
      <c r="D146" s="64"/>
      <c r="E146" s="46"/>
      <c r="F146" s="47"/>
    </row>
    <row r="147" spans="1:6">
      <c r="A147" s="43"/>
      <c r="B147" s="43"/>
      <c r="C147" s="112"/>
      <c r="D147" s="64"/>
      <c r="E147" s="46"/>
      <c r="F147" s="47"/>
    </row>
    <row r="148" spans="1:6">
      <c r="A148" s="43"/>
      <c r="B148" s="43"/>
      <c r="C148" s="112"/>
      <c r="D148" s="64"/>
      <c r="E148" s="46"/>
      <c r="F148" s="47"/>
    </row>
    <row r="149" spans="1:6">
      <c r="A149" s="43"/>
      <c r="B149" s="43"/>
      <c r="C149" s="112"/>
      <c r="D149" s="64"/>
      <c r="E149" s="46"/>
      <c r="F149" s="47"/>
    </row>
    <row r="150" spans="1:6">
      <c r="A150" s="43"/>
      <c r="B150" s="43"/>
      <c r="C150" s="112"/>
      <c r="D150" s="64"/>
      <c r="E150" s="46"/>
      <c r="F150" s="47"/>
    </row>
    <row r="151" spans="1:6">
      <c r="A151" s="43"/>
      <c r="B151" s="43"/>
      <c r="C151" s="112"/>
      <c r="D151" s="64"/>
      <c r="E151" s="46"/>
      <c r="F151" s="47"/>
    </row>
    <row r="152" spans="1:6">
      <c r="A152" s="43"/>
      <c r="B152" s="43"/>
      <c r="C152" s="112"/>
      <c r="D152" s="64"/>
      <c r="E152" s="46"/>
      <c r="F152" s="47"/>
    </row>
    <row r="153" spans="1:6">
      <c r="A153" s="43"/>
      <c r="B153" s="43"/>
      <c r="C153" s="112"/>
      <c r="D153" s="64"/>
      <c r="E153" s="46"/>
      <c r="F153" s="47"/>
    </row>
    <row r="154" spans="1:6">
      <c r="A154" s="43"/>
      <c r="B154" s="43"/>
      <c r="C154" s="112"/>
      <c r="D154" s="64"/>
      <c r="E154" s="46"/>
      <c r="F154" s="47"/>
    </row>
    <row r="155" spans="1:6">
      <c r="A155" s="43"/>
      <c r="B155" s="43"/>
      <c r="C155" s="112"/>
      <c r="D155" s="64"/>
      <c r="E155" s="46"/>
      <c r="F155" s="47"/>
    </row>
    <row r="156" spans="1:6">
      <c r="A156" s="43"/>
      <c r="B156" s="43"/>
      <c r="C156" s="112"/>
      <c r="D156" s="64"/>
      <c r="E156" s="46"/>
      <c r="F156" s="47"/>
    </row>
    <row r="157" spans="1:6">
      <c r="A157" s="43"/>
      <c r="B157" s="43"/>
      <c r="C157" s="112"/>
      <c r="D157" s="64"/>
      <c r="E157" s="46"/>
      <c r="F157" s="47"/>
    </row>
    <row r="158" spans="1:6">
      <c r="A158" s="43"/>
      <c r="B158" s="43"/>
      <c r="C158" s="112"/>
      <c r="D158" s="64"/>
      <c r="E158" s="46"/>
      <c r="F158" s="47"/>
    </row>
    <row r="159" spans="1:6">
      <c r="A159" s="43"/>
      <c r="B159" s="43"/>
      <c r="C159" s="112"/>
      <c r="D159" s="64"/>
      <c r="E159" s="46"/>
      <c r="F159" s="47"/>
    </row>
    <row r="160" spans="1:6">
      <c r="A160" s="43"/>
      <c r="B160" s="43"/>
      <c r="C160" s="112"/>
      <c r="D160" s="64"/>
      <c r="E160" s="46"/>
      <c r="F160" s="47"/>
    </row>
    <row r="161" spans="1:6">
      <c r="A161" s="43"/>
      <c r="B161" s="43"/>
      <c r="C161" s="112"/>
      <c r="D161" s="64"/>
      <c r="E161" s="46"/>
      <c r="F161" s="47"/>
    </row>
    <row r="162" spans="1:6">
      <c r="A162" s="43"/>
      <c r="B162" s="43"/>
      <c r="C162" s="112"/>
      <c r="D162" s="64"/>
      <c r="E162" s="46"/>
      <c r="F162" s="47"/>
    </row>
    <row r="163" spans="1:6">
      <c r="A163" s="43"/>
      <c r="B163" s="43"/>
      <c r="C163" s="112"/>
      <c r="D163" s="64"/>
      <c r="E163" s="46"/>
      <c r="F163" s="47"/>
    </row>
    <row r="164" spans="1:6">
      <c r="A164" s="43"/>
      <c r="B164" s="43"/>
      <c r="C164" s="112"/>
      <c r="D164" s="64"/>
      <c r="E164" s="46"/>
      <c r="F164" s="47"/>
    </row>
    <row r="165" spans="1:6">
      <c r="A165" s="43"/>
      <c r="B165" s="43"/>
      <c r="C165" s="112"/>
      <c r="D165" s="64"/>
      <c r="E165" s="46"/>
      <c r="F165" s="47"/>
    </row>
    <row r="166" spans="1:6">
      <c r="A166" s="43"/>
      <c r="B166" s="43"/>
      <c r="C166" s="112"/>
      <c r="D166" s="64"/>
      <c r="E166" s="46"/>
      <c r="F166" s="47"/>
    </row>
    <row r="167" spans="1:6">
      <c r="A167" s="43"/>
      <c r="B167" s="43"/>
      <c r="C167" s="112"/>
      <c r="D167" s="64"/>
      <c r="E167" s="46"/>
      <c r="F167" s="47"/>
    </row>
    <row r="168" spans="1:6">
      <c r="A168" s="43"/>
      <c r="B168" s="43"/>
      <c r="C168" s="112"/>
      <c r="D168" s="64"/>
      <c r="E168" s="46"/>
      <c r="F168" s="47"/>
    </row>
    <row r="169" spans="1:6">
      <c r="A169" s="43"/>
      <c r="B169" s="43"/>
      <c r="C169" s="112"/>
      <c r="D169" s="64"/>
      <c r="E169" s="46"/>
      <c r="F169" s="47"/>
    </row>
    <row r="170" spans="1:6">
      <c r="A170" s="43"/>
      <c r="B170" s="43"/>
      <c r="C170" s="112"/>
      <c r="D170" s="64"/>
      <c r="E170" s="46"/>
      <c r="F170" s="47"/>
    </row>
    <row r="171" spans="1:6">
      <c r="A171" s="43"/>
      <c r="B171" s="43"/>
      <c r="C171" s="112"/>
      <c r="D171" s="64"/>
      <c r="E171" s="46"/>
      <c r="F171" s="47"/>
    </row>
    <row r="172" spans="1:6">
      <c r="A172" s="43"/>
      <c r="B172" s="43"/>
      <c r="C172" s="112"/>
      <c r="D172" s="64"/>
      <c r="E172" s="46"/>
      <c r="F172" s="47"/>
    </row>
    <row r="173" spans="1:6">
      <c r="A173" s="43"/>
      <c r="B173" s="43"/>
      <c r="C173" s="112"/>
      <c r="D173" s="64"/>
      <c r="E173" s="46"/>
      <c r="F173" s="47"/>
    </row>
    <row r="174" spans="1:6">
      <c r="A174" s="43"/>
      <c r="B174" s="43"/>
      <c r="C174" s="112"/>
      <c r="D174" s="64"/>
      <c r="E174" s="46"/>
      <c r="F174" s="47"/>
    </row>
    <row r="175" spans="1:6">
      <c r="A175" s="43"/>
      <c r="B175" s="43"/>
      <c r="C175" s="112"/>
      <c r="D175" s="64"/>
      <c r="E175" s="46"/>
      <c r="F175" s="47"/>
    </row>
    <row r="176" spans="1:6">
      <c r="A176" s="43"/>
      <c r="B176" s="43"/>
      <c r="C176" s="112"/>
      <c r="D176" s="64"/>
      <c r="E176" s="46"/>
      <c r="F176" s="47"/>
    </row>
    <row r="177" spans="1:6">
      <c r="A177" s="43"/>
      <c r="B177" s="43"/>
      <c r="C177" s="112"/>
      <c r="D177" s="64"/>
      <c r="E177" s="46"/>
      <c r="F177" s="47"/>
    </row>
    <row r="178" spans="1:6">
      <c r="A178" s="43"/>
      <c r="B178" s="43"/>
      <c r="C178" s="112"/>
      <c r="D178" s="64"/>
      <c r="E178" s="46"/>
      <c r="F178" s="47"/>
    </row>
    <row r="179" spans="1:6">
      <c r="A179" s="43"/>
      <c r="B179" s="43"/>
      <c r="C179" s="112"/>
      <c r="D179" s="64"/>
      <c r="E179" s="46"/>
      <c r="F179" s="47"/>
    </row>
    <row r="180" spans="1:6">
      <c r="A180" s="43"/>
      <c r="B180" s="43"/>
      <c r="C180" s="112"/>
      <c r="D180" s="64"/>
      <c r="E180" s="46"/>
      <c r="F180" s="47"/>
    </row>
    <row r="181" spans="1:6">
      <c r="A181" s="43"/>
      <c r="B181" s="43"/>
      <c r="C181" s="112"/>
      <c r="D181" s="64"/>
      <c r="E181" s="46"/>
      <c r="F181" s="47"/>
    </row>
    <row r="182" spans="1:6">
      <c r="A182" s="43"/>
      <c r="B182" s="43"/>
      <c r="C182" s="112"/>
      <c r="D182" s="64"/>
      <c r="E182" s="46"/>
      <c r="F182" s="47"/>
    </row>
    <row r="183" spans="1:6">
      <c r="A183" s="43"/>
      <c r="B183" s="43"/>
      <c r="C183" s="112"/>
      <c r="D183" s="64"/>
      <c r="E183" s="46"/>
      <c r="F183" s="47"/>
    </row>
    <row r="184" spans="1:6">
      <c r="A184" s="43"/>
      <c r="B184" s="43"/>
      <c r="C184" s="112"/>
      <c r="D184" s="64"/>
      <c r="E184" s="46"/>
      <c r="F184" s="47"/>
    </row>
    <row r="185" spans="1:6">
      <c r="A185" s="43"/>
      <c r="B185" s="43"/>
      <c r="C185" s="112"/>
      <c r="D185" s="64"/>
      <c r="E185" s="46"/>
      <c r="F185" s="47"/>
    </row>
    <row r="186" spans="1:6">
      <c r="A186" s="43"/>
      <c r="B186" s="43"/>
      <c r="C186" s="112"/>
      <c r="D186" s="64"/>
      <c r="E186" s="46"/>
      <c r="F186" s="47"/>
    </row>
    <row r="187" spans="1:6">
      <c r="A187" s="43"/>
      <c r="B187" s="43"/>
      <c r="C187" s="112"/>
      <c r="D187" s="64"/>
      <c r="E187" s="46"/>
      <c r="F187" s="47"/>
    </row>
    <row r="188" spans="1:6">
      <c r="A188" s="43"/>
      <c r="B188" s="43"/>
      <c r="C188" s="112"/>
      <c r="D188" s="64"/>
      <c r="E188" s="46"/>
      <c r="F188" s="47"/>
    </row>
    <row r="189" spans="1:6">
      <c r="A189" s="43"/>
      <c r="B189" s="43"/>
      <c r="C189" s="112"/>
      <c r="D189" s="64"/>
      <c r="E189" s="46"/>
      <c r="F189" s="47"/>
    </row>
    <row r="190" spans="1:6">
      <c r="A190" s="43"/>
      <c r="B190" s="43"/>
      <c r="C190" s="112"/>
      <c r="D190" s="64"/>
      <c r="E190" s="46"/>
      <c r="F190" s="47"/>
    </row>
    <row r="191" spans="1:6">
      <c r="A191" s="43"/>
      <c r="B191" s="43"/>
      <c r="C191" s="112"/>
      <c r="D191" s="64"/>
      <c r="E191" s="46"/>
      <c r="F191" s="47"/>
    </row>
    <row r="192" spans="1:6">
      <c r="A192" s="43"/>
      <c r="B192" s="43"/>
      <c r="C192" s="112"/>
      <c r="D192" s="64"/>
      <c r="E192" s="46"/>
      <c r="F192" s="47"/>
    </row>
    <row r="193" spans="1:6">
      <c r="A193" s="43"/>
      <c r="B193" s="43"/>
      <c r="C193" s="112"/>
      <c r="D193" s="64"/>
      <c r="E193" s="46"/>
      <c r="F193" s="47"/>
    </row>
    <row r="194" spans="1:6">
      <c r="A194" s="43"/>
      <c r="B194" s="43"/>
      <c r="C194" s="112"/>
      <c r="D194" s="64"/>
      <c r="E194" s="46"/>
      <c r="F194" s="47"/>
    </row>
    <row r="195" spans="1:6">
      <c r="A195" s="43"/>
      <c r="B195" s="43"/>
      <c r="C195" s="112"/>
      <c r="D195" s="64"/>
      <c r="E195" s="46"/>
      <c r="F195" s="47"/>
    </row>
    <row r="196" spans="1:6">
      <c r="A196" s="43"/>
      <c r="B196" s="43"/>
      <c r="C196" s="112"/>
      <c r="D196" s="64"/>
      <c r="E196" s="46"/>
      <c r="F196" s="47"/>
    </row>
    <row r="197" spans="1:6">
      <c r="A197" s="43"/>
      <c r="B197" s="43"/>
      <c r="C197" s="112"/>
      <c r="D197" s="64"/>
      <c r="E197" s="46"/>
      <c r="F197" s="47"/>
    </row>
    <row r="198" spans="1:6">
      <c r="A198" s="43"/>
      <c r="B198" s="43"/>
      <c r="C198" s="112"/>
      <c r="D198" s="64"/>
      <c r="E198" s="46"/>
      <c r="F198" s="47"/>
    </row>
    <row r="199" spans="1:6">
      <c r="A199" s="43"/>
      <c r="B199" s="43"/>
      <c r="C199" s="112"/>
      <c r="D199" s="64"/>
      <c r="E199" s="46"/>
      <c r="F199" s="47"/>
    </row>
    <row r="200" spans="1:6">
      <c r="A200" s="43"/>
      <c r="B200" s="43"/>
      <c r="C200" s="112"/>
      <c r="D200" s="64"/>
      <c r="E200" s="46"/>
      <c r="F200" s="47"/>
    </row>
    <row r="201" spans="1:6">
      <c r="A201" s="43"/>
      <c r="B201" s="43"/>
      <c r="C201" s="112"/>
      <c r="D201" s="64"/>
      <c r="E201" s="46"/>
      <c r="F201" s="47"/>
    </row>
    <row r="202" spans="1:6">
      <c r="A202" s="43"/>
      <c r="B202" s="43"/>
      <c r="C202" s="112"/>
      <c r="D202" s="64"/>
      <c r="E202" s="46"/>
      <c r="F202" s="47"/>
    </row>
    <row r="203" spans="1:6">
      <c r="A203" s="43"/>
      <c r="B203" s="43"/>
      <c r="C203" s="112"/>
      <c r="D203" s="64"/>
      <c r="E203" s="46"/>
      <c r="F203" s="47"/>
    </row>
    <row r="204" spans="1:6">
      <c r="A204" s="43"/>
      <c r="B204" s="43"/>
      <c r="C204" s="112"/>
      <c r="D204" s="64"/>
      <c r="E204" s="46"/>
      <c r="F204" s="47"/>
    </row>
    <row r="205" spans="1:6">
      <c r="A205" s="43"/>
      <c r="B205" s="43"/>
      <c r="C205" s="112"/>
      <c r="D205" s="64"/>
      <c r="E205" s="46"/>
      <c r="F205" s="47"/>
    </row>
    <row r="206" spans="1:6">
      <c r="A206" s="43"/>
      <c r="B206" s="43"/>
      <c r="C206" s="112"/>
      <c r="D206" s="64"/>
      <c r="E206" s="46"/>
      <c r="F206" s="47"/>
    </row>
    <row r="207" spans="1:6">
      <c r="A207" s="43"/>
      <c r="B207" s="43"/>
      <c r="C207" s="112"/>
      <c r="D207" s="64"/>
      <c r="E207" s="46"/>
      <c r="F207" s="47"/>
    </row>
    <row r="208" spans="1:6">
      <c r="A208" s="43"/>
      <c r="B208" s="43"/>
      <c r="C208" s="112"/>
      <c r="D208" s="64"/>
      <c r="E208" s="46"/>
      <c r="F208" s="47"/>
    </row>
    <row r="209" spans="1:6">
      <c r="A209" s="43"/>
      <c r="B209" s="43"/>
      <c r="C209" s="112"/>
      <c r="D209" s="64"/>
      <c r="E209" s="46"/>
      <c r="F209" s="47"/>
    </row>
    <row r="210" spans="1:6">
      <c r="A210" s="43"/>
      <c r="B210" s="43"/>
      <c r="C210" s="112"/>
      <c r="D210" s="64"/>
      <c r="E210" s="46"/>
      <c r="F210" s="47"/>
    </row>
    <row r="211" spans="1:6">
      <c r="A211" s="43"/>
      <c r="B211" s="43"/>
      <c r="C211" s="112"/>
      <c r="D211" s="64"/>
      <c r="E211" s="46"/>
      <c r="F211" s="47"/>
    </row>
    <row r="212" spans="1:6">
      <c r="A212" s="43"/>
      <c r="B212" s="43"/>
      <c r="C212" s="112"/>
      <c r="D212" s="64"/>
      <c r="E212" s="46"/>
      <c r="F212" s="47"/>
    </row>
    <row r="213" spans="1:6">
      <c r="A213" s="43"/>
      <c r="B213" s="43"/>
      <c r="C213" s="112"/>
      <c r="D213" s="64"/>
      <c r="E213" s="46"/>
      <c r="F213" s="47"/>
    </row>
    <row r="214" spans="1:6">
      <c r="A214" s="43"/>
      <c r="B214" s="43"/>
      <c r="C214" s="112"/>
      <c r="D214" s="64"/>
      <c r="E214" s="46"/>
      <c r="F214" s="47"/>
    </row>
    <row r="215" spans="1:6">
      <c r="A215" s="43"/>
      <c r="B215" s="43"/>
      <c r="C215" s="112"/>
      <c r="D215" s="64"/>
      <c r="E215" s="46"/>
      <c r="F215" s="47"/>
    </row>
    <row r="216" spans="1:6">
      <c r="A216" s="43"/>
      <c r="B216" s="43"/>
      <c r="C216" s="112"/>
      <c r="D216" s="64"/>
      <c r="E216" s="46"/>
      <c r="F216" s="47"/>
    </row>
    <row r="217" spans="1:6">
      <c r="A217" s="43"/>
      <c r="B217" s="43"/>
      <c r="C217" s="112"/>
      <c r="D217" s="64"/>
      <c r="E217" s="46"/>
      <c r="F217" s="47"/>
    </row>
    <row r="218" spans="1:6">
      <c r="A218" s="43"/>
      <c r="B218" s="43"/>
      <c r="C218" s="112"/>
      <c r="D218" s="64"/>
      <c r="E218" s="46"/>
      <c r="F218" s="47"/>
    </row>
    <row r="219" spans="1:6">
      <c r="A219" s="43"/>
      <c r="B219" s="43"/>
      <c r="C219" s="112"/>
      <c r="D219" s="64"/>
      <c r="E219" s="46"/>
      <c r="F219" s="47"/>
    </row>
    <row r="220" spans="1:6">
      <c r="A220" s="43"/>
      <c r="B220" s="43"/>
      <c r="C220" s="112"/>
      <c r="D220" s="64"/>
      <c r="E220" s="46"/>
      <c r="F220" s="47"/>
    </row>
    <row r="221" spans="1:6">
      <c r="A221" s="43"/>
      <c r="B221" s="43"/>
      <c r="C221" s="112"/>
      <c r="D221" s="64"/>
      <c r="E221" s="46"/>
      <c r="F221" s="47"/>
    </row>
    <row r="222" spans="1:6">
      <c r="A222" s="43"/>
      <c r="B222" s="43"/>
      <c r="C222" s="112"/>
      <c r="D222" s="64"/>
      <c r="E222" s="46"/>
      <c r="F222" s="47"/>
    </row>
    <row r="223" spans="1:6">
      <c r="A223" s="43"/>
      <c r="B223" s="43"/>
      <c r="C223" s="112"/>
      <c r="D223" s="64"/>
      <c r="E223" s="46"/>
      <c r="F223" s="47"/>
    </row>
    <row r="224" spans="1:6">
      <c r="A224" s="43"/>
      <c r="B224" s="43"/>
      <c r="C224" s="112"/>
      <c r="D224" s="64"/>
      <c r="E224" s="46"/>
      <c r="F224" s="47"/>
    </row>
    <row r="225" spans="1:6">
      <c r="A225" s="43"/>
      <c r="B225" s="43"/>
      <c r="C225" s="112"/>
      <c r="D225" s="64"/>
      <c r="E225" s="46"/>
      <c r="F225" s="47"/>
    </row>
    <row r="226" spans="1:6">
      <c r="A226" s="43"/>
      <c r="B226" s="43"/>
      <c r="C226" s="112"/>
      <c r="D226" s="64"/>
      <c r="E226" s="46"/>
      <c r="F226" s="47"/>
    </row>
    <row r="227" spans="1:6">
      <c r="A227" s="43"/>
      <c r="B227" s="43"/>
      <c r="C227" s="112"/>
      <c r="D227" s="64"/>
      <c r="E227" s="46"/>
      <c r="F227" s="47"/>
    </row>
    <row r="228" spans="1:6">
      <c r="A228" s="43"/>
      <c r="B228" s="43"/>
      <c r="C228" s="112"/>
      <c r="D228" s="64"/>
      <c r="E228" s="46"/>
      <c r="F228" s="47"/>
    </row>
    <row r="229" spans="1:6">
      <c r="A229" s="43"/>
      <c r="B229" s="43"/>
      <c r="C229" s="112"/>
      <c r="D229" s="64"/>
      <c r="E229" s="46"/>
      <c r="F229" s="47"/>
    </row>
    <row r="230" spans="1:6">
      <c r="A230" s="43"/>
      <c r="B230" s="43"/>
      <c r="C230" s="112"/>
      <c r="D230" s="64"/>
      <c r="E230" s="46"/>
      <c r="F230" s="47"/>
    </row>
    <row r="231" spans="1:6">
      <c r="A231" s="43"/>
      <c r="B231" s="43"/>
      <c r="C231" s="112"/>
      <c r="D231" s="64"/>
      <c r="E231" s="46"/>
      <c r="F231" s="47"/>
    </row>
    <row r="232" spans="1:6">
      <c r="A232" s="43"/>
      <c r="B232" s="43"/>
      <c r="C232" s="112"/>
      <c r="D232" s="64"/>
      <c r="E232" s="46"/>
      <c r="F232" s="47"/>
    </row>
    <row r="233" spans="1:6">
      <c r="A233" s="43"/>
      <c r="B233" s="43"/>
      <c r="C233" s="112"/>
      <c r="D233" s="64"/>
      <c r="E233" s="46"/>
      <c r="F233" s="47"/>
    </row>
    <row r="234" spans="1:6">
      <c r="A234" s="43"/>
      <c r="B234" s="43"/>
      <c r="C234" s="112"/>
      <c r="D234" s="64"/>
      <c r="E234" s="46"/>
      <c r="F234" s="47"/>
    </row>
    <row r="235" spans="1:6">
      <c r="A235" s="43"/>
      <c r="B235" s="43"/>
      <c r="C235" s="112"/>
      <c r="D235" s="64"/>
      <c r="E235" s="46"/>
      <c r="F235" s="47"/>
    </row>
    <row r="236" spans="1:6">
      <c r="A236" s="43"/>
      <c r="B236" s="43"/>
      <c r="C236" s="112"/>
      <c r="D236" s="64"/>
      <c r="E236" s="46"/>
      <c r="F236" s="47"/>
    </row>
    <row r="237" spans="1:6">
      <c r="A237" s="43"/>
      <c r="B237" s="43"/>
      <c r="C237" s="112"/>
      <c r="D237" s="64"/>
      <c r="E237" s="46"/>
      <c r="F237" s="47"/>
    </row>
    <row r="238" spans="1:6">
      <c r="A238" s="43"/>
      <c r="B238" s="43"/>
      <c r="C238" s="112"/>
      <c r="D238" s="64"/>
      <c r="E238" s="46"/>
      <c r="F238" s="47"/>
    </row>
    <row r="239" spans="1:6">
      <c r="A239" s="43"/>
      <c r="B239" s="43"/>
      <c r="C239" s="112"/>
      <c r="D239" s="64"/>
      <c r="E239" s="46"/>
      <c r="F239" s="47"/>
    </row>
    <row r="240" spans="1:6">
      <c r="A240" s="43"/>
      <c r="B240" s="43"/>
      <c r="C240" s="112"/>
      <c r="D240" s="64"/>
      <c r="E240" s="46"/>
      <c r="F240" s="47"/>
    </row>
    <row r="241" spans="1:6">
      <c r="A241" s="43"/>
      <c r="B241" s="43"/>
      <c r="C241" s="112"/>
      <c r="D241" s="64"/>
      <c r="E241" s="46"/>
      <c r="F241" s="47"/>
    </row>
    <row r="242" spans="1:6">
      <c r="A242" s="43"/>
      <c r="B242" s="43"/>
      <c r="C242" s="112"/>
      <c r="D242" s="64"/>
      <c r="E242" s="46"/>
      <c r="F242" s="47"/>
    </row>
    <row r="243" spans="1:6">
      <c r="A243" s="43"/>
      <c r="B243" s="43"/>
      <c r="C243" s="112"/>
      <c r="D243" s="64"/>
      <c r="E243" s="46"/>
      <c r="F243" s="47"/>
    </row>
    <row r="244" spans="1:6">
      <c r="A244" s="43"/>
      <c r="B244" s="43"/>
      <c r="C244" s="112"/>
      <c r="D244" s="64"/>
      <c r="E244" s="46"/>
      <c r="F244" s="47"/>
    </row>
    <row r="245" spans="1:6">
      <c r="A245" s="43"/>
      <c r="B245" s="43"/>
      <c r="C245" s="112"/>
      <c r="D245" s="64"/>
      <c r="E245" s="46"/>
      <c r="F245" s="47"/>
    </row>
    <row r="246" spans="1:6">
      <c r="A246" s="43"/>
      <c r="B246" s="43"/>
      <c r="C246" s="112"/>
      <c r="D246" s="64"/>
      <c r="E246" s="46"/>
      <c r="F246" s="47"/>
    </row>
    <row r="247" spans="1:6">
      <c r="A247" s="43"/>
      <c r="B247" s="43"/>
      <c r="C247" s="112"/>
      <c r="D247" s="64"/>
      <c r="E247" s="46"/>
      <c r="F247" s="47"/>
    </row>
    <row r="248" spans="1:6">
      <c r="A248" s="43"/>
      <c r="B248" s="43"/>
      <c r="C248" s="112"/>
      <c r="D248" s="64"/>
      <c r="E248" s="46"/>
      <c r="F248" s="47"/>
    </row>
    <row r="249" spans="1:6">
      <c r="A249" s="43"/>
      <c r="B249" s="43"/>
      <c r="C249" s="112"/>
      <c r="D249" s="64"/>
      <c r="E249" s="46"/>
      <c r="F249" s="47"/>
    </row>
    <row r="250" spans="1:6">
      <c r="A250" s="43"/>
      <c r="B250" s="43"/>
      <c r="C250" s="112"/>
      <c r="D250" s="64"/>
      <c r="E250" s="46"/>
      <c r="F250" s="47"/>
    </row>
    <row r="251" spans="1:6">
      <c r="A251" s="43"/>
      <c r="B251" s="43"/>
      <c r="C251" s="112"/>
      <c r="D251" s="64"/>
      <c r="E251" s="46"/>
      <c r="F251" s="47"/>
    </row>
    <row r="252" spans="1:6">
      <c r="A252" s="43"/>
      <c r="B252" s="43"/>
      <c r="C252" s="112"/>
      <c r="D252" s="64"/>
      <c r="E252" s="46"/>
      <c r="F252" s="47"/>
    </row>
    <row r="253" spans="1:6">
      <c r="A253" s="43"/>
      <c r="B253" s="43"/>
      <c r="C253" s="112"/>
      <c r="D253" s="64"/>
      <c r="E253" s="46"/>
      <c r="F253" s="47"/>
    </row>
    <row r="254" spans="1:6">
      <c r="A254" s="43"/>
      <c r="B254" s="43"/>
      <c r="C254" s="112"/>
      <c r="D254" s="64"/>
      <c r="E254" s="46"/>
      <c r="F254" s="47"/>
    </row>
    <row r="255" spans="1:6">
      <c r="A255" s="43"/>
      <c r="B255" s="43"/>
      <c r="C255" s="112"/>
      <c r="D255" s="64"/>
      <c r="E255" s="46"/>
      <c r="F255" s="47"/>
    </row>
    <row r="256" spans="1:6">
      <c r="A256" s="43"/>
      <c r="B256" s="43"/>
      <c r="C256" s="112"/>
      <c r="D256" s="64"/>
      <c r="E256" s="46"/>
      <c r="F256" s="47"/>
    </row>
    <row r="257" spans="1:6">
      <c r="A257" s="43"/>
      <c r="B257" s="43"/>
      <c r="C257" s="112"/>
      <c r="D257" s="64"/>
      <c r="E257" s="46"/>
      <c r="F257" s="47"/>
    </row>
    <row r="258" spans="1:6">
      <c r="A258" s="43"/>
      <c r="B258" s="43"/>
      <c r="C258" s="112"/>
      <c r="D258" s="64"/>
      <c r="E258" s="46"/>
      <c r="F258" s="47"/>
    </row>
    <row r="259" spans="1:6">
      <c r="A259" s="43"/>
      <c r="B259" s="43"/>
      <c r="C259" s="112"/>
      <c r="D259" s="64"/>
      <c r="E259" s="46"/>
      <c r="F259" s="47"/>
    </row>
    <row r="260" spans="1:6">
      <c r="A260" s="43"/>
      <c r="B260" s="43"/>
      <c r="C260" s="112"/>
      <c r="D260" s="64"/>
      <c r="E260" s="46"/>
      <c r="F260" s="47"/>
    </row>
    <row r="261" spans="1:6">
      <c r="A261" s="43"/>
      <c r="B261" s="43"/>
      <c r="C261" s="112"/>
      <c r="D261" s="64"/>
      <c r="E261" s="46"/>
      <c r="F261" s="47"/>
    </row>
    <row r="262" spans="1:6">
      <c r="A262" s="43"/>
      <c r="B262" s="43"/>
      <c r="C262" s="112"/>
      <c r="D262" s="64"/>
      <c r="E262" s="46"/>
      <c r="F262" s="47"/>
    </row>
    <row r="263" spans="1:6">
      <c r="A263" s="43"/>
      <c r="B263" s="43"/>
      <c r="C263" s="112"/>
      <c r="D263" s="64"/>
      <c r="E263" s="46"/>
      <c r="F263" s="47"/>
    </row>
    <row r="264" spans="1:6">
      <c r="A264" s="43"/>
      <c r="B264" s="43"/>
      <c r="C264" s="112"/>
      <c r="D264" s="64"/>
      <c r="E264" s="46"/>
      <c r="F264" s="47"/>
    </row>
    <row r="265" spans="1:6">
      <c r="A265" s="43"/>
      <c r="B265" s="43"/>
      <c r="C265" s="112"/>
      <c r="D265" s="64"/>
      <c r="E265" s="46"/>
      <c r="F265" s="47"/>
    </row>
    <row r="266" spans="1:6">
      <c r="A266" s="43"/>
      <c r="B266" s="43"/>
      <c r="C266" s="112"/>
      <c r="D266" s="64"/>
      <c r="E266" s="46"/>
      <c r="F266" s="47"/>
    </row>
    <row r="267" spans="1:6">
      <c r="A267" s="43"/>
      <c r="B267" s="43"/>
      <c r="C267" s="112"/>
      <c r="D267" s="64"/>
      <c r="E267" s="46"/>
      <c r="F267" s="47"/>
    </row>
    <row r="268" spans="1:6">
      <c r="A268" s="43"/>
      <c r="B268" s="43"/>
      <c r="C268" s="112"/>
      <c r="D268" s="64"/>
      <c r="E268" s="46"/>
      <c r="F268" s="47"/>
    </row>
    <row r="269" spans="1:6">
      <c r="A269" s="43"/>
      <c r="B269" s="43"/>
      <c r="C269" s="112"/>
      <c r="D269" s="64"/>
      <c r="E269" s="46"/>
      <c r="F269" s="47"/>
    </row>
    <row r="270" spans="1:6">
      <c r="A270" s="43"/>
      <c r="B270" s="43"/>
      <c r="C270" s="112"/>
      <c r="D270" s="64"/>
      <c r="E270" s="46"/>
      <c r="F270" s="47"/>
    </row>
    <row r="271" spans="1:6">
      <c r="A271" s="43"/>
      <c r="B271" s="43"/>
      <c r="C271" s="112"/>
      <c r="D271" s="64"/>
      <c r="E271" s="46"/>
      <c r="F271" s="47"/>
    </row>
    <row r="272" spans="1:6">
      <c r="A272" s="43"/>
      <c r="B272" s="43"/>
      <c r="C272" s="112"/>
      <c r="D272" s="64"/>
      <c r="E272" s="46"/>
      <c r="F272" s="47"/>
    </row>
    <row r="273" spans="1:6">
      <c r="A273" s="43"/>
      <c r="B273" s="43"/>
      <c r="C273" s="112"/>
      <c r="D273" s="64"/>
      <c r="E273" s="46"/>
      <c r="F273" s="47"/>
    </row>
    <row r="274" spans="1:6">
      <c r="A274" s="43"/>
      <c r="B274" s="43"/>
      <c r="C274" s="112"/>
      <c r="D274" s="64"/>
      <c r="E274" s="46"/>
      <c r="F274" s="47"/>
    </row>
    <row r="275" spans="1:6">
      <c r="A275" s="43"/>
      <c r="B275" s="43"/>
      <c r="C275" s="112"/>
      <c r="D275" s="64"/>
      <c r="E275" s="46"/>
      <c r="F275" s="47"/>
    </row>
    <row r="276" spans="1:6">
      <c r="A276" s="43"/>
      <c r="B276" s="43"/>
      <c r="C276" s="112"/>
      <c r="D276" s="64"/>
      <c r="E276" s="46"/>
      <c r="F276" s="47"/>
    </row>
    <row r="277" spans="1:6">
      <c r="A277" s="43"/>
      <c r="B277" s="43"/>
      <c r="C277" s="112"/>
      <c r="D277" s="64"/>
      <c r="E277" s="46"/>
      <c r="F277" s="47"/>
    </row>
    <row r="278" spans="1:6">
      <c r="A278" s="43"/>
      <c r="B278" s="43"/>
      <c r="C278" s="112"/>
      <c r="D278" s="64"/>
      <c r="E278" s="46"/>
      <c r="F278" s="47"/>
    </row>
    <row r="279" spans="1:6">
      <c r="A279" s="43"/>
      <c r="B279" s="43"/>
      <c r="C279" s="112"/>
      <c r="D279" s="64"/>
      <c r="E279" s="46"/>
      <c r="F279" s="47"/>
    </row>
    <row r="280" spans="1:6">
      <c r="A280" s="43"/>
      <c r="B280" s="43"/>
      <c r="C280" s="112"/>
      <c r="D280" s="64"/>
      <c r="E280" s="46"/>
      <c r="F280" s="47"/>
    </row>
    <row r="281" spans="1:6">
      <c r="A281" s="43"/>
      <c r="B281" s="43"/>
      <c r="C281" s="112"/>
      <c r="D281" s="64"/>
      <c r="E281" s="46"/>
      <c r="F281" s="47"/>
    </row>
    <row r="282" spans="1:6">
      <c r="A282" s="43"/>
      <c r="B282" s="43"/>
      <c r="C282" s="112"/>
      <c r="D282" s="64"/>
      <c r="E282" s="46"/>
      <c r="F282" s="47"/>
    </row>
    <row r="283" spans="1:6">
      <c r="A283" s="43"/>
      <c r="B283" s="43"/>
      <c r="C283" s="112"/>
      <c r="D283" s="64"/>
      <c r="E283" s="46"/>
      <c r="F283" s="47"/>
    </row>
    <row r="284" spans="1:6">
      <c r="A284" s="43"/>
      <c r="B284" s="43"/>
      <c r="C284" s="112"/>
      <c r="D284" s="64"/>
      <c r="E284" s="46"/>
      <c r="F284" s="47"/>
    </row>
    <row r="285" spans="1:6">
      <c r="A285" s="43"/>
      <c r="B285" s="43"/>
      <c r="C285" s="112"/>
      <c r="D285" s="64"/>
      <c r="E285" s="46"/>
      <c r="F285" s="47"/>
    </row>
    <row r="286" spans="1:6">
      <c r="A286" s="43"/>
      <c r="B286" s="43"/>
      <c r="C286" s="112"/>
      <c r="D286" s="64"/>
      <c r="E286" s="46"/>
      <c r="F286" s="47"/>
    </row>
    <row r="287" spans="1:6">
      <c r="A287" s="43"/>
      <c r="B287" s="43"/>
      <c r="C287" s="112"/>
      <c r="D287" s="64"/>
      <c r="E287" s="46"/>
      <c r="F287" s="47"/>
    </row>
    <row r="288" spans="1:6">
      <c r="A288" s="43"/>
      <c r="B288" s="43"/>
      <c r="C288" s="112"/>
      <c r="D288" s="64"/>
      <c r="E288" s="46"/>
      <c r="F288" s="47"/>
    </row>
    <row r="289" spans="1:6">
      <c r="A289" s="43"/>
      <c r="B289" s="43"/>
      <c r="C289" s="112"/>
      <c r="D289" s="64"/>
      <c r="E289" s="46"/>
      <c r="F289" s="47"/>
    </row>
    <row r="290" spans="1:6">
      <c r="A290" s="43"/>
      <c r="B290" s="43"/>
      <c r="C290" s="112"/>
      <c r="D290" s="64"/>
      <c r="E290" s="46"/>
      <c r="F290" s="47"/>
    </row>
    <row r="291" spans="1:6">
      <c r="A291" s="43"/>
      <c r="B291" s="43"/>
      <c r="C291" s="112"/>
      <c r="D291" s="64"/>
      <c r="E291" s="46"/>
      <c r="F291" s="47"/>
    </row>
    <row r="292" spans="1:6">
      <c r="A292" s="43"/>
      <c r="B292" s="43"/>
      <c r="C292" s="112"/>
      <c r="D292" s="64"/>
      <c r="E292" s="46"/>
      <c r="F292" s="47"/>
    </row>
    <row r="293" spans="1:6">
      <c r="A293" s="43"/>
      <c r="B293" s="43"/>
      <c r="C293" s="112"/>
      <c r="D293" s="64"/>
      <c r="E293" s="46"/>
      <c r="F293" s="47"/>
    </row>
    <row r="294" spans="1:6">
      <c r="A294" s="43"/>
      <c r="B294" s="43"/>
      <c r="C294" s="112"/>
      <c r="D294" s="64"/>
      <c r="E294" s="46"/>
      <c r="F294" s="47"/>
    </row>
    <row r="295" spans="1:6">
      <c r="A295" s="43"/>
      <c r="B295" s="43"/>
      <c r="C295" s="112"/>
      <c r="D295" s="64"/>
      <c r="E295" s="46"/>
      <c r="F295" s="47"/>
    </row>
    <row r="296" spans="1:6">
      <c r="A296" s="43"/>
      <c r="B296" s="43"/>
      <c r="C296" s="112"/>
      <c r="D296" s="64"/>
      <c r="E296" s="46"/>
      <c r="F296" s="47"/>
    </row>
    <row r="297" spans="1:6">
      <c r="A297" s="43"/>
      <c r="B297" s="43"/>
      <c r="C297" s="112"/>
      <c r="D297" s="64"/>
      <c r="E297" s="46"/>
      <c r="F297" s="47"/>
    </row>
    <row r="298" spans="1:6">
      <c r="A298" s="43"/>
      <c r="B298" s="43"/>
      <c r="C298" s="112"/>
      <c r="D298" s="64"/>
      <c r="E298" s="46"/>
      <c r="F298" s="47"/>
    </row>
    <row r="299" spans="1:6">
      <c r="A299" s="43"/>
      <c r="B299" s="43"/>
      <c r="C299" s="112"/>
      <c r="D299" s="64"/>
      <c r="E299" s="46"/>
      <c r="F299" s="47"/>
    </row>
    <row r="300" spans="1:6">
      <c r="A300" s="43"/>
      <c r="B300" s="43"/>
      <c r="C300" s="112"/>
      <c r="D300" s="64"/>
      <c r="E300" s="46"/>
      <c r="F300" s="47"/>
    </row>
    <row r="301" spans="1:6">
      <c r="A301" s="43"/>
      <c r="B301" s="43"/>
      <c r="C301" s="112"/>
      <c r="D301" s="64"/>
      <c r="E301" s="46"/>
      <c r="F301" s="47"/>
    </row>
    <row r="302" spans="1:6">
      <c r="A302" s="43"/>
      <c r="B302" s="43"/>
      <c r="C302" s="112"/>
      <c r="D302" s="64"/>
      <c r="E302" s="46"/>
      <c r="F302" s="47"/>
    </row>
    <row r="303" spans="1:6">
      <c r="A303" s="43"/>
      <c r="B303" s="43"/>
      <c r="C303" s="112"/>
      <c r="D303" s="64"/>
      <c r="E303" s="46"/>
      <c r="F303" s="47"/>
    </row>
    <row r="304" spans="1:6">
      <c r="A304" s="43"/>
      <c r="B304" s="43"/>
      <c r="C304" s="112"/>
      <c r="D304" s="64"/>
      <c r="E304" s="46"/>
      <c r="F304" s="47"/>
    </row>
    <row r="305" spans="1:6">
      <c r="A305" s="43"/>
      <c r="B305" s="43"/>
      <c r="C305" s="112"/>
      <c r="D305" s="64"/>
      <c r="E305" s="46"/>
      <c r="F305" s="47"/>
    </row>
    <row r="306" spans="1:6">
      <c r="A306" s="43"/>
      <c r="B306" s="43"/>
      <c r="C306" s="112"/>
      <c r="D306" s="64"/>
      <c r="E306" s="46"/>
      <c r="F306" s="47"/>
    </row>
    <row r="307" spans="1:6">
      <c r="A307" s="43"/>
      <c r="B307" s="43"/>
      <c r="C307" s="112"/>
      <c r="D307" s="64"/>
      <c r="E307" s="46"/>
      <c r="F307" s="47"/>
    </row>
    <row r="308" spans="1:6">
      <c r="A308" s="43"/>
      <c r="B308" s="43"/>
      <c r="C308" s="112"/>
      <c r="D308" s="64"/>
      <c r="E308" s="46"/>
      <c r="F308" s="47"/>
    </row>
    <row r="309" spans="1:6">
      <c r="A309" s="43"/>
      <c r="B309" s="43"/>
      <c r="C309" s="112"/>
      <c r="D309" s="64"/>
      <c r="E309" s="46"/>
      <c r="F309" s="47"/>
    </row>
    <row r="310" spans="1:6">
      <c r="A310" s="43"/>
      <c r="B310" s="43"/>
      <c r="C310" s="112"/>
      <c r="D310" s="64"/>
      <c r="E310" s="46"/>
      <c r="F310" s="47"/>
    </row>
    <row r="311" spans="1:6">
      <c r="A311" s="43"/>
      <c r="B311" s="43"/>
      <c r="C311" s="112"/>
      <c r="D311" s="64"/>
      <c r="E311" s="46"/>
      <c r="F311" s="47"/>
    </row>
    <row r="312" spans="1:6">
      <c r="A312" s="43"/>
      <c r="B312" s="43"/>
      <c r="C312" s="112"/>
      <c r="D312" s="64"/>
      <c r="E312" s="46"/>
      <c r="F312" s="47"/>
    </row>
    <row r="313" spans="1:6">
      <c r="A313" s="43"/>
      <c r="B313" s="43"/>
      <c r="C313" s="112"/>
      <c r="D313" s="64"/>
      <c r="E313" s="46"/>
      <c r="F313" s="47"/>
    </row>
    <row r="314" spans="1:6">
      <c r="A314" s="43"/>
      <c r="B314" s="43"/>
      <c r="C314" s="112"/>
      <c r="D314" s="64"/>
      <c r="E314" s="46"/>
      <c r="F314" s="47"/>
    </row>
    <row r="315" spans="1:6">
      <c r="A315" s="43"/>
      <c r="B315" s="43"/>
      <c r="C315" s="112"/>
      <c r="D315" s="64"/>
      <c r="E315" s="46"/>
      <c r="F315" s="47"/>
    </row>
    <row r="316" spans="1:6">
      <c r="A316" s="43"/>
      <c r="B316" s="43"/>
      <c r="C316" s="112"/>
      <c r="D316" s="64"/>
      <c r="E316" s="46"/>
      <c r="F316" s="47"/>
    </row>
    <row r="317" spans="1:6">
      <c r="A317" s="43"/>
      <c r="B317" s="43"/>
      <c r="C317" s="112"/>
      <c r="D317" s="64"/>
      <c r="E317" s="46"/>
      <c r="F317" s="47"/>
    </row>
    <row r="318" spans="1:6">
      <c r="A318" s="43"/>
      <c r="B318" s="43"/>
      <c r="C318" s="112"/>
      <c r="D318" s="64"/>
      <c r="E318" s="46"/>
      <c r="F318" s="47"/>
    </row>
    <row r="319" spans="1:6">
      <c r="A319" s="43"/>
      <c r="B319" s="43"/>
      <c r="C319" s="112"/>
      <c r="D319" s="64"/>
      <c r="E319" s="46"/>
      <c r="F319" s="47"/>
    </row>
    <row r="320" spans="1:6">
      <c r="A320" s="43"/>
      <c r="B320" s="43"/>
      <c r="C320" s="112"/>
      <c r="D320" s="64"/>
      <c r="E320" s="46"/>
      <c r="F320" s="47"/>
    </row>
    <row r="321" spans="1:6">
      <c r="A321" s="43"/>
      <c r="B321" s="43"/>
      <c r="C321" s="112"/>
      <c r="D321" s="64"/>
      <c r="E321" s="46"/>
      <c r="F321" s="47"/>
    </row>
    <row r="322" spans="1:6">
      <c r="A322" s="43"/>
      <c r="B322" s="43"/>
      <c r="C322" s="112"/>
      <c r="D322" s="64"/>
      <c r="E322" s="46"/>
      <c r="F322" s="47"/>
    </row>
    <row r="323" spans="1:6">
      <c r="A323" s="43"/>
      <c r="B323" s="43"/>
      <c r="C323" s="112"/>
      <c r="D323" s="64"/>
      <c r="E323" s="46"/>
      <c r="F323" s="47"/>
    </row>
    <row r="324" spans="1:6">
      <c r="A324" s="43"/>
      <c r="B324" s="43"/>
      <c r="C324" s="112"/>
      <c r="D324" s="64"/>
      <c r="E324" s="46"/>
      <c r="F324" s="47"/>
    </row>
    <row r="325" spans="1:6">
      <c r="A325" s="43"/>
      <c r="B325" s="43"/>
      <c r="C325" s="112"/>
      <c r="D325" s="64"/>
      <c r="E325" s="46"/>
      <c r="F325" s="47"/>
    </row>
    <row r="326" spans="1:6">
      <c r="A326" s="43"/>
      <c r="B326" s="43"/>
      <c r="C326" s="112"/>
      <c r="D326" s="64"/>
      <c r="E326" s="46"/>
      <c r="F326" s="47"/>
    </row>
    <row r="327" spans="1:6">
      <c r="A327" s="43"/>
      <c r="B327" s="43"/>
      <c r="C327" s="112"/>
      <c r="D327" s="64"/>
      <c r="E327" s="46"/>
      <c r="F327" s="47"/>
    </row>
    <row r="328" spans="1:6">
      <c r="A328" s="43"/>
      <c r="B328" s="43"/>
      <c r="C328" s="112"/>
      <c r="D328" s="64"/>
      <c r="E328" s="46"/>
      <c r="F328" s="47"/>
    </row>
    <row r="329" spans="1:6">
      <c r="A329" s="43"/>
      <c r="B329" s="43"/>
      <c r="C329" s="112"/>
      <c r="D329" s="64"/>
      <c r="E329" s="46"/>
      <c r="F329" s="47"/>
    </row>
    <row r="330" spans="1:6">
      <c r="A330" s="43"/>
      <c r="B330" s="43"/>
      <c r="C330" s="112"/>
      <c r="D330" s="64"/>
      <c r="E330" s="46"/>
      <c r="F330" s="47"/>
    </row>
    <row r="331" spans="1:6">
      <c r="A331" s="43"/>
      <c r="B331" s="43"/>
      <c r="C331" s="112"/>
      <c r="D331" s="64"/>
      <c r="E331" s="46"/>
      <c r="F331" s="47"/>
    </row>
    <row r="332" spans="1:6">
      <c r="A332" s="43"/>
      <c r="B332" s="43"/>
      <c r="C332" s="112"/>
      <c r="D332" s="64"/>
      <c r="E332" s="46"/>
      <c r="F332" s="47"/>
    </row>
    <row r="333" spans="1:6">
      <c r="A333" s="43"/>
      <c r="B333" s="43"/>
      <c r="C333" s="112"/>
      <c r="D333" s="64"/>
      <c r="E333" s="46"/>
      <c r="F333" s="47"/>
    </row>
    <row r="334" spans="1:6">
      <c r="A334" s="43"/>
      <c r="B334" s="43"/>
      <c r="C334" s="112"/>
      <c r="D334" s="64"/>
      <c r="E334" s="46"/>
      <c r="F334" s="47"/>
    </row>
    <row r="335" spans="1:6">
      <c r="A335" s="43"/>
      <c r="B335" s="43"/>
      <c r="C335" s="112"/>
      <c r="D335" s="64"/>
      <c r="E335" s="46"/>
      <c r="F335" s="47"/>
    </row>
    <row r="336" spans="1:6">
      <c r="A336" s="43"/>
      <c r="B336" s="43"/>
      <c r="C336" s="112"/>
      <c r="D336" s="64"/>
      <c r="E336" s="46"/>
      <c r="F336" s="47"/>
    </row>
    <row r="337" spans="1:6">
      <c r="A337" s="43"/>
      <c r="B337" s="43"/>
      <c r="C337" s="112"/>
      <c r="D337" s="64"/>
      <c r="E337" s="46"/>
      <c r="F337" s="47"/>
    </row>
    <row r="338" spans="1:6">
      <c r="A338" s="43"/>
      <c r="B338" s="43"/>
      <c r="C338" s="112"/>
      <c r="D338" s="64"/>
      <c r="E338" s="46"/>
      <c r="F338" s="47"/>
    </row>
    <row r="339" spans="1:6">
      <c r="A339" s="43"/>
      <c r="B339" s="43"/>
      <c r="C339" s="112"/>
      <c r="D339" s="64"/>
      <c r="E339" s="46"/>
      <c r="F339" s="47"/>
    </row>
    <row r="340" spans="1:6">
      <c r="A340" s="43"/>
      <c r="B340" s="43"/>
      <c r="C340" s="112"/>
      <c r="D340" s="64"/>
      <c r="E340" s="46"/>
      <c r="F340" s="47"/>
    </row>
    <row r="341" spans="1:6">
      <c r="A341" s="43"/>
      <c r="B341" s="43"/>
      <c r="C341" s="112"/>
      <c r="D341" s="64"/>
      <c r="E341" s="46"/>
      <c r="F341" s="47"/>
    </row>
    <row r="342" spans="1:6">
      <c r="A342" s="43"/>
      <c r="B342" s="43"/>
      <c r="C342" s="112"/>
      <c r="D342" s="64"/>
      <c r="E342" s="46"/>
      <c r="F342" s="47"/>
    </row>
    <row r="343" spans="1:6">
      <c r="A343" s="43"/>
      <c r="B343" s="43"/>
      <c r="C343" s="112"/>
      <c r="D343" s="64"/>
      <c r="E343" s="46"/>
      <c r="F343" s="47"/>
    </row>
    <row r="344" spans="1:6">
      <c r="A344" s="43"/>
      <c r="B344" s="43"/>
      <c r="C344" s="112"/>
      <c r="D344" s="64"/>
      <c r="E344" s="46"/>
      <c r="F344" s="47"/>
    </row>
    <row r="345" spans="1:6">
      <c r="A345" s="43"/>
      <c r="B345" s="43"/>
      <c r="C345" s="112"/>
      <c r="D345" s="64"/>
      <c r="E345" s="46"/>
      <c r="F345" s="47"/>
    </row>
    <row r="346" spans="1:6">
      <c r="A346" s="43"/>
      <c r="B346" s="43"/>
      <c r="C346" s="112"/>
      <c r="D346" s="64"/>
      <c r="E346" s="46"/>
      <c r="F346" s="47"/>
    </row>
    <row r="347" spans="1:6">
      <c r="A347" s="43"/>
      <c r="B347" s="43"/>
      <c r="C347" s="112"/>
      <c r="D347" s="64"/>
      <c r="E347" s="46"/>
      <c r="F347" s="47"/>
    </row>
    <row r="348" spans="1:6">
      <c r="A348" s="43"/>
      <c r="B348" s="43"/>
      <c r="C348" s="112"/>
      <c r="D348" s="64"/>
      <c r="E348" s="46"/>
      <c r="F348" s="47"/>
    </row>
    <row r="349" spans="1:6">
      <c r="A349" s="43"/>
      <c r="B349" s="43"/>
      <c r="C349" s="112"/>
      <c r="D349" s="64"/>
      <c r="E349" s="46"/>
      <c r="F349" s="47"/>
    </row>
    <row r="350" spans="1:6">
      <c r="A350" s="43"/>
      <c r="B350" s="43"/>
      <c r="C350" s="112"/>
      <c r="D350" s="64"/>
      <c r="E350" s="46"/>
      <c r="F350" s="47"/>
    </row>
    <row r="351" spans="1:6">
      <c r="A351" s="43"/>
      <c r="B351" s="43"/>
      <c r="C351" s="112"/>
      <c r="D351" s="64"/>
      <c r="E351" s="46"/>
      <c r="F351" s="47"/>
    </row>
    <row r="352" spans="1:6">
      <c r="A352" s="43"/>
      <c r="B352" s="43"/>
      <c r="C352" s="112"/>
      <c r="D352" s="64"/>
      <c r="E352" s="46"/>
      <c r="F352" s="47"/>
    </row>
    <row r="353" spans="1:6">
      <c r="A353" s="43"/>
      <c r="B353" s="43"/>
      <c r="C353" s="112"/>
      <c r="D353" s="64"/>
      <c r="E353" s="46"/>
      <c r="F353" s="47"/>
    </row>
    <row r="354" spans="1:6">
      <c r="A354" s="43"/>
      <c r="B354" s="43"/>
      <c r="C354" s="112"/>
      <c r="D354" s="64"/>
      <c r="E354" s="46"/>
      <c r="F354" s="47"/>
    </row>
    <row r="355" spans="1:6">
      <c r="A355" s="43"/>
      <c r="B355" s="43"/>
      <c r="C355" s="112"/>
      <c r="D355" s="64"/>
      <c r="E355" s="46"/>
      <c r="F355" s="47"/>
    </row>
    <row r="356" spans="1:6">
      <c r="A356" s="43"/>
      <c r="B356" s="43"/>
      <c r="C356" s="112"/>
      <c r="D356" s="64"/>
      <c r="E356" s="46"/>
      <c r="F356" s="47"/>
    </row>
    <row r="357" spans="1:6">
      <c r="A357" s="43"/>
      <c r="B357" s="43"/>
      <c r="C357" s="112"/>
      <c r="D357" s="64"/>
      <c r="E357" s="46"/>
      <c r="F357" s="47"/>
    </row>
    <row r="358" spans="1:6">
      <c r="A358" s="43"/>
      <c r="B358" s="43"/>
      <c r="C358" s="112"/>
      <c r="D358" s="64"/>
      <c r="E358" s="46"/>
      <c r="F358" s="47"/>
    </row>
    <row r="359" spans="1:6">
      <c r="A359" s="43"/>
      <c r="B359" s="43"/>
      <c r="C359" s="112"/>
      <c r="D359" s="64"/>
      <c r="E359" s="46"/>
      <c r="F359" s="47"/>
    </row>
    <row r="360" spans="1:6">
      <c r="A360" s="43"/>
      <c r="B360" s="43"/>
      <c r="C360" s="112"/>
      <c r="D360" s="64"/>
      <c r="E360" s="46"/>
      <c r="F360" s="47"/>
    </row>
    <row r="361" spans="1:6">
      <c r="A361" s="43"/>
      <c r="B361" s="43"/>
      <c r="C361" s="112"/>
      <c r="D361" s="64"/>
      <c r="E361" s="46"/>
      <c r="F361" s="47"/>
    </row>
    <row r="362" spans="1:6">
      <c r="A362" s="43"/>
      <c r="B362" s="43"/>
      <c r="C362" s="112"/>
      <c r="D362" s="64"/>
      <c r="E362" s="46"/>
      <c r="F362" s="47"/>
    </row>
    <row r="363" spans="1:6">
      <c r="A363" s="43"/>
      <c r="B363" s="43"/>
      <c r="C363" s="112"/>
      <c r="D363" s="64"/>
      <c r="E363" s="46"/>
      <c r="F363" s="47"/>
    </row>
    <row r="364" spans="1:6">
      <c r="A364" s="43"/>
      <c r="B364" s="43"/>
      <c r="C364" s="112"/>
      <c r="D364" s="64"/>
      <c r="E364" s="46"/>
      <c r="F364" s="47"/>
    </row>
    <row r="365" spans="1:6">
      <c r="A365" s="43"/>
      <c r="B365" s="43"/>
      <c r="C365" s="112"/>
      <c r="D365" s="64"/>
      <c r="E365" s="46"/>
      <c r="F365" s="47"/>
    </row>
    <row r="366" spans="1:6">
      <c r="A366" s="43"/>
      <c r="B366" s="43"/>
      <c r="C366" s="112"/>
      <c r="D366" s="64"/>
      <c r="E366" s="46"/>
      <c r="F366" s="47"/>
    </row>
    <row r="367" spans="1:6">
      <c r="A367" s="43"/>
      <c r="B367" s="43"/>
      <c r="C367" s="112"/>
      <c r="D367" s="64"/>
      <c r="E367" s="46"/>
      <c r="F367" s="47"/>
    </row>
    <row r="368" spans="1:6">
      <c r="A368" s="43"/>
      <c r="B368" s="43"/>
      <c r="C368" s="112"/>
      <c r="D368" s="64"/>
      <c r="E368" s="46"/>
      <c r="F368" s="47"/>
    </row>
    <row r="369" spans="1:6">
      <c r="A369" s="43"/>
      <c r="B369" s="43"/>
      <c r="C369" s="112"/>
      <c r="D369" s="64"/>
      <c r="E369" s="46"/>
      <c r="F369" s="47"/>
    </row>
    <row r="370" spans="1:6">
      <c r="A370" s="43"/>
      <c r="B370" s="43"/>
      <c r="C370" s="112"/>
      <c r="D370" s="64"/>
      <c r="E370" s="46"/>
      <c r="F370" s="47"/>
    </row>
    <row r="371" spans="1:6">
      <c r="A371" s="43"/>
      <c r="B371" s="43"/>
      <c r="C371" s="112"/>
      <c r="D371" s="64"/>
      <c r="E371" s="46"/>
      <c r="F371" s="47"/>
    </row>
    <row r="372" spans="1:6">
      <c r="A372" s="43"/>
      <c r="B372" s="43"/>
      <c r="C372" s="112"/>
      <c r="D372" s="64"/>
      <c r="E372" s="46"/>
      <c r="F372" s="47"/>
    </row>
    <row r="373" spans="1:6">
      <c r="A373" s="43"/>
      <c r="B373" s="43"/>
      <c r="C373" s="112"/>
      <c r="D373" s="64"/>
      <c r="E373" s="46"/>
      <c r="F373" s="47"/>
    </row>
    <row r="374" spans="1:6">
      <c r="A374" s="43"/>
      <c r="B374" s="43"/>
      <c r="C374" s="112"/>
      <c r="D374" s="64"/>
      <c r="E374" s="46"/>
      <c r="F374" s="47"/>
    </row>
    <row r="375" spans="1:6">
      <c r="A375" s="43"/>
      <c r="B375" s="43"/>
      <c r="C375" s="112"/>
      <c r="D375" s="64"/>
      <c r="E375" s="46"/>
      <c r="F375" s="47"/>
    </row>
    <row r="376" spans="1:6">
      <c r="A376" s="43"/>
      <c r="B376" s="43"/>
      <c r="C376" s="112"/>
      <c r="D376" s="64"/>
      <c r="E376" s="46"/>
      <c r="F376" s="47"/>
    </row>
    <row r="377" spans="1:6">
      <c r="A377" s="43"/>
      <c r="B377" s="43"/>
      <c r="C377" s="112"/>
      <c r="D377" s="64"/>
      <c r="E377" s="46"/>
      <c r="F377" s="47"/>
    </row>
    <row r="378" spans="1:6">
      <c r="A378" s="43"/>
      <c r="B378" s="43"/>
      <c r="C378" s="112"/>
      <c r="D378" s="64"/>
      <c r="E378" s="46"/>
      <c r="F378" s="47"/>
    </row>
    <row r="379" spans="1:6">
      <c r="A379" s="43"/>
      <c r="B379" s="43"/>
      <c r="C379" s="112"/>
      <c r="D379" s="64"/>
      <c r="E379" s="46"/>
      <c r="F379" s="47"/>
    </row>
    <row r="380" spans="1:6">
      <c r="A380" s="43"/>
      <c r="B380" s="43"/>
      <c r="C380" s="112"/>
      <c r="D380" s="64"/>
      <c r="E380" s="46"/>
      <c r="F380" s="47"/>
    </row>
    <row r="381" spans="1:6">
      <c r="A381" s="43"/>
      <c r="B381" s="43"/>
      <c r="C381" s="112"/>
      <c r="D381" s="64"/>
      <c r="E381" s="46"/>
      <c r="F381" s="47"/>
    </row>
    <row r="382" spans="1:6">
      <c r="A382" s="43"/>
      <c r="B382" s="43"/>
      <c r="C382" s="112"/>
      <c r="D382" s="64"/>
      <c r="E382" s="46"/>
      <c r="F382" s="47"/>
    </row>
    <row r="383" spans="1:6">
      <c r="A383" s="43"/>
      <c r="B383" s="43"/>
      <c r="C383" s="112"/>
      <c r="D383" s="64"/>
      <c r="E383" s="46"/>
      <c r="F383" s="47"/>
    </row>
    <row r="384" spans="1:6">
      <c r="A384" s="43"/>
      <c r="B384" s="43"/>
      <c r="C384" s="112"/>
      <c r="D384" s="64"/>
      <c r="E384" s="46"/>
      <c r="F384" s="47"/>
    </row>
    <row r="385" spans="1:6">
      <c r="A385" s="43"/>
      <c r="B385" s="43"/>
      <c r="C385" s="112"/>
      <c r="D385" s="64"/>
      <c r="E385" s="46"/>
      <c r="F385" s="47"/>
    </row>
    <row r="386" spans="1:6">
      <c r="A386" s="43"/>
      <c r="B386" s="43"/>
      <c r="C386" s="112"/>
      <c r="D386" s="64"/>
      <c r="E386" s="46"/>
      <c r="F386" s="47"/>
    </row>
    <row r="387" spans="1:6">
      <c r="A387" s="43"/>
      <c r="B387" s="43"/>
      <c r="C387" s="112"/>
      <c r="D387" s="64"/>
      <c r="E387" s="46"/>
      <c r="F387" s="47"/>
    </row>
    <row r="388" spans="1:6">
      <c r="A388" s="43"/>
      <c r="B388" s="43"/>
      <c r="C388" s="112"/>
      <c r="D388" s="64"/>
      <c r="E388" s="46"/>
      <c r="F388" s="47"/>
    </row>
    <row r="389" spans="1:6">
      <c r="A389" s="43"/>
      <c r="B389" s="43"/>
      <c r="C389" s="112"/>
      <c r="D389" s="64"/>
      <c r="E389" s="46"/>
      <c r="F389" s="47"/>
    </row>
    <row r="390" spans="1:6">
      <c r="A390" s="43"/>
      <c r="B390" s="43"/>
      <c r="C390" s="112"/>
      <c r="D390" s="64"/>
      <c r="E390" s="46"/>
      <c r="F390" s="47"/>
    </row>
    <row r="391" spans="1:6">
      <c r="A391" s="43"/>
      <c r="B391" s="43"/>
      <c r="C391" s="112"/>
      <c r="D391" s="64"/>
      <c r="E391" s="46"/>
      <c r="F391" s="47"/>
    </row>
    <row r="392" spans="1:6">
      <c r="A392" s="43"/>
      <c r="B392" s="43"/>
      <c r="C392" s="112"/>
      <c r="D392" s="64"/>
      <c r="E392" s="46"/>
      <c r="F392" s="47"/>
    </row>
    <row r="393" spans="1:6">
      <c r="A393" s="43"/>
      <c r="B393" s="43"/>
      <c r="C393" s="112"/>
      <c r="D393" s="64"/>
      <c r="E393" s="46"/>
      <c r="F393" s="47"/>
    </row>
    <row r="394" spans="1:6">
      <c r="A394" s="43"/>
      <c r="B394" s="43"/>
      <c r="C394" s="112"/>
      <c r="D394" s="64"/>
      <c r="E394" s="46"/>
      <c r="F394" s="47"/>
    </row>
    <row r="395" spans="1:6">
      <c r="A395" s="43"/>
      <c r="B395" s="43"/>
      <c r="C395" s="112"/>
      <c r="D395" s="64"/>
      <c r="E395" s="46"/>
      <c r="F395" s="47"/>
    </row>
    <row r="396" spans="1:6">
      <c r="A396" s="43"/>
      <c r="B396" s="43"/>
      <c r="C396" s="112"/>
      <c r="D396" s="64"/>
      <c r="E396" s="46"/>
      <c r="F396" s="47"/>
    </row>
    <row r="397" spans="1:6">
      <c r="A397" s="43"/>
      <c r="B397" s="43"/>
      <c r="C397" s="112"/>
      <c r="D397" s="64"/>
      <c r="E397" s="46"/>
      <c r="F397" s="47"/>
    </row>
    <row r="398" spans="1:6">
      <c r="A398" s="43"/>
      <c r="B398" s="43"/>
      <c r="C398" s="112"/>
      <c r="D398" s="64"/>
      <c r="E398" s="46"/>
      <c r="F398" s="47"/>
    </row>
    <row r="399" spans="1:6">
      <c r="A399" s="43"/>
      <c r="B399" s="43"/>
      <c r="C399" s="112"/>
      <c r="D399" s="64"/>
      <c r="E399" s="46"/>
      <c r="F399" s="47"/>
    </row>
    <row r="400" spans="1:6">
      <c r="A400" s="43"/>
      <c r="B400" s="43"/>
      <c r="C400" s="112"/>
      <c r="D400" s="64"/>
      <c r="E400" s="46"/>
      <c r="F400" s="47"/>
    </row>
    <row r="401" spans="1:6">
      <c r="A401" s="43"/>
      <c r="B401" s="43"/>
      <c r="C401" s="112"/>
      <c r="D401" s="64"/>
      <c r="E401" s="46"/>
      <c r="F401" s="47"/>
    </row>
    <row r="402" spans="1:6">
      <c r="A402" s="43"/>
      <c r="B402" s="43"/>
      <c r="C402" s="112"/>
      <c r="D402" s="64"/>
      <c r="E402" s="46"/>
      <c r="F402" s="47"/>
    </row>
    <row r="403" spans="1:6">
      <c r="A403" s="43"/>
      <c r="B403" s="43"/>
      <c r="C403" s="112"/>
      <c r="D403" s="64"/>
      <c r="E403" s="46"/>
      <c r="F403" s="47"/>
    </row>
    <row r="404" spans="1:6">
      <c r="A404" s="43"/>
      <c r="B404" s="43"/>
      <c r="C404" s="112"/>
      <c r="D404" s="64"/>
      <c r="E404" s="46"/>
      <c r="F404" s="47"/>
    </row>
    <row r="405" spans="1:6">
      <c r="A405" s="43"/>
      <c r="B405" s="43"/>
      <c r="C405" s="112"/>
      <c r="D405" s="64"/>
      <c r="E405" s="46"/>
      <c r="F405" s="47"/>
    </row>
    <row r="406" spans="1:6">
      <c r="A406" s="43"/>
      <c r="B406" s="43"/>
      <c r="C406" s="112"/>
      <c r="D406" s="64"/>
      <c r="E406" s="46"/>
      <c r="F406" s="47"/>
    </row>
    <row r="407" spans="1:6">
      <c r="A407" s="43"/>
      <c r="B407" s="43"/>
      <c r="C407" s="112"/>
      <c r="D407" s="64"/>
      <c r="E407" s="46"/>
      <c r="F407" s="47"/>
    </row>
    <row r="408" spans="1:6">
      <c r="A408" s="43"/>
      <c r="B408" s="43"/>
      <c r="C408" s="112"/>
      <c r="D408" s="64"/>
      <c r="E408" s="46"/>
      <c r="F408" s="47"/>
    </row>
    <row r="409" spans="1:6">
      <c r="A409" s="43"/>
      <c r="B409" s="43"/>
      <c r="C409" s="112"/>
      <c r="D409" s="64"/>
      <c r="E409" s="46"/>
      <c r="F409" s="47"/>
    </row>
    <row r="410" spans="1:6">
      <c r="A410" s="43"/>
      <c r="B410" s="43"/>
      <c r="C410" s="112"/>
      <c r="D410" s="64"/>
      <c r="E410" s="46"/>
      <c r="F410" s="47"/>
    </row>
    <row r="411" spans="1:6">
      <c r="A411" s="43"/>
      <c r="B411" s="43"/>
      <c r="C411" s="112"/>
      <c r="D411" s="64"/>
      <c r="E411" s="46"/>
      <c r="F411" s="47"/>
    </row>
    <row r="412" spans="1:6">
      <c r="A412" s="43"/>
      <c r="B412" s="43"/>
      <c r="C412" s="112"/>
      <c r="D412" s="64"/>
      <c r="E412" s="46"/>
      <c r="F412" s="47"/>
    </row>
    <row r="413" spans="1:6">
      <c r="A413" s="43"/>
      <c r="B413" s="43"/>
      <c r="C413" s="112"/>
      <c r="D413" s="64"/>
      <c r="E413" s="46"/>
      <c r="F413" s="47"/>
    </row>
    <row r="414" spans="1:6">
      <c r="A414" s="43"/>
      <c r="B414" s="43"/>
      <c r="C414" s="112"/>
      <c r="D414" s="64"/>
      <c r="E414" s="46"/>
      <c r="F414" s="47"/>
    </row>
    <row r="415" spans="1:6">
      <c r="A415" s="43"/>
      <c r="B415" s="43"/>
      <c r="C415" s="112"/>
      <c r="D415" s="64"/>
      <c r="E415" s="46"/>
      <c r="F415" s="47"/>
    </row>
    <row r="416" spans="1:6">
      <c r="A416" s="43"/>
      <c r="B416" s="43"/>
      <c r="C416" s="112"/>
      <c r="D416" s="64"/>
      <c r="E416" s="46"/>
      <c r="F416" s="47"/>
    </row>
    <row r="417" spans="1:6">
      <c r="A417" s="43"/>
      <c r="B417" s="43"/>
      <c r="C417" s="112"/>
      <c r="D417" s="64"/>
      <c r="E417" s="46"/>
      <c r="F417" s="47"/>
    </row>
    <row r="418" spans="1:6">
      <c r="A418" s="43"/>
      <c r="B418" s="43"/>
      <c r="C418" s="112"/>
      <c r="D418" s="64"/>
      <c r="E418" s="46"/>
      <c r="F418" s="47"/>
    </row>
    <row r="419" spans="1:6">
      <c r="A419" s="43"/>
      <c r="B419" s="43"/>
      <c r="C419" s="112"/>
      <c r="D419" s="64"/>
      <c r="E419" s="46"/>
      <c r="F419" s="47"/>
    </row>
    <row r="420" spans="1:6">
      <c r="A420" s="43"/>
      <c r="B420" s="43"/>
      <c r="C420" s="112"/>
      <c r="D420" s="64"/>
      <c r="E420" s="46"/>
      <c r="F420" s="47"/>
    </row>
    <row r="421" spans="1:6">
      <c r="A421" s="43"/>
      <c r="B421" s="43"/>
      <c r="C421" s="112"/>
      <c r="D421" s="64"/>
      <c r="E421" s="46"/>
      <c r="F421" s="47"/>
    </row>
    <row r="422" spans="1:6">
      <c r="A422" s="43"/>
      <c r="B422" s="43"/>
      <c r="C422" s="112"/>
      <c r="D422" s="64"/>
      <c r="E422" s="46"/>
      <c r="F422" s="47"/>
    </row>
    <row r="423" spans="1:6">
      <c r="A423" s="43"/>
      <c r="B423" s="43"/>
      <c r="C423" s="112"/>
      <c r="D423" s="64"/>
      <c r="E423" s="46"/>
      <c r="F423" s="47"/>
    </row>
    <row r="424" spans="1:6">
      <c r="A424" s="43"/>
      <c r="B424" s="43"/>
      <c r="C424" s="112"/>
      <c r="D424" s="64"/>
      <c r="E424" s="46"/>
      <c r="F424" s="47"/>
    </row>
    <row r="425" spans="1:6">
      <c r="A425" s="43"/>
      <c r="B425" s="43"/>
      <c r="C425" s="112"/>
      <c r="D425" s="64"/>
      <c r="E425" s="46"/>
      <c r="F425" s="47"/>
    </row>
    <row r="426" spans="1:6">
      <c r="A426" s="43"/>
      <c r="B426" s="43"/>
      <c r="C426" s="112"/>
      <c r="D426" s="64"/>
      <c r="E426" s="46"/>
      <c r="F426" s="47"/>
    </row>
    <row r="427" spans="1:6">
      <c r="A427" s="43"/>
      <c r="B427" s="43"/>
      <c r="C427" s="112"/>
      <c r="D427" s="64"/>
      <c r="E427" s="46"/>
      <c r="F427" s="47"/>
    </row>
    <row r="428" spans="1:6">
      <c r="A428" s="43"/>
      <c r="B428" s="43"/>
      <c r="C428" s="112"/>
      <c r="D428" s="64"/>
      <c r="E428" s="46"/>
      <c r="F428" s="47"/>
    </row>
    <row r="429" spans="1:6">
      <c r="A429" s="43"/>
      <c r="B429" s="43"/>
      <c r="C429" s="112"/>
      <c r="D429" s="64"/>
      <c r="E429" s="46"/>
      <c r="F429" s="47"/>
    </row>
    <row r="430" spans="1:6">
      <c r="A430" s="43"/>
      <c r="B430" s="43"/>
      <c r="C430" s="112"/>
      <c r="D430" s="64"/>
      <c r="E430" s="46"/>
      <c r="F430" s="47"/>
    </row>
    <row r="431" spans="1:6">
      <c r="A431" s="43"/>
      <c r="B431" s="43"/>
      <c r="C431" s="112"/>
      <c r="D431" s="64"/>
      <c r="E431" s="46"/>
      <c r="F431" s="47"/>
    </row>
    <row r="432" spans="1:6">
      <c r="A432" s="43"/>
      <c r="B432" s="43"/>
      <c r="C432" s="112"/>
      <c r="D432" s="64"/>
      <c r="E432" s="46"/>
      <c r="F432" s="47"/>
    </row>
    <row r="433" spans="1:6">
      <c r="A433" s="43"/>
      <c r="B433" s="43"/>
      <c r="C433" s="112"/>
      <c r="D433" s="64"/>
      <c r="E433" s="46"/>
      <c r="F433" s="47"/>
    </row>
    <row r="434" spans="1:6">
      <c r="A434" s="43"/>
      <c r="B434" s="43"/>
      <c r="C434" s="112"/>
      <c r="D434" s="64"/>
      <c r="E434" s="46"/>
      <c r="F434" s="47"/>
    </row>
    <row r="435" spans="1:6">
      <c r="A435" s="43"/>
      <c r="B435" s="43"/>
      <c r="C435" s="112"/>
      <c r="D435" s="64"/>
      <c r="E435" s="46"/>
      <c r="F435" s="47"/>
    </row>
    <row r="436" spans="1:6">
      <c r="A436" s="43"/>
      <c r="B436" s="43"/>
      <c r="C436" s="112"/>
      <c r="D436" s="64"/>
      <c r="E436" s="46"/>
      <c r="F436" s="47"/>
    </row>
    <row r="437" spans="1:6">
      <c r="A437" s="43"/>
      <c r="B437" s="43"/>
      <c r="C437" s="112"/>
      <c r="D437" s="64"/>
      <c r="E437" s="46"/>
      <c r="F437" s="47"/>
    </row>
    <row r="438" spans="1:6">
      <c r="A438" s="43"/>
      <c r="B438" s="43"/>
      <c r="C438" s="112"/>
      <c r="D438" s="64"/>
      <c r="E438" s="46"/>
      <c r="F438" s="47"/>
    </row>
    <row r="439" spans="1:6">
      <c r="A439" s="43"/>
      <c r="B439" s="43"/>
      <c r="C439" s="112"/>
      <c r="D439" s="64"/>
      <c r="E439" s="46"/>
      <c r="F439" s="47"/>
    </row>
    <row r="440" spans="1:6">
      <c r="A440" s="43"/>
      <c r="B440" s="43"/>
      <c r="C440" s="112"/>
      <c r="D440" s="64"/>
      <c r="E440" s="46"/>
      <c r="F440" s="47"/>
    </row>
    <row r="441" spans="1:6">
      <c r="A441" s="43"/>
      <c r="B441" s="43"/>
      <c r="C441" s="112"/>
      <c r="D441" s="64"/>
      <c r="E441" s="46"/>
      <c r="F441" s="47"/>
    </row>
    <row r="442" spans="1:6">
      <c r="A442" s="43"/>
      <c r="B442" s="43"/>
      <c r="C442" s="112"/>
      <c r="D442" s="64"/>
      <c r="E442" s="46"/>
      <c r="F442" s="47"/>
    </row>
    <row r="443" spans="1:6">
      <c r="A443" s="43"/>
      <c r="B443" s="43"/>
      <c r="C443" s="112"/>
      <c r="D443" s="64"/>
      <c r="E443" s="46"/>
      <c r="F443" s="47"/>
    </row>
    <row r="444" spans="1:6">
      <c r="A444" s="43"/>
      <c r="B444" s="43"/>
      <c r="C444" s="112"/>
      <c r="D444" s="64"/>
      <c r="E444" s="46"/>
      <c r="F444" s="47"/>
    </row>
    <row r="445" spans="1:6">
      <c r="A445" s="43"/>
      <c r="B445" s="43"/>
      <c r="C445" s="112"/>
      <c r="D445" s="64"/>
      <c r="E445" s="46"/>
      <c r="F445" s="47"/>
    </row>
    <row r="446" spans="1:6">
      <c r="A446" s="43"/>
      <c r="B446" s="43"/>
      <c r="C446" s="112"/>
      <c r="D446" s="64"/>
      <c r="E446" s="46"/>
      <c r="F446" s="47"/>
    </row>
    <row r="447" spans="1:6">
      <c r="A447" s="43"/>
      <c r="B447" s="43"/>
      <c r="C447" s="112"/>
      <c r="D447" s="64"/>
      <c r="E447" s="46"/>
      <c r="F447" s="47"/>
    </row>
    <row r="448" spans="1:6">
      <c r="A448" s="43"/>
      <c r="B448" s="43"/>
      <c r="C448" s="112"/>
      <c r="D448" s="64"/>
      <c r="E448" s="46"/>
      <c r="F448" s="47"/>
    </row>
    <row r="449" spans="1:6">
      <c r="A449" s="43"/>
      <c r="B449" s="43"/>
      <c r="C449" s="112"/>
      <c r="D449" s="64"/>
      <c r="E449" s="46"/>
      <c r="F449" s="47"/>
    </row>
    <row r="450" spans="1:6">
      <c r="A450" s="43"/>
      <c r="B450" s="43"/>
      <c r="C450" s="112"/>
      <c r="D450" s="64"/>
      <c r="E450" s="46"/>
      <c r="F450" s="47"/>
    </row>
    <row r="451" spans="1:6">
      <c r="A451" s="43"/>
      <c r="B451" s="43"/>
      <c r="C451" s="112"/>
      <c r="D451" s="64"/>
      <c r="E451" s="46"/>
      <c r="F451" s="47"/>
    </row>
    <row r="452" spans="1:6">
      <c r="A452" s="43"/>
      <c r="B452" s="43"/>
      <c r="C452" s="112"/>
      <c r="D452" s="64"/>
      <c r="E452" s="46"/>
      <c r="F452" s="47"/>
    </row>
    <row r="453" spans="1:6">
      <c r="A453" s="43"/>
      <c r="B453" s="43"/>
      <c r="C453" s="112"/>
      <c r="D453" s="64"/>
      <c r="E453" s="46"/>
      <c r="F453" s="47"/>
    </row>
    <row r="454" spans="1:6">
      <c r="A454" s="43"/>
      <c r="B454" s="43"/>
      <c r="C454" s="112"/>
      <c r="D454" s="64"/>
      <c r="E454" s="46"/>
      <c r="F454" s="47"/>
    </row>
    <row r="455" spans="1:6">
      <c r="A455" s="43"/>
      <c r="B455" s="43"/>
      <c r="C455" s="112"/>
      <c r="D455" s="64"/>
      <c r="E455" s="46"/>
      <c r="F455" s="47"/>
    </row>
    <row r="456" spans="1:6">
      <c r="A456" s="43"/>
      <c r="B456" s="43"/>
      <c r="C456" s="112"/>
      <c r="D456" s="64"/>
      <c r="E456" s="46"/>
      <c r="F456" s="47"/>
    </row>
    <row r="457" spans="1:6">
      <c r="A457" s="43"/>
      <c r="B457" s="43"/>
      <c r="C457" s="112"/>
      <c r="D457" s="64"/>
      <c r="E457" s="46"/>
      <c r="F457" s="47"/>
    </row>
    <row r="458" spans="1:6">
      <c r="A458" s="43"/>
      <c r="B458" s="43"/>
      <c r="C458" s="112"/>
      <c r="D458" s="64"/>
      <c r="E458" s="46"/>
      <c r="F458" s="47"/>
    </row>
    <row r="459" spans="1:6">
      <c r="A459" s="43"/>
      <c r="B459" s="43"/>
      <c r="C459" s="112"/>
      <c r="D459" s="64"/>
      <c r="E459" s="46"/>
      <c r="F459" s="47"/>
    </row>
    <row r="460" spans="1:6">
      <c r="A460" s="43"/>
      <c r="B460" s="43"/>
      <c r="C460" s="112"/>
      <c r="D460" s="64"/>
      <c r="E460" s="46"/>
      <c r="F460" s="47"/>
    </row>
    <row r="461" spans="1:6">
      <c r="A461" s="43"/>
      <c r="B461" s="43"/>
      <c r="C461" s="112"/>
      <c r="D461" s="64"/>
      <c r="E461" s="46"/>
      <c r="F461" s="47"/>
    </row>
    <row r="462" spans="1:6">
      <c r="A462" s="43"/>
      <c r="B462" s="43"/>
      <c r="C462" s="112"/>
      <c r="D462" s="64"/>
      <c r="E462" s="46"/>
      <c r="F462" s="47"/>
    </row>
    <row r="463" spans="1:6">
      <c r="A463" s="43"/>
      <c r="B463" s="43"/>
      <c r="C463" s="112"/>
      <c r="D463" s="64"/>
      <c r="E463" s="46"/>
      <c r="F463" s="47"/>
    </row>
    <row r="464" spans="1:6">
      <c r="A464" s="43"/>
      <c r="B464" s="43"/>
      <c r="C464" s="112"/>
      <c r="D464" s="64"/>
      <c r="E464" s="46"/>
      <c r="F464" s="47"/>
    </row>
    <row r="465" spans="1:6">
      <c r="A465" s="43"/>
      <c r="B465" s="43"/>
      <c r="C465" s="112"/>
      <c r="D465" s="64"/>
      <c r="E465" s="46"/>
      <c r="F465" s="47"/>
    </row>
    <row r="466" spans="1:6">
      <c r="A466" s="43"/>
      <c r="B466" s="43"/>
      <c r="C466" s="112"/>
      <c r="D466" s="64"/>
      <c r="E466" s="46"/>
      <c r="F466" s="47"/>
    </row>
    <row r="467" spans="1:6">
      <c r="A467" s="43"/>
      <c r="B467" s="43"/>
      <c r="C467" s="112"/>
      <c r="D467" s="64"/>
      <c r="E467" s="46"/>
      <c r="F467" s="47"/>
    </row>
    <row r="468" spans="1:6">
      <c r="A468" s="43"/>
      <c r="B468" s="43"/>
      <c r="C468" s="112"/>
      <c r="D468" s="64"/>
      <c r="E468" s="46"/>
      <c r="F468" s="47"/>
    </row>
    <row r="469" spans="1:6">
      <c r="A469" s="43"/>
      <c r="B469" s="43"/>
      <c r="C469" s="112"/>
      <c r="D469" s="64"/>
      <c r="E469" s="46"/>
      <c r="F469" s="47"/>
    </row>
    <row r="470" spans="1:6">
      <c r="A470" s="43"/>
      <c r="B470" s="43"/>
      <c r="C470" s="112"/>
      <c r="D470" s="64"/>
      <c r="E470" s="46"/>
      <c r="F470" s="47"/>
    </row>
    <row r="471" spans="1:6">
      <c r="A471" s="43"/>
      <c r="B471" s="43"/>
      <c r="C471" s="112"/>
      <c r="D471" s="64"/>
      <c r="E471" s="46"/>
      <c r="F471" s="47"/>
    </row>
    <row r="472" spans="1:6">
      <c r="A472" s="43"/>
      <c r="B472" s="43"/>
      <c r="C472" s="112"/>
      <c r="D472" s="64"/>
      <c r="E472" s="46"/>
      <c r="F472" s="47"/>
    </row>
    <row r="473" spans="1:6">
      <c r="A473" s="43"/>
      <c r="B473" s="43"/>
      <c r="C473" s="112"/>
      <c r="D473" s="64"/>
      <c r="E473" s="46"/>
      <c r="F473" s="47"/>
    </row>
    <row r="474" spans="1:6">
      <c r="A474" s="43"/>
      <c r="B474" s="43"/>
      <c r="C474" s="112"/>
      <c r="D474" s="64"/>
      <c r="E474" s="46"/>
      <c r="F474" s="47"/>
    </row>
    <row r="475" spans="1:6">
      <c r="A475" s="43"/>
      <c r="B475" s="43"/>
      <c r="C475" s="112"/>
      <c r="D475" s="64"/>
      <c r="E475" s="46"/>
      <c r="F475" s="47"/>
    </row>
    <row r="476" spans="1:6">
      <c r="A476" s="43"/>
      <c r="B476" s="43"/>
      <c r="C476" s="112"/>
      <c r="D476" s="64"/>
      <c r="E476" s="46"/>
      <c r="F476" s="47"/>
    </row>
    <row r="477" spans="1:6">
      <c r="A477" s="43"/>
      <c r="B477" s="43"/>
      <c r="C477" s="112"/>
      <c r="D477" s="64"/>
      <c r="E477" s="46"/>
      <c r="F477" s="47"/>
    </row>
    <row r="478" spans="1:6">
      <c r="A478" s="43"/>
      <c r="B478" s="43"/>
      <c r="C478" s="112"/>
      <c r="D478" s="64"/>
      <c r="E478" s="46"/>
      <c r="F478" s="47"/>
    </row>
    <row r="479" spans="1:6">
      <c r="A479" s="43"/>
      <c r="B479" s="43"/>
      <c r="C479" s="112"/>
      <c r="D479" s="64"/>
      <c r="E479" s="46"/>
      <c r="F479" s="47"/>
    </row>
    <row r="480" spans="1:6">
      <c r="A480" s="43"/>
      <c r="B480" s="43"/>
      <c r="C480" s="112"/>
      <c r="D480" s="64"/>
      <c r="E480" s="46"/>
      <c r="F480" s="47"/>
    </row>
    <row r="481" spans="1:6">
      <c r="A481" s="43"/>
      <c r="B481" s="43"/>
      <c r="C481" s="112"/>
      <c r="D481" s="64"/>
      <c r="E481" s="46"/>
      <c r="F481" s="47"/>
    </row>
    <row r="482" spans="1:6">
      <c r="A482" s="43"/>
      <c r="B482" s="43"/>
      <c r="C482" s="112"/>
      <c r="D482" s="64"/>
      <c r="E482" s="46"/>
      <c r="F482" s="47"/>
    </row>
    <row r="483" spans="1:6">
      <c r="A483" s="43"/>
      <c r="B483" s="43"/>
      <c r="C483" s="112"/>
      <c r="D483" s="64"/>
      <c r="E483" s="46"/>
      <c r="F483" s="47"/>
    </row>
    <row r="484" spans="1:6">
      <c r="A484" s="43"/>
      <c r="B484" s="43"/>
      <c r="C484" s="112"/>
      <c r="D484" s="64"/>
      <c r="E484" s="46"/>
      <c r="F484" s="47"/>
    </row>
    <row r="485" spans="1:6">
      <c r="A485" s="43"/>
      <c r="B485" s="43"/>
      <c r="C485" s="112"/>
      <c r="D485" s="64"/>
      <c r="E485" s="46"/>
      <c r="F485" s="47"/>
    </row>
    <row r="486" spans="1:6">
      <c r="A486" s="43"/>
      <c r="B486" s="43"/>
      <c r="C486" s="112"/>
      <c r="D486" s="64"/>
      <c r="E486" s="46"/>
      <c r="F486" s="47"/>
    </row>
    <row r="487" spans="1:6">
      <c r="A487" s="43"/>
      <c r="B487" s="43"/>
      <c r="C487" s="112"/>
      <c r="D487" s="64"/>
      <c r="E487" s="46"/>
      <c r="F487" s="47"/>
    </row>
    <row r="488" spans="1:6">
      <c r="A488" s="43"/>
      <c r="B488" s="43"/>
      <c r="C488" s="112"/>
      <c r="D488" s="64"/>
      <c r="E488" s="46"/>
      <c r="F488" s="47"/>
    </row>
    <row r="489" spans="1:6">
      <c r="A489" s="43"/>
      <c r="B489" s="43"/>
      <c r="C489" s="112"/>
      <c r="D489" s="64"/>
      <c r="E489" s="46"/>
      <c r="F489" s="47"/>
    </row>
    <row r="490" spans="1:6">
      <c r="A490" s="43"/>
      <c r="B490" s="43"/>
      <c r="C490" s="112"/>
      <c r="D490" s="64"/>
      <c r="E490" s="46"/>
      <c r="F490" s="47"/>
    </row>
    <row r="491" spans="1:6">
      <c r="A491" s="43"/>
      <c r="B491" s="43"/>
      <c r="C491" s="112"/>
      <c r="D491" s="64"/>
      <c r="E491" s="46"/>
      <c r="F491" s="47"/>
    </row>
    <row r="492" spans="1:6">
      <c r="A492" s="43"/>
      <c r="B492" s="43"/>
      <c r="C492" s="112"/>
      <c r="D492" s="64"/>
      <c r="E492" s="46"/>
      <c r="F492" s="47"/>
    </row>
    <row r="493" spans="1:6">
      <c r="A493" s="43"/>
      <c r="B493" s="43"/>
      <c r="C493" s="112"/>
      <c r="D493" s="64"/>
      <c r="E493" s="46"/>
      <c r="F493" s="47"/>
    </row>
    <row r="494" spans="1:6">
      <c r="A494" s="43"/>
      <c r="B494" s="43"/>
      <c r="C494" s="112"/>
      <c r="D494" s="64"/>
      <c r="E494" s="46"/>
      <c r="F494" s="47"/>
    </row>
    <row r="495" spans="1:6">
      <c r="A495" s="43"/>
      <c r="B495" s="43"/>
      <c r="C495" s="112"/>
      <c r="D495" s="64"/>
      <c r="E495" s="46"/>
      <c r="F495" s="47"/>
    </row>
    <row r="496" spans="1:6">
      <c r="A496" s="43"/>
      <c r="B496" s="43"/>
      <c r="C496" s="112"/>
      <c r="D496" s="64"/>
      <c r="E496" s="46"/>
      <c r="F496" s="47"/>
    </row>
    <row r="497" spans="1:6">
      <c r="A497" s="43"/>
      <c r="B497" s="43"/>
      <c r="C497" s="112"/>
      <c r="D497" s="64"/>
      <c r="E497" s="46"/>
      <c r="F497" s="47"/>
    </row>
    <row r="498" spans="1:6">
      <c r="A498" s="43"/>
      <c r="B498" s="43"/>
      <c r="C498" s="112"/>
      <c r="D498" s="64"/>
      <c r="E498" s="46"/>
      <c r="F498" s="47"/>
    </row>
    <row r="499" spans="1:6">
      <c r="A499" s="43"/>
      <c r="B499" s="43"/>
      <c r="C499" s="112"/>
      <c r="D499" s="64"/>
      <c r="E499" s="46"/>
      <c r="F499" s="47"/>
    </row>
    <row r="500" spans="1:6">
      <c r="A500" s="43"/>
      <c r="B500" s="43"/>
      <c r="C500" s="112"/>
      <c r="D500" s="64"/>
      <c r="E500" s="46"/>
      <c r="F500" s="47"/>
    </row>
    <row r="501" spans="1:6">
      <c r="A501" s="43"/>
      <c r="B501" s="43"/>
      <c r="C501" s="112"/>
      <c r="D501" s="64"/>
      <c r="E501" s="46"/>
      <c r="F501" s="47"/>
    </row>
    <row r="502" spans="1:6">
      <c r="A502" s="43"/>
      <c r="B502" s="43"/>
      <c r="C502" s="112"/>
      <c r="D502" s="64"/>
      <c r="E502" s="46"/>
      <c r="F502" s="47"/>
    </row>
    <row r="503" spans="1:6">
      <c r="A503" s="43"/>
      <c r="B503" s="43"/>
      <c r="C503" s="112"/>
      <c r="D503" s="64"/>
      <c r="E503" s="46"/>
      <c r="F503" s="47"/>
    </row>
    <row r="504" spans="1:6">
      <c r="A504" s="43"/>
      <c r="B504" s="43"/>
      <c r="C504" s="112"/>
      <c r="D504" s="64"/>
      <c r="E504" s="46"/>
      <c r="F504" s="47"/>
    </row>
    <row r="505" spans="1:6">
      <c r="A505" s="43"/>
      <c r="B505" s="43"/>
      <c r="C505" s="112"/>
      <c r="D505" s="64"/>
      <c r="E505" s="46"/>
      <c r="F505" s="47"/>
    </row>
    <row r="506" spans="1:6">
      <c r="A506" s="43"/>
      <c r="B506" s="43"/>
      <c r="C506" s="112"/>
      <c r="D506" s="64"/>
      <c r="E506" s="46"/>
      <c r="F506" s="47"/>
    </row>
    <row r="507" spans="1:6">
      <c r="A507" s="43"/>
      <c r="B507" s="43"/>
      <c r="C507" s="112"/>
      <c r="D507" s="64"/>
      <c r="E507" s="46"/>
      <c r="F507" s="47"/>
    </row>
    <row r="508" spans="1:6">
      <c r="A508" s="43"/>
      <c r="B508" s="43"/>
      <c r="C508" s="112"/>
      <c r="D508" s="64"/>
      <c r="E508" s="46"/>
      <c r="F508" s="47"/>
    </row>
    <row r="509" spans="1:6">
      <c r="A509" s="43"/>
      <c r="B509" s="43"/>
      <c r="C509" s="112"/>
      <c r="D509" s="64"/>
      <c r="E509" s="46"/>
      <c r="F509" s="47"/>
    </row>
    <row r="510" spans="1:6">
      <c r="A510" s="43"/>
      <c r="B510" s="43"/>
      <c r="C510" s="112"/>
      <c r="D510" s="64"/>
      <c r="E510" s="46"/>
      <c r="F510" s="47"/>
    </row>
    <row r="511" spans="1:6">
      <c r="A511" s="43"/>
      <c r="B511" s="43"/>
      <c r="C511" s="112"/>
      <c r="D511" s="64"/>
      <c r="E511" s="46"/>
      <c r="F511" s="47"/>
    </row>
    <row r="512" spans="1:6">
      <c r="A512" s="43"/>
      <c r="B512" s="43"/>
      <c r="C512" s="112"/>
      <c r="D512" s="64"/>
      <c r="E512" s="46"/>
      <c r="F512" s="47"/>
    </row>
    <row r="513" spans="1:6">
      <c r="A513" s="43"/>
      <c r="B513" s="43"/>
      <c r="C513" s="112"/>
      <c r="D513" s="64"/>
      <c r="E513" s="46"/>
      <c r="F513" s="47"/>
    </row>
    <row r="514" spans="1:6">
      <c r="A514" s="43"/>
      <c r="B514" s="43"/>
      <c r="C514" s="112"/>
      <c r="D514" s="64"/>
      <c r="E514" s="46"/>
      <c r="F514" s="47"/>
    </row>
    <row r="515" spans="1:6">
      <c r="A515" s="43"/>
      <c r="B515" s="43"/>
      <c r="C515" s="112"/>
      <c r="D515" s="64"/>
      <c r="E515" s="46"/>
      <c r="F515" s="47"/>
    </row>
    <row r="516" spans="1:6">
      <c r="A516" s="43"/>
      <c r="B516" s="43"/>
      <c r="C516" s="112"/>
      <c r="D516" s="64"/>
      <c r="E516" s="46"/>
      <c r="F516" s="47"/>
    </row>
    <row r="517" spans="1:6">
      <c r="A517" s="43"/>
      <c r="B517" s="43"/>
      <c r="C517" s="112"/>
      <c r="D517" s="64"/>
      <c r="E517" s="46"/>
      <c r="F517" s="47"/>
    </row>
    <row r="518" spans="1:6">
      <c r="A518" s="43"/>
      <c r="B518" s="43"/>
      <c r="C518" s="112"/>
      <c r="D518" s="64"/>
      <c r="E518" s="46"/>
      <c r="F518" s="47"/>
    </row>
    <row r="519" spans="1:6">
      <c r="A519" s="43"/>
      <c r="B519" s="43"/>
      <c r="C519" s="112"/>
      <c r="D519" s="64"/>
      <c r="E519" s="46"/>
      <c r="F519" s="47"/>
    </row>
    <row r="520" spans="1:6">
      <c r="A520" s="43"/>
      <c r="B520" s="43"/>
      <c r="C520" s="112"/>
      <c r="D520" s="64"/>
      <c r="E520" s="46"/>
      <c r="F520" s="47"/>
    </row>
    <row r="521" spans="1:6">
      <c r="A521" s="43"/>
      <c r="B521" s="43"/>
      <c r="C521" s="112"/>
      <c r="D521" s="64"/>
      <c r="E521" s="46"/>
      <c r="F521" s="47"/>
    </row>
    <row r="522" spans="1:6">
      <c r="A522" s="43"/>
      <c r="B522" s="43"/>
      <c r="C522" s="112"/>
      <c r="D522" s="64"/>
      <c r="E522" s="46"/>
      <c r="F522" s="47"/>
    </row>
    <row r="523" spans="1:6">
      <c r="A523" s="43"/>
      <c r="B523" s="43"/>
      <c r="C523" s="112"/>
      <c r="D523" s="64"/>
      <c r="E523" s="46"/>
      <c r="F523" s="47"/>
    </row>
    <row r="524" spans="1:6">
      <c r="A524" s="43"/>
      <c r="B524" s="43"/>
      <c r="C524" s="112"/>
      <c r="D524" s="64"/>
      <c r="E524" s="46"/>
      <c r="F524" s="47"/>
    </row>
    <row r="525" spans="1:6">
      <c r="A525" s="43"/>
      <c r="B525" s="43"/>
      <c r="C525" s="112"/>
      <c r="D525" s="64"/>
      <c r="E525" s="46"/>
      <c r="F525" s="47"/>
    </row>
    <row r="526" spans="1:6">
      <c r="A526" s="43"/>
      <c r="B526" s="43"/>
      <c r="C526" s="112"/>
      <c r="D526" s="64"/>
      <c r="E526" s="46"/>
      <c r="F526" s="47"/>
    </row>
    <row r="527" spans="1:6">
      <c r="A527" s="43"/>
      <c r="B527" s="43"/>
      <c r="C527" s="112"/>
      <c r="D527" s="64"/>
      <c r="E527" s="46"/>
      <c r="F527" s="47"/>
    </row>
    <row r="528" spans="1:6">
      <c r="A528" s="43"/>
      <c r="B528" s="43"/>
      <c r="C528" s="112"/>
      <c r="D528" s="64"/>
      <c r="E528" s="46"/>
      <c r="F528" s="47"/>
    </row>
    <row r="529" spans="1:6">
      <c r="A529" s="43"/>
      <c r="B529" s="43"/>
      <c r="C529" s="112"/>
      <c r="D529" s="64"/>
      <c r="E529" s="46"/>
      <c r="F529" s="47"/>
    </row>
    <row r="530" spans="1:6">
      <c r="A530" s="43"/>
      <c r="B530" s="43"/>
      <c r="C530" s="112"/>
      <c r="D530" s="64"/>
      <c r="E530" s="46"/>
      <c r="F530" s="47"/>
    </row>
    <row r="531" spans="1:6">
      <c r="A531" s="43"/>
      <c r="B531" s="43"/>
      <c r="C531" s="112"/>
      <c r="D531" s="64"/>
      <c r="E531" s="46"/>
      <c r="F531" s="47"/>
    </row>
    <row r="532" spans="1:6">
      <c r="A532" s="43"/>
      <c r="B532" s="43"/>
      <c r="C532" s="112"/>
      <c r="D532" s="64"/>
      <c r="E532" s="46"/>
      <c r="F532" s="47"/>
    </row>
    <row r="533" spans="1:6">
      <c r="A533" s="43"/>
      <c r="B533" s="43"/>
      <c r="C533" s="112"/>
      <c r="D533" s="64"/>
      <c r="E533" s="46"/>
      <c r="F533" s="47"/>
    </row>
    <row r="534" spans="1:6">
      <c r="A534" s="43"/>
      <c r="B534" s="43"/>
      <c r="C534" s="112"/>
      <c r="D534" s="64"/>
      <c r="E534" s="46"/>
      <c r="F534" s="47"/>
    </row>
    <row r="535" spans="1:6">
      <c r="A535" s="43"/>
      <c r="B535" s="43"/>
      <c r="C535" s="112"/>
      <c r="D535" s="64"/>
      <c r="E535" s="46"/>
      <c r="F535" s="47"/>
    </row>
    <row r="536" spans="1:6">
      <c r="A536" s="43"/>
      <c r="B536" s="43"/>
      <c r="C536" s="112"/>
      <c r="D536" s="64"/>
      <c r="E536" s="46"/>
      <c r="F536" s="47"/>
    </row>
    <row r="537" spans="1:6">
      <c r="A537" s="43"/>
      <c r="B537" s="43"/>
      <c r="C537" s="112"/>
      <c r="D537" s="64"/>
      <c r="E537" s="46"/>
      <c r="F537" s="47"/>
    </row>
    <row r="538" spans="1:6">
      <c r="A538" s="43"/>
      <c r="B538" s="43"/>
      <c r="C538" s="112"/>
      <c r="D538" s="64"/>
      <c r="E538" s="46"/>
      <c r="F538" s="47"/>
    </row>
    <row r="539" spans="1:6">
      <c r="A539" s="43"/>
      <c r="B539" s="43"/>
      <c r="C539" s="112"/>
      <c r="D539" s="64"/>
      <c r="E539" s="46"/>
      <c r="F539" s="47"/>
    </row>
    <row r="540" spans="1:6">
      <c r="A540" s="43"/>
      <c r="B540" s="43"/>
      <c r="C540" s="112"/>
      <c r="D540" s="64"/>
      <c r="E540" s="46"/>
      <c r="F540" s="47"/>
    </row>
    <row r="541" spans="1:6">
      <c r="A541" s="43"/>
      <c r="B541" s="43"/>
      <c r="C541" s="112"/>
      <c r="D541" s="64"/>
      <c r="E541" s="46"/>
      <c r="F541" s="47"/>
    </row>
    <row r="542" spans="1:6">
      <c r="A542" s="43"/>
      <c r="B542" s="43"/>
      <c r="C542" s="112"/>
      <c r="D542" s="64"/>
      <c r="E542" s="46"/>
      <c r="F542" s="47"/>
    </row>
    <row r="543" spans="1:6">
      <c r="A543" s="43"/>
      <c r="B543" s="43"/>
      <c r="C543" s="112"/>
      <c r="D543" s="64"/>
      <c r="E543" s="46"/>
      <c r="F543" s="47"/>
    </row>
    <row r="544" spans="1:6">
      <c r="A544" s="43"/>
      <c r="B544" s="43"/>
      <c r="C544" s="112"/>
      <c r="D544" s="64"/>
      <c r="E544" s="46"/>
      <c r="F544" s="47"/>
    </row>
    <row r="545" spans="1:6">
      <c r="A545" s="43"/>
      <c r="B545" s="43"/>
      <c r="C545" s="112"/>
      <c r="D545" s="64"/>
      <c r="E545" s="46"/>
      <c r="F545" s="47"/>
    </row>
    <row r="546" spans="1:6">
      <c r="A546" s="43"/>
      <c r="B546" s="43"/>
      <c r="C546" s="112"/>
      <c r="D546" s="64"/>
      <c r="E546" s="46"/>
      <c r="F546" s="47"/>
    </row>
    <row r="547" spans="1:6">
      <c r="A547" s="43"/>
      <c r="B547" s="43"/>
      <c r="C547" s="112"/>
      <c r="D547" s="64"/>
      <c r="E547" s="46"/>
      <c r="F547" s="47"/>
    </row>
    <row r="548" spans="1:6">
      <c r="A548" s="43"/>
      <c r="B548" s="43"/>
      <c r="C548" s="112"/>
      <c r="D548" s="64"/>
      <c r="E548" s="46"/>
      <c r="F548" s="47"/>
    </row>
    <row r="549" spans="1:6">
      <c r="A549" s="43"/>
      <c r="B549" s="43"/>
      <c r="C549" s="112"/>
      <c r="D549" s="64"/>
      <c r="E549" s="46"/>
      <c r="F549" s="47"/>
    </row>
    <row r="550" spans="1:6">
      <c r="A550" s="43"/>
      <c r="B550" s="43"/>
      <c r="C550" s="112"/>
      <c r="D550" s="64"/>
      <c r="E550" s="46"/>
      <c r="F550" s="47"/>
    </row>
    <row r="551" spans="1:6">
      <c r="A551" s="43"/>
      <c r="B551" s="43"/>
      <c r="C551" s="112"/>
      <c r="D551" s="64"/>
      <c r="E551" s="46"/>
      <c r="F551" s="47"/>
    </row>
    <row r="552" spans="1:6">
      <c r="A552" s="43"/>
      <c r="B552" s="43"/>
      <c r="C552" s="112"/>
      <c r="D552" s="64"/>
      <c r="E552" s="46"/>
      <c r="F552" s="47"/>
    </row>
    <row r="553" spans="1:6">
      <c r="A553" s="43"/>
      <c r="B553" s="43"/>
      <c r="C553" s="112"/>
      <c r="D553" s="64"/>
      <c r="E553" s="46"/>
      <c r="F553" s="47"/>
    </row>
    <row r="554" spans="1:6">
      <c r="A554" s="43"/>
      <c r="B554" s="43"/>
      <c r="C554" s="112"/>
      <c r="D554" s="64"/>
      <c r="E554" s="46"/>
      <c r="F554" s="47"/>
    </row>
    <row r="555" spans="1:6">
      <c r="A555" s="43"/>
      <c r="B555" s="43"/>
      <c r="C555" s="112"/>
      <c r="D555" s="64"/>
      <c r="E555" s="46"/>
      <c r="F555" s="47"/>
    </row>
    <row r="556" spans="1:6">
      <c r="A556" s="43"/>
      <c r="B556" s="43"/>
      <c r="C556" s="112"/>
      <c r="D556" s="64"/>
      <c r="E556" s="46"/>
      <c r="F556" s="47"/>
    </row>
    <row r="557" spans="1:6">
      <c r="A557" s="43"/>
      <c r="B557" s="43"/>
      <c r="C557" s="112"/>
      <c r="D557" s="64"/>
      <c r="E557" s="46"/>
      <c r="F557" s="47"/>
    </row>
    <row r="558" spans="1:6">
      <c r="A558" s="43"/>
      <c r="B558" s="43"/>
      <c r="C558" s="112"/>
      <c r="D558" s="64"/>
      <c r="E558" s="46"/>
      <c r="F558" s="47"/>
    </row>
    <row r="559" spans="1:6">
      <c r="A559" s="43"/>
      <c r="B559" s="43"/>
      <c r="C559" s="112"/>
      <c r="D559" s="64"/>
      <c r="E559" s="46"/>
      <c r="F559" s="47"/>
    </row>
    <row r="560" spans="1:6">
      <c r="A560" s="43"/>
      <c r="B560" s="43"/>
      <c r="C560" s="112"/>
      <c r="D560" s="64"/>
      <c r="E560" s="46"/>
      <c r="F560" s="47"/>
    </row>
    <row r="561" spans="1:6">
      <c r="A561" s="43"/>
      <c r="B561" s="43"/>
      <c r="C561" s="112"/>
      <c r="D561" s="64"/>
      <c r="E561" s="46"/>
      <c r="F561" s="47"/>
    </row>
    <row r="562" spans="1:6">
      <c r="A562" s="43"/>
      <c r="B562" s="43"/>
      <c r="C562" s="112"/>
      <c r="D562" s="64"/>
      <c r="E562" s="46"/>
      <c r="F562" s="47"/>
    </row>
    <row r="563" spans="1:6">
      <c r="A563" s="43"/>
      <c r="B563" s="43"/>
      <c r="C563" s="112"/>
      <c r="D563" s="64"/>
      <c r="E563" s="46"/>
      <c r="F563" s="47"/>
    </row>
    <row r="564" spans="1:6">
      <c r="A564" s="43"/>
      <c r="B564" s="43"/>
      <c r="C564" s="112"/>
      <c r="D564" s="64"/>
      <c r="E564" s="46"/>
      <c r="F564" s="47"/>
    </row>
    <row r="565" spans="1:6">
      <c r="A565" s="43"/>
      <c r="B565" s="43"/>
      <c r="C565" s="112"/>
      <c r="D565" s="64"/>
      <c r="E565" s="46"/>
      <c r="F565" s="47"/>
    </row>
    <row r="566" spans="1:6">
      <c r="A566" s="43"/>
      <c r="B566" s="43"/>
      <c r="C566" s="112"/>
      <c r="D566" s="64"/>
      <c r="E566" s="46"/>
      <c r="F566" s="47"/>
    </row>
    <row r="567" spans="1:6">
      <c r="A567" s="43"/>
      <c r="B567" s="43"/>
      <c r="C567" s="112"/>
      <c r="D567" s="64"/>
      <c r="E567" s="46"/>
      <c r="F567" s="47"/>
    </row>
    <row r="568" spans="1:6">
      <c r="A568" s="43"/>
      <c r="B568" s="43"/>
      <c r="C568" s="112"/>
      <c r="D568" s="64"/>
      <c r="E568" s="46"/>
      <c r="F568" s="47"/>
    </row>
    <row r="569" spans="1:6">
      <c r="A569" s="43"/>
      <c r="B569" s="43"/>
      <c r="C569" s="112"/>
      <c r="D569" s="64"/>
      <c r="E569" s="46"/>
      <c r="F569" s="47"/>
    </row>
    <row r="570" spans="1:6">
      <c r="A570" s="43"/>
      <c r="B570" s="43"/>
      <c r="C570" s="112"/>
      <c r="D570" s="64"/>
      <c r="E570" s="46"/>
      <c r="F570" s="47"/>
    </row>
    <row r="571" spans="1:6">
      <c r="A571" s="43"/>
      <c r="B571" s="43"/>
      <c r="C571" s="112"/>
      <c r="D571" s="64"/>
      <c r="E571" s="46"/>
      <c r="F571" s="47"/>
    </row>
    <row r="572" spans="1:6">
      <c r="A572" s="43"/>
      <c r="B572" s="43"/>
      <c r="C572" s="112"/>
      <c r="D572" s="64"/>
      <c r="E572" s="46"/>
      <c r="F572" s="47"/>
    </row>
    <row r="573" spans="1:6">
      <c r="A573" s="43"/>
      <c r="B573" s="43"/>
      <c r="C573" s="112"/>
      <c r="D573" s="64"/>
      <c r="E573" s="46"/>
      <c r="F573" s="47"/>
    </row>
    <row r="574" spans="1:6">
      <c r="A574" s="43"/>
      <c r="B574" s="43"/>
      <c r="C574" s="112"/>
      <c r="D574" s="64"/>
      <c r="E574" s="46"/>
      <c r="F574" s="47"/>
    </row>
    <row r="575" spans="1:6">
      <c r="A575" s="43"/>
      <c r="B575" s="43"/>
      <c r="C575" s="112"/>
      <c r="D575" s="64"/>
      <c r="E575" s="46"/>
      <c r="F575" s="47"/>
    </row>
    <row r="576" spans="1:6">
      <c r="A576" s="43"/>
      <c r="B576" s="43"/>
      <c r="C576" s="112"/>
      <c r="D576" s="64"/>
      <c r="E576" s="46"/>
      <c r="F576" s="47"/>
    </row>
    <row r="577" spans="1:6">
      <c r="A577" s="43"/>
      <c r="B577" s="43"/>
      <c r="C577" s="112"/>
      <c r="D577" s="64"/>
      <c r="E577" s="46"/>
      <c r="F577" s="47"/>
    </row>
    <row r="578" spans="1:6">
      <c r="A578" s="43"/>
      <c r="B578" s="43"/>
      <c r="C578" s="112"/>
      <c r="D578" s="64"/>
      <c r="E578" s="46"/>
      <c r="F578" s="47"/>
    </row>
    <row r="579" spans="1:6">
      <c r="A579" s="43"/>
      <c r="B579" s="43"/>
      <c r="C579" s="112"/>
      <c r="D579" s="64"/>
      <c r="E579" s="46"/>
      <c r="F579" s="47"/>
    </row>
    <row r="580" spans="1:6">
      <c r="A580" s="43"/>
      <c r="B580" s="43"/>
      <c r="C580" s="112"/>
      <c r="D580" s="64"/>
      <c r="E580" s="46"/>
      <c r="F580" s="47"/>
    </row>
    <row r="581" spans="1:6">
      <c r="A581" s="43"/>
      <c r="B581" s="43"/>
      <c r="C581" s="112"/>
      <c r="D581" s="64"/>
      <c r="E581" s="46"/>
      <c r="F581" s="47"/>
    </row>
    <row r="582" spans="1:6">
      <c r="A582" s="43"/>
      <c r="B582" s="43"/>
      <c r="C582" s="112"/>
      <c r="D582" s="64"/>
      <c r="E582" s="46"/>
      <c r="F582" s="47"/>
    </row>
    <row r="583" spans="1:6">
      <c r="A583" s="43"/>
      <c r="B583" s="43"/>
      <c r="C583" s="112"/>
      <c r="D583" s="64"/>
      <c r="E583" s="46"/>
      <c r="F583" s="47"/>
    </row>
    <row r="584" spans="1:6">
      <c r="A584" s="43"/>
      <c r="B584" s="43"/>
      <c r="C584" s="112"/>
      <c r="D584" s="64"/>
      <c r="E584" s="46"/>
      <c r="F584" s="47"/>
    </row>
    <row r="585" spans="1:6">
      <c r="A585" s="43"/>
      <c r="B585" s="43"/>
      <c r="C585" s="112"/>
      <c r="D585" s="64"/>
      <c r="E585" s="46"/>
      <c r="F585" s="47"/>
    </row>
    <row r="586" spans="1:6">
      <c r="A586" s="43"/>
      <c r="B586" s="43"/>
      <c r="C586" s="112"/>
      <c r="D586" s="64"/>
      <c r="E586" s="46"/>
      <c r="F586" s="47"/>
    </row>
    <row r="587" spans="1:6">
      <c r="A587" s="43"/>
      <c r="B587" s="43"/>
      <c r="C587" s="112"/>
      <c r="D587" s="64"/>
      <c r="E587" s="46"/>
      <c r="F587" s="47"/>
    </row>
    <row r="588" spans="1:6">
      <c r="A588" s="43"/>
      <c r="B588" s="43"/>
      <c r="C588" s="112"/>
      <c r="D588" s="64"/>
      <c r="E588" s="46"/>
      <c r="F588" s="47"/>
    </row>
    <row r="589" spans="1:6">
      <c r="A589" s="43"/>
      <c r="B589" s="43"/>
      <c r="C589" s="112"/>
      <c r="D589" s="64"/>
      <c r="E589" s="46"/>
      <c r="F589" s="47"/>
    </row>
    <row r="590" spans="1:6">
      <c r="A590" s="43"/>
      <c r="B590" s="43"/>
      <c r="C590" s="112"/>
      <c r="D590" s="64"/>
      <c r="E590" s="46"/>
      <c r="F590" s="47"/>
    </row>
    <row r="591" spans="1:6">
      <c r="A591" s="43"/>
      <c r="B591" s="43"/>
      <c r="C591" s="112"/>
      <c r="D591" s="64"/>
      <c r="E591" s="46"/>
      <c r="F591" s="47"/>
    </row>
    <row r="592" spans="1:6">
      <c r="A592" s="43"/>
      <c r="B592" s="43"/>
      <c r="C592" s="112"/>
      <c r="D592" s="64"/>
      <c r="E592" s="46"/>
      <c r="F592" s="47"/>
    </row>
    <row r="593" spans="1:6">
      <c r="A593" s="43"/>
      <c r="B593" s="43"/>
      <c r="C593" s="112"/>
      <c r="D593" s="64"/>
      <c r="E593" s="46"/>
      <c r="F593" s="47"/>
    </row>
    <row r="594" spans="1:6">
      <c r="A594" s="43"/>
      <c r="B594" s="43"/>
      <c r="C594" s="112"/>
      <c r="D594" s="64"/>
      <c r="E594" s="46"/>
      <c r="F594" s="47"/>
    </row>
    <row r="595" spans="1:6">
      <c r="A595" s="43"/>
      <c r="B595" s="43"/>
      <c r="C595" s="112"/>
      <c r="D595" s="64"/>
      <c r="E595" s="46"/>
      <c r="F595" s="47"/>
    </row>
    <row r="596" spans="1:6">
      <c r="A596" s="43"/>
      <c r="B596" s="43"/>
      <c r="C596" s="112"/>
      <c r="D596" s="64"/>
      <c r="E596" s="46"/>
      <c r="F596" s="47"/>
    </row>
    <row r="597" spans="1:6">
      <c r="A597" s="43"/>
      <c r="B597" s="43"/>
      <c r="C597" s="112"/>
      <c r="D597" s="64"/>
      <c r="E597" s="46"/>
      <c r="F597" s="47"/>
    </row>
    <row r="598" spans="1:6">
      <c r="A598" s="43"/>
      <c r="B598" s="43"/>
      <c r="C598" s="112"/>
      <c r="D598" s="64"/>
      <c r="E598" s="46"/>
      <c r="F598" s="47"/>
    </row>
    <row r="599" spans="1:6">
      <c r="A599" s="43"/>
      <c r="B599" s="43"/>
      <c r="C599" s="112"/>
      <c r="D599" s="64"/>
      <c r="E599" s="46"/>
      <c r="F599" s="47"/>
    </row>
    <row r="600" spans="1:6">
      <c r="A600" s="43"/>
      <c r="B600" s="43"/>
      <c r="C600" s="112"/>
      <c r="D600" s="64"/>
      <c r="E600" s="46"/>
      <c r="F600" s="47"/>
    </row>
    <row r="601" spans="1:6">
      <c r="A601" s="43"/>
      <c r="B601" s="43"/>
      <c r="C601" s="112"/>
      <c r="D601" s="64"/>
      <c r="E601" s="46"/>
      <c r="F601" s="47"/>
    </row>
    <row r="602" spans="1:6">
      <c r="A602" s="43"/>
      <c r="B602" s="43"/>
      <c r="C602" s="112"/>
      <c r="D602" s="64"/>
      <c r="E602" s="46"/>
      <c r="F602" s="47"/>
    </row>
    <row r="603" spans="1:6">
      <c r="A603" s="43"/>
      <c r="B603" s="43"/>
      <c r="C603" s="112"/>
      <c r="D603" s="64"/>
      <c r="E603" s="46"/>
      <c r="F603" s="47"/>
    </row>
    <row r="604" spans="1:6">
      <c r="A604" s="43"/>
      <c r="B604" s="43"/>
      <c r="C604" s="112"/>
      <c r="D604" s="64"/>
      <c r="E604" s="46"/>
      <c r="F604" s="47"/>
    </row>
    <row r="605" spans="1:6">
      <c r="A605" s="43"/>
      <c r="B605" s="43"/>
      <c r="C605" s="112"/>
      <c r="D605" s="64"/>
      <c r="E605" s="46"/>
      <c r="F605" s="47"/>
    </row>
    <row r="606" spans="1:6">
      <c r="A606" s="43"/>
      <c r="B606" s="43"/>
      <c r="C606" s="112"/>
      <c r="D606" s="64"/>
      <c r="E606" s="46"/>
      <c r="F606" s="47"/>
    </row>
    <row r="607" spans="1:6">
      <c r="A607" s="43"/>
      <c r="B607" s="43"/>
      <c r="C607" s="112"/>
      <c r="D607" s="64"/>
      <c r="E607" s="46"/>
      <c r="F607" s="47"/>
    </row>
    <row r="608" spans="1:6">
      <c r="A608" s="43"/>
      <c r="B608" s="43"/>
      <c r="C608" s="112"/>
      <c r="D608" s="64"/>
      <c r="E608" s="46"/>
      <c r="F608" s="47"/>
    </row>
    <row r="609" spans="1:6">
      <c r="A609" s="43"/>
      <c r="B609" s="43"/>
      <c r="C609" s="112"/>
      <c r="D609" s="64"/>
      <c r="E609" s="46"/>
      <c r="F609" s="47"/>
    </row>
    <row r="610" spans="1:6">
      <c r="A610" s="43"/>
      <c r="B610" s="43"/>
      <c r="C610" s="112"/>
      <c r="D610" s="64"/>
      <c r="E610" s="46"/>
      <c r="F610" s="47"/>
    </row>
    <row r="611" spans="1:6">
      <c r="A611" s="43"/>
      <c r="B611" s="43"/>
      <c r="C611" s="112"/>
      <c r="D611" s="64"/>
      <c r="E611" s="46"/>
      <c r="F611" s="47"/>
    </row>
    <row r="612" spans="1:6">
      <c r="A612" s="43"/>
      <c r="B612" s="43"/>
      <c r="C612" s="112"/>
      <c r="D612" s="64"/>
      <c r="E612" s="46"/>
      <c r="F612" s="47"/>
    </row>
    <row r="613" spans="1:6">
      <c r="A613" s="43"/>
      <c r="B613" s="43"/>
      <c r="C613" s="112"/>
      <c r="D613" s="64"/>
      <c r="E613" s="46"/>
      <c r="F613" s="47"/>
    </row>
    <row r="614" spans="1:6">
      <c r="A614" s="43"/>
      <c r="B614" s="43"/>
      <c r="C614" s="112"/>
      <c r="D614" s="64"/>
      <c r="E614" s="46"/>
      <c r="F614" s="47"/>
    </row>
    <row r="615" spans="1:6">
      <c r="A615" s="43"/>
      <c r="B615" s="43"/>
      <c r="C615" s="112"/>
      <c r="D615" s="64"/>
      <c r="E615" s="46"/>
      <c r="F615" s="47"/>
    </row>
    <row r="616" spans="1:6">
      <c r="A616" s="43"/>
      <c r="B616" s="43"/>
      <c r="C616" s="112"/>
      <c r="D616" s="64"/>
      <c r="E616" s="46"/>
      <c r="F616" s="47"/>
    </row>
    <row r="617" spans="1:6">
      <c r="A617" s="43"/>
      <c r="B617" s="43"/>
      <c r="C617" s="112"/>
      <c r="D617" s="64"/>
      <c r="E617" s="46"/>
      <c r="F617" s="47"/>
    </row>
    <row r="618" spans="1:6">
      <c r="A618" s="43"/>
      <c r="B618" s="43"/>
      <c r="C618" s="112"/>
      <c r="D618" s="64"/>
      <c r="E618" s="46"/>
      <c r="F618" s="47"/>
    </row>
    <row r="619" spans="1:6">
      <c r="A619" s="43"/>
      <c r="B619" s="43"/>
      <c r="C619" s="112"/>
      <c r="D619" s="64"/>
      <c r="E619" s="46"/>
      <c r="F619" s="47"/>
    </row>
    <row r="620" spans="1:6">
      <c r="A620" s="43"/>
      <c r="B620" s="43"/>
      <c r="C620" s="112"/>
      <c r="D620" s="64"/>
      <c r="E620" s="46"/>
      <c r="F620" s="47"/>
    </row>
    <row r="621" spans="1:6">
      <c r="A621" s="43"/>
      <c r="B621" s="43"/>
      <c r="C621" s="112"/>
      <c r="D621" s="64"/>
      <c r="E621" s="46"/>
      <c r="F621" s="47"/>
    </row>
    <row r="622" spans="1:6">
      <c r="A622" s="43"/>
      <c r="B622" s="43"/>
      <c r="C622" s="112"/>
      <c r="D622" s="64"/>
      <c r="E622" s="46"/>
      <c r="F622" s="47"/>
    </row>
    <row r="623" spans="1:6">
      <c r="A623" s="43"/>
      <c r="B623" s="43"/>
      <c r="C623" s="112"/>
      <c r="D623" s="64"/>
      <c r="E623" s="46"/>
      <c r="F623" s="47"/>
    </row>
    <row r="624" spans="1:6">
      <c r="A624" s="43"/>
      <c r="B624" s="43"/>
      <c r="C624" s="112"/>
      <c r="D624" s="64"/>
      <c r="E624" s="46"/>
      <c r="F624" s="47"/>
    </row>
    <row r="625" spans="1:6">
      <c r="A625" s="43"/>
      <c r="B625" s="43"/>
      <c r="C625" s="112"/>
      <c r="D625" s="64"/>
      <c r="E625" s="46"/>
      <c r="F625" s="47"/>
    </row>
    <row r="626" spans="1:6">
      <c r="A626" s="43"/>
      <c r="B626" s="43"/>
      <c r="C626" s="112"/>
      <c r="D626" s="64"/>
      <c r="E626" s="46"/>
      <c r="F626" s="47"/>
    </row>
    <row r="627" spans="1:6">
      <c r="A627" s="43"/>
      <c r="B627" s="43"/>
      <c r="C627" s="112"/>
      <c r="D627" s="64"/>
      <c r="E627" s="46"/>
      <c r="F627" s="47"/>
    </row>
    <row r="628" spans="1:6">
      <c r="A628" s="43"/>
      <c r="B628" s="43"/>
      <c r="C628" s="112"/>
      <c r="D628" s="64"/>
      <c r="E628" s="46"/>
      <c r="F628" s="47"/>
    </row>
    <row r="629" spans="1:6">
      <c r="A629" s="43"/>
      <c r="B629" s="43"/>
      <c r="C629" s="112"/>
      <c r="D629" s="64"/>
      <c r="E629" s="46"/>
      <c r="F629" s="47"/>
    </row>
    <row r="630" spans="1:6">
      <c r="A630" s="43"/>
      <c r="B630" s="43"/>
      <c r="C630" s="112"/>
      <c r="D630" s="64"/>
      <c r="E630" s="46"/>
      <c r="F630" s="47"/>
    </row>
    <row r="631" spans="1:6">
      <c r="A631" s="43"/>
      <c r="B631" s="43"/>
      <c r="C631" s="112"/>
      <c r="D631" s="64"/>
      <c r="E631" s="46"/>
      <c r="F631" s="47"/>
    </row>
    <row r="632" spans="1:6">
      <c r="A632" s="43"/>
      <c r="B632" s="43"/>
      <c r="C632" s="112"/>
      <c r="D632" s="64"/>
      <c r="E632" s="46"/>
      <c r="F632" s="47"/>
    </row>
    <row r="633" spans="1:6">
      <c r="A633" s="43"/>
      <c r="B633" s="43"/>
      <c r="C633" s="112"/>
      <c r="D633" s="64"/>
      <c r="E633" s="46"/>
      <c r="F633" s="47"/>
    </row>
    <row r="634" spans="1:6">
      <c r="A634" s="43"/>
      <c r="B634" s="43"/>
      <c r="C634" s="112"/>
      <c r="D634" s="64"/>
      <c r="E634" s="46"/>
      <c r="F634" s="47"/>
    </row>
    <row r="635" spans="1:6">
      <c r="A635" s="43"/>
      <c r="B635" s="43"/>
      <c r="C635" s="112"/>
      <c r="D635" s="64"/>
      <c r="E635" s="46"/>
      <c r="F635" s="47"/>
    </row>
    <row r="636" spans="1:6">
      <c r="A636" s="43"/>
      <c r="B636" s="43"/>
      <c r="C636" s="112"/>
      <c r="D636" s="64"/>
      <c r="E636" s="46"/>
      <c r="F636" s="47"/>
    </row>
    <row r="637" spans="1:6">
      <c r="A637" s="43"/>
      <c r="B637" s="43"/>
      <c r="C637" s="112"/>
      <c r="D637" s="64"/>
      <c r="E637" s="46"/>
      <c r="F637" s="47"/>
    </row>
    <row r="638" spans="1:6">
      <c r="A638" s="43"/>
      <c r="B638" s="43"/>
      <c r="C638" s="112"/>
      <c r="D638" s="64"/>
      <c r="E638" s="46"/>
      <c r="F638" s="47"/>
    </row>
    <row r="639" spans="1:6">
      <c r="A639" s="43"/>
      <c r="B639" s="43"/>
      <c r="C639" s="112"/>
      <c r="D639" s="64"/>
      <c r="E639" s="46"/>
      <c r="F639" s="47"/>
    </row>
    <row r="640" spans="1:6">
      <c r="A640" s="43"/>
      <c r="B640" s="43"/>
      <c r="C640" s="112"/>
      <c r="D640" s="64"/>
      <c r="E640" s="46"/>
      <c r="F640" s="47"/>
    </row>
    <row r="641" spans="1:6">
      <c r="A641" s="43"/>
      <c r="B641" s="43"/>
      <c r="C641" s="112"/>
      <c r="D641" s="64"/>
      <c r="E641" s="46"/>
      <c r="F641" s="47"/>
    </row>
    <row r="642" spans="1:6">
      <c r="A642" s="43"/>
      <c r="B642" s="43"/>
      <c r="C642" s="112"/>
      <c r="D642" s="64"/>
      <c r="E642" s="46"/>
      <c r="F642" s="47"/>
    </row>
    <row r="643" spans="1:6">
      <c r="A643" s="43"/>
      <c r="B643" s="43"/>
      <c r="C643" s="112"/>
      <c r="D643" s="64"/>
      <c r="E643" s="46"/>
      <c r="F643" s="47"/>
    </row>
    <row r="644" spans="1:6">
      <c r="A644" s="43"/>
      <c r="B644" s="43"/>
      <c r="C644" s="112"/>
      <c r="D644" s="64"/>
      <c r="E644" s="46"/>
      <c r="F644" s="47"/>
    </row>
    <row r="645" spans="1:6">
      <c r="A645" s="43"/>
      <c r="B645" s="43"/>
      <c r="C645" s="112"/>
      <c r="D645" s="64"/>
      <c r="E645" s="46"/>
      <c r="F645" s="47"/>
    </row>
    <row r="646" spans="1:6">
      <c r="A646" s="43"/>
      <c r="B646" s="43"/>
      <c r="C646" s="112"/>
      <c r="D646" s="64"/>
      <c r="E646" s="46"/>
      <c r="F646" s="47"/>
    </row>
    <row r="647" spans="1:6">
      <c r="A647" s="43"/>
      <c r="B647" s="43"/>
      <c r="C647" s="112"/>
      <c r="D647" s="64"/>
      <c r="E647" s="46"/>
      <c r="F647" s="47"/>
    </row>
    <row r="648" spans="1:6">
      <c r="A648" s="43"/>
      <c r="B648" s="43"/>
      <c r="C648" s="112"/>
      <c r="D648" s="64"/>
      <c r="E648" s="46"/>
      <c r="F648" s="47"/>
    </row>
    <row r="649" spans="1:6">
      <c r="A649" s="43"/>
      <c r="B649" s="43"/>
      <c r="C649" s="112"/>
      <c r="D649" s="64"/>
      <c r="E649" s="46"/>
      <c r="F649" s="47"/>
    </row>
    <row r="650" spans="1:6">
      <c r="A650" s="43"/>
      <c r="B650" s="43"/>
      <c r="C650" s="112"/>
      <c r="D650" s="64"/>
      <c r="E650" s="46"/>
      <c r="F650" s="47"/>
    </row>
    <row r="651" spans="1:6">
      <c r="A651" s="43"/>
      <c r="B651" s="43"/>
      <c r="C651" s="112"/>
      <c r="D651" s="64"/>
      <c r="E651" s="46"/>
      <c r="F651" s="47"/>
    </row>
    <row r="652" spans="1:6">
      <c r="A652" s="43"/>
      <c r="B652" s="43"/>
      <c r="C652" s="112"/>
      <c r="D652" s="64"/>
      <c r="E652" s="46"/>
      <c r="F652" s="47"/>
    </row>
    <row r="653" spans="1:6">
      <c r="A653" s="43"/>
      <c r="B653" s="43"/>
      <c r="C653" s="112"/>
      <c r="D653" s="64"/>
      <c r="E653" s="46"/>
      <c r="F653" s="47"/>
    </row>
    <row r="654" spans="1:6">
      <c r="A654" s="43"/>
      <c r="B654" s="43"/>
      <c r="C654" s="112"/>
      <c r="D654" s="64"/>
      <c r="E654" s="46"/>
      <c r="F654" s="47"/>
    </row>
    <row r="655" spans="1:6">
      <c r="A655" s="43"/>
      <c r="B655" s="43"/>
      <c r="C655" s="112"/>
      <c r="D655" s="64"/>
      <c r="E655" s="46"/>
      <c r="F655" s="47"/>
    </row>
    <row r="656" spans="1:6">
      <c r="A656" s="43"/>
      <c r="B656" s="43"/>
      <c r="C656" s="112"/>
      <c r="D656" s="64"/>
      <c r="E656" s="46"/>
      <c r="F656" s="47"/>
    </row>
    <row r="657" spans="1:6">
      <c r="A657" s="43"/>
      <c r="B657" s="43"/>
      <c r="C657" s="112"/>
      <c r="D657" s="64"/>
      <c r="E657" s="46"/>
      <c r="F657" s="47"/>
    </row>
    <row r="658" spans="1:6">
      <c r="A658" s="43"/>
      <c r="B658" s="43"/>
      <c r="C658" s="112"/>
      <c r="D658" s="64"/>
      <c r="E658" s="46"/>
      <c r="F658" s="47"/>
    </row>
    <row r="659" spans="1:6">
      <c r="A659" s="43"/>
      <c r="B659" s="43"/>
      <c r="C659" s="112"/>
      <c r="D659" s="64"/>
      <c r="E659" s="46"/>
      <c r="F659" s="47"/>
    </row>
    <row r="660" spans="1:6">
      <c r="A660" s="43"/>
      <c r="B660" s="43"/>
      <c r="C660" s="112"/>
      <c r="D660" s="64"/>
      <c r="E660" s="46"/>
      <c r="F660" s="47"/>
    </row>
    <row r="661" spans="1:6">
      <c r="A661" s="43"/>
      <c r="B661" s="43"/>
      <c r="C661" s="112"/>
      <c r="D661" s="64"/>
      <c r="E661" s="46"/>
      <c r="F661" s="47"/>
    </row>
    <row r="662" spans="1:6">
      <c r="A662" s="43"/>
      <c r="B662" s="43"/>
      <c r="C662" s="112"/>
      <c r="D662" s="64"/>
      <c r="E662" s="46"/>
      <c r="F662" s="47"/>
    </row>
    <row r="663" spans="1:6">
      <c r="A663" s="43"/>
      <c r="B663" s="43"/>
      <c r="C663" s="112"/>
      <c r="D663" s="64"/>
      <c r="E663" s="46"/>
      <c r="F663" s="47"/>
    </row>
    <row r="664" spans="1:6">
      <c r="A664" s="43"/>
      <c r="B664" s="43"/>
      <c r="C664" s="112"/>
      <c r="D664" s="64"/>
      <c r="E664" s="46"/>
      <c r="F664" s="47"/>
    </row>
    <row r="665" spans="1:6">
      <c r="A665" s="43"/>
      <c r="B665" s="43"/>
      <c r="C665" s="112"/>
      <c r="D665" s="64"/>
      <c r="E665" s="46"/>
      <c r="F665" s="47"/>
    </row>
    <row r="666" spans="1:6">
      <c r="A666" s="43"/>
      <c r="B666" s="43"/>
      <c r="C666" s="112"/>
      <c r="D666" s="64"/>
      <c r="E666" s="46"/>
      <c r="F666" s="47"/>
    </row>
    <row r="667" spans="1:6">
      <c r="A667" s="43"/>
      <c r="B667" s="43"/>
      <c r="C667" s="112"/>
      <c r="D667" s="64"/>
      <c r="E667" s="46"/>
      <c r="F667" s="47"/>
    </row>
    <row r="668" spans="1:6">
      <c r="A668" s="43"/>
      <c r="B668" s="43"/>
      <c r="C668" s="112"/>
      <c r="D668" s="64"/>
      <c r="E668" s="46"/>
      <c r="F668" s="47"/>
    </row>
    <row r="669" spans="1:6">
      <c r="A669" s="43"/>
      <c r="B669" s="43"/>
      <c r="C669" s="112"/>
      <c r="D669" s="64"/>
      <c r="E669" s="46"/>
      <c r="F669" s="47"/>
    </row>
    <row r="670" spans="1:6">
      <c r="A670" s="43"/>
      <c r="B670" s="43"/>
      <c r="C670" s="112"/>
      <c r="D670" s="64"/>
      <c r="E670" s="46"/>
      <c r="F670" s="47"/>
    </row>
    <row r="671" spans="1:6">
      <c r="A671" s="43"/>
      <c r="B671" s="43"/>
      <c r="C671" s="112"/>
      <c r="D671" s="64"/>
      <c r="E671" s="46"/>
      <c r="F671" s="47"/>
    </row>
    <row r="672" spans="1:6">
      <c r="A672" s="43"/>
      <c r="B672" s="43"/>
      <c r="C672" s="112"/>
      <c r="D672" s="64"/>
      <c r="E672" s="46"/>
      <c r="F672" s="47"/>
    </row>
    <row r="673" spans="1:6">
      <c r="A673" s="43"/>
      <c r="B673" s="43"/>
      <c r="C673" s="112"/>
      <c r="D673" s="64"/>
      <c r="E673" s="46"/>
      <c r="F673" s="47"/>
    </row>
    <row r="674" spans="1:6">
      <c r="A674" s="43"/>
      <c r="B674" s="43"/>
      <c r="C674" s="112"/>
      <c r="D674" s="64"/>
      <c r="E674" s="46"/>
      <c r="F674" s="47"/>
    </row>
    <row r="675" spans="1:6">
      <c r="A675" s="43"/>
      <c r="B675" s="43"/>
      <c r="C675" s="112"/>
      <c r="D675" s="64"/>
      <c r="E675" s="46"/>
      <c r="F675" s="47"/>
    </row>
    <row r="676" spans="1:6">
      <c r="A676" s="43"/>
      <c r="B676" s="43"/>
      <c r="C676" s="112"/>
      <c r="D676" s="64"/>
      <c r="E676" s="46"/>
      <c r="F676" s="47"/>
    </row>
    <row r="677" spans="1:6">
      <c r="A677" s="43"/>
      <c r="B677" s="43"/>
      <c r="C677" s="112"/>
      <c r="D677" s="64"/>
      <c r="E677" s="46"/>
      <c r="F677" s="47"/>
    </row>
    <row r="678" spans="1:6">
      <c r="A678" s="43"/>
      <c r="B678" s="43"/>
      <c r="C678" s="112"/>
      <c r="D678" s="64"/>
      <c r="E678" s="46"/>
      <c r="F678" s="47"/>
    </row>
    <row r="679" spans="1:6">
      <c r="A679" s="43"/>
      <c r="B679" s="43"/>
      <c r="C679" s="112"/>
      <c r="D679" s="64"/>
      <c r="E679" s="46"/>
      <c r="F679" s="47"/>
    </row>
    <row r="680" spans="1:6">
      <c r="A680" s="43"/>
      <c r="B680" s="43"/>
      <c r="C680" s="112"/>
      <c r="D680" s="64"/>
      <c r="E680" s="46"/>
      <c r="F680" s="47"/>
    </row>
    <row r="681" spans="1:6">
      <c r="D681" s="61"/>
      <c r="E681" s="39"/>
      <c r="F681" s="39"/>
    </row>
  </sheetData>
  <sheetProtection algorithmName="SHA-512" hashValue="ZDyjIO9U8nBy3eSwgag6/TOZ/+OYKkhDlOoIc7B4GYO8605oaZ+ip9ZG12rfYIx0aKRVMohodRek8aSzor9asw==" saltValue="2ZPTh+FXJT1nN2GpuqvJOA=="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1:G108"/>
  <sheetViews>
    <sheetView view="pageLayout" topLeftCell="C101" zoomScale="115" zoomScaleNormal="90" zoomScaleSheetLayoutView="90" zoomScalePageLayoutView="115" workbookViewId="0">
      <selection activeCell="F19" sqref="F1:F1048576"/>
    </sheetView>
  </sheetViews>
  <sheetFormatPr defaultColWidth="9.109375" defaultRowHeight="13.2"/>
  <cols>
    <col min="1" max="1" width="6.6640625" style="10" customWidth="1"/>
    <col min="2" max="2" width="56.6640625" style="10" customWidth="1"/>
    <col min="3" max="3" width="10.6640625" style="12" customWidth="1"/>
    <col min="4" max="6" width="10.6640625" style="10" customWidth="1"/>
    <col min="7" max="7" width="10.109375" style="10" bestFit="1" customWidth="1"/>
    <col min="8" max="8" width="9.109375" style="10"/>
    <col min="9" max="9" width="9.33203125" style="10" customWidth="1"/>
    <col min="10" max="16384" width="9.109375" style="10"/>
  </cols>
  <sheetData>
    <row r="1" spans="1:7" ht="13.8" thickBot="1">
      <c r="A1" s="867" t="s">
        <v>16</v>
      </c>
      <c r="B1" s="868" t="s">
        <v>17</v>
      </c>
      <c r="C1" s="881"/>
      <c r="D1" s="876"/>
      <c r="E1" s="871"/>
      <c r="F1" s="871"/>
    </row>
    <row r="2" spans="1:7">
      <c r="A2" s="43"/>
      <c r="B2" s="43"/>
      <c r="D2" s="13"/>
      <c r="E2" s="14"/>
      <c r="F2" s="14"/>
    </row>
    <row r="3" spans="1:7" s="20" customFormat="1" ht="14.25" customHeight="1">
      <c r="A3" s="1527" t="s">
        <v>145</v>
      </c>
      <c r="B3" s="1528" t="s">
        <v>146</v>
      </c>
      <c r="C3" s="1529" t="s">
        <v>147</v>
      </c>
      <c r="D3" s="1532" t="s">
        <v>148</v>
      </c>
      <c r="E3" s="1532" t="s">
        <v>149</v>
      </c>
      <c r="F3" s="1532"/>
      <c r="G3" s="1537" t="s">
        <v>2523</v>
      </c>
    </row>
    <row r="4" spans="1:7" s="20" customFormat="1">
      <c r="A4" s="1527"/>
      <c r="B4" s="1528"/>
      <c r="C4" s="1530"/>
      <c r="D4" s="1532"/>
      <c r="E4" s="1532"/>
      <c r="F4" s="1532"/>
      <c r="G4" s="1537"/>
    </row>
    <row r="5" spans="1:7" s="20" customFormat="1">
      <c r="A5" s="1527"/>
      <c r="B5" s="1528"/>
      <c r="C5" s="1531"/>
      <c r="D5" s="1532"/>
      <c r="E5" s="49" t="s">
        <v>150</v>
      </c>
      <c r="F5" s="50" t="s">
        <v>151</v>
      </c>
      <c r="G5" s="1537"/>
    </row>
    <row r="6" spans="1:7" s="20" customFormat="1">
      <c r="A6" s="52"/>
      <c r="B6" s="53"/>
      <c r="C6" s="54"/>
      <c r="D6" s="55"/>
      <c r="E6" s="56"/>
      <c r="F6" s="57"/>
    </row>
    <row r="7" spans="1:7">
      <c r="A7" s="214"/>
      <c r="B7" s="215" t="s">
        <v>155</v>
      </c>
      <c r="C7" s="216"/>
      <c r="D7" s="217"/>
      <c r="E7" s="209"/>
      <c r="F7" s="209"/>
    </row>
    <row r="8" spans="1:7">
      <c r="A8" s="43"/>
      <c r="B8" s="43"/>
      <c r="D8" s="13"/>
      <c r="E8" s="14"/>
      <c r="F8" s="14"/>
    </row>
    <row r="9" spans="1:7" ht="118.8">
      <c r="A9" s="43">
        <v>1</v>
      </c>
      <c r="B9" s="67" t="s">
        <v>234</v>
      </c>
      <c r="D9" s="38"/>
      <c r="E9" s="39"/>
      <c r="F9" s="39"/>
    </row>
    <row r="10" spans="1:7" ht="15">
      <c r="A10" s="22" t="s">
        <v>12</v>
      </c>
      <c r="B10" s="10" t="s">
        <v>103</v>
      </c>
      <c r="C10" s="12" t="s">
        <v>172</v>
      </c>
      <c r="D10" s="38">
        <v>4</v>
      </c>
      <c r="E10" s="156">
        <f>'[1]A_III_ BETONSKI I AB'!E10</f>
        <v>200</v>
      </c>
      <c r="F10" s="39">
        <f>SUM(D10*E10)</f>
        <v>800</v>
      </c>
    </row>
    <row r="11" spans="1:7" ht="15">
      <c r="A11" s="22" t="s">
        <v>13</v>
      </c>
      <c r="B11" s="67" t="s">
        <v>39</v>
      </c>
      <c r="C11" s="12" t="s">
        <v>173</v>
      </c>
      <c r="D11" s="38">
        <v>4</v>
      </c>
      <c r="E11" s="156">
        <f>'[1]A_III_ BETONSKI I AB'!E11</f>
        <v>50</v>
      </c>
      <c r="F11" s="39">
        <f>SUM(D11*E11)</f>
        <v>200</v>
      </c>
    </row>
    <row r="13" spans="1:7" ht="237.6">
      <c r="A13" s="43">
        <v>2</v>
      </c>
      <c r="B13" s="37" t="s">
        <v>323</v>
      </c>
      <c r="D13" s="13"/>
      <c r="E13" s="37"/>
      <c r="F13" s="14"/>
    </row>
    <row r="14" spans="1:7" ht="15">
      <c r="A14" s="22" t="s">
        <v>12</v>
      </c>
      <c r="B14" s="10" t="s">
        <v>347</v>
      </c>
      <c r="C14" s="12" t="s">
        <v>172</v>
      </c>
      <c r="D14" s="38">
        <v>50</v>
      </c>
      <c r="E14" s="156">
        <f>'[1]A_III_ BETONSKI I AB'!E14</f>
        <v>200</v>
      </c>
      <c r="F14" s="39">
        <f>SUM(D14*E14)</f>
        <v>10000</v>
      </c>
    </row>
    <row r="15" spans="1:7" ht="15">
      <c r="A15" s="22" t="s">
        <v>13</v>
      </c>
      <c r="B15" s="67" t="s">
        <v>38</v>
      </c>
      <c r="C15" s="12" t="s">
        <v>173</v>
      </c>
      <c r="D15" s="38">
        <v>55</v>
      </c>
      <c r="E15" s="156">
        <f>'[1]A_III_ BETONSKI I AB'!E15</f>
        <v>50</v>
      </c>
      <c r="F15" s="39">
        <f>SUM(D15*E15)</f>
        <v>2750</v>
      </c>
    </row>
    <row r="16" spans="1:7">
      <c r="A16" s="22"/>
      <c r="B16" s="67"/>
      <c r="D16" s="38"/>
      <c r="E16" s="39"/>
      <c r="F16" s="39"/>
    </row>
    <row r="17" spans="1:6">
      <c r="A17" s="214"/>
      <c r="B17" s="215" t="s">
        <v>156</v>
      </c>
      <c r="C17" s="216"/>
      <c r="D17" s="217"/>
      <c r="E17" s="209"/>
      <c r="F17" s="209"/>
    </row>
    <row r="18" spans="1:6">
      <c r="A18" s="43"/>
      <c r="B18" s="43"/>
      <c r="D18" s="13"/>
      <c r="E18" s="14"/>
      <c r="F18" s="14"/>
    </row>
    <row r="19" spans="1:6" ht="84.75" customHeight="1">
      <c r="A19" s="43">
        <v>3</v>
      </c>
      <c r="B19" s="67" t="s">
        <v>235</v>
      </c>
      <c r="D19" s="38"/>
      <c r="E19" s="39"/>
      <c r="F19" s="39"/>
    </row>
    <row r="20" spans="1:6" ht="15">
      <c r="A20" s="22" t="s">
        <v>12</v>
      </c>
      <c r="B20" s="10" t="s">
        <v>103</v>
      </c>
      <c r="C20" s="12" t="s">
        <v>172</v>
      </c>
      <c r="D20" s="38">
        <v>3</v>
      </c>
      <c r="E20" s="156">
        <f>'[1]A_III_ BETONSKI I AB'!E20</f>
        <v>200</v>
      </c>
      <c r="F20" s="39">
        <f>SUM(D20*E20)</f>
        <v>600</v>
      </c>
    </row>
    <row r="21" spans="1:6" ht="15">
      <c r="A21" s="22" t="s">
        <v>13</v>
      </c>
      <c r="B21" s="67" t="s">
        <v>39</v>
      </c>
      <c r="C21" s="12" t="s">
        <v>173</v>
      </c>
      <c r="D21" s="38">
        <v>7</v>
      </c>
      <c r="E21" s="156">
        <f>'[1]A_III_ BETONSKI I AB'!E21</f>
        <v>50</v>
      </c>
      <c r="F21" s="39">
        <f>SUM(D21*E21)</f>
        <v>350</v>
      </c>
    </row>
    <row r="23" spans="1:6" ht="92.4">
      <c r="A23" s="43">
        <v>4</v>
      </c>
      <c r="B23" s="67" t="s">
        <v>237</v>
      </c>
      <c r="D23" s="38"/>
      <c r="E23" s="39"/>
      <c r="F23" s="39"/>
    </row>
    <row r="24" spans="1:6" ht="15">
      <c r="A24" s="22" t="s">
        <v>12</v>
      </c>
      <c r="B24" s="10" t="s">
        <v>103</v>
      </c>
      <c r="C24" s="12" t="s">
        <v>172</v>
      </c>
      <c r="D24" s="38">
        <v>1.2</v>
      </c>
      <c r="E24" s="156">
        <f>'[1]A_III_ BETONSKI I AB'!E24</f>
        <v>200</v>
      </c>
      <c r="F24" s="39">
        <f>SUM(D24*E24)</f>
        <v>240</v>
      </c>
    </row>
    <row r="25" spans="1:6" ht="15">
      <c r="A25" s="22" t="s">
        <v>13</v>
      </c>
      <c r="B25" s="67" t="s">
        <v>39</v>
      </c>
      <c r="C25" s="12" t="s">
        <v>173</v>
      </c>
      <c r="D25" s="38">
        <v>1.5</v>
      </c>
      <c r="E25" s="156">
        <f>'[1]A_III_ BETONSKI I AB'!E25</f>
        <v>50</v>
      </c>
      <c r="F25" s="39">
        <f>SUM(D25*E25)</f>
        <v>75</v>
      </c>
    </row>
    <row r="27" spans="1:6" ht="66">
      <c r="A27" s="43">
        <v>5</v>
      </c>
      <c r="B27" s="67" t="s">
        <v>346</v>
      </c>
      <c r="D27" s="38"/>
      <c r="E27" s="39"/>
      <c r="F27" s="39"/>
    </row>
    <row r="28" spans="1:6" ht="15">
      <c r="A28" s="22" t="s">
        <v>12</v>
      </c>
      <c r="B28" s="10" t="s">
        <v>347</v>
      </c>
      <c r="C28" s="12" t="s">
        <v>172</v>
      </c>
      <c r="D28" s="38">
        <v>30</v>
      </c>
      <c r="E28" s="156">
        <f>'[1]A_III_ BETONSKI I AB'!E28</f>
        <v>200</v>
      </c>
      <c r="F28" s="39">
        <f>SUM(D28*E28)</f>
        <v>6000</v>
      </c>
    </row>
    <row r="29" spans="1:6" ht="15">
      <c r="A29" s="22" t="s">
        <v>13</v>
      </c>
      <c r="B29" s="67" t="s">
        <v>86</v>
      </c>
      <c r="C29" s="12" t="s">
        <v>173</v>
      </c>
      <c r="D29" s="38">
        <v>85</v>
      </c>
      <c r="E29" s="156">
        <f>'[1]A_III_ BETONSKI I AB'!E29</f>
        <v>40</v>
      </c>
      <c r="F29" s="39">
        <f>SUM(D29*E29)</f>
        <v>3400</v>
      </c>
    </row>
    <row r="30" spans="1:6">
      <c r="A30" s="22"/>
      <c r="B30" s="67"/>
      <c r="D30" s="38"/>
      <c r="E30" s="39"/>
      <c r="F30" s="39"/>
    </row>
    <row r="31" spans="1:6" ht="96" customHeight="1">
      <c r="A31" s="43">
        <v>6</v>
      </c>
      <c r="B31" s="67" t="s">
        <v>348</v>
      </c>
      <c r="D31" s="38"/>
      <c r="E31" s="39"/>
      <c r="F31" s="39"/>
    </row>
    <row r="32" spans="1:6" ht="15">
      <c r="A32" s="22" t="s">
        <v>12</v>
      </c>
      <c r="B32" s="10" t="s">
        <v>347</v>
      </c>
      <c r="C32" s="12" t="s">
        <v>172</v>
      </c>
      <c r="D32" s="38">
        <v>7</v>
      </c>
      <c r="E32" s="156">
        <f>'[1]A_III_ BETONSKI I AB'!E32</f>
        <v>200</v>
      </c>
      <c r="F32" s="39">
        <f>SUM(D32*E32)</f>
        <v>1400</v>
      </c>
    </row>
    <row r="33" spans="1:6" ht="15">
      <c r="A33" s="22" t="s">
        <v>13</v>
      </c>
      <c r="B33" s="67" t="s">
        <v>86</v>
      </c>
      <c r="C33" s="12" t="s">
        <v>173</v>
      </c>
      <c r="D33" s="38">
        <v>8.5</v>
      </c>
      <c r="E33" s="156">
        <f>'[1]A_III_ BETONSKI I AB'!E33</f>
        <v>50</v>
      </c>
      <c r="F33" s="39">
        <f>SUM(D33*E33)</f>
        <v>425</v>
      </c>
    </row>
    <row r="34" spans="1:6">
      <c r="A34" s="22"/>
      <c r="B34" s="67"/>
      <c r="D34" s="38"/>
      <c r="E34" s="39"/>
      <c r="F34" s="39"/>
    </row>
    <row r="35" spans="1:6" ht="91.5" customHeight="1">
      <c r="A35" s="43">
        <v>7</v>
      </c>
      <c r="B35" s="67" t="s">
        <v>349</v>
      </c>
      <c r="D35" s="38"/>
      <c r="E35" s="39"/>
      <c r="F35" s="39"/>
    </row>
    <row r="36" spans="1:6" ht="15">
      <c r="A36" s="22" t="s">
        <v>12</v>
      </c>
      <c r="B36" s="10" t="s">
        <v>347</v>
      </c>
      <c r="C36" s="12" t="s">
        <v>172</v>
      </c>
      <c r="D36" s="38">
        <v>8</v>
      </c>
      <c r="E36" s="156">
        <f>'[1]A_III_ BETONSKI I AB'!E36</f>
        <v>200</v>
      </c>
      <c r="F36" s="39">
        <f>SUM(D36*E36)</f>
        <v>1600</v>
      </c>
    </row>
    <row r="37" spans="1:6" ht="15">
      <c r="A37" s="22" t="s">
        <v>13</v>
      </c>
      <c r="B37" s="67" t="s">
        <v>238</v>
      </c>
      <c r="C37" s="12" t="s">
        <v>173</v>
      </c>
      <c r="D37" s="38">
        <v>65</v>
      </c>
      <c r="E37" s="156">
        <f>'[1]A_III_ BETONSKI I AB'!E37</f>
        <v>50</v>
      </c>
      <c r="F37" s="39">
        <f>SUM(D37*E37)</f>
        <v>3250</v>
      </c>
    </row>
    <row r="38" spans="1:6">
      <c r="A38" s="22"/>
      <c r="B38" s="67"/>
      <c r="D38" s="38"/>
      <c r="E38" s="39"/>
      <c r="F38" s="39"/>
    </row>
    <row r="39" spans="1:6" ht="66">
      <c r="A39" s="43">
        <v>8</v>
      </c>
      <c r="B39" s="67" t="s">
        <v>350</v>
      </c>
      <c r="D39" s="38"/>
      <c r="E39" s="39"/>
      <c r="F39" s="39"/>
    </row>
    <row r="40" spans="1:6" ht="15">
      <c r="A40" s="22" t="s">
        <v>12</v>
      </c>
      <c r="B40" s="10" t="s">
        <v>347</v>
      </c>
      <c r="C40" s="12" t="s">
        <v>172</v>
      </c>
      <c r="D40" s="38">
        <v>25</v>
      </c>
      <c r="E40" s="156">
        <f>'[1]A_III_ BETONSKI I AB'!E40</f>
        <v>200</v>
      </c>
      <c r="F40" s="39">
        <f>SUM(D40*E40)</f>
        <v>5000</v>
      </c>
    </row>
    <row r="41" spans="1:6" ht="15">
      <c r="A41" s="22" t="s">
        <v>13</v>
      </c>
      <c r="B41" s="67" t="s">
        <v>158</v>
      </c>
      <c r="C41" s="12" t="s">
        <v>173</v>
      </c>
      <c r="D41" s="38">
        <v>10</v>
      </c>
      <c r="E41" s="156">
        <f>'[1]A_III_ BETONSKI I AB'!E41</f>
        <v>50</v>
      </c>
      <c r="F41" s="39">
        <f>SUM(D41*E41)</f>
        <v>500</v>
      </c>
    </row>
    <row r="42" spans="1:6">
      <c r="A42" s="22"/>
      <c r="B42" s="67"/>
      <c r="D42" s="38"/>
      <c r="E42" s="39"/>
      <c r="F42" s="39"/>
    </row>
    <row r="43" spans="1:6" ht="66">
      <c r="A43" s="43">
        <v>9</v>
      </c>
      <c r="B43" s="67" t="s">
        <v>351</v>
      </c>
      <c r="D43" s="38"/>
      <c r="E43" s="39"/>
      <c r="F43" s="39"/>
    </row>
    <row r="44" spans="1:6" ht="15">
      <c r="A44" s="22" t="s">
        <v>12</v>
      </c>
      <c r="B44" s="10" t="s">
        <v>347</v>
      </c>
      <c r="C44" s="12" t="s">
        <v>172</v>
      </c>
      <c r="D44" s="38">
        <v>2.2000000000000002</v>
      </c>
      <c r="E44" s="156">
        <f>'[1]A_III_ BETONSKI I AB'!E44</f>
        <v>500</v>
      </c>
      <c r="F44" s="39">
        <f>SUM(D44*E44)</f>
        <v>1100</v>
      </c>
    </row>
    <row r="45" spans="1:6" ht="15">
      <c r="A45" s="22" t="s">
        <v>13</v>
      </c>
      <c r="B45" s="67" t="s">
        <v>86</v>
      </c>
      <c r="C45" s="12" t="s">
        <v>173</v>
      </c>
      <c r="D45" s="38">
        <v>15</v>
      </c>
      <c r="E45" s="156">
        <f>'[1]A_III_ BETONSKI I AB'!E45</f>
        <v>100</v>
      </c>
      <c r="F45" s="39">
        <f>SUM(D45*E45)</f>
        <v>1500</v>
      </c>
    </row>
    <row r="46" spans="1:6">
      <c r="A46" s="22"/>
      <c r="B46" s="67"/>
      <c r="D46" s="38"/>
      <c r="E46" s="39"/>
      <c r="F46" s="39"/>
    </row>
    <row r="47" spans="1:6" ht="79.2">
      <c r="A47" s="43">
        <v>10</v>
      </c>
      <c r="B47" s="67" t="s">
        <v>352</v>
      </c>
      <c r="D47" s="38"/>
      <c r="E47" s="39"/>
      <c r="F47" s="39"/>
    </row>
    <row r="48" spans="1:6" ht="15">
      <c r="A48" s="22" t="s">
        <v>12</v>
      </c>
      <c r="B48" s="10" t="s">
        <v>347</v>
      </c>
      <c r="C48" s="12" t="s">
        <v>172</v>
      </c>
      <c r="D48" s="38">
        <v>18.5</v>
      </c>
      <c r="E48" s="156">
        <f>'[1]A_III_ BETONSKI I AB'!E48</f>
        <v>250</v>
      </c>
      <c r="F48" s="39">
        <f>SUM(D48*E48)</f>
        <v>4625</v>
      </c>
    </row>
    <row r="49" spans="1:6" ht="15">
      <c r="A49" s="22" t="s">
        <v>13</v>
      </c>
      <c r="B49" s="67" t="s">
        <v>86</v>
      </c>
      <c r="C49" s="12" t="s">
        <v>173</v>
      </c>
      <c r="D49" s="38">
        <v>200</v>
      </c>
      <c r="E49" s="156">
        <f>'[1]A_III_ BETONSKI I AB'!E49</f>
        <v>60</v>
      </c>
      <c r="F49" s="39">
        <f>SUM(D49*E49)</f>
        <v>12000</v>
      </c>
    </row>
    <row r="50" spans="1:6">
      <c r="A50" s="22"/>
      <c r="B50" s="67"/>
      <c r="D50" s="38"/>
      <c r="E50" s="39"/>
      <c r="F50" s="39"/>
    </row>
    <row r="51" spans="1:6" ht="79.2">
      <c r="A51" s="43">
        <v>11</v>
      </c>
      <c r="B51" s="67" t="s">
        <v>353</v>
      </c>
      <c r="D51" s="38"/>
      <c r="E51" s="39"/>
      <c r="F51" s="39"/>
    </row>
    <row r="52" spans="1:6" ht="15">
      <c r="A52" s="22" t="s">
        <v>12</v>
      </c>
      <c r="B52" s="10" t="s">
        <v>347</v>
      </c>
      <c r="C52" s="12" t="s">
        <v>172</v>
      </c>
      <c r="D52" s="38">
        <v>1.1000000000000001</v>
      </c>
      <c r="E52" s="156">
        <f>'[1]A_III_ BETONSKI I AB'!E52</f>
        <v>500</v>
      </c>
      <c r="F52" s="39">
        <f>SUM(D52*E52)</f>
        <v>550</v>
      </c>
    </row>
    <row r="53" spans="1:6" ht="15">
      <c r="A53" s="22" t="s">
        <v>13</v>
      </c>
      <c r="B53" s="67" t="s">
        <v>86</v>
      </c>
      <c r="C53" s="12" t="s">
        <v>173</v>
      </c>
      <c r="D53" s="38">
        <v>10</v>
      </c>
      <c r="E53" s="156">
        <f>'[1]A_III_ BETONSKI I AB'!E53</f>
        <v>100</v>
      </c>
      <c r="F53" s="39">
        <f>SUM(D53*E53)</f>
        <v>1000</v>
      </c>
    </row>
    <row r="54" spans="1:6">
      <c r="A54" s="22"/>
      <c r="B54" s="67"/>
      <c r="D54" s="38"/>
      <c r="E54" s="39"/>
      <c r="F54" s="39"/>
    </row>
    <row r="55" spans="1:6" ht="136.5" customHeight="1">
      <c r="A55" s="43">
        <v>12</v>
      </c>
      <c r="B55" s="37" t="s">
        <v>364</v>
      </c>
      <c r="D55" s="38"/>
      <c r="E55" s="39"/>
      <c r="F55" s="39"/>
    </row>
    <row r="56" spans="1:6" ht="15">
      <c r="A56" s="22" t="s">
        <v>12</v>
      </c>
      <c r="B56" s="10" t="s">
        <v>347</v>
      </c>
      <c r="C56" s="12" t="s">
        <v>173</v>
      </c>
      <c r="D56" s="38">
        <v>45</v>
      </c>
      <c r="E56" s="156">
        <f>'[1]A_III_ BETONSKI I AB'!E56</f>
        <v>200</v>
      </c>
      <c r="F56" s="39">
        <f>SUM(D56*E56)</f>
        <v>9000</v>
      </c>
    </row>
    <row r="57" spans="1:6">
      <c r="A57" s="22"/>
      <c r="B57" s="67"/>
      <c r="D57" s="38"/>
      <c r="E57" s="39"/>
      <c r="F57" s="39"/>
    </row>
    <row r="58" spans="1:6" ht="92.4">
      <c r="A58" s="43">
        <v>13</v>
      </c>
      <c r="B58" s="67" t="s">
        <v>354</v>
      </c>
      <c r="D58" s="38"/>
      <c r="E58" s="39"/>
      <c r="F58" s="39"/>
    </row>
    <row r="59" spans="1:6" ht="15">
      <c r="A59" s="22" t="s">
        <v>12</v>
      </c>
      <c r="B59" s="10" t="s">
        <v>347</v>
      </c>
      <c r="C59" s="12" t="s">
        <v>172</v>
      </c>
      <c r="D59" s="38">
        <v>30</v>
      </c>
      <c r="E59" s="156">
        <f>'[1]A_III_ BETONSKI I AB'!E59</f>
        <v>250</v>
      </c>
      <c r="F59" s="39">
        <f>SUM(D59*E59)</f>
        <v>7500</v>
      </c>
    </row>
    <row r="60" spans="1:6" ht="15">
      <c r="A60" s="22" t="s">
        <v>13</v>
      </c>
      <c r="B60" s="67" t="s">
        <v>112</v>
      </c>
      <c r="C60" s="12" t="s">
        <v>173</v>
      </c>
      <c r="D60" s="38">
        <v>115</v>
      </c>
      <c r="E60" s="156">
        <f>'[1]A_III_ BETONSKI I AB'!E60</f>
        <v>60</v>
      </c>
      <c r="F60" s="39">
        <f>SUM(D60*E60)</f>
        <v>6900</v>
      </c>
    </row>
    <row r="61" spans="1:6" ht="15">
      <c r="A61" s="22" t="s">
        <v>14</v>
      </c>
      <c r="B61" s="67" t="s">
        <v>236</v>
      </c>
      <c r="C61" s="12" t="s">
        <v>173</v>
      </c>
      <c r="D61" s="38">
        <v>10</v>
      </c>
      <c r="E61" s="156">
        <f>'[1]A_III_ BETONSKI I AB'!E61</f>
        <v>100</v>
      </c>
      <c r="F61" s="39">
        <f>SUM(D61*E61)</f>
        <v>1000</v>
      </c>
    </row>
    <row r="62" spans="1:6">
      <c r="A62" s="22"/>
      <c r="B62" s="67"/>
      <c r="D62" s="38"/>
      <c r="E62" s="39"/>
      <c r="F62" s="39"/>
    </row>
    <row r="63" spans="1:6" ht="66">
      <c r="A63" s="43">
        <v>14</v>
      </c>
      <c r="B63" s="67" t="s">
        <v>355</v>
      </c>
      <c r="D63" s="38"/>
      <c r="E63" s="39"/>
      <c r="F63" s="39"/>
    </row>
    <row r="64" spans="1:6" ht="15">
      <c r="A64" s="22" t="s">
        <v>12</v>
      </c>
      <c r="B64" s="10" t="s">
        <v>347</v>
      </c>
      <c r="C64" s="12" t="s">
        <v>172</v>
      </c>
      <c r="D64" s="38">
        <v>2.2000000000000002</v>
      </c>
      <c r="E64" s="156">
        <f>'[1]A_III_ BETONSKI I AB'!E64</f>
        <v>500</v>
      </c>
      <c r="F64" s="39">
        <f>SUM(D64*E64)</f>
        <v>1100</v>
      </c>
    </row>
    <row r="65" spans="1:6" ht="15">
      <c r="A65" s="22" t="s">
        <v>13</v>
      </c>
      <c r="B65" s="67" t="s">
        <v>86</v>
      </c>
      <c r="C65" s="12" t="s">
        <v>173</v>
      </c>
      <c r="D65" s="38">
        <v>14</v>
      </c>
      <c r="E65" s="156">
        <f>'[1]A_III_ BETONSKI I AB'!E65</f>
        <v>100</v>
      </c>
      <c r="F65" s="39">
        <f>SUM(D65*E65)</f>
        <v>1400</v>
      </c>
    </row>
    <row r="66" spans="1:6">
      <c r="A66" s="22"/>
      <c r="B66" s="67"/>
      <c r="D66" s="38"/>
      <c r="E66" s="39"/>
      <c r="F66" s="39"/>
    </row>
    <row r="67" spans="1:6" ht="66">
      <c r="A67" s="43">
        <v>15</v>
      </c>
      <c r="B67" s="67" t="s">
        <v>356</v>
      </c>
      <c r="D67" s="38"/>
      <c r="E67" s="39"/>
      <c r="F67" s="39"/>
    </row>
    <row r="68" spans="1:6" ht="15">
      <c r="A68" s="22" t="s">
        <v>12</v>
      </c>
      <c r="B68" s="10" t="s">
        <v>347</v>
      </c>
      <c r="C68" s="12" t="s">
        <v>172</v>
      </c>
      <c r="D68" s="38">
        <v>9</v>
      </c>
      <c r="E68" s="156">
        <f>'[1]A_III_ BETONSKI I AB'!E68</f>
        <v>250</v>
      </c>
      <c r="F68" s="39">
        <f>SUM(D68*E68)</f>
        <v>2250</v>
      </c>
    </row>
    <row r="69" spans="1:6" ht="15">
      <c r="A69" s="22" t="s">
        <v>13</v>
      </c>
      <c r="B69" s="67" t="s">
        <v>86</v>
      </c>
      <c r="C69" s="12" t="s">
        <v>173</v>
      </c>
      <c r="D69" s="38">
        <v>70</v>
      </c>
      <c r="E69" s="156">
        <f>'[1]A_III_ BETONSKI I AB'!E69</f>
        <v>60</v>
      </c>
      <c r="F69" s="39">
        <f>SUM(D69*E69)</f>
        <v>4200</v>
      </c>
    </row>
    <row r="70" spans="1:6">
      <c r="A70" s="22"/>
      <c r="B70" s="67"/>
      <c r="D70" s="38"/>
      <c r="E70" s="39"/>
      <c r="F70" s="39"/>
    </row>
    <row r="71" spans="1:6" ht="82.5" customHeight="1">
      <c r="A71" s="43">
        <v>16</v>
      </c>
      <c r="B71" s="67" t="s">
        <v>357</v>
      </c>
      <c r="D71" s="38"/>
      <c r="E71" s="39"/>
      <c r="F71" s="39"/>
    </row>
    <row r="72" spans="1:6" ht="15">
      <c r="A72" s="22" t="s">
        <v>12</v>
      </c>
      <c r="B72" s="10" t="s">
        <v>347</v>
      </c>
      <c r="C72" s="12" t="s">
        <v>172</v>
      </c>
      <c r="D72" s="38">
        <v>1.2</v>
      </c>
      <c r="E72" s="156">
        <f>'[1]A_III_ BETONSKI I AB'!E72</f>
        <v>500</v>
      </c>
      <c r="F72" s="39">
        <f>SUM(D72*E72)</f>
        <v>600</v>
      </c>
    </row>
    <row r="73" spans="1:6" ht="15">
      <c r="A73" s="22" t="s">
        <v>13</v>
      </c>
      <c r="B73" s="67" t="s">
        <v>86</v>
      </c>
      <c r="C73" s="12" t="s">
        <v>173</v>
      </c>
      <c r="D73" s="38">
        <v>10</v>
      </c>
      <c r="E73" s="156">
        <f>'[1]A_III_ BETONSKI I AB'!E73</f>
        <v>100</v>
      </c>
      <c r="F73" s="39">
        <f>SUM(D73*E73)</f>
        <v>1000</v>
      </c>
    </row>
    <row r="74" spans="1:6">
      <c r="A74" s="22"/>
      <c r="B74" s="67"/>
      <c r="D74" s="38"/>
      <c r="E74" s="39"/>
      <c r="F74" s="39"/>
    </row>
    <row r="75" spans="1:6" ht="140.25" customHeight="1">
      <c r="A75" s="43">
        <v>17</v>
      </c>
      <c r="B75" s="37" t="s">
        <v>362</v>
      </c>
      <c r="D75" s="38"/>
      <c r="E75" s="39"/>
      <c r="F75" s="39"/>
    </row>
    <row r="76" spans="1:6" ht="15">
      <c r="A76" s="22" t="s">
        <v>12</v>
      </c>
      <c r="B76" s="10" t="s">
        <v>347</v>
      </c>
      <c r="C76" s="12" t="s">
        <v>173</v>
      </c>
      <c r="D76" s="38">
        <v>45</v>
      </c>
      <c r="E76" s="156">
        <f>'[1]A_III_ BETONSKI I AB'!E76</f>
        <v>200</v>
      </c>
      <c r="F76" s="39">
        <f>SUM(D76*E76)</f>
        <v>9000</v>
      </c>
    </row>
    <row r="77" spans="1:6">
      <c r="A77" s="22"/>
      <c r="B77" s="67"/>
      <c r="D77" s="38"/>
      <c r="E77" s="39"/>
      <c r="F77" s="39"/>
    </row>
    <row r="78" spans="1:6" ht="92.4">
      <c r="A78" s="43">
        <v>18</v>
      </c>
      <c r="B78" s="67" t="s">
        <v>358</v>
      </c>
      <c r="D78" s="38"/>
      <c r="E78" s="39"/>
      <c r="F78" s="39"/>
    </row>
    <row r="79" spans="1:6" ht="15">
      <c r="A79" s="22" t="s">
        <v>12</v>
      </c>
      <c r="B79" s="10" t="s">
        <v>347</v>
      </c>
      <c r="C79" s="12" t="s">
        <v>172</v>
      </c>
      <c r="D79" s="38">
        <v>30</v>
      </c>
      <c r="E79" s="156">
        <f>'[1]A_III_ BETONSKI I AB'!E79</f>
        <v>250</v>
      </c>
      <c r="F79" s="39">
        <f>SUM(D79*E79)</f>
        <v>7500</v>
      </c>
    </row>
    <row r="80" spans="1:6" ht="15">
      <c r="A80" s="22" t="s">
        <v>13</v>
      </c>
      <c r="B80" s="67" t="s">
        <v>112</v>
      </c>
      <c r="C80" s="12" t="s">
        <v>173</v>
      </c>
      <c r="D80" s="38">
        <v>115</v>
      </c>
      <c r="E80" s="156">
        <f>'[1]A_III_ BETONSKI I AB'!E80</f>
        <v>60</v>
      </c>
      <c r="F80" s="39">
        <f>SUM(D80*E80)</f>
        <v>6900</v>
      </c>
    </row>
    <row r="81" spans="1:6" ht="15">
      <c r="A81" s="22" t="s">
        <v>14</v>
      </c>
      <c r="B81" s="67" t="s">
        <v>236</v>
      </c>
      <c r="C81" s="12" t="s">
        <v>173</v>
      </c>
      <c r="D81" s="38">
        <v>10</v>
      </c>
      <c r="E81" s="156">
        <f>'[1]A_III_ BETONSKI I AB'!E81</f>
        <v>100</v>
      </c>
      <c r="F81" s="39">
        <f>SUM(D81*E81)</f>
        <v>1000</v>
      </c>
    </row>
    <row r="82" spans="1:6">
      <c r="A82" s="22"/>
      <c r="B82" s="67"/>
      <c r="D82" s="38"/>
      <c r="E82" s="39"/>
      <c r="F82" s="39"/>
    </row>
    <row r="83" spans="1:6" ht="95.25" customHeight="1">
      <c r="A83" s="43">
        <v>19</v>
      </c>
      <c r="B83" s="67" t="s">
        <v>359</v>
      </c>
      <c r="D83" s="38"/>
      <c r="E83" s="39"/>
      <c r="F83" s="39"/>
    </row>
    <row r="84" spans="1:6" ht="15">
      <c r="A84" s="22" t="s">
        <v>12</v>
      </c>
      <c r="B84" s="10" t="s">
        <v>347</v>
      </c>
      <c r="C84" s="12" t="s">
        <v>172</v>
      </c>
      <c r="D84" s="38">
        <v>3.2</v>
      </c>
      <c r="E84" s="156">
        <f>'[1]A_III_ BETONSKI I AB'!E84</f>
        <v>500</v>
      </c>
      <c r="F84" s="39">
        <f>SUM(D84*E84)</f>
        <v>1600</v>
      </c>
    </row>
    <row r="85" spans="1:6" ht="15">
      <c r="A85" s="22" t="s">
        <v>13</v>
      </c>
      <c r="B85" s="67" t="s">
        <v>86</v>
      </c>
      <c r="C85" s="12" t="s">
        <v>173</v>
      </c>
      <c r="D85" s="38">
        <v>30</v>
      </c>
      <c r="E85" s="156">
        <f>'[1]A_III_ BETONSKI I AB'!E85</f>
        <v>100</v>
      </c>
      <c r="F85" s="39">
        <f>SUM(D85*E85)</f>
        <v>3000</v>
      </c>
    </row>
    <row r="86" spans="1:6">
      <c r="A86" s="22"/>
      <c r="B86" s="67"/>
      <c r="D86" s="38"/>
      <c r="E86" s="39"/>
      <c r="F86" s="39"/>
    </row>
    <row r="87" spans="1:6" ht="82.5" customHeight="1">
      <c r="A87" s="43">
        <v>20</v>
      </c>
      <c r="B87" s="67" t="s">
        <v>360</v>
      </c>
      <c r="D87" s="38"/>
      <c r="E87" s="39"/>
      <c r="F87" s="39"/>
    </row>
    <row r="88" spans="1:6" ht="15">
      <c r="A88" s="22" t="s">
        <v>12</v>
      </c>
      <c r="B88" s="10" t="s">
        <v>347</v>
      </c>
      <c r="C88" s="12" t="s">
        <v>172</v>
      </c>
      <c r="D88" s="38">
        <v>7</v>
      </c>
      <c r="E88" s="156">
        <f>'[1]A_III_ BETONSKI I AB'!E88</f>
        <v>250</v>
      </c>
      <c r="F88" s="39">
        <f>SUM(D88*E88)</f>
        <v>1750</v>
      </c>
    </row>
    <row r="89" spans="1:6" ht="15">
      <c r="A89" s="22" t="s">
        <v>13</v>
      </c>
      <c r="B89" s="67" t="s">
        <v>86</v>
      </c>
      <c r="C89" s="12" t="s">
        <v>173</v>
      </c>
      <c r="D89" s="38">
        <v>58</v>
      </c>
      <c r="E89" s="156">
        <f>'[1]A_III_ BETONSKI I AB'!E89</f>
        <v>60</v>
      </c>
      <c r="F89" s="39">
        <f>SUM(D89*E89)</f>
        <v>3480</v>
      </c>
    </row>
    <row r="90" spans="1:6">
      <c r="A90" s="22"/>
      <c r="B90" s="67"/>
      <c r="D90" s="38"/>
      <c r="E90" s="39"/>
      <c r="F90" s="39"/>
    </row>
    <row r="91" spans="1:6" ht="83.25" customHeight="1">
      <c r="A91" s="43">
        <v>21</v>
      </c>
      <c r="B91" s="67" t="s">
        <v>361</v>
      </c>
      <c r="D91" s="38"/>
      <c r="E91" s="39"/>
      <c r="F91" s="39"/>
    </row>
    <row r="92" spans="1:6" ht="15">
      <c r="A92" s="22" t="s">
        <v>12</v>
      </c>
      <c r="B92" s="10" t="s">
        <v>347</v>
      </c>
      <c r="C92" s="12" t="s">
        <v>172</v>
      </c>
      <c r="D92" s="38">
        <v>17.5</v>
      </c>
      <c r="E92" s="156">
        <f>'[1]A_III_ BETONSKI I AB'!E92</f>
        <v>500</v>
      </c>
      <c r="F92" s="39">
        <f>SUM(D92*E92)</f>
        <v>8750</v>
      </c>
    </row>
    <row r="93" spans="1:6" ht="15">
      <c r="A93" s="22" t="s">
        <v>13</v>
      </c>
      <c r="B93" s="67" t="s">
        <v>86</v>
      </c>
      <c r="C93" s="12" t="s">
        <v>173</v>
      </c>
      <c r="D93" s="38">
        <v>34</v>
      </c>
      <c r="E93" s="156">
        <f>'[1]A_III_ BETONSKI I AB'!E93</f>
        <v>100</v>
      </c>
      <c r="F93" s="39">
        <f>SUM(D93*E93)</f>
        <v>3400</v>
      </c>
    </row>
    <row r="94" spans="1:6">
      <c r="A94" s="22"/>
      <c r="B94" s="67"/>
      <c r="D94" s="38"/>
      <c r="E94" s="39"/>
      <c r="F94" s="39"/>
    </row>
    <row r="95" spans="1:6" ht="132">
      <c r="A95" s="43">
        <v>22</v>
      </c>
      <c r="B95" s="37" t="s">
        <v>363</v>
      </c>
      <c r="D95" s="38"/>
      <c r="E95" s="39"/>
      <c r="F95" s="39"/>
    </row>
    <row r="96" spans="1:6" ht="15">
      <c r="A96" s="22" t="s">
        <v>12</v>
      </c>
      <c r="B96" s="10" t="s">
        <v>347</v>
      </c>
      <c r="C96" s="12" t="s">
        <v>173</v>
      </c>
      <c r="D96" s="38">
        <v>20</v>
      </c>
      <c r="E96" s="156">
        <f>'[1]A_III_ BETONSKI I AB'!E96</f>
        <v>200</v>
      </c>
      <c r="F96" s="39">
        <f>SUM(D96*E96)</f>
        <v>4000</v>
      </c>
    </row>
    <row r="97" spans="1:6">
      <c r="A97" s="22"/>
      <c r="B97" s="67"/>
      <c r="D97" s="38"/>
      <c r="E97" s="39"/>
      <c r="F97" s="39"/>
    </row>
    <row r="98" spans="1:6" ht="83.25" customHeight="1">
      <c r="A98" s="22">
        <v>23</v>
      </c>
      <c r="B98" s="67" t="s">
        <v>367</v>
      </c>
      <c r="D98" s="38"/>
      <c r="E98" s="39"/>
      <c r="F98" s="39"/>
    </row>
    <row r="99" spans="1:6">
      <c r="A99" s="22" t="s">
        <v>12</v>
      </c>
      <c r="B99" s="10" t="s">
        <v>338</v>
      </c>
      <c r="C99" s="12" t="s">
        <v>18</v>
      </c>
      <c r="D99" s="38">
        <v>8320</v>
      </c>
      <c r="E99" s="156">
        <f>'[1]A_III_ BETONSKI I AB'!E99</f>
        <v>2</v>
      </c>
      <c r="F99" s="39">
        <f t="shared" ref="F99:F106" si="0">SUM(D99*E99)</f>
        <v>16640</v>
      </c>
    </row>
    <row r="100" spans="1:6">
      <c r="A100" s="22" t="s">
        <v>13</v>
      </c>
      <c r="B100" s="10" t="s">
        <v>339</v>
      </c>
      <c r="C100" s="12" t="s">
        <v>18</v>
      </c>
      <c r="D100" s="38">
        <v>2230</v>
      </c>
      <c r="E100" s="156">
        <f>'[1]A_III_ BETONSKI I AB'!E100</f>
        <v>2</v>
      </c>
      <c r="F100" s="39">
        <f t="shared" si="0"/>
        <v>4460</v>
      </c>
    </row>
    <row r="101" spans="1:6">
      <c r="A101" s="22" t="s">
        <v>14</v>
      </c>
      <c r="B101" s="10" t="s">
        <v>340</v>
      </c>
      <c r="C101" s="12" t="s">
        <v>18</v>
      </c>
      <c r="D101" s="38">
        <v>2450</v>
      </c>
      <c r="E101" s="156">
        <f>'[1]A_III_ BETONSKI I AB'!E101</f>
        <v>2</v>
      </c>
      <c r="F101" s="39">
        <f t="shared" si="0"/>
        <v>4900</v>
      </c>
    </row>
    <row r="102" spans="1:6">
      <c r="A102" s="22" t="s">
        <v>15</v>
      </c>
      <c r="B102" s="10" t="s">
        <v>341</v>
      </c>
      <c r="C102" s="12" t="s">
        <v>18</v>
      </c>
      <c r="D102" s="38">
        <v>2766</v>
      </c>
      <c r="E102" s="156">
        <f>'[1]A_III_ BETONSKI I AB'!E102</f>
        <v>2</v>
      </c>
      <c r="F102" s="39">
        <f t="shared" si="0"/>
        <v>5532</v>
      </c>
    </row>
    <row r="103" spans="1:6">
      <c r="A103" s="22" t="s">
        <v>21</v>
      </c>
      <c r="B103" s="10" t="s">
        <v>342</v>
      </c>
      <c r="C103" s="12" t="s">
        <v>18</v>
      </c>
      <c r="D103" s="38">
        <v>1410</v>
      </c>
      <c r="E103" s="156">
        <f>'[1]A_III_ BETONSKI I AB'!E103</f>
        <v>2</v>
      </c>
      <c r="F103" s="39">
        <f t="shared" si="0"/>
        <v>2820</v>
      </c>
    </row>
    <row r="104" spans="1:6">
      <c r="A104" s="22" t="s">
        <v>89</v>
      </c>
      <c r="B104" s="10" t="s">
        <v>343</v>
      </c>
      <c r="C104" s="12" t="s">
        <v>18</v>
      </c>
      <c r="D104" s="38">
        <v>3400</v>
      </c>
      <c r="E104" s="156">
        <f>'[1]A_III_ BETONSKI I AB'!E104</f>
        <v>2</v>
      </c>
      <c r="F104" s="39">
        <f t="shared" si="0"/>
        <v>6800</v>
      </c>
    </row>
    <row r="105" spans="1:6">
      <c r="A105" s="22" t="s">
        <v>1</v>
      </c>
      <c r="B105" s="10" t="s">
        <v>344</v>
      </c>
      <c r="C105" s="12" t="s">
        <v>18</v>
      </c>
      <c r="D105" s="38">
        <v>2515</v>
      </c>
      <c r="E105" s="156">
        <f>'[1]A_III_ BETONSKI I AB'!E105</f>
        <v>2</v>
      </c>
      <c r="F105" s="39">
        <f t="shared" si="0"/>
        <v>5030</v>
      </c>
    </row>
    <row r="106" spans="1:6">
      <c r="A106" s="22" t="s">
        <v>2</v>
      </c>
      <c r="B106" s="10" t="s">
        <v>345</v>
      </c>
      <c r="C106" s="12" t="s">
        <v>18</v>
      </c>
      <c r="D106" s="38">
        <v>725</v>
      </c>
      <c r="E106" s="156">
        <f>'[1]A_III_ BETONSKI I AB'!E106</f>
        <v>5</v>
      </c>
      <c r="F106" s="39">
        <f t="shared" si="0"/>
        <v>3625</v>
      </c>
    </row>
    <row r="107" spans="1:6">
      <c r="A107" s="22"/>
      <c r="D107" s="38"/>
      <c r="E107" s="39"/>
      <c r="F107" s="39"/>
    </row>
    <row r="108" spans="1:6">
      <c r="A108" s="99"/>
      <c r="B108" s="95" t="s">
        <v>157</v>
      </c>
      <c r="C108" s="96"/>
      <c r="D108" s="100"/>
      <c r="E108" s="98"/>
      <c r="F108" s="91">
        <f>SUM(F1:F107)</f>
        <v>192502</v>
      </c>
    </row>
  </sheetData>
  <sheetProtection algorithmName="SHA-512" hashValue="J6bhAcBKEdJ1qs/pAQxSqVfnObjGjAo9VRA4Mpy4YdsjAOSYOjgjoMvirA9kXUSWW9heMrwmG/HiTKK8JFyCnQ==" saltValue="YjHgnJqFStJ/DkyfqV3Ugw=="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rowBreaks count="1" manualBreakCount="1">
    <brk id="30" max="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39997558519241921"/>
  </sheetPr>
  <dimension ref="A1:G26"/>
  <sheetViews>
    <sheetView zoomScale="90" zoomScaleNormal="90" zoomScaleSheetLayoutView="115" workbookViewId="0">
      <selection activeCell="E8" sqref="E8:E14"/>
    </sheetView>
  </sheetViews>
  <sheetFormatPr defaultColWidth="9.109375" defaultRowHeight="13.2"/>
  <cols>
    <col min="1" max="1" width="6.6640625" style="10" customWidth="1"/>
    <col min="2" max="2" width="57.6640625" style="10" customWidth="1"/>
    <col min="3" max="3" width="10.44140625" style="12" customWidth="1"/>
    <col min="4" max="4" width="9.33203125" style="10" customWidth="1"/>
    <col min="5" max="5" width="11.109375" style="10" customWidth="1"/>
    <col min="6" max="6" width="16.44140625" style="10" customWidth="1"/>
    <col min="7" max="10" width="9.109375" style="10"/>
    <col min="11" max="11" width="57.6640625" style="10" customWidth="1"/>
    <col min="12" max="16384" width="9.109375" style="10"/>
  </cols>
  <sheetData>
    <row r="1" spans="1:7" ht="13.8" thickBot="1">
      <c r="A1" s="867" t="s">
        <v>41</v>
      </c>
      <c r="B1" s="868" t="s">
        <v>40</v>
      </c>
      <c r="C1" s="881"/>
      <c r="D1" s="876"/>
      <c r="E1" s="871"/>
      <c r="F1" s="871"/>
    </row>
    <row r="3" spans="1:7" s="20" customFormat="1" ht="14.25" customHeight="1">
      <c r="A3" s="1527" t="s">
        <v>145</v>
      </c>
      <c r="B3" s="1528" t="s">
        <v>146</v>
      </c>
      <c r="C3" s="1529" t="s">
        <v>147</v>
      </c>
      <c r="D3" s="1532" t="s">
        <v>148</v>
      </c>
      <c r="E3" s="1532" t="s">
        <v>149</v>
      </c>
      <c r="F3" s="1532"/>
      <c r="G3" s="1537" t="s">
        <v>2523</v>
      </c>
    </row>
    <row r="4" spans="1:7" s="20" customFormat="1">
      <c r="A4" s="1527"/>
      <c r="B4" s="1528"/>
      <c r="C4" s="1530"/>
      <c r="D4" s="1532"/>
      <c r="E4" s="1532"/>
      <c r="F4" s="1532"/>
      <c r="G4" s="1537"/>
    </row>
    <row r="5" spans="1:7" s="20" customFormat="1">
      <c r="A5" s="1527"/>
      <c r="B5" s="1528"/>
      <c r="C5" s="1531"/>
      <c r="D5" s="1532"/>
      <c r="E5" s="49" t="s">
        <v>150</v>
      </c>
      <c r="F5" s="50" t="s">
        <v>151</v>
      </c>
      <c r="G5" s="1537"/>
    </row>
    <row r="6" spans="1:7" s="20" customFormat="1">
      <c r="A6" s="52"/>
      <c r="B6" s="53"/>
      <c r="C6" s="54"/>
      <c r="D6" s="55"/>
      <c r="E6" s="56"/>
      <c r="F6" s="57"/>
    </row>
    <row r="7" spans="1:7" ht="66">
      <c r="A7" s="43">
        <v>1</v>
      </c>
      <c r="B7" s="67" t="s">
        <v>2552</v>
      </c>
      <c r="C7" s="39"/>
      <c r="D7" s="38"/>
      <c r="E7" s="39"/>
      <c r="F7" s="39"/>
    </row>
    <row r="8" spans="1:7" ht="15">
      <c r="A8" s="22" t="s">
        <v>12</v>
      </c>
      <c r="B8" s="10" t="s">
        <v>239</v>
      </c>
      <c r="C8" s="12" t="s">
        <v>172</v>
      </c>
      <c r="D8" s="38">
        <v>10</v>
      </c>
      <c r="E8" s="156">
        <f>'[1]A_IV_ ZIDARSKI RADOVI'!E8</f>
        <v>350</v>
      </c>
      <c r="F8" s="68">
        <f>SUM(D8*E8)</f>
        <v>3500</v>
      </c>
    </row>
    <row r="9" spans="1:7" ht="15">
      <c r="A9" s="22" t="s">
        <v>13</v>
      </c>
      <c r="B9" s="10" t="s">
        <v>240</v>
      </c>
      <c r="C9" s="12" t="s">
        <v>172</v>
      </c>
      <c r="D9" s="38">
        <v>15.5</v>
      </c>
      <c r="E9" s="156">
        <f>'[1]A_IV_ ZIDARSKI RADOVI'!E9</f>
        <v>350</v>
      </c>
      <c r="F9" s="68">
        <f>SUM(D9*E9)</f>
        <v>5425</v>
      </c>
    </row>
    <row r="10" spans="1:7" ht="15">
      <c r="A10" s="22" t="s">
        <v>14</v>
      </c>
      <c r="B10" s="10" t="s">
        <v>241</v>
      </c>
      <c r="C10" s="12" t="s">
        <v>172</v>
      </c>
      <c r="D10" s="38">
        <v>6</v>
      </c>
      <c r="E10" s="156">
        <f>'[1]A_IV_ ZIDARSKI RADOVI'!E10</f>
        <v>350</v>
      </c>
      <c r="F10" s="68">
        <f>SUM(D10*E10)</f>
        <v>2100</v>
      </c>
    </row>
    <row r="11" spans="1:7">
      <c r="A11" s="22"/>
      <c r="D11" s="38"/>
      <c r="E11" s="39"/>
      <c r="F11" s="68"/>
    </row>
    <row r="12" spans="1:7" ht="52.8">
      <c r="A12" s="43">
        <v>2</v>
      </c>
      <c r="B12" s="67" t="s">
        <v>2553</v>
      </c>
      <c r="C12" s="39"/>
      <c r="D12" s="38"/>
      <c r="E12" s="39"/>
      <c r="F12" s="39"/>
    </row>
    <row r="13" spans="1:7" ht="15">
      <c r="B13" s="10" t="s">
        <v>242</v>
      </c>
      <c r="C13" s="12" t="s">
        <v>172</v>
      </c>
      <c r="D13" s="38">
        <v>1.2</v>
      </c>
      <c r="E13" s="156">
        <f>'[1]A_IV_ ZIDARSKI RADOVI'!E13</f>
        <v>350</v>
      </c>
      <c r="F13" s="68">
        <f>SUM(D13*E13)</f>
        <v>420</v>
      </c>
    </row>
    <row r="14" spans="1:7" ht="15">
      <c r="B14" s="10" t="s">
        <v>243</v>
      </c>
      <c r="C14" s="12" t="s">
        <v>172</v>
      </c>
      <c r="D14" s="38">
        <v>2</v>
      </c>
      <c r="E14" s="156">
        <f>'[1]A_IV_ ZIDARSKI RADOVI'!E14</f>
        <v>350</v>
      </c>
      <c r="F14" s="68">
        <f>SUM(D14*E14)</f>
        <v>700</v>
      </c>
    </row>
    <row r="15" spans="1:7">
      <c r="D15" s="38"/>
      <c r="E15" s="39"/>
      <c r="F15" s="68"/>
    </row>
    <row r="16" spans="1:7">
      <c r="A16" s="99"/>
      <c r="B16" s="95" t="s">
        <v>169</v>
      </c>
      <c r="C16" s="96"/>
      <c r="D16" s="100"/>
      <c r="E16" s="98"/>
      <c r="F16" s="91">
        <f>SUM(F8:F14)</f>
        <v>12145</v>
      </c>
    </row>
    <row r="17" spans="1:6">
      <c r="A17" s="43"/>
      <c r="B17" s="43"/>
      <c r="C17" s="44"/>
      <c r="D17" s="45"/>
      <c r="E17" s="46"/>
      <c r="F17" s="47"/>
    </row>
    <row r="26" spans="1:6" ht="62.25" customHeight="1"/>
  </sheetData>
  <sheetProtection algorithmName="SHA-512" hashValue="0Gd6Sfre+6Z2Xg5W75/GwTaZ6c0MVbWmcWZ4uA2p2bnbWwWFQBDu4TYK3L5KREtDFmkeb/rYy1R/rmStMTDR6Q==" saltValue="rEJMU3LCiAb5ftuBPPxVuw=="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sheetPr>
  <dimension ref="A1:G276"/>
  <sheetViews>
    <sheetView zoomScale="90" zoomScaleNormal="90" zoomScaleSheetLayoutView="90" workbookViewId="0">
      <selection activeCell="E8" sqref="E8:E24"/>
    </sheetView>
  </sheetViews>
  <sheetFormatPr defaultColWidth="9.109375" defaultRowHeight="13.2"/>
  <cols>
    <col min="1" max="1" width="6.6640625" style="10" customWidth="1"/>
    <col min="2" max="2" width="57.6640625" style="10" customWidth="1"/>
    <col min="3" max="3" width="10.44140625" style="12" customWidth="1"/>
    <col min="4" max="4" width="9.33203125" style="10" customWidth="1"/>
    <col min="5" max="5" width="10.109375" style="10" bestFit="1" customWidth="1"/>
    <col min="6" max="6" width="15.44140625" style="10" customWidth="1"/>
    <col min="7" max="10" width="9.109375" style="10"/>
    <col min="11" max="11" width="57.6640625" style="10" customWidth="1"/>
    <col min="12" max="16384" width="9.109375" style="10"/>
  </cols>
  <sheetData>
    <row r="1" spans="1:7" ht="13.8" thickBot="1">
      <c r="A1" s="867" t="s">
        <v>19</v>
      </c>
      <c r="B1" s="868" t="s">
        <v>20</v>
      </c>
      <c r="C1" s="881"/>
      <c r="D1" s="876"/>
      <c r="E1" s="871"/>
      <c r="F1" s="871"/>
    </row>
    <row r="3" spans="1:7" s="20" customFormat="1" ht="14.25" customHeight="1">
      <c r="A3" s="1527" t="s">
        <v>145</v>
      </c>
      <c r="B3" s="1528" t="s">
        <v>146</v>
      </c>
      <c r="C3" s="1529" t="s">
        <v>147</v>
      </c>
      <c r="D3" s="1532" t="s">
        <v>148</v>
      </c>
      <c r="E3" s="1532" t="s">
        <v>149</v>
      </c>
      <c r="F3" s="1532"/>
      <c r="G3" s="1537" t="s">
        <v>2523</v>
      </c>
    </row>
    <row r="4" spans="1:7" s="20" customFormat="1">
      <c r="A4" s="1527"/>
      <c r="B4" s="1528"/>
      <c r="C4" s="1530"/>
      <c r="D4" s="1532"/>
      <c r="E4" s="1532"/>
      <c r="F4" s="1532"/>
      <c r="G4" s="1537"/>
    </row>
    <row r="5" spans="1:7" s="20" customFormat="1">
      <c r="A5" s="1527"/>
      <c r="B5" s="1528"/>
      <c r="C5" s="1531"/>
      <c r="D5" s="1532"/>
      <c r="E5" s="49" t="s">
        <v>150</v>
      </c>
      <c r="F5" s="50" t="s">
        <v>151</v>
      </c>
      <c r="G5" s="1537"/>
    </row>
    <row r="6" spans="1:7" s="20" customFormat="1">
      <c r="A6" s="52"/>
      <c r="B6" s="53"/>
      <c r="C6" s="54"/>
      <c r="D6" s="55"/>
      <c r="E6" s="56"/>
      <c r="F6" s="57"/>
    </row>
    <row r="7" spans="1:7" ht="92.4">
      <c r="A7" s="43">
        <v>1</v>
      </c>
      <c r="B7" s="37" t="s">
        <v>177</v>
      </c>
      <c r="D7" s="13"/>
      <c r="E7" s="14"/>
      <c r="F7" s="14"/>
    </row>
    <row r="8" spans="1:7" ht="15">
      <c r="A8" s="22"/>
      <c r="B8" s="94" t="s">
        <v>0</v>
      </c>
      <c r="C8" s="12" t="s">
        <v>173</v>
      </c>
      <c r="D8" s="38">
        <v>150</v>
      </c>
      <c r="E8" s="156">
        <f>'[1]A_V_ IZOLATERSKI RADOVI'!E8</f>
        <v>30</v>
      </c>
      <c r="F8" s="39">
        <f>SUM(D8*E8)</f>
        <v>4500</v>
      </c>
    </row>
    <row r="9" spans="1:7">
      <c r="A9" s="43"/>
      <c r="B9" s="37"/>
      <c r="D9" s="13"/>
      <c r="E9" s="14"/>
      <c r="F9" s="14"/>
    </row>
    <row r="10" spans="1:7" ht="120.6">
      <c r="A10" s="43">
        <v>2</v>
      </c>
      <c r="B10" s="67" t="s">
        <v>178</v>
      </c>
      <c r="D10" s="38"/>
      <c r="E10" s="14"/>
      <c r="F10" s="39"/>
    </row>
    <row r="11" spans="1:7" ht="26.4">
      <c r="A11" s="22" t="s">
        <v>12</v>
      </c>
      <c r="B11" s="94" t="s">
        <v>124</v>
      </c>
      <c r="C11" s="12" t="s">
        <v>173</v>
      </c>
      <c r="D11" s="38">
        <v>60</v>
      </c>
      <c r="E11" s="156">
        <f>'[1]A_V_ IZOLATERSKI RADOVI'!E11</f>
        <v>40</v>
      </c>
      <c r="F11" s="39">
        <f>D11*E11</f>
        <v>2400</v>
      </c>
    </row>
    <row r="12" spans="1:7" ht="39.6">
      <c r="A12" s="22" t="s">
        <v>13</v>
      </c>
      <c r="B12" s="94" t="s">
        <v>125</v>
      </c>
      <c r="C12" s="12" t="s">
        <v>173</v>
      </c>
      <c r="D12" s="38">
        <v>36</v>
      </c>
      <c r="E12" s="156">
        <f>'[1]A_V_ IZOLATERSKI RADOVI'!E12</f>
        <v>10</v>
      </c>
      <c r="F12" s="39">
        <f>D12*E12</f>
        <v>360</v>
      </c>
    </row>
    <row r="13" spans="1:7">
      <c r="A13" s="43"/>
      <c r="B13" s="37"/>
      <c r="C13" s="10"/>
      <c r="D13" s="13"/>
      <c r="E13" s="14"/>
      <c r="F13" s="39"/>
    </row>
    <row r="14" spans="1:7" ht="52.8">
      <c r="A14" s="43">
        <v>3</v>
      </c>
      <c r="B14" s="37" t="s">
        <v>244</v>
      </c>
      <c r="C14" s="60"/>
      <c r="D14" s="61"/>
      <c r="E14" s="19"/>
      <c r="F14" s="39"/>
    </row>
    <row r="15" spans="1:7">
      <c r="A15" s="43"/>
      <c r="B15" s="94" t="s">
        <v>2110</v>
      </c>
      <c r="C15" s="60"/>
      <c r="D15" s="61"/>
      <c r="E15" s="19"/>
      <c r="F15" s="39"/>
    </row>
    <row r="16" spans="1:7" ht="15">
      <c r="A16" s="22"/>
      <c r="B16" s="94" t="s">
        <v>114</v>
      </c>
      <c r="C16" s="60" t="s">
        <v>173</v>
      </c>
      <c r="D16" s="61">
        <v>25</v>
      </c>
      <c r="E16" s="1316">
        <f>'[1]A_V_ IZOLATERSKI RADOVI'!E16</f>
        <v>50</v>
      </c>
      <c r="F16" s="39">
        <f>D16*E16</f>
        <v>1250</v>
      </c>
    </row>
    <row r="17" spans="1:6" ht="15">
      <c r="A17" s="22"/>
      <c r="B17" s="94" t="s">
        <v>245</v>
      </c>
      <c r="C17" s="60" t="s">
        <v>173</v>
      </c>
      <c r="D17" s="61">
        <v>10</v>
      </c>
      <c r="E17" s="1316">
        <f>'[1]A_V_ IZOLATERSKI RADOVI'!E17</f>
        <v>40</v>
      </c>
      <c r="F17" s="39">
        <f>D17*E17</f>
        <v>400</v>
      </c>
    </row>
    <row r="18" spans="1:6">
      <c r="A18" s="22"/>
      <c r="B18" s="94"/>
      <c r="C18" s="60"/>
      <c r="D18" s="61"/>
      <c r="E18" s="62"/>
      <c r="F18" s="39"/>
    </row>
    <row r="19" spans="1:6" ht="66">
      <c r="A19" s="43">
        <v>4</v>
      </c>
      <c r="B19" s="37" t="s">
        <v>246</v>
      </c>
      <c r="D19" s="38"/>
      <c r="E19" s="14"/>
      <c r="F19" s="39"/>
    </row>
    <row r="20" spans="1:6">
      <c r="B20" s="94" t="s">
        <v>2156</v>
      </c>
      <c r="D20" s="38"/>
      <c r="E20" s="39"/>
      <c r="F20" s="39"/>
    </row>
    <row r="21" spans="1:6" ht="15">
      <c r="A21" s="22" t="s">
        <v>12</v>
      </c>
      <c r="B21" s="94" t="s">
        <v>96</v>
      </c>
      <c r="C21" s="60" t="s">
        <v>173</v>
      </c>
      <c r="D21" s="61">
        <v>130</v>
      </c>
      <c r="E21" s="1316">
        <f>'[1]A_V_ IZOLATERSKI RADOVI'!E21</f>
        <v>40</v>
      </c>
      <c r="F21" s="62">
        <f>SUM(D21*E21)</f>
        <v>5200</v>
      </c>
    </row>
    <row r="22" spans="1:6" ht="15">
      <c r="A22" s="22" t="s">
        <v>13</v>
      </c>
      <c r="B22" s="94" t="s">
        <v>179</v>
      </c>
      <c r="C22" s="60" t="s">
        <v>173</v>
      </c>
      <c r="D22" s="61">
        <v>150</v>
      </c>
      <c r="E22" s="1316">
        <f>'[1]A_V_ IZOLATERSKI RADOVI'!E22</f>
        <v>5</v>
      </c>
      <c r="F22" s="62">
        <f>SUM(D22*E22)</f>
        <v>750</v>
      </c>
    </row>
    <row r="23" spans="1:6" ht="15">
      <c r="A23" s="22" t="s">
        <v>14</v>
      </c>
      <c r="B23" s="94" t="s">
        <v>92</v>
      </c>
      <c r="C23" s="60" t="s">
        <v>173</v>
      </c>
      <c r="D23" s="61">
        <v>150</v>
      </c>
      <c r="E23" s="1316">
        <f>'[1]A_V_ IZOLATERSKI RADOVI'!E23</f>
        <v>2</v>
      </c>
      <c r="F23" s="62">
        <f>SUM(D23*E23)</f>
        <v>300</v>
      </c>
    </row>
    <row r="24" spans="1:6" ht="15">
      <c r="A24" s="22" t="s">
        <v>15</v>
      </c>
      <c r="B24" s="94" t="s">
        <v>113</v>
      </c>
      <c r="C24" s="60" t="s">
        <v>173</v>
      </c>
      <c r="D24" s="61">
        <v>130</v>
      </c>
      <c r="E24" s="1316">
        <f>'[1]A_V_ IZOLATERSKI RADOVI'!E24</f>
        <v>15</v>
      </c>
      <c r="F24" s="39">
        <f>D24*E24</f>
        <v>1950</v>
      </c>
    </row>
    <row r="25" spans="1:6">
      <c r="A25" s="22"/>
      <c r="B25" s="37"/>
      <c r="D25" s="38"/>
      <c r="E25" s="14"/>
      <c r="F25" s="39"/>
    </row>
    <row r="26" spans="1:6">
      <c r="A26" s="87"/>
      <c r="B26" s="95" t="s">
        <v>168</v>
      </c>
      <c r="C26" s="96"/>
      <c r="D26" s="97"/>
      <c r="E26" s="98" t="s">
        <v>159</v>
      </c>
      <c r="F26" s="91">
        <f>SUM(F8:F24)</f>
        <v>17110</v>
      </c>
    </row>
    <row r="27" spans="1:6">
      <c r="C27" s="10"/>
    </row>
    <row r="28" spans="1:6">
      <c r="C28" s="10"/>
    </row>
    <row r="29" spans="1:6">
      <c r="C29" s="10"/>
    </row>
    <row r="30" spans="1:6">
      <c r="C30" s="10"/>
    </row>
    <row r="31" spans="1:6">
      <c r="C31" s="10"/>
    </row>
    <row r="32" spans="1:6">
      <c r="C32" s="10"/>
    </row>
    <row r="33" s="10" customFormat="1"/>
    <row r="34" s="10" customFormat="1"/>
    <row r="35" s="10" customFormat="1"/>
    <row r="36" s="10" customFormat="1"/>
    <row r="37" s="10" customFormat="1"/>
    <row r="38" s="10" customFormat="1"/>
    <row r="39" s="10" customFormat="1"/>
    <row r="40" s="10" customFormat="1"/>
    <row r="41" s="10" customFormat="1"/>
    <row r="42" s="10" customFormat="1"/>
    <row r="43" s="10" customFormat="1"/>
    <row r="44" s="10" customFormat="1"/>
    <row r="45" s="10" customFormat="1"/>
    <row r="46" s="10" customFormat="1"/>
    <row r="47" s="10" customFormat="1"/>
    <row r="48" s="10" customFormat="1"/>
    <row r="49" s="10" customFormat="1"/>
    <row r="50" s="10" customFormat="1"/>
    <row r="51" s="10" customFormat="1"/>
    <row r="52" s="10" customFormat="1"/>
    <row r="53" s="10" customFormat="1"/>
    <row r="54" s="10" customFormat="1"/>
    <row r="55" s="10" customFormat="1"/>
    <row r="56" s="10" customFormat="1"/>
    <row r="57" s="10" customFormat="1"/>
    <row r="58" s="10" customFormat="1"/>
    <row r="59" s="10" customFormat="1"/>
    <row r="60" s="10" customFormat="1"/>
    <row r="61" s="10" customFormat="1"/>
    <row r="62" s="10" customFormat="1"/>
    <row r="63" s="10" customFormat="1"/>
    <row r="64" s="10" customFormat="1"/>
    <row r="65" s="10" customFormat="1"/>
    <row r="66" s="10" customFormat="1"/>
    <row r="67" s="10" customFormat="1"/>
    <row r="68" s="10" customFormat="1"/>
    <row r="69" s="10" customFormat="1"/>
    <row r="70" s="10" customFormat="1"/>
    <row r="71" s="10" customFormat="1"/>
    <row r="72" s="10" customFormat="1"/>
    <row r="73" s="10" customFormat="1"/>
    <row r="74" s="10" customFormat="1"/>
    <row r="75" s="10" customFormat="1"/>
    <row r="76" s="10" customFormat="1"/>
    <row r="77" s="10" customFormat="1"/>
    <row r="78" s="10" customFormat="1"/>
    <row r="79" s="10" customFormat="1"/>
    <row r="80" s="10" customFormat="1"/>
    <row r="81" s="10" customFormat="1"/>
    <row r="82" s="10" customFormat="1"/>
    <row r="83" s="10" customFormat="1"/>
    <row r="84" s="10" customFormat="1"/>
    <row r="85" s="10" customFormat="1"/>
    <row r="86" s="10" customFormat="1"/>
    <row r="87" s="10" customFormat="1"/>
    <row r="88" s="10" customFormat="1"/>
    <row r="89" s="10" customFormat="1"/>
    <row r="90" s="10" customFormat="1"/>
    <row r="91" s="10" customFormat="1"/>
    <row r="92" s="10" customFormat="1"/>
    <row r="93" s="10" customFormat="1"/>
    <row r="94" s="10" customFormat="1"/>
    <row r="95" s="10" customFormat="1"/>
    <row r="96" s="10" customFormat="1"/>
    <row r="97" s="10" customFormat="1"/>
    <row r="98" s="10" customFormat="1"/>
    <row r="99" s="10" customFormat="1"/>
    <row r="100" s="10" customFormat="1"/>
    <row r="101" s="10" customFormat="1"/>
    <row r="102" s="10" customFormat="1"/>
    <row r="103" s="10" customFormat="1"/>
    <row r="104" s="10" customFormat="1"/>
    <row r="105" s="10" customFormat="1"/>
    <row r="106" s="10" customFormat="1"/>
    <row r="107" s="10" customFormat="1"/>
    <row r="108" s="10" customFormat="1"/>
    <row r="109" s="10" customFormat="1"/>
    <row r="110" s="10" customFormat="1"/>
    <row r="111" s="10" customFormat="1"/>
    <row r="112" s="10" customFormat="1"/>
    <row r="113" s="10" customFormat="1"/>
    <row r="114" s="10" customFormat="1"/>
    <row r="115" s="10" customFormat="1"/>
    <row r="116" s="10" customFormat="1"/>
    <row r="117" s="10" customFormat="1"/>
    <row r="118" s="10" customFormat="1"/>
    <row r="119" s="10" customFormat="1"/>
    <row r="120" s="10" customFormat="1"/>
    <row r="121" s="10" customFormat="1"/>
    <row r="122" s="10" customFormat="1"/>
    <row r="123" s="10" customFormat="1"/>
    <row r="124" s="10" customFormat="1"/>
    <row r="125" s="10" customFormat="1"/>
    <row r="126" s="10" customFormat="1"/>
    <row r="127" s="10" customFormat="1"/>
    <row r="128" s="10" customFormat="1"/>
    <row r="129" s="10" customFormat="1"/>
    <row r="130" s="10" customFormat="1"/>
    <row r="131" s="10" customFormat="1"/>
    <row r="132" s="10" customFormat="1"/>
    <row r="133" s="10" customFormat="1"/>
    <row r="134" s="10" customFormat="1"/>
    <row r="135" s="10" customFormat="1"/>
    <row r="136" s="10" customFormat="1"/>
    <row r="137" s="10" customFormat="1"/>
    <row r="138" s="10" customFormat="1"/>
    <row r="139" s="10" customFormat="1"/>
    <row r="140" s="10" customFormat="1"/>
    <row r="141" s="10" customFormat="1"/>
    <row r="142" s="10" customFormat="1"/>
    <row r="143" s="10" customFormat="1"/>
    <row r="144" s="10" customFormat="1"/>
    <row r="145" s="10" customFormat="1"/>
    <row r="146" s="10" customFormat="1"/>
    <row r="147" s="10" customFormat="1"/>
    <row r="148" s="10" customFormat="1"/>
    <row r="149" s="10" customFormat="1"/>
    <row r="150" s="10" customFormat="1"/>
    <row r="151" s="10" customFormat="1"/>
    <row r="152" s="10" customFormat="1"/>
    <row r="153" s="10" customFormat="1"/>
    <row r="154" s="10" customFormat="1"/>
    <row r="155" s="10" customFormat="1"/>
    <row r="156" s="10" customFormat="1"/>
    <row r="157" s="10" customFormat="1"/>
    <row r="158" s="10" customFormat="1"/>
    <row r="159" s="10" customFormat="1"/>
    <row r="160" s="10" customFormat="1"/>
    <row r="161" s="10" customFormat="1"/>
    <row r="162" s="10" customFormat="1"/>
    <row r="163" s="10" customFormat="1"/>
    <row r="164" s="10" customFormat="1"/>
    <row r="165" s="10" customFormat="1"/>
    <row r="166" s="10" customFormat="1"/>
    <row r="167" s="10" customFormat="1"/>
    <row r="168" s="10" customFormat="1"/>
    <row r="169" s="10" customFormat="1"/>
    <row r="170" s="10" customFormat="1"/>
    <row r="171" s="10" customFormat="1"/>
    <row r="172" s="10" customFormat="1"/>
    <row r="173" s="10" customFormat="1"/>
    <row r="174" s="10" customFormat="1"/>
    <row r="175" s="10" customFormat="1"/>
    <row r="176" s="10" customFormat="1"/>
    <row r="177" s="10" customFormat="1"/>
    <row r="178" s="10" customFormat="1"/>
    <row r="179" s="10" customFormat="1"/>
    <row r="180" s="10" customFormat="1"/>
    <row r="181" s="10" customFormat="1"/>
    <row r="182" s="10" customFormat="1"/>
    <row r="183" s="10" customFormat="1"/>
    <row r="184" s="10" customFormat="1"/>
    <row r="185" s="10" customFormat="1"/>
    <row r="186" s="10" customFormat="1"/>
    <row r="187" s="10" customFormat="1"/>
    <row r="188" s="10" customFormat="1"/>
    <row r="189" s="10" customFormat="1"/>
    <row r="190" s="10" customFormat="1"/>
    <row r="191" s="10" customFormat="1"/>
    <row r="192" s="10" customFormat="1"/>
    <row r="193" s="10" customFormat="1"/>
    <row r="194" s="10" customFormat="1"/>
    <row r="195" s="10" customFormat="1"/>
    <row r="196" s="10" customFormat="1"/>
    <row r="197" s="10" customFormat="1"/>
    <row r="198" s="10" customFormat="1"/>
    <row r="199" s="10" customFormat="1"/>
    <row r="200" s="10" customFormat="1"/>
    <row r="201" s="10" customFormat="1"/>
    <row r="202" s="10" customFormat="1"/>
    <row r="203" s="10" customFormat="1"/>
    <row r="204" s="10" customFormat="1"/>
    <row r="205" s="10" customFormat="1"/>
    <row r="206" s="10" customFormat="1"/>
    <row r="207" s="10" customFormat="1"/>
    <row r="208" s="10" customFormat="1"/>
    <row r="209" s="10" customFormat="1"/>
    <row r="210" s="10" customFormat="1"/>
    <row r="211" s="10" customFormat="1"/>
    <row r="212" s="10" customFormat="1"/>
    <row r="213" s="10" customFormat="1"/>
    <row r="214" s="10" customFormat="1"/>
    <row r="215" s="10" customFormat="1"/>
    <row r="216" s="10" customFormat="1"/>
    <row r="217" s="10" customFormat="1"/>
    <row r="218" s="10" customFormat="1"/>
    <row r="219" s="10" customFormat="1"/>
    <row r="220" s="10" customFormat="1"/>
    <row r="221" s="10" customFormat="1"/>
    <row r="222" s="10" customFormat="1"/>
    <row r="223" s="10" customFormat="1"/>
    <row r="224" s="10" customFormat="1"/>
    <row r="225" s="10" customFormat="1"/>
    <row r="226" s="10" customFormat="1"/>
    <row r="227" s="10" customFormat="1"/>
    <row r="228" s="10" customFormat="1"/>
    <row r="229" s="10" customFormat="1"/>
    <row r="230" s="10" customFormat="1"/>
    <row r="231" s="10" customFormat="1"/>
    <row r="232" s="10" customFormat="1"/>
    <row r="233" s="10" customFormat="1"/>
    <row r="234" s="10" customFormat="1"/>
    <row r="235" s="10" customFormat="1"/>
    <row r="236" s="10" customFormat="1"/>
    <row r="237" s="10" customFormat="1"/>
    <row r="238" s="10" customFormat="1"/>
    <row r="239" s="10" customFormat="1"/>
    <row r="240" s="10" customFormat="1"/>
    <row r="241" s="10" customFormat="1"/>
    <row r="242" s="10" customFormat="1"/>
    <row r="243" s="10" customFormat="1"/>
    <row r="244" s="10" customFormat="1"/>
    <row r="245" s="10" customFormat="1"/>
    <row r="246" s="10" customFormat="1"/>
    <row r="247" s="10" customFormat="1"/>
    <row r="248" s="10" customFormat="1"/>
    <row r="249" s="10" customFormat="1"/>
    <row r="250" s="10" customFormat="1"/>
    <row r="251" s="10" customFormat="1"/>
    <row r="252" s="10" customFormat="1"/>
    <row r="253" s="10" customFormat="1"/>
    <row r="254" s="10" customFormat="1"/>
    <row r="255" s="10" customFormat="1"/>
    <row r="256" s="10" customFormat="1"/>
    <row r="257" s="10" customFormat="1"/>
    <row r="258" s="10" customFormat="1"/>
    <row r="259" s="10" customFormat="1"/>
    <row r="260" s="10" customFormat="1"/>
    <row r="261" s="10" customFormat="1"/>
    <row r="262" s="10" customFormat="1"/>
    <row r="263" s="10" customFormat="1"/>
    <row r="264" s="10" customFormat="1"/>
    <row r="265" s="10" customFormat="1"/>
    <row r="266" s="10" customFormat="1"/>
    <row r="267" s="10" customFormat="1"/>
    <row r="268" s="10" customFormat="1"/>
    <row r="269" s="10" customFormat="1"/>
    <row r="270" s="10" customFormat="1"/>
    <row r="271" s="10" customFormat="1"/>
    <row r="272" s="10" customFormat="1"/>
    <row r="273" s="10" customFormat="1"/>
    <row r="274" s="10" customFormat="1"/>
    <row r="275" s="10" customFormat="1"/>
    <row r="276" s="10" customFormat="1"/>
  </sheetData>
  <sheetProtection algorithmName="SHA-512" hashValue="3aP6cb9UMFsdfne3Bw+lTUMTxoXnt5BoH2A1hY/JJYLyAzyY9kCoz3G+2m7qWuBxaMp4YFaiDN1UfaQwEg2izA==" saltValue="OVlEMpJ1DcU9T61XASmuGQ=="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G152"/>
  <sheetViews>
    <sheetView topLeftCell="A17" zoomScale="85" zoomScaleNormal="85" zoomScaleSheetLayoutView="130" workbookViewId="0">
      <selection activeCell="C27" sqref="C27"/>
    </sheetView>
  </sheetViews>
  <sheetFormatPr defaultColWidth="9.109375" defaultRowHeight="13.2"/>
  <cols>
    <col min="1" max="1" width="6.6640625" style="10" customWidth="1"/>
    <col min="2" max="2" width="57.6640625" style="10" customWidth="1"/>
    <col min="3" max="3" width="10.6640625" style="60" customWidth="1"/>
    <col min="4" max="4" width="10.6640625" style="78" customWidth="1"/>
    <col min="5" max="5" width="10.6640625" style="11" customWidth="1"/>
    <col min="6" max="6" width="12.6640625" style="10" customWidth="1"/>
    <col min="7" max="10" width="9.109375" style="10"/>
    <col min="11" max="11" width="57.6640625" style="10" customWidth="1"/>
    <col min="12" max="16384" width="9.109375" style="10"/>
  </cols>
  <sheetData>
    <row r="1" spans="1:7" ht="13.8" thickBot="1">
      <c r="A1" s="867" t="s">
        <v>43</v>
      </c>
      <c r="B1" s="868" t="s">
        <v>42</v>
      </c>
      <c r="C1" s="882"/>
      <c r="D1" s="883"/>
      <c r="E1" s="884"/>
      <c r="F1" s="871"/>
    </row>
    <row r="2" spans="1:7">
      <c r="A2" s="43"/>
      <c r="B2" s="43"/>
      <c r="C2" s="63"/>
      <c r="D2" s="82"/>
      <c r="E2" s="22"/>
      <c r="F2" s="43"/>
    </row>
    <row r="3" spans="1:7" s="20" customFormat="1" ht="14.25" customHeight="1">
      <c r="A3" s="1527" t="s">
        <v>145</v>
      </c>
      <c r="B3" s="1528" t="s">
        <v>146</v>
      </c>
      <c r="C3" s="1529" t="s">
        <v>147</v>
      </c>
      <c r="D3" s="1532" t="s">
        <v>148</v>
      </c>
      <c r="E3" s="1532" t="s">
        <v>149</v>
      </c>
      <c r="F3" s="1532"/>
      <c r="G3" s="1537" t="s">
        <v>2523</v>
      </c>
    </row>
    <row r="4" spans="1:7" s="20" customFormat="1">
      <c r="A4" s="1527"/>
      <c r="B4" s="1528"/>
      <c r="C4" s="1530"/>
      <c r="D4" s="1532"/>
      <c r="E4" s="1532"/>
      <c r="F4" s="1532"/>
      <c r="G4" s="1537"/>
    </row>
    <row r="5" spans="1:7" s="20" customFormat="1">
      <c r="A5" s="1527"/>
      <c r="B5" s="1528"/>
      <c r="C5" s="1531"/>
      <c r="D5" s="1532"/>
      <c r="E5" s="49" t="s">
        <v>150</v>
      </c>
      <c r="F5" s="50" t="s">
        <v>151</v>
      </c>
      <c r="G5" s="1537"/>
    </row>
    <row r="6" spans="1:7" s="20" customFormat="1">
      <c r="A6" s="52"/>
      <c r="B6" s="53"/>
      <c r="C6" s="54"/>
      <c r="D6" s="55"/>
      <c r="E6" s="56"/>
      <c r="F6" s="57"/>
    </row>
    <row r="7" spans="1:7" ht="92.4">
      <c r="A7" s="43">
        <v>1</v>
      </c>
      <c r="B7" s="37" t="s">
        <v>2598</v>
      </c>
      <c r="D7" s="15"/>
      <c r="E7" s="83"/>
      <c r="F7" s="14"/>
    </row>
    <row r="8" spans="1:7">
      <c r="A8" s="22"/>
      <c r="B8" s="144"/>
      <c r="C8" s="60" t="s">
        <v>30</v>
      </c>
      <c r="D8" s="68">
        <v>7500</v>
      </c>
      <c r="E8" s="1317">
        <f>'[1]A_VI_METALNE KONSTRUKCIJE'!E8</f>
        <v>3.8</v>
      </c>
      <c r="F8" s="39">
        <f>SUM(D8*E8)</f>
        <v>28500</v>
      </c>
    </row>
    <row r="9" spans="1:7">
      <c r="A9" s="22"/>
      <c r="B9" s="86"/>
      <c r="D9" s="68"/>
      <c r="E9" s="84"/>
      <c r="F9" s="39"/>
    </row>
    <row r="10" spans="1:7" ht="39.6">
      <c r="A10" s="43">
        <v>2</v>
      </c>
      <c r="B10" s="37" t="s">
        <v>174</v>
      </c>
      <c r="D10" s="68"/>
    </row>
    <row r="11" spans="1:7">
      <c r="A11" s="22"/>
      <c r="B11" s="86"/>
      <c r="C11" s="60" t="s">
        <v>30</v>
      </c>
      <c r="D11" s="68">
        <v>7500</v>
      </c>
      <c r="E11" s="1317">
        <f>'[1]A_VI_METALNE KONSTRUKCIJE'!E11</f>
        <v>0.5</v>
      </c>
      <c r="F11" s="39">
        <f>SUM(D11*E11)</f>
        <v>3750</v>
      </c>
    </row>
    <row r="12" spans="1:7">
      <c r="A12" s="22"/>
      <c r="B12" s="86"/>
      <c r="D12" s="68"/>
      <c r="E12" s="84"/>
      <c r="F12" s="39"/>
    </row>
    <row r="13" spans="1:7" ht="145.19999999999999">
      <c r="A13" s="43">
        <v>3</v>
      </c>
      <c r="B13" s="37" t="s">
        <v>2601</v>
      </c>
      <c r="D13" s="15"/>
      <c r="E13" s="83"/>
      <c r="F13" s="14"/>
    </row>
    <row r="14" spans="1:7" ht="39.6">
      <c r="A14" s="43"/>
      <c r="B14" s="37" t="s">
        <v>137</v>
      </c>
      <c r="D14" s="15"/>
      <c r="E14" s="83"/>
      <c r="F14" s="14"/>
    </row>
    <row r="15" spans="1:7">
      <c r="A15" s="22" t="s">
        <v>12</v>
      </c>
      <c r="B15" s="144" t="s">
        <v>334</v>
      </c>
      <c r="C15" s="60" t="s">
        <v>30</v>
      </c>
      <c r="D15" s="68">
        <v>70</v>
      </c>
      <c r="E15" s="1317">
        <f>'[1]A_VI_METALNE KONSTRUKCIJE'!E15</f>
        <v>10</v>
      </c>
      <c r="F15" s="39">
        <f>SUM(D15*E15)</f>
        <v>700</v>
      </c>
    </row>
    <row r="16" spans="1:7">
      <c r="A16" s="22" t="s">
        <v>13</v>
      </c>
      <c r="B16" s="144" t="s">
        <v>337</v>
      </c>
      <c r="C16" s="60" t="s">
        <v>30</v>
      </c>
      <c r="D16" s="68">
        <v>170</v>
      </c>
      <c r="E16" s="1318">
        <f>'[1]A_VI_METALNE KONSTRUKCIJE'!E16</f>
        <v>10</v>
      </c>
      <c r="F16" s="85">
        <f>SUM(D16*E16)</f>
        <v>1700</v>
      </c>
    </row>
    <row r="17" spans="1:6">
      <c r="A17" s="22"/>
      <c r="B17" s="37"/>
      <c r="D17" s="68"/>
      <c r="E17" s="85"/>
      <c r="F17" s="62"/>
    </row>
    <row r="18" spans="1:6" ht="26.4">
      <c r="A18" s="43">
        <v>4</v>
      </c>
      <c r="B18" s="37" t="s">
        <v>175</v>
      </c>
      <c r="D18" s="68"/>
    </row>
    <row r="19" spans="1:6">
      <c r="A19" s="22"/>
      <c r="B19" s="86"/>
      <c r="C19" s="60" t="s">
        <v>29</v>
      </c>
      <c r="D19" s="68">
        <v>1</v>
      </c>
      <c r="E19" s="1317">
        <f>'[1]A_VI_METALNE KONSTRUKCIJE'!E19</f>
        <v>200</v>
      </c>
      <c r="F19" s="39">
        <f>SUM(D19*E19)</f>
        <v>200</v>
      </c>
    </row>
    <row r="20" spans="1:6">
      <c r="A20" s="22"/>
      <c r="B20" s="86"/>
      <c r="D20" s="68"/>
      <c r="E20" s="84"/>
      <c r="F20" s="39"/>
    </row>
    <row r="21" spans="1:6" ht="198">
      <c r="A21" s="43">
        <v>5</v>
      </c>
      <c r="B21" s="37" t="s">
        <v>2602</v>
      </c>
      <c r="D21" s="15"/>
      <c r="E21" s="83"/>
      <c r="F21" s="14"/>
    </row>
    <row r="22" spans="1:6" ht="39" customHeight="1">
      <c r="A22" s="43"/>
      <c r="B22" s="37" t="s">
        <v>137</v>
      </c>
      <c r="D22" s="15"/>
      <c r="E22" s="83"/>
      <c r="F22" s="14"/>
    </row>
    <row r="23" spans="1:6">
      <c r="A23" s="22" t="s">
        <v>12</v>
      </c>
      <c r="B23" s="144" t="s">
        <v>335</v>
      </c>
      <c r="C23" s="60" t="s">
        <v>30</v>
      </c>
      <c r="D23" s="68">
        <v>60</v>
      </c>
      <c r="E23" s="1317">
        <f>'[1]A_VI_METALNE KONSTRUKCIJE'!E23</f>
        <v>10</v>
      </c>
      <c r="F23" s="39">
        <f>SUM(D23*E23)</f>
        <v>600</v>
      </c>
    </row>
    <row r="24" spans="1:6">
      <c r="A24" s="22" t="s">
        <v>13</v>
      </c>
      <c r="B24" s="144" t="s">
        <v>336</v>
      </c>
      <c r="C24" s="60" t="s">
        <v>30</v>
      </c>
      <c r="D24" s="68">
        <v>180</v>
      </c>
      <c r="E24" s="1317">
        <f>'[1]A_VI_METALNE KONSTRUKCIJE'!E24</f>
        <v>10</v>
      </c>
      <c r="F24" s="39">
        <f>SUM(D24*E24)</f>
        <v>1800</v>
      </c>
    </row>
    <row r="25" spans="1:6" s="20" customFormat="1">
      <c r="A25" s="22" t="s">
        <v>14</v>
      </c>
      <c r="B25" s="144" t="s">
        <v>138</v>
      </c>
      <c r="C25" s="60" t="s">
        <v>29</v>
      </c>
      <c r="D25" s="68">
        <v>20</v>
      </c>
      <c r="E25" s="1318">
        <f>'[1]A_VI_METALNE KONSTRUKCIJE'!E25</f>
        <v>15</v>
      </c>
      <c r="F25" s="39">
        <f>SUM(D25*E25)</f>
        <v>300</v>
      </c>
    </row>
    <row r="26" spans="1:6" s="20" customFormat="1" ht="26.4">
      <c r="A26" s="22" t="s">
        <v>15</v>
      </c>
      <c r="B26" s="218" t="s">
        <v>331</v>
      </c>
      <c r="C26" s="12" t="s">
        <v>332</v>
      </c>
      <c r="D26" s="68">
        <v>15</v>
      </c>
      <c r="E26" s="1318">
        <f>'[1]A_VI_METALNE KONSTRUKCIJE'!E26</f>
        <v>100</v>
      </c>
      <c r="F26" s="85">
        <f>SUM(D26*E26)</f>
        <v>1500</v>
      </c>
    </row>
    <row r="27" spans="1:6" s="20" customFormat="1">
      <c r="A27" s="22" t="s">
        <v>21</v>
      </c>
      <c r="B27" s="218" t="s">
        <v>333</v>
      </c>
      <c r="C27" s="60" t="s">
        <v>27</v>
      </c>
      <c r="D27" s="68">
        <v>1</v>
      </c>
      <c r="E27" s="1318">
        <f>'[1]A_VI_METALNE KONSTRUKCIJE'!E27</f>
        <v>200</v>
      </c>
      <c r="F27" s="85">
        <f>SUM(D27*E27)</f>
        <v>200</v>
      </c>
    </row>
    <row r="28" spans="1:6">
      <c r="A28" s="22"/>
      <c r="B28" s="37"/>
      <c r="D28" s="68"/>
      <c r="E28" s="85"/>
      <c r="F28" s="62"/>
    </row>
    <row r="29" spans="1:6" ht="26.4">
      <c r="A29" s="43">
        <v>6</v>
      </c>
      <c r="B29" s="37" t="s">
        <v>176</v>
      </c>
      <c r="D29" s="68"/>
    </row>
    <row r="30" spans="1:6">
      <c r="A30" s="22"/>
      <c r="B30" s="86"/>
      <c r="C30" s="60" t="s">
        <v>29</v>
      </c>
      <c r="D30" s="68">
        <v>1</v>
      </c>
      <c r="E30" s="1317">
        <f>'[1]A_VI_METALNE KONSTRUKCIJE'!E30</f>
        <v>300</v>
      </c>
      <c r="F30" s="39">
        <f>SUM(D30*E30)</f>
        <v>300</v>
      </c>
    </row>
    <row r="31" spans="1:6">
      <c r="A31" s="22"/>
      <c r="B31" s="86"/>
      <c r="D31" s="68"/>
      <c r="E31" s="84"/>
      <c r="F31" s="39"/>
    </row>
    <row r="32" spans="1:6">
      <c r="A32" s="87"/>
      <c r="B32" s="88" t="s">
        <v>160</v>
      </c>
      <c r="C32" s="71"/>
      <c r="D32" s="89"/>
      <c r="E32" s="90" t="s">
        <v>159</v>
      </c>
      <c r="F32" s="91">
        <f>SUM(F2:F30)</f>
        <v>39550</v>
      </c>
    </row>
    <row r="33" spans="1:6">
      <c r="A33" s="43"/>
      <c r="B33" s="43"/>
      <c r="C33" s="63"/>
      <c r="D33" s="92"/>
      <c r="E33" s="93"/>
      <c r="F33" s="47"/>
    </row>
    <row r="34" spans="1:6">
      <c r="A34" s="43"/>
      <c r="B34" s="43"/>
      <c r="C34" s="63"/>
      <c r="D34" s="92"/>
      <c r="E34" s="93"/>
      <c r="F34" s="47"/>
    </row>
    <row r="35" spans="1:6">
      <c r="D35" s="15"/>
    </row>
    <row r="36" spans="1:6">
      <c r="D36" s="15"/>
    </row>
    <row r="37" spans="1:6">
      <c r="A37" s="43"/>
      <c r="B37" s="37"/>
      <c r="D37" s="15"/>
      <c r="E37" s="83"/>
      <c r="F37" s="14"/>
    </row>
    <row r="38" spans="1:6">
      <c r="A38" s="43"/>
      <c r="B38" s="37"/>
      <c r="D38" s="15"/>
      <c r="E38" s="83"/>
      <c r="F38" s="14"/>
    </row>
    <row r="39" spans="1:6">
      <c r="A39" s="43"/>
      <c r="B39" s="37"/>
      <c r="D39" s="15"/>
      <c r="E39" s="83"/>
      <c r="F39" s="14"/>
    </row>
    <row r="40" spans="1:6">
      <c r="A40" s="43"/>
      <c r="B40" s="37"/>
      <c r="D40" s="15"/>
      <c r="E40" s="83"/>
      <c r="F40" s="14"/>
    </row>
    <row r="41" spans="1:6">
      <c r="A41" s="43"/>
      <c r="B41" s="37"/>
      <c r="D41" s="15"/>
      <c r="E41" s="83"/>
      <c r="F41" s="14"/>
    </row>
    <row r="42" spans="1:6">
      <c r="A42" s="43"/>
      <c r="B42" s="37"/>
      <c r="D42" s="15"/>
      <c r="E42" s="83"/>
      <c r="F42" s="14"/>
    </row>
    <row r="43" spans="1:6">
      <c r="A43" s="43"/>
      <c r="B43" s="37"/>
      <c r="D43" s="15"/>
      <c r="E43" s="83"/>
      <c r="F43" s="14"/>
    </row>
    <row r="44" spans="1:6">
      <c r="A44" s="43"/>
      <c r="B44" s="37"/>
      <c r="D44" s="15"/>
      <c r="E44" s="83"/>
      <c r="F44" s="14"/>
    </row>
    <row r="45" spans="1:6">
      <c r="A45" s="43"/>
      <c r="B45" s="37"/>
      <c r="D45" s="15"/>
      <c r="E45" s="83"/>
      <c r="F45" s="14"/>
    </row>
    <row r="46" spans="1:6">
      <c r="A46" s="43"/>
      <c r="B46" s="37"/>
      <c r="D46" s="15"/>
      <c r="E46" s="83"/>
      <c r="F46" s="14"/>
    </row>
    <row r="47" spans="1:6">
      <c r="A47" s="43"/>
      <c r="B47" s="37"/>
      <c r="D47" s="15"/>
      <c r="E47" s="83"/>
      <c r="F47" s="14"/>
    </row>
    <row r="48" spans="1:6">
      <c r="A48" s="43"/>
      <c r="B48" s="37"/>
      <c r="D48" s="15"/>
      <c r="E48" s="83"/>
      <c r="F48" s="14"/>
    </row>
    <row r="49" spans="1:6">
      <c r="A49" s="43"/>
      <c r="B49" s="37"/>
      <c r="D49" s="15"/>
      <c r="E49" s="83"/>
      <c r="F49" s="14"/>
    </row>
    <row r="50" spans="1:6">
      <c r="A50" s="43"/>
      <c r="B50" s="37"/>
      <c r="D50" s="15"/>
      <c r="E50" s="83"/>
      <c r="F50" s="14"/>
    </row>
    <row r="51" spans="1:6">
      <c r="A51" s="43"/>
      <c r="B51" s="37"/>
      <c r="D51" s="15"/>
      <c r="E51" s="83"/>
      <c r="F51" s="14"/>
    </row>
    <row r="52" spans="1:6">
      <c r="A52" s="43"/>
      <c r="B52" s="37"/>
      <c r="D52" s="15"/>
      <c r="E52" s="83"/>
      <c r="F52" s="14"/>
    </row>
    <row r="53" spans="1:6">
      <c r="A53" s="43"/>
      <c r="B53" s="37"/>
      <c r="D53" s="15"/>
      <c r="E53" s="83"/>
      <c r="F53" s="14"/>
    </row>
    <row r="54" spans="1:6">
      <c r="A54" s="43"/>
      <c r="B54" s="37"/>
      <c r="D54" s="15"/>
      <c r="E54" s="83"/>
      <c r="F54" s="14"/>
    </row>
    <row r="55" spans="1:6">
      <c r="A55" s="43"/>
      <c r="B55" s="37"/>
      <c r="D55" s="15"/>
      <c r="E55" s="83"/>
      <c r="F55" s="14"/>
    </row>
    <row r="56" spans="1:6">
      <c r="A56" s="43"/>
      <c r="B56" s="37"/>
      <c r="D56" s="15"/>
      <c r="E56" s="83"/>
      <c r="F56" s="14"/>
    </row>
    <row r="57" spans="1:6">
      <c r="A57" s="43"/>
      <c r="B57" s="37"/>
      <c r="D57" s="15"/>
      <c r="E57" s="83"/>
      <c r="F57" s="14"/>
    </row>
    <row r="58" spans="1:6">
      <c r="A58" s="43"/>
      <c r="B58" s="37"/>
      <c r="D58" s="15"/>
      <c r="E58" s="83"/>
      <c r="F58" s="14"/>
    </row>
    <row r="59" spans="1:6">
      <c r="A59" s="43"/>
      <c r="B59" s="37"/>
      <c r="D59" s="15"/>
      <c r="E59" s="83"/>
      <c r="F59" s="14"/>
    </row>
    <row r="60" spans="1:6">
      <c r="A60" s="43"/>
      <c r="B60" s="37"/>
      <c r="D60" s="15"/>
      <c r="E60" s="83"/>
      <c r="F60" s="14"/>
    </row>
    <row r="61" spans="1:6">
      <c r="A61" s="43"/>
      <c r="B61" s="37"/>
      <c r="D61" s="15"/>
      <c r="E61" s="83"/>
      <c r="F61" s="14"/>
    </row>
    <row r="62" spans="1:6">
      <c r="A62" s="43"/>
      <c r="B62" s="37"/>
      <c r="D62" s="15"/>
      <c r="E62" s="83"/>
      <c r="F62" s="14"/>
    </row>
    <row r="63" spans="1:6">
      <c r="A63" s="43"/>
      <c r="B63" s="37"/>
      <c r="D63" s="15"/>
      <c r="E63" s="83"/>
      <c r="F63" s="14"/>
    </row>
    <row r="64" spans="1:6">
      <c r="A64" s="43"/>
      <c r="B64" s="37"/>
      <c r="D64" s="15"/>
      <c r="E64" s="83"/>
      <c r="F64" s="14"/>
    </row>
    <row r="65" spans="1:6">
      <c r="A65" s="43"/>
      <c r="B65" s="37"/>
      <c r="D65" s="15"/>
      <c r="E65" s="83"/>
      <c r="F65" s="14"/>
    </row>
    <row r="66" spans="1:6">
      <c r="A66" s="43"/>
      <c r="B66" s="37"/>
      <c r="D66" s="15"/>
      <c r="E66" s="83"/>
      <c r="F66" s="14"/>
    </row>
    <row r="67" spans="1:6">
      <c r="A67" s="43"/>
      <c r="B67" s="37"/>
      <c r="D67" s="15"/>
      <c r="E67" s="83"/>
      <c r="F67" s="14"/>
    </row>
    <row r="68" spans="1:6">
      <c r="A68" s="43"/>
      <c r="B68" s="37"/>
      <c r="D68" s="15"/>
      <c r="E68" s="83"/>
      <c r="F68" s="14"/>
    </row>
    <row r="69" spans="1:6">
      <c r="A69" s="43"/>
      <c r="B69" s="37"/>
      <c r="D69" s="15"/>
      <c r="E69" s="83"/>
      <c r="F69" s="14"/>
    </row>
    <row r="70" spans="1:6">
      <c r="A70" s="43"/>
      <c r="B70" s="37"/>
      <c r="D70" s="15"/>
      <c r="E70" s="83"/>
      <c r="F70" s="14"/>
    </row>
    <row r="71" spans="1:6">
      <c r="A71" s="43"/>
      <c r="B71" s="37"/>
      <c r="D71" s="15"/>
      <c r="E71" s="83"/>
      <c r="F71" s="14"/>
    </row>
    <row r="72" spans="1:6">
      <c r="A72" s="43"/>
      <c r="B72" s="37"/>
      <c r="D72" s="15"/>
      <c r="E72" s="83"/>
      <c r="F72" s="14"/>
    </row>
    <row r="73" spans="1:6">
      <c r="A73" s="43"/>
      <c r="B73" s="37"/>
      <c r="D73" s="15"/>
      <c r="E73" s="83"/>
      <c r="F73" s="14"/>
    </row>
    <row r="74" spans="1:6">
      <c r="A74" s="43"/>
      <c r="B74" s="37"/>
      <c r="D74" s="15"/>
      <c r="E74" s="83"/>
      <c r="F74" s="14"/>
    </row>
    <row r="75" spans="1:6">
      <c r="A75" s="43"/>
      <c r="B75" s="37"/>
      <c r="D75" s="15"/>
      <c r="E75" s="83"/>
      <c r="F75" s="14"/>
    </row>
    <row r="76" spans="1:6">
      <c r="A76" s="43"/>
      <c r="B76" s="37"/>
      <c r="D76" s="15"/>
      <c r="E76" s="83"/>
      <c r="F76" s="14"/>
    </row>
    <row r="77" spans="1:6">
      <c r="A77" s="43"/>
      <c r="B77" s="37"/>
      <c r="D77" s="15"/>
      <c r="E77" s="83"/>
      <c r="F77" s="14"/>
    </row>
    <row r="78" spans="1:6">
      <c r="A78" s="43"/>
      <c r="B78" s="37"/>
      <c r="D78" s="15"/>
      <c r="E78" s="83"/>
      <c r="F78" s="14"/>
    </row>
    <row r="79" spans="1:6">
      <c r="A79" s="43"/>
      <c r="B79" s="37"/>
      <c r="D79" s="15"/>
      <c r="E79" s="83"/>
      <c r="F79" s="14"/>
    </row>
    <row r="80" spans="1:6">
      <c r="A80" s="43"/>
      <c r="B80" s="37"/>
      <c r="D80" s="15"/>
      <c r="E80" s="83"/>
      <c r="F80" s="14"/>
    </row>
    <row r="81" spans="1:6">
      <c r="A81" s="43"/>
      <c r="B81" s="37"/>
      <c r="D81" s="15"/>
      <c r="E81" s="83"/>
      <c r="F81" s="14"/>
    </row>
    <row r="82" spans="1:6">
      <c r="A82" s="43"/>
      <c r="B82" s="37"/>
      <c r="D82" s="15"/>
      <c r="E82" s="83"/>
      <c r="F82" s="14"/>
    </row>
    <row r="83" spans="1:6">
      <c r="A83" s="43"/>
      <c r="B83" s="37"/>
      <c r="D83" s="15"/>
      <c r="E83" s="83"/>
      <c r="F83" s="14"/>
    </row>
    <row r="84" spans="1:6">
      <c r="A84" s="43"/>
      <c r="B84" s="37"/>
      <c r="D84" s="15"/>
      <c r="E84" s="83"/>
      <c r="F84" s="14"/>
    </row>
    <row r="85" spans="1:6">
      <c r="A85" s="43"/>
      <c r="B85" s="37"/>
      <c r="D85" s="15"/>
      <c r="E85" s="83"/>
      <c r="F85" s="14"/>
    </row>
    <row r="86" spans="1:6">
      <c r="A86" s="43"/>
      <c r="B86" s="37"/>
      <c r="D86" s="15"/>
      <c r="E86" s="83"/>
      <c r="F86" s="14"/>
    </row>
    <row r="87" spans="1:6">
      <c r="A87" s="43"/>
      <c r="B87" s="37"/>
      <c r="D87" s="15"/>
      <c r="E87" s="83"/>
      <c r="F87" s="14"/>
    </row>
    <row r="88" spans="1:6">
      <c r="A88" s="43"/>
      <c r="B88" s="37"/>
      <c r="D88" s="15"/>
      <c r="E88" s="83"/>
      <c r="F88" s="14"/>
    </row>
    <row r="89" spans="1:6">
      <c r="A89" s="43"/>
      <c r="B89" s="37"/>
      <c r="D89" s="15"/>
      <c r="E89" s="83"/>
      <c r="F89" s="14"/>
    </row>
    <row r="90" spans="1:6">
      <c r="A90" s="43"/>
      <c r="B90" s="37"/>
      <c r="D90" s="15"/>
      <c r="E90" s="83"/>
      <c r="F90" s="14"/>
    </row>
    <row r="91" spans="1:6">
      <c r="A91" s="43"/>
      <c r="B91" s="37"/>
      <c r="D91" s="15"/>
      <c r="E91" s="83"/>
      <c r="F91" s="14"/>
    </row>
    <row r="92" spans="1:6">
      <c r="A92" s="43"/>
      <c r="B92" s="37"/>
      <c r="D92" s="15"/>
      <c r="E92" s="83"/>
      <c r="F92" s="14"/>
    </row>
    <row r="93" spans="1:6">
      <c r="A93" s="43"/>
      <c r="B93" s="37"/>
      <c r="D93" s="15"/>
      <c r="E93" s="83"/>
      <c r="F93" s="14"/>
    </row>
    <row r="94" spans="1:6">
      <c r="A94" s="43"/>
      <c r="B94" s="37"/>
      <c r="D94" s="15"/>
      <c r="E94" s="83"/>
      <c r="F94" s="14"/>
    </row>
    <row r="95" spans="1:6">
      <c r="A95" s="43"/>
      <c r="B95" s="37"/>
      <c r="D95" s="15"/>
      <c r="E95" s="83"/>
      <c r="F95" s="14"/>
    </row>
    <row r="96" spans="1:6">
      <c r="A96" s="43"/>
      <c r="B96" s="37"/>
      <c r="D96" s="15"/>
      <c r="E96" s="83"/>
      <c r="F96" s="14"/>
    </row>
    <row r="97" spans="1:6">
      <c r="A97" s="43"/>
      <c r="B97" s="37"/>
      <c r="D97" s="15"/>
      <c r="E97" s="83"/>
      <c r="F97" s="14"/>
    </row>
    <row r="98" spans="1:6">
      <c r="A98" s="43"/>
      <c r="B98" s="37"/>
      <c r="D98" s="15"/>
      <c r="E98" s="83"/>
      <c r="F98" s="14"/>
    </row>
    <row r="99" spans="1:6">
      <c r="A99" s="43"/>
      <c r="B99" s="37"/>
      <c r="D99" s="15"/>
      <c r="E99" s="83"/>
      <c r="F99" s="14"/>
    </row>
    <row r="100" spans="1:6">
      <c r="A100" s="43"/>
      <c r="B100" s="37"/>
      <c r="D100" s="15"/>
      <c r="E100" s="83"/>
      <c r="F100" s="14"/>
    </row>
    <row r="101" spans="1:6">
      <c r="A101" s="43"/>
      <c r="B101" s="37"/>
      <c r="D101" s="15"/>
      <c r="E101" s="83"/>
      <c r="F101" s="14"/>
    </row>
    <row r="102" spans="1:6">
      <c r="A102" s="43"/>
      <c r="B102" s="37"/>
      <c r="D102" s="15"/>
      <c r="E102" s="83"/>
      <c r="F102" s="14"/>
    </row>
    <row r="103" spans="1:6">
      <c r="A103" s="43"/>
      <c r="B103" s="37"/>
      <c r="D103" s="15"/>
      <c r="E103" s="83"/>
      <c r="F103" s="14"/>
    </row>
    <row r="104" spans="1:6">
      <c r="A104" s="43"/>
      <c r="B104" s="37"/>
      <c r="D104" s="15"/>
      <c r="E104" s="83"/>
      <c r="F104" s="14"/>
    </row>
    <row r="105" spans="1:6">
      <c r="A105" s="43"/>
      <c r="B105" s="37"/>
      <c r="D105" s="15"/>
      <c r="E105" s="83"/>
      <c r="F105" s="14"/>
    </row>
    <row r="106" spans="1:6">
      <c r="A106" s="43"/>
      <c r="B106" s="37"/>
      <c r="D106" s="15"/>
      <c r="E106" s="83"/>
      <c r="F106" s="14"/>
    </row>
    <row r="107" spans="1:6">
      <c r="A107" s="43"/>
      <c r="B107" s="37"/>
      <c r="D107" s="15"/>
      <c r="E107" s="83"/>
      <c r="F107" s="14"/>
    </row>
    <row r="108" spans="1:6">
      <c r="A108" s="43"/>
      <c r="B108" s="37"/>
      <c r="D108" s="15"/>
      <c r="E108" s="83"/>
      <c r="F108" s="14"/>
    </row>
    <row r="109" spans="1:6">
      <c r="A109" s="43"/>
      <c r="B109" s="37"/>
      <c r="D109" s="15"/>
      <c r="E109" s="83"/>
      <c r="F109" s="14"/>
    </row>
    <row r="110" spans="1:6">
      <c r="A110" s="43"/>
      <c r="B110" s="37"/>
      <c r="D110" s="15"/>
      <c r="E110" s="83"/>
      <c r="F110" s="14"/>
    </row>
    <row r="111" spans="1:6">
      <c r="A111" s="43"/>
      <c r="B111" s="37"/>
      <c r="D111" s="15"/>
      <c r="E111" s="83"/>
      <c r="F111" s="14"/>
    </row>
    <row r="112" spans="1:6">
      <c r="A112" s="43"/>
      <c r="B112" s="37"/>
      <c r="D112" s="15"/>
      <c r="E112" s="83"/>
      <c r="F112" s="14"/>
    </row>
    <row r="113" spans="1:6">
      <c r="A113" s="43"/>
      <c r="B113" s="37"/>
      <c r="D113" s="15"/>
      <c r="E113" s="83"/>
      <c r="F113" s="14"/>
    </row>
    <row r="114" spans="1:6">
      <c r="A114" s="43"/>
      <c r="B114" s="37"/>
      <c r="D114" s="15"/>
      <c r="E114" s="83"/>
      <c r="F114" s="14"/>
    </row>
    <row r="115" spans="1:6">
      <c r="A115" s="43"/>
      <c r="B115" s="37"/>
      <c r="D115" s="15"/>
      <c r="E115" s="83"/>
      <c r="F115" s="14"/>
    </row>
    <row r="116" spans="1:6">
      <c r="A116" s="43"/>
      <c r="B116" s="37"/>
      <c r="D116" s="15"/>
      <c r="E116" s="83"/>
      <c r="F116" s="14"/>
    </row>
    <row r="117" spans="1:6">
      <c r="A117" s="43"/>
      <c r="B117" s="37"/>
      <c r="D117" s="15"/>
      <c r="E117" s="83"/>
      <c r="F117" s="14"/>
    </row>
    <row r="118" spans="1:6">
      <c r="A118" s="43"/>
      <c r="B118" s="37"/>
      <c r="D118" s="15"/>
      <c r="E118" s="83"/>
      <c r="F118" s="14"/>
    </row>
    <row r="119" spans="1:6">
      <c r="A119" s="43"/>
      <c r="B119" s="37"/>
      <c r="D119" s="15"/>
      <c r="E119" s="83"/>
      <c r="F119" s="14"/>
    </row>
    <row r="120" spans="1:6">
      <c r="A120" s="43"/>
      <c r="B120" s="37"/>
      <c r="D120" s="15"/>
      <c r="E120" s="83"/>
      <c r="F120" s="14"/>
    </row>
    <row r="121" spans="1:6">
      <c r="A121" s="43"/>
      <c r="B121" s="37"/>
      <c r="D121" s="15"/>
      <c r="E121" s="83"/>
      <c r="F121" s="14"/>
    </row>
    <row r="122" spans="1:6">
      <c r="A122" s="43"/>
      <c r="B122" s="37"/>
      <c r="D122" s="15"/>
      <c r="E122" s="83"/>
      <c r="F122" s="14"/>
    </row>
    <row r="123" spans="1:6">
      <c r="A123" s="43"/>
      <c r="B123" s="37"/>
      <c r="D123" s="15"/>
      <c r="E123" s="83"/>
      <c r="F123" s="14"/>
    </row>
    <row r="124" spans="1:6">
      <c r="A124" s="43"/>
      <c r="B124" s="37"/>
      <c r="D124" s="15"/>
      <c r="E124" s="83"/>
      <c r="F124" s="14"/>
    </row>
    <row r="125" spans="1:6">
      <c r="A125" s="43"/>
      <c r="B125" s="37"/>
      <c r="D125" s="15"/>
      <c r="E125" s="83"/>
      <c r="F125" s="14"/>
    </row>
    <row r="126" spans="1:6">
      <c r="A126" s="43"/>
      <c r="B126" s="37"/>
      <c r="D126" s="15"/>
      <c r="E126" s="83"/>
      <c r="F126" s="14"/>
    </row>
    <row r="127" spans="1:6">
      <c r="A127" s="43"/>
      <c r="B127" s="37"/>
      <c r="D127" s="15"/>
      <c r="E127" s="83"/>
      <c r="F127" s="14"/>
    </row>
    <row r="128" spans="1:6">
      <c r="A128" s="43"/>
      <c r="B128" s="37"/>
      <c r="D128" s="15"/>
      <c r="E128" s="83"/>
      <c r="F128" s="14"/>
    </row>
    <row r="129" spans="1:6">
      <c r="A129" s="43"/>
      <c r="B129" s="37"/>
      <c r="D129" s="15"/>
      <c r="E129" s="83"/>
      <c r="F129" s="14"/>
    </row>
    <row r="130" spans="1:6">
      <c r="A130" s="43"/>
      <c r="B130" s="37"/>
      <c r="D130" s="15"/>
      <c r="E130" s="83"/>
      <c r="F130" s="14"/>
    </row>
    <row r="131" spans="1:6">
      <c r="A131" s="43"/>
      <c r="B131" s="37"/>
      <c r="D131" s="15"/>
      <c r="E131" s="83"/>
      <c r="F131" s="14"/>
    </row>
    <row r="132" spans="1:6">
      <c r="A132" s="43"/>
      <c r="B132" s="37"/>
      <c r="D132" s="15"/>
      <c r="E132" s="83"/>
      <c r="F132" s="14"/>
    </row>
    <row r="133" spans="1:6">
      <c r="A133" s="43"/>
      <c r="B133" s="37"/>
      <c r="D133" s="15"/>
      <c r="E133" s="83"/>
      <c r="F133" s="14"/>
    </row>
    <row r="134" spans="1:6">
      <c r="A134" s="43"/>
      <c r="B134" s="37"/>
      <c r="D134" s="15"/>
      <c r="E134" s="83"/>
      <c r="F134" s="14"/>
    </row>
    <row r="135" spans="1:6">
      <c r="A135" s="43"/>
      <c r="B135" s="37"/>
      <c r="D135" s="15"/>
      <c r="E135" s="83"/>
      <c r="F135" s="14"/>
    </row>
    <row r="136" spans="1:6">
      <c r="A136" s="43"/>
      <c r="B136" s="37"/>
      <c r="D136" s="15"/>
      <c r="E136" s="83"/>
      <c r="F136" s="14"/>
    </row>
    <row r="137" spans="1:6">
      <c r="A137" s="43"/>
      <c r="B137" s="37"/>
      <c r="D137" s="15"/>
      <c r="E137" s="83"/>
      <c r="F137" s="14"/>
    </row>
    <row r="138" spans="1:6">
      <c r="A138" s="43"/>
      <c r="B138" s="37"/>
      <c r="D138" s="15"/>
      <c r="E138" s="83"/>
      <c r="F138" s="14"/>
    </row>
    <row r="139" spans="1:6">
      <c r="A139" s="43"/>
      <c r="B139" s="37"/>
      <c r="D139" s="15"/>
      <c r="E139" s="83"/>
      <c r="F139" s="14"/>
    </row>
    <row r="140" spans="1:6">
      <c r="A140" s="43"/>
      <c r="B140" s="37"/>
      <c r="D140" s="15"/>
      <c r="E140" s="83"/>
      <c r="F140" s="14"/>
    </row>
    <row r="141" spans="1:6">
      <c r="A141" s="43"/>
      <c r="B141" s="37"/>
      <c r="D141" s="15"/>
      <c r="E141" s="83"/>
      <c r="F141" s="14"/>
    </row>
    <row r="142" spans="1:6">
      <c r="A142" s="43"/>
      <c r="B142" s="37"/>
      <c r="D142" s="15"/>
      <c r="E142" s="83"/>
      <c r="F142" s="14"/>
    </row>
    <row r="143" spans="1:6">
      <c r="A143" s="43"/>
      <c r="B143" s="37"/>
      <c r="D143" s="15"/>
      <c r="E143" s="83"/>
      <c r="F143" s="14"/>
    </row>
    <row r="144" spans="1:6">
      <c r="A144" s="43"/>
      <c r="B144" s="37"/>
      <c r="D144" s="15"/>
      <c r="E144" s="83"/>
      <c r="F144" s="14"/>
    </row>
    <row r="145" spans="1:6">
      <c r="A145" s="43"/>
      <c r="B145" s="37"/>
      <c r="D145" s="15"/>
      <c r="E145" s="83"/>
      <c r="F145" s="14"/>
    </row>
    <row r="146" spans="1:6">
      <c r="A146" s="43"/>
      <c r="B146" s="37"/>
      <c r="D146" s="15"/>
      <c r="E146" s="83"/>
      <c r="F146" s="14"/>
    </row>
    <row r="147" spans="1:6">
      <c r="A147" s="43"/>
      <c r="B147" s="37"/>
      <c r="D147" s="15"/>
      <c r="E147" s="83"/>
      <c r="F147" s="14"/>
    </row>
    <row r="148" spans="1:6">
      <c r="A148" s="43"/>
      <c r="B148" s="37"/>
      <c r="D148" s="15"/>
      <c r="E148" s="83"/>
      <c r="F148" s="14"/>
    </row>
    <row r="149" spans="1:6">
      <c r="A149" s="43"/>
      <c r="B149" s="37"/>
      <c r="D149" s="15"/>
      <c r="E149" s="83"/>
      <c r="F149" s="14"/>
    </row>
    <row r="150" spans="1:6">
      <c r="A150" s="43"/>
      <c r="B150" s="37"/>
      <c r="D150" s="15"/>
      <c r="E150" s="83"/>
      <c r="F150" s="14"/>
    </row>
    <row r="151" spans="1:6">
      <c r="A151" s="43"/>
      <c r="B151" s="37"/>
      <c r="D151" s="15"/>
      <c r="E151" s="83"/>
      <c r="F151" s="14"/>
    </row>
    <row r="152" spans="1:6">
      <c r="A152" s="43"/>
      <c r="B152" s="37"/>
      <c r="D152" s="15"/>
      <c r="E152" s="83"/>
      <c r="F152" s="14"/>
    </row>
  </sheetData>
  <sheetProtection algorithmName="SHA-512" hashValue="SSAu1C5DvA6hKDMQNbUAqGqKZX4h3/0GdDWUT/vFHA25UTYJ62hp4lrBDil8J7FvcqZae5+GTahtfBIVkbzqng==" saltValue="08IuM+3aGoO5c8kJ6AgJLA=="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Q206"/>
  <sheetViews>
    <sheetView topLeftCell="A7" zoomScale="90" zoomScaleNormal="90" zoomScaleSheetLayoutView="100" workbookViewId="0">
      <selection activeCell="E24" sqref="E24"/>
    </sheetView>
  </sheetViews>
  <sheetFormatPr defaultColWidth="9.109375" defaultRowHeight="13.2"/>
  <cols>
    <col min="1" max="1" width="6.6640625" style="10" customWidth="1"/>
    <col min="2" max="2" width="57.6640625" style="10" customWidth="1"/>
    <col min="3" max="3" width="10.6640625" style="60" customWidth="1"/>
    <col min="4" max="4" width="10.6640625" style="80" customWidth="1"/>
    <col min="5" max="5" width="10.6640625" style="20" customWidth="1"/>
    <col min="6" max="6" width="12.6640625" style="20" customWidth="1"/>
    <col min="7" max="7" width="9" style="10" customWidth="1"/>
    <col min="8" max="8" width="11.109375" style="60" customWidth="1"/>
    <col min="9" max="9" width="11.5546875" style="61" customWidth="1"/>
    <col min="10" max="10" width="10.33203125" style="20" bestFit="1" customWidth="1"/>
    <col min="11" max="11" width="12.6640625" style="20" bestFit="1" customWidth="1"/>
    <col min="12" max="16384" width="9.109375" style="10"/>
  </cols>
  <sheetData>
    <row r="1" spans="1:11" ht="13.8" thickBot="1">
      <c r="A1" s="885" t="s">
        <v>94</v>
      </c>
      <c r="B1" s="879" t="s">
        <v>93</v>
      </c>
      <c r="C1" s="886"/>
      <c r="D1" s="887"/>
      <c r="E1" s="888"/>
      <c r="F1" s="888"/>
      <c r="G1" s="43"/>
      <c r="J1" s="19"/>
      <c r="K1" s="19"/>
    </row>
    <row r="2" spans="1:11">
      <c r="A2" s="43"/>
      <c r="B2" s="43"/>
      <c r="C2" s="43"/>
      <c r="D2" s="43"/>
      <c r="E2" s="43"/>
      <c r="F2" s="43"/>
      <c r="H2" s="10"/>
      <c r="I2" s="12"/>
      <c r="J2" s="10"/>
      <c r="K2" s="10"/>
    </row>
    <row r="3" spans="1:11" s="20" customFormat="1" ht="14.25" customHeight="1">
      <c r="A3" s="1527" t="s">
        <v>145</v>
      </c>
      <c r="B3" s="1528" t="s">
        <v>146</v>
      </c>
      <c r="C3" s="1529" t="s">
        <v>147</v>
      </c>
      <c r="D3" s="1532" t="s">
        <v>148</v>
      </c>
      <c r="E3" s="1532" t="s">
        <v>149</v>
      </c>
      <c r="F3" s="1532"/>
      <c r="G3" s="1537" t="s">
        <v>2523</v>
      </c>
    </row>
    <row r="4" spans="1:11" s="20" customFormat="1">
      <c r="A4" s="1527"/>
      <c r="B4" s="1528"/>
      <c r="C4" s="1530"/>
      <c r="D4" s="1532"/>
      <c r="E4" s="1532"/>
      <c r="F4" s="1532"/>
      <c r="G4" s="1537"/>
    </row>
    <row r="5" spans="1:11" s="20" customFormat="1">
      <c r="A5" s="1527"/>
      <c r="B5" s="1528"/>
      <c r="C5" s="1531"/>
      <c r="D5" s="1532"/>
      <c r="E5" s="49" t="s">
        <v>150</v>
      </c>
      <c r="F5" s="50" t="s">
        <v>151</v>
      </c>
      <c r="G5" s="1537"/>
    </row>
    <row r="6" spans="1:11" s="20" customFormat="1">
      <c r="A6" s="52"/>
      <c r="B6" s="53"/>
      <c r="C6" s="54"/>
      <c r="D6" s="55"/>
      <c r="E6" s="56"/>
      <c r="F6" s="57"/>
    </row>
    <row r="7" spans="1:11" ht="304.5" customHeight="1">
      <c r="A7" s="43">
        <v>1</v>
      </c>
      <c r="B7" s="37" t="s">
        <v>258</v>
      </c>
      <c r="C7" s="12"/>
      <c r="D7" s="13"/>
      <c r="E7" s="14"/>
      <c r="F7" s="14"/>
      <c r="G7" s="37"/>
      <c r="J7" s="62"/>
      <c r="K7" s="62"/>
    </row>
    <row r="8" spans="1:11" ht="15">
      <c r="A8" s="22" t="s">
        <v>12</v>
      </c>
      <c r="B8" s="37" t="s">
        <v>247</v>
      </c>
      <c r="C8" s="12" t="s">
        <v>172</v>
      </c>
      <c r="D8" s="38">
        <v>5.2</v>
      </c>
      <c r="E8" s="156">
        <v>1000</v>
      </c>
      <c r="F8" s="39">
        <f t="shared" ref="F8:F19" si="0">SUM(D8*E8)</f>
        <v>5200</v>
      </c>
      <c r="G8" s="37"/>
      <c r="J8" s="62"/>
      <c r="K8" s="62"/>
    </row>
    <row r="9" spans="1:11" ht="15">
      <c r="A9" s="22" t="s">
        <v>13</v>
      </c>
      <c r="B9" s="37" t="s">
        <v>161</v>
      </c>
      <c r="C9" s="12" t="s">
        <v>172</v>
      </c>
      <c r="D9" s="38">
        <v>0.4</v>
      </c>
      <c r="E9" s="156">
        <v>1000</v>
      </c>
      <c r="F9" s="39">
        <f t="shared" si="0"/>
        <v>400</v>
      </c>
      <c r="G9" s="37"/>
      <c r="J9" s="62"/>
      <c r="K9" s="62"/>
    </row>
    <row r="10" spans="1:11" ht="15">
      <c r="A10" s="22" t="s">
        <v>14</v>
      </c>
      <c r="B10" s="37" t="s">
        <v>162</v>
      </c>
      <c r="C10" s="12" t="s">
        <v>172</v>
      </c>
      <c r="D10" s="38">
        <v>0.8</v>
      </c>
      <c r="E10" s="156">
        <v>1000</v>
      </c>
      <c r="F10" s="39">
        <f>SUM(D10*E10)</f>
        <v>800</v>
      </c>
      <c r="G10" s="37"/>
      <c r="J10" s="62"/>
      <c r="K10" s="62"/>
    </row>
    <row r="11" spans="1:11" ht="15">
      <c r="A11" s="22" t="s">
        <v>15</v>
      </c>
      <c r="B11" s="37" t="s">
        <v>163</v>
      </c>
      <c r="C11" s="12" t="s">
        <v>172</v>
      </c>
      <c r="D11" s="38">
        <v>0.2</v>
      </c>
      <c r="E11" s="156">
        <v>1000</v>
      </c>
      <c r="F11" s="39">
        <f t="shared" si="0"/>
        <v>200</v>
      </c>
      <c r="G11" s="37"/>
      <c r="J11" s="62"/>
      <c r="K11" s="62"/>
    </row>
    <row r="12" spans="1:11" ht="15">
      <c r="A12" s="22" t="s">
        <v>21</v>
      </c>
      <c r="B12" s="37" t="s">
        <v>164</v>
      </c>
      <c r="C12" s="12" t="s">
        <v>172</v>
      </c>
      <c r="D12" s="38">
        <v>1.2</v>
      </c>
      <c r="E12" s="156">
        <v>1000</v>
      </c>
      <c r="F12" s="39">
        <f t="shared" si="0"/>
        <v>1200</v>
      </c>
      <c r="G12" s="37"/>
      <c r="J12" s="62"/>
      <c r="K12" s="62"/>
    </row>
    <row r="13" spans="1:11" ht="15">
      <c r="A13" s="22" t="s">
        <v>89</v>
      </c>
      <c r="B13" s="37" t="s">
        <v>165</v>
      </c>
      <c r="C13" s="12" t="s">
        <v>172</v>
      </c>
      <c r="D13" s="38">
        <v>0.4</v>
      </c>
      <c r="E13" s="156">
        <v>1000</v>
      </c>
      <c r="F13" s="39">
        <f t="shared" si="0"/>
        <v>400</v>
      </c>
      <c r="G13" s="37"/>
      <c r="J13" s="62"/>
      <c r="K13" s="62"/>
    </row>
    <row r="14" spans="1:11" ht="15">
      <c r="A14" s="22" t="s">
        <v>1</v>
      </c>
      <c r="B14" s="37" t="s">
        <v>166</v>
      </c>
      <c r="C14" s="12" t="s">
        <v>173</v>
      </c>
      <c r="D14" s="38">
        <v>225</v>
      </c>
      <c r="E14" s="156">
        <v>30</v>
      </c>
      <c r="F14" s="39">
        <f t="shared" si="0"/>
        <v>6750</v>
      </c>
      <c r="G14" s="37"/>
      <c r="H14" s="63"/>
      <c r="I14" s="64"/>
      <c r="J14" s="65"/>
      <c r="K14" s="66"/>
    </row>
    <row r="15" spans="1:11" ht="15">
      <c r="A15" s="22" t="s">
        <v>2</v>
      </c>
      <c r="B15" s="37" t="s">
        <v>95</v>
      </c>
      <c r="C15" s="12" t="s">
        <v>173</v>
      </c>
      <c r="D15" s="38">
        <v>225</v>
      </c>
      <c r="E15" s="156">
        <v>10</v>
      </c>
      <c r="F15" s="39">
        <f t="shared" si="0"/>
        <v>2250</v>
      </c>
      <c r="G15" s="67"/>
      <c r="J15" s="68"/>
      <c r="K15" s="68"/>
    </row>
    <row r="16" spans="1:11" ht="15">
      <c r="A16" s="22" t="s">
        <v>26</v>
      </c>
      <c r="B16" s="37" t="s">
        <v>259</v>
      </c>
      <c r="C16" s="12" t="s">
        <v>172</v>
      </c>
      <c r="D16" s="38">
        <v>1.2</v>
      </c>
      <c r="E16" s="156">
        <v>1500</v>
      </c>
      <c r="F16" s="39">
        <f>SUM(D16*E16)</f>
        <v>1800</v>
      </c>
      <c r="G16" s="37"/>
      <c r="J16" s="62"/>
      <c r="K16" s="62"/>
    </row>
    <row r="17" spans="1:17">
      <c r="A17" s="22" t="s">
        <v>28</v>
      </c>
      <c r="B17" s="37" t="s">
        <v>324</v>
      </c>
      <c r="C17" s="12" t="s">
        <v>18</v>
      </c>
      <c r="D17" s="38">
        <v>200</v>
      </c>
      <c r="E17" s="156">
        <v>10</v>
      </c>
      <c r="F17" s="39">
        <f t="shared" si="0"/>
        <v>2000</v>
      </c>
      <c r="G17" s="67"/>
      <c r="J17" s="68"/>
      <c r="K17" s="68"/>
    </row>
    <row r="18" spans="1:17">
      <c r="A18" s="22" t="s">
        <v>91</v>
      </c>
      <c r="B18" s="37" t="s">
        <v>135</v>
      </c>
      <c r="C18" s="12" t="s">
        <v>18</v>
      </c>
      <c r="D18" s="38">
        <v>80</v>
      </c>
      <c r="E18" s="156">
        <v>20</v>
      </c>
      <c r="F18" s="39">
        <f t="shared" si="0"/>
        <v>1600</v>
      </c>
      <c r="G18" s="67"/>
      <c r="J18" s="68"/>
      <c r="K18" s="68"/>
    </row>
    <row r="19" spans="1:17" ht="15">
      <c r="A19" s="22" t="s">
        <v>108</v>
      </c>
      <c r="B19" s="37" t="s">
        <v>136</v>
      </c>
      <c r="C19" s="12" t="s">
        <v>173</v>
      </c>
      <c r="D19" s="38">
        <v>225</v>
      </c>
      <c r="E19" s="156">
        <v>5</v>
      </c>
      <c r="F19" s="39">
        <f t="shared" si="0"/>
        <v>1125</v>
      </c>
      <c r="G19" s="67"/>
      <c r="J19" s="68"/>
      <c r="K19" s="68"/>
    </row>
    <row r="20" spans="1:17">
      <c r="A20" s="22"/>
      <c r="B20" s="37"/>
      <c r="D20" s="61"/>
      <c r="E20" s="62"/>
      <c r="F20" s="62"/>
      <c r="G20" s="67"/>
      <c r="J20" s="68"/>
      <c r="K20" s="68"/>
    </row>
    <row r="21" spans="1:17">
      <c r="A21" s="69"/>
      <c r="B21" s="70" t="s">
        <v>167</v>
      </c>
      <c r="C21" s="71"/>
      <c r="D21" s="72"/>
      <c r="E21" s="73"/>
      <c r="F21" s="74">
        <f>SUM(F8:F19)</f>
        <v>23725</v>
      </c>
      <c r="G21" s="67"/>
      <c r="J21" s="68"/>
      <c r="K21" s="68"/>
    </row>
    <row r="22" spans="1:17">
      <c r="A22" s="75"/>
      <c r="B22" s="67"/>
      <c r="D22" s="15"/>
      <c r="E22" s="68"/>
      <c r="F22" s="68"/>
      <c r="G22" s="63"/>
      <c r="H22" s="76"/>
      <c r="I22" s="77"/>
      <c r="J22" s="66"/>
      <c r="K22" s="10"/>
      <c r="L22" s="22"/>
      <c r="M22" s="67"/>
      <c r="N22" s="60"/>
      <c r="O22" s="78"/>
      <c r="P22" s="68"/>
      <c r="Q22" s="68"/>
    </row>
    <row r="23" spans="1:17">
      <c r="C23" s="10"/>
      <c r="D23" s="10"/>
      <c r="E23" s="10"/>
      <c r="F23" s="10"/>
      <c r="G23" s="60"/>
      <c r="H23" s="15"/>
      <c r="I23" s="79"/>
      <c r="J23" s="68"/>
      <c r="K23" s="10"/>
      <c r="L23" s="22"/>
      <c r="M23" s="67"/>
      <c r="N23" s="60"/>
      <c r="O23" s="78"/>
      <c r="P23" s="68"/>
      <c r="Q23" s="68"/>
    </row>
    <row r="24" spans="1:17">
      <c r="C24" s="10"/>
      <c r="D24" s="10"/>
      <c r="E24" s="10"/>
      <c r="F24" s="10"/>
      <c r="G24" s="63"/>
      <c r="H24" s="76"/>
      <c r="I24" s="77"/>
      <c r="J24" s="66"/>
      <c r="K24" s="10"/>
      <c r="L24" s="22"/>
      <c r="M24" s="67"/>
      <c r="N24" s="60"/>
      <c r="O24" s="78"/>
      <c r="P24" s="68"/>
      <c r="Q24" s="68"/>
    </row>
    <row r="25" spans="1:17">
      <c r="C25" s="10"/>
      <c r="D25" s="10"/>
      <c r="E25" s="10"/>
      <c r="F25" s="10"/>
      <c r="G25" s="60"/>
      <c r="H25" s="15"/>
      <c r="I25" s="79"/>
      <c r="J25" s="68"/>
      <c r="K25" s="10"/>
      <c r="L25" s="22"/>
      <c r="M25" s="67"/>
      <c r="N25" s="60"/>
      <c r="O25" s="78"/>
      <c r="P25" s="68"/>
      <c r="Q25" s="68"/>
    </row>
    <row r="26" spans="1:17">
      <c r="C26" s="10"/>
      <c r="D26" s="10"/>
      <c r="E26" s="10"/>
      <c r="F26" s="10"/>
      <c r="G26" s="63"/>
      <c r="H26" s="76"/>
      <c r="I26" s="77"/>
      <c r="J26" s="66"/>
      <c r="K26" s="10"/>
      <c r="L26" s="22"/>
      <c r="M26" s="67"/>
      <c r="N26" s="60"/>
      <c r="O26" s="78"/>
      <c r="P26" s="68"/>
      <c r="Q26" s="68"/>
    </row>
    <row r="27" spans="1:17">
      <c r="C27" s="10"/>
      <c r="D27" s="10"/>
      <c r="E27" s="10"/>
      <c r="F27" s="10"/>
      <c r="G27" s="60"/>
      <c r="H27" s="15"/>
      <c r="I27" s="79"/>
      <c r="J27" s="68"/>
      <c r="K27" s="10"/>
      <c r="L27" s="22"/>
      <c r="M27" s="67"/>
      <c r="N27" s="60"/>
      <c r="O27" s="78"/>
      <c r="P27" s="68"/>
      <c r="Q27" s="68"/>
    </row>
    <row r="28" spans="1:17">
      <c r="C28" s="10"/>
      <c r="D28" s="10"/>
      <c r="E28" s="10"/>
      <c r="F28" s="10"/>
      <c r="G28" s="63"/>
      <c r="H28" s="76"/>
      <c r="I28" s="77"/>
      <c r="J28" s="66"/>
      <c r="K28" s="10"/>
      <c r="L28" s="75"/>
      <c r="M28" s="67"/>
      <c r="N28" s="60"/>
      <c r="O28" s="78"/>
      <c r="P28" s="68"/>
      <c r="Q28" s="68"/>
    </row>
    <row r="29" spans="1:17">
      <c r="C29" s="10"/>
      <c r="D29" s="10"/>
      <c r="E29" s="10"/>
      <c r="F29" s="10"/>
      <c r="G29" s="60"/>
      <c r="H29" s="15"/>
      <c r="I29" s="79"/>
      <c r="J29" s="68"/>
      <c r="K29" s="10"/>
      <c r="L29" s="22"/>
      <c r="M29" s="67"/>
      <c r="N29" s="60"/>
      <c r="O29" s="78"/>
      <c r="P29" s="68"/>
      <c r="Q29" s="68"/>
    </row>
    <row r="30" spans="1:17">
      <c r="C30" s="10"/>
      <c r="D30" s="10"/>
      <c r="E30" s="10"/>
      <c r="F30" s="10"/>
      <c r="G30" s="63"/>
      <c r="H30" s="76"/>
      <c r="I30" s="77"/>
      <c r="J30" s="66"/>
      <c r="K30" s="10"/>
      <c r="L30" s="22"/>
      <c r="M30" s="67"/>
      <c r="N30" s="60"/>
      <c r="O30" s="78"/>
      <c r="P30" s="68"/>
      <c r="Q30" s="68"/>
    </row>
    <row r="31" spans="1:17">
      <c r="C31" s="10"/>
      <c r="D31" s="10"/>
      <c r="E31" s="10"/>
      <c r="F31" s="10"/>
      <c r="G31" s="60"/>
      <c r="H31" s="15"/>
      <c r="I31" s="79"/>
      <c r="J31" s="68"/>
      <c r="K31" s="10"/>
      <c r="L31" s="75"/>
      <c r="M31" s="67"/>
      <c r="N31" s="60"/>
      <c r="O31" s="78"/>
      <c r="P31" s="68"/>
      <c r="Q31" s="68"/>
    </row>
    <row r="32" spans="1:17">
      <c r="C32" s="10"/>
      <c r="D32" s="10"/>
      <c r="E32" s="10"/>
      <c r="F32" s="10"/>
      <c r="G32" s="63"/>
      <c r="H32" s="76"/>
      <c r="I32" s="77"/>
      <c r="J32" s="66"/>
      <c r="K32" s="10"/>
      <c r="L32" s="43"/>
      <c r="M32" s="67"/>
      <c r="N32" s="60"/>
      <c r="O32" s="78"/>
      <c r="P32" s="68"/>
      <c r="Q32" s="68"/>
    </row>
    <row r="33" spans="3:17">
      <c r="C33" s="10"/>
      <c r="D33" s="10"/>
      <c r="E33" s="10"/>
      <c r="F33" s="10"/>
      <c r="G33" s="60"/>
      <c r="H33" s="15"/>
      <c r="I33" s="79"/>
      <c r="J33" s="68"/>
      <c r="K33" s="10"/>
      <c r="L33" s="43"/>
      <c r="M33" s="37"/>
      <c r="N33" s="60"/>
      <c r="O33" s="80"/>
      <c r="P33" s="19"/>
      <c r="Q33" s="19"/>
    </row>
    <row r="34" spans="3:17">
      <c r="C34" s="10"/>
      <c r="D34" s="10"/>
      <c r="E34" s="10"/>
      <c r="F34" s="10"/>
      <c r="G34" s="63"/>
      <c r="H34" s="76"/>
      <c r="I34" s="77"/>
      <c r="J34" s="66"/>
      <c r="K34" s="10"/>
      <c r="L34" s="22"/>
      <c r="M34" s="37"/>
      <c r="N34" s="60"/>
      <c r="O34" s="80"/>
      <c r="P34" s="19"/>
      <c r="Q34" s="19"/>
    </row>
    <row r="35" spans="3:17">
      <c r="C35" s="10"/>
      <c r="D35" s="10"/>
      <c r="E35" s="10"/>
      <c r="F35" s="10"/>
      <c r="G35" s="60"/>
      <c r="H35" s="15"/>
      <c r="I35" s="79"/>
      <c r="J35" s="68"/>
      <c r="K35" s="10"/>
      <c r="L35" s="22"/>
      <c r="M35" s="67"/>
      <c r="N35" s="60"/>
      <c r="O35" s="78"/>
      <c r="P35" s="68"/>
      <c r="Q35" s="68"/>
    </row>
    <row r="36" spans="3:17">
      <c r="C36" s="10"/>
      <c r="D36" s="10"/>
      <c r="E36" s="10"/>
      <c r="F36" s="10"/>
      <c r="G36" s="63"/>
      <c r="H36" s="76"/>
      <c r="I36" s="77"/>
      <c r="J36" s="66"/>
      <c r="K36" s="10"/>
      <c r="L36" s="22"/>
      <c r="M36" s="67"/>
      <c r="N36" s="60"/>
      <c r="O36" s="78"/>
      <c r="P36" s="68"/>
      <c r="Q36" s="68"/>
    </row>
    <row r="37" spans="3:17">
      <c r="C37" s="10"/>
      <c r="D37" s="10"/>
      <c r="E37" s="10"/>
      <c r="F37" s="10"/>
      <c r="G37" s="60"/>
      <c r="H37" s="15"/>
      <c r="I37" s="79"/>
      <c r="J37" s="68"/>
      <c r="K37" s="10"/>
      <c r="M37" s="67"/>
      <c r="N37" s="60"/>
      <c r="O37" s="80"/>
      <c r="P37" s="19"/>
      <c r="Q37" s="19"/>
    </row>
    <row r="38" spans="3:17">
      <c r="C38" s="10"/>
      <c r="D38" s="10"/>
      <c r="E38" s="10"/>
      <c r="F38" s="10"/>
      <c r="G38" s="63"/>
      <c r="H38" s="76"/>
      <c r="I38" s="77"/>
      <c r="J38" s="66"/>
      <c r="K38" s="10"/>
      <c r="L38" s="75"/>
      <c r="M38" s="37"/>
      <c r="N38" s="15"/>
      <c r="O38" s="15"/>
      <c r="P38" s="19"/>
      <c r="Q38" s="19"/>
    </row>
    <row r="39" spans="3:17">
      <c r="C39" s="10"/>
      <c r="D39" s="10"/>
      <c r="E39" s="10"/>
      <c r="F39" s="10"/>
      <c r="G39" s="60"/>
      <c r="H39" s="15"/>
      <c r="I39" s="79"/>
      <c r="J39" s="68"/>
      <c r="K39" s="10"/>
      <c r="L39" s="43"/>
      <c r="M39" s="67"/>
      <c r="N39" s="60"/>
      <c r="O39" s="78"/>
      <c r="P39" s="68"/>
      <c r="Q39" s="68"/>
    </row>
    <row r="40" spans="3:17">
      <c r="C40" s="10"/>
      <c r="D40" s="10"/>
      <c r="E40" s="10"/>
      <c r="F40" s="10"/>
      <c r="G40" s="63"/>
      <c r="H40" s="76"/>
      <c r="I40" s="77"/>
      <c r="J40" s="66"/>
      <c r="K40" s="10"/>
      <c r="L40" s="43"/>
      <c r="N40" s="60"/>
      <c r="O40" s="80"/>
      <c r="P40" s="19"/>
      <c r="Q40" s="19"/>
    </row>
    <row r="41" spans="3:17">
      <c r="C41" s="10"/>
      <c r="D41" s="10"/>
      <c r="E41" s="10"/>
      <c r="F41" s="10"/>
      <c r="G41" s="60"/>
      <c r="H41" s="15"/>
      <c r="I41" s="79"/>
      <c r="J41" s="68"/>
      <c r="K41" s="10"/>
      <c r="L41" s="75"/>
      <c r="M41" s="37"/>
      <c r="N41" s="60"/>
      <c r="O41" s="80"/>
      <c r="P41" s="19"/>
      <c r="Q41" s="19"/>
    </row>
    <row r="42" spans="3:17">
      <c r="C42" s="10"/>
      <c r="D42" s="10"/>
      <c r="E42" s="10"/>
      <c r="F42" s="10"/>
      <c r="G42" s="63"/>
      <c r="H42" s="76"/>
      <c r="I42" s="77"/>
      <c r="J42" s="66"/>
      <c r="K42" s="10"/>
      <c r="L42" s="43"/>
      <c r="M42" s="67"/>
      <c r="N42" s="60"/>
      <c r="O42" s="78"/>
      <c r="P42" s="68"/>
      <c r="Q42" s="68"/>
    </row>
    <row r="43" spans="3:17">
      <c r="C43" s="10"/>
      <c r="D43" s="10"/>
      <c r="E43" s="10"/>
      <c r="F43" s="10"/>
      <c r="G43" s="60"/>
      <c r="H43" s="15"/>
      <c r="I43" s="79"/>
      <c r="J43" s="68"/>
      <c r="K43" s="10"/>
      <c r="L43" s="43"/>
      <c r="M43" s="37"/>
      <c r="N43" s="60"/>
      <c r="O43" s="80"/>
      <c r="P43" s="19"/>
      <c r="Q43" s="19"/>
    </row>
    <row r="44" spans="3:17">
      <c r="C44" s="10"/>
      <c r="D44" s="10"/>
      <c r="E44" s="10"/>
      <c r="F44" s="10"/>
      <c r="G44" s="63"/>
      <c r="H44" s="76"/>
      <c r="I44" s="77"/>
      <c r="J44" s="66"/>
      <c r="K44" s="10"/>
      <c r="L44" s="22"/>
      <c r="M44" s="37"/>
      <c r="N44" s="60"/>
      <c r="O44" s="80"/>
      <c r="P44" s="19"/>
      <c r="Q44" s="19"/>
    </row>
    <row r="45" spans="3:17">
      <c r="C45" s="10"/>
      <c r="D45" s="10"/>
      <c r="E45" s="10"/>
      <c r="F45" s="10"/>
      <c r="G45" s="60"/>
      <c r="H45" s="15"/>
      <c r="I45" s="79"/>
      <c r="J45" s="68"/>
      <c r="K45" s="10"/>
      <c r="L45" s="43"/>
      <c r="M45" s="67"/>
      <c r="N45" s="60"/>
      <c r="O45" s="80"/>
      <c r="P45" s="20"/>
      <c r="Q45" s="20"/>
    </row>
    <row r="46" spans="3:17">
      <c r="C46" s="10"/>
      <c r="D46" s="10"/>
      <c r="E46" s="10"/>
      <c r="F46" s="10"/>
      <c r="G46" s="63"/>
      <c r="H46" s="76"/>
      <c r="I46" s="77"/>
      <c r="J46" s="66"/>
      <c r="K46" s="10"/>
      <c r="L46" s="22"/>
      <c r="M46" s="81"/>
      <c r="N46" s="60"/>
      <c r="O46" s="78"/>
      <c r="P46" s="68"/>
      <c r="Q46" s="68"/>
    </row>
    <row r="47" spans="3:17">
      <c r="C47" s="10"/>
      <c r="D47" s="10"/>
      <c r="E47" s="10"/>
      <c r="F47" s="10"/>
      <c r="G47" s="60"/>
      <c r="H47" s="15"/>
      <c r="I47" s="79"/>
      <c r="J47" s="68"/>
      <c r="K47" s="10"/>
      <c r="L47" s="43"/>
      <c r="M47" s="67"/>
      <c r="N47" s="60"/>
      <c r="O47" s="80"/>
      <c r="P47" s="19"/>
      <c r="Q47" s="19"/>
    </row>
    <row r="48" spans="3:17">
      <c r="C48" s="10"/>
      <c r="D48" s="10"/>
      <c r="E48" s="10"/>
      <c r="F48" s="10"/>
      <c r="G48" s="63"/>
      <c r="H48" s="76"/>
      <c r="I48" s="77"/>
      <c r="J48" s="66"/>
      <c r="K48" s="10"/>
      <c r="L48" s="22"/>
      <c r="M48" s="81"/>
      <c r="N48" s="60"/>
      <c r="O48" s="78"/>
      <c r="P48" s="68"/>
      <c r="Q48" s="68"/>
    </row>
    <row r="49" spans="3:17">
      <c r="C49" s="10"/>
      <c r="D49" s="10"/>
      <c r="E49" s="10"/>
      <c r="F49" s="10"/>
      <c r="G49" s="60"/>
      <c r="H49" s="15"/>
      <c r="I49" s="79"/>
      <c r="J49" s="68"/>
      <c r="K49" s="10"/>
      <c r="L49" s="43"/>
      <c r="M49" s="67"/>
      <c r="N49" s="60"/>
      <c r="O49" s="80"/>
      <c r="P49" s="19"/>
      <c r="Q49" s="19"/>
    </row>
    <row r="50" spans="3:17">
      <c r="C50" s="10"/>
      <c r="D50" s="10"/>
      <c r="E50" s="10"/>
      <c r="F50" s="10"/>
      <c r="G50" s="63"/>
      <c r="H50" s="76"/>
      <c r="I50" s="77"/>
      <c r="J50" s="66"/>
      <c r="K50" s="10"/>
      <c r="L50" s="75"/>
      <c r="M50" s="37"/>
      <c r="N50" s="15"/>
      <c r="O50" s="15"/>
      <c r="P50" s="19"/>
      <c r="Q50" s="19"/>
    </row>
    <row r="51" spans="3:17">
      <c r="C51" s="10"/>
      <c r="D51" s="10"/>
      <c r="E51" s="10"/>
      <c r="F51" s="10"/>
      <c r="G51" s="60"/>
      <c r="H51" s="15"/>
      <c r="I51" s="79"/>
      <c r="J51" s="68"/>
      <c r="K51" s="10"/>
      <c r="L51" s="43"/>
      <c r="M51" s="67"/>
      <c r="N51" s="60"/>
      <c r="O51" s="78"/>
      <c r="P51" s="68"/>
      <c r="Q51" s="68"/>
    </row>
    <row r="52" spans="3:17">
      <c r="C52" s="10"/>
      <c r="D52" s="10"/>
      <c r="E52" s="10"/>
      <c r="F52" s="10"/>
      <c r="G52" s="63"/>
      <c r="H52" s="76"/>
      <c r="I52" s="77"/>
      <c r="J52" s="66"/>
      <c r="K52" s="10"/>
      <c r="L52" s="43"/>
      <c r="N52" s="60"/>
      <c r="O52" s="80"/>
      <c r="P52" s="19"/>
      <c r="Q52" s="19"/>
    </row>
    <row r="53" spans="3:17">
      <c r="C53" s="10"/>
      <c r="D53" s="10"/>
      <c r="E53" s="10"/>
      <c r="F53" s="10"/>
      <c r="G53" s="60"/>
      <c r="H53" s="15"/>
      <c r="I53" s="79"/>
      <c r="J53" s="68"/>
      <c r="K53" s="10"/>
      <c r="L53" s="75"/>
      <c r="M53" s="37"/>
      <c r="N53" s="60"/>
      <c r="O53" s="80"/>
      <c r="P53" s="19"/>
      <c r="Q53" s="19"/>
    </row>
    <row r="54" spans="3:17">
      <c r="C54" s="10"/>
      <c r="D54" s="10"/>
      <c r="E54" s="10"/>
      <c r="F54" s="10"/>
      <c r="G54" s="63"/>
      <c r="H54" s="76"/>
      <c r="I54" s="77"/>
      <c r="J54" s="66"/>
      <c r="K54" s="10"/>
      <c r="L54" s="43"/>
      <c r="M54" s="67"/>
      <c r="N54" s="60"/>
      <c r="O54" s="78"/>
      <c r="P54" s="68"/>
      <c r="Q54" s="68"/>
    </row>
    <row r="55" spans="3:17">
      <c r="C55" s="10"/>
      <c r="D55" s="10"/>
      <c r="E55" s="10"/>
      <c r="F55" s="10"/>
      <c r="G55" s="60"/>
      <c r="H55" s="15"/>
      <c r="I55" s="79"/>
      <c r="J55" s="68"/>
      <c r="K55" s="10"/>
      <c r="L55" s="43"/>
      <c r="M55" s="37"/>
      <c r="N55" s="60"/>
      <c r="O55" s="80"/>
      <c r="P55" s="19"/>
      <c r="Q55" s="19"/>
    </row>
    <row r="56" spans="3:17">
      <c r="C56" s="10"/>
      <c r="D56" s="10"/>
      <c r="E56" s="10"/>
      <c r="F56" s="10"/>
      <c r="G56" s="63"/>
      <c r="H56" s="76"/>
      <c r="I56" s="77"/>
      <c r="J56" s="66"/>
      <c r="K56" s="10"/>
      <c r="L56" s="22"/>
      <c r="M56" s="37"/>
      <c r="N56" s="60"/>
      <c r="O56" s="80"/>
      <c r="P56" s="19"/>
      <c r="Q56" s="19"/>
    </row>
    <row r="57" spans="3:17">
      <c r="C57" s="10"/>
      <c r="D57" s="10"/>
      <c r="E57" s="10"/>
      <c r="F57" s="10"/>
      <c r="G57" s="60"/>
      <c r="H57" s="15"/>
      <c r="I57" s="79"/>
      <c r="J57" s="68"/>
      <c r="K57" s="15"/>
      <c r="L57" s="43"/>
      <c r="M57" s="67"/>
      <c r="N57" s="60"/>
      <c r="O57" s="78"/>
      <c r="P57" s="68"/>
      <c r="Q57" s="68"/>
    </row>
    <row r="58" spans="3:17">
      <c r="C58" s="10"/>
      <c r="D58" s="10"/>
      <c r="E58" s="10"/>
      <c r="F58" s="10"/>
      <c r="G58" s="63"/>
      <c r="H58" s="76"/>
      <c r="I58" s="77"/>
      <c r="J58" s="66"/>
      <c r="K58" s="10"/>
      <c r="L58" s="22"/>
      <c r="M58" s="81"/>
      <c r="N58" s="60"/>
      <c r="O58" s="78"/>
      <c r="P58" s="68"/>
      <c r="Q58" s="68"/>
    </row>
    <row r="59" spans="3:17">
      <c r="C59" s="10"/>
      <c r="D59" s="10"/>
      <c r="E59" s="10"/>
      <c r="F59" s="10"/>
      <c r="G59" s="60"/>
      <c r="H59" s="15"/>
      <c r="I59" s="79"/>
      <c r="J59" s="68"/>
      <c r="K59" s="15"/>
      <c r="L59" s="43"/>
      <c r="M59" s="67"/>
      <c r="N59" s="60"/>
      <c r="O59" s="80"/>
      <c r="P59" s="19"/>
      <c r="Q59" s="19"/>
    </row>
    <row r="60" spans="3:17">
      <c r="C60" s="10"/>
      <c r="D60" s="10"/>
      <c r="E60" s="10"/>
      <c r="F60" s="10"/>
      <c r="G60" s="63"/>
      <c r="H60" s="76"/>
      <c r="I60" s="77"/>
      <c r="J60" s="66"/>
      <c r="K60" s="10"/>
      <c r="L60" s="22"/>
      <c r="M60" s="81"/>
      <c r="N60" s="60"/>
      <c r="O60" s="78"/>
      <c r="P60" s="68"/>
      <c r="Q60" s="68"/>
    </row>
    <row r="61" spans="3:17">
      <c r="C61" s="10"/>
      <c r="D61" s="10"/>
      <c r="E61" s="10"/>
      <c r="F61" s="10"/>
      <c r="G61" s="60"/>
      <c r="H61" s="15"/>
      <c r="I61" s="79"/>
      <c r="J61" s="68"/>
      <c r="K61" s="10"/>
      <c r="L61" s="43"/>
      <c r="M61" s="67"/>
      <c r="N61" s="60"/>
      <c r="O61" s="80"/>
      <c r="P61" s="19"/>
      <c r="Q61" s="19"/>
    </row>
    <row r="62" spans="3:17">
      <c r="C62" s="10"/>
      <c r="D62" s="10"/>
      <c r="E62" s="10"/>
      <c r="F62" s="10"/>
      <c r="G62" s="63"/>
      <c r="H62" s="76"/>
      <c r="I62" s="77"/>
      <c r="J62" s="66"/>
      <c r="K62" s="10"/>
      <c r="L62" s="75"/>
      <c r="M62" s="37"/>
      <c r="N62" s="15"/>
      <c r="O62" s="15"/>
      <c r="P62" s="19"/>
      <c r="Q62" s="19"/>
    </row>
    <row r="63" spans="3:17">
      <c r="C63" s="10"/>
      <c r="D63" s="10"/>
      <c r="E63" s="10"/>
      <c r="F63" s="10"/>
      <c r="G63" s="60"/>
      <c r="H63" s="15"/>
      <c r="I63" s="79"/>
      <c r="J63" s="68"/>
      <c r="K63" s="10"/>
      <c r="L63" s="43"/>
      <c r="M63" s="67"/>
      <c r="N63" s="60"/>
      <c r="O63" s="78"/>
      <c r="P63" s="68"/>
      <c r="Q63" s="68"/>
    </row>
    <row r="64" spans="3:17">
      <c r="C64" s="10"/>
      <c r="D64" s="10"/>
      <c r="E64" s="10"/>
      <c r="F64" s="10"/>
      <c r="G64" s="63"/>
      <c r="H64" s="76"/>
      <c r="I64" s="77"/>
      <c r="J64" s="66"/>
      <c r="K64" s="10"/>
      <c r="L64" s="43"/>
      <c r="N64" s="60"/>
      <c r="O64" s="80"/>
      <c r="P64" s="19"/>
      <c r="Q64" s="19"/>
    </row>
    <row r="65" spans="3:17">
      <c r="C65" s="10"/>
      <c r="D65" s="10"/>
      <c r="E65" s="10"/>
      <c r="F65" s="10"/>
      <c r="G65" s="60"/>
      <c r="H65" s="15"/>
      <c r="I65" s="79"/>
      <c r="J65" s="68"/>
      <c r="K65" s="10"/>
      <c r="L65" s="75"/>
      <c r="M65" s="37"/>
      <c r="N65" s="60"/>
      <c r="O65" s="80"/>
      <c r="P65" s="19"/>
      <c r="Q65" s="19"/>
    </row>
    <row r="66" spans="3:17">
      <c r="C66" s="10"/>
      <c r="D66" s="10"/>
      <c r="E66" s="10"/>
      <c r="F66" s="10"/>
      <c r="G66" s="63"/>
      <c r="H66" s="76"/>
      <c r="I66" s="77"/>
      <c r="J66" s="66"/>
      <c r="K66" s="10"/>
      <c r="L66" s="43"/>
      <c r="M66" s="67"/>
      <c r="N66" s="60"/>
      <c r="O66" s="78"/>
      <c r="P66" s="68"/>
      <c r="Q66" s="68"/>
    </row>
    <row r="67" spans="3:17">
      <c r="C67" s="10"/>
      <c r="D67" s="10"/>
      <c r="E67" s="10"/>
      <c r="F67" s="10"/>
      <c r="G67" s="60"/>
      <c r="H67" s="15"/>
      <c r="I67" s="79"/>
      <c r="J67" s="68"/>
      <c r="K67" s="10"/>
      <c r="L67" s="43"/>
      <c r="M67" s="37"/>
      <c r="N67" s="60"/>
      <c r="O67" s="80"/>
      <c r="P67" s="19"/>
      <c r="Q67" s="19"/>
    </row>
    <row r="68" spans="3:17">
      <c r="C68" s="10"/>
      <c r="D68" s="10"/>
      <c r="E68" s="10"/>
      <c r="F68" s="10"/>
      <c r="G68" s="63"/>
      <c r="H68" s="76"/>
      <c r="I68" s="77"/>
      <c r="J68" s="66"/>
      <c r="K68" s="10"/>
      <c r="L68" s="22"/>
      <c r="M68" s="37"/>
      <c r="N68" s="60"/>
      <c r="O68" s="80"/>
      <c r="P68" s="19"/>
      <c r="Q68" s="19"/>
    </row>
    <row r="69" spans="3:17">
      <c r="C69" s="10"/>
      <c r="D69" s="10"/>
      <c r="E69" s="10"/>
      <c r="F69" s="10"/>
      <c r="G69" s="60"/>
      <c r="H69" s="15"/>
      <c r="I69" s="79"/>
      <c r="J69" s="68"/>
      <c r="K69" s="10"/>
      <c r="M69" s="67"/>
      <c r="N69" s="60"/>
      <c r="O69" s="78"/>
      <c r="P69" s="68"/>
      <c r="Q69" s="68"/>
    </row>
    <row r="70" spans="3:17">
      <c r="C70" s="10"/>
      <c r="D70" s="10"/>
      <c r="E70" s="10"/>
      <c r="F70" s="10"/>
      <c r="G70" s="63"/>
      <c r="H70" s="76"/>
      <c r="I70" s="77"/>
      <c r="J70" s="66"/>
      <c r="K70" s="10"/>
      <c r="M70" s="67"/>
      <c r="N70" s="60"/>
      <c r="O70" s="78"/>
      <c r="P70" s="68"/>
      <c r="Q70" s="68"/>
    </row>
    <row r="71" spans="3:17">
      <c r="C71" s="10"/>
      <c r="D71" s="10"/>
      <c r="E71" s="10"/>
      <c r="F71" s="10"/>
      <c r="G71" s="60"/>
      <c r="H71" s="15"/>
      <c r="I71" s="79"/>
      <c r="J71" s="68"/>
      <c r="K71" s="10"/>
      <c r="L71" s="75"/>
      <c r="M71" s="67"/>
      <c r="N71" s="15"/>
      <c r="O71" s="15"/>
      <c r="P71" s="19"/>
      <c r="Q71" s="19"/>
    </row>
    <row r="72" spans="3:17">
      <c r="C72" s="10"/>
      <c r="D72" s="10"/>
      <c r="E72" s="10"/>
      <c r="F72" s="10"/>
      <c r="G72" s="63"/>
      <c r="H72" s="76"/>
      <c r="I72" s="77"/>
      <c r="J72" s="66"/>
      <c r="K72" s="10"/>
      <c r="L72" s="43"/>
      <c r="M72" s="67"/>
      <c r="N72" s="60"/>
      <c r="O72" s="78"/>
      <c r="P72" s="68"/>
      <c r="Q72" s="68"/>
    </row>
    <row r="73" spans="3:17">
      <c r="C73" s="10"/>
      <c r="D73" s="10"/>
      <c r="E73" s="10"/>
      <c r="F73" s="10"/>
      <c r="G73" s="60"/>
      <c r="H73" s="15"/>
      <c r="I73" s="79"/>
      <c r="J73" s="68"/>
      <c r="K73" s="10"/>
      <c r="L73" s="43"/>
      <c r="N73" s="60"/>
      <c r="O73" s="80"/>
      <c r="P73" s="19"/>
      <c r="Q73" s="19"/>
    </row>
    <row r="74" spans="3:17">
      <c r="C74" s="10"/>
      <c r="D74" s="10"/>
      <c r="E74" s="10"/>
      <c r="F74" s="10"/>
      <c r="G74" s="63"/>
      <c r="H74" s="76"/>
      <c r="I74" s="77"/>
      <c r="J74" s="66"/>
      <c r="K74" s="10"/>
      <c r="L74" s="75"/>
      <c r="M74" s="37"/>
      <c r="N74" s="60"/>
      <c r="O74" s="80"/>
      <c r="P74" s="19"/>
      <c r="Q74" s="19"/>
    </row>
    <row r="75" spans="3:17">
      <c r="C75" s="10"/>
      <c r="D75" s="10"/>
      <c r="E75" s="10"/>
      <c r="F75" s="10"/>
      <c r="G75" s="60"/>
      <c r="H75" s="15"/>
      <c r="I75" s="79"/>
      <c r="J75" s="68"/>
      <c r="K75" s="10"/>
      <c r="L75" s="43"/>
      <c r="M75" s="67"/>
      <c r="N75" s="60"/>
      <c r="O75" s="78"/>
      <c r="P75" s="68"/>
      <c r="Q75" s="68"/>
    </row>
    <row r="76" spans="3:17">
      <c r="C76" s="10"/>
      <c r="D76" s="10"/>
      <c r="E76" s="10"/>
      <c r="F76" s="10"/>
      <c r="G76" s="63"/>
      <c r="H76" s="76"/>
      <c r="I76" s="77"/>
      <c r="J76" s="66"/>
      <c r="K76" s="10"/>
      <c r="M76" s="37"/>
      <c r="N76" s="60"/>
      <c r="O76" s="78"/>
      <c r="P76" s="68"/>
      <c r="Q76" s="68"/>
    </row>
    <row r="77" spans="3:17">
      <c r="C77" s="10"/>
      <c r="D77" s="10"/>
      <c r="E77" s="10"/>
      <c r="F77" s="10"/>
      <c r="G77" s="60"/>
      <c r="H77" s="15"/>
      <c r="I77" s="79"/>
      <c r="J77" s="68"/>
      <c r="K77" s="10"/>
      <c r="L77" s="75"/>
      <c r="M77" s="67"/>
      <c r="N77" s="60"/>
      <c r="O77" s="78"/>
      <c r="P77" s="68"/>
      <c r="Q77" s="68"/>
    </row>
    <row r="78" spans="3:17">
      <c r="C78" s="10"/>
      <c r="D78" s="10"/>
      <c r="E78" s="10"/>
      <c r="F78" s="10"/>
      <c r="G78" s="63"/>
      <c r="H78" s="76"/>
      <c r="I78" s="77"/>
      <c r="J78" s="66"/>
      <c r="K78" s="10"/>
      <c r="L78" s="22"/>
      <c r="M78" s="67"/>
      <c r="N78" s="60"/>
      <c r="O78" s="15"/>
      <c r="P78" s="68"/>
      <c r="Q78" s="68"/>
    </row>
    <row r="79" spans="3:17">
      <c r="C79" s="10"/>
      <c r="D79" s="10"/>
      <c r="E79" s="10"/>
      <c r="F79" s="10"/>
      <c r="G79" s="60"/>
      <c r="H79" s="15"/>
      <c r="I79" s="79"/>
      <c r="J79" s="68"/>
      <c r="K79" s="10"/>
      <c r="L79" s="22"/>
      <c r="M79" s="67"/>
      <c r="N79" s="60"/>
      <c r="O79" s="15"/>
      <c r="P79" s="68"/>
      <c r="Q79" s="68"/>
    </row>
    <row r="80" spans="3:17">
      <c r="C80" s="10"/>
      <c r="D80" s="10"/>
      <c r="E80" s="10"/>
      <c r="F80" s="10"/>
      <c r="G80" s="63"/>
      <c r="H80" s="76"/>
      <c r="I80" s="77"/>
      <c r="J80" s="66"/>
      <c r="K80" s="10"/>
      <c r="L80" s="22"/>
      <c r="M80" s="67"/>
      <c r="N80" s="60"/>
      <c r="O80" s="15"/>
      <c r="P80" s="68"/>
      <c r="Q80" s="68"/>
    </row>
    <row r="81" spans="3:17">
      <c r="C81" s="10"/>
      <c r="D81" s="10"/>
      <c r="E81" s="10"/>
      <c r="F81" s="10"/>
      <c r="G81" s="60"/>
      <c r="H81" s="15"/>
      <c r="I81" s="79"/>
      <c r="J81" s="68"/>
      <c r="K81" s="10"/>
      <c r="L81" s="22"/>
      <c r="M81" s="67"/>
      <c r="N81" s="60"/>
      <c r="O81" s="15"/>
      <c r="P81" s="68"/>
      <c r="Q81" s="68"/>
    </row>
    <row r="82" spans="3:17">
      <c r="C82" s="10"/>
      <c r="D82" s="10"/>
      <c r="E82" s="10"/>
      <c r="F82" s="10"/>
      <c r="G82" s="63"/>
      <c r="H82" s="76"/>
      <c r="I82" s="77"/>
      <c r="J82" s="66"/>
      <c r="K82" s="10"/>
      <c r="L82" s="22"/>
      <c r="M82" s="67"/>
      <c r="N82" s="60"/>
      <c r="O82" s="15"/>
      <c r="P82" s="68"/>
      <c r="Q82" s="68"/>
    </row>
    <row r="83" spans="3:17">
      <c r="C83" s="10"/>
      <c r="D83" s="10"/>
      <c r="E83" s="10"/>
      <c r="F83" s="10"/>
      <c r="G83" s="63"/>
      <c r="H83" s="76"/>
      <c r="I83" s="77"/>
      <c r="J83" s="66"/>
      <c r="K83" s="10"/>
      <c r="N83" s="60"/>
      <c r="O83" s="80"/>
      <c r="P83" s="20"/>
      <c r="Q83" s="20"/>
    </row>
    <row r="84" spans="3:17">
      <c r="C84" s="10"/>
      <c r="D84" s="10"/>
      <c r="E84" s="10"/>
      <c r="F84" s="10"/>
      <c r="G84" s="60"/>
      <c r="H84" s="15"/>
      <c r="I84" s="79"/>
      <c r="J84" s="68"/>
      <c r="K84" s="10"/>
      <c r="N84" s="60"/>
      <c r="O84" s="80"/>
      <c r="P84" s="20"/>
      <c r="Q84" s="20"/>
    </row>
    <row r="85" spans="3:17">
      <c r="C85" s="10"/>
      <c r="D85" s="10"/>
      <c r="E85" s="10"/>
      <c r="F85" s="10"/>
      <c r="G85" s="63"/>
      <c r="H85" s="76"/>
      <c r="I85" s="77"/>
      <c r="J85" s="66"/>
      <c r="K85" s="10"/>
      <c r="N85" s="60"/>
      <c r="O85" s="80"/>
      <c r="P85" s="20"/>
      <c r="Q85" s="20"/>
    </row>
    <row r="86" spans="3:17">
      <c r="C86" s="10"/>
      <c r="D86" s="10"/>
      <c r="E86" s="10"/>
      <c r="F86" s="10"/>
      <c r="G86" s="60"/>
      <c r="H86" s="15"/>
      <c r="I86" s="79"/>
      <c r="J86" s="68"/>
      <c r="K86" s="10"/>
      <c r="N86" s="60"/>
      <c r="O86" s="80"/>
      <c r="P86" s="20"/>
      <c r="Q86" s="20"/>
    </row>
    <row r="87" spans="3:17">
      <c r="C87" s="10"/>
      <c r="D87" s="10"/>
      <c r="E87" s="10"/>
      <c r="F87" s="10"/>
      <c r="G87" s="63"/>
      <c r="H87" s="76"/>
      <c r="I87" s="77"/>
      <c r="J87" s="66"/>
      <c r="K87" s="10"/>
      <c r="N87" s="60"/>
      <c r="O87" s="80"/>
      <c r="P87" s="20"/>
      <c r="Q87" s="20"/>
    </row>
    <row r="88" spans="3:17">
      <c r="C88" s="10"/>
      <c r="D88" s="10"/>
      <c r="E88" s="10"/>
      <c r="F88" s="10"/>
      <c r="G88" s="60"/>
      <c r="H88" s="15"/>
      <c r="I88" s="79"/>
      <c r="J88" s="68"/>
      <c r="K88" s="10"/>
      <c r="M88" s="67"/>
      <c r="N88" s="60"/>
      <c r="O88" s="80"/>
      <c r="P88" s="20"/>
      <c r="Q88" s="20"/>
    </row>
    <row r="89" spans="3:17">
      <c r="C89" s="10"/>
      <c r="D89" s="10"/>
      <c r="E89" s="10"/>
      <c r="F89" s="10"/>
      <c r="G89" s="63"/>
      <c r="H89" s="76"/>
      <c r="I89" s="77"/>
      <c r="J89" s="66"/>
      <c r="K89" s="10"/>
      <c r="N89" s="60"/>
      <c r="O89" s="80"/>
      <c r="P89" s="20"/>
      <c r="Q89" s="20"/>
    </row>
    <row r="90" spans="3:17">
      <c r="C90" s="10"/>
      <c r="D90" s="10"/>
      <c r="E90" s="10"/>
      <c r="F90" s="10"/>
      <c r="G90" s="60"/>
      <c r="H90" s="15"/>
      <c r="I90" s="79"/>
      <c r="J90" s="68"/>
      <c r="K90" s="10"/>
      <c r="N90" s="60"/>
      <c r="O90" s="80"/>
      <c r="P90" s="20"/>
      <c r="Q90" s="20"/>
    </row>
    <row r="91" spans="3:17">
      <c r="C91" s="10"/>
      <c r="D91" s="10"/>
      <c r="E91" s="10"/>
      <c r="F91" s="10"/>
      <c r="G91" s="63"/>
      <c r="H91" s="76"/>
      <c r="I91" s="77"/>
      <c r="J91" s="66"/>
      <c r="K91" s="10"/>
      <c r="N91" s="60"/>
      <c r="O91" s="80"/>
      <c r="P91" s="20"/>
      <c r="Q91" s="20"/>
    </row>
    <row r="92" spans="3:17">
      <c r="C92" s="10"/>
      <c r="D92" s="10"/>
      <c r="E92" s="10"/>
      <c r="F92" s="10"/>
      <c r="G92" s="60"/>
      <c r="H92" s="15"/>
      <c r="I92" s="79"/>
      <c r="J92" s="68"/>
      <c r="K92" s="10"/>
      <c r="N92" s="60"/>
      <c r="O92" s="80"/>
      <c r="P92" s="20"/>
      <c r="Q92" s="20"/>
    </row>
    <row r="93" spans="3:17">
      <c r="C93" s="10"/>
      <c r="D93" s="10"/>
      <c r="E93" s="10"/>
      <c r="F93" s="10"/>
      <c r="G93" s="63"/>
      <c r="H93" s="76"/>
      <c r="I93" s="77"/>
      <c r="J93" s="66"/>
      <c r="K93" s="10"/>
      <c r="N93" s="60"/>
      <c r="O93" s="80"/>
      <c r="P93" s="20"/>
      <c r="Q93" s="20"/>
    </row>
    <row r="94" spans="3:17">
      <c r="C94" s="10"/>
      <c r="D94" s="10"/>
      <c r="E94" s="10"/>
      <c r="F94" s="10"/>
      <c r="G94" s="60"/>
      <c r="H94" s="15"/>
      <c r="I94" s="79"/>
      <c r="J94" s="68"/>
      <c r="K94" s="10"/>
      <c r="N94" s="60"/>
      <c r="O94" s="80"/>
      <c r="P94" s="20"/>
      <c r="Q94" s="20"/>
    </row>
    <row r="95" spans="3:17">
      <c r="C95" s="10"/>
      <c r="D95" s="10"/>
      <c r="E95" s="10"/>
      <c r="F95" s="10"/>
      <c r="G95" s="63"/>
      <c r="H95" s="76"/>
      <c r="I95" s="77"/>
      <c r="J95" s="66"/>
      <c r="K95" s="10"/>
      <c r="N95" s="60"/>
      <c r="O95" s="80"/>
      <c r="P95" s="20"/>
      <c r="Q95" s="20"/>
    </row>
    <row r="96" spans="3:17">
      <c r="C96" s="10"/>
      <c r="D96" s="10"/>
      <c r="E96" s="10"/>
      <c r="F96" s="10"/>
      <c r="G96" s="60"/>
      <c r="H96" s="15"/>
      <c r="I96" s="79"/>
      <c r="J96" s="68"/>
      <c r="K96" s="10"/>
      <c r="N96" s="60"/>
      <c r="O96" s="80"/>
      <c r="P96" s="20"/>
      <c r="Q96" s="20"/>
    </row>
    <row r="97" spans="3:17">
      <c r="C97" s="10"/>
      <c r="D97" s="10"/>
      <c r="E97" s="10"/>
      <c r="F97" s="10"/>
      <c r="G97" s="63"/>
      <c r="H97" s="76"/>
      <c r="I97" s="77"/>
      <c r="J97" s="66"/>
      <c r="K97" s="10"/>
      <c r="N97" s="60"/>
      <c r="O97" s="80"/>
      <c r="P97" s="20"/>
      <c r="Q97" s="20"/>
    </row>
    <row r="98" spans="3:17">
      <c r="C98" s="10"/>
      <c r="D98" s="10"/>
      <c r="E98" s="10"/>
      <c r="F98" s="10"/>
      <c r="G98" s="60"/>
      <c r="H98" s="15"/>
      <c r="I98" s="79"/>
      <c r="J98" s="68"/>
      <c r="K98" s="10"/>
      <c r="N98" s="60"/>
      <c r="O98" s="80"/>
      <c r="P98" s="20"/>
      <c r="Q98" s="20"/>
    </row>
    <row r="99" spans="3:17">
      <c r="C99" s="10"/>
      <c r="D99" s="10"/>
      <c r="E99" s="10"/>
      <c r="F99" s="10"/>
      <c r="G99" s="63"/>
      <c r="H99" s="76"/>
      <c r="I99" s="77"/>
      <c r="J99" s="66"/>
      <c r="K99" s="10"/>
      <c r="N99" s="60"/>
      <c r="O99" s="80"/>
      <c r="P99" s="20"/>
      <c r="Q99" s="20"/>
    </row>
    <row r="100" spans="3:17">
      <c r="C100" s="10"/>
      <c r="D100" s="10"/>
      <c r="E100" s="10"/>
      <c r="F100" s="10"/>
      <c r="G100" s="60"/>
      <c r="H100" s="15"/>
      <c r="I100" s="79"/>
      <c r="J100" s="68"/>
      <c r="K100" s="10"/>
      <c r="N100" s="60"/>
      <c r="O100" s="80"/>
      <c r="P100" s="20"/>
      <c r="Q100" s="20"/>
    </row>
    <row r="101" spans="3:17">
      <c r="C101" s="10"/>
      <c r="D101" s="10"/>
      <c r="E101" s="10"/>
      <c r="F101" s="10"/>
      <c r="G101" s="63"/>
      <c r="H101" s="76"/>
      <c r="I101" s="77"/>
      <c r="J101" s="66"/>
      <c r="K101" s="10"/>
      <c r="N101" s="60"/>
      <c r="O101" s="80"/>
      <c r="P101" s="20"/>
      <c r="Q101" s="20"/>
    </row>
    <row r="102" spans="3:17">
      <c r="C102" s="10"/>
      <c r="D102" s="10"/>
      <c r="E102" s="10"/>
      <c r="F102" s="10"/>
      <c r="G102" s="60"/>
      <c r="H102" s="15"/>
      <c r="I102" s="79"/>
      <c r="J102" s="68"/>
      <c r="K102" s="10"/>
      <c r="N102" s="60"/>
      <c r="O102" s="80"/>
      <c r="P102" s="20"/>
      <c r="Q102" s="20"/>
    </row>
    <row r="103" spans="3:17">
      <c r="C103" s="10"/>
      <c r="D103" s="10"/>
      <c r="E103" s="10"/>
      <c r="F103" s="10"/>
      <c r="G103" s="63"/>
      <c r="H103" s="76"/>
      <c r="I103" s="77"/>
      <c r="J103" s="66"/>
      <c r="K103" s="10"/>
      <c r="N103" s="60"/>
      <c r="O103" s="80"/>
      <c r="P103" s="20"/>
      <c r="Q103" s="20"/>
    </row>
    <row r="104" spans="3:17">
      <c r="C104" s="10"/>
      <c r="D104" s="10"/>
      <c r="E104" s="10"/>
      <c r="F104" s="10"/>
      <c r="G104" s="60"/>
      <c r="H104" s="15"/>
      <c r="I104" s="79"/>
      <c r="J104" s="68"/>
      <c r="K104" s="10"/>
      <c r="N104" s="60"/>
      <c r="O104" s="80"/>
      <c r="P104" s="20"/>
      <c r="Q104" s="20"/>
    </row>
    <row r="105" spans="3:17">
      <c r="C105" s="10"/>
      <c r="D105" s="10"/>
      <c r="E105" s="10"/>
      <c r="F105" s="10"/>
      <c r="G105" s="63"/>
      <c r="H105" s="76"/>
      <c r="I105" s="77"/>
      <c r="J105" s="66"/>
      <c r="K105" s="10"/>
      <c r="N105" s="60"/>
      <c r="O105" s="80"/>
      <c r="P105" s="20"/>
      <c r="Q105" s="20"/>
    </row>
    <row r="106" spans="3:17">
      <c r="C106" s="10"/>
      <c r="D106" s="10"/>
      <c r="E106" s="10"/>
      <c r="F106" s="10"/>
      <c r="G106" s="60"/>
      <c r="H106" s="15"/>
      <c r="I106" s="79"/>
      <c r="J106" s="68"/>
      <c r="K106" s="10"/>
      <c r="N106" s="60"/>
      <c r="O106" s="80"/>
      <c r="P106" s="20"/>
      <c r="Q106" s="20"/>
    </row>
    <row r="107" spans="3:17">
      <c r="C107" s="10"/>
      <c r="D107" s="10"/>
      <c r="E107" s="10"/>
      <c r="F107" s="10"/>
      <c r="G107" s="63"/>
      <c r="H107" s="76"/>
      <c r="I107" s="77"/>
      <c r="J107" s="66"/>
      <c r="K107" s="10"/>
      <c r="N107" s="60"/>
      <c r="O107" s="80"/>
      <c r="P107" s="20"/>
      <c r="Q107" s="20"/>
    </row>
    <row r="108" spans="3:17">
      <c r="C108" s="10"/>
      <c r="D108" s="10"/>
      <c r="E108" s="10"/>
      <c r="F108" s="10"/>
      <c r="G108" s="60"/>
      <c r="H108" s="15"/>
      <c r="I108" s="79"/>
      <c r="J108" s="68"/>
      <c r="K108" s="10"/>
      <c r="N108" s="60"/>
      <c r="O108" s="80"/>
      <c r="P108" s="20"/>
      <c r="Q108" s="20"/>
    </row>
    <row r="109" spans="3:17">
      <c r="C109" s="10"/>
      <c r="D109" s="10"/>
      <c r="E109" s="10"/>
      <c r="F109" s="10"/>
      <c r="G109" s="63"/>
      <c r="H109" s="76"/>
      <c r="I109" s="77"/>
      <c r="J109" s="66"/>
      <c r="K109" s="10"/>
      <c r="N109" s="60"/>
      <c r="O109" s="80"/>
      <c r="P109" s="20"/>
      <c r="Q109" s="20"/>
    </row>
    <row r="110" spans="3:17">
      <c r="C110" s="10"/>
      <c r="D110" s="10"/>
      <c r="E110" s="10"/>
      <c r="F110" s="10"/>
      <c r="G110" s="60"/>
      <c r="H110" s="15"/>
      <c r="I110" s="79"/>
      <c r="J110" s="68"/>
      <c r="K110" s="10"/>
      <c r="N110" s="60"/>
      <c r="O110" s="80"/>
      <c r="P110" s="20"/>
      <c r="Q110" s="20"/>
    </row>
    <row r="111" spans="3:17">
      <c r="C111" s="10"/>
      <c r="D111" s="10"/>
      <c r="E111" s="10"/>
      <c r="F111" s="10"/>
      <c r="G111" s="63"/>
      <c r="H111" s="76"/>
      <c r="I111" s="77"/>
      <c r="J111" s="66"/>
      <c r="K111" s="10"/>
      <c r="N111" s="60"/>
      <c r="O111" s="80"/>
      <c r="P111" s="20"/>
      <c r="Q111" s="20"/>
    </row>
    <row r="112" spans="3:17">
      <c r="C112" s="10"/>
      <c r="D112" s="10"/>
      <c r="E112" s="10"/>
      <c r="F112" s="10"/>
      <c r="G112" s="60"/>
      <c r="H112" s="15"/>
      <c r="I112" s="79"/>
      <c r="J112" s="68"/>
      <c r="K112" s="10"/>
      <c r="N112" s="60"/>
      <c r="O112" s="80"/>
      <c r="P112" s="20"/>
      <c r="Q112" s="20"/>
    </row>
    <row r="113" spans="3:17">
      <c r="C113" s="10"/>
      <c r="D113" s="10"/>
      <c r="E113" s="10"/>
      <c r="F113" s="10"/>
      <c r="G113" s="63"/>
      <c r="H113" s="76"/>
      <c r="I113" s="77"/>
      <c r="J113" s="66"/>
      <c r="K113" s="10"/>
      <c r="N113" s="60"/>
      <c r="O113" s="80"/>
      <c r="P113" s="20"/>
      <c r="Q113" s="20"/>
    </row>
    <row r="114" spans="3:17">
      <c r="C114" s="10"/>
      <c r="D114" s="10"/>
      <c r="E114" s="10"/>
      <c r="F114" s="10"/>
      <c r="G114" s="60"/>
      <c r="H114" s="15"/>
      <c r="I114" s="79"/>
      <c r="J114" s="68"/>
      <c r="K114" s="10"/>
      <c r="N114" s="60"/>
      <c r="O114" s="80"/>
      <c r="P114" s="20"/>
      <c r="Q114" s="20"/>
    </row>
    <row r="115" spans="3:17">
      <c r="C115" s="10"/>
      <c r="D115" s="10"/>
      <c r="E115" s="10"/>
      <c r="F115" s="10"/>
      <c r="G115" s="63"/>
      <c r="H115" s="76"/>
      <c r="I115" s="77"/>
      <c r="J115" s="66"/>
      <c r="K115" s="10"/>
      <c r="N115" s="60"/>
      <c r="O115" s="80"/>
      <c r="P115" s="20"/>
      <c r="Q115" s="20"/>
    </row>
    <row r="116" spans="3:17">
      <c r="C116" s="10"/>
      <c r="D116" s="10"/>
      <c r="E116" s="10"/>
      <c r="F116" s="10"/>
      <c r="G116" s="60"/>
      <c r="H116" s="15"/>
      <c r="I116" s="79"/>
      <c r="J116" s="68"/>
      <c r="K116" s="10"/>
      <c r="N116" s="60"/>
      <c r="O116" s="80"/>
      <c r="P116" s="20"/>
      <c r="Q116" s="20"/>
    </row>
    <row r="117" spans="3:17">
      <c r="C117" s="10"/>
      <c r="D117" s="10"/>
      <c r="E117" s="10"/>
      <c r="F117" s="10"/>
      <c r="G117" s="63"/>
      <c r="H117" s="76"/>
      <c r="I117" s="77"/>
      <c r="J117" s="66"/>
      <c r="K117" s="10"/>
      <c r="N117" s="60"/>
      <c r="O117" s="80"/>
      <c r="P117" s="20"/>
      <c r="Q117" s="20"/>
    </row>
    <row r="118" spans="3:17">
      <c r="C118" s="10"/>
      <c r="D118" s="10"/>
      <c r="E118" s="10"/>
      <c r="F118" s="10"/>
      <c r="G118" s="60"/>
      <c r="H118" s="15"/>
      <c r="I118" s="79"/>
      <c r="J118" s="68"/>
      <c r="K118" s="10"/>
      <c r="N118" s="60"/>
      <c r="O118" s="80"/>
      <c r="P118" s="20"/>
      <c r="Q118" s="20"/>
    </row>
    <row r="119" spans="3:17">
      <c r="C119" s="10"/>
      <c r="D119" s="10"/>
      <c r="E119" s="10"/>
      <c r="F119" s="10"/>
      <c r="G119" s="63"/>
      <c r="H119" s="76"/>
      <c r="I119" s="77"/>
      <c r="J119" s="66"/>
      <c r="K119" s="10"/>
      <c r="N119" s="60"/>
      <c r="O119" s="80"/>
      <c r="P119" s="20"/>
      <c r="Q119" s="20"/>
    </row>
    <row r="120" spans="3:17">
      <c r="C120" s="10"/>
      <c r="D120" s="10"/>
      <c r="E120" s="10"/>
      <c r="F120" s="10"/>
      <c r="G120" s="60"/>
      <c r="H120" s="15"/>
      <c r="I120" s="79"/>
      <c r="J120" s="68"/>
      <c r="K120" s="10"/>
      <c r="N120" s="60"/>
      <c r="O120" s="80"/>
      <c r="P120" s="20"/>
      <c r="Q120" s="20"/>
    </row>
    <row r="121" spans="3:17">
      <c r="C121" s="10"/>
      <c r="D121" s="10"/>
      <c r="E121" s="10"/>
      <c r="F121" s="10"/>
      <c r="G121" s="63"/>
      <c r="H121" s="76"/>
      <c r="I121" s="77"/>
      <c r="J121" s="66"/>
      <c r="K121" s="10"/>
      <c r="N121" s="60"/>
      <c r="O121" s="80"/>
      <c r="P121" s="20"/>
      <c r="Q121" s="20"/>
    </row>
    <row r="122" spans="3:17">
      <c r="C122" s="10"/>
      <c r="D122" s="10"/>
      <c r="E122" s="10"/>
      <c r="F122" s="10"/>
      <c r="G122" s="60"/>
      <c r="H122" s="15"/>
      <c r="I122" s="79"/>
      <c r="J122" s="68"/>
      <c r="K122" s="10"/>
      <c r="N122" s="60"/>
      <c r="O122" s="80"/>
      <c r="P122" s="20"/>
      <c r="Q122" s="20"/>
    </row>
    <row r="123" spans="3:17">
      <c r="C123" s="10"/>
      <c r="D123" s="10"/>
      <c r="E123" s="10"/>
      <c r="F123" s="10"/>
      <c r="G123" s="63"/>
      <c r="H123" s="76"/>
      <c r="I123" s="77"/>
      <c r="J123" s="66"/>
      <c r="K123" s="10"/>
      <c r="N123" s="60"/>
      <c r="O123" s="80"/>
      <c r="P123" s="20"/>
      <c r="Q123" s="20"/>
    </row>
    <row r="124" spans="3:17">
      <c r="C124" s="10"/>
      <c r="D124" s="10"/>
      <c r="E124" s="10"/>
      <c r="F124" s="10"/>
      <c r="G124" s="60"/>
      <c r="H124" s="15"/>
      <c r="I124" s="79"/>
      <c r="J124" s="68"/>
      <c r="K124" s="10"/>
      <c r="N124" s="60"/>
      <c r="O124" s="80"/>
      <c r="P124" s="20"/>
      <c r="Q124" s="20"/>
    </row>
    <row r="125" spans="3:17">
      <c r="C125" s="10"/>
      <c r="D125" s="10"/>
      <c r="E125" s="10"/>
      <c r="F125" s="10"/>
      <c r="G125" s="63"/>
      <c r="H125" s="76"/>
      <c r="I125" s="77"/>
      <c r="J125" s="66"/>
      <c r="K125" s="10"/>
      <c r="N125" s="60"/>
      <c r="O125" s="80"/>
      <c r="P125" s="20"/>
      <c r="Q125" s="20"/>
    </row>
    <row r="126" spans="3:17">
      <c r="C126" s="10"/>
      <c r="D126" s="10"/>
      <c r="E126" s="10"/>
      <c r="F126" s="10"/>
      <c r="G126" s="60"/>
      <c r="H126" s="15"/>
      <c r="I126" s="79"/>
      <c r="J126" s="68"/>
      <c r="K126" s="10"/>
      <c r="N126" s="60"/>
      <c r="O126" s="80"/>
      <c r="P126" s="20"/>
      <c r="Q126" s="20"/>
    </row>
    <row r="127" spans="3:17">
      <c r="C127" s="10"/>
      <c r="D127" s="10"/>
      <c r="E127" s="10"/>
      <c r="F127" s="10"/>
      <c r="G127" s="63"/>
      <c r="H127" s="76"/>
      <c r="I127" s="77"/>
      <c r="J127" s="66"/>
      <c r="K127" s="10"/>
      <c r="N127" s="60"/>
      <c r="O127" s="80"/>
      <c r="P127" s="20"/>
      <c r="Q127" s="20"/>
    </row>
    <row r="128" spans="3:17">
      <c r="C128" s="10"/>
      <c r="D128" s="10"/>
      <c r="E128" s="10"/>
      <c r="F128" s="10"/>
      <c r="G128" s="60"/>
      <c r="H128" s="15"/>
      <c r="I128" s="79"/>
      <c r="J128" s="68"/>
      <c r="K128" s="10"/>
      <c r="N128" s="60"/>
      <c r="O128" s="80"/>
      <c r="P128" s="20"/>
      <c r="Q128" s="20"/>
    </row>
    <row r="129" spans="3:17">
      <c r="C129" s="10"/>
      <c r="D129" s="10"/>
      <c r="E129" s="10"/>
      <c r="F129" s="10"/>
      <c r="G129" s="63"/>
      <c r="H129" s="76"/>
      <c r="I129" s="77"/>
      <c r="J129" s="66"/>
      <c r="K129" s="10"/>
      <c r="N129" s="60"/>
      <c r="O129" s="80"/>
      <c r="P129" s="20"/>
      <c r="Q129" s="20"/>
    </row>
    <row r="130" spans="3:17">
      <c r="C130" s="10"/>
      <c r="D130" s="10"/>
      <c r="E130" s="10"/>
      <c r="F130" s="10"/>
      <c r="G130" s="60"/>
      <c r="H130" s="15"/>
      <c r="I130" s="79"/>
      <c r="J130" s="68"/>
      <c r="K130" s="10"/>
      <c r="N130" s="60"/>
      <c r="O130" s="80"/>
      <c r="P130" s="20"/>
      <c r="Q130" s="20"/>
    </row>
    <row r="131" spans="3:17">
      <c r="C131" s="10"/>
      <c r="D131" s="10"/>
      <c r="E131" s="10"/>
      <c r="F131" s="10"/>
      <c r="G131" s="63"/>
      <c r="H131" s="76"/>
      <c r="I131" s="77"/>
      <c r="J131" s="66"/>
      <c r="K131" s="10"/>
      <c r="N131" s="60"/>
      <c r="O131" s="80"/>
      <c r="P131" s="20"/>
      <c r="Q131" s="20"/>
    </row>
    <row r="132" spans="3:17">
      <c r="C132" s="10"/>
      <c r="D132" s="10"/>
      <c r="E132" s="10"/>
      <c r="F132" s="10"/>
      <c r="G132" s="60"/>
      <c r="H132" s="15"/>
      <c r="I132" s="79"/>
      <c r="J132" s="68"/>
      <c r="K132" s="10"/>
      <c r="N132" s="60"/>
      <c r="O132" s="80"/>
      <c r="P132" s="20"/>
      <c r="Q132" s="20"/>
    </row>
    <row r="133" spans="3:17">
      <c r="C133" s="10"/>
      <c r="D133" s="10"/>
      <c r="E133" s="10"/>
      <c r="F133" s="10"/>
      <c r="G133" s="63"/>
      <c r="H133" s="76"/>
      <c r="I133" s="77"/>
      <c r="J133" s="66"/>
      <c r="K133" s="10"/>
      <c r="N133" s="60"/>
      <c r="O133" s="80"/>
      <c r="P133" s="20"/>
      <c r="Q133" s="20"/>
    </row>
    <row r="134" spans="3:17">
      <c r="C134" s="10"/>
      <c r="D134" s="10"/>
      <c r="E134" s="10"/>
      <c r="F134" s="10"/>
      <c r="G134" s="60"/>
      <c r="H134" s="15"/>
      <c r="I134" s="79"/>
      <c r="J134" s="68"/>
      <c r="K134" s="10"/>
      <c r="N134" s="60"/>
      <c r="O134" s="80"/>
      <c r="P134" s="20"/>
      <c r="Q134" s="20"/>
    </row>
    <row r="135" spans="3:17">
      <c r="C135" s="10"/>
      <c r="D135" s="10"/>
      <c r="E135" s="10"/>
      <c r="F135" s="10"/>
      <c r="G135" s="63"/>
      <c r="H135" s="76"/>
      <c r="I135" s="77"/>
      <c r="J135" s="66"/>
      <c r="K135" s="10"/>
      <c r="N135" s="60"/>
      <c r="O135" s="80"/>
      <c r="P135" s="20"/>
      <c r="Q135" s="20"/>
    </row>
    <row r="136" spans="3:17">
      <c r="C136" s="10"/>
      <c r="D136" s="10"/>
      <c r="E136" s="10"/>
      <c r="F136" s="10"/>
      <c r="G136" s="60"/>
      <c r="H136" s="15"/>
      <c r="I136" s="79"/>
      <c r="J136" s="68"/>
      <c r="K136" s="10"/>
      <c r="N136" s="60"/>
      <c r="O136" s="80"/>
      <c r="P136" s="20"/>
      <c r="Q136" s="20"/>
    </row>
    <row r="137" spans="3:17">
      <c r="C137" s="10"/>
      <c r="D137" s="10"/>
      <c r="E137" s="10"/>
      <c r="F137" s="10"/>
      <c r="G137" s="63"/>
      <c r="H137" s="76"/>
      <c r="I137" s="77"/>
      <c r="J137" s="66"/>
      <c r="K137" s="10"/>
      <c r="N137" s="60"/>
      <c r="O137" s="80"/>
      <c r="P137" s="20"/>
      <c r="Q137" s="20"/>
    </row>
    <row r="138" spans="3:17">
      <c r="C138" s="10"/>
      <c r="D138" s="10"/>
      <c r="E138" s="10"/>
      <c r="F138" s="10"/>
      <c r="G138" s="60"/>
      <c r="H138" s="15"/>
      <c r="I138" s="79"/>
      <c r="J138" s="68"/>
      <c r="K138" s="10"/>
      <c r="N138" s="60"/>
      <c r="O138" s="80"/>
      <c r="P138" s="20"/>
      <c r="Q138" s="20"/>
    </row>
    <row r="139" spans="3:17">
      <c r="C139" s="10"/>
      <c r="D139" s="10"/>
      <c r="E139" s="10"/>
      <c r="F139" s="10"/>
      <c r="G139" s="63"/>
      <c r="H139" s="76"/>
      <c r="I139" s="77"/>
      <c r="J139" s="66"/>
      <c r="K139" s="10"/>
      <c r="N139" s="60"/>
      <c r="O139" s="80"/>
      <c r="P139" s="20"/>
      <c r="Q139" s="20"/>
    </row>
    <row r="140" spans="3:17">
      <c r="C140" s="10"/>
      <c r="D140" s="10"/>
      <c r="E140" s="10"/>
      <c r="F140" s="10"/>
      <c r="G140" s="60"/>
      <c r="H140" s="15"/>
      <c r="I140" s="79"/>
      <c r="J140" s="68"/>
      <c r="K140" s="10"/>
      <c r="N140" s="60"/>
      <c r="O140" s="80"/>
      <c r="P140" s="20"/>
      <c r="Q140" s="20"/>
    </row>
    <row r="141" spans="3:17">
      <c r="C141" s="10"/>
      <c r="D141" s="10"/>
      <c r="E141" s="10"/>
      <c r="F141" s="10"/>
      <c r="G141" s="63"/>
      <c r="H141" s="76"/>
      <c r="I141" s="77"/>
      <c r="J141" s="66"/>
      <c r="K141" s="10"/>
      <c r="N141" s="60"/>
      <c r="O141" s="80"/>
      <c r="P141" s="20"/>
      <c r="Q141" s="20"/>
    </row>
    <row r="142" spans="3:17">
      <c r="C142" s="10"/>
      <c r="D142" s="10"/>
      <c r="E142" s="10"/>
      <c r="F142" s="10"/>
      <c r="G142" s="60"/>
      <c r="H142" s="15"/>
      <c r="I142" s="79"/>
      <c r="J142" s="68"/>
      <c r="K142" s="10"/>
      <c r="N142" s="60"/>
      <c r="O142" s="80"/>
      <c r="P142" s="20"/>
      <c r="Q142" s="20"/>
    </row>
    <row r="143" spans="3:17">
      <c r="C143" s="10"/>
      <c r="D143" s="10"/>
      <c r="E143" s="10"/>
      <c r="F143" s="10"/>
      <c r="G143" s="63"/>
      <c r="H143" s="76"/>
      <c r="I143" s="77"/>
      <c r="J143" s="66"/>
      <c r="K143" s="10"/>
      <c r="N143" s="60"/>
      <c r="O143" s="80"/>
      <c r="P143" s="20"/>
      <c r="Q143" s="20"/>
    </row>
    <row r="144" spans="3:17">
      <c r="C144" s="10"/>
      <c r="D144" s="10"/>
      <c r="E144" s="10"/>
      <c r="F144" s="10"/>
      <c r="G144" s="60"/>
      <c r="H144" s="15"/>
      <c r="I144" s="79"/>
      <c r="J144" s="68"/>
      <c r="K144" s="10"/>
      <c r="N144" s="60"/>
      <c r="O144" s="80"/>
      <c r="P144" s="20"/>
      <c r="Q144" s="20"/>
    </row>
    <row r="145" spans="3:17">
      <c r="C145" s="10"/>
      <c r="D145" s="10"/>
      <c r="E145" s="10"/>
      <c r="F145" s="10"/>
      <c r="G145" s="63"/>
      <c r="H145" s="76"/>
      <c r="I145" s="77"/>
      <c r="J145" s="66"/>
      <c r="K145" s="10"/>
      <c r="N145" s="60"/>
      <c r="O145" s="80"/>
      <c r="P145" s="20"/>
      <c r="Q145" s="20"/>
    </row>
    <row r="146" spans="3:17">
      <c r="C146" s="10"/>
      <c r="D146" s="10"/>
      <c r="E146" s="10"/>
      <c r="F146" s="10"/>
      <c r="G146" s="60"/>
      <c r="H146" s="15"/>
      <c r="I146" s="79"/>
      <c r="J146" s="68"/>
      <c r="K146" s="10"/>
      <c r="N146" s="60"/>
      <c r="O146" s="80"/>
      <c r="P146" s="20"/>
      <c r="Q146" s="20"/>
    </row>
    <row r="147" spans="3:17">
      <c r="C147" s="10"/>
      <c r="D147" s="10"/>
      <c r="E147" s="10"/>
      <c r="F147" s="10"/>
      <c r="G147" s="63"/>
      <c r="H147" s="76"/>
      <c r="I147" s="77"/>
      <c r="J147" s="66"/>
      <c r="K147" s="10"/>
      <c r="N147" s="60"/>
      <c r="O147" s="80"/>
      <c r="P147" s="20"/>
      <c r="Q147" s="20"/>
    </row>
    <row r="148" spans="3:17">
      <c r="C148" s="10"/>
      <c r="D148" s="10"/>
      <c r="E148" s="10"/>
      <c r="F148" s="10"/>
      <c r="G148" s="60"/>
      <c r="H148" s="15"/>
      <c r="I148" s="79"/>
      <c r="J148" s="68"/>
      <c r="K148" s="10"/>
      <c r="N148" s="60"/>
      <c r="O148" s="80"/>
      <c r="P148" s="20"/>
      <c r="Q148" s="20"/>
    </row>
    <row r="149" spans="3:17">
      <c r="C149" s="10"/>
      <c r="D149" s="10"/>
      <c r="E149" s="10"/>
      <c r="F149" s="10"/>
      <c r="G149" s="63"/>
      <c r="H149" s="76"/>
      <c r="I149" s="77"/>
      <c r="J149" s="66"/>
      <c r="K149" s="10"/>
      <c r="N149" s="60"/>
      <c r="O149" s="80"/>
      <c r="P149" s="20"/>
      <c r="Q149" s="20"/>
    </row>
    <row r="150" spans="3:17">
      <c r="C150" s="10"/>
      <c r="D150" s="10"/>
      <c r="E150" s="10"/>
      <c r="F150" s="10"/>
      <c r="G150" s="60"/>
      <c r="H150" s="15"/>
      <c r="I150" s="79"/>
      <c r="J150" s="68"/>
      <c r="K150" s="10"/>
      <c r="N150" s="60"/>
      <c r="O150" s="80"/>
      <c r="P150" s="20"/>
      <c r="Q150" s="20"/>
    </row>
    <row r="151" spans="3:17">
      <c r="C151" s="10"/>
      <c r="D151" s="10"/>
      <c r="E151" s="10"/>
      <c r="F151" s="10"/>
      <c r="G151" s="63"/>
      <c r="H151" s="76"/>
      <c r="I151" s="77"/>
      <c r="J151" s="66"/>
      <c r="K151" s="10"/>
      <c r="N151" s="60"/>
      <c r="O151" s="80"/>
      <c r="P151" s="20"/>
      <c r="Q151" s="20"/>
    </row>
    <row r="152" spans="3:17">
      <c r="C152" s="10"/>
      <c r="D152" s="10"/>
      <c r="E152" s="10"/>
      <c r="F152" s="10"/>
      <c r="G152" s="60"/>
      <c r="H152" s="15"/>
      <c r="I152" s="79"/>
      <c r="J152" s="68"/>
      <c r="K152" s="10"/>
      <c r="N152" s="60"/>
      <c r="O152" s="80"/>
      <c r="P152" s="20"/>
      <c r="Q152" s="20"/>
    </row>
    <row r="153" spans="3:17">
      <c r="C153" s="10"/>
      <c r="D153" s="10"/>
      <c r="E153" s="10"/>
      <c r="F153" s="10"/>
      <c r="G153" s="63"/>
      <c r="H153" s="76"/>
      <c r="I153" s="77"/>
      <c r="J153" s="66"/>
      <c r="K153" s="10"/>
      <c r="N153" s="60"/>
      <c r="O153" s="80"/>
      <c r="P153" s="20"/>
      <c r="Q153" s="20"/>
    </row>
    <row r="154" spans="3:17">
      <c r="C154" s="10"/>
      <c r="D154" s="10"/>
      <c r="E154" s="10"/>
      <c r="F154" s="10"/>
      <c r="G154" s="60"/>
      <c r="H154" s="15"/>
      <c r="I154" s="79"/>
      <c r="J154" s="68"/>
      <c r="K154" s="10"/>
      <c r="N154" s="60"/>
      <c r="O154" s="80"/>
      <c r="P154" s="20"/>
      <c r="Q154" s="20"/>
    </row>
    <row r="155" spans="3:17">
      <c r="C155" s="10"/>
      <c r="D155" s="10"/>
      <c r="E155" s="10"/>
      <c r="F155" s="10"/>
      <c r="G155" s="63"/>
      <c r="H155" s="76"/>
      <c r="I155" s="77"/>
      <c r="J155" s="66"/>
      <c r="K155" s="10"/>
      <c r="N155" s="60"/>
      <c r="O155" s="80"/>
      <c r="P155" s="20"/>
      <c r="Q155" s="20"/>
    </row>
    <row r="156" spans="3:17">
      <c r="C156" s="10"/>
      <c r="D156" s="10"/>
      <c r="E156" s="10"/>
      <c r="F156" s="10"/>
      <c r="G156" s="60"/>
      <c r="H156" s="15"/>
      <c r="I156" s="79"/>
      <c r="J156" s="68"/>
      <c r="K156" s="10"/>
      <c r="N156" s="60"/>
      <c r="O156" s="80"/>
      <c r="P156" s="20"/>
      <c r="Q156" s="20"/>
    </row>
    <row r="157" spans="3:17">
      <c r="C157" s="10"/>
      <c r="D157" s="10"/>
      <c r="E157" s="10"/>
      <c r="F157" s="10"/>
      <c r="G157" s="63"/>
      <c r="H157" s="76"/>
      <c r="I157" s="77"/>
      <c r="J157" s="66"/>
      <c r="K157" s="10"/>
      <c r="N157" s="60"/>
      <c r="O157" s="80"/>
      <c r="P157" s="20"/>
      <c r="Q157" s="20"/>
    </row>
    <row r="158" spans="3:17">
      <c r="C158" s="10"/>
      <c r="D158" s="10"/>
      <c r="E158" s="10"/>
      <c r="F158" s="10"/>
      <c r="G158" s="60"/>
      <c r="H158" s="15"/>
      <c r="I158" s="79"/>
      <c r="J158" s="68"/>
      <c r="K158" s="10"/>
      <c r="N158" s="60"/>
      <c r="O158" s="80"/>
      <c r="P158" s="20"/>
      <c r="Q158" s="20"/>
    </row>
    <row r="159" spans="3:17">
      <c r="C159" s="10"/>
      <c r="D159" s="10"/>
      <c r="E159" s="10"/>
      <c r="F159" s="10"/>
      <c r="G159" s="63"/>
      <c r="H159" s="76"/>
      <c r="I159" s="77"/>
      <c r="J159" s="66"/>
      <c r="K159" s="10"/>
      <c r="N159" s="60"/>
      <c r="O159" s="80"/>
      <c r="P159" s="20"/>
      <c r="Q159" s="20"/>
    </row>
    <row r="160" spans="3:17">
      <c r="C160" s="10"/>
      <c r="D160" s="10"/>
      <c r="E160" s="10"/>
      <c r="F160" s="10"/>
      <c r="G160" s="60"/>
      <c r="H160" s="15"/>
      <c r="I160" s="79"/>
      <c r="J160" s="68"/>
      <c r="K160" s="10"/>
      <c r="N160" s="60"/>
      <c r="O160" s="80"/>
      <c r="P160" s="20"/>
      <c r="Q160" s="20"/>
    </row>
    <row r="161" spans="3:17">
      <c r="C161" s="10"/>
      <c r="D161" s="10"/>
      <c r="E161" s="10"/>
      <c r="F161" s="10"/>
      <c r="G161" s="63"/>
      <c r="H161" s="76"/>
      <c r="I161" s="77"/>
      <c r="J161" s="66"/>
      <c r="K161" s="10"/>
      <c r="N161" s="60"/>
      <c r="O161" s="80"/>
      <c r="P161" s="20"/>
      <c r="Q161" s="20"/>
    </row>
    <row r="162" spans="3:17">
      <c r="C162" s="10"/>
      <c r="D162" s="10"/>
      <c r="E162" s="10"/>
      <c r="F162" s="10"/>
      <c r="G162" s="60"/>
      <c r="H162" s="15"/>
      <c r="I162" s="79"/>
      <c r="J162" s="68"/>
      <c r="K162" s="10"/>
      <c r="N162" s="60"/>
      <c r="O162" s="80"/>
      <c r="P162" s="20"/>
      <c r="Q162" s="20"/>
    </row>
    <row r="163" spans="3:17">
      <c r="C163" s="10"/>
      <c r="D163" s="10"/>
      <c r="E163" s="10"/>
      <c r="F163" s="10"/>
      <c r="G163" s="63"/>
      <c r="H163" s="76"/>
      <c r="I163" s="77"/>
      <c r="J163" s="66"/>
      <c r="K163" s="10"/>
      <c r="N163" s="60"/>
      <c r="O163" s="80"/>
      <c r="P163" s="20"/>
      <c r="Q163" s="20"/>
    </row>
    <row r="164" spans="3:17">
      <c r="C164" s="10"/>
      <c r="D164" s="10"/>
      <c r="E164" s="10"/>
      <c r="F164" s="10"/>
      <c r="G164" s="60"/>
      <c r="H164" s="15"/>
      <c r="I164" s="79"/>
      <c r="J164" s="68"/>
      <c r="K164" s="10"/>
      <c r="N164" s="60"/>
      <c r="O164" s="80"/>
      <c r="P164" s="20"/>
      <c r="Q164" s="20"/>
    </row>
    <row r="165" spans="3:17">
      <c r="C165" s="10"/>
      <c r="D165" s="10"/>
      <c r="E165" s="10"/>
      <c r="F165" s="10"/>
      <c r="G165" s="63"/>
      <c r="H165" s="76"/>
      <c r="I165" s="77"/>
      <c r="J165" s="66"/>
      <c r="K165" s="10"/>
      <c r="N165" s="60"/>
      <c r="O165" s="80"/>
      <c r="P165" s="20"/>
      <c r="Q165" s="20"/>
    </row>
    <row r="166" spans="3:17">
      <c r="C166" s="10"/>
      <c r="D166" s="10"/>
      <c r="E166" s="10"/>
      <c r="F166" s="10"/>
      <c r="G166" s="60"/>
      <c r="H166" s="15"/>
      <c r="I166" s="79"/>
      <c r="J166" s="68"/>
      <c r="K166" s="10"/>
      <c r="N166" s="60"/>
      <c r="O166" s="80"/>
      <c r="P166" s="20"/>
      <c r="Q166" s="20"/>
    </row>
    <row r="167" spans="3:17">
      <c r="C167" s="10"/>
      <c r="D167" s="10"/>
      <c r="E167" s="10"/>
      <c r="F167" s="10"/>
      <c r="G167" s="63"/>
      <c r="H167" s="76"/>
      <c r="I167" s="77"/>
      <c r="J167" s="66"/>
      <c r="K167" s="10"/>
      <c r="N167" s="60"/>
      <c r="O167" s="80"/>
      <c r="P167" s="20"/>
      <c r="Q167" s="20"/>
    </row>
    <row r="168" spans="3:17">
      <c r="C168" s="10"/>
      <c r="D168" s="10"/>
      <c r="E168" s="10"/>
      <c r="F168" s="10"/>
      <c r="G168" s="60"/>
      <c r="H168" s="15"/>
      <c r="I168" s="79"/>
      <c r="J168" s="68"/>
      <c r="K168" s="10"/>
      <c r="N168" s="60"/>
      <c r="O168" s="80"/>
      <c r="P168" s="20"/>
      <c r="Q168" s="20"/>
    </row>
    <row r="169" spans="3:17">
      <c r="C169" s="10"/>
      <c r="D169" s="10"/>
      <c r="E169" s="10"/>
      <c r="F169" s="10"/>
      <c r="G169" s="63"/>
      <c r="H169" s="76"/>
      <c r="I169" s="77"/>
      <c r="J169" s="66"/>
      <c r="K169" s="10"/>
      <c r="N169" s="60"/>
      <c r="O169" s="80"/>
      <c r="P169" s="20"/>
      <c r="Q169" s="20"/>
    </row>
    <row r="170" spans="3:17">
      <c r="C170" s="10"/>
      <c r="D170" s="10"/>
      <c r="E170" s="10"/>
      <c r="F170" s="10"/>
      <c r="G170" s="60"/>
      <c r="H170" s="15"/>
      <c r="I170" s="79"/>
      <c r="J170" s="68"/>
      <c r="K170" s="10"/>
      <c r="N170" s="60"/>
      <c r="O170" s="80"/>
      <c r="P170" s="20"/>
      <c r="Q170" s="20"/>
    </row>
    <row r="171" spans="3:17">
      <c r="C171" s="10"/>
      <c r="D171" s="10"/>
      <c r="E171" s="10"/>
      <c r="F171" s="10"/>
      <c r="G171" s="63"/>
      <c r="H171" s="76"/>
      <c r="I171" s="77"/>
      <c r="J171" s="66"/>
      <c r="K171" s="10"/>
      <c r="N171" s="60"/>
      <c r="O171" s="80"/>
      <c r="P171" s="20"/>
      <c r="Q171" s="20"/>
    </row>
    <row r="172" spans="3:17">
      <c r="C172" s="10"/>
      <c r="D172" s="10"/>
      <c r="E172" s="10"/>
      <c r="F172" s="10"/>
      <c r="G172" s="60"/>
      <c r="H172" s="15"/>
      <c r="I172" s="79"/>
      <c r="J172" s="68"/>
      <c r="K172" s="10"/>
      <c r="N172" s="60"/>
      <c r="O172" s="80"/>
      <c r="P172" s="20"/>
      <c r="Q172" s="20"/>
    </row>
    <row r="173" spans="3:17">
      <c r="C173" s="10"/>
      <c r="D173" s="10"/>
      <c r="E173" s="10"/>
      <c r="F173" s="10"/>
      <c r="G173" s="63"/>
      <c r="H173" s="76"/>
      <c r="I173" s="77"/>
      <c r="J173" s="66"/>
      <c r="K173" s="10"/>
      <c r="N173" s="60"/>
      <c r="O173" s="80"/>
      <c r="P173" s="20"/>
      <c r="Q173" s="20"/>
    </row>
    <row r="174" spans="3:17">
      <c r="C174" s="10"/>
      <c r="D174" s="10"/>
      <c r="E174" s="10"/>
      <c r="F174" s="10"/>
      <c r="G174" s="60"/>
      <c r="H174" s="15"/>
      <c r="I174" s="79"/>
      <c r="J174" s="68"/>
      <c r="K174" s="10"/>
      <c r="N174" s="60"/>
      <c r="O174" s="80"/>
      <c r="P174" s="20"/>
      <c r="Q174" s="20"/>
    </row>
    <row r="175" spans="3:17">
      <c r="C175" s="10"/>
      <c r="D175" s="10"/>
      <c r="E175" s="10"/>
      <c r="F175" s="10"/>
      <c r="G175" s="63"/>
      <c r="H175" s="76"/>
      <c r="I175" s="77"/>
      <c r="J175" s="66"/>
      <c r="K175" s="10"/>
      <c r="N175" s="60"/>
      <c r="O175" s="80"/>
      <c r="P175" s="20"/>
      <c r="Q175" s="20"/>
    </row>
    <row r="176" spans="3:17">
      <c r="C176" s="10"/>
      <c r="D176" s="10"/>
      <c r="E176" s="10"/>
      <c r="F176" s="10"/>
      <c r="G176" s="60"/>
      <c r="H176" s="15"/>
      <c r="I176" s="79"/>
      <c r="J176" s="68"/>
      <c r="K176" s="10"/>
      <c r="N176" s="60"/>
      <c r="O176" s="80"/>
      <c r="P176" s="20"/>
      <c r="Q176" s="20"/>
    </row>
    <row r="177" spans="3:17">
      <c r="C177" s="10"/>
      <c r="D177" s="10"/>
      <c r="E177" s="10"/>
      <c r="F177" s="10"/>
      <c r="G177" s="63"/>
      <c r="H177" s="76"/>
      <c r="I177" s="77"/>
      <c r="J177" s="66"/>
      <c r="K177" s="10"/>
      <c r="N177" s="60"/>
      <c r="O177" s="80"/>
      <c r="P177" s="20"/>
      <c r="Q177" s="20"/>
    </row>
    <row r="178" spans="3:17">
      <c r="C178" s="10"/>
      <c r="D178" s="10"/>
      <c r="E178" s="10"/>
      <c r="F178" s="10"/>
      <c r="G178" s="60"/>
      <c r="H178" s="15"/>
      <c r="I178" s="79"/>
      <c r="J178" s="68"/>
      <c r="K178" s="10"/>
      <c r="N178" s="60"/>
      <c r="O178" s="80"/>
      <c r="P178" s="20"/>
      <c r="Q178" s="20"/>
    </row>
    <row r="179" spans="3:17">
      <c r="C179" s="10"/>
      <c r="D179" s="10"/>
      <c r="E179" s="10"/>
      <c r="F179" s="10"/>
      <c r="G179" s="63"/>
      <c r="H179" s="76"/>
      <c r="I179" s="77"/>
      <c r="J179" s="66"/>
      <c r="K179" s="10"/>
      <c r="N179" s="60"/>
      <c r="O179" s="80"/>
      <c r="P179" s="20"/>
      <c r="Q179" s="20"/>
    </row>
    <row r="180" spans="3:17">
      <c r="C180" s="10"/>
      <c r="D180" s="10"/>
      <c r="E180" s="10"/>
      <c r="F180" s="10"/>
    </row>
    <row r="181" spans="3:17">
      <c r="C181" s="10"/>
      <c r="D181" s="10"/>
      <c r="E181" s="10"/>
      <c r="F181" s="10"/>
    </row>
    <row r="182" spans="3:17">
      <c r="C182" s="10"/>
      <c r="D182" s="10"/>
      <c r="E182" s="10"/>
      <c r="F182" s="10"/>
    </row>
    <row r="183" spans="3:17">
      <c r="C183" s="10"/>
      <c r="D183" s="10"/>
      <c r="E183" s="10"/>
      <c r="F183" s="10"/>
    </row>
    <row r="184" spans="3:17">
      <c r="C184" s="10"/>
      <c r="D184" s="10"/>
      <c r="E184" s="10"/>
      <c r="F184" s="10"/>
    </row>
    <row r="185" spans="3:17">
      <c r="C185" s="10"/>
      <c r="D185" s="10"/>
      <c r="E185" s="10"/>
      <c r="F185" s="10"/>
    </row>
    <row r="186" spans="3:17">
      <c r="C186" s="10"/>
      <c r="D186" s="10"/>
      <c r="E186" s="10"/>
      <c r="F186" s="10"/>
    </row>
    <row r="187" spans="3:17">
      <c r="C187" s="10"/>
      <c r="D187" s="10"/>
      <c r="E187" s="10"/>
      <c r="F187" s="10"/>
    </row>
    <row r="188" spans="3:17">
      <c r="C188" s="10"/>
      <c r="D188" s="10"/>
      <c r="E188" s="10"/>
      <c r="F188" s="10"/>
    </row>
    <row r="189" spans="3:17">
      <c r="C189" s="10"/>
      <c r="D189" s="10"/>
      <c r="E189" s="10"/>
      <c r="F189" s="10"/>
    </row>
    <row r="190" spans="3:17">
      <c r="C190" s="10"/>
      <c r="D190" s="10"/>
      <c r="E190" s="10"/>
      <c r="F190" s="10"/>
    </row>
    <row r="191" spans="3:17">
      <c r="C191" s="10"/>
      <c r="D191" s="10"/>
      <c r="E191" s="10"/>
      <c r="F191" s="10"/>
    </row>
    <row r="192" spans="3:17">
      <c r="C192" s="10"/>
      <c r="D192" s="10"/>
      <c r="E192" s="10"/>
      <c r="F192" s="10"/>
    </row>
    <row r="193" spans="3:6">
      <c r="C193" s="10"/>
      <c r="D193" s="10"/>
      <c r="E193" s="10"/>
      <c r="F193" s="10"/>
    </row>
    <row r="194" spans="3:6">
      <c r="C194" s="10"/>
      <c r="D194" s="10"/>
      <c r="E194" s="10"/>
      <c r="F194" s="10"/>
    </row>
    <row r="195" spans="3:6">
      <c r="C195" s="10"/>
      <c r="D195" s="10"/>
      <c r="E195" s="10"/>
      <c r="F195" s="10"/>
    </row>
    <row r="196" spans="3:6">
      <c r="C196" s="10"/>
      <c r="D196" s="10"/>
      <c r="E196" s="10"/>
      <c r="F196" s="10"/>
    </row>
    <row r="197" spans="3:6">
      <c r="C197" s="10"/>
      <c r="D197" s="10"/>
      <c r="E197" s="10"/>
      <c r="F197" s="10"/>
    </row>
    <row r="198" spans="3:6">
      <c r="C198" s="10"/>
      <c r="D198" s="10"/>
      <c r="E198" s="10"/>
      <c r="F198" s="10"/>
    </row>
    <row r="199" spans="3:6">
      <c r="C199" s="10"/>
      <c r="D199" s="10"/>
      <c r="E199" s="10"/>
      <c r="F199" s="10"/>
    </row>
    <row r="200" spans="3:6">
      <c r="C200" s="10"/>
      <c r="D200" s="10"/>
      <c r="E200" s="10"/>
      <c r="F200" s="10"/>
    </row>
    <row r="201" spans="3:6">
      <c r="C201" s="10"/>
      <c r="D201" s="10"/>
      <c r="E201" s="10"/>
      <c r="F201" s="10"/>
    </row>
    <row r="202" spans="3:6">
      <c r="C202" s="10"/>
      <c r="D202" s="10"/>
      <c r="E202" s="10"/>
      <c r="F202" s="10"/>
    </row>
    <row r="203" spans="3:6">
      <c r="C203" s="10"/>
      <c r="D203" s="10"/>
      <c r="E203" s="10"/>
      <c r="F203" s="10"/>
    </row>
    <row r="204" spans="3:6">
      <c r="C204" s="10"/>
      <c r="D204" s="10"/>
      <c r="E204" s="10"/>
      <c r="F204" s="10"/>
    </row>
    <row r="205" spans="3:6">
      <c r="C205" s="10"/>
      <c r="D205" s="10"/>
      <c r="E205" s="10"/>
      <c r="F205" s="10"/>
    </row>
    <row r="206" spans="3:6">
      <c r="C206" s="10"/>
      <c r="D206" s="10"/>
      <c r="E206" s="10"/>
      <c r="F206" s="10"/>
    </row>
  </sheetData>
  <sheetProtection algorithmName="SHA-512" hashValue="2smYDZdblFTy1aOaaXwKRvEGfcoUI1ufefqcQZ6cktrWD4bHr7VKpITHg94tNaR1+E51oA2PObwhRp62Za0iqg==" saltValue="oF64HtwopsaNYSJQH3d0lA=="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39997558519241921"/>
  </sheetPr>
  <dimension ref="A1:G329"/>
  <sheetViews>
    <sheetView topLeftCell="A22" zoomScale="70" zoomScaleNormal="70" zoomScaleSheetLayoutView="142" workbookViewId="0">
      <selection activeCell="D11" sqref="D11"/>
    </sheetView>
  </sheetViews>
  <sheetFormatPr defaultColWidth="9.109375" defaultRowHeight="13.2"/>
  <cols>
    <col min="1" max="1" width="6.6640625" style="11" customWidth="1"/>
    <col min="2" max="2" width="57.6640625" style="10" customWidth="1"/>
    <col min="3" max="3" width="10.44140625" style="12" customWidth="1"/>
    <col min="4" max="4" width="9.109375" style="10" customWidth="1"/>
    <col min="5" max="5" width="11.5546875" style="10" customWidth="1"/>
    <col min="6" max="6" width="16.33203125" style="10" customWidth="1"/>
    <col min="7" max="10" width="9.109375" style="10"/>
    <col min="11" max="11" width="57.6640625" style="10" customWidth="1"/>
    <col min="12" max="16384" width="9.109375" style="10"/>
  </cols>
  <sheetData>
    <row r="1" spans="1:7" ht="13.8" thickBot="1">
      <c r="A1" s="875" t="s">
        <v>22</v>
      </c>
      <c r="B1" s="868" t="s">
        <v>23</v>
      </c>
      <c r="C1" s="881"/>
      <c r="D1" s="876"/>
      <c r="E1" s="871"/>
      <c r="F1" s="871"/>
    </row>
    <row r="2" spans="1:7">
      <c r="D2" s="13"/>
      <c r="E2" s="14"/>
      <c r="F2" s="14"/>
    </row>
    <row r="3" spans="1:7" s="20" customFormat="1" ht="14.25" customHeight="1">
      <c r="A3" s="1527" t="s">
        <v>145</v>
      </c>
      <c r="B3" s="1528" t="s">
        <v>146</v>
      </c>
      <c r="C3" s="1529" t="s">
        <v>147</v>
      </c>
      <c r="D3" s="1532" t="s">
        <v>148</v>
      </c>
      <c r="E3" s="1532" t="s">
        <v>149</v>
      </c>
      <c r="F3" s="1532"/>
      <c r="G3" s="1537" t="s">
        <v>2523</v>
      </c>
    </row>
    <row r="4" spans="1:7" s="20" customFormat="1">
      <c r="A4" s="1527"/>
      <c r="B4" s="1528"/>
      <c r="C4" s="1530"/>
      <c r="D4" s="1532"/>
      <c r="E4" s="1532"/>
      <c r="F4" s="1532"/>
      <c r="G4" s="1537"/>
    </row>
    <row r="5" spans="1:7" s="20" customFormat="1">
      <c r="A5" s="1527"/>
      <c r="B5" s="1528"/>
      <c r="C5" s="1531"/>
      <c r="D5" s="1532"/>
      <c r="E5" s="49" t="s">
        <v>150</v>
      </c>
      <c r="F5" s="50" t="s">
        <v>151</v>
      </c>
      <c r="G5" s="1537"/>
    </row>
    <row r="6" spans="1:7" s="20" customFormat="1">
      <c r="A6" s="52"/>
      <c r="B6" s="53"/>
      <c r="C6" s="54"/>
      <c r="D6" s="55"/>
      <c r="E6" s="56"/>
      <c r="F6" s="57"/>
    </row>
    <row r="7" spans="1:7" s="20" customFormat="1">
      <c r="A7" s="15"/>
      <c r="B7" s="16" t="s">
        <v>119</v>
      </c>
      <c r="C7" s="17"/>
      <c r="D7" s="18"/>
      <c r="E7" s="18"/>
      <c r="F7" s="19"/>
    </row>
    <row r="8" spans="1:7" s="20" customFormat="1" ht="52.8">
      <c r="A8" s="15"/>
      <c r="B8" s="21" t="s">
        <v>126</v>
      </c>
      <c r="C8" s="17"/>
      <c r="D8" s="18"/>
      <c r="E8" s="18"/>
      <c r="F8" s="19"/>
    </row>
    <row r="9" spans="1:7" s="20" customFormat="1" ht="118.8">
      <c r="A9" s="15"/>
      <c r="B9" s="1199" t="s">
        <v>248</v>
      </c>
      <c r="C9" s="17"/>
      <c r="D9" s="18"/>
      <c r="E9" s="18"/>
      <c r="F9" s="19"/>
    </row>
    <row r="10" spans="1:7" s="20" customFormat="1" ht="15">
      <c r="A10" s="15"/>
      <c r="B10" s="200"/>
      <c r="C10" s="17"/>
      <c r="D10" s="18"/>
      <c r="E10" s="18"/>
      <c r="F10" s="19"/>
    </row>
    <row r="11" spans="1:7" ht="132">
      <c r="A11" s="22">
        <v>1</v>
      </c>
      <c r="B11" s="23" t="s">
        <v>249</v>
      </c>
    </row>
    <row r="12" spans="1:7" s="20" customFormat="1">
      <c r="A12" s="22"/>
      <c r="B12" s="27"/>
      <c r="C12" s="24" t="s">
        <v>120</v>
      </c>
      <c r="D12" s="25">
        <v>35</v>
      </c>
      <c r="E12" s="1319">
        <f>'[1]B_I_LIMARSKI RADOVI'!E12</f>
        <v>60</v>
      </c>
      <c r="F12" s="25">
        <f>D12*E12</f>
        <v>2100</v>
      </c>
    </row>
    <row r="13" spans="1:7" s="20" customFormat="1">
      <c r="A13" s="22"/>
      <c r="B13" s="27"/>
      <c r="C13" s="24"/>
      <c r="D13" s="25"/>
      <c r="E13" s="121"/>
      <c r="F13" s="25"/>
    </row>
    <row r="14" spans="1:7" s="20" customFormat="1" ht="79.2">
      <c r="A14" s="22">
        <v>2</v>
      </c>
      <c r="B14" s="23" t="s">
        <v>250</v>
      </c>
      <c r="C14" s="24"/>
      <c r="D14" s="25"/>
      <c r="E14" s="26"/>
      <c r="F14" s="25"/>
    </row>
    <row r="15" spans="1:7" s="20" customFormat="1">
      <c r="A15" s="22"/>
      <c r="B15" s="27"/>
      <c r="C15" s="24" t="s">
        <v>120</v>
      </c>
      <c r="D15" s="25">
        <v>28</v>
      </c>
      <c r="E15" s="1319">
        <f>'[1]B_I_LIMARSKI RADOVI'!E15</f>
        <v>60</v>
      </c>
      <c r="F15" s="25">
        <f>D15*E15</f>
        <v>1680</v>
      </c>
    </row>
    <row r="16" spans="1:7" s="20" customFormat="1">
      <c r="A16" s="22"/>
      <c r="B16" s="27"/>
      <c r="C16" s="24"/>
      <c r="D16" s="25"/>
      <c r="E16" s="26"/>
      <c r="F16" s="25"/>
    </row>
    <row r="17" spans="1:6" s="20" customFormat="1" ht="79.2">
      <c r="A17" s="22">
        <v>3</v>
      </c>
      <c r="B17" s="23" t="s">
        <v>251</v>
      </c>
      <c r="C17" s="24"/>
      <c r="D17" s="25"/>
      <c r="E17" s="26"/>
      <c r="F17" s="25"/>
    </row>
    <row r="18" spans="1:6" s="20" customFormat="1">
      <c r="A18" s="22"/>
      <c r="B18" s="27"/>
      <c r="C18" s="24" t="s">
        <v>29</v>
      </c>
      <c r="D18" s="25">
        <v>1</v>
      </c>
      <c r="E18" s="1319">
        <f>'[1]B_I_LIMARSKI RADOVI'!E18</f>
        <v>150</v>
      </c>
      <c r="F18" s="25">
        <f>D18*E18</f>
        <v>150</v>
      </c>
    </row>
    <row r="19" spans="1:6" s="20" customFormat="1">
      <c r="A19" s="22"/>
      <c r="B19" s="27"/>
      <c r="C19" s="24"/>
      <c r="D19" s="25"/>
      <c r="E19" s="26"/>
      <c r="F19" s="25"/>
    </row>
    <row r="20" spans="1:6" s="20" customFormat="1" ht="66">
      <c r="A20" s="22">
        <v>4</v>
      </c>
      <c r="B20" s="23" t="s">
        <v>253</v>
      </c>
      <c r="C20" s="24"/>
      <c r="D20" s="25"/>
      <c r="E20" s="26"/>
      <c r="F20" s="25"/>
    </row>
    <row r="21" spans="1:6" s="33" customFormat="1">
      <c r="A21" s="28"/>
      <c r="C21" s="30" t="s">
        <v>120</v>
      </c>
      <c r="D21" s="31">
        <v>3</v>
      </c>
      <c r="E21" s="1320">
        <f>'[1]B_I_LIMARSKI RADOVI'!E21</f>
        <v>150</v>
      </c>
      <c r="F21" s="25">
        <f>D21*E21</f>
        <v>450</v>
      </c>
    </row>
    <row r="22" spans="1:6" s="33" customFormat="1">
      <c r="A22" s="28"/>
      <c r="B22" s="29"/>
      <c r="C22" s="30"/>
      <c r="D22" s="31"/>
      <c r="E22" s="32"/>
    </row>
    <row r="23" spans="1:6" s="33" customFormat="1" ht="105.6">
      <c r="A23" s="22">
        <v>5</v>
      </c>
      <c r="B23" s="37" t="s">
        <v>254</v>
      </c>
      <c r="C23" s="30"/>
      <c r="D23" s="31"/>
      <c r="E23" s="32"/>
    </row>
    <row r="24" spans="1:6" s="33" customFormat="1">
      <c r="A24" s="22"/>
      <c r="B24" s="29" t="s">
        <v>252</v>
      </c>
      <c r="C24" s="30" t="s">
        <v>120</v>
      </c>
      <c r="D24" s="31">
        <v>8</v>
      </c>
      <c r="E24" s="1320">
        <f>'[1]B_I_LIMARSKI RADOVI'!E24</f>
        <v>80</v>
      </c>
      <c r="F24" s="25">
        <f>D24*E24</f>
        <v>640</v>
      </c>
    </row>
    <row r="25" spans="1:6" s="33" customFormat="1">
      <c r="A25" s="22"/>
      <c r="B25" s="29" t="s">
        <v>255</v>
      </c>
      <c r="C25" s="30" t="s">
        <v>120</v>
      </c>
      <c r="D25" s="31">
        <v>6.5</v>
      </c>
      <c r="E25" s="1320">
        <f>'[1]B_I_LIMARSKI RADOVI'!E25</f>
        <v>60</v>
      </c>
      <c r="F25" s="25">
        <f>D25*E25</f>
        <v>390</v>
      </c>
    </row>
    <row r="26" spans="1:6" s="33" customFormat="1">
      <c r="A26" s="22"/>
      <c r="B26" s="29"/>
      <c r="C26" s="30"/>
      <c r="D26" s="31"/>
      <c r="E26" s="32"/>
    </row>
    <row r="27" spans="1:6" s="20" customFormat="1" ht="171.6">
      <c r="A27" s="22">
        <v>6</v>
      </c>
      <c r="B27" s="23" t="s">
        <v>171</v>
      </c>
      <c r="C27" s="34"/>
      <c r="D27" s="35"/>
      <c r="E27" s="36"/>
    </row>
    <row r="28" spans="1:6" s="20" customFormat="1" ht="79.2">
      <c r="A28" s="22"/>
      <c r="B28" s="23" t="s">
        <v>127</v>
      </c>
      <c r="C28" s="34"/>
      <c r="D28" s="35"/>
      <c r="E28" s="36"/>
    </row>
    <row r="29" spans="1:6" s="20" customFormat="1">
      <c r="A29" s="22"/>
      <c r="B29" s="1198"/>
      <c r="C29" s="34" t="s">
        <v>29</v>
      </c>
      <c r="D29" s="35">
        <v>8</v>
      </c>
      <c r="E29" s="1320">
        <f>'[1]B_I_LIMARSKI RADOVI'!E29</f>
        <v>500</v>
      </c>
      <c r="F29" s="25">
        <f>D29*E29</f>
        <v>4000</v>
      </c>
    </row>
    <row r="30" spans="1:6">
      <c r="A30" s="22"/>
      <c r="B30" s="37"/>
      <c r="D30" s="38"/>
      <c r="E30" s="39"/>
      <c r="F30" s="39"/>
    </row>
    <row r="31" spans="1:6">
      <c r="A31" s="122"/>
      <c r="B31" s="123" t="s">
        <v>170</v>
      </c>
      <c r="C31" s="96"/>
      <c r="D31" s="100"/>
      <c r="E31" s="98" t="s">
        <v>159</v>
      </c>
      <c r="F31" s="91">
        <f>SUM(F1:F29)</f>
        <v>9410</v>
      </c>
    </row>
    <row r="32" spans="1:6">
      <c r="A32" s="22"/>
      <c r="B32" s="43"/>
      <c r="C32" s="44"/>
      <c r="D32" s="45"/>
      <c r="E32" s="46"/>
      <c r="F32" s="47"/>
    </row>
    <row r="33" spans="1:6">
      <c r="A33" s="22"/>
      <c r="B33" s="37"/>
      <c r="D33" s="38"/>
      <c r="E33" s="39"/>
      <c r="F33" s="39"/>
    </row>
    <row r="34" spans="1:6">
      <c r="A34" s="22"/>
      <c r="B34" s="43"/>
      <c r="C34" s="44"/>
      <c r="D34" s="45"/>
      <c r="E34" s="46"/>
      <c r="F34" s="47"/>
    </row>
    <row r="35" spans="1:6">
      <c r="A35" s="22"/>
      <c r="B35" s="37"/>
      <c r="D35" s="38"/>
      <c r="E35" s="39"/>
      <c r="F35" s="39"/>
    </row>
    <row r="36" spans="1:6">
      <c r="A36" s="22"/>
      <c r="B36" s="43"/>
      <c r="C36" s="44"/>
      <c r="D36" s="45"/>
      <c r="E36" s="46"/>
      <c r="F36" s="47"/>
    </row>
    <row r="37" spans="1:6">
      <c r="A37" s="22"/>
      <c r="B37" s="37"/>
      <c r="D37" s="38"/>
      <c r="E37" s="39"/>
      <c r="F37" s="39"/>
    </row>
    <row r="38" spans="1:6">
      <c r="A38" s="22"/>
      <c r="B38" s="43"/>
      <c r="C38" s="44"/>
      <c r="D38" s="45"/>
      <c r="E38" s="46"/>
      <c r="F38" s="47"/>
    </row>
    <row r="39" spans="1:6">
      <c r="A39" s="22"/>
      <c r="B39" s="37"/>
      <c r="D39" s="38"/>
      <c r="E39" s="39"/>
      <c r="F39" s="39"/>
    </row>
    <row r="40" spans="1:6">
      <c r="A40" s="22"/>
      <c r="B40" s="43"/>
      <c r="C40" s="44"/>
      <c r="D40" s="45"/>
      <c r="E40" s="46"/>
      <c r="F40" s="47"/>
    </row>
    <row r="41" spans="1:6">
      <c r="A41" s="22"/>
      <c r="B41" s="37"/>
      <c r="D41" s="38"/>
      <c r="E41" s="39"/>
      <c r="F41" s="39"/>
    </row>
    <row r="42" spans="1:6">
      <c r="A42" s="22"/>
      <c r="B42" s="43"/>
      <c r="C42" s="44"/>
      <c r="D42" s="45"/>
      <c r="E42" s="46"/>
      <c r="F42" s="47"/>
    </row>
    <row r="43" spans="1:6">
      <c r="A43" s="22"/>
      <c r="B43" s="37"/>
      <c r="D43" s="38"/>
      <c r="E43" s="39"/>
      <c r="F43" s="39"/>
    </row>
    <row r="44" spans="1:6">
      <c r="A44" s="22"/>
      <c r="B44" s="43"/>
      <c r="C44" s="44"/>
      <c r="D44" s="45"/>
      <c r="E44" s="46"/>
      <c r="F44" s="47"/>
    </row>
    <row r="45" spans="1:6">
      <c r="A45" s="22"/>
      <c r="B45" s="37"/>
      <c r="D45" s="38"/>
      <c r="E45" s="39"/>
      <c r="F45" s="39"/>
    </row>
    <row r="46" spans="1:6">
      <c r="A46" s="22"/>
      <c r="B46" s="43"/>
      <c r="C46" s="44"/>
      <c r="D46" s="45"/>
      <c r="E46" s="46"/>
      <c r="F46" s="47"/>
    </row>
    <row r="47" spans="1:6">
      <c r="A47" s="22"/>
      <c r="B47" s="37"/>
      <c r="D47" s="38"/>
      <c r="E47" s="39"/>
      <c r="F47" s="39"/>
    </row>
    <row r="48" spans="1:6">
      <c r="A48" s="22"/>
      <c r="B48" s="43"/>
      <c r="C48" s="44"/>
      <c r="D48" s="45"/>
      <c r="E48" s="46"/>
      <c r="F48" s="47"/>
    </row>
    <row r="49" spans="1:6">
      <c r="A49" s="22"/>
      <c r="B49" s="37"/>
      <c r="D49" s="38"/>
      <c r="E49" s="39"/>
      <c r="F49" s="39"/>
    </row>
    <row r="50" spans="1:6">
      <c r="A50" s="22"/>
      <c r="B50" s="43"/>
      <c r="C50" s="44"/>
      <c r="D50" s="45"/>
      <c r="E50" s="46"/>
      <c r="F50" s="47"/>
    </row>
    <row r="51" spans="1:6">
      <c r="A51" s="22"/>
      <c r="B51" s="37"/>
      <c r="D51" s="38"/>
      <c r="E51" s="39"/>
      <c r="F51" s="39"/>
    </row>
    <row r="52" spans="1:6">
      <c r="A52" s="22"/>
      <c r="B52" s="43"/>
      <c r="C52" s="44"/>
      <c r="D52" s="45"/>
      <c r="E52" s="46"/>
      <c r="F52" s="47"/>
    </row>
    <row r="53" spans="1:6">
      <c r="A53" s="22"/>
      <c r="B53" s="37"/>
      <c r="D53" s="38"/>
      <c r="E53" s="39"/>
      <c r="F53" s="39"/>
    </row>
    <row r="54" spans="1:6">
      <c r="A54" s="22"/>
      <c r="B54" s="43"/>
      <c r="C54" s="44"/>
      <c r="D54" s="45"/>
      <c r="E54" s="46"/>
      <c r="F54" s="47"/>
    </row>
    <row r="55" spans="1:6">
      <c r="A55" s="22"/>
      <c r="B55" s="37"/>
      <c r="D55" s="38"/>
      <c r="E55" s="39"/>
      <c r="F55" s="39"/>
    </row>
    <row r="56" spans="1:6">
      <c r="A56" s="22"/>
      <c r="B56" s="43"/>
      <c r="C56" s="44"/>
      <c r="D56" s="45"/>
      <c r="E56" s="46"/>
      <c r="F56" s="47"/>
    </row>
    <row r="57" spans="1:6">
      <c r="A57" s="22"/>
      <c r="B57" s="37"/>
      <c r="D57" s="38"/>
      <c r="E57" s="39"/>
      <c r="F57" s="39"/>
    </row>
    <row r="58" spans="1:6">
      <c r="A58" s="22"/>
      <c r="B58" s="43"/>
      <c r="C58" s="44"/>
      <c r="D58" s="45"/>
      <c r="E58" s="46"/>
      <c r="F58" s="47"/>
    </row>
    <row r="59" spans="1:6">
      <c r="A59" s="22"/>
      <c r="B59" s="37"/>
      <c r="D59" s="38"/>
      <c r="E59" s="39"/>
      <c r="F59" s="39"/>
    </row>
    <row r="60" spans="1:6">
      <c r="A60" s="22"/>
      <c r="B60" s="43"/>
      <c r="C60" s="44"/>
      <c r="D60" s="45"/>
      <c r="E60" s="46"/>
      <c r="F60" s="47"/>
    </row>
    <row r="61" spans="1:6">
      <c r="A61" s="22"/>
      <c r="B61" s="37"/>
      <c r="D61" s="38"/>
      <c r="E61" s="39"/>
      <c r="F61" s="39"/>
    </row>
    <row r="62" spans="1:6">
      <c r="A62" s="22"/>
      <c r="B62" s="43"/>
      <c r="C62" s="44"/>
      <c r="D62" s="45"/>
      <c r="E62" s="46"/>
      <c r="F62" s="47"/>
    </row>
    <row r="63" spans="1:6">
      <c r="A63" s="22"/>
      <c r="B63" s="37"/>
      <c r="D63" s="38"/>
      <c r="E63" s="39"/>
      <c r="F63" s="39"/>
    </row>
    <row r="64" spans="1:6">
      <c r="A64" s="22"/>
      <c r="B64" s="43"/>
      <c r="C64" s="44"/>
      <c r="D64" s="45"/>
      <c r="E64" s="46"/>
      <c r="F64" s="47"/>
    </row>
    <row r="65" spans="1:6">
      <c r="A65" s="22"/>
      <c r="B65" s="37"/>
      <c r="D65" s="38"/>
      <c r="E65" s="39"/>
      <c r="F65" s="39"/>
    </row>
    <row r="66" spans="1:6">
      <c r="A66" s="22"/>
      <c r="B66" s="43"/>
      <c r="C66" s="44"/>
      <c r="D66" s="45"/>
      <c r="E66" s="46"/>
      <c r="F66" s="47"/>
    </row>
    <row r="67" spans="1:6">
      <c r="A67" s="22"/>
      <c r="B67" s="37"/>
      <c r="D67" s="38"/>
      <c r="E67" s="39"/>
      <c r="F67" s="39"/>
    </row>
    <row r="68" spans="1:6">
      <c r="A68" s="22"/>
      <c r="B68" s="43"/>
      <c r="C68" s="44"/>
      <c r="D68" s="45"/>
      <c r="E68" s="46"/>
      <c r="F68" s="47"/>
    </row>
    <row r="69" spans="1:6">
      <c r="A69" s="22"/>
      <c r="B69" s="37"/>
      <c r="D69" s="38"/>
      <c r="E69" s="39"/>
      <c r="F69" s="39"/>
    </row>
    <row r="70" spans="1:6">
      <c r="A70" s="22"/>
      <c r="B70" s="43"/>
      <c r="C70" s="44"/>
      <c r="D70" s="45"/>
      <c r="E70" s="46"/>
      <c r="F70" s="47"/>
    </row>
    <row r="71" spans="1:6">
      <c r="A71" s="22"/>
      <c r="B71" s="37"/>
      <c r="D71" s="38"/>
      <c r="E71" s="39"/>
      <c r="F71" s="39"/>
    </row>
    <row r="72" spans="1:6">
      <c r="A72" s="22"/>
      <c r="B72" s="43"/>
      <c r="C72" s="44"/>
      <c r="D72" s="45"/>
      <c r="E72" s="46"/>
      <c r="F72" s="47"/>
    </row>
    <row r="73" spans="1:6">
      <c r="A73" s="22"/>
      <c r="B73" s="37"/>
      <c r="D73" s="38"/>
      <c r="E73" s="39"/>
      <c r="F73" s="39"/>
    </row>
    <row r="74" spans="1:6">
      <c r="A74" s="22"/>
      <c r="B74" s="43"/>
      <c r="C74" s="44"/>
      <c r="D74" s="45"/>
      <c r="E74" s="46"/>
      <c r="F74" s="47"/>
    </row>
    <row r="75" spans="1:6">
      <c r="A75" s="22"/>
      <c r="B75" s="37"/>
      <c r="D75" s="38"/>
      <c r="E75" s="39"/>
      <c r="F75" s="39"/>
    </row>
    <row r="76" spans="1:6">
      <c r="A76" s="22"/>
      <c r="B76" s="43"/>
      <c r="C76" s="44"/>
      <c r="D76" s="45"/>
      <c r="E76" s="46"/>
      <c r="F76" s="47"/>
    </row>
    <row r="77" spans="1:6">
      <c r="A77" s="22"/>
      <c r="B77" s="37"/>
      <c r="D77" s="38"/>
      <c r="E77" s="39"/>
      <c r="F77" s="39"/>
    </row>
    <row r="78" spans="1:6">
      <c r="A78" s="22"/>
      <c r="B78" s="43"/>
      <c r="C78" s="44"/>
      <c r="D78" s="45"/>
      <c r="E78" s="46"/>
      <c r="F78" s="47"/>
    </row>
    <row r="79" spans="1:6">
      <c r="A79" s="22"/>
      <c r="B79" s="37"/>
      <c r="D79" s="38"/>
      <c r="E79" s="39"/>
      <c r="F79" s="39"/>
    </row>
    <row r="80" spans="1:6">
      <c r="A80" s="22"/>
      <c r="B80" s="43"/>
      <c r="C80" s="44"/>
      <c r="D80" s="45"/>
      <c r="E80" s="46"/>
      <c r="F80" s="47"/>
    </row>
    <row r="81" spans="1:6">
      <c r="A81" s="22"/>
      <c r="B81" s="37"/>
      <c r="D81" s="38"/>
      <c r="E81" s="39"/>
      <c r="F81" s="39"/>
    </row>
    <row r="82" spans="1:6">
      <c r="A82" s="22"/>
      <c r="B82" s="43"/>
      <c r="C82" s="44"/>
      <c r="D82" s="45"/>
      <c r="E82" s="46"/>
      <c r="F82" s="47"/>
    </row>
    <row r="83" spans="1:6">
      <c r="A83" s="22"/>
      <c r="B83" s="37"/>
      <c r="D83" s="38"/>
      <c r="E83" s="39"/>
      <c r="F83" s="39"/>
    </row>
    <row r="84" spans="1:6">
      <c r="A84" s="22"/>
      <c r="B84" s="43"/>
      <c r="C84" s="44"/>
      <c r="D84" s="45"/>
      <c r="E84" s="46"/>
      <c r="F84" s="47"/>
    </row>
    <row r="85" spans="1:6">
      <c r="A85" s="22"/>
      <c r="B85" s="37"/>
      <c r="D85" s="38"/>
      <c r="E85" s="39"/>
      <c r="F85" s="39"/>
    </row>
    <row r="86" spans="1:6">
      <c r="A86" s="22"/>
      <c r="B86" s="43"/>
      <c r="C86" s="44"/>
      <c r="D86" s="45"/>
      <c r="E86" s="46"/>
      <c r="F86" s="47"/>
    </row>
    <row r="87" spans="1:6">
      <c r="A87" s="22"/>
      <c r="B87" s="37"/>
      <c r="D87" s="38"/>
      <c r="E87" s="39"/>
      <c r="F87" s="39"/>
    </row>
    <row r="88" spans="1:6">
      <c r="A88" s="22"/>
      <c r="B88" s="43"/>
      <c r="C88" s="44"/>
      <c r="D88" s="45"/>
      <c r="E88" s="46"/>
      <c r="F88" s="47"/>
    </row>
    <row r="89" spans="1:6">
      <c r="A89" s="22"/>
      <c r="B89" s="37"/>
      <c r="D89" s="38"/>
      <c r="E89" s="39"/>
      <c r="F89" s="39"/>
    </row>
    <row r="90" spans="1:6">
      <c r="A90" s="22"/>
      <c r="B90" s="43"/>
      <c r="C90" s="44"/>
      <c r="D90" s="45"/>
      <c r="E90" s="46"/>
      <c r="F90" s="47"/>
    </row>
    <row r="91" spans="1:6">
      <c r="A91" s="22"/>
      <c r="B91" s="37"/>
      <c r="D91" s="38"/>
      <c r="E91" s="39"/>
      <c r="F91" s="39"/>
    </row>
    <row r="92" spans="1:6">
      <c r="A92" s="22"/>
      <c r="B92" s="43"/>
      <c r="C92" s="44"/>
      <c r="D92" s="45"/>
      <c r="E92" s="46"/>
      <c r="F92" s="47"/>
    </row>
    <row r="93" spans="1:6">
      <c r="A93" s="22"/>
      <c r="B93" s="37"/>
      <c r="D93" s="38"/>
      <c r="E93" s="39"/>
      <c r="F93" s="39"/>
    </row>
    <row r="94" spans="1:6">
      <c r="A94" s="22"/>
      <c r="B94" s="43"/>
      <c r="C94" s="44"/>
      <c r="D94" s="45"/>
      <c r="E94" s="46"/>
      <c r="F94" s="47"/>
    </row>
    <row r="95" spans="1:6">
      <c r="A95" s="22"/>
      <c r="B95" s="37"/>
      <c r="D95" s="38"/>
      <c r="E95" s="39"/>
      <c r="F95" s="39"/>
    </row>
    <row r="96" spans="1:6">
      <c r="A96" s="22"/>
      <c r="B96" s="43"/>
      <c r="C96" s="44"/>
      <c r="D96" s="45"/>
      <c r="E96" s="46"/>
      <c r="F96" s="47"/>
    </row>
    <row r="97" spans="1:6">
      <c r="A97" s="22"/>
      <c r="B97" s="37"/>
      <c r="D97" s="38"/>
      <c r="E97" s="39"/>
      <c r="F97" s="39"/>
    </row>
    <row r="98" spans="1:6">
      <c r="A98" s="22"/>
      <c r="B98" s="43"/>
      <c r="C98" s="44"/>
      <c r="D98" s="45"/>
      <c r="E98" s="46"/>
      <c r="F98" s="47"/>
    </row>
    <row r="99" spans="1:6">
      <c r="A99" s="22"/>
      <c r="B99" s="37"/>
      <c r="D99" s="38"/>
      <c r="E99" s="39"/>
      <c r="F99" s="39"/>
    </row>
    <row r="100" spans="1:6">
      <c r="A100" s="22"/>
      <c r="B100" s="43"/>
      <c r="C100" s="44"/>
      <c r="D100" s="45"/>
      <c r="E100" s="46"/>
      <c r="F100" s="47"/>
    </row>
    <row r="101" spans="1:6">
      <c r="A101" s="22"/>
      <c r="B101" s="37"/>
      <c r="D101" s="38"/>
      <c r="E101" s="39"/>
      <c r="F101" s="39"/>
    </row>
    <row r="102" spans="1:6">
      <c r="A102" s="22"/>
      <c r="B102" s="43"/>
      <c r="C102" s="44"/>
      <c r="D102" s="45"/>
      <c r="E102" s="46"/>
      <c r="F102" s="47"/>
    </row>
    <row r="103" spans="1:6">
      <c r="A103" s="22"/>
      <c r="B103" s="37"/>
      <c r="D103" s="38"/>
      <c r="E103" s="39"/>
      <c r="F103" s="39"/>
    </row>
    <row r="104" spans="1:6">
      <c r="A104" s="22"/>
      <c r="B104" s="43"/>
      <c r="C104" s="44"/>
      <c r="D104" s="45"/>
      <c r="E104" s="46"/>
      <c r="F104" s="47"/>
    </row>
    <row r="105" spans="1:6">
      <c r="A105" s="22"/>
      <c r="B105" s="37"/>
      <c r="D105" s="38"/>
      <c r="E105" s="39"/>
      <c r="F105" s="39"/>
    </row>
    <row r="106" spans="1:6">
      <c r="A106" s="22"/>
      <c r="B106" s="43"/>
      <c r="C106" s="44"/>
      <c r="D106" s="45"/>
      <c r="E106" s="46"/>
      <c r="F106" s="47"/>
    </row>
    <row r="107" spans="1:6">
      <c r="A107" s="22"/>
      <c r="B107" s="37"/>
      <c r="D107" s="38"/>
      <c r="E107" s="39"/>
      <c r="F107" s="39"/>
    </row>
    <row r="108" spans="1:6">
      <c r="A108" s="22"/>
      <c r="B108" s="43"/>
      <c r="C108" s="44"/>
      <c r="D108" s="45"/>
      <c r="E108" s="46"/>
      <c r="F108" s="47"/>
    </row>
    <row r="109" spans="1:6">
      <c r="A109" s="22"/>
      <c r="B109" s="37"/>
      <c r="D109" s="38"/>
      <c r="E109" s="39"/>
      <c r="F109" s="39"/>
    </row>
    <row r="110" spans="1:6">
      <c r="A110" s="22"/>
      <c r="B110" s="43"/>
      <c r="C110" s="44"/>
      <c r="D110" s="45"/>
      <c r="E110" s="46"/>
      <c r="F110" s="47"/>
    </row>
    <row r="111" spans="1:6">
      <c r="A111" s="22"/>
      <c r="B111" s="37"/>
      <c r="D111" s="38"/>
      <c r="E111" s="39"/>
      <c r="F111" s="39"/>
    </row>
    <row r="112" spans="1:6">
      <c r="A112" s="22"/>
      <c r="B112" s="43"/>
      <c r="C112" s="44"/>
      <c r="D112" s="45"/>
      <c r="E112" s="46"/>
      <c r="F112" s="47"/>
    </row>
    <row r="113" spans="1:6">
      <c r="A113" s="22"/>
      <c r="B113" s="37"/>
      <c r="D113" s="38"/>
      <c r="E113" s="39"/>
      <c r="F113" s="39"/>
    </row>
    <row r="114" spans="1:6">
      <c r="A114" s="22"/>
      <c r="B114" s="43"/>
      <c r="C114" s="44"/>
      <c r="D114" s="45"/>
      <c r="E114" s="46"/>
      <c r="F114" s="47"/>
    </row>
    <row r="115" spans="1:6">
      <c r="A115" s="22"/>
      <c r="B115" s="37"/>
      <c r="D115" s="38"/>
      <c r="E115" s="39"/>
      <c r="F115" s="39"/>
    </row>
    <row r="116" spans="1:6">
      <c r="A116" s="22"/>
      <c r="B116" s="43"/>
      <c r="C116" s="44"/>
      <c r="D116" s="45"/>
      <c r="E116" s="46"/>
      <c r="F116" s="47"/>
    </row>
    <row r="117" spans="1:6">
      <c r="A117" s="22"/>
      <c r="B117" s="37"/>
      <c r="D117" s="38"/>
      <c r="E117" s="39"/>
      <c r="F117" s="39"/>
    </row>
    <row r="118" spans="1:6">
      <c r="A118" s="22"/>
      <c r="B118" s="43"/>
      <c r="C118" s="44"/>
      <c r="D118" s="45"/>
      <c r="E118" s="46"/>
      <c r="F118" s="47"/>
    </row>
    <row r="119" spans="1:6">
      <c r="A119" s="22"/>
      <c r="B119" s="37"/>
      <c r="D119" s="38"/>
      <c r="E119" s="39"/>
      <c r="F119" s="39"/>
    </row>
    <row r="120" spans="1:6">
      <c r="A120" s="22"/>
      <c r="B120" s="43"/>
      <c r="C120" s="44"/>
      <c r="D120" s="45"/>
      <c r="E120" s="46"/>
      <c r="F120" s="47"/>
    </row>
    <row r="121" spans="1:6">
      <c r="A121" s="22"/>
      <c r="B121" s="37"/>
      <c r="D121" s="38"/>
      <c r="E121" s="39"/>
      <c r="F121" s="39"/>
    </row>
    <row r="122" spans="1:6">
      <c r="A122" s="22"/>
      <c r="B122" s="43"/>
      <c r="C122" s="44"/>
      <c r="D122" s="45"/>
      <c r="E122" s="46"/>
      <c r="F122" s="47"/>
    </row>
    <row r="123" spans="1:6">
      <c r="A123" s="22"/>
      <c r="B123" s="37"/>
      <c r="D123" s="38"/>
      <c r="E123" s="39"/>
      <c r="F123" s="39"/>
    </row>
    <row r="124" spans="1:6">
      <c r="A124" s="22"/>
      <c r="B124" s="43"/>
      <c r="C124" s="44"/>
      <c r="D124" s="45"/>
      <c r="E124" s="46"/>
      <c r="F124" s="47"/>
    </row>
    <row r="125" spans="1:6">
      <c r="A125" s="22"/>
      <c r="B125" s="37"/>
      <c r="D125" s="38"/>
      <c r="E125" s="39"/>
      <c r="F125" s="39"/>
    </row>
    <row r="126" spans="1:6">
      <c r="A126" s="22"/>
      <c r="B126" s="43"/>
      <c r="C126" s="44"/>
      <c r="D126" s="45"/>
      <c r="E126" s="46"/>
      <c r="F126" s="47"/>
    </row>
    <row r="127" spans="1:6">
      <c r="A127" s="22"/>
      <c r="B127" s="37"/>
      <c r="D127" s="38"/>
      <c r="E127" s="39"/>
      <c r="F127" s="39"/>
    </row>
    <row r="128" spans="1:6">
      <c r="A128" s="22"/>
      <c r="B128" s="43"/>
      <c r="C128" s="44"/>
      <c r="D128" s="45"/>
      <c r="E128" s="46"/>
      <c r="F128" s="47"/>
    </row>
    <row r="129" spans="1:6">
      <c r="A129" s="22"/>
      <c r="B129" s="37"/>
      <c r="D129" s="38"/>
      <c r="E129" s="39"/>
      <c r="F129" s="39"/>
    </row>
    <row r="130" spans="1:6">
      <c r="A130" s="22"/>
      <c r="B130" s="43"/>
      <c r="C130" s="44"/>
      <c r="D130" s="45"/>
      <c r="E130" s="46"/>
      <c r="F130" s="47"/>
    </row>
    <row r="131" spans="1:6">
      <c r="A131" s="22"/>
      <c r="B131" s="37"/>
      <c r="D131" s="38"/>
      <c r="E131" s="39"/>
      <c r="F131" s="39"/>
    </row>
    <row r="132" spans="1:6">
      <c r="A132" s="22"/>
      <c r="B132" s="43"/>
      <c r="C132" s="44"/>
      <c r="D132" s="45"/>
      <c r="E132" s="46"/>
      <c r="F132" s="47"/>
    </row>
    <row r="133" spans="1:6">
      <c r="A133" s="22"/>
      <c r="B133" s="37"/>
      <c r="D133" s="38"/>
      <c r="E133" s="39"/>
      <c r="F133" s="39"/>
    </row>
    <row r="134" spans="1:6">
      <c r="A134" s="22"/>
      <c r="B134" s="43"/>
      <c r="C134" s="44"/>
      <c r="D134" s="45"/>
      <c r="E134" s="46"/>
      <c r="F134" s="47"/>
    </row>
    <row r="135" spans="1:6">
      <c r="A135" s="22"/>
      <c r="B135" s="37"/>
      <c r="D135" s="38"/>
      <c r="E135" s="39"/>
      <c r="F135" s="39"/>
    </row>
    <row r="136" spans="1:6">
      <c r="A136" s="22"/>
      <c r="B136" s="43"/>
      <c r="C136" s="44"/>
      <c r="D136" s="45"/>
      <c r="E136" s="46"/>
      <c r="F136" s="47"/>
    </row>
    <row r="137" spans="1:6">
      <c r="A137" s="22"/>
      <c r="B137" s="37"/>
      <c r="D137" s="38"/>
      <c r="E137" s="39"/>
      <c r="F137" s="39"/>
    </row>
    <row r="138" spans="1:6">
      <c r="A138" s="22"/>
      <c r="B138" s="43"/>
      <c r="C138" s="44"/>
      <c r="D138" s="45"/>
      <c r="E138" s="46"/>
      <c r="F138" s="47"/>
    </row>
    <row r="139" spans="1:6">
      <c r="A139" s="22"/>
      <c r="B139" s="37"/>
      <c r="D139" s="38"/>
      <c r="E139" s="39"/>
      <c r="F139" s="39"/>
    </row>
    <row r="140" spans="1:6">
      <c r="A140" s="22"/>
      <c r="B140" s="43"/>
      <c r="C140" s="44"/>
      <c r="D140" s="45"/>
      <c r="E140" s="46"/>
      <c r="F140" s="47"/>
    </row>
    <row r="141" spans="1:6">
      <c r="A141" s="22"/>
      <c r="B141" s="37"/>
      <c r="D141" s="38"/>
      <c r="E141" s="39"/>
      <c r="F141" s="39"/>
    </row>
    <row r="142" spans="1:6">
      <c r="A142" s="22"/>
      <c r="B142" s="43"/>
      <c r="C142" s="44"/>
      <c r="D142" s="45"/>
      <c r="E142" s="46"/>
      <c r="F142" s="47"/>
    </row>
    <row r="143" spans="1:6">
      <c r="A143" s="22"/>
      <c r="B143" s="37"/>
      <c r="D143" s="38"/>
      <c r="E143" s="39"/>
      <c r="F143" s="39"/>
    </row>
    <row r="144" spans="1:6">
      <c r="A144" s="22"/>
      <c r="B144" s="43"/>
      <c r="C144" s="44"/>
      <c r="D144" s="45"/>
      <c r="E144" s="46"/>
      <c r="F144" s="47"/>
    </row>
    <row r="145" spans="1:6">
      <c r="A145" s="22"/>
      <c r="B145" s="37"/>
      <c r="D145" s="38"/>
      <c r="E145" s="39"/>
      <c r="F145" s="39"/>
    </row>
    <row r="146" spans="1:6">
      <c r="A146" s="22"/>
      <c r="B146" s="43"/>
      <c r="C146" s="44"/>
      <c r="D146" s="45"/>
      <c r="E146" s="46"/>
      <c r="F146" s="47"/>
    </row>
    <row r="147" spans="1:6">
      <c r="A147" s="22"/>
      <c r="B147" s="37"/>
      <c r="D147" s="38"/>
      <c r="E147" s="39"/>
      <c r="F147" s="39"/>
    </row>
    <row r="148" spans="1:6">
      <c r="A148" s="22"/>
      <c r="B148" s="43"/>
      <c r="C148" s="44"/>
      <c r="D148" s="45"/>
      <c r="E148" s="46"/>
      <c r="F148" s="47"/>
    </row>
    <row r="149" spans="1:6">
      <c r="A149" s="22"/>
      <c r="B149" s="37"/>
      <c r="D149" s="38"/>
      <c r="E149" s="39"/>
      <c r="F149" s="39"/>
    </row>
    <row r="150" spans="1:6">
      <c r="A150" s="22"/>
      <c r="B150" s="43"/>
      <c r="C150" s="44"/>
      <c r="D150" s="45"/>
      <c r="E150" s="46"/>
      <c r="F150" s="47"/>
    </row>
    <row r="151" spans="1:6">
      <c r="A151" s="22"/>
      <c r="B151" s="37"/>
      <c r="D151" s="38"/>
      <c r="E151" s="39"/>
      <c r="F151" s="39"/>
    </row>
    <row r="152" spans="1:6">
      <c r="A152" s="22"/>
      <c r="B152" s="43"/>
      <c r="C152" s="44"/>
      <c r="D152" s="45"/>
      <c r="E152" s="46"/>
      <c r="F152" s="47"/>
    </row>
    <row r="153" spans="1:6">
      <c r="A153" s="22"/>
      <c r="B153" s="37"/>
      <c r="D153" s="38"/>
      <c r="E153" s="39"/>
      <c r="F153" s="39"/>
    </row>
    <row r="154" spans="1:6">
      <c r="A154" s="22"/>
      <c r="B154" s="43"/>
      <c r="C154" s="44"/>
      <c r="D154" s="45"/>
      <c r="E154" s="46"/>
      <c r="F154" s="47"/>
    </row>
    <row r="155" spans="1:6">
      <c r="A155" s="22"/>
      <c r="B155" s="37"/>
      <c r="D155" s="38"/>
      <c r="E155" s="39"/>
      <c r="F155" s="39"/>
    </row>
    <row r="156" spans="1:6">
      <c r="A156" s="22"/>
      <c r="B156" s="43"/>
      <c r="C156" s="44"/>
      <c r="D156" s="45"/>
      <c r="E156" s="46"/>
      <c r="F156" s="47"/>
    </row>
    <row r="157" spans="1:6">
      <c r="A157" s="22"/>
      <c r="B157" s="37"/>
      <c r="D157" s="38"/>
      <c r="E157" s="39"/>
      <c r="F157" s="39"/>
    </row>
    <row r="158" spans="1:6">
      <c r="A158" s="22"/>
      <c r="B158" s="43"/>
      <c r="C158" s="44"/>
      <c r="D158" s="45"/>
      <c r="E158" s="46"/>
      <c r="F158" s="47"/>
    </row>
    <row r="159" spans="1:6">
      <c r="A159" s="22"/>
      <c r="B159" s="37"/>
      <c r="D159" s="38"/>
      <c r="E159" s="39"/>
      <c r="F159" s="39"/>
    </row>
    <row r="160" spans="1:6">
      <c r="A160" s="22"/>
      <c r="B160" s="43"/>
      <c r="C160" s="44"/>
      <c r="D160" s="45"/>
      <c r="E160" s="46"/>
      <c r="F160" s="47"/>
    </row>
    <row r="161" spans="1:6">
      <c r="A161" s="22"/>
      <c r="B161" s="37"/>
      <c r="D161" s="38"/>
      <c r="E161" s="39"/>
      <c r="F161" s="39"/>
    </row>
    <row r="162" spans="1:6">
      <c r="A162" s="22"/>
      <c r="B162" s="43"/>
      <c r="C162" s="44"/>
      <c r="D162" s="45"/>
      <c r="E162" s="46"/>
      <c r="F162" s="47"/>
    </row>
    <row r="163" spans="1:6">
      <c r="A163" s="22"/>
      <c r="B163" s="37"/>
      <c r="D163" s="38"/>
      <c r="E163" s="39"/>
      <c r="F163" s="39"/>
    </row>
    <row r="164" spans="1:6">
      <c r="A164" s="22"/>
      <c r="B164" s="43"/>
      <c r="C164" s="44"/>
      <c r="D164" s="45"/>
      <c r="E164" s="46"/>
      <c r="F164" s="47"/>
    </row>
    <row r="165" spans="1:6">
      <c r="A165" s="22"/>
      <c r="B165" s="37"/>
      <c r="D165" s="38"/>
      <c r="E165" s="39"/>
      <c r="F165" s="39"/>
    </row>
    <row r="166" spans="1:6">
      <c r="A166" s="22"/>
      <c r="B166" s="43"/>
      <c r="C166" s="44"/>
      <c r="D166" s="45"/>
      <c r="E166" s="46"/>
      <c r="F166" s="47"/>
    </row>
    <row r="167" spans="1:6">
      <c r="A167" s="22"/>
      <c r="B167" s="37"/>
      <c r="D167" s="38"/>
      <c r="E167" s="39"/>
      <c r="F167" s="39"/>
    </row>
    <row r="168" spans="1:6">
      <c r="A168" s="22"/>
      <c r="B168" s="43"/>
      <c r="C168" s="44"/>
      <c r="D168" s="45"/>
      <c r="E168" s="46"/>
      <c r="F168" s="47"/>
    </row>
    <row r="169" spans="1:6">
      <c r="A169" s="22"/>
      <c r="B169" s="37"/>
      <c r="D169" s="38"/>
      <c r="E169" s="39"/>
      <c r="F169" s="39"/>
    </row>
    <row r="170" spans="1:6">
      <c r="A170" s="22"/>
      <c r="B170" s="43"/>
      <c r="C170" s="44"/>
      <c r="D170" s="45"/>
      <c r="E170" s="46"/>
      <c r="F170" s="47"/>
    </row>
    <row r="171" spans="1:6">
      <c r="A171" s="22"/>
      <c r="B171" s="37"/>
      <c r="D171" s="38"/>
      <c r="E171" s="39"/>
      <c r="F171" s="39"/>
    </row>
    <row r="172" spans="1:6">
      <c r="A172" s="22"/>
      <c r="B172" s="43"/>
      <c r="C172" s="44"/>
      <c r="D172" s="45"/>
      <c r="E172" s="46"/>
      <c r="F172" s="47"/>
    </row>
    <row r="173" spans="1:6">
      <c r="A173" s="22"/>
      <c r="B173" s="37"/>
      <c r="D173" s="38"/>
      <c r="E173" s="39"/>
      <c r="F173" s="39"/>
    </row>
    <row r="174" spans="1:6">
      <c r="A174" s="22"/>
      <c r="B174" s="43"/>
      <c r="C174" s="44"/>
      <c r="D174" s="45"/>
      <c r="E174" s="46"/>
      <c r="F174" s="47"/>
    </row>
    <row r="175" spans="1:6">
      <c r="A175" s="22"/>
      <c r="B175" s="37"/>
      <c r="D175" s="38"/>
      <c r="E175" s="39"/>
      <c r="F175" s="39"/>
    </row>
    <row r="176" spans="1:6">
      <c r="A176" s="22"/>
      <c r="B176" s="43"/>
      <c r="C176" s="44"/>
      <c r="D176" s="45"/>
      <c r="E176" s="46"/>
      <c r="F176" s="47"/>
    </row>
    <row r="177" spans="1:6">
      <c r="A177" s="22"/>
      <c r="B177" s="37"/>
      <c r="D177" s="38"/>
      <c r="E177" s="39"/>
      <c r="F177" s="39"/>
    </row>
    <row r="178" spans="1:6">
      <c r="A178" s="22"/>
      <c r="B178" s="43"/>
      <c r="C178" s="44"/>
      <c r="D178" s="45"/>
      <c r="E178" s="46"/>
      <c r="F178" s="47"/>
    </row>
    <row r="179" spans="1:6">
      <c r="A179" s="22"/>
      <c r="B179" s="37"/>
      <c r="D179" s="38"/>
      <c r="E179" s="39"/>
      <c r="F179" s="39"/>
    </row>
    <row r="180" spans="1:6">
      <c r="A180" s="22"/>
      <c r="B180" s="43"/>
      <c r="C180" s="44"/>
      <c r="D180" s="45"/>
      <c r="E180" s="46"/>
      <c r="F180" s="47"/>
    </row>
    <row r="181" spans="1:6">
      <c r="A181" s="22"/>
      <c r="B181" s="37"/>
      <c r="D181" s="38"/>
      <c r="E181" s="39"/>
      <c r="F181" s="39"/>
    </row>
    <row r="182" spans="1:6">
      <c r="A182" s="22"/>
      <c r="B182" s="43"/>
      <c r="C182" s="44"/>
      <c r="D182" s="45"/>
      <c r="E182" s="46"/>
      <c r="F182" s="47"/>
    </row>
    <row r="183" spans="1:6">
      <c r="A183" s="22"/>
      <c r="B183" s="37"/>
      <c r="D183" s="38"/>
      <c r="E183" s="39"/>
      <c r="F183" s="39"/>
    </row>
    <row r="184" spans="1:6">
      <c r="A184" s="22"/>
      <c r="B184" s="43"/>
      <c r="C184" s="44"/>
      <c r="D184" s="45"/>
      <c r="E184" s="46"/>
      <c r="F184" s="47"/>
    </row>
    <row r="185" spans="1:6">
      <c r="A185" s="22"/>
      <c r="B185" s="37"/>
      <c r="D185" s="38"/>
      <c r="E185" s="39"/>
      <c r="F185" s="39"/>
    </row>
    <row r="186" spans="1:6">
      <c r="A186" s="22"/>
      <c r="B186" s="43"/>
      <c r="C186" s="44"/>
      <c r="D186" s="45"/>
      <c r="E186" s="46"/>
      <c r="F186" s="47"/>
    </row>
    <row r="187" spans="1:6">
      <c r="A187" s="22"/>
      <c r="B187" s="37"/>
      <c r="D187" s="38"/>
      <c r="E187" s="39"/>
      <c r="F187" s="39"/>
    </row>
    <row r="188" spans="1:6">
      <c r="A188" s="22"/>
      <c r="B188" s="43"/>
      <c r="C188" s="44"/>
      <c r="D188" s="45"/>
      <c r="E188" s="46"/>
      <c r="F188" s="47"/>
    </row>
    <row r="189" spans="1:6">
      <c r="A189" s="22"/>
      <c r="B189" s="37"/>
      <c r="D189" s="38"/>
      <c r="E189" s="39"/>
      <c r="F189" s="39"/>
    </row>
    <row r="190" spans="1:6">
      <c r="A190" s="22"/>
      <c r="B190" s="43"/>
      <c r="C190" s="44"/>
      <c r="D190" s="45"/>
      <c r="E190" s="46"/>
      <c r="F190" s="47"/>
    </row>
    <row r="191" spans="1:6">
      <c r="A191" s="22"/>
      <c r="B191" s="37"/>
      <c r="D191" s="38"/>
      <c r="E191" s="39"/>
      <c r="F191" s="39"/>
    </row>
    <row r="192" spans="1:6">
      <c r="A192" s="22"/>
      <c r="B192" s="43"/>
      <c r="C192" s="44"/>
      <c r="D192" s="45"/>
      <c r="E192" s="46"/>
      <c r="F192" s="47"/>
    </row>
    <row r="193" spans="1:6">
      <c r="A193" s="22"/>
      <c r="B193" s="37"/>
      <c r="D193" s="38"/>
      <c r="E193" s="39"/>
      <c r="F193" s="39"/>
    </row>
    <row r="194" spans="1:6">
      <c r="A194" s="22"/>
      <c r="B194" s="43"/>
      <c r="C194" s="44"/>
      <c r="D194" s="45"/>
      <c r="E194" s="46"/>
      <c r="F194" s="47"/>
    </row>
    <row r="195" spans="1:6">
      <c r="A195" s="22"/>
      <c r="B195" s="37"/>
      <c r="D195" s="38"/>
      <c r="E195" s="39"/>
      <c r="F195" s="39"/>
    </row>
    <row r="196" spans="1:6">
      <c r="A196" s="22"/>
      <c r="B196" s="43"/>
      <c r="C196" s="44"/>
      <c r="D196" s="45"/>
      <c r="E196" s="46"/>
      <c r="F196" s="47"/>
    </row>
    <row r="197" spans="1:6">
      <c r="A197" s="22"/>
      <c r="B197" s="37"/>
      <c r="D197" s="38"/>
      <c r="E197" s="39"/>
      <c r="F197" s="39"/>
    </row>
    <row r="198" spans="1:6">
      <c r="A198" s="22"/>
      <c r="B198" s="43"/>
      <c r="C198" s="44"/>
      <c r="D198" s="45"/>
      <c r="E198" s="46"/>
      <c r="F198" s="47"/>
    </row>
    <row r="199" spans="1:6">
      <c r="A199" s="22"/>
      <c r="B199" s="37"/>
      <c r="D199" s="38"/>
      <c r="E199" s="39"/>
      <c r="F199" s="39"/>
    </row>
    <row r="200" spans="1:6">
      <c r="A200" s="22"/>
      <c r="B200" s="43"/>
      <c r="C200" s="44"/>
      <c r="D200" s="45"/>
      <c r="E200" s="46"/>
      <c r="F200" s="47"/>
    </row>
    <row r="201" spans="1:6">
      <c r="A201" s="22"/>
      <c r="B201" s="37"/>
      <c r="D201" s="38"/>
      <c r="E201" s="39"/>
      <c r="F201" s="39"/>
    </row>
    <row r="202" spans="1:6">
      <c r="A202" s="22"/>
      <c r="B202" s="43"/>
      <c r="C202" s="44"/>
      <c r="D202" s="45"/>
      <c r="E202" s="46"/>
      <c r="F202" s="47"/>
    </row>
    <row r="203" spans="1:6">
      <c r="A203" s="22"/>
      <c r="B203" s="37"/>
      <c r="D203" s="38"/>
      <c r="E203" s="39"/>
      <c r="F203" s="39"/>
    </row>
    <row r="204" spans="1:6">
      <c r="A204" s="22"/>
      <c r="B204" s="43"/>
      <c r="C204" s="44"/>
      <c r="D204" s="45"/>
      <c r="E204" s="46"/>
      <c r="F204" s="47"/>
    </row>
    <row r="205" spans="1:6">
      <c r="A205" s="22"/>
      <c r="B205" s="37"/>
      <c r="D205" s="38"/>
      <c r="E205" s="39"/>
      <c r="F205" s="39"/>
    </row>
    <row r="206" spans="1:6">
      <c r="A206" s="22"/>
      <c r="B206" s="43"/>
      <c r="C206" s="44"/>
      <c r="D206" s="45"/>
      <c r="E206" s="46"/>
      <c r="F206" s="47"/>
    </row>
    <row r="207" spans="1:6">
      <c r="A207" s="22"/>
      <c r="B207" s="37"/>
      <c r="D207" s="38"/>
      <c r="E207" s="39"/>
      <c r="F207" s="39"/>
    </row>
    <row r="208" spans="1:6">
      <c r="A208" s="22"/>
      <c r="B208" s="43"/>
      <c r="C208" s="44"/>
      <c r="D208" s="45"/>
      <c r="E208" s="46"/>
      <c r="F208" s="47"/>
    </row>
    <row r="209" spans="1:6">
      <c r="A209" s="22"/>
      <c r="B209" s="37"/>
      <c r="D209" s="38"/>
      <c r="E209" s="39"/>
      <c r="F209" s="39"/>
    </row>
    <row r="210" spans="1:6">
      <c r="A210" s="22"/>
      <c r="B210" s="43"/>
      <c r="C210" s="44"/>
      <c r="D210" s="45"/>
      <c r="E210" s="46"/>
      <c r="F210" s="47"/>
    </row>
    <row r="211" spans="1:6">
      <c r="A211" s="22"/>
      <c r="B211" s="37"/>
      <c r="D211" s="38"/>
      <c r="E211" s="39"/>
      <c r="F211" s="39"/>
    </row>
    <row r="212" spans="1:6">
      <c r="A212" s="22"/>
      <c r="B212" s="43"/>
      <c r="C212" s="44"/>
      <c r="D212" s="45"/>
      <c r="E212" s="46"/>
      <c r="F212" s="47"/>
    </row>
    <row r="213" spans="1:6">
      <c r="A213" s="22"/>
      <c r="B213" s="37"/>
      <c r="D213" s="38"/>
      <c r="E213" s="39"/>
      <c r="F213" s="39"/>
    </row>
    <row r="214" spans="1:6">
      <c r="A214" s="22"/>
      <c r="B214" s="43"/>
      <c r="C214" s="44"/>
      <c r="D214" s="45"/>
      <c r="E214" s="46"/>
      <c r="F214" s="47"/>
    </row>
    <row r="215" spans="1:6">
      <c r="A215" s="22"/>
      <c r="B215" s="37"/>
      <c r="D215" s="38"/>
      <c r="E215" s="39"/>
      <c r="F215" s="39"/>
    </row>
    <row r="216" spans="1:6">
      <c r="A216" s="22"/>
      <c r="B216" s="43"/>
      <c r="C216" s="44"/>
      <c r="D216" s="45"/>
      <c r="E216" s="46"/>
      <c r="F216" s="47"/>
    </row>
    <row r="217" spans="1:6">
      <c r="A217" s="22"/>
      <c r="B217" s="37"/>
      <c r="D217" s="38"/>
      <c r="E217" s="39"/>
      <c r="F217" s="39"/>
    </row>
    <row r="218" spans="1:6">
      <c r="A218" s="22"/>
      <c r="B218" s="43"/>
      <c r="C218" s="44"/>
      <c r="D218" s="45"/>
      <c r="E218" s="46"/>
      <c r="F218" s="47"/>
    </row>
    <row r="219" spans="1:6">
      <c r="A219" s="22"/>
      <c r="B219" s="37"/>
      <c r="D219" s="38"/>
      <c r="E219" s="39"/>
      <c r="F219" s="39"/>
    </row>
    <row r="220" spans="1:6">
      <c r="A220" s="22"/>
      <c r="B220" s="43"/>
      <c r="C220" s="44"/>
      <c r="D220" s="45"/>
      <c r="E220" s="46"/>
      <c r="F220" s="47"/>
    </row>
    <row r="221" spans="1:6">
      <c r="A221" s="22"/>
      <c r="B221" s="37"/>
      <c r="D221" s="38"/>
      <c r="E221" s="39"/>
      <c r="F221" s="39"/>
    </row>
    <row r="222" spans="1:6">
      <c r="A222" s="22"/>
      <c r="B222" s="43"/>
      <c r="C222" s="44"/>
      <c r="D222" s="45"/>
      <c r="E222" s="46"/>
      <c r="F222" s="47"/>
    </row>
    <row r="223" spans="1:6">
      <c r="A223" s="22"/>
      <c r="B223" s="37"/>
      <c r="D223" s="38"/>
      <c r="E223" s="39"/>
      <c r="F223" s="39"/>
    </row>
    <row r="224" spans="1:6">
      <c r="A224" s="22"/>
      <c r="B224" s="43"/>
      <c r="C224" s="44"/>
      <c r="D224" s="45"/>
      <c r="E224" s="46"/>
      <c r="F224" s="47"/>
    </row>
    <row r="225" spans="1:6">
      <c r="A225" s="22"/>
      <c r="B225" s="37"/>
      <c r="D225" s="38"/>
      <c r="E225" s="39"/>
      <c r="F225" s="39"/>
    </row>
    <row r="226" spans="1:6">
      <c r="A226" s="22"/>
      <c r="B226" s="43"/>
      <c r="C226" s="44"/>
      <c r="D226" s="45"/>
      <c r="E226" s="46"/>
      <c r="F226" s="47"/>
    </row>
    <row r="227" spans="1:6">
      <c r="A227" s="22"/>
      <c r="B227" s="37"/>
      <c r="D227" s="38"/>
      <c r="E227" s="39"/>
      <c r="F227" s="39"/>
    </row>
    <row r="228" spans="1:6">
      <c r="A228" s="22"/>
      <c r="B228" s="43"/>
      <c r="C228" s="44"/>
      <c r="D228" s="45"/>
      <c r="E228" s="46"/>
      <c r="F228" s="47"/>
    </row>
    <row r="229" spans="1:6">
      <c r="A229" s="22"/>
      <c r="B229" s="37"/>
      <c r="D229" s="38"/>
      <c r="E229" s="39"/>
      <c r="F229" s="39"/>
    </row>
    <row r="230" spans="1:6">
      <c r="A230" s="22"/>
      <c r="B230" s="43"/>
      <c r="C230" s="44"/>
      <c r="D230" s="45"/>
      <c r="E230" s="46"/>
      <c r="F230" s="47"/>
    </row>
    <row r="231" spans="1:6">
      <c r="A231" s="22"/>
      <c r="B231" s="37"/>
      <c r="D231" s="38"/>
      <c r="E231" s="39"/>
      <c r="F231" s="39"/>
    </row>
    <row r="232" spans="1:6">
      <c r="A232" s="22"/>
      <c r="B232" s="43"/>
      <c r="C232" s="44"/>
      <c r="D232" s="45"/>
      <c r="E232" s="46"/>
      <c r="F232" s="47"/>
    </row>
    <row r="233" spans="1:6">
      <c r="A233" s="22"/>
      <c r="B233" s="37"/>
      <c r="D233" s="38"/>
      <c r="E233" s="39"/>
      <c r="F233" s="39"/>
    </row>
    <row r="234" spans="1:6">
      <c r="A234" s="22"/>
      <c r="B234" s="43"/>
      <c r="C234" s="44"/>
      <c r="D234" s="45"/>
      <c r="E234" s="46"/>
      <c r="F234" s="47"/>
    </row>
    <row r="235" spans="1:6">
      <c r="A235" s="22"/>
      <c r="B235" s="37"/>
      <c r="D235" s="38"/>
      <c r="E235" s="39"/>
      <c r="F235" s="39"/>
    </row>
    <row r="236" spans="1:6">
      <c r="A236" s="22"/>
      <c r="B236" s="43"/>
      <c r="C236" s="44"/>
      <c r="D236" s="45"/>
      <c r="E236" s="46"/>
      <c r="F236" s="47"/>
    </row>
    <row r="237" spans="1:6">
      <c r="A237" s="22"/>
      <c r="B237" s="37"/>
      <c r="D237" s="38"/>
      <c r="E237" s="39"/>
      <c r="F237" s="39"/>
    </row>
    <row r="238" spans="1:6">
      <c r="A238" s="22"/>
      <c r="B238" s="43"/>
      <c r="C238" s="44"/>
      <c r="D238" s="45"/>
      <c r="E238" s="46"/>
      <c r="F238" s="47"/>
    </row>
    <row r="239" spans="1:6">
      <c r="A239" s="22"/>
      <c r="B239" s="37"/>
      <c r="D239" s="38"/>
      <c r="E239" s="39"/>
      <c r="F239" s="39"/>
    </row>
    <row r="240" spans="1:6">
      <c r="A240" s="22"/>
      <c r="B240" s="43"/>
      <c r="C240" s="44"/>
      <c r="D240" s="45"/>
      <c r="E240" s="46"/>
      <c r="F240" s="47"/>
    </row>
    <row r="241" spans="1:6">
      <c r="A241" s="22"/>
      <c r="B241" s="37"/>
      <c r="D241" s="38"/>
      <c r="E241" s="39"/>
      <c r="F241" s="39"/>
    </row>
    <row r="242" spans="1:6">
      <c r="A242" s="22"/>
      <c r="B242" s="43"/>
      <c r="C242" s="44"/>
      <c r="D242" s="45"/>
      <c r="E242" s="46"/>
      <c r="F242" s="47"/>
    </row>
    <row r="243" spans="1:6">
      <c r="A243" s="22"/>
      <c r="B243" s="37"/>
      <c r="D243" s="38"/>
      <c r="E243" s="39"/>
      <c r="F243" s="39"/>
    </row>
    <row r="244" spans="1:6">
      <c r="A244" s="22"/>
      <c r="B244" s="43"/>
      <c r="C244" s="44"/>
      <c r="D244" s="45"/>
      <c r="E244" s="46"/>
      <c r="F244" s="47"/>
    </row>
    <row r="245" spans="1:6">
      <c r="A245" s="22"/>
      <c r="B245" s="37"/>
      <c r="D245" s="38"/>
      <c r="E245" s="39"/>
      <c r="F245" s="39"/>
    </row>
    <row r="246" spans="1:6">
      <c r="A246" s="22"/>
      <c r="B246" s="43"/>
      <c r="C246" s="44"/>
      <c r="D246" s="45"/>
      <c r="E246" s="46"/>
      <c r="F246" s="47"/>
    </row>
    <row r="247" spans="1:6">
      <c r="A247" s="22"/>
      <c r="B247" s="37"/>
      <c r="D247" s="38"/>
      <c r="E247" s="39"/>
      <c r="F247" s="39"/>
    </row>
    <row r="248" spans="1:6">
      <c r="A248" s="22"/>
      <c r="B248" s="43"/>
      <c r="C248" s="44"/>
      <c r="D248" s="45"/>
      <c r="E248" s="46"/>
      <c r="F248" s="47"/>
    </row>
    <row r="249" spans="1:6">
      <c r="A249" s="22"/>
      <c r="B249" s="37"/>
      <c r="D249" s="38"/>
      <c r="E249" s="39"/>
      <c r="F249" s="39"/>
    </row>
    <row r="250" spans="1:6">
      <c r="A250" s="22"/>
      <c r="B250" s="43"/>
      <c r="C250" s="44"/>
      <c r="D250" s="45"/>
      <c r="E250" s="46"/>
      <c r="F250" s="47"/>
    </row>
    <row r="251" spans="1:6">
      <c r="A251" s="22"/>
      <c r="B251" s="37"/>
      <c r="D251" s="38"/>
      <c r="E251" s="39"/>
      <c r="F251" s="39"/>
    </row>
    <row r="252" spans="1:6">
      <c r="A252" s="22"/>
      <c r="B252" s="43"/>
      <c r="C252" s="44"/>
      <c r="D252" s="45"/>
      <c r="E252" s="46"/>
      <c r="F252" s="47"/>
    </row>
    <row r="253" spans="1:6">
      <c r="A253" s="22"/>
      <c r="B253" s="37"/>
      <c r="D253" s="38"/>
      <c r="E253" s="39"/>
      <c r="F253" s="39"/>
    </row>
    <row r="254" spans="1:6">
      <c r="A254" s="22"/>
      <c r="B254" s="43"/>
      <c r="C254" s="44"/>
      <c r="D254" s="45"/>
      <c r="E254" s="46"/>
      <c r="F254" s="47"/>
    </row>
    <row r="255" spans="1:6">
      <c r="A255" s="22"/>
      <c r="B255" s="37"/>
      <c r="D255" s="38"/>
      <c r="E255" s="39"/>
      <c r="F255" s="39"/>
    </row>
    <row r="256" spans="1:6">
      <c r="A256" s="22"/>
      <c r="B256" s="43"/>
      <c r="C256" s="44"/>
      <c r="D256" s="45"/>
      <c r="E256" s="46"/>
      <c r="F256" s="47"/>
    </row>
    <row r="257" spans="1:6">
      <c r="A257" s="22"/>
      <c r="B257" s="37"/>
      <c r="D257" s="38"/>
      <c r="E257" s="39"/>
      <c r="F257" s="39"/>
    </row>
    <row r="258" spans="1:6">
      <c r="A258" s="22"/>
      <c r="B258" s="43"/>
      <c r="C258" s="44"/>
      <c r="D258" s="45"/>
      <c r="E258" s="46"/>
      <c r="F258" s="47"/>
    </row>
    <row r="259" spans="1:6">
      <c r="A259" s="22"/>
      <c r="B259" s="37"/>
      <c r="D259" s="38"/>
      <c r="E259" s="39"/>
      <c r="F259" s="39"/>
    </row>
    <row r="260" spans="1:6">
      <c r="A260" s="22"/>
      <c r="B260" s="43"/>
      <c r="C260" s="44"/>
      <c r="D260" s="45"/>
      <c r="E260" s="46"/>
      <c r="F260" s="47"/>
    </row>
    <row r="261" spans="1:6">
      <c r="A261" s="22"/>
      <c r="B261" s="37"/>
      <c r="D261" s="38"/>
      <c r="E261" s="39"/>
      <c r="F261" s="39"/>
    </row>
    <row r="262" spans="1:6">
      <c r="A262" s="22"/>
      <c r="B262" s="43"/>
      <c r="C262" s="44"/>
      <c r="D262" s="45"/>
      <c r="E262" s="46"/>
      <c r="F262" s="47"/>
    </row>
    <row r="263" spans="1:6">
      <c r="A263" s="22"/>
      <c r="B263" s="37"/>
      <c r="D263" s="38"/>
      <c r="E263" s="39"/>
      <c r="F263" s="39"/>
    </row>
    <row r="264" spans="1:6">
      <c r="A264" s="22"/>
      <c r="B264" s="43"/>
      <c r="C264" s="44"/>
      <c r="D264" s="45"/>
      <c r="E264" s="46"/>
      <c r="F264" s="47"/>
    </row>
    <row r="265" spans="1:6">
      <c r="A265" s="22"/>
      <c r="B265" s="37"/>
      <c r="D265" s="38"/>
      <c r="E265" s="39"/>
      <c r="F265" s="39"/>
    </row>
    <row r="266" spans="1:6">
      <c r="A266" s="22"/>
      <c r="B266" s="43"/>
      <c r="C266" s="44"/>
      <c r="D266" s="45"/>
      <c r="E266" s="46"/>
      <c r="F266" s="47"/>
    </row>
    <row r="267" spans="1:6">
      <c r="A267" s="22"/>
      <c r="B267" s="37"/>
      <c r="D267" s="38"/>
      <c r="E267" s="39"/>
      <c r="F267" s="39"/>
    </row>
    <row r="268" spans="1:6">
      <c r="A268" s="22"/>
      <c r="B268" s="43"/>
      <c r="C268" s="44"/>
      <c r="D268" s="45"/>
      <c r="E268" s="46"/>
      <c r="F268" s="47"/>
    </row>
    <row r="269" spans="1:6">
      <c r="A269" s="22"/>
      <c r="B269" s="37"/>
      <c r="D269" s="38"/>
      <c r="E269" s="39"/>
      <c r="F269" s="39"/>
    </row>
    <row r="270" spans="1:6">
      <c r="A270" s="22"/>
      <c r="B270" s="43"/>
      <c r="C270" s="44"/>
      <c r="D270" s="45"/>
      <c r="E270" s="46"/>
      <c r="F270" s="47"/>
    </row>
    <row r="271" spans="1:6">
      <c r="A271" s="22"/>
      <c r="B271" s="37"/>
      <c r="D271" s="38"/>
      <c r="E271" s="39"/>
      <c r="F271" s="39"/>
    </row>
    <row r="272" spans="1:6">
      <c r="A272" s="22"/>
      <c r="B272" s="43"/>
      <c r="C272" s="44"/>
      <c r="D272" s="45"/>
      <c r="E272" s="46"/>
      <c r="F272" s="47"/>
    </row>
    <row r="273" spans="1:6">
      <c r="A273" s="22"/>
      <c r="B273" s="37"/>
      <c r="D273" s="38"/>
      <c r="E273" s="39"/>
      <c r="F273" s="39"/>
    </row>
    <row r="274" spans="1:6">
      <c r="A274" s="22"/>
      <c r="B274" s="43"/>
      <c r="C274" s="44"/>
      <c r="D274" s="45"/>
      <c r="E274" s="46"/>
      <c r="F274" s="47"/>
    </row>
    <row r="275" spans="1:6">
      <c r="A275" s="22"/>
      <c r="B275" s="37"/>
      <c r="D275" s="38"/>
      <c r="E275" s="39"/>
      <c r="F275" s="39"/>
    </row>
    <row r="276" spans="1:6">
      <c r="A276" s="22"/>
      <c r="B276" s="43"/>
      <c r="C276" s="44"/>
      <c r="D276" s="45"/>
      <c r="E276" s="46"/>
      <c r="F276" s="47"/>
    </row>
    <row r="277" spans="1:6">
      <c r="A277" s="22"/>
      <c r="B277" s="37"/>
      <c r="D277" s="38"/>
      <c r="E277" s="39"/>
      <c r="F277" s="39"/>
    </row>
    <row r="278" spans="1:6">
      <c r="A278" s="22"/>
      <c r="B278" s="43"/>
      <c r="C278" s="44"/>
      <c r="D278" s="45"/>
      <c r="E278" s="46"/>
      <c r="F278" s="47"/>
    </row>
    <row r="279" spans="1:6">
      <c r="A279" s="22"/>
      <c r="B279" s="37"/>
      <c r="D279" s="38"/>
      <c r="E279" s="39"/>
      <c r="F279" s="39"/>
    </row>
    <row r="280" spans="1:6">
      <c r="A280" s="22"/>
      <c r="B280" s="43"/>
      <c r="C280" s="44"/>
      <c r="D280" s="45"/>
      <c r="E280" s="46"/>
      <c r="F280" s="47"/>
    </row>
    <row r="281" spans="1:6">
      <c r="A281" s="22"/>
      <c r="B281" s="37"/>
      <c r="D281" s="38"/>
      <c r="E281" s="39"/>
      <c r="F281" s="39"/>
    </row>
    <row r="282" spans="1:6">
      <c r="A282" s="22"/>
      <c r="B282" s="43"/>
      <c r="C282" s="44"/>
      <c r="D282" s="45"/>
      <c r="E282" s="46"/>
      <c r="F282" s="47"/>
    </row>
    <row r="283" spans="1:6">
      <c r="A283" s="22"/>
      <c r="B283" s="37"/>
      <c r="D283" s="38"/>
      <c r="E283" s="39"/>
      <c r="F283" s="39"/>
    </row>
    <row r="284" spans="1:6">
      <c r="A284" s="22"/>
      <c r="B284" s="43"/>
      <c r="C284" s="44"/>
      <c r="D284" s="45"/>
      <c r="E284" s="46"/>
      <c r="F284" s="47"/>
    </row>
    <row r="285" spans="1:6">
      <c r="A285" s="22"/>
      <c r="B285" s="37"/>
      <c r="D285" s="38"/>
      <c r="E285" s="39"/>
      <c r="F285" s="39"/>
    </row>
    <row r="286" spans="1:6">
      <c r="A286" s="22"/>
      <c r="B286" s="43"/>
      <c r="C286" s="44"/>
      <c r="D286" s="45"/>
      <c r="E286" s="46"/>
      <c r="F286" s="47"/>
    </row>
    <row r="287" spans="1:6">
      <c r="A287" s="22"/>
      <c r="B287" s="37"/>
      <c r="D287" s="38"/>
      <c r="E287" s="39"/>
      <c r="F287" s="39"/>
    </row>
    <row r="288" spans="1:6">
      <c r="A288" s="22"/>
      <c r="B288" s="43"/>
      <c r="C288" s="44"/>
      <c r="D288" s="45"/>
      <c r="E288" s="46"/>
      <c r="F288" s="47"/>
    </row>
    <row r="289" spans="1:6">
      <c r="A289" s="22"/>
      <c r="B289" s="37"/>
      <c r="D289" s="38"/>
      <c r="E289" s="39"/>
      <c r="F289" s="39"/>
    </row>
    <row r="290" spans="1:6">
      <c r="A290" s="22"/>
      <c r="B290" s="43"/>
      <c r="C290" s="44"/>
      <c r="D290" s="45"/>
      <c r="E290" s="46"/>
      <c r="F290" s="47"/>
    </row>
    <row r="291" spans="1:6">
      <c r="A291" s="22"/>
      <c r="B291" s="37"/>
      <c r="D291" s="38"/>
      <c r="E291" s="39"/>
      <c r="F291" s="39"/>
    </row>
    <row r="292" spans="1:6">
      <c r="A292" s="22"/>
      <c r="B292" s="43"/>
      <c r="C292" s="44"/>
      <c r="D292" s="45"/>
      <c r="E292" s="46"/>
      <c r="F292" s="47"/>
    </row>
    <row r="293" spans="1:6">
      <c r="A293" s="22"/>
      <c r="B293" s="37"/>
      <c r="D293" s="38"/>
      <c r="E293" s="39"/>
      <c r="F293" s="39"/>
    </row>
    <row r="294" spans="1:6">
      <c r="A294" s="22"/>
      <c r="B294" s="43"/>
      <c r="C294" s="44"/>
      <c r="D294" s="45"/>
      <c r="E294" s="46"/>
      <c r="F294" s="47"/>
    </row>
    <row r="295" spans="1:6">
      <c r="A295" s="22"/>
      <c r="B295" s="37"/>
      <c r="D295" s="38"/>
      <c r="E295" s="39"/>
      <c r="F295" s="39"/>
    </row>
    <row r="296" spans="1:6">
      <c r="A296" s="22"/>
      <c r="B296" s="43"/>
      <c r="C296" s="44"/>
      <c r="D296" s="45"/>
      <c r="E296" s="46"/>
      <c r="F296" s="47"/>
    </row>
    <row r="297" spans="1:6">
      <c r="A297" s="22"/>
      <c r="B297" s="37"/>
      <c r="D297" s="38"/>
      <c r="E297" s="39"/>
      <c r="F297" s="39"/>
    </row>
    <row r="298" spans="1:6">
      <c r="A298" s="22"/>
      <c r="B298" s="43"/>
      <c r="C298" s="44"/>
      <c r="D298" s="45"/>
      <c r="E298" s="46"/>
      <c r="F298" s="47"/>
    </row>
    <row r="299" spans="1:6">
      <c r="A299" s="22"/>
      <c r="B299" s="37"/>
      <c r="D299" s="38"/>
      <c r="E299" s="39"/>
      <c r="F299" s="39"/>
    </row>
    <row r="300" spans="1:6">
      <c r="A300" s="22"/>
      <c r="B300" s="43"/>
      <c r="C300" s="44"/>
      <c r="D300" s="45"/>
      <c r="E300" s="46"/>
      <c r="F300" s="47"/>
    </row>
    <row r="301" spans="1:6">
      <c r="A301" s="22"/>
      <c r="B301" s="37"/>
      <c r="D301" s="38"/>
      <c r="E301" s="39"/>
      <c r="F301" s="39"/>
    </row>
    <row r="302" spans="1:6">
      <c r="A302" s="22"/>
      <c r="B302" s="43"/>
      <c r="C302" s="44"/>
      <c r="D302" s="45"/>
      <c r="E302" s="46"/>
      <c r="F302" s="47"/>
    </row>
    <row r="303" spans="1:6">
      <c r="A303" s="22"/>
      <c r="B303" s="37"/>
      <c r="D303" s="38"/>
      <c r="E303" s="39"/>
      <c r="F303" s="39"/>
    </row>
    <row r="304" spans="1:6">
      <c r="A304" s="22"/>
      <c r="B304" s="43"/>
      <c r="C304" s="44"/>
      <c r="D304" s="45"/>
      <c r="E304" s="46"/>
      <c r="F304" s="47"/>
    </row>
    <row r="305" spans="1:6">
      <c r="A305" s="22"/>
      <c r="B305" s="37"/>
      <c r="D305" s="38"/>
      <c r="E305" s="39"/>
      <c r="F305" s="39"/>
    </row>
    <row r="306" spans="1:6">
      <c r="A306" s="22"/>
      <c r="B306" s="43"/>
      <c r="C306" s="44"/>
      <c r="D306" s="45"/>
      <c r="E306" s="46"/>
      <c r="F306" s="47"/>
    </row>
    <row r="307" spans="1:6">
      <c r="A307" s="22"/>
      <c r="B307" s="37"/>
      <c r="D307" s="38"/>
      <c r="E307" s="39"/>
      <c r="F307" s="39"/>
    </row>
    <row r="308" spans="1:6">
      <c r="A308" s="22"/>
      <c r="B308" s="43"/>
      <c r="C308" s="44"/>
      <c r="D308" s="45"/>
      <c r="E308" s="46"/>
      <c r="F308" s="47"/>
    </row>
    <row r="309" spans="1:6">
      <c r="A309" s="22"/>
      <c r="B309" s="37"/>
      <c r="D309" s="38"/>
      <c r="E309" s="39"/>
      <c r="F309" s="39"/>
    </row>
    <row r="310" spans="1:6">
      <c r="A310" s="22"/>
      <c r="B310" s="43"/>
      <c r="C310" s="44"/>
      <c r="D310" s="45"/>
      <c r="E310" s="46"/>
      <c r="F310" s="47"/>
    </row>
    <row r="311" spans="1:6">
      <c r="A311" s="22"/>
      <c r="B311" s="37"/>
      <c r="D311" s="38"/>
      <c r="E311" s="39"/>
      <c r="F311" s="39"/>
    </row>
    <row r="312" spans="1:6">
      <c r="A312" s="22"/>
      <c r="B312" s="43"/>
      <c r="C312" s="44"/>
      <c r="D312" s="45"/>
      <c r="E312" s="46"/>
      <c r="F312" s="47"/>
    </row>
    <row r="313" spans="1:6">
      <c r="A313" s="22"/>
      <c r="B313" s="37"/>
      <c r="D313" s="38"/>
      <c r="E313" s="39"/>
      <c r="F313" s="39"/>
    </row>
    <row r="314" spans="1:6">
      <c r="A314" s="22"/>
      <c r="B314" s="43"/>
      <c r="C314" s="44"/>
      <c r="D314" s="45"/>
      <c r="E314" s="46"/>
      <c r="F314" s="47"/>
    </row>
    <row r="315" spans="1:6">
      <c r="A315" s="22"/>
      <c r="B315" s="37"/>
      <c r="D315" s="38"/>
      <c r="E315" s="39"/>
      <c r="F315" s="39"/>
    </row>
    <row r="316" spans="1:6">
      <c r="A316" s="22"/>
      <c r="B316" s="43"/>
      <c r="C316" s="44"/>
      <c r="D316" s="45"/>
      <c r="E316" s="46"/>
      <c r="F316" s="47"/>
    </row>
    <row r="317" spans="1:6">
      <c r="A317" s="22"/>
      <c r="B317" s="37"/>
      <c r="D317" s="38"/>
      <c r="E317" s="39"/>
      <c r="F317" s="39"/>
    </row>
    <row r="318" spans="1:6">
      <c r="A318" s="22"/>
      <c r="B318" s="43"/>
      <c r="C318" s="44"/>
      <c r="D318" s="45"/>
      <c r="E318" s="46"/>
      <c r="F318" s="47"/>
    </row>
    <row r="319" spans="1:6">
      <c r="A319" s="22"/>
      <c r="B319" s="37"/>
      <c r="D319" s="38"/>
      <c r="E319" s="39"/>
      <c r="F319" s="39"/>
    </row>
    <row r="320" spans="1:6">
      <c r="A320" s="22"/>
      <c r="B320" s="43"/>
      <c r="C320" s="44"/>
      <c r="D320" s="45"/>
      <c r="E320" s="46"/>
      <c r="F320" s="47"/>
    </row>
    <row r="321" spans="1:6">
      <c r="A321" s="22"/>
      <c r="B321" s="37"/>
      <c r="D321" s="38"/>
      <c r="E321" s="39"/>
      <c r="F321" s="39"/>
    </row>
    <row r="322" spans="1:6">
      <c r="A322" s="22"/>
      <c r="B322" s="43"/>
      <c r="C322" s="44"/>
      <c r="D322" s="45"/>
      <c r="E322" s="46"/>
      <c r="F322" s="47"/>
    </row>
    <row r="323" spans="1:6">
      <c r="A323" s="22"/>
      <c r="B323" s="37"/>
      <c r="D323" s="38"/>
      <c r="E323" s="39"/>
      <c r="F323" s="39"/>
    </row>
    <row r="324" spans="1:6">
      <c r="A324" s="22"/>
      <c r="B324" s="43"/>
      <c r="C324" s="44"/>
      <c r="D324" s="45"/>
      <c r="E324" s="46"/>
      <c r="F324" s="47"/>
    </row>
    <row r="325" spans="1:6">
      <c r="A325" s="22"/>
      <c r="B325" s="37"/>
      <c r="D325" s="38"/>
      <c r="E325" s="39"/>
      <c r="F325" s="39"/>
    </row>
    <row r="326" spans="1:6">
      <c r="A326" s="22"/>
      <c r="B326" s="43"/>
      <c r="C326" s="44"/>
      <c r="D326" s="45"/>
      <c r="E326" s="46"/>
      <c r="F326" s="47"/>
    </row>
    <row r="327" spans="1:6">
      <c r="A327" s="22"/>
      <c r="B327" s="37"/>
      <c r="D327" s="38"/>
      <c r="E327" s="39"/>
      <c r="F327" s="39"/>
    </row>
    <row r="328" spans="1:6">
      <c r="A328" s="22"/>
      <c r="B328" s="43"/>
      <c r="C328" s="44"/>
      <c r="D328" s="45"/>
      <c r="E328" s="46"/>
      <c r="F328" s="47"/>
    </row>
    <row r="329" spans="1:6">
      <c r="A329" s="22"/>
      <c r="B329" s="37"/>
      <c r="D329" s="38"/>
      <c r="E329" s="39"/>
      <c r="F329" s="39"/>
    </row>
  </sheetData>
  <sheetProtection algorithmName="SHA-512" hashValue="g/AsEc5dLVn2kSVCRc96wnNxZtlTVDyGa8rA1I4D07oKNTcik+WEqB+F00xuWwsfnVrd0XXRh9nK2TORs/g2dQ==" saltValue="5JXYYRdV58WPtpIr7jq/JA=="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39997558519241921"/>
  </sheetPr>
  <dimension ref="A1:G14"/>
  <sheetViews>
    <sheetView topLeftCell="B1" zoomScale="85" zoomScaleNormal="85" zoomScaleSheetLayoutView="110" workbookViewId="0">
      <selection activeCell="E7" sqref="E7"/>
    </sheetView>
  </sheetViews>
  <sheetFormatPr defaultColWidth="9" defaultRowHeight="13.2"/>
  <cols>
    <col min="1" max="1" width="6.6640625" style="10" customWidth="1"/>
    <col min="2" max="2" width="57.6640625" style="10" customWidth="1"/>
    <col min="3" max="3" width="10.6640625" style="12" customWidth="1"/>
    <col min="4" max="4" width="10.6640625" style="20" customWidth="1"/>
    <col min="5" max="5" width="10.6640625" style="125" customWidth="1"/>
    <col min="6" max="6" width="12.6640625" style="20" customWidth="1"/>
    <col min="7" max="254" width="9" style="20"/>
    <col min="255" max="255" width="3.6640625" style="20" customWidth="1"/>
    <col min="256" max="256" width="57.6640625" style="20" customWidth="1"/>
    <col min="257" max="258" width="6.6640625" style="20" customWidth="1"/>
    <col min="259" max="259" width="7.6640625" style="20" customWidth="1"/>
    <col min="260" max="260" width="9.6640625" style="20" customWidth="1"/>
    <col min="261" max="510" width="9" style="20"/>
    <col min="511" max="511" width="3.6640625" style="20" customWidth="1"/>
    <col min="512" max="512" width="57.6640625" style="20" customWidth="1"/>
    <col min="513" max="514" width="6.6640625" style="20" customWidth="1"/>
    <col min="515" max="515" width="7.6640625" style="20" customWidth="1"/>
    <col min="516" max="516" width="9.6640625" style="20" customWidth="1"/>
    <col min="517" max="766" width="9" style="20"/>
    <col min="767" max="767" width="3.6640625" style="20" customWidth="1"/>
    <col min="768" max="768" width="57.6640625" style="20" customWidth="1"/>
    <col min="769" max="770" width="6.6640625" style="20" customWidth="1"/>
    <col min="771" max="771" width="7.6640625" style="20" customWidth="1"/>
    <col min="772" max="772" width="9.6640625" style="20" customWidth="1"/>
    <col min="773" max="1022" width="9" style="20"/>
    <col min="1023" max="1023" width="3.6640625" style="20" customWidth="1"/>
    <col min="1024" max="1024" width="57.6640625" style="20" customWidth="1"/>
    <col min="1025" max="1026" width="6.6640625" style="20" customWidth="1"/>
    <col min="1027" max="1027" width="7.6640625" style="20" customWidth="1"/>
    <col min="1028" max="1028" width="9.6640625" style="20" customWidth="1"/>
    <col min="1029" max="1278" width="9" style="20"/>
    <col min="1279" max="1279" width="3.6640625" style="20" customWidth="1"/>
    <col min="1280" max="1280" width="57.6640625" style="20" customWidth="1"/>
    <col min="1281" max="1282" width="6.6640625" style="20" customWidth="1"/>
    <col min="1283" max="1283" width="7.6640625" style="20" customWidth="1"/>
    <col min="1284" max="1284" width="9.6640625" style="20" customWidth="1"/>
    <col min="1285" max="1534" width="9" style="20"/>
    <col min="1535" max="1535" width="3.6640625" style="20" customWidth="1"/>
    <col min="1536" max="1536" width="57.6640625" style="20" customWidth="1"/>
    <col min="1537" max="1538" width="6.6640625" style="20" customWidth="1"/>
    <col min="1539" max="1539" width="7.6640625" style="20" customWidth="1"/>
    <col min="1540" max="1540" width="9.6640625" style="20" customWidth="1"/>
    <col min="1541" max="1790" width="9" style="20"/>
    <col min="1791" max="1791" width="3.6640625" style="20" customWidth="1"/>
    <col min="1792" max="1792" width="57.6640625" style="20" customWidth="1"/>
    <col min="1793" max="1794" width="6.6640625" style="20" customWidth="1"/>
    <col min="1795" max="1795" width="7.6640625" style="20" customWidth="1"/>
    <col min="1796" max="1796" width="9.6640625" style="20" customWidth="1"/>
    <col min="1797" max="2046" width="9" style="20"/>
    <col min="2047" max="2047" width="3.6640625" style="20" customWidth="1"/>
    <col min="2048" max="2048" width="57.6640625" style="20" customWidth="1"/>
    <col min="2049" max="2050" width="6.6640625" style="20" customWidth="1"/>
    <col min="2051" max="2051" width="7.6640625" style="20" customWidth="1"/>
    <col min="2052" max="2052" width="9.6640625" style="20" customWidth="1"/>
    <col min="2053" max="2302" width="9" style="20"/>
    <col min="2303" max="2303" width="3.6640625" style="20" customWidth="1"/>
    <col min="2304" max="2304" width="57.6640625" style="20" customWidth="1"/>
    <col min="2305" max="2306" width="6.6640625" style="20" customWidth="1"/>
    <col min="2307" max="2307" width="7.6640625" style="20" customWidth="1"/>
    <col min="2308" max="2308" width="9.6640625" style="20" customWidth="1"/>
    <col min="2309" max="2558" width="9" style="20"/>
    <col min="2559" max="2559" width="3.6640625" style="20" customWidth="1"/>
    <col min="2560" max="2560" width="57.6640625" style="20" customWidth="1"/>
    <col min="2561" max="2562" width="6.6640625" style="20" customWidth="1"/>
    <col min="2563" max="2563" width="7.6640625" style="20" customWidth="1"/>
    <col min="2564" max="2564" width="9.6640625" style="20" customWidth="1"/>
    <col min="2565" max="2814" width="9" style="20"/>
    <col min="2815" max="2815" width="3.6640625" style="20" customWidth="1"/>
    <col min="2816" max="2816" width="57.6640625" style="20" customWidth="1"/>
    <col min="2817" max="2818" width="6.6640625" style="20" customWidth="1"/>
    <col min="2819" max="2819" width="7.6640625" style="20" customWidth="1"/>
    <col min="2820" max="2820" width="9.6640625" style="20" customWidth="1"/>
    <col min="2821" max="3070" width="9" style="20"/>
    <col min="3071" max="3071" width="3.6640625" style="20" customWidth="1"/>
    <col min="3072" max="3072" width="57.6640625" style="20" customWidth="1"/>
    <col min="3073" max="3074" width="6.6640625" style="20" customWidth="1"/>
    <col min="3075" max="3075" width="7.6640625" style="20" customWidth="1"/>
    <col min="3076" max="3076" width="9.6640625" style="20" customWidth="1"/>
    <col min="3077" max="3326" width="9" style="20"/>
    <col min="3327" max="3327" width="3.6640625" style="20" customWidth="1"/>
    <col min="3328" max="3328" width="57.6640625" style="20" customWidth="1"/>
    <col min="3329" max="3330" width="6.6640625" style="20" customWidth="1"/>
    <col min="3331" max="3331" width="7.6640625" style="20" customWidth="1"/>
    <col min="3332" max="3332" width="9.6640625" style="20" customWidth="1"/>
    <col min="3333" max="3582" width="9" style="20"/>
    <col min="3583" max="3583" width="3.6640625" style="20" customWidth="1"/>
    <col min="3584" max="3584" width="57.6640625" style="20" customWidth="1"/>
    <col min="3585" max="3586" width="6.6640625" style="20" customWidth="1"/>
    <col min="3587" max="3587" width="7.6640625" style="20" customWidth="1"/>
    <col min="3588" max="3588" width="9.6640625" style="20" customWidth="1"/>
    <col min="3589" max="3838" width="9" style="20"/>
    <col min="3839" max="3839" width="3.6640625" style="20" customWidth="1"/>
    <col min="3840" max="3840" width="57.6640625" style="20" customWidth="1"/>
    <col min="3841" max="3842" width="6.6640625" style="20" customWidth="1"/>
    <col min="3843" max="3843" width="7.6640625" style="20" customWidth="1"/>
    <col min="3844" max="3844" width="9.6640625" style="20" customWidth="1"/>
    <col min="3845" max="4094" width="9" style="20"/>
    <col min="4095" max="4095" width="3.6640625" style="20" customWidth="1"/>
    <col min="4096" max="4096" width="57.6640625" style="20" customWidth="1"/>
    <col min="4097" max="4098" width="6.6640625" style="20" customWidth="1"/>
    <col min="4099" max="4099" width="7.6640625" style="20" customWidth="1"/>
    <col min="4100" max="4100" width="9.6640625" style="20" customWidth="1"/>
    <col min="4101" max="4350" width="9" style="20"/>
    <col min="4351" max="4351" width="3.6640625" style="20" customWidth="1"/>
    <col min="4352" max="4352" width="57.6640625" style="20" customWidth="1"/>
    <col min="4353" max="4354" width="6.6640625" style="20" customWidth="1"/>
    <col min="4355" max="4355" width="7.6640625" style="20" customWidth="1"/>
    <col min="4356" max="4356" width="9.6640625" style="20" customWidth="1"/>
    <col min="4357" max="4606" width="9" style="20"/>
    <col min="4607" max="4607" width="3.6640625" style="20" customWidth="1"/>
    <col min="4608" max="4608" width="57.6640625" style="20" customWidth="1"/>
    <col min="4609" max="4610" width="6.6640625" style="20" customWidth="1"/>
    <col min="4611" max="4611" width="7.6640625" style="20" customWidth="1"/>
    <col min="4612" max="4612" width="9.6640625" style="20" customWidth="1"/>
    <col min="4613" max="4862" width="9" style="20"/>
    <col min="4863" max="4863" width="3.6640625" style="20" customWidth="1"/>
    <col min="4864" max="4864" width="57.6640625" style="20" customWidth="1"/>
    <col min="4865" max="4866" width="6.6640625" style="20" customWidth="1"/>
    <col min="4867" max="4867" width="7.6640625" style="20" customWidth="1"/>
    <col min="4868" max="4868" width="9.6640625" style="20" customWidth="1"/>
    <col min="4869" max="5118" width="9" style="20"/>
    <col min="5119" max="5119" width="3.6640625" style="20" customWidth="1"/>
    <col min="5120" max="5120" width="57.6640625" style="20" customWidth="1"/>
    <col min="5121" max="5122" width="6.6640625" style="20" customWidth="1"/>
    <col min="5123" max="5123" width="7.6640625" style="20" customWidth="1"/>
    <col min="5124" max="5124" width="9.6640625" style="20" customWidth="1"/>
    <col min="5125" max="5374" width="9" style="20"/>
    <col min="5375" max="5375" width="3.6640625" style="20" customWidth="1"/>
    <col min="5376" max="5376" width="57.6640625" style="20" customWidth="1"/>
    <col min="5377" max="5378" width="6.6640625" style="20" customWidth="1"/>
    <col min="5379" max="5379" width="7.6640625" style="20" customWidth="1"/>
    <col min="5380" max="5380" width="9.6640625" style="20" customWidth="1"/>
    <col min="5381" max="5630" width="9" style="20"/>
    <col min="5631" max="5631" width="3.6640625" style="20" customWidth="1"/>
    <col min="5632" max="5632" width="57.6640625" style="20" customWidth="1"/>
    <col min="5633" max="5634" width="6.6640625" style="20" customWidth="1"/>
    <col min="5635" max="5635" width="7.6640625" style="20" customWidth="1"/>
    <col min="5636" max="5636" width="9.6640625" style="20" customWidth="1"/>
    <col min="5637" max="5886" width="9" style="20"/>
    <col min="5887" max="5887" width="3.6640625" style="20" customWidth="1"/>
    <col min="5888" max="5888" width="57.6640625" style="20" customWidth="1"/>
    <col min="5889" max="5890" width="6.6640625" style="20" customWidth="1"/>
    <col min="5891" max="5891" width="7.6640625" style="20" customWidth="1"/>
    <col min="5892" max="5892" width="9.6640625" style="20" customWidth="1"/>
    <col min="5893" max="6142" width="9" style="20"/>
    <col min="6143" max="6143" width="3.6640625" style="20" customWidth="1"/>
    <col min="6144" max="6144" width="57.6640625" style="20" customWidth="1"/>
    <col min="6145" max="6146" width="6.6640625" style="20" customWidth="1"/>
    <col min="6147" max="6147" width="7.6640625" style="20" customWidth="1"/>
    <col min="6148" max="6148" width="9.6640625" style="20" customWidth="1"/>
    <col min="6149" max="6398" width="9" style="20"/>
    <col min="6399" max="6399" width="3.6640625" style="20" customWidth="1"/>
    <col min="6400" max="6400" width="57.6640625" style="20" customWidth="1"/>
    <col min="6401" max="6402" width="6.6640625" style="20" customWidth="1"/>
    <col min="6403" max="6403" width="7.6640625" style="20" customWidth="1"/>
    <col min="6404" max="6404" width="9.6640625" style="20" customWidth="1"/>
    <col min="6405" max="6654" width="9" style="20"/>
    <col min="6655" max="6655" width="3.6640625" style="20" customWidth="1"/>
    <col min="6656" max="6656" width="57.6640625" style="20" customWidth="1"/>
    <col min="6657" max="6658" width="6.6640625" style="20" customWidth="1"/>
    <col min="6659" max="6659" width="7.6640625" style="20" customWidth="1"/>
    <col min="6660" max="6660" width="9.6640625" style="20" customWidth="1"/>
    <col min="6661" max="6910" width="9" style="20"/>
    <col min="6911" max="6911" width="3.6640625" style="20" customWidth="1"/>
    <col min="6912" max="6912" width="57.6640625" style="20" customWidth="1"/>
    <col min="6913" max="6914" width="6.6640625" style="20" customWidth="1"/>
    <col min="6915" max="6915" width="7.6640625" style="20" customWidth="1"/>
    <col min="6916" max="6916" width="9.6640625" style="20" customWidth="1"/>
    <col min="6917" max="7166" width="9" style="20"/>
    <col min="7167" max="7167" width="3.6640625" style="20" customWidth="1"/>
    <col min="7168" max="7168" width="57.6640625" style="20" customWidth="1"/>
    <col min="7169" max="7170" width="6.6640625" style="20" customWidth="1"/>
    <col min="7171" max="7171" width="7.6640625" style="20" customWidth="1"/>
    <col min="7172" max="7172" width="9.6640625" style="20" customWidth="1"/>
    <col min="7173" max="7422" width="9" style="20"/>
    <col min="7423" max="7423" width="3.6640625" style="20" customWidth="1"/>
    <col min="7424" max="7424" width="57.6640625" style="20" customWidth="1"/>
    <col min="7425" max="7426" width="6.6640625" style="20" customWidth="1"/>
    <col min="7427" max="7427" width="7.6640625" style="20" customWidth="1"/>
    <col min="7428" max="7428" width="9.6640625" style="20" customWidth="1"/>
    <col min="7429" max="7678" width="9" style="20"/>
    <col min="7679" max="7679" width="3.6640625" style="20" customWidth="1"/>
    <col min="7680" max="7680" width="57.6640625" style="20" customWidth="1"/>
    <col min="7681" max="7682" width="6.6640625" style="20" customWidth="1"/>
    <col min="7683" max="7683" width="7.6640625" style="20" customWidth="1"/>
    <col min="7684" max="7684" width="9.6640625" style="20" customWidth="1"/>
    <col min="7685" max="7934" width="9" style="20"/>
    <col min="7935" max="7935" width="3.6640625" style="20" customWidth="1"/>
    <col min="7936" max="7936" width="57.6640625" style="20" customWidth="1"/>
    <col min="7937" max="7938" width="6.6640625" style="20" customWidth="1"/>
    <col min="7939" max="7939" width="7.6640625" style="20" customWidth="1"/>
    <col min="7940" max="7940" width="9.6640625" style="20" customWidth="1"/>
    <col min="7941" max="8190" width="9" style="20"/>
    <col min="8191" max="8191" width="3.6640625" style="20" customWidth="1"/>
    <col min="8192" max="8192" width="57.6640625" style="20" customWidth="1"/>
    <col min="8193" max="8194" width="6.6640625" style="20" customWidth="1"/>
    <col min="8195" max="8195" width="7.6640625" style="20" customWidth="1"/>
    <col min="8196" max="8196" width="9.6640625" style="20" customWidth="1"/>
    <col min="8197" max="8446" width="9" style="20"/>
    <col min="8447" max="8447" width="3.6640625" style="20" customWidth="1"/>
    <col min="8448" max="8448" width="57.6640625" style="20" customWidth="1"/>
    <col min="8449" max="8450" width="6.6640625" style="20" customWidth="1"/>
    <col min="8451" max="8451" width="7.6640625" style="20" customWidth="1"/>
    <col min="8452" max="8452" width="9.6640625" style="20" customWidth="1"/>
    <col min="8453" max="8702" width="9" style="20"/>
    <col min="8703" max="8703" width="3.6640625" style="20" customWidth="1"/>
    <col min="8704" max="8704" width="57.6640625" style="20" customWidth="1"/>
    <col min="8705" max="8706" width="6.6640625" style="20" customWidth="1"/>
    <col min="8707" max="8707" width="7.6640625" style="20" customWidth="1"/>
    <col min="8708" max="8708" width="9.6640625" style="20" customWidth="1"/>
    <col min="8709" max="8958" width="9" style="20"/>
    <col min="8959" max="8959" width="3.6640625" style="20" customWidth="1"/>
    <col min="8960" max="8960" width="57.6640625" style="20" customWidth="1"/>
    <col min="8961" max="8962" width="6.6640625" style="20" customWidth="1"/>
    <col min="8963" max="8963" width="7.6640625" style="20" customWidth="1"/>
    <col min="8964" max="8964" width="9.6640625" style="20" customWidth="1"/>
    <col min="8965" max="9214" width="9" style="20"/>
    <col min="9215" max="9215" width="3.6640625" style="20" customWidth="1"/>
    <col min="9216" max="9216" width="57.6640625" style="20" customWidth="1"/>
    <col min="9217" max="9218" width="6.6640625" style="20" customWidth="1"/>
    <col min="9219" max="9219" width="7.6640625" style="20" customWidth="1"/>
    <col min="9220" max="9220" width="9.6640625" style="20" customWidth="1"/>
    <col min="9221" max="9470" width="9" style="20"/>
    <col min="9471" max="9471" width="3.6640625" style="20" customWidth="1"/>
    <col min="9472" max="9472" width="57.6640625" style="20" customWidth="1"/>
    <col min="9473" max="9474" width="6.6640625" style="20" customWidth="1"/>
    <col min="9475" max="9475" width="7.6640625" style="20" customWidth="1"/>
    <col min="9476" max="9476" width="9.6640625" style="20" customWidth="1"/>
    <col min="9477" max="9726" width="9" style="20"/>
    <col min="9727" max="9727" width="3.6640625" style="20" customWidth="1"/>
    <col min="9728" max="9728" width="57.6640625" style="20" customWidth="1"/>
    <col min="9729" max="9730" width="6.6640625" style="20" customWidth="1"/>
    <col min="9731" max="9731" width="7.6640625" style="20" customWidth="1"/>
    <col min="9732" max="9732" width="9.6640625" style="20" customWidth="1"/>
    <col min="9733" max="9982" width="9" style="20"/>
    <col min="9983" max="9983" width="3.6640625" style="20" customWidth="1"/>
    <col min="9984" max="9984" width="57.6640625" style="20" customWidth="1"/>
    <col min="9985" max="9986" width="6.6640625" style="20" customWidth="1"/>
    <col min="9987" max="9987" width="7.6640625" style="20" customWidth="1"/>
    <col min="9988" max="9988" width="9.6640625" style="20" customWidth="1"/>
    <col min="9989" max="10238" width="9" style="20"/>
    <col min="10239" max="10239" width="3.6640625" style="20" customWidth="1"/>
    <col min="10240" max="10240" width="57.6640625" style="20" customWidth="1"/>
    <col min="10241" max="10242" width="6.6640625" style="20" customWidth="1"/>
    <col min="10243" max="10243" width="7.6640625" style="20" customWidth="1"/>
    <col min="10244" max="10244" width="9.6640625" style="20" customWidth="1"/>
    <col min="10245" max="10494" width="9" style="20"/>
    <col min="10495" max="10495" width="3.6640625" style="20" customWidth="1"/>
    <col min="10496" max="10496" width="57.6640625" style="20" customWidth="1"/>
    <col min="10497" max="10498" width="6.6640625" style="20" customWidth="1"/>
    <col min="10499" max="10499" width="7.6640625" style="20" customWidth="1"/>
    <col min="10500" max="10500" width="9.6640625" style="20" customWidth="1"/>
    <col min="10501" max="10750" width="9" style="20"/>
    <col min="10751" max="10751" width="3.6640625" style="20" customWidth="1"/>
    <col min="10752" max="10752" width="57.6640625" style="20" customWidth="1"/>
    <col min="10753" max="10754" width="6.6640625" style="20" customWidth="1"/>
    <col min="10755" max="10755" width="7.6640625" style="20" customWidth="1"/>
    <col min="10756" max="10756" width="9.6640625" style="20" customWidth="1"/>
    <col min="10757" max="11006" width="9" style="20"/>
    <col min="11007" max="11007" width="3.6640625" style="20" customWidth="1"/>
    <col min="11008" max="11008" width="57.6640625" style="20" customWidth="1"/>
    <col min="11009" max="11010" width="6.6640625" style="20" customWidth="1"/>
    <col min="11011" max="11011" width="7.6640625" style="20" customWidth="1"/>
    <col min="11012" max="11012" width="9.6640625" style="20" customWidth="1"/>
    <col min="11013" max="11262" width="9" style="20"/>
    <col min="11263" max="11263" width="3.6640625" style="20" customWidth="1"/>
    <col min="11264" max="11264" width="57.6640625" style="20" customWidth="1"/>
    <col min="11265" max="11266" width="6.6640625" style="20" customWidth="1"/>
    <col min="11267" max="11267" width="7.6640625" style="20" customWidth="1"/>
    <col min="11268" max="11268" width="9.6640625" style="20" customWidth="1"/>
    <col min="11269" max="11518" width="9" style="20"/>
    <col min="11519" max="11519" width="3.6640625" style="20" customWidth="1"/>
    <col min="11520" max="11520" width="57.6640625" style="20" customWidth="1"/>
    <col min="11521" max="11522" width="6.6640625" style="20" customWidth="1"/>
    <col min="11523" max="11523" width="7.6640625" style="20" customWidth="1"/>
    <col min="11524" max="11524" width="9.6640625" style="20" customWidth="1"/>
    <col min="11525" max="11774" width="9" style="20"/>
    <col min="11775" max="11775" width="3.6640625" style="20" customWidth="1"/>
    <col min="11776" max="11776" width="57.6640625" style="20" customWidth="1"/>
    <col min="11777" max="11778" width="6.6640625" style="20" customWidth="1"/>
    <col min="11779" max="11779" width="7.6640625" style="20" customWidth="1"/>
    <col min="11780" max="11780" width="9.6640625" style="20" customWidth="1"/>
    <col min="11781" max="12030" width="9" style="20"/>
    <col min="12031" max="12031" width="3.6640625" style="20" customWidth="1"/>
    <col min="12032" max="12032" width="57.6640625" style="20" customWidth="1"/>
    <col min="12033" max="12034" width="6.6640625" style="20" customWidth="1"/>
    <col min="12035" max="12035" width="7.6640625" style="20" customWidth="1"/>
    <col min="12036" max="12036" width="9.6640625" style="20" customWidth="1"/>
    <col min="12037" max="12286" width="9" style="20"/>
    <col min="12287" max="12287" width="3.6640625" style="20" customWidth="1"/>
    <col min="12288" max="12288" width="57.6640625" style="20" customWidth="1"/>
    <col min="12289" max="12290" width="6.6640625" style="20" customWidth="1"/>
    <col min="12291" max="12291" width="7.6640625" style="20" customWidth="1"/>
    <col min="12292" max="12292" width="9.6640625" style="20" customWidth="1"/>
    <col min="12293" max="12542" width="9" style="20"/>
    <col min="12543" max="12543" width="3.6640625" style="20" customWidth="1"/>
    <col min="12544" max="12544" width="57.6640625" style="20" customWidth="1"/>
    <col min="12545" max="12546" width="6.6640625" style="20" customWidth="1"/>
    <col min="12547" max="12547" width="7.6640625" style="20" customWidth="1"/>
    <col min="12548" max="12548" width="9.6640625" style="20" customWidth="1"/>
    <col min="12549" max="12798" width="9" style="20"/>
    <col min="12799" max="12799" width="3.6640625" style="20" customWidth="1"/>
    <col min="12800" max="12800" width="57.6640625" style="20" customWidth="1"/>
    <col min="12801" max="12802" width="6.6640625" style="20" customWidth="1"/>
    <col min="12803" max="12803" width="7.6640625" style="20" customWidth="1"/>
    <col min="12804" max="12804" width="9.6640625" style="20" customWidth="1"/>
    <col min="12805" max="13054" width="9" style="20"/>
    <col min="13055" max="13055" width="3.6640625" style="20" customWidth="1"/>
    <col min="13056" max="13056" width="57.6640625" style="20" customWidth="1"/>
    <col min="13057" max="13058" width="6.6640625" style="20" customWidth="1"/>
    <col min="13059" max="13059" width="7.6640625" style="20" customWidth="1"/>
    <col min="13060" max="13060" width="9.6640625" style="20" customWidth="1"/>
    <col min="13061" max="13310" width="9" style="20"/>
    <col min="13311" max="13311" width="3.6640625" style="20" customWidth="1"/>
    <col min="13312" max="13312" width="57.6640625" style="20" customWidth="1"/>
    <col min="13313" max="13314" width="6.6640625" style="20" customWidth="1"/>
    <col min="13315" max="13315" width="7.6640625" style="20" customWidth="1"/>
    <col min="13316" max="13316" width="9.6640625" style="20" customWidth="1"/>
    <col min="13317" max="13566" width="9" style="20"/>
    <col min="13567" max="13567" width="3.6640625" style="20" customWidth="1"/>
    <col min="13568" max="13568" width="57.6640625" style="20" customWidth="1"/>
    <col min="13569" max="13570" width="6.6640625" style="20" customWidth="1"/>
    <col min="13571" max="13571" width="7.6640625" style="20" customWidth="1"/>
    <col min="13572" max="13572" width="9.6640625" style="20" customWidth="1"/>
    <col min="13573" max="13822" width="9" style="20"/>
    <col min="13823" max="13823" width="3.6640625" style="20" customWidth="1"/>
    <col min="13824" max="13824" width="57.6640625" style="20" customWidth="1"/>
    <col min="13825" max="13826" width="6.6640625" style="20" customWidth="1"/>
    <col min="13827" max="13827" width="7.6640625" style="20" customWidth="1"/>
    <col min="13828" max="13828" width="9.6640625" style="20" customWidth="1"/>
    <col min="13829" max="14078" width="9" style="20"/>
    <col min="14079" max="14079" width="3.6640625" style="20" customWidth="1"/>
    <col min="14080" max="14080" width="57.6640625" style="20" customWidth="1"/>
    <col min="14081" max="14082" width="6.6640625" style="20" customWidth="1"/>
    <col min="14083" max="14083" width="7.6640625" style="20" customWidth="1"/>
    <col min="14084" max="14084" width="9.6640625" style="20" customWidth="1"/>
    <col min="14085" max="14334" width="9" style="20"/>
    <col min="14335" max="14335" width="3.6640625" style="20" customWidth="1"/>
    <col min="14336" max="14336" width="57.6640625" style="20" customWidth="1"/>
    <col min="14337" max="14338" width="6.6640625" style="20" customWidth="1"/>
    <col min="14339" max="14339" width="7.6640625" style="20" customWidth="1"/>
    <col min="14340" max="14340" width="9.6640625" style="20" customWidth="1"/>
    <col min="14341" max="14590" width="9" style="20"/>
    <col min="14591" max="14591" width="3.6640625" style="20" customWidth="1"/>
    <col min="14592" max="14592" width="57.6640625" style="20" customWidth="1"/>
    <col min="14593" max="14594" width="6.6640625" style="20" customWidth="1"/>
    <col min="14595" max="14595" width="7.6640625" style="20" customWidth="1"/>
    <col min="14596" max="14596" width="9.6640625" style="20" customWidth="1"/>
    <col min="14597" max="14846" width="9" style="20"/>
    <col min="14847" max="14847" width="3.6640625" style="20" customWidth="1"/>
    <col min="14848" max="14848" width="57.6640625" style="20" customWidth="1"/>
    <col min="14849" max="14850" width="6.6640625" style="20" customWidth="1"/>
    <col min="14851" max="14851" width="7.6640625" style="20" customWidth="1"/>
    <col min="14852" max="14852" width="9.6640625" style="20" customWidth="1"/>
    <col min="14853" max="15102" width="9" style="20"/>
    <col min="15103" max="15103" width="3.6640625" style="20" customWidth="1"/>
    <col min="15104" max="15104" width="57.6640625" style="20" customWidth="1"/>
    <col min="15105" max="15106" width="6.6640625" style="20" customWidth="1"/>
    <col min="15107" max="15107" width="7.6640625" style="20" customWidth="1"/>
    <col min="15108" max="15108" width="9.6640625" style="20" customWidth="1"/>
    <col min="15109" max="15358" width="9" style="20"/>
    <col min="15359" max="15359" width="3.6640625" style="20" customWidth="1"/>
    <col min="15360" max="15360" width="57.6640625" style="20" customWidth="1"/>
    <col min="15361" max="15362" width="6.6640625" style="20" customWidth="1"/>
    <col min="15363" max="15363" width="7.6640625" style="20" customWidth="1"/>
    <col min="15364" max="15364" width="9.6640625" style="20" customWidth="1"/>
    <col min="15365" max="15614" width="9" style="20"/>
    <col min="15615" max="15615" width="3.6640625" style="20" customWidth="1"/>
    <col min="15616" max="15616" width="57.6640625" style="20" customWidth="1"/>
    <col min="15617" max="15618" width="6.6640625" style="20" customWidth="1"/>
    <col min="15619" max="15619" width="7.6640625" style="20" customWidth="1"/>
    <col min="15620" max="15620" width="9.6640625" style="20" customWidth="1"/>
    <col min="15621" max="15870" width="9" style="20"/>
    <col min="15871" max="15871" width="3.6640625" style="20" customWidth="1"/>
    <col min="15872" max="15872" width="57.6640625" style="20" customWidth="1"/>
    <col min="15873" max="15874" width="6.6640625" style="20" customWidth="1"/>
    <col min="15875" max="15875" width="7.6640625" style="20" customWidth="1"/>
    <col min="15876" max="15876" width="9.6640625" style="20" customWidth="1"/>
    <col min="15877" max="16126" width="9" style="20"/>
    <col min="16127" max="16127" width="3.6640625" style="20" customWidth="1"/>
    <col min="16128" max="16128" width="57.6640625" style="20" customWidth="1"/>
    <col min="16129" max="16130" width="6.6640625" style="20" customWidth="1"/>
    <col min="16131" max="16131" width="7.6640625" style="20" customWidth="1"/>
    <col min="16132" max="16132" width="9.6640625" style="20" customWidth="1"/>
    <col min="16133" max="16384" width="9" style="20"/>
  </cols>
  <sheetData>
    <row r="1" spans="1:7" ht="13.8" thickBot="1">
      <c r="A1" s="867" t="s">
        <v>46</v>
      </c>
      <c r="B1" s="868" t="s">
        <v>45</v>
      </c>
      <c r="C1" s="881"/>
      <c r="D1" s="889"/>
      <c r="E1" s="890"/>
      <c r="F1" s="891"/>
    </row>
    <row r="2" spans="1:7">
      <c r="D2" s="80"/>
      <c r="E2" s="65"/>
      <c r="F2" s="19"/>
    </row>
    <row r="3" spans="1:7" ht="14.25" customHeight="1">
      <c r="A3" s="1527" t="s">
        <v>145</v>
      </c>
      <c r="B3" s="1528" t="s">
        <v>146</v>
      </c>
      <c r="C3" s="1529" t="s">
        <v>147</v>
      </c>
      <c r="D3" s="1532" t="s">
        <v>148</v>
      </c>
      <c r="E3" s="1532" t="s">
        <v>2312</v>
      </c>
      <c r="F3" s="1532"/>
      <c r="G3" s="1537" t="s">
        <v>2523</v>
      </c>
    </row>
    <row r="4" spans="1:7">
      <c r="A4" s="1527"/>
      <c r="B4" s="1528"/>
      <c r="C4" s="1530"/>
      <c r="D4" s="1532"/>
      <c r="E4" s="1532"/>
      <c r="F4" s="1532"/>
      <c r="G4" s="1537"/>
    </row>
    <row r="5" spans="1:7">
      <c r="A5" s="1527"/>
      <c r="B5" s="1528"/>
      <c r="C5" s="1531"/>
      <c r="D5" s="1532"/>
      <c r="E5" s="49" t="s">
        <v>150</v>
      </c>
      <c r="F5" s="50" t="s">
        <v>151</v>
      </c>
      <c r="G5" s="1537"/>
    </row>
    <row r="6" spans="1:7">
      <c r="A6" s="52"/>
      <c r="B6" s="53"/>
      <c r="C6" s="54"/>
      <c r="D6" s="55"/>
      <c r="E6" s="56"/>
      <c r="F6" s="57"/>
    </row>
    <row r="7" spans="1:7" ht="171.6">
      <c r="A7" s="43">
        <v>1</v>
      </c>
      <c r="B7" s="94" t="s">
        <v>321</v>
      </c>
      <c r="D7" s="80"/>
      <c r="E7" s="65"/>
      <c r="F7" s="19"/>
    </row>
    <row r="8" spans="1:7" ht="14.4" customHeight="1">
      <c r="A8" s="22" t="s">
        <v>12</v>
      </c>
      <c r="B8" s="37" t="s">
        <v>128</v>
      </c>
      <c r="C8" s="60" t="s">
        <v>173</v>
      </c>
      <c r="D8" s="61">
        <v>250</v>
      </c>
      <c r="E8" s="1321">
        <v>10</v>
      </c>
      <c r="F8" s="124">
        <f>SUM(D8*E8)</f>
        <v>2500</v>
      </c>
    </row>
    <row r="9" spans="1:7" ht="15">
      <c r="A9" s="22" t="s">
        <v>13</v>
      </c>
      <c r="B9" s="37" t="s">
        <v>256</v>
      </c>
      <c r="C9" s="60" t="s">
        <v>173</v>
      </c>
      <c r="D9" s="61">
        <v>225</v>
      </c>
      <c r="E9" s="1321">
        <v>60</v>
      </c>
      <c r="F9" s="124">
        <f>SUM(D9*E9)</f>
        <v>13500</v>
      </c>
    </row>
    <row r="10" spans="1:7" ht="26.4">
      <c r="A10" s="22" t="s">
        <v>14</v>
      </c>
      <c r="B10" s="37" t="s">
        <v>129</v>
      </c>
      <c r="C10" s="60" t="s">
        <v>173</v>
      </c>
      <c r="D10" s="61">
        <v>225</v>
      </c>
      <c r="E10" s="1321">
        <v>20</v>
      </c>
      <c r="F10" s="124">
        <f>SUM(D10*E10)</f>
        <v>4500</v>
      </c>
    </row>
    <row r="11" spans="1:7" ht="15">
      <c r="A11" s="22" t="s">
        <v>15</v>
      </c>
      <c r="B11" s="37" t="s">
        <v>260</v>
      </c>
      <c r="C11" s="60" t="s">
        <v>172</v>
      </c>
      <c r="D11" s="61">
        <v>3</v>
      </c>
      <c r="E11" s="1321">
        <v>1500</v>
      </c>
      <c r="F11" s="124">
        <f>SUM(D11*E11)</f>
        <v>4500</v>
      </c>
    </row>
    <row r="12" spans="1:7" ht="15">
      <c r="A12" s="22" t="s">
        <v>21</v>
      </c>
      <c r="B12" s="10" t="s">
        <v>257</v>
      </c>
      <c r="C12" s="60" t="s">
        <v>173</v>
      </c>
      <c r="D12" s="61">
        <v>225</v>
      </c>
      <c r="E12" s="1321">
        <v>60</v>
      </c>
      <c r="F12" s="124">
        <f>SUM(D12*E12)</f>
        <v>13500</v>
      </c>
    </row>
    <row r="13" spans="1:7">
      <c r="D13" s="80"/>
      <c r="E13" s="65"/>
      <c r="F13" s="19"/>
    </row>
    <row r="14" spans="1:7" s="10" customFormat="1">
      <c r="A14" s="122"/>
      <c r="B14" s="95" t="s">
        <v>194</v>
      </c>
      <c r="C14" s="96"/>
      <c r="D14" s="100"/>
      <c r="E14" s="98" t="s">
        <v>159</v>
      </c>
      <c r="F14" s="91">
        <f>SUM(F7:F12)</f>
        <v>38500</v>
      </c>
    </row>
  </sheetData>
  <sheetProtection algorithmName="SHA-512" hashValue="yahtGBZaOstCwmv3JQG5gdBC1gGrnAiQTqSXvefNpijfWq/H1+6msFR/mG0hQm/gjbevqCRoM7jGD4k5y9ahwQ==" saltValue="VajjDFFEPKSO19LPbxXKxw=="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39997558519241921"/>
  </sheetPr>
  <dimension ref="A1:I317"/>
  <sheetViews>
    <sheetView topLeftCell="A135" zoomScale="85" zoomScaleNormal="85" zoomScaleSheetLayoutView="110" workbookViewId="0">
      <selection activeCell="F152" sqref="F152"/>
    </sheetView>
  </sheetViews>
  <sheetFormatPr defaultColWidth="8.6640625" defaultRowHeight="13.2"/>
  <cols>
    <col min="1" max="1" width="6.6640625" style="10" customWidth="1"/>
    <col min="2" max="2" width="57.6640625" style="10" customWidth="1"/>
    <col min="3" max="3" width="10.6640625" style="12" customWidth="1"/>
    <col min="4" max="5" width="10.6640625" style="10" customWidth="1"/>
    <col min="6" max="6" width="12.6640625" style="10" customWidth="1"/>
    <col min="7" max="10" width="8.6640625" style="10"/>
    <col min="11" max="11" width="57.6640625" style="10" customWidth="1"/>
    <col min="12" max="16384" width="8.6640625" style="10"/>
  </cols>
  <sheetData>
    <row r="1" spans="1:8" ht="13.8" thickBot="1">
      <c r="A1" s="867" t="s">
        <v>24</v>
      </c>
      <c r="B1" s="868" t="s">
        <v>25</v>
      </c>
      <c r="C1" s="881"/>
      <c r="D1" s="876"/>
      <c r="E1" s="871"/>
      <c r="F1" s="871"/>
    </row>
    <row r="2" spans="1:8">
      <c r="A2" s="43"/>
      <c r="B2" s="43"/>
      <c r="D2" s="13"/>
      <c r="E2" s="14"/>
      <c r="F2" s="14"/>
    </row>
    <row r="3" spans="1:8" s="20" customFormat="1" ht="14.25" customHeight="1">
      <c r="A3" s="1527" t="s">
        <v>145</v>
      </c>
      <c r="B3" s="1528" t="s">
        <v>146</v>
      </c>
      <c r="C3" s="1529" t="s">
        <v>147</v>
      </c>
      <c r="D3" s="1532" t="s">
        <v>148</v>
      </c>
      <c r="E3" s="1532" t="s">
        <v>149</v>
      </c>
      <c r="F3" s="1532"/>
      <c r="G3" s="1537" t="s">
        <v>2523</v>
      </c>
    </row>
    <row r="4" spans="1:8" s="20" customFormat="1">
      <c r="A4" s="1527"/>
      <c r="B4" s="1528"/>
      <c r="C4" s="1530"/>
      <c r="D4" s="1532"/>
      <c r="E4" s="1532"/>
      <c r="F4" s="1532"/>
      <c r="G4" s="1537"/>
    </row>
    <row r="5" spans="1:8" s="20" customFormat="1">
      <c r="A5" s="1527"/>
      <c r="B5" s="1528"/>
      <c r="C5" s="1531"/>
      <c r="D5" s="1532"/>
      <c r="E5" s="49" t="s">
        <v>150</v>
      </c>
      <c r="F5" s="50" t="s">
        <v>151</v>
      </c>
      <c r="G5" s="1537"/>
    </row>
    <row r="6" spans="1:8" s="20" customFormat="1">
      <c r="A6" s="52"/>
      <c r="B6" s="53"/>
      <c r="C6" s="54"/>
      <c r="D6" s="55"/>
      <c r="E6" s="56"/>
      <c r="F6" s="57"/>
    </row>
    <row r="7" spans="1:8" s="143" customFormat="1" ht="22.8">
      <c r="A7" s="141"/>
      <c r="B7" s="142" t="s">
        <v>52</v>
      </c>
      <c r="C7" s="141"/>
      <c r="D7" s="141"/>
      <c r="E7" s="141"/>
      <c r="F7" s="141"/>
    </row>
    <row r="8" spans="1:8">
      <c r="A8" s="11"/>
      <c r="B8" s="125" t="s">
        <v>198</v>
      </c>
      <c r="C8" s="11"/>
      <c r="D8" s="139"/>
      <c r="E8" s="83"/>
      <c r="F8" s="83"/>
    </row>
    <row r="9" spans="1:8">
      <c r="A9" s="11"/>
      <c r="B9" s="140"/>
      <c r="C9" s="11"/>
      <c r="D9" s="139"/>
      <c r="E9" s="83"/>
      <c r="F9" s="83"/>
    </row>
    <row r="10" spans="1:8">
      <c r="A10" s="11"/>
      <c r="B10" s="1544" t="s">
        <v>51</v>
      </c>
      <c r="C10" s="1544"/>
      <c r="D10" s="1544"/>
      <c r="E10" s="1544"/>
      <c r="F10" s="1544"/>
      <c r="G10" s="130"/>
      <c r="H10" s="131"/>
    </row>
    <row r="11" spans="1:8" ht="26.4">
      <c r="A11" s="11"/>
      <c r="B11" s="132" t="s">
        <v>50</v>
      </c>
      <c r="C11" s="133"/>
      <c r="D11" s="133"/>
      <c r="E11" s="133"/>
      <c r="F11" s="133"/>
      <c r="G11" s="125"/>
      <c r="H11" s="134"/>
    </row>
    <row r="12" spans="1:8" ht="96" customHeight="1">
      <c r="A12" s="11"/>
      <c r="B12" s="132" t="s">
        <v>2554</v>
      </c>
      <c r="C12" s="133"/>
      <c r="D12" s="133"/>
      <c r="E12" s="133"/>
      <c r="F12" s="133"/>
      <c r="G12" s="130"/>
      <c r="H12" s="131"/>
    </row>
    <row r="13" spans="1:8" ht="34.5" customHeight="1">
      <c r="A13" s="11"/>
      <c r="B13" s="1548" t="s">
        <v>49</v>
      </c>
      <c r="C13" s="1549"/>
      <c r="D13" s="1549"/>
      <c r="E13" s="1549"/>
      <c r="F13" s="1549"/>
      <c r="G13" s="20"/>
      <c r="H13" s="134"/>
    </row>
    <row r="14" spans="1:8">
      <c r="A14" s="11"/>
      <c r="B14" s="1544" t="s">
        <v>199</v>
      </c>
      <c r="C14" s="1544"/>
      <c r="D14" s="1544"/>
      <c r="E14" s="1544"/>
      <c r="F14" s="1544"/>
      <c r="G14" s="130"/>
      <c r="H14" s="131"/>
    </row>
    <row r="15" spans="1:8" ht="52.8">
      <c r="A15" s="11"/>
      <c r="B15" s="132" t="s">
        <v>2093</v>
      </c>
      <c r="C15" s="133"/>
      <c r="D15" s="133"/>
      <c r="E15" s="133"/>
      <c r="F15" s="133"/>
      <c r="G15" s="130"/>
      <c r="H15" s="131"/>
    </row>
    <row r="16" spans="1:8" ht="12.75" customHeight="1">
      <c r="A16" s="11"/>
      <c r="B16" s="1545" t="s">
        <v>2094</v>
      </c>
      <c r="C16" s="1546"/>
      <c r="D16" s="1546"/>
      <c r="E16" s="1546"/>
      <c r="F16" s="1546"/>
      <c r="G16" s="130"/>
      <c r="H16" s="131"/>
    </row>
    <row r="17" spans="1:9" ht="26.4">
      <c r="A17" s="11"/>
      <c r="B17" s="294" t="s">
        <v>2095</v>
      </c>
      <c r="C17" s="133"/>
      <c r="D17" s="133"/>
      <c r="E17" s="133"/>
      <c r="F17" s="133"/>
      <c r="G17" s="130"/>
      <c r="H17" s="131"/>
    </row>
    <row r="18" spans="1:9">
      <c r="A18" s="11"/>
      <c r="B18" s="1547" t="s">
        <v>2096</v>
      </c>
      <c r="C18" s="1544"/>
      <c r="D18" s="1544"/>
      <c r="E18" s="1544"/>
      <c r="F18" s="1544"/>
      <c r="G18" s="130"/>
      <c r="H18" s="131"/>
    </row>
    <row r="19" spans="1:9">
      <c r="A19" s="11"/>
      <c r="B19" s="1538" t="s">
        <v>2097</v>
      </c>
      <c r="C19" s="1539"/>
      <c r="D19" s="1539"/>
      <c r="E19" s="1539"/>
      <c r="F19" s="1539"/>
      <c r="G19" s="130"/>
      <c r="H19" s="131"/>
    </row>
    <row r="20" spans="1:9">
      <c r="A20" s="11"/>
      <c r="B20" s="1538" t="s">
        <v>2098</v>
      </c>
      <c r="C20" s="1539"/>
      <c r="D20" s="1539"/>
      <c r="E20" s="1539"/>
      <c r="F20" s="1539"/>
      <c r="G20" s="130"/>
      <c r="H20" s="131"/>
    </row>
    <row r="21" spans="1:9" ht="12.75" customHeight="1">
      <c r="A21" s="11"/>
      <c r="B21" s="1538" t="s">
        <v>2099</v>
      </c>
      <c r="C21" s="1539"/>
      <c r="D21" s="1539"/>
      <c r="E21" s="1539"/>
      <c r="F21" s="1539"/>
      <c r="G21" s="130"/>
      <c r="H21" s="131"/>
    </row>
    <row r="22" spans="1:9" ht="66">
      <c r="A22" s="11"/>
      <c r="B22" s="294" t="s">
        <v>2100</v>
      </c>
      <c r="C22" s="133"/>
      <c r="D22" s="133"/>
      <c r="E22" s="133"/>
      <c r="F22" s="133"/>
      <c r="G22" s="130"/>
      <c r="H22" s="131"/>
    </row>
    <row r="23" spans="1:9" ht="26.4">
      <c r="A23" s="11"/>
      <c r="B23" s="132" t="s">
        <v>2101</v>
      </c>
      <c r="C23" s="133"/>
      <c r="D23" s="133"/>
      <c r="E23" s="133"/>
      <c r="F23" s="133"/>
      <c r="G23" s="130"/>
      <c r="H23" s="131"/>
    </row>
    <row r="24" spans="1:9" ht="184.8">
      <c r="A24" s="11"/>
      <c r="B24" s="132" t="s">
        <v>2537</v>
      </c>
      <c r="C24" s="133"/>
      <c r="D24" s="133"/>
      <c r="E24" s="133"/>
      <c r="F24" s="133"/>
      <c r="G24" s="130"/>
      <c r="H24" s="131"/>
    </row>
    <row r="25" spans="1:9" ht="79.2">
      <c r="A25" s="11"/>
      <c r="B25" s="132" t="s">
        <v>200</v>
      </c>
      <c r="C25" s="133"/>
      <c r="D25" s="133"/>
      <c r="E25" s="133"/>
      <c r="F25" s="133"/>
      <c r="G25" s="130"/>
      <c r="H25" s="131"/>
    </row>
    <row r="26" spans="1:9" ht="92.4">
      <c r="A26" s="11"/>
      <c r="B26" s="136" t="s">
        <v>404</v>
      </c>
      <c r="C26" s="133"/>
      <c r="D26" s="133"/>
      <c r="E26" s="133"/>
      <c r="F26" s="133"/>
      <c r="G26" s="130"/>
      <c r="H26" s="131"/>
    </row>
    <row r="27" spans="1:9">
      <c r="A27" s="11"/>
      <c r="B27" s="135"/>
      <c r="C27" s="133"/>
      <c r="D27" s="133"/>
      <c r="E27" s="133"/>
      <c r="F27" s="133"/>
      <c r="G27" s="130"/>
      <c r="H27" s="131"/>
    </row>
    <row r="28" spans="1:9" s="20" customFormat="1">
      <c r="A28" s="137"/>
      <c r="B28" s="94"/>
      <c r="C28" s="138"/>
      <c r="D28" s="138"/>
      <c r="E28" s="138"/>
      <c r="F28" s="138"/>
      <c r="H28" s="134"/>
    </row>
    <row r="29" spans="1:9" s="20" customFormat="1" ht="15.75" customHeight="1">
      <c r="A29" s="137"/>
      <c r="B29" s="1542" t="s">
        <v>139</v>
      </c>
      <c r="C29" s="1542"/>
      <c r="D29" s="1542"/>
      <c r="E29" s="1542"/>
      <c r="F29" s="1542"/>
      <c r="H29" s="134"/>
    </row>
    <row r="30" spans="1:9" s="20" customFormat="1" ht="237.6">
      <c r="A30" s="137"/>
      <c r="B30" s="126" t="s">
        <v>389</v>
      </c>
      <c r="C30" s="138"/>
      <c r="D30" s="138"/>
      <c r="E30" s="138"/>
      <c r="F30" s="138"/>
      <c r="H30" s="134"/>
      <c r="I30" s="20" t="s">
        <v>140</v>
      </c>
    </row>
    <row r="31" spans="1:9" s="20" customFormat="1">
      <c r="A31" s="137"/>
      <c r="B31" s="126"/>
      <c r="C31" s="138"/>
      <c r="D31" s="138"/>
      <c r="E31" s="138"/>
      <c r="F31" s="138"/>
      <c r="H31" s="134"/>
    </row>
    <row r="32" spans="1:9" s="20" customFormat="1">
      <c r="A32" s="137"/>
      <c r="B32" s="126" t="s">
        <v>201</v>
      </c>
      <c r="C32" s="138"/>
      <c r="D32" s="138"/>
      <c r="E32" s="138"/>
      <c r="F32" s="138"/>
      <c r="H32" s="134"/>
    </row>
    <row r="33" spans="1:8" s="20" customFormat="1" ht="92.4">
      <c r="A33" s="150"/>
      <c r="B33" s="94" t="s">
        <v>2091</v>
      </c>
      <c r="C33" s="138"/>
      <c r="D33" s="138"/>
      <c r="E33" s="138"/>
      <c r="F33" s="138"/>
      <c r="H33" s="134"/>
    </row>
    <row r="34" spans="1:8" s="20" customFormat="1">
      <c r="A34" s="150"/>
      <c r="B34" s="94"/>
      <c r="C34" s="138"/>
      <c r="D34" s="138"/>
      <c r="E34" s="138"/>
      <c r="F34" s="138"/>
      <c r="H34" s="134"/>
    </row>
    <row r="35" spans="1:8" s="20" customFormat="1" ht="15.75" customHeight="1">
      <c r="A35" s="137"/>
      <c r="B35" s="1542" t="s">
        <v>141</v>
      </c>
      <c r="C35" s="1542"/>
      <c r="D35" s="1542"/>
      <c r="E35" s="138"/>
      <c r="F35" s="138"/>
      <c r="H35" s="134"/>
    </row>
    <row r="36" spans="1:8" s="20" customFormat="1" ht="171.6">
      <c r="A36" s="137"/>
      <c r="B36" s="126" t="s">
        <v>2092</v>
      </c>
      <c r="C36" s="138"/>
      <c r="D36" s="138"/>
      <c r="E36" s="138"/>
      <c r="F36" s="138"/>
      <c r="H36" s="134"/>
    </row>
    <row r="37" spans="1:8" s="20" customFormat="1">
      <c r="A37" s="137"/>
      <c r="B37" s="1543"/>
      <c r="C37" s="1543"/>
      <c r="D37" s="82"/>
      <c r="E37" s="82"/>
      <c r="F37" s="82"/>
      <c r="G37" s="125"/>
      <c r="H37" s="134"/>
    </row>
    <row r="38" spans="1:8" s="20" customFormat="1">
      <c r="A38" s="137"/>
      <c r="B38" s="20" t="s">
        <v>142</v>
      </c>
      <c r="C38" s="82"/>
      <c r="D38" s="82"/>
      <c r="E38" s="82"/>
      <c r="F38" s="82"/>
      <c r="G38" s="125"/>
      <c r="H38" s="134"/>
    </row>
    <row r="39" spans="1:8" s="130" customFormat="1" ht="132">
      <c r="A39" s="145"/>
      <c r="B39" s="132" t="s">
        <v>2102</v>
      </c>
      <c r="C39" s="133"/>
      <c r="D39" s="133"/>
      <c r="E39" s="133"/>
      <c r="F39" s="133"/>
      <c r="H39" s="146"/>
    </row>
    <row r="40" spans="1:8" s="130" customFormat="1" ht="66">
      <c r="A40" s="145"/>
      <c r="B40" s="132" t="s">
        <v>116</v>
      </c>
      <c r="C40" s="133"/>
      <c r="D40" s="133"/>
      <c r="E40" s="133"/>
      <c r="F40" s="133"/>
      <c r="H40" s="146"/>
    </row>
    <row r="41" spans="1:8" s="130" customFormat="1" ht="52.8">
      <c r="A41" s="145"/>
      <c r="B41" s="132" t="s">
        <v>143</v>
      </c>
      <c r="C41" s="133"/>
      <c r="D41" s="133"/>
      <c r="E41" s="133"/>
      <c r="F41" s="133"/>
      <c r="H41" s="146"/>
    </row>
    <row r="42" spans="1:8" s="130" customFormat="1" ht="79.2">
      <c r="A42" s="145"/>
      <c r="B42" s="132" t="s">
        <v>144</v>
      </c>
      <c r="C42" s="133"/>
      <c r="D42" s="133"/>
      <c r="E42" s="133"/>
      <c r="F42" s="133"/>
      <c r="H42" s="146"/>
    </row>
    <row r="43" spans="1:8" s="130" customFormat="1">
      <c r="A43" s="145"/>
      <c r="B43" s="132"/>
      <c r="C43" s="133"/>
      <c r="D43" s="133"/>
      <c r="E43" s="133"/>
      <c r="F43" s="133"/>
      <c r="H43" s="146"/>
    </row>
    <row r="44" spans="1:8" s="862" customFormat="1" ht="15.75" customHeight="1">
      <c r="A44" s="859"/>
      <c r="B44" s="1540" t="s">
        <v>2294</v>
      </c>
      <c r="C44" s="1540"/>
      <c r="D44" s="1540"/>
      <c r="E44" s="860"/>
      <c r="F44" s="861"/>
      <c r="H44" s="863"/>
    </row>
    <row r="45" spans="1:8" s="862" customFormat="1" ht="174.75" customHeight="1">
      <c r="A45" s="859"/>
      <c r="B45" s="864" t="s">
        <v>2538</v>
      </c>
      <c r="C45" s="864"/>
      <c r="D45" s="865"/>
      <c r="E45" s="866"/>
      <c r="F45" s="864"/>
      <c r="H45" s="863"/>
    </row>
    <row r="46" spans="1:8" s="862" customFormat="1" ht="15.75" customHeight="1">
      <c r="A46" s="859"/>
      <c r="B46" s="1541"/>
      <c r="C46" s="1541"/>
      <c r="D46" s="1541"/>
      <c r="E46" s="1541"/>
      <c r="F46" s="1541"/>
      <c r="H46" s="863"/>
    </row>
    <row r="47" spans="1:8" s="20" customFormat="1">
      <c r="A47" s="202"/>
      <c r="B47" s="203" t="s">
        <v>197</v>
      </c>
      <c r="C47" s="204"/>
      <c r="D47" s="205"/>
      <c r="E47" s="206"/>
      <c r="F47" s="207"/>
    </row>
    <row r="48" spans="1:8" s="20" customFormat="1">
      <c r="A48" s="52"/>
      <c r="B48" s="129"/>
      <c r="C48" s="54"/>
      <c r="D48" s="55"/>
      <c r="E48" s="56"/>
      <c r="F48" s="57"/>
    </row>
    <row r="49" spans="1:6" s="20" customFormat="1" ht="52.8">
      <c r="A49" s="43">
        <v>1</v>
      </c>
      <c r="B49" s="129" t="s">
        <v>409</v>
      </c>
      <c r="C49" s="54"/>
      <c r="D49" s="55"/>
      <c r="E49" s="56"/>
      <c r="F49" s="57"/>
    </row>
    <row r="50" spans="1:6">
      <c r="A50" s="22"/>
      <c r="B50" s="127" t="s">
        <v>273</v>
      </c>
      <c r="D50" s="38"/>
      <c r="E50" s="39"/>
      <c r="F50" s="39"/>
    </row>
    <row r="51" spans="1:6" s="20" customFormat="1">
      <c r="A51" s="43"/>
      <c r="B51" s="129"/>
      <c r="C51" s="54"/>
      <c r="D51" s="55"/>
      <c r="E51" s="56"/>
      <c r="F51" s="57"/>
    </row>
    <row r="52" spans="1:6" ht="198">
      <c r="A52" s="43">
        <v>2</v>
      </c>
      <c r="B52" s="37" t="s">
        <v>406</v>
      </c>
      <c r="D52" s="13"/>
      <c r="E52" s="14"/>
      <c r="F52" s="14"/>
    </row>
    <row r="53" spans="1:6">
      <c r="A53" s="22"/>
      <c r="B53" s="127" t="s">
        <v>274</v>
      </c>
      <c r="C53" s="60" t="s">
        <v>9</v>
      </c>
      <c r="D53" s="61">
        <v>2</v>
      </c>
      <c r="E53" s="1316">
        <f>'[1]B_III_STOLARSKI RADOVI'!E53</f>
        <v>600</v>
      </c>
      <c r="F53" s="62">
        <f>SUM(D53*E53)</f>
        <v>1200</v>
      </c>
    </row>
    <row r="54" spans="1:6" ht="39.6">
      <c r="A54" s="22"/>
      <c r="B54" s="127" t="s">
        <v>407</v>
      </c>
      <c r="C54" s="60" t="s">
        <v>9</v>
      </c>
      <c r="D54" s="61">
        <v>2</v>
      </c>
      <c r="E54" s="1316">
        <f>'[1]B_III_STOLARSKI RADOVI'!E54</f>
        <v>1800</v>
      </c>
      <c r="F54" s="62">
        <f>SUM(D54*E54)</f>
        <v>3600</v>
      </c>
    </row>
    <row r="55" spans="1:6">
      <c r="A55" s="43"/>
      <c r="B55" s="43"/>
      <c r="D55" s="13"/>
      <c r="E55" s="14"/>
      <c r="F55" s="14"/>
    </row>
    <row r="56" spans="1:6" ht="198">
      <c r="A56" s="43">
        <v>3</v>
      </c>
      <c r="B56" s="37" t="s">
        <v>278</v>
      </c>
      <c r="D56" s="13"/>
      <c r="E56" s="14"/>
      <c r="F56" s="14"/>
    </row>
    <row r="57" spans="1:6">
      <c r="A57" s="22"/>
      <c r="B57" s="127" t="s">
        <v>279</v>
      </c>
      <c r="C57" s="12" t="s">
        <v>9</v>
      </c>
      <c r="D57" s="38">
        <v>1</v>
      </c>
      <c r="E57" s="156">
        <f>'[1]B_III_STOLARSKI RADOVI'!E57</f>
        <v>400</v>
      </c>
      <c r="F57" s="39">
        <f>SUM(D57*E57)</f>
        <v>400</v>
      </c>
    </row>
    <row r="58" spans="1:6">
      <c r="A58" s="43"/>
      <c r="B58" s="43"/>
      <c r="D58" s="13"/>
      <c r="E58" s="14"/>
      <c r="F58" s="14"/>
    </row>
    <row r="59" spans="1:6" ht="198">
      <c r="A59" s="43">
        <v>4</v>
      </c>
      <c r="B59" s="37" t="s">
        <v>277</v>
      </c>
      <c r="D59" s="13"/>
      <c r="E59" s="14"/>
      <c r="F59" s="14"/>
    </row>
    <row r="60" spans="1:6">
      <c r="A60" s="22"/>
      <c r="B60" s="127" t="s">
        <v>280</v>
      </c>
      <c r="C60" s="12" t="s">
        <v>9</v>
      </c>
      <c r="D60" s="38">
        <v>4</v>
      </c>
      <c r="E60" s="156">
        <f>'[1]B_III_STOLARSKI RADOVI'!E60</f>
        <v>600</v>
      </c>
      <c r="F60" s="39">
        <f>SUM(D60*E60)</f>
        <v>2400</v>
      </c>
    </row>
    <row r="61" spans="1:6">
      <c r="A61" s="43"/>
      <c r="B61" s="43"/>
      <c r="D61" s="13"/>
      <c r="E61" s="14"/>
      <c r="F61" s="14"/>
    </row>
    <row r="62" spans="1:6" ht="198">
      <c r="A62" s="43">
        <v>5</v>
      </c>
      <c r="B62" s="37" t="s">
        <v>276</v>
      </c>
      <c r="D62" s="13"/>
      <c r="E62" s="14"/>
      <c r="F62" s="14"/>
    </row>
    <row r="63" spans="1:6">
      <c r="A63" s="22"/>
      <c r="B63" s="127" t="s">
        <v>281</v>
      </c>
      <c r="C63" s="12" t="s">
        <v>9</v>
      </c>
      <c r="D63" s="38">
        <v>1</v>
      </c>
      <c r="E63" s="156">
        <f>'[1]B_III_STOLARSKI RADOVI'!E63</f>
        <v>1100</v>
      </c>
      <c r="F63" s="39">
        <f>SUM(D63*E63)</f>
        <v>1100</v>
      </c>
    </row>
    <row r="64" spans="1:6">
      <c r="A64" s="43"/>
      <c r="B64" s="43"/>
      <c r="D64" s="13"/>
      <c r="E64" s="14"/>
      <c r="F64" s="14"/>
    </row>
    <row r="65" spans="1:6" ht="184.8">
      <c r="A65" s="43">
        <v>6</v>
      </c>
      <c r="B65" s="37" t="s">
        <v>2302</v>
      </c>
      <c r="D65" s="13"/>
      <c r="E65" s="14"/>
      <c r="F65" s="14"/>
    </row>
    <row r="66" spans="1:6">
      <c r="A66" s="22"/>
      <c r="B66" s="127" t="s">
        <v>311</v>
      </c>
      <c r="C66" s="12" t="s">
        <v>9</v>
      </c>
      <c r="D66" s="38">
        <v>3</v>
      </c>
      <c r="E66" s="156">
        <f>'[1]B_III_STOLARSKI RADOVI'!E66</f>
        <v>550</v>
      </c>
      <c r="F66" s="39">
        <f>SUM(D66*E66)</f>
        <v>1650</v>
      </c>
    </row>
    <row r="67" spans="1:6">
      <c r="A67" s="43"/>
      <c r="B67" s="127" t="s">
        <v>282</v>
      </c>
      <c r="C67" s="12" t="s">
        <v>9</v>
      </c>
      <c r="D67" s="38">
        <v>3</v>
      </c>
      <c r="E67" s="156">
        <f>'[1]B_III_STOLARSKI RADOVI'!E67</f>
        <v>550</v>
      </c>
      <c r="F67" s="39">
        <f>SUM(D67*E67)</f>
        <v>1650</v>
      </c>
    </row>
    <row r="68" spans="1:6">
      <c r="A68" s="43"/>
      <c r="B68" s="43"/>
      <c r="D68" s="13"/>
      <c r="E68" s="14"/>
      <c r="F68" s="14"/>
    </row>
    <row r="69" spans="1:6" ht="264">
      <c r="A69" s="43">
        <v>7</v>
      </c>
      <c r="B69" s="37" t="s">
        <v>314</v>
      </c>
      <c r="D69" s="13"/>
      <c r="E69" s="14"/>
      <c r="F69" s="14"/>
    </row>
    <row r="70" spans="1:6">
      <c r="A70" s="22"/>
      <c r="B70" s="127" t="s">
        <v>283</v>
      </c>
      <c r="C70" s="12" t="s">
        <v>9</v>
      </c>
      <c r="D70" s="38">
        <v>1</v>
      </c>
      <c r="E70" s="156">
        <f>'[1]B_III_STOLARSKI RADOVI'!E70</f>
        <v>3300</v>
      </c>
      <c r="F70" s="39">
        <f>SUM(D70*E70)</f>
        <v>3300</v>
      </c>
    </row>
    <row r="71" spans="1:6">
      <c r="A71" s="22"/>
      <c r="B71" s="127"/>
      <c r="D71" s="38"/>
      <c r="E71" s="201"/>
      <c r="F71" s="201"/>
    </row>
    <row r="72" spans="1:6" ht="184.8">
      <c r="A72" s="43">
        <v>8</v>
      </c>
      <c r="B72" s="37" t="s">
        <v>284</v>
      </c>
      <c r="D72" s="13"/>
      <c r="E72" s="14"/>
      <c r="F72" s="14"/>
    </row>
    <row r="73" spans="1:6">
      <c r="A73" s="22"/>
      <c r="B73" s="127" t="s">
        <v>48</v>
      </c>
      <c r="C73" s="12" t="s">
        <v>9</v>
      </c>
      <c r="D73" s="38">
        <v>2</v>
      </c>
      <c r="E73" s="156">
        <f>'[1]B_III_STOLARSKI RADOVI'!E73</f>
        <v>650</v>
      </c>
      <c r="F73" s="39">
        <f>SUM(D73*E73)</f>
        <v>1300</v>
      </c>
    </row>
    <row r="74" spans="1:6">
      <c r="A74" s="43"/>
      <c r="B74" s="127"/>
      <c r="D74" s="38"/>
      <c r="E74" s="201"/>
      <c r="F74" s="201"/>
    </row>
    <row r="75" spans="1:6" ht="184.8">
      <c r="A75" s="43">
        <v>9</v>
      </c>
      <c r="B75" s="37" t="s">
        <v>285</v>
      </c>
      <c r="D75" s="13"/>
      <c r="E75" s="14"/>
      <c r="F75" s="14"/>
    </row>
    <row r="76" spans="1:6">
      <c r="A76" s="22"/>
      <c r="B76" s="127" t="s">
        <v>275</v>
      </c>
      <c r="C76" s="12" t="s">
        <v>9</v>
      </c>
      <c r="D76" s="38">
        <v>2</v>
      </c>
      <c r="E76" s="156">
        <f>'[1]B_III_STOLARSKI RADOVI'!E76</f>
        <v>900</v>
      </c>
      <c r="F76" s="39">
        <f>SUM(D76*E76)</f>
        <v>1800</v>
      </c>
    </row>
    <row r="77" spans="1:6">
      <c r="A77" s="43"/>
      <c r="B77" s="127"/>
      <c r="D77" s="38"/>
      <c r="E77" s="201"/>
      <c r="F77" s="201"/>
    </row>
    <row r="78" spans="1:6" ht="171.6">
      <c r="A78" s="43">
        <v>10</v>
      </c>
      <c r="B78" s="37" t="s">
        <v>322</v>
      </c>
      <c r="D78" s="13"/>
      <c r="E78" s="14"/>
      <c r="F78" s="14"/>
    </row>
    <row r="79" spans="1:6">
      <c r="A79" s="22"/>
      <c r="B79" s="127" t="s">
        <v>47</v>
      </c>
      <c r="C79" s="12" t="s">
        <v>9</v>
      </c>
      <c r="D79" s="38">
        <v>1</v>
      </c>
      <c r="E79" s="156">
        <f>'[1]B_III_STOLARSKI RADOVI'!E79</f>
        <v>6000</v>
      </c>
      <c r="F79" s="39">
        <f>SUM(D79*E79)</f>
        <v>6000</v>
      </c>
    </row>
    <row r="80" spans="1:6">
      <c r="A80" s="43"/>
      <c r="B80" s="127"/>
      <c r="D80" s="38"/>
      <c r="E80" s="201"/>
      <c r="F80" s="201"/>
    </row>
    <row r="81" spans="1:6" ht="184.8">
      <c r="A81" s="43">
        <v>11</v>
      </c>
      <c r="B81" s="37" t="s">
        <v>286</v>
      </c>
      <c r="D81" s="13"/>
      <c r="E81" s="14"/>
      <c r="F81" s="14"/>
    </row>
    <row r="82" spans="1:6">
      <c r="A82" s="22"/>
      <c r="B82" s="127" t="s">
        <v>130</v>
      </c>
      <c r="C82" s="12" t="s">
        <v>9</v>
      </c>
      <c r="D82" s="38">
        <v>2</v>
      </c>
      <c r="E82" s="156">
        <f>'[1]B_III_STOLARSKI RADOVI'!E82</f>
        <v>600</v>
      </c>
      <c r="F82" s="39">
        <f>SUM(D82*E82)</f>
        <v>1200</v>
      </c>
    </row>
    <row r="83" spans="1:6">
      <c r="A83" s="43"/>
      <c r="B83" s="127"/>
      <c r="D83" s="38"/>
      <c r="E83" s="201"/>
      <c r="F83" s="201"/>
    </row>
    <row r="84" spans="1:6" ht="184.8">
      <c r="A84" s="43">
        <v>12</v>
      </c>
      <c r="B84" s="37" t="s">
        <v>2303</v>
      </c>
      <c r="D84" s="13"/>
      <c r="E84" s="14"/>
      <c r="F84" s="14"/>
    </row>
    <row r="85" spans="1:6">
      <c r="A85" s="22"/>
      <c r="B85" s="127" t="s">
        <v>287</v>
      </c>
      <c r="C85" s="12" t="s">
        <v>9</v>
      </c>
      <c r="D85" s="38">
        <v>1</v>
      </c>
      <c r="E85" s="156">
        <f>'[1]B_III_STOLARSKI RADOVI'!E85</f>
        <v>600</v>
      </c>
      <c r="F85" s="39">
        <f>SUM(D85*E85)</f>
        <v>600</v>
      </c>
    </row>
    <row r="86" spans="1:6">
      <c r="A86" s="43"/>
      <c r="B86" s="127" t="s">
        <v>288</v>
      </c>
      <c r="C86" s="12" t="s">
        <v>9</v>
      </c>
      <c r="D86" s="38">
        <v>1</v>
      </c>
      <c r="E86" s="156">
        <f>'[1]B_III_STOLARSKI RADOVI'!E86</f>
        <v>600</v>
      </c>
      <c r="F86" s="39">
        <f>SUM(D86*E86)</f>
        <v>600</v>
      </c>
    </row>
    <row r="87" spans="1:6">
      <c r="A87" s="43"/>
      <c r="B87" s="43"/>
      <c r="D87" s="13"/>
      <c r="E87" s="14"/>
      <c r="F87" s="14"/>
    </row>
    <row r="88" spans="1:6" ht="184.8">
      <c r="A88" s="43">
        <v>13</v>
      </c>
      <c r="B88" s="37" t="s">
        <v>289</v>
      </c>
      <c r="D88" s="13"/>
      <c r="E88" s="14"/>
      <c r="F88" s="14"/>
    </row>
    <row r="89" spans="1:6">
      <c r="A89" s="22"/>
      <c r="B89" s="127" t="s">
        <v>131</v>
      </c>
      <c r="C89" s="12" t="s">
        <v>9</v>
      </c>
      <c r="D89" s="38">
        <v>1</v>
      </c>
      <c r="E89" s="156">
        <f>'[1]B_III_STOLARSKI RADOVI'!E89</f>
        <v>800</v>
      </c>
      <c r="F89" s="39">
        <f>SUM(D89*E89)</f>
        <v>800</v>
      </c>
    </row>
    <row r="90" spans="1:6">
      <c r="A90" s="43"/>
      <c r="B90" s="127"/>
      <c r="D90" s="38"/>
      <c r="E90" s="201"/>
      <c r="F90" s="201"/>
    </row>
    <row r="91" spans="1:6" ht="171.6">
      <c r="A91" s="43">
        <v>14</v>
      </c>
      <c r="B91" s="37" t="s">
        <v>290</v>
      </c>
      <c r="D91" s="13"/>
      <c r="E91" s="14"/>
      <c r="F91" s="14"/>
    </row>
    <row r="92" spans="1:6">
      <c r="A92" s="22"/>
      <c r="B92" s="127" t="s">
        <v>134</v>
      </c>
      <c r="C92" s="12" t="s">
        <v>9</v>
      </c>
      <c r="D92" s="38">
        <v>4</v>
      </c>
      <c r="E92" s="156">
        <f>'[1]B_III_STOLARSKI RADOVI'!E92</f>
        <v>750</v>
      </c>
      <c r="F92" s="39">
        <f>SUM(D92*E92)</f>
        <v>3000</v>
      </c>
    </row>
    <row r="93" spans="1:6">
      <c r="A93" s="43"/>
      <c r="B93" s="127"/>
      <c r="D93" s="38"/>
      <c r="E93" s="201"/>
      <c r="F93" s="201"/>
    </row>
    <row r="94" spans="1:6" ht="211.2">
      <c r="A94" s="43">
        <v>15</v>
      </c>
      <c r="B94" s="37" t="s">
        <v>405</v>
      </c>
      <c r="D94" s="13"/>
      <c r="E94" s="14"/>
      <c r="F94" s="14"/>
    </row>
    <row r="95" spans="1:6">
      <c r="A95" s="22"/>
      <c r="B95" s="127" t="s">
        <v>291</v>
      </c>
      <c r="C95" s="12" t="s">
        <v>9</v>
      </c>
      <c r="D95" s="38">
        <v>1</v>
      </c>
      <c r="E95" s="156">
        <f>'[1]B_III_STOLARSKI RADOVI'!E95</f>
        <v>1800</v>
      </c>
      <c r="F95" s="39">
        <f>SUM(D95*E95)</f>
        <v>1800</v>
      </c>
    </row>
    <row r="96" spans="1:6">
      <c r="A96" s="43"/>
      <c r="B96" s="127"/>
      <c r="D96" s="38"/>
      <c r="E96" s="201"/>
      <c r="F96" s="201"/>
    </row>
    <row r="97" spans="1:6" ht="237.6">
      <c r="A97" s="43">
        <v>16</v>
      </c>
      <c r="B97" s="37" t="s">
        <v>313</v>
      </c>
      <c r="D97" s="13"/>
      <c r="E97" s="14"/>
      <c r="F97" s="14"/>
    </row>
    <row r="98" spans="1:6">
      <c r="A98" s="22"/>
      <c r="B98" s="127" t="s">
        <v>312</v>
      </c>
      <c r="C98" s="12" t="s">
        <v>9</v>
      </c>
      <c r="D98" s="38">
        <v>1</v>
      </c>
      <c r="E98" s="156">
        <f>'[1]B_III_STOLARSKI RADOVI'!E98</f>
        <v>1350</v>
      </c>
      <c r="F98" s="39">
        <f>SUM(D98*E98)</f>
        <v>1350</v>
      </c>
    </row>
    <row r="99" spans="1:6">
      <c r="A99" s="22"/>
      <c r="B99" s="127"/>
      <c r="D99" s="38"/>
      <c r="E99" s="201"/>
      <c r="F99" s="201"/>
    </row>
    <row r="100" spans="1:6" ht="237.6">
      <c r="A100" s="43">
        <v>17</v>
      </c>
      <c r="B100" s="37" t="s">
        <v>315</v>
      </c>
      <c r="D100" s="13"/>
      <c r="E100" s="14"/>
      <c r="F100" s="14"/>
    </row>
    <row r="101" spans="1:6">
      <c r="A101" s="22"/>
      <c r="B101" s="127" t="s">
        <v>316</v>
      </c>
      <c r="C101" s="12" t="s">
        <v>9</v>
      </c>
      <c r="D101" s="38">
        <v>1</v>
      </c>
      <c r="E101" s="156">
        <f>'[1]B_III_STOLARSKI RADOVI'!E101</f>
        <v>1800</v>
      </c>
      <c r="F101" s="39">
        <f>SUM(D101*E101)</f>
        <v>1800</v>
      </c>
    </row>
    <row r="102" spans="1:6">
      <c r="A102" s="22"/>
      <c r="B102" s="127"/>
      <c r="D102" s="38"/>
      <c r="E102" s="201"/>
      <c r="F102" s="201"/>
    </row>
    <row r="103" spans="1:6" s="20" customFormat="1">
      <c r="A103" s="202"/>
      <c r="B103" s="203" t="s">
        <v>196</v>
      </c>
      <c r="C103" s="204"/>
      <c r="D103" s="205"/>
      <c r="E103" s="206"/>
      <c r="F103" s="207"/>
    </row>
    <row r="104" spans="1:6" s="20" customFormat="1">
      <c r="A104" s="52"/>
      <c r="B104" s="129"/>
      <c r="C104" s="54"/>
      <c r="D104" s="55"/>
      <c r="E104" s="56"/>
      <c r="F104" s="57"/>
    </row>
    <row r="105" spans="1:6" ht="198">
      <c r="A105" s="43">
        <v>18</v>
      </c>
      <c r="B105" s="37" t="s">
        <v>2539</v>
      </c>
      <c r="D105" s="13"/>
      <c r="E105" s="14"/>
      <c r="F105" s="14"/>
    </row>
    <row r="106" spans="1:6">
      <c r="A106" s="22" t="s">
        <v>12</v>
      </c>
      <c r="B106" s="127" t="s">
        <v>261</v>
      </c>
      <c r="C106" s="12" t="s">
        <v>9</v>
      </c>
      <c r="D106" s="38">
        <v>4</v>
      </c>
      <c r="E106" s="156">
        <f>'[1]B_III_STOLARSKI RADOVI'!E106</f>
        <v>1500</v>
      </c>
      <c r="F106" s="39">
        <f>SUM(D106*E106)</f>
        <v>6000</v>
      </c>
    </row>
    <row r="107" spans="1:6">
      <c r="A107" s="22" t="s">
        <v>13</v>
      </c>
      <c r="B107" s="127" t="s">
        <v>262</v>
      </c>
      <c r="C107" s="12" t="s">
        <v>9</v>
      </c>
      <c r="D107" s="38">
        <v>5</v>
      </c>
      <c r="E107" s="156">
        <f>'[1]B_III_STOLARSKI RADOVI'!E107</f>
        <v>1500</v>
      </c>
      <c r="F107" s="39">
        <f>SUM(D107*E107)</f>
        <v>7500</v>
      </c>
    </row>
    <row r="108" spans="1:6">
      <c r="A108" s="43"/>
      <c r="B108" s="43"/>
      <c r="D108" s="13"/>
      <c r="E108" s="14"/>
      <c r="F108" s="14"/>
    </row>
    <row r="109" spans="1:6" ht="145.19999999999999">
      <c r="A109" s="43">
        <v>19</v>
      </c>
      <c r="B109" s="37" t="s">
        <v>2295</v>
      </c>
      <c r="D109" s="13"/>
      <c r="E109" s="14"/>
      <c r="F109" s="14"/>
    </row>
    <row r="110" spans="1:6">
      <c r="A110" s="22" t="s">
        <v>12</v>
      </c>
      <c r="B110" s="127" t="s">
        <v>263</v>
      </c>
      <c r="C110" s="12" t="s">
        <v>9</v>
      </c>
      <c r="D110" s="38">
        <v>1</v>
      </c>
      <c r="E110" s="156">
        <f>'[1]B_III_STOLARSKI RADOVI'!E110</f>
        <v>510</v>
      </c>
      <c r="F110" s="39">
        <f>SUM(D110*E110)</f>
        <v>510</v>
      </c>
    </row>
    <row r="111" spans="1:6">
      <c r="A111" s="22" t="s">
        <v>13</v>
      </c>
      <c r="B111" s="127" t="s">
        <v>264</v>
      </c>
      <c r="C111" s="12" t="s">
        <v>9</v>
      </c>
      <c r="D111" s="38">
        <v>1</v>
      </c>
      <c r="E111" s="156">
        <f>'[1]B_III_STOLARSKI RADOVI'!E111</f>
        <v>510</v>
      </c>
      <c r="F111" s="39">
        <f>SUM(D111*E111)</f>
        <v>510</v>
      </c>
    </row>
    <row r="112" spans="1:6">
      <c r="A112" s="43"/>
      <c r="B112" s="43"/>
      <c r="D112" s="13"/>
      <c r="E112" s="14"/>
      <c r="F112" s="14"/>
    </row>
    <row r="113" spans="1:6" ht="198">
      <c r="A113" s="43">
        <v>20</v>
      </c>
      <c r="B113" s="37" t="s">
        <v>2296</v>
      </c>
      <c r="D113" s="13"/>
      <c r="E113" s="14"/>
      <c r="F113" s="14"/>
    </row>
    <row r="114" spans="1:6">
      <c r="A114" s="22"/>
      <c r="B114" s="127" t="s">
        <v>265</v>
      </c>
      <c r="C114" s="12" t="s">
        <v>9</v>
      </c>
      <c r="D114" s="38">
        <v>2</v>
      </c>
      <c r="E114" s="156">
        <f>'[1]B_III_STOLARSKI RADOVI'!E114</f>
        <v>495</v>
      </c>
      <c r="F114" s="39">
        <f>SUM(D114*E114)</f>
        <v>990</v>
      </c>
    </row>
    <row r="115" spans="1:6">
      <c r="A115" s="22"/>
      <c r="B115" s="127" t="s">
        <v>267</v>
      </c>
      <c r="C115" s="12" t="s">
        <v>9</v>
      </c>
      <c r="D115" s="38">
        <v>2</v>
      </c>
      <c r="E115" s="156">
        <f>'[1]B_III_STOLARSKI RADOVI'!E115</f>
        <v>495</v>
      </c>
      <c r="F115" s="39">
        <f>SUM(D115*E115)</f>
        <v>990</v>
      </c>
    </row>
    <row r="116" spans="1:6">
      <c r="A116" s="22"/>
      <c r="B116" s="127" t="s">
        <v>265</v>
      </c>
      <c r="C116" s="12" t="s">
        <v>9</v>
      </c>
      <c r="D116" s="38">
        <v>1</v>
      </c>
      <c r="E116" s="156">
        <f>'[1]B_III_STOLARSKI RADOVI'!E116</f>
        <v>495</v>
      </c>
      <c r="F116" s="39">
        <f>SUM(D116*E116)</f>
        <v>495</v>
      </c>
    </row>
    <row r="117" spans="1:6">
      <c r="A117" s="22"/>
      <c r="B117" s="127" t="s">
        <v>267</v>
      </c>
      <c r="C117" s="12" t="s">
        <v>9</v>
      </c>
      <c r="D117" s="38">
        <v>1</v>
      </c>
      <c r="E117" s="156">
        <f>'[1]B_III_STOLARSKI RADOVI'!E117</f>
        <v>495</v>
      </c>
      <c r="F117" s="39">
        <f>SUM(D117*E117)</f>
        <v>495</v>
      </c>
    </row>
    <row r="118" spans="1:6">
      <c r="A118" s="22"/>
      <c r="B118" s="127"/>
      <c r="D118" s="38"/>
      <c r="E118" s="39"/>
      <c r="F118" s="39"/>
    </row>
    <row r="119" spans="1:6" ht="158.4">
      <c r="A119" s="43">
        <v>21</v>
      </c>
      <c r="B119" s="37" t="s">
        <v>2297</v>
      </c>
      <c r="D119" s="13"/>
      <c r="E119" s="14"/>
      <c r="F119" s="14"/>
    </row>
    <row r="120" spans="1:6">
      <c r="A120" s="22"/>
      <c r="B120" s="127" t="s">
        <v>266</v>
      </c>
      <c r="C120" s="12" t="s">
        <v>9</v>
      </c>
      <c r="D120" s="38">
        <v>2</v>
      </c>
      <c r="E120" s="156">
        <f>'[1]B_III_STOLARSKI RADOVI'!E120</f>
        <v>490</v>
      </c>
      <c r="F120" s="39">
        <f>SUM(D120*E120)</f>
        <v>980</v>
      </c>
    </row>
    <row r="121" spans="1:6">
      <c r="A121" s="22"/>
      <c r="B121" s="127" t="s">
        <v>268</v>
      </c>
      <c r="C121" s="12" t="s">
        <v>9</v>
      </c>
      <c r="D121" s="38">
        <v>2</v>
      </c>
      <c r="E121" s="156">
        <f>'[1]B_III_STOLARSKI RADOVI'!E121</f>
        <v>490</v>
      </c>
      <c r="F121" s="39">
        <f>SUM(D121*E121)</f>
        <v>980</v>
      </c>
    </row>
    <row r="122" spans="1:6">
      <c r="A122" s="22"/>
      <c r="B122" s="127"/>
      <c r="D122" s="38"/>
      <c r="E122" s="39"/>
      <c r="F122" s="39"/>
    </row>
    <row r="123" spans="1:6" ht="224.4">
      <c r="A123" s="43">
        <v>22</v>
      </c>
      <c r="B123" s="37" t="s">
        <v>2300</v>
      </c>
      <c r="D123" s="13"/>
      <c r="E123" s="14"/>
      <c r="F123" s="14"/>
    </row>
    <row r="124" spans="1:6">
      <c r="A124" s="22"/>
      <c r="B124" s="127" t="s">
        <v>317</v>
      </c>
      <c r="C124" s="12" t="s">
        <v>9</v>
      </c>
      <c r="D124" s="38">
        <v>1</v>
      </c>
      <c r="E124" s="1322">
        <f>'[1]B_III_STOLARSKI RADOVI'!E124</f>
        <v>5900</v>
      </c>
      <c r="F124" s="201">
        <f>SUM(D124*E124)</f>
        <v>5900</v>
      </c>
    </row>
    <row r="125" spans="1:6">
      <c r="A125" s="22"/>
      <c r="B125" s="127"/>
      <c r="D125" s="38"/>
      <c r="E125" s="201"/>
      <c r="F125" s="201"/>
    </row>
    <row r="126" spans="1:6" ht="280.5" customHeight="1">
      <c r="A126" s="43">
        <v>23</v>
      </c>
      <c r="B126" s="37" t="s">
        <v>2299</v>
      </c>
      <c r="D126" s="13"/>
      <c r="E126" s="14"/>
      <c r="F126" s="14"/>
    </row>
    <row r="127" spans="1:6">
      <c r="A127" s="22"/>
      <c r="B127" s="127" t="s">
        <v>318</v>
      </c>
      <c r="C127" s="12" t="s">
        <v>9</v>
      </c>
      <c r="D127" s="38">
        <v>1</v>
      </c>
      <c r="E127" s="1322">
        <f>'[1]B_III_STOLARSKI RADOVI'!E127</f>
        <v>6450</v>
      </c>
      <c r="F127" s="201">
        <f>SUM(D127*E127)</f>
        <v>6450</v>
      </c>
    </row>
    <row r="128" spans="1:6">
      <c r="A128" s="22"/>
      <c r="B128" s="127"/>
      <c r="D128" s="38"/>
      <c r="E128" s="201"/>
      <c r="F128" s="201"/>
    </row>
    <row r="129" spans="1:6" ht="264">
      <c r="A129" s="43">
        <v>24</v>
      </c>
      <c r="B129" s="37" t="s">
        <v>2301</v>
      </c>
      <c r="D129" s="13"/>
      <c r="E129" s="14"/>
      <c r="F129" s="14"/>
    </row>
    <row r="130" spans="1:6">
      <c r="A130" s="22"/>
      <c r="B130" s="127" t="s">
        <v>319</v>
      </c>
      <c r="C130" s="12" t="s">
        <v>9</v>
      </c>
      <c r="D130" s="38">
        <v>1</v>
      </c>
      <c r="E130" s="1322">
        <f>'[1]B_III_STOLARSKI RADOVI'!E130</f>
        <v>2390</v>
      </c>
      <c r="F130" s="201">
        <f>SUM(D130*E130)</f>
        <v>2390</v>
      </c>
    </row>
    <row r="131" spans="1:6">
      <c r="A131" s="22"/>
      <c r="B131" s="127"/>
      <c r="D131" s="38"/>
      <c r="E131" s="201"/>
      <c r="F131" s="201"/>
    </row>
    <row r="132" spans="1:6" ht="211.2">
      <c r="A132" s="43">
        <v>25</v>
      </c>
      <c r="B132" s="37" t="s">
        <v>2540</v>
      </c>
      <c r="D132" s="13"/>
      <c r="E132" s="14"/>
      <c r="F132" s="14"/>
    </row>
    <row r="133" spans="1:6">
      <c r="A133" s="22"/>
      <c r="B133" s="127" t="s">
        <v>320</v>
      </c>
      <c r="C133" s="12" t="s">
        <v>9</v>
      </c>
      <c r="D133" s="38">
        <v>1</v>
      </c>
      <c r="E133" s="156">
        <f>'[1]B_III_STOLARSKI RADOVI'!E133</f>
        <v>1520</v>
      </c>
      <c r="F133" s="39">
        <f>SUM(D133*E133)</f>
        <v>1520</v>
      </c>
    </row>
    <row r="134" spans="1:6">
      <c r="A134" s="22"/>
      <c r="B134" s="127"/>
      <c r="D134" s="38"/>
      <c r="E134" s="201"/>
      <c r="F134" s="201"/>
    </row>
    <row r="135" spans="1:6" ht="224.4">
      <c r="A135" s="43">
        <v>26</v>
      </c>
      <c r="B135" s="37" t="s">
        <v>2298</v>
      </c>
      <c r="D135" s="13"/>
      <c r="E135" s="14"/>
      <c r="F135" s="14"/>
    </row>
    <row r="136" spans="1:6">
      <c r="A136" s="22"/>
      <c r="B136" s="127" t="s">
        <v>2293</v>
      </c>
      <c r="C136" s="12" t="s">
        <v>9</v>
      </c>
      <c r="D136" s="38">
        <v>1</v>
      </c>
      <c r="E136" s="156">
        <f>'[1]B_III_STOLARSKI RADOVI'!E136</f>
        <v>1560</v>
      </c>
      <c r="F136" s="39">
        <f>SUM(D136*E136)</f>
        <v>1560</v>
      </c>
    </row>
    <row r="137" spans="1:6">
      <c r="A137" s="22"/>
      <c r="B137" s="127"/>
      <c r="D137" s="38"/>
      <c r="E137" s="201"/>
      <c r="F137" s="201"/>
    </row>
    <row r="138" spans="1:6" ht="52.8">
      <c r="A138" s="43">
        <v>27</v>
      </c>
      <c r="B138" s="37" t="s">
        <v>269</v>
      </c>
      <c r="D138" s="13"/>
      <c r="E138" s="14"/>
      <c r="F138" s="14"/>
    </row>
    <row r="139" spans="1:6">
      <c r="A139" s="22"/>
      <c r="B139" s="127"/>
      <c r="C139" s="12" t="s">
        <v>97</v>
      </c>
      <c r="D139" s="38">
        <v>33</v>
      </c>
      <c r="E139" s="156">
        <f>'[1]B_III_STOLARSKI RADOVI'!E139</f>
        <v>50</v>
      </c>
      <c r="F139" s="39">
        <f>SUM(D139*E139)</f>
        <v>1650</v>
      </c>
    </row>
    <row r="140" spans="1:6">
      <c r="A140" s="22"/>
      <c r="B140" s="127"/>
      <c r="D140" s="38"/>
      <c r="E140" s="39"/>
      <c r="F140" s="39"/>
    </row>
    <row r="141" spans="1:6" ht="66">
      <c r="A141" s="43">
        <v>28</v>
      </c>
      <c r="B141" s="37" t="s">
        <v>365</v>
      </c>
      <c r="D141" s="13"/>
      <c r="E141" s="14"/>
      <c r="F141" s="14"/>
    </row>
    <row r="142" spans="1:6">
      <c r="A142" s="22" t="s">
        <v>12</v>
      </c>
      <c r="B142" s="37" t="s">
        <v>270</v>
      </c>
      <c r="C142" s="12" t="s">
        <v>97</v>
      </c>
      <c r="D142" s="38">
        <v>3.2</v>
      </c>
      <c r="E142" s="156">
        <f>'[1]B_III_STOLARSKI RADOVI'!E142</f>
        <v>200</v>
      </c>
      <c r="F142" s="39">
        <f>SUM(D142*E142)</f>
        <v>640</v>
      </c>
    </row>
    <row r="143" spans="1:6">
      <c r="A143" s="22" t="s">
        <v>13</v>
      </c>
      <c r="B143" s="37" t="s">
        <v>272</v>
      </c>
      <c r="C143" s="12" t="s">
        <v>97</v>
      </c>
      <c r="D143" s="38">
        <v>8.1999999999999993</v>
      </c>
      <c r="E143" s="156">
        <f>'[1]B_III_STOLARSKI RADOVI'!E143</f>
        <v>150</v>
      </c>
      <c r="F143" s="39">
        <f>SUM(D143*E143)</f>
        <v>1230</v>
      </c>
    </row>
    <row r="144" spans="1:6">
      <c r="A144" s="22" t="s">
        <v>14</v>
      </c>
      <c r="B144" s="37" t="s">
        <v>271</v>
      </c>
      <c r="C144" s="12" t="s">
        <v>97</v>
      </c>
      <c r="D144" s="38">
        <v>16</v>
      </c>
      <c r="E144" s="156">
        <f>'[1]B_III_STOLARSKI RADOVI'!E144</f>
        <v>100</v>
      </c>
      <c r="F144" s="39">
        <f>SUM(D144*E144)</f>
        <v>1600</v>
      </c>
    </row>
    <row r="145" spans="1:6">
      <c r="A145" s="22"/>
      <c r="B145" s="127"/>
      <c r="D145" s="38"/>
      <c r="E145" s="39"/>
      <c r="F145" s="39"/>
    </row>
    <row r="146" spans="1:6">
      <c r="A146" s="101"/>
      <c r="B146" s="40" t="s">
        <v>195</v>
      </c>
      <c r="C146" s="41"/>
      <c r="D146" s="42"/>
      <c r="E146" s="128" t="s">
        <v>159</v>
      </c>
      <c r="F146" s="103">
        <f>SUM(F53:F145)</f>
        <v>77940</v>
      </c>
    </row>
    <row r="147" spans="1:6">
      <c r="A147" s="22"/>
      <c r="B147" s="127"/>
      <c r="D147" s="38"/>
      <c r="E147" s="39"/>
      <c r="F147" s="39"/>
    </row>
    <row r="148" spans="1:6">
      <c r="A148" s="22"/>
      <c r="B148" s="127"/>
      <c r="D148" s="38"/>
      <c r="E148" s="39"/>
      <c r="F148" s="39"/>
    </row>
    <row r="149" spans="1:6">
      <c r="A149" s="22"/>
      <c r="B149" s="127"/>
      <c r="D149" s="38"/>
      <c r="E149" s="39"/>
      <c r="F149" s="39"/>
    </row>
    <row r="150" spans="1:6">
      <c r="A150" s="22"/>
      <c r="B150" s="127"/>
      <c r="D150" s="38"/>
      <c r="E150" s="39"/>
      <c r="F150" s="39"/>
    </row>
    <row r="151" spans="1:6">
      <c r="A151" s="22"/>
      <c r="B151" s="127"/>
      <c r="D151" s="38"/>
      <c r="E151" s="39"/>
      <c r="F151" s="39"/>
    </row>
    <row r="152" spans="1:6">
      <c r="A152" s="22"/>
      <c r="B152" s="127"/>
      <c r="D152" s="38"/>
      <c r="E152" s="39"/>
      <c r="F152" s="39"/>
    </row>
    <row r="153" spans="1:6">
      <c r="A153" s="22"/>
      <c r="B153" s="127"/>
      <c r="D153" s="38"/>
      <c r="E153" s="39"/>
      <c r="F153" s="39"/>
    </row>
    <row r="154" spans="1:6">
      <c r="A154" s="22"/>
      <c r="B154" s="127"/>
      <c r="D154" s="38"/>
      <c r="E154" s="39"/>
      <c r="F154" s="39"/>
    </row>
    <row r="155" spans="1:6">
      <c r="A155" s="22"/>
      <c r="B155" s="127"/>
      <c r="D155" s="38"/>
      <c r="E155" s="39"/>
      <c r="F155" s="39"/>
    </row>
    <row r="156" spans="1:6">
      <c r="A156" s="22"/>
      <c r="B156" s="127"/>
      <c r="D156" s="38"/>
      <c r="E156" s="39"/>
      <c r="F156" s="39"/>
    </row>
    <row r="157" spans="1:6">
      <c r="A157" s="22"/>
      <c r="B157" s="127"/>
      <c r="D157" s="38"/>
      <c r="E157" s="39"/>
      <c r="F157" s="39"/>
    </row>
    <row r="158" spans="1:6">
      <c r="A158" s="22"/>
      <c r="B158" s="127"/>
      <c r="D158" s="38"/>
      <c r="E158" s="39"/>
      <c r="F158" s="39"/>
    </row>
    <row r="159" spans="1:6">
      <c r="A159" s="22"/>
      <c r="B159" s="127"/>
      <c r="D159" s="38"/>
      <c r="E159" s="39"/>
      <c r="F159" s="39"/>
    </row>
    <row r="160" spans="1:6">
      <c r="A160" s="22"/>
      <c r="B160" s="127"/>
      <c r="D160" s="38"/>
      <c r="E160" s="39"/>
      <c r="F160" s="39"/>
    </row>
    <row r="161" spans="1:6">
      <c r="A161" s="22"/>
      <c r="B161" s="127"/>
      <c r="D161" s="38"/>
      <c r="E161" s="39"/>
      <c r="F161" s="39"/>
    </row>
    <row r="162" spans="1:6">
      <c r="A162" s="22"/>
      <c r="B162" s="127"/>
      <c r="D162" s="38"/>
      <c r="E162" s="39"/>
      <c r="F162" s="39"/>
    </row>
    <row r="163" spans="1:6">
      <c r="A163" s="22"/>
      <c r="B163" s="127"/>
      <c r="D163" s="38"/>
      <c r="E163" s="39"/>
      <c r="F163" s="39"/>
    </row>
    <row r="164" spans="1:6">
      <c r="A164" s="22"/>
      <c r="B164" s="127"/>
      <c r="D164" s="38"/>
      <c r="E164" s="39"/>
      <c r="F164" s="39"/>
    </row>
    <row r="165" spans="1:6">
      <c r="A165" s="22"/>
      <c r="B165" s="127"/>
      <c r="D165" s="38"/>
      <c r="E165" s="39"/>
      <c r="F165" s="39"/>
    </row>
    <row r="166" spans="1:6">
      <c r="A166" s="22"/>
      <c r="B166" s="127"/>
      <c r="D166" s="38"/>
      <c r="E166" s="39"/>
      <c r="F166" s="39"/>
    </row>
    <row r="167" spans="1:6">
      <c r="A167" s="22"/>
      <c r="B167" s="127"/>
      <c r="D167" s="38"/>
      <c r="E167" s="39"/>
      <c r="F167" s="39"/>
    </row>
    <row r="168" spans="1:6">
      <c r="A168" s="22"/>
      <c r="B168" s="127"/>
      <c r="D168" s="38"/>
      <c r="E168" s="39"/>
      <c r="F168" s="39"/>
    </row>
    <row r="169" spans="1:6">
      <c r="A169" s="22"/>
      <c r="B169" s="127"/>
      <c r="D169" s="38"/>
      <c r="E169" s="39"/>
      <c r="F169" s="39"/>
    </row>
    <row r="170" spans="1:6">
      <c r="A170" s="22"/>
      <c r="B170" s="127"/>
      <c r="D170" s="38"/>
      <c r="E170" s="39"/>
      <c r="F170" s="39"/>
    </row>
    <row r="171" spans="1:6">
      <c r="A171" s="22"/>
      <c r="B171" s="127"/>
      <c r="D171" s="38"/>
      <c r="E171" s="39"/>
      <c r="F171" s="39"/>
    </row>
    <row r="172" spans="1:6">
      <c r="A172" s="22"/>
      <c r="B172" s="127"/>
      <c r="D172" s="38"/>
      <c r="E172" s="39"/>
      <c r="F172" s="39"/>
    </row>
    <row r="173" spans="1:6">
      <c r="A173" s="22"/>
      <c r="B173" s="127"/>
      <c r="D173" s="38"/>
      <c r="E173" s="39"/>
      <c r="F173" s="39"/>
    </row>
    <row r="174" spans="1:6">
      <c r="A174" s="22"/>
      <c r="B174" s="127"/>
      <c r="D174" s="38"/>
      <c r="E174" s="39"/>
      <c r="F174" s="39"/>
    </row>
    <row r="175" spans="1:6">
      <c r="A175" s="22"/>
      <c r="B175" s="127"/>
      <c r="D175" s="38"/>
      <c r="E175" s="39"/>
      <c r="F175" s="39"/>
    </row>
    <row r="176" spans="1:6">
      <c r="A176" s="22"/>
      <c r="B176" s="127"/>
      <c r="D176" s="38"/>
      <c r="E176" s="39"/>
      <c r="F176" s="39"/>
    </row>
    <row r="177" spans="1:6">
      <c r="A177" s="22"/>
      <c r="B177" s="127"/>
      <c r="D177" s="38"/>
      <c r="E177" s="39"/>
      <c r="F177" s="39"/>
    </row>
    <row r="178" spans="1:6">
      <c r="A178" s="22"/>
      <c r="B178" s="127"/>
      <c r="D178" s="38"/>
      <c r="E178" s="39"/>
      <c r="F178" s="39"/>
    </row>
    <row r="179" spans="1:6">
      <c r="A179" s="22"/>
      <c r="B179" s="127"/>
      <c r="D179" s="38"/>
      <c r="E179" s="39"/>
      <c r="F179" s="39"/>
    </row>
    <row r="180" spans="1:6">
      <c r="A180" s="22"/>
      <c r="B180" s="127"/>
      <c r="D180" s="38"/>
      <c r="E180" s="39"/>
      <c r="F180" s="39"/>
    </row>
    <row r="181" spans="1:6">
      <c r="A181" s="22"/>
      <c r="B181" s="127"/>
      <c r="D181" s="38"/>
      <c r="E181" s="39"/>
      <c r="F181" s="39"/>
    </row>
    <row r="182" spans="1:6">
      <c r="A182" s="22"/>
      <c r="B182" s="127"/>
      <c r="D182" s="38"/>
      <c r="E182" s="39"/>
      <c r="F182" s="39"/>
    </row>
    <row r="183" spans="1:6">
      <c r="A183" s="22"/>
      <c r="B183" s="127"/>
      <c r="D183" s="38"/>
      <c r="E183" s="39"/>
      <c r="F183" s="39"/>
    </row>
    <row r="184" spans="1:6">
      <c r="A184" s="22"/>
      <c r="B184" s="127"/>
      <c r="D184" s="38"/>
      <c r="E184" s="39"/>
      <c r="F184" s="39"/>
    </row>
    <row r="185" spans="1:6">
      <c r="A185" s="22"/>
      <c r="B185" s="127"/>
      <c r="D185" s="38"/>
      <c r="E185" s="39"/>
      <c r="F185" s="39"/>
    </row>
    <row r="186" spans="1:6">
      <c r="A186" s="22"/>
      <c r="B186" s="127"/>
      <c r="D186" s="38"/>
      <c r="E186" s="39"/>
      <c r="F186" s="39"/>
    </row>
    <row r="187" spans="1:6">
      <c r="A187" s="22"/>
      <c r="B187" s="127"/>
      <c r="D187" s="38"/>
      <c r="E187" s="39"/>
      <c r="F187" s="39"/>
    </row>
    <row r="188" spans="1:6">
      <c r="A188" s="22"/>
      <c r="B188" s="127"/>
      <c r="D188" s="38"/>
      <c r="E188" s="39"/>
      <c r="F188" s="39"/>
    </row>
    <row r="189" spans="1:6">
      <c r="A189" s="22"/>
      <c r="B189" s="127"/>
      <c r="D189" s="38"/>
      <c r="E189" s="39"/>
      <c r="F189" s="39"/>
    </row>
    <row r="190" spans="1:6">
      <c r="A190" s="22"/>
      <c r="B190" s="127"/>
      <c r="D190" s="38"/>
      <c r="E190" s="39"/>
      <c r="F190" s="39"/>
    </row>
    <row r="191" spans="1:6">
      <c r="A191" s="22"/>
      <c r="B191" s="127"/>
      <c r="D191" s="38"/>
      <c r="E191" s="39"/>
      <c r="F191" s="39"/>
    </row>
    <row r="192" spans="1:6">
      <c r="A192" s="22"/>
      <c r="B192" s="127"/>
      <c r="D192" s="38"/>
      <c r="E192" s="39"/>
      <c r="F192" s="39"/>
    </row>
    <row r="193" spans="1:6">
      <c r="A193" s="22"/>
      <c r="B193" s="127"/>
      <c r="D193" s="38"/>
      <c r="E193" s="39"/>
      <c r="F193" s="39"/>
    </row>
    <row r="194" spans="1:6">
      <c r="A194" s="22"/>
      <c r="B194" s="127"/>
      <c r="D194" s="38"/>
      <c r="E194" s="39"/>
      <c r="F194" s="39"/>
    </row>
    <row r="195" spans="1:6">
      <c r="A195" s="22"/>
      <c r="B195" s="127"/>
      <c r="D195" s="38"/>
      <c r="E195" s="39"/>
      <c r="F195" s="39"/>
    </row>
    <row r="196" spans="1:6">
      <c r="A196" s="22"/>
      <c r="B196" s="127"/>
      <c r="D196" s="38"/>
      <c r="E196" s="39"/>
      <c r="F196" s="39"/>
    </row>
    <row r="197" spans="1:6">
      <c r="A197" s="22"/>
      <c r="B197" s="127"/>
      <c r="D197" s="38"/>
      <c r="E197" s="39"/>
      <c r="F197" s="39"/>
    </row>
    <row r="198" spans="1:6">
      <c r="A198" s="22"/>
      <c r="B198" s="127"/>
      <c r="D198" s="38"/>
      <c r="E198" s="39"/>
      <c r="F198" s="39"/>
    </row>
    <row r="199" spans="1:6">
      <c r="A199" s="22"/>
      <c r="B199" s="127"/>
      <c r="D199" s="38"/>
      <c r="E199" s="39"/>
      <c r="F199" s="39"/>
    </row>
    <row r="200" spans="1:6">
      <c r="A200" s="22"/>
      <c r="B200" s="127"/>
      <c r="D200" s="38"/>
      <c r="E200" s="39"/>
      <c r="F200" s="39"/>
    </row>
    <row r="201" spans="1:6">
      <c r="A201" s="22"/>
      <c r="B201" s="127"/>
      <c r="D201" s="38"/>
      <c r="E201" s="39"/>
      <c r="F201" s="39"/>
    </row>
    <row r="202" spans="1:6">
      <c r="A202" s="22"/>
      <c r="B202" s="127"/>
      <c r="D202" s="38"/>
      <c r="E202" s="39"/>
      <c r="F202" s="39"/>
    </row>
    <row r="203" spans="1:6">
      <c r="A203" s="22"/>
      <c r="B203" s="127"/>
      <c r="D203" s="38"/>
      <c r="E203" s="39"/>
      <c r="F203" s="39"/>
    </row>
    <row r="204" spans="1:6">
      <c r="A204" s="22"/>
      <c r="B204" s="127"/>
      <c r="D204" s="38"/>
      <c r="E204" s="39"/>
      <c r="F204" s="39"/>
    </row>
    <row r="205" spans="1:6">
      <c r="A205" s="22"/>
      <c r="B205" s="127"/>
      <c r="D205" s="38"/>
      <c r="E205" s="39"/>
      <c r="F205" s="39"/>
    </row>
    <row r="206" spans="1:6">
      <c r="A206" s="22"/>
      <c r="B206" s="127"/>
      <c r="D206" s="38"/>
      <c r="E206" s="39"/>
      <c r="F206" s="39"/>
    </row>
    <row r="207" spans="1:6">
      <c r="A207" s="22"/>
      <c r="B207" s="127"/>
      <c r="D207" s="38"/>
      <c r="E207" s="39"/>
      <c r="F207" s="39"/>
    </row>
    <row r="208" spans="1:6">
      <c r="A208" s="22"/>
      <c r="B208" s="127"/>
      <c r="D208" s="38"/>
      <c r="E208" s="39"/>
      <c r="F208" s="39"/>
    </row>
    <row r="209" spans="1:6">
      <c r="A209" s="22"/>
      <c r="B209" s="127"/>
      <c r="D209" s="38"/>
      <c r="E209" s="39"/>
      <c r="F209" s="39"/>
    </row>
    <row r="210" spans="1:6">
      <c r="A210" s="22"/>
      <c r="B210" s="127"/>
      <c r="D210" s="38"/>
      <c r="E210" s="39"/>
      <c r="F210" s="39"/>
    </row>
    <row r="211" spans="1:6">
      <c r="A211" s="22"/>
      <c r="B211" s="127"/>
      <c r="D211" s="38"/>
      <c r="E211" s="39"/>
      <c r="F211" s="39"/>
    </row>
    <row r="212" spans="1:6">
      <c r="A212" s="22"/>
      <c r="B212" s="127"/>
      <c r="D212" s="38"/>
      <c r="E212" s="39"/>
      <c r="F212" s="39"/>
    </row>
    <row r="213" spans="1:6">
      <c r="A213" s="22"/>
      <c r="B213" s="127"/>
      <c r="D213" s="38"/>
      <c r="E213" s="39"/>
      <c r="F213" s="39"/>
    </row>
    <row r="214" spans="1:6">
      <c r="A214" s="22"/>
      <c r="B214" s="127"/>
      <c r="D214" s="38"/>
      <c r="E214" s="39"/>
      <c r="F214" s="39"/>
    </row>
    <row r="215" spans="1:6">
      <c r="A215" s="22"/>
      <c r="B215" s="127"/>
      <c r="D215" s="38"/>
      <c r="E215" s="39"/>
      <c r="F215" s="39"/>
    </row>
    <row r="216" spans="1:6">
      <c r="A216" s="22"/>
      <c r="B216" s="127"/>
      <c r="D216" s="38"/>
      <c r="E216" s="39"/>
      <c r="F216" s="39"/>
    </row>
    <row r="217" spans="1:6">
      <c r="A217" s="22"/>
      <c r="B217" s="127"/>
      <c r="D217" s="38"/>
      <c r="E217" s="39"/>
      <c r="F217" s="39"/>
    </row>
    <row r="218" spans="1:6">
      <c r="A218" s="22"/>
      <c r="B218" s="127"/>
      <c r="D218" s="38"/>
      <c r="E218" s="39"/>
      <c r="F218" s="39"/>
    </row>
    <row r="219" spans="1:6">
      <c r="A219" s="22"/>
      <c r="B219" s="127"/>
      <c r="D219" s="38"/>
      <c r="E219" s="39"/>
      <c r="F219" s="39"/>
    </row>
    <row r="220" spans="1:6">
      <c r="A220" s="22"/>
      <c r="B220" s="127"/>
      <c r="D220" s="38"/>
      <c r="E220" s="39"/>
      <c r="F220" s="39"/>
    </row>
    <row r="221" spans="1:6">
      <c r="A221" s="22"/>
      <c r="B221" s="127"/>
      <c r="D221" s="38"/>
      <c r="E221" s="39"/>
      <c r="F221" s="39"/>
    </row>
    <row r="222" spans="1:6">
      <c r="A222" s="22"/>
      <c r="B222" s="127"/>
      <c r="D222" s="38"/>
      <c r="E222" s="39"/>
      <c r="F222" s="39"/>
    </row>
    <row r="223" spans="1:6">
      <c r="A223" s="22"/>
      <c r="B223" s="127"/>
      <c r="D223" s="38"/>
      <c r="E223" s="39"/>
      <c r="F223" s="39"/>
    </row>
    <row r="224" spans="1:6">
      <c r="A224" s="22"/>
      <c r="B224" s="127"/>
      <c r="D224" s="38"/>
      <c r="E224" s="39"/>
      <c r="F224" s="39"/>
    </row>
    <row r="225" spans="1:6">
      <c r="A225" s="22"/>
      <c r="B225" s="127"/>
      <c r="D225" s="38"/>
      <c r="E225" s="39"/>
      <c r="F225" s="39"/>
    </row>
    <row r="226" spans="1:6">
      <c r="A226" s="22"/>
      <c r="B226" s="127"/>
      <c r="D226" s="38"/>
      <c r="E226" s="39"/>
      <c r="F226" s="39"/>
    </row>
    <row r="227" spans="1:6">
      <c r="A227" s="22"/>
      <c r="B227" s="127"/>
      <c r="D227" s="38"/>
      <c r="E227" s="39"/>
      <c r="F227" s="39"/>
    </row>
    <row r="228" spans="1:6">
      <c r="A228" s="22"/>
      <c r="B228" s="127"/>
      <c r="D228" s="38"/>
      <c r="E228" s="39"/>
      <c r="F228" s="39"/>
    </row>
    <row r="229" spans="1:6">
      <c r="A229" s="22"/>
      <c r="B229" s="127"/>
      <c r="D229" s="38"/>
      <c r="E229" s="39"/>
      <c r="F229" s="39"/>
    </row>
    <row r="230" spans="1:6">
      <c r="A230" s="22"/>
      <c r="B230" s="127"/>
      <c r="D230" s="38"/>
      <c r="E230" s="39"/>
      <c r="F230" s="39"/>
    </row>
    <row r="231" spans="1:6">
      <c r="A231" s="22"/>
      <c r="B231" s="127"/>
      <c r="D231" s="38"/>
      <c r="E231" s="39"/>
      <c r="F231" s="39"/>
    </row>
    <row r="232" spans="1:6">
      <c r="A232" s="22"/>
      <c r="B232" s="127"/>
      <c r="D232" s="38"/>
      <c r="E232" s="39"/>
      <c r="F232" s="39"/>
    </row>
    <row r="233" spans="1:6">
      <c r="A233" s="22"/>
      <c r="B233" s="127"/>
      <c r="D233" s="38"/>
      <c r="E233" s="39"/>
      <c r="F233" s="39"/>
    </row>
    <row r="234" spans="1:6">
      <c r="A234" s="22"/>
      <c r="B234" s="127"/>
      <c r="D234" s="38"/>
      <c r="E234" s="39"/>
      <c r="F234" s="39"/>
    </row>
    <row r="235" spans="1:6">
      <c r="A235" s="22"/>
      <c r="B235" s="127"/>
      <c r="D235" s="38"/>
      <c r="E235" s="39"/>
      <c r="F235" s="39"/>
    </row>
    <row r="236" spans="1:6">
      <c r="A236" s="22"/>
      <c r="B236" s="127"/>
      <c r="D236" s="38"/>
      <c r="E236" s="39"/>
      <c r="F236" s="39"/>
    </row>
    <row r="237" spans="1:6">
      <c r="A237" s="22"/>
      <c r="B237" s="127"/>
      <c r="D237" s="38"/>
      <c r="E237" s="39"/>
      <c r="F237" s="39"/>
    </row>
    <row r="238" spans="1:6">
      <c r="A238" s="22"/>
      <c r="B238" s="127"/>
      <c r="D238" s="38"/>
      <c r="E238" s="39"/>
      <c r="F238" s="39"/>
    </row>
    <row r="239" spans="1:6">
      <c r="A239" s="22"/>
      <c r="B239" s="127"/>
      <c r="D239" s="38"/>
      <c r="E239" s="39"/>
      <c r="F239" s="39"/>
    </row>
    <row r="240" spans="1:6">
      <c r="A240" s="22"/>
      <c r="B240" s="127"/>
      <c r="D240" s="38"/>
      <c r="E240" s="39"/>
      <c r="F240" s="39"/>
    </row>
    <row r="241" spans="1:6">
      <c r="A241" s="22"/>
      <c r="B241" s="127"/>
      <c r="D241" s="38"/>
      <c r="E241" s="39"/>
      <c r="F241" s="39"/>
    </row>
    <row r="242" spans="1:6">
      <c r="A242" s="22"/>
      <c r="B242" s="127"/>
      <c r="D242" s="38"/>
      <c r="E242" s="39"/>
      <c r="F242" s="39"/>
    </row>
    <row r="243" spans="1:6">
      <c r="A243" s="22"/>
      <c r="B243" s="127"/>
      <c r="D243" s="38"/>
      <c r="E243" s="39"/>
      <c r="F243" s="39"/>
    </row>
    <row r="244" spans="1:6">
      <c r="A244" s="22"/>
      <c r="B244" s="127"/>
      <c r="D244" s="38"/>
      <c r="E244" s="39"/>
      <c r="F244" s="39"/>
    </row>
    <row r="245" spans="1:6">
      <c r="A245" s="22"/>
      <c r="B245" s="127"/>
      <c r="D245" s="38"/>
      <c r="E245" s="39"/>
      <c r="F245" s="39"/>
    </row>
    <row r="246" spans="1:6">
      <c r="A246" s="22"/>
      <c r="B246" s="127"/>
      <c r="D246" s="38"/>
      <c r="E246" s="39"/>
      <c r="F246" s="39"/>
    </row>
    <row r="247" spans="1:6">
      <c r="A247" s="22"/>
      <c r="B247" s="127"/>
      <c r="D247" s="38"/>
      <c r="E247" s="39"/>
      <c r="F247" s="39"/>
    </row>
    <row r="248" spans="1:6">
      <c r="A248" s="22"/>
      <c r="B248" s="127"/>
      <c r="D248" s="38"/>
      <c r="E248" s="39"/>
      <c r="F248" s="39"/>
    </row>
    <row r="249" spans="1:6">
      <c r="A249" s="22"/>
      <c r="B249" s="127"/>
      <c r="D249" s="38"/>
      <c r="E249" s="39"/>
      <c r="F249" s="39"/>
    </row>
    <row r="250" spans="1:6">
      <c r="A250" s="22"/>
      <c r="B250" s="127"/>
      <c r="D250" s="38"/>
      <c r="E250" s="39"/>
      <c r="F250" s="39"/>
    </row>
    <row r="251" spans="1:6">
      <c r="A251" s="22"/>
      <c r="B251" s="127"/>
      <c r="D251" s="38"/>
      <c r="E251" s="39"/>
      <c r="F251" s="39"/>
    </row>
    <row r="252" spans="1:6">
      <c r="A252" s="22"/>
      <c r="B252" s="127"/>
      <c r="D252" s="38"/>
      <c r="E252" s="39"/>
      <c r="F252" s="39"/>
    </row>
    <row r="253" spans="1:6">
      <c r="A253" s="22"/>
      <c r="B253" s="127"/>
      <c r="D253" s="38"/>
      <c r="E253" s="39"/>
      <c r="F253" s="39"/>
    </row>
    <row r="254" spans="1:6">
      <c r="A254" s="22"/>
      <c r="B254" s="127"/>
      <c r="D254" s="38"/>
      <c r="E254" s="39"/>
      <c r="F254" s="39"/>
    </row>
    <row r="255" spans="1:6">
      <c r="A255" s="22"/>
      <c r="B255" s="127"/>
      <c r="D255" s="38"/>
      <c r="E255" s="39"/>
      <c r="F255" s="39"/>
    </row>
    <row r="256" spans="1:6">
      <c r="A256" s="22"/>
      <c r="B256" s="127"/>
      <c r="D256" s="38"/>
      <c r="E256" s="39"/>
      <c r="F256" s="39"/>
    </row>
    <row r="257" spans="1:6">
      <c r="A257" s="22"/>
      <c r="B257" s="127"/>
      <c r="D257" s="38"/>
      <c r="E257" s="39"/>
      <c r="F257" s="39"/>
    </row>
    <row r="258" spans="1:6">
      <c r="A258" s="22"/>
      <c r="B258" s="127"/>
      <c r="D258" s="38"/>
      <c r="E258" s="39"/>
      <c r="F258" s="39"/>
    </row>
    <row r="259" spans="1:6">
      <c r="A259" s="22"/>
      <c r="B259" s="127"/>
      <c r="D259" s="38"/>
      <c r="E259" s="39"/>
      <c r="F259" s="39"/>
    </row>
    <row r="260" spans="1:6">
      <c r="A260" s="22"/>
      <c r="B260" s="127"/>
      <c r="D260" s="38"/>
      <c r="E260" s="39"/>
      <c r="F260" s="39"/>
    </row>
    <row r="261" spans="1:6">
      <c r="A261" s="22"/>
      <c r="B261" s="127"/>
      <c r="D261" s="38"/>
      <c r="E261" s="39"/>
      <c r="F261" s="39"/>
    </row>
    <row r="262" spans="1:6">
      <c r="A262" s="22"/>
      <c r="B262" s="127"/>
      <c r="D262" s="38"/>
      <c r="E262" s="39"/>
      <c r="F262" s="39"/>
    </row>
    <row r="263" spans="1:6">
      <c r="A263" s="22"/>
      <c r="B263" s="127"/>
      <c r="D263" s="38"/>
      <c r="E263" s="39"/>
      <c r="F263" s="39"/>
    </row>
    <row r="264" spans="1:6">
      <c r="A264" s="22"/>
      <c r="B264" s="127"/>
      <c r="D264" s="38"/>
      <c r="E264" s="39"/>
      <c r="F264" s="39"/>
    </row>
    <row r="265" spans="1:6">
      <c r="A265" s="22"/>
      <c r="B265" s="127"/>
      <c r="D265" s="38"/>
      <c r="E265" s="39"/>
      <c r="F265" s="39"/>
    </row>
    <row r="266" spans="1:6">
      <c r="A266" s="22"/>
      <c r="B266" s="127"/>
      <c r="D266" s="38"/>
      <c r="E266" s="39"/>
      <c r="F266" s="39"/>
    </row>
    <row r="267" spans="1:6">
      <c r="A267" s="22"/>
      <c r="B267" s="127"/>
      <c r="D267" s="38"/>
      <c r="E267" s="39"/>
      <c r="F267" s="39"/>
    </row>
    <row r="268" spans="1:6">
      <c r="A268" s="22"/>
      <c r="B268" s="127"/>
      <c r="D268" s="38"/>
      <c r="E268" s="39"/>
      <c r="F268" s="39"/>
    </row>
    <row r="269" spans="1:6">
      <c r="A269" s="22"/>
      <c r="B269" s="127"/>
      <c r="D269" s="38"/>
      <c r="E269" s="39"/>
      <c r="F269" s="39"/>
    </row>
    <row r="270" spans="1:6">
      <c r="A270" s="22"/>
      <c r="B270" s="127"/>
      <c r="D270" s="38"/>
      <c r="E270" s="39"/>
      <c r="F270" s="39"/>
    </row>
    <row r="271" spans="1:6">
      <c r="A271" s="22"/>
      <c r="B271" s="127"/>
      <c r="D271" s="38"/>
      <c r="E271" s="39"/>
      <c r="F271" s="39"/>
    </row>
    <row r="272" spans="1:6">
      <c r="A272" s="22"/>
      <c r="B272" s="127"/>
      <c r="D272" s="38"/>
      <c r="E272" s="39"/>
      <c r="F272" s="39"/>
    </row>
    <row r="273" spans="1:6">
      <c r="A273" s="22"/>
      <c r="B273" s="127"/>
      <c r="D273" s="38"/>
      <c r="E273" s="39"/>
      <c r="F273" s="39"/>
    </row>
    <row r="274" spans="1:6">
      <c r="A274" s="22"/>
      <c r="B274" s="127"/>
      <c r="D274" s="38"/>
      <c r="E274" s="39"/>
      <c r="F274" s="39"/>
    </row>
    <row r="275" spans="1:6">
      <c r="A275" s="22"/>
      <c r="B275" s="127"/>
      <c r="D275" s="38"/>
      <c r="E275" s="39"/>
      <c r="F275" s="39"/>
    </row>
    <row r="276" spans="1:6">
      <c r="A276" s="22"/>
      <c r="B276" s="127"/>
      <c r="D276" s="38"/>
      <c r="E276" s="39"/>
      <c r="F276" s="39"/>
    </row>
    <row r="277" spans="1:6">
      <c r="A277" s="22"/>
      <c r="B277" s="127"/>
      <c r="D277" s="38"/>
      <c r="E277" s="39"/>
      <c r="F277" s="39"/>
    </row>
    <row r="278" spans="1:6">
      <c r="A278" s="22"/>
      <c r="B278" s="127"/>
      <c r="D278" s="38"/>
      <c r="E278" s="39"/>
      <c r="F278" s="39"/>
    </row>
    <row r="279" spans="1:6">
      <c r="A279" s="22"/>
      <c r="B279" s="127"/>
      <c r="D279" s="38"/>
      <c r="E279" s="39"/>
      <c r="F279" s="39"/>
    </row>
    <row r="280" spans="1:6">
      <c r="A280" s="22"/>
      <c r="B280" s="127"/>
      <c r="D280" s="38"/>
      <c r="E280" s="39"/>
      <c r="F280" s="39"/>
    </row>
    <row r="281" spans="1:6">
      <c r="A281" s="22"/>
      <c r="B281" s="127"/>
      <c r="D281" s="38"/>
      <c r="E281" s="39"/>
      <c r="F281" s="39"/>
    </row>
    <row r="282" spans="1:6">
      <c r="A282" s="22"/>
      <c r="B282" s="127"/>
      <c r="D282" s="38"/>
      <c r="E282" s="39"/>
      <c r="F282" s="39"/>
    </row>
    <row r="283" spans="1:6">
      <c r="A283" s="22"/>
      <c r="B283" s="127"/>
      <c r="D283" s="38"/>
      <c r="E283" s="39"/>
      <c r="F283" s="39"/>
    </row>
    <row r="284" spans="1:6">
      <c r="A284" s="22"/>
      <c r="B284" s="127"/>
      <c r="D284" s="38"/>
      <c r="E284" s="39"/>
      <c r="F284" s="39"/>
    </row>
    <row r="285" spans="1:6">
      <c r="A285" s="22"/>
      <c r="B285" s="127"/>
      <c r="D285" s="38"/>
      <c r="E285" s="39"/>
      <c r="F285" s="39"/>
    </row>
    <row r="286" spans="1:6">
      <c r="A286" s="22"/>
      <c r="B286" s="127"/>
      <c r="D286" s="38"/>
      <c r="E286" s="39"/>
      <c r="F286" s="39"/>
    </row>
    <row r="287" spans="1:6">
      <c r="A287" s="22"/>
      <c r="B287" s="127"/>
      <c r="D287" s="38"/>
      <c r="E287" s="39"/>
      <c r="F287" s="39"/>
    </row>
    <row r="288" spans="1:6">
      <c r="A288" s="22"/>
      <c r="B288" s="127"/>
      <c r="D288" s="38"/>
      <c r="E288" s="39"/>
      <c r="F288" s="39"/>
    </row>
    <row r="289" spans="1:6">
      <c r="A289" s="22"/>
      <c r="B289" s="127"/>
      <c r="D289" s="38"/>
      <c r="E289" s="39"/>
      <c r="F289" s="39"/>
    </row>
    <row r="290" spans="1:6">
      <c r="A290" s="22"/>
      <c r="B290" s="127"/>
      <c r="D290" s="38"/>
      <c r="E290" s="39"/>
      <c r="F290" s="39"/>
    </row>
    <row r="291" spans="1:6">
      <c r="A291" s="22"/>
      <c r="B291" s="127"/>
      <c r="D291" s="38"/>
      <c r="E291" s="39"/>
      <c r="F291" s="39"/>
    </row>
    <row r="292" spans="1:6">
      <c r="A292" s="22"/>
      <c r="B292" s="127"/>
      <c r="D292" s="38"/>
      <c r="E292" s="39"/>
      <c r="F292" s="39"/>
    </row>
    <row r="293" spans="1:6">
      <c r="A293" s="22"/>
      <c r="B293" s="127"/>
      <c r="D293" s="38"/>
      <c r="E293" s="39"/>
      <c r="F293" s="39"/>
    </row>
    <row r="294" spans="1:6">
      <c r="A294" s="22"/>
      <c r="B294" s="127"/>
      <c r="D294" s="38"/>
      <c r="E294" s="39"/>
      <c r="F294" s="39"/>
    </row>
    <row r="295" spans="1:6">
      <c r="A295" s="22"/>
      <c r="B295" s="127"/>
      <c r="D295" s="38"/>
      <c r="E295" s="39"/>
      <c r="F295" s="39"/>
    </row>
    <row r="296" spans="1:6">
      <c r="A296" s="22"/>
      <c r="B296" s="127"/>
      <c r="D296" s="38"/>
      <c r="E296" s="39"/>
      <c r="F296" s="39"/>
    </row>
    <row r="297" spans="1:6">
      <c r="A297" s="22"/>
      <c r="B297" s="127"/>
      <c r="D297" s="38"/>
      <c r="E297" s="39"/>
      <c r="F297" s="39"/>
    </row>
    <row r="298" spans="1:6">
      <c r="A298" s="22"/>
      <c r="B298" s="127"/>
      <c r="D298" s="38"/>
      <c r="E298" s="39"/>
      <c r="F298" s="39"/>
    </row>
    <row r="299" spans="1:6">
      <c r="A299" s="22"/>
      <c r="B299" s="127"/>
      <c r="D299" s="38"/>
      <c r="E299" s="39"/>
      <c r="F299" s="39"/>
    </row>
    <row r="300" spans="1:6">
      <c r="A300" s="22"/>
      <c r="B300" s="127"/>
      <c r="D300" s="38"/>
      <c r="E300" s="39"/>
      <c r="F300" s="39"/>
    </row>
    <row r="301" spans="1:6">
      <c r="A301" s="22"/>
      <c r="B301" s="127"/>
      <c r="D301" s="38"/>
      <c r="E301" s="39"/>
      <c r="F301" s="39"/>
    </row>
    <row r="302" spans="1:6">
      <c r="A302" s="22"/>
      <c r="B302" s="127"/>
      <c r="D302" s="38"/>
      <c r="E302" s="39"/>
      <c r="F302" s="39"/>
    </row>
    <row r="303" spans="1:6">
      <c r="A303" s="22"/>
      <c r="B303" s="127"/>
      <c r="D303" s="38"/>
      <c r="E303" s="39"/>
      <c r="F303" s="39"/>
    </row>
    <row r="304" spans="1:6">
      <c r="A304" s="22"/>
      <c r="B304" s="127"/>
      <c r="D304" s="38"/>
      <c r="E304" s="39"/>
      <c r="F304" s="39"/>
    </row>
    <row r="305" spans="1:6">
      <c r="A305" s="22"/>
      <c r="B305" s="127"/>
      <c r="D305" s="38"/>
      <c r="E305" s="39"/>
      <c r="F305" s="39"/>
    </row>
    <row r="306" spans="1:6">
      <c r="A306" s="22"/>
      <c r="B306" s="127"/>
      <c r="D306" s="38"/>
      <c r="E306" s="39"/>
      <c r="F306" s="39"/>
    </row>
    <row r="307" spans="1:6">
      <c r="A307" s="22"/>
      <c r="B307" s="127"/>
      <c r="D307" s="38"/>
      <c r="E307" s="39"/>
      <c r="F307" s="39"/>
    </row>
    <row r="308" spans="1:6">
      <c r="A308" s="22"/>
      <c r="B308" s="127"/>
      <c r="D308" s="38"/>
      <c r="E308" s="39"/>
      <c r="F308" s="39"/>
    </row>
    <row r="309" spans="1:6">
      <c r="A309" s="22"/>
      <c r="B309" s="127"/>
      <c r="D309" s="38"/>
      <c r="E309" s="39"/>
      <c r="F309" s="39"/>
    </row>
    <row r="310" spans="1:6">
      <c r="A310" s="22"/>
      <c r="B310" s="127"/>
      <c r="D310" s="38"/>
      <c r="E310" s="39"/>
      <c r="F310" s="39"/>
    </row>
    <row r="311" spans="1:6">
      <c r="A311" s="22"/>
      <c r="B311" s="127"/>
      <c r="D311" s="38"/>
      <c r="E311" s="39"/>
      <c r="F311" s="39"/>
    </row>
    <row r="312" spans="1:6">
      <c r="A312" s="22"/>
      <c r="B312" s="127"/>
      <c r="D312" s="38"/>
      <c r="E312" s="39"/>
      <c r="F312" s="39"/>
    </row>
    <row r="313" spans="1:6">
      <c r="A313" s="22"/>
      <c r="B313" s="127"/>
      <c r="D313" s="38"/>
      <c r="E313" s="39"/>
      <c r="F313" s="39"/>
    </row>
    <row r="314" spans="1:6">
      <c r="A314" s="22"/>
      <c r="B314" s="127"/>
      <c r="D314" s="38"/>
      <c r="E314" s="39"/>
      <c r="F314" s="39"/>
    </row>
    <row r="315" spans="1:6">
      <c r="A315" s="22"/>
      <c r="B315" s="127"/>
      <c r="D315" s="38"/>
      <c r="E315" s="39"/>
      <c r="F315" s="39"/>
    </row>
    <row r="316" spans="1:6">
      <c r="A316" s="22"/>
      <c r="B316" s="127"/>
      <c r="D316" s="38"/>
      <c r="E316" s="39"/>
      <c r="F316" s="39"/>
    </row>
    <row r="317" spans="1:6">
      <c r="A317" s="22"/>
      <c r="B317" s="127"/>
      <c r="D317" s="38"/>
      <c r="E317" s="39"/>
      <c r="F317" s="39"/>
    </row>
  </sheetData>
  <sheetProtection algorithmName="SHA-512" hashValue="Y7wngRjekrFV9ywlH5dwXMsN9jSTuMUWBvok+1YiA9xv346/jEd3J2KnXSUhS0EAbWXExQfspDxsAChoSoz2QQ==" saltValue="NuejMb3jlWDPVMQx2h1wGg==" spinCount="100000" sheet="1" objects="1" scenarios="1"/>
  <mergeCells count="19">
    <mergeCell ref="A3:A5"/>
    <mergeCell ref="B3:B5"/>
    <mergeCell ref="C3:C5"/>
    <mergeCell ref="D3:D5"/>
    <mergeCell ref="E3:F4"/>
    <mergeCell ref="B19:F19"/>
    <mergeCell ref="B20:F20"/>
    <mergeCell ref="G3:G5"/>
    <mergeCell ref="B44:D44"/>
    <mergeCell ref="B46:F46"/>
    <mergeCell ref="B21:F21"/>
    <mergeCell ref="B35:D35"/>
    <mergeCell ref="B37:C37"/>
    <mergeCell ref="B10:F10"/>
    <mergeCell ref="B16:F16"/>
    <mergeCell ref="B18:F18"/>
    <mergeCell ref="B14:F14"/>
    <mergeCell ref="B29:F29"/>
    <mergeCell ref="B13:F13"/>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rowBreaks count="3" manualBreakCount="3">
    <brk id="28" max="7" man="1"/>
    <brk id="43" max="7" man="1"/>
    <brk id="102" max="7"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39997558519241921"/>
  </sheetPr>
  <dimension ref="A1:G449"/>
  <sheetViews>
    <sheetView zoomScale="85" zoomScaleNormal="85" zoomScaleSheetLayoutView="100" workbookViewId="0">
      <selection activeCell="E9" sqref="D9:E9"/>
    </sheetView>
  </sheetViews>
  <sheetFormatPr defaultColWidth="8.6640625" defaultRowHeight="13.2"/>
  <cols>
    <col min="1" max="1" width="6.6640625" style="11" customWidth="1"/>
    <col min="2" max="2" width="60.6640625" style="10" customWidth="1"/>
    <col min="3" max="6" width="10.6640625" style="11" customWidth="1"/>
    <col min="7" max="7" width="10.109375" style="10" bestFit="1" customWidth="1"/>
    <col min="8" max="10" width="8.6640625" style="10"/>
    <col min="11" max="11" width="57.6640625" style="10" customWidth="1"/>
    <col min="12" max="16384" width="8.6640625" style="10"/>
  </cols>
  <sheetData>
    <row r="1" spans="1:7" ht="13.8" thickBot="1">
      <c r="A1" s="875" t="s">
        <v>54</v>
      </c>
      <c r="B1" s="868" t="s">
        <v>53</v>
      </c>
      <c r="C1" s="892"/>
      <c r="D1" s="893"/>
      <c r="E1" s="884"/>
      <c r="F1" s="884"/>
    </row>
    <row r="3" spans="1:7" s="20" customFormat="1" ht="12.75" customHeight="1">
      <c r="A3" s="1527" t="s">
        <v>145</v>
      </c>
      <c r="B3" s="1528" t="s">
        <v>146</v>
      </c>
      <c r="C3" s="1529" t="s">
        <v>147</v>
      </c>
      <c r="D3" s="1532" t="s">
        <v>148</v>
      </c>
      <c r="E3" s="1532" t="s">
        <v>149</v>
      </c>
      <c r="F3" s="1532"/>
      <c r="G3" s="1537" t="s">
        <v>2523</v>
      </c>
    </row>
    <row r="4" spans="1:7" s="20" customFormat="1">
      <c r="A4" s="1527"/>
      <c r="B4" s="1528"/>
      <c r="C4" s="1530"/>
      <c r="D4" s="1532"/>
      <c r="E4" s="1532"/>
      <c r="F4" s="1532"/>
      <c r="G4" s="1537"/>
    </row>
    <row r="5" spans="1:7" s="20" customFormat="1">
      <c r="A5" s="1527"/>
      <c r="B5" s="1528"/>
      <c r="C5" s="1531"/>
      <c r="D5" s="1532"/>
      <c r="E5" s="49" t="s">
        <v>150</v>
      </c>
      <c r="F5" s="50" t="s">
        <v>151</v>
      </c>
      <c r="G5" s="1537"/>
    </row>
    <row r="6" spans="1:7" s="20" customFormat="1">
      <c r="A6" s="52"/>
      <c r="B6" s="53"/>
      <c r="C6" s="54"/>
      <c r="D6" s="55"/>
      <c r="E6" s="56"/>
      <c r="F6" s="57"/>
    </row>
    <row r="7" spans="1:7" ht="39.6">
      <c r="A7" s="10"/>
      <c r="B7" s="140" t="s">
        <v>293</v>
      </c>
      <c r="C7" s="12"/>
      <c r="D7" s="13"/>
      <c r="E7" s="14"/>
      <c r="F7" s="14"/>
    </row>
    <row r="8" spans="1:7" customFormat="1">
      <c r="A8" s="44">
        <v>1</v>
      </c>
      <c r="B8" s="105" t="s">
        <v>298</v>
      </c>
      <c r="C8" s="12"/>
      <c r="D8" s="38"/>
      <c r="E8" s="201"/>
      <c r="F8" s="201"/>
    </row>
    <row r="9" spans="1:7" customFormat="1" ht="39.6">
      <c r="A9" s="12"/>
      <c r="B9" s="127" t="s">
        <v>296</v>
      </c>
      <c r="C9" s="12"/>
      <c r="D9" s="13"/>
      <c r="E9" s="14"/>
      <c r="F9" s="14"/>
    </row>
    <row r="10" spans="1:7" customFormat="1" ht="26.4">
      <c r="A10" s="213"/>
      <c r="B10" s="37" t="s">
        <v>2561</v>
      </c>
      <c r="C10" s="12"/>
      <c r="D10" s="13"/>
      <c r="E10" s="14"/>
      <c r="F10" s="14"/>
    </row>
    <row r="11" spans="1:7" customFormat="1" ht="39.6">
      <c r="A11" s="44"/>
      <c r="B11" s="67" t="s">
        <v>295</v>
      </c>
      <c r="C11" s="12"/>
      <c r="D11" s="13"/>
      <c r="E11" s="14"/>
      <c r="F11" s="14"/>
    </row>
    <row r="12" spans="1:7" customFormat="1">
      <c r="A12" s="44"/>
      <c r="B12" s="105" t="s">
        <v>297</v>
      </c>
      <c r="C12" s="12" t="s">
        <v>9</v>
      </c>
      <c r="D12" s="38">
        <v>1</v>
      </c>
      <c r="E12" s="1322">
        <v>1900</v>
      </c>
      <c r="F12" s="201">
        <f>SUM(D12*E12)</f>
        <v>1900</v>
      </c>
    </row>
    <row r="13" spans="1:7" customFormat="1" ht="15.6">
      <c r="A13" s="210"/>
      <c r="B13" s="2"/>
      <c r="C13" s="211"/>
      <c r="D13" s="212"/>
      <c r="E13" s="3"/>
      <c r="F13" s="3"/>
    </row>
    <row r="14" spans="1:7">
      <c r="A14" s="122"/>
      <c r="B14" s="95" t="s">
        <v>292</v>
      </c>
      <c r="C14" s="123"/>
      <c r="D14" s="151"/>
      <c r="E14" s="102" t="s">
        <v>159</v>
      </c>
      <c r="F14" s="208">
        <f>SUM(F11:F12)</f>
        <v>1900</v>
      </c>
    </row>
    <row r="15" spans="1:7">
      <c r="A15" s="22"/>
      <c r="B15" s="43"/>
      <c r="C15" s="22"/>
      <c r="D15" s="148"/>
      <c r="E15" s="93"/>
      <c r="F15" s="149"/>
    </row>
    <row r="16" spans="1:7">
      <c r="A16" s="22"/>
      <c r="B16" s="43"/>
      <c r="C16" s="22"/>
      <c r="D16" s="148"/>
      <c r="E16" s="93"/>
      <c r="F16" s="149"/>
    </row>
    <row r="17" spans="1:6">
      <c r="A17" s="22"/>
      <c r="D17" s="139"/>
      <c r="E17" s="84"/>
      <c r="F17" s="84"/>
    </row>
    <row r="18" spans="1:6">
      <c r="A18" s="22"/>
      <c r="B18" s="43"/>
      <c r="C18" s="22"/>
      <c r="D18" s="148"/>
      <c r="E18" s="93"/>
      <c r="F18" s="149"/>
    </row>
    <row r="19" spans="1:6">
      <c r="A19" s="22"/>
      <c r="B19" s="43"/>
      <c r="C19" s="22"/>
      <c r="D19" s="148"/>
      <c r="E19" s="93"/>
      <c r="F19" s="149"/>
    </row>
    <row r="20" spans="1:6">
      <c r="A20" s="22"/>
      <c r="B20" s="43"/>
      <c r="C20" s="22"/>
      <c r="D20" s="148"/>
      <c r="E20" s="93"/>
      <c r="F20" s="149"/>
    </row>
    <row r="21" spans="1:6">
      <c r="A21" s="22"/>
      <c r="D21" s="139"/>
      <c r="E21" s="84"/>
      <c r="F21" s="84"/>
    </row>
    <row r="22" spans="1:6">
      <c r="A22" s="22"/>
      <c r="B22" s="43"/>
      <c r="C22" s="22"/>
      <c r="D22" s="148"/>
      <c r="E22" s="93"/>
      <c r="F22" s="149"/>
    </row>
    <row r="23" spans="1:6">
      <c r="A23" s="22"/>
      <c r="B23" s="43"/>
      <c r="C23" s="22"/>
      <c r="D23" s="148"/>
      <c r="E23" s="93"/>
      <c r="F23" s="149"/>
    </row>
    <row r="24" spans="1:6">
      <c r="A24" s="22"/>
      <c r="B24" s="43"/>
      <c r="C24" s="22"/>
      <c r="D24" s="148"/>
      <c r="E24" s="93"/>
      <c r="F24" s="149"/>
    </row>
    <row r="25" spans="1:6">
      <c r="A25" s="22"/>
      <c r="D25" s="139"/>
      <c r="E25" s="84"/>
      <c r="F25" s="84"/>
    </row>
    <row r="26" spans="1:6">
      <c r="A26" s="22"/>
      <c r="B26" s="43"/>
      <c r="C26" s="22"/>
      <c r="D26" s="148"/>
      <c r="E26" s="93"/>
      <c r="F26" s="149"/>
    </row>
    <row r="27" spans="1:6">
      <c r="A27" s="22"/>
      <c r="B27" s="43"/>
      <c r="C27" s="22"/>
      <c r="D27" s="148"/>
      <c r="E27" s="93"/>
      <c r="F27" s="149"/>
    </row>
    <row r="28" spans="1:6">
      <c r="A28" s="22"/>
      <c r="B28" s="43"/>
      <c r="C28" s="22"/>
      <c r="D28" s="148"/>
      <c r="E28" s="93"/>
      <c r="F28" s="149"/>
    </row>
    <row r="29" spans="1:6">
      <c r="A29" s="22"/>
      <c r="D29" s="139"/>
      <c r="E29" s="84"/>
      <c r="F29" s="84"/>
    </row>
    <row r="30" spans="1:6">
      <c r="A30" s="22"/>
      <c r="B30" s="43"/>
      <c r="C30" s="22"/>
      <c r="D30" s="148"/>
      <c r="E30" s="93"/>
      <c r="F30" s="149"/>
    </row>
    <row r="31" spans="1:6">
      <c r="A31" s="22"/>
      <c r="B31" s="43"/>
      <c r="C31" s="22"/>
      <c r="D31" s="148"/>
      <c r="E31" s="93"/>
      <c r="F31" s="149"/>
    </row>
    <row r="32" spans="1:6">
      <c r="A32" s="22"/>
      <c r="B32" s="43"/>
      <c r="C32" s="22"/>
      <c r="D32" s="148"/>
      <c r="E32" s="93"/>
      <c r="F32" s="149"/>
    </row>
    <row r="33" spans="1:6">
      <c r="A33" s="22"/>
      <c r="D33" s="139"/>
      <c r="E33" s="84"/>
      <c r="F33" s="84"/>
    </row>
    <row r="34" spans="1:6">
      <c r="A34" s="22"/>
      <c r="B34" s="43"/>
      <c r="C34" s="22"/>
      <c r="D34" s="148"/>
      <c r="E34" s="93"/>
      <c r="F34" s="149"/>
    </row>
    <row r="35" spans="1:6">
      <c r="A35" s="22"/>
      <c r="B35" s="43"/>
      <c r="C35" s="22"/>
      <c r="D35" s="148"/>
      <c r="E35" s="93"/>
      <c r="F35" s="149"/>
    </row>
    <row r="36" spans="1:6">
      <c r="A36" s="22"/>
      <c r="B36" s="43"/>
      <c r="C36" s="22"/>
      <c r="D36" s="148"/>
      <c r="E36" s="93"/>
      <c r="F36" s="149"/>
    </row>
    <row r="37" spans="1:6">
      <c r="A37" s="22"/>
      <c r="D37" s="139"/>
      <c r="E37" s="84"/>
      <c r="F37" s="84"/>
    </row>
    <row r="38" spans="1:6">
      <c r="A38" s="22"/>
      <c r="B38" s="43"/>
      <c r="C38" s="22"/>
      <c r="D38" s="148"/>
      <c r="E38" s="93"/>
      <c r="F38" s="149"/>
    </row>
    <row r="39" spans="1:6">
      <c r="A39" s="22"/>
      <c r="B39" s="43"/>
      <c r="C39" s="22"/>
      <c r="D39" s="148"/>
      <c r="E39" s="93"/>
      <c r="F39" s="149"/>
    </row>
    <row r="40" spans="1:6">
      <c r="A40" s="22"/>
      <c r="B40" s="43"/>
      <c r="C40" s="22"/>
      <c r="D40" s="148"/>
      <c r="E40" s="93"/>
      <c r="F40" s="149"/>
    </row>
    <row r="41" spans="1:6">
      <c r="A41" s="22"/>
      <c r="D41" s="139"/>
      <c r="E41" s="84"/>
      <c r="F41" s="84"/>
    </row>
    <row r="42" spans="1:6">
      <c r="A42" s="22"/>
      <c r="B42" s="43"/>
      <c r="C42" s="22"/>
      <c r="D42" s="148"/>
      <c r="E42" s="93"/>
      <c r="F42" s="149"/>
    </row>
    <row r="43" spans="1:6">
      <c r="A43" s="22"/>
      <c r="B43" s="43"/>
      <c r="C43" s="22"/>
      <c r="D43" s="148"/>
      <c r="E43" s="93"/>
      <c r="F43" s="149"/>
    </row>
    <row r="44" spans="1:6">
      <c r="A44" s="22"/>
      <c r="B44" s="43"/>
      <c r="C44" s="22"/>
      <c r="D44" s="148"/>
      <c r="E44" s="93"/>
      <c r="F44" s="149"/>
    </row>
    <row r="45" spans="1:6">
      <c r="A45" s="22"/>
      <c r="D45" s="139"/>
      <c r="E45" s="84"/>
      <c r="F45" s="84"/>
    </row>
    <row r="46" spans="1:6">
      <c r="A46" s="22"/>
      <c r="B46" s="43"/>
      <c r="C46" s="22"/>
      <c r="D46" s="148"/>
      <c r="E46" s="93"/>
      <c r="F46" s="149"/>
    </row>
    <row r="47" spans="1:6">
      <c r="A47" s="22"/>
      <c r="B47" s="43"/>
      <c r="C47" s="22"/>
      <c r="D47" s="148"/>
      <c r="E47" s="93"/>
      <c r="F47" s="149"/>
    </row>
    <row r="48" spans="1:6">
      <c r="A48" s="22"/>
      <c r="B48" s="43"/>
      <c r="C48" s="22"/>
      <c r="D48" s="148"/>
      <c r="E48" s="93"/>
      <c r="F48" s="149"/>
    </row>
    <row r="49" spans="1:6">
      <c r="A49" s="22"/>
      <c r="D49" s="139"/>
      <c r="E49" s="84"/>
      <c r="F49" s="84"/>
    </row>
    <row r="50" spans="1:6">
      <c r="A50" s="22"/>
      <c r="B50" s="43"/>
      <c r="C50" s="22"/>
      <c r="D50" s="148"/>
      <c r="E50" s="93"/>
      <c r="F50" s="149"/>
    </row>
    <row r="51" spans="1:6">
      <c r="A51" s="22"/>
      <c r="B51" s="43"/>
      <c r="C51" s="22"/>
      <c r="D51" s="148"/>
      <c r="E51" s="93"/>
      <c r="F51" s="149"/>
    </row>
    <row r="52" spans="1:6">
      <c r="A52" s="22"/>
      <c r="B52" s="43"/>
      <c r="C52" s="22"/>
      <c r="D52" s="148"/>
      <c r="E52" s="93"/>
      <c r="F52" s="149"/>
    </row>
    <row r="53" spans="1:6">
      <c r="A53" s="22"/>
      <c r="D53" s="139"/>
      <c r="E53" s="84"/>
      <c r="F53" s="84"/>
    </row>
    <row r="54" spans="1:6">
      <c r="A54" s="22"/>
      <c r="B54" s="43"/>
      <c r="C54" s="22"/>
      <c r="D54" s="148"/>
      <c r="E54" s="93"/>
      <c r="F54" s="149"/>
    </row>
    <row r="55" spans="1:6">
      <c r="A55" s="22"/>
      <c r="B55" s="43"/>
      <c r="C55" s="22"/>
      <c r="D55" s="148"/>
      <c r="E55" s="93"/>
      <c r="F55" s="149"/>
    </row>
    <row r="56" spans="1:6">
      <c r="A56" s="22"/>
      <c r="B56" s="43"/>
      <c r="C56" s="22"/>
      <c r="D56" s="148"/>
      <c r="E56" s="93"/>
      <c r="F56" s="149"/>
    </row>
    <row r="57" spans="1:6">
      <c r="A57" s="22"/>
      <c r="D57" s="139"/>
      <c r="E57" s="84"/>
      <c r="F57" s="84"/>
    </row>
    <row r="58" spans="1:6">
      <c r="A58" s="22"/>
      <c r="B58" s="43"/>
      <c r="C58" s="22"/>
      <c r="D58" s="148"/>
      <c r="E58" s="93"/>
      <c r="F58" s="149"/>
    </row>
    <row r="59" spans="1:6">
      <c r="A59" s="22"/>
      <c r="B59" s="43"/>
      <c r="C59" s="22"/>
      <c r="D59" s="148"/>
      <c r="E59" s="93"/>
      <c r="F59" s="149"/>
    </row>
    <row r="60" spans="1:6">
      <c r="A60" s="22"/>
      <c r="B60" s="43"/>
      <c r="C60" s="22"/>
      <c r="D60" s="148"/>
      <c r="E60" s="93"/>
      <c r="F60" s="149"/>
    </row>
    <row r="61" spans="1:6">
      <c r="A61" s="22"/>
      <c r="D61" s="139"/>
      <c r="E61" s="84"/>
      <c r="F61" s="84"/>
    </row>
    <row r="62" spans="1:6">
      <c r="A62" s="22"/>
      <c r="B62" s="43"/>
      <c r="C62" s="22"/>
      <c r="D62" s="148"/>
      <c r="E62" s="93"/>
      <c r="F62" s="149"/>
    </row>
    <row r="63" spans="1:6">
      <c r="A63" s="22"/>
      <c r="B63" s="43"/>
      <c r="C63" s="22"/>
      <c r="D63" s="148"/>
      <c r="E63" s="93"/>
      <c r="F63" s="149"/>
    </row>
    <row r="64" spans="1:6">
      <c r="A64" s="22"/>
      <c r="B64" s="43"/>
      <c r="C64" s="22"/>
      <c r="D64" s="148"/>
      <c r="E64" s="93"/>
      <c r="F64" s="149"/>
    </row>
    <row r="65" spans="1:6">
      <c r="A65" s="22"/>
      <c r="D65" s="139"/>
      <c r="E65" s="84"/>
      <c r="F65" s="84"/>
    </row>
    <row r="66" spans="1:6">
      <c r="A66" s="22"/>
      <c r="B66" s="43"/>
      <c r="C66" s="22"/>
      <c r="D66" s="148"/>
      <c r="E66" s="93"/>
      <c r="F66" s="149"/>
    </row>
    <row r="67" spans="1:6">
      <c r="A67" s="22"/>
      <c r="B67" s="43"/>
      <c r="C67" s="22"/>
      <c r="D67" s="148"/>
      <c r="E67" s="93"/>
      <c r="F67" s="149"/>
    </row>
    <row r="68" spans="1:6">
      <c r="A68" s="22"/>
      <c r="B68" s="43"/>
      <c r="C68" s="22"/>
      <c r="D68" s="148"/>
      <c r="E68" s="93"/>
      <c r="F68" s="149"/>
    </row>
    <row r="69" spans="1:6">
      <c r="A69" s="22"/>
      <c r="D69" s="139"/>
      <c r="E69" s="84"/>
      <c r="F69" s="84"/>
    </row>
    <row r="70" spans="1:6">
      <c r="A70" s="22"/>
      <c r="B70" s="43"/>
      <c r="C70" s="22"/>
      <c r="D70" s="148"/>
      <c r="E70" s="93"/>
      <c r="F70" s="149"/>
    </row>
    <row r="71" spans="1:6">
      <c r="A71" s="22"/>
      <c r="B71" s="43"/>
      <c r="C71" s="22"/>
      <c r="D71" s="148"/>
      <c r="E71" s="93"/>
      <c r="F71" s="149"/>
    </row>
    <row r="72" spans="1:6">
      <c r="A72" s="22"/>
      <c r="B72" s="43"/>
      <c r="C72" s="22"/>
      <c r="D72" s="148"/>
      <c r="E72" s="93"/>
      <c r="F72" s="149"/>
    </row>
    <row r="73" spans="1:6">
      <c r="A73" s="22"/>
      <c r="D73" s="139"/>
      <c r="E73" s="84"/>
      <c r="F73" s="84"/>
    </row>
    <row r="74" spans="1:6">
      <c r="A74" s="22"/>
      <c r="B74" s="43"/>
      <c r="C74" s="22"/>
      <c r="D74" s="148"/>
      <c r="E74" s="93"/>
      <c r="F74" s="149"/>
    </row>
    <row r="75" spans="1:6">
      <c r="A75" s="22"/>
      <c r="B75" s="43"/>
      <c r="C75" s="22"/>
      <c r="D75" s="148"/>
      <c r="E75" s="93"/>
      <c r="F75" s="149"/>
    </row>
    <row r="76" spans="1:6">
      <c r="A76" s="22"/>
      <c r="B76" s="43"/>
      <c r="C76" s="22"/>
      <c r="D76" s="148"/>
      <c r="E76" s="93"/>
      <c r="F76" s="149"/>
    </row>
    <row r="77" spans="1:6">
      <c r="A77" s="22"/>
      <c r="D77" s="139"/>
      <c r="E77" s="84"/>
      <c r="F77" s="84"/>
    </row>
    <row r="78" spans="1:6">
      <c r="A78" s="22"/>
      <c r="B78" s="43"/>
      <c r="C78" s="22"/>
      <c r="D78" s="148"/>
      <c r="E78" s="93"/>
      <c r="F78" s="149"/>
    </row>
    <row r="79" spans="1:6">
      <c r="A79" s="22"/>
      <c r="B79" s="43"/>
      <c r="C79" s="22"/>
      <c r="D79" s="148"/>
      <c r="E79" s="93"/>
      <c r="F79" s="149"/>
    </row>
    <row r="80" spans="1:6">
      <c r="A80" s="22"/>
      <c r="B80" s="43"/>
      <c r="C80" s="22"/>
      <c r="D80" s="148"/>
      <c r="E80" s="93"/>
      <c r="F80" s="149"/>
    </row>
    <row r="81" spans="1:6">
      <c r="A81" s="22"/>
      <c r="D81" s="139"/>
      <c r="E81" s="84"/>
      <c r="F81" s="84"/>
    </row>
    <row r="82" spans="1:6">
      <c r="A82" s="22"/>
      <c r="B82" s="43"/>
      <c r="C82" s="22"/>
      <c r="D82" s="148"/>
      <c r="E82" s="93"/>
      <c r="F82" s="149"/>
    </row>
    <row r="83" spans="1:6">
      <c r="A83" s="22"/>
      <c r="B83" s="43"/>
      <c r="C83" s="22"/>
      <c r="D83" s="148"/>
      <c r="E83" s="93"/>
      <c r="F83" s="149"/>
    </row>
    <row r="84" spans="1:6">
      <c r="A84" s="22"/>
      <c r="B84" s="43"/>
      <c r="C84" s="22"/>
      <c r="D84" s="148"/>
      <c r="E84" s="93"/>
      <c r="F84" s="149"/>
    </row>
    <row r="85" spans="1:6">
      <c r="A85" s="22"/>
      <c r="D85" s="139"/>
      <c r="E85" s="84"/>
      <c r="F85" s="84"/>
    </row>
    <row r="86" spans="1:6">
      <c r="A86" s="22"/>
      <c r="B86" s="43"/>
      <c r="C86" s="22"/>
      <c r="D86" s="148"/>
      <c r="E86" s="93"/>
      <c r="F86" s="149"/>
    </row>
    <row r="87" spans="1:6">
      <c r="A87" s="22"/>
      <c r="B87" s="43"/>
      <c r="C87" s="22"/>
      <c r="D87" s="148"/>
      <c r="E87" s="93"/>
      <c r="F87" s="149"/>
    </row>
    <row r="88" spans="1:6">
      <c r="A88" s="22"/>
      <c r="B88" s="43"/>
      <c r="C88" s="22"/>
      <c r="D88" s="148"/>
      <c r="E88" s="93"/>
      <c r="F88" s="149"/>
    </row>
    <row r="89" spans="1:6">
      <c r="A89" s="22"/>
      <c r="D89" s="139"/>
      <c r="E89" s="84"/>
      <c r="F89" s="84"/>
    </row>
    <row r="90" spans="1:6">
      <c r="A90" s="22"/>
      <c r="B90" s="43"/>
      <c r="C90" s="22"/>
      <c r="D90" s="148"/>
      <c r="E90" s="93"/>
      <c r="F90" s="149"/>
    </row>
    <row r="91" spans="1:6">
      <c r="A91" s="22"/>
      <c r="B91" s="43"/>
      <c r="C91" s="22"/>
      <c r="D91" s="148"/>
      <c r="E91" s="93"/>
      <c r="F91" s="149"/>
    </row>
    <row r="92" spans="1:6">
      <c r="A92" s="22"/>
      <c r="B92" s="43"/>
      <c r="C92" s="22"/>
      <c r="D92" s="148"/>
      <c r="E92" s="93"/>
      <c r="F92" s="149"/>
    </row>
    <row r="93" spans="1:6">
      <c r="A93" s="22"/>
      <c r="D93" s="139"/>
      <c r="E93" s="84"/>
      <c r="F93" s="84"/>
    </row>
    <row r="94" spans="1:6">
      <c r="A94" s="22"/>
      <c r="B94" s="43"/>
      <c r="C94" s="22"/>
      <c r="D94" s="148"/>
      <c r="E94" s="93"/>
      <c r="F94" s="149"/>
    </row>
    <row r="95" spans="1:6">
      <c r="A95" s="22"/>
      <c r="B95" s="43"/>
      <c r="C95" s="22"/>
      <c r="D95" s="148"/>
      <c r="E95" s="93"/>
      <c r="F95" s="149"/>
    </row>
    <row r="96" spans="1:6">
      <c r="A96" s="22"/>
      <c r="B96" s="43"/>
      <c r="C96" s="22"/>
      <c r="D96" s="148"/>
      <c r="E96" s="93"/>
      <c r="F96" s="149"/>
    </row>
    <row r="97" spans="1:6">
      <c r="A97" s="22"/>
      <c r="D97" s="139"/>
      <c r="E97" s="84"/>
      <c r="F97" s="84"/>
    </row>
    <row r="98" spans="1:6">
      <c r="A98" s="22"/>
      <c r="B98" s="43"/>
      <c r="C98" s="22"/>
      <c r="D98" s="148"/>
      <c r="E98" s="93"/>
      <c r="F98" s="149"/>
    </row>
    <row r="99" spans="1:6">
      <c r="A99" s="22"/>
      <c r="B99" s="43"/>
      <c r="C99" s="22"/>
      <c r="D99" s="148"/>
      <c r="E99" s="93"/>
      <c r="F99" s="149"/>
    </row>
    <row r="100" spans="1:6">
      <c r="A100" s="22"/>
      <c r="B100" s="43"/>
      <c r="C100" s="22"/>
      <c r="D100" s="148"/>
      <c r="E100" s="93"/>
      <c r="F100" s="149"/>
    </row>
    <row r="101" spans="1:6">
      <c r="A101" s="22"/>
      <c r="D101" s="139"/>
      <c r="E101" s="84"/>
      <c r="F101" s="84"/>
    </row>
    <row r="102" spans="1:6">
      <c r="A102" s="22"/>
      <c r="B102" s="43"/>
      <c r="C102" s="22"/>
      <c r="D102" s="148"/>
      <c r="E102" s="93"/>
      <c r="F102" s="149"/>
    </row>
    <row r="103" spans="1:6">
      <c r="A103" s="22"/>
      <c r="B103" s="43"/>
      <c r="C103" s="22"/>
      <c r="D103" s="148"/>
      <c r="E103" s="93"/>
      <c r="F103" s="149"/>
    </row>
    <row r="104" spans="1:6">
      <c r="A104" s="22"/>
      <c r="B104" s="43"/>
      <c r="C104" s="22"/>
      <c r="D104" s="148"/>
      <c r="E104" s="93"/>
      <c r="F104" s="149"/>
    </row>
    <row r="105" spans="1:6">
      <c r="A105" s="22"/>
      <c r="D105" s="139"/>
      <c r="E105" s="84"/>
      <c r="F105" s="84"/>
    </row>
    <row r="106" spans="1:6">
      <c r="A106" s="22"/>
      <c r="B106" s="43"/>
      <c r="C106" s="22"/>
      <c r="D106" s="148"/>
      <c r="E106" s="93"/>
      <c r="F106" s="149"/>
    </row>
    <row r="107" spans="1:6">
      <c r="A107" s="22"/>
      <c r="B107" s="43"/>
      <c r="C107" s="22"/>
      <c r="D107" s="148"/>
      <c r="E107" s="93"/>
      <c r="F107" s="149"/>
    </row>
    <row r="108" spans="1:6">
      <c r="A108" s="22"/>
      <c r="B108" s="43"/>
      <c r="C108" s="22"/>
      <c r="D108" s="148"/>
      <c r="E108" s="93"/>
      <c r="F108" s="149"/>
    </row>
    <row r="109" spans="1:6">
      <c r="A109" s="22"/>
      <c r="D109" s="139"/>
      <c r="E109" s="84"/>
      <c r="F109" s="84"/>
    </row>
    <row r="110" spans="1:6">
      <c r="A110" s="22"/>
      <c r="B110" s="43"/>
      <c r="C110" s="22"/>
      <c r="D110" s="148"/>
      <c r="E110" s="93"/>
      <c r="F110" s="149"/>
    </row>
    <row r="111" spans="1:6">
      <c r="A111" s="22"/>
      <c r="B111" s="43"/>
      <c r="C111" s="22"/>
      <c r="D111" s="148"/>
      <c r="E111" s="93"/>
      <c r="F111" s="149"/>
    </row>
    <row r="112" spans="1:6">
      <c r="A112" s="22"/>
      <c r="B112" s="43"/>
      <c r="C112" s="22"/>
      <c r="D112" s="148"/>
      <c r="E112" s="93"/>
      <c r="F112" s="149"/>
    </row>
    <row r="113" spans="1:6">
      <c r="A113" s="22"/>
      <c r="D113" s="139"/>
      <c r="E113" s="84"/>
      <c r="F113" s="84"/>
    </row>
    <row r="114" spans="1:6">
      <c r="A114" s="22"/>
      <c r="B114" s="43"/>
      <c r="C114" s="22"/>
      <c r="D114" s="148"/>
      <c r="E114" s="93"/>
      <c r="F114" s="149"/>
    </row>
    <row r="115" spans="1:6">
      <c r="A115" s="22"/>
      <c r="B115" s="43"/>
      <c r="C115" s="22"/>
      <c r="D115" s="148"/>
      <c r="E115" s="93"/>
      <c r="F115" s="149"/>
    </row>
    <row r="116" spans="1:6">
      <c r="A116" s="22"/>
      <c r="B116" s="43"/>
      <c r="C116" s="22"/>
      <c r="D116" s="148"/>
      <c r="E116" s="93"/>
      <c r="F116" s="149"/>
    </row>
    <row r="117" spans="1:6">
      <c r="A117" s="22"/>
      <c r="D117" s="139"/>
      <c r="E117" s="84"/>
      <c r="F117" s="84"/>
    </row>
    <row r="118" spans="1:6">
      <c r="A118" s="22"/>
      <c r="B118" s="43"/>
      <c r="C118" s="22"/>
      <c r="D118" s="148"/>
      <c r="E118" s="93"/>
      <c r="F118" s="149"/>
    </row>
    <row r="119" spans="1:6">
      <c r="A119" s="22"/>
      <c r="B119" s="43"/>
      <c r="C119" s="22"/>
      <c r="D119" s="148"/>
      <c r="E119" s="93"/>
      <c r="F119" s="149"/>
    </row>
    <row r="120" spans="1:6">
      <c r="A120" s="22"/>
      <c r="B120" s="43"/>
      <c r="C120" s="22"/>
      <c r="D120" s="148"/>
      <c r="E120" s="93"/>
      <c r="F120" s="149"/>
    </row>
    <row r="121" spans="1:6">
      <c r="A121" s="22"/>
      <c r="D121" s="139"/>
      <c r="E121" s="84"/>
      <c r="F121" s="84"/>
    </row>
    <row r="122" spans="1:6">
      <c r="A122" s="22"/>
      <c r="B122" s="43"/>
      <c r="C122" s="22"/>
      <c r="D122" s="148"/>
      <c r="E122" s="93"/>
      <c r="F122" s="149"/>
    </row>
    <row r="123" spans="1:6">
      <c r="A123" s="22"/>
      <c r="B123" s="43"/>
      <c r="C123" s="22"/>
      <c r="D123" s="148"/>
      <c r="E123" s="93"/>
      <c r="F123" s="149"/>
    </row>
    <row r="124" spans="1:6">
      <c r="A124" s="22"/>
      <c r="B124" s="43"/>
      <c r="C124" s="22"/>
      <c r="D124" s="148"/>
      <c r="E124" s="93"/>
      <c r="F124" s="149"/>
    </row>
    <row r="125" spans="1:6">
      <c r="A125" s="22"/>
      <c r="D125" s="139"/>
      <c r="E125" s="84"/>
      <c r="F125" s="84"/>
    </row>
    <row r="126" spans="1:6">
      <c r="A126" s="22"/>
      <c r="B126" s="43"/>
      <c r="C126" s="22"/>
      <c r="D126" s="148"/>
      <c r="E126" s="93"/>
      <c r="F126" s="149"/>
    </row>
    <row r="127" spans="1:6">
      <c r="A127" s="22"/>
      <c r="B127" s="43"/>
      <c r="C127" s="22"/>
      <c r="D127" s="148"/>
      <c r="E127" s="93"/>
      <c r="F127" s="149"/>
    </row>
    <row r="128" spans="1:6">
      <c r="A128" s="22"/>
      <c r="B128" s="43"/>
      <c r="C128" s="22"/>
      <c r="D128" s="148"/>
      <c r="E128" s="93"/>
      <c r="F128" s="149"/>
    </row>
    <row r="129" spans="1:6">
      <c r="A129" s="22"/>
      <c r="D129" s="139"/>
      <c r="E129" s="84"/>
      <c r="F129" s="84"/>
    </row>
    <row r="130" spans="1:6">
      <c r="A130" s="22"/>
      <c r="B130" s="43"/>
      <c r="C130" s="22"/>
      <c r="D130" s="148"/>
      <c r="E130" s="93"/>
      <c r="F130" s="149"/>
    </row>
    <row r="131" spans="1:6">
      <c r="A131" s="22"/>
      <c r="B131" s="43"/>
      <c r="C131" s="22"/>
      <c r="D131" s="148"/>
      <c r="E131" s="93"/>
      <c r="F131" s="149"/>
    </row>
    <row r="132" spans="1:6">
      <c r="A132" s="22"/>
      <c r="B132" s="43"/>
      <c r="C132" s="22"/>
      <c r="D132" s="148"/>
      <c r="E132" s="93"/>
      <c r="F132" s="149"/>
    </row>
    <row r="133" spans="1:6">
      <c r="A133" s="22"/>
      <c r="D133" s="139"/>
      <c r="E133" s="84"/>
      <c r="F133" s="84"/>
    </row>
    <row r="134" spans="1:6">
      <c r="A134" s="22"/>
      <c r="B134" s="43"/>
      <c r="C134" s="22"/>
      <c r="D134" s="148"/>
      <c r="E134" s="93"/>
      <c r="F134" s="149"/>
    </row>
    <row r="135" spans="1:6">
      <c r="A135" s="22"/>
      <c r="B135" s="43"/>
      <c r="C135" s="22"/>
      <c r="D135" s="148"/>
      <c r="E135" s="93"/>
      <c r="F135" s="149"/>
    </row>
    <row r="136" spans="1:6">
      <c r="A136" s="22"/>
      <c r="B136" s="43"/>
      <c r="C136" s="22"/>
      <c r="D136" s="148"/>
      <c r="E136" s="93"/>
      <c r="F136" s="149"/>
    </row>
    <row r="137" spans="1:6">
      <c r="A137" s="22"/>
      <c r="D137" s="139"/>
      <c r="E137" s="84"/>
      <c r="F137" s="84"/>
    </row>
    <row r="138" spans="1:6">
      <c r="A138" s="22"/>
      <c r="B138" s="43"/>
      <c r="C138" s="22"/>
      <c r="D138" s="148"/>
      <c r="E138" s="93"/>
      <c r="F138" s="149"/>
    </row>
    <row r="139" spans="1:6">
      <c r="A139" s="22"/>
      <c r="B139" s="43"/>
      <c r="C139" s="22"/>
      <c r="D139" s="148"/>
      <c r="E139" s="93"/>
      <c r="F139" s="149"/>
    </row>
    <row r="140" spans="1:6">
      <c r="A140" s="22"/>
      <c r="B140" s="43"/>
      <c r="C140" s="22"/>
      <c r="D140" s="148"/>
      <c r="E140" s="93"/>
      <c r="F140" s="149"/>
    </row>
    <row r="141" spans="1:6">
      <c r="A141" s="22"/>
      <c r="D141" s="139"/>
      <c r="E141" s="84"/>
      <c r="F141" s="84"/>
    </row>
    <row r="142" spans="1:6">
      <c r="A142" s="22"/>
      <c r="B142" s="43"/>
      <c r="C142" s="22"/>
      <c r="D142" s="148"/>
      <c r="E142" s="93"/>
      <c r="F142" s="149"/>
    </row>
    <row r="143" spans="1:6">
      <c r="A143" s="22"/>
      <c r="B143" s="43"/>
      <c r="C143" s="22"/>
      <c r="D143" s="148"/>
      <c r="E143" s="93"/>
      <c r="F143" s="149"/>
    </row>
    <row r="144" spans="1:6">
      <c r="A144" s="22"/>
      <c r="B144" s="43"/>
      <c r="C144" s="22"/>
      <c r="D144" s="148"/>
      <c r="E144" s="93"/>
      <c r="F144" s="149"/>
    </row>
    <row r="145" spans="1:6">
      <c r="A145" s="22"/>
      <c r="D145" s="139"/>
      <c r="E145" s="84"/>
      <c r="F145" s="84"/>
    </row>
    <row r="146" spans="1:6">
      <c r="A146" s="22"/>
      <c r="B146" s="43"/>
      <c r="C146" s="22"/>
      <c r="D146" s="148"/>
      <c r="E146" s="93"/>
      <c r="F146" s="149"/>
    </row>
    <row r="147" spans="1:6">
      <c r="A147" s="22"/>
      <c r="B147" s="43"/>
      <c r="C147" s="22"/>
      <c r="D147" s="148"/>
      <c r="E147" s="93"/>
      <c r="F147" s="149"/>
    </row>
    <row r="148" spans="1:6">
      <c r="A148" s="22"/>
      <c r="B148" s="43"/>
      <c r="C148" s="22"/>
      <c r="D148" s="148"/>
      <c r="E148" s="93"/>
      <c r="F148" s="149"/>
    </row>
    <row r="149" spans="1:6">
      <c r="A149" s="22"/>
      <c r="D149" s="139"/>
      <c r="E149" s="84"/>
      <c r="F149" s="84"/>
    </row>
    <row r="150" spans="1:6">
      <c r="A150" s="22"/>
      <c r="B150" s="43"/>
      <c r="C150" s="22"/>
      <c r="D150" s="148"/>
      <c r="E150" s="93"/>
      <c r="F150" s="149"/>
    </row>
    <row r="151" spans="1:6">
      <c r="A151" s="22"/>
      <c r="B151" s="43"/>
      <c r="C151" s="22"/>
      <c r="D151" s="148"/>
      <c r="E151" s="93"/>
      <c r="F151" s="149"/>
    </row>
    <row r="152" spans="1:6">
      <c r="A152" s="22"/>
      <c r="B152" s="43"/>
      <c r="C152" s="22"/>
      <c r="D152" s="148"/>
      <c r="E152" s="93"/>
      <c r="F152" s="149"/>
    </row>
    <row r="153" spans="1:6">
      <c r="A153" s="22"/>
      <c r="D153" s="139"/>
      <c r="E153" s="84"/>
      <c r="F153" s="84"/>
    </row>
    <row r="154" spans="1:6">
      <c r="A154" s="22"/>
      <c r="B154" s="43"/>
      <c r="C154" s="22"/>
      <c r="D154" s="148"/>
      <c r="E154" s="93"/>
      <c r="F154" s="149"/>
    </row>
    <row r="155" spans="1:6">
      <c r="A155" s="22"/>
      <c r="B155" s="43"/>
      <c r="C155" s="22"/>
      <c r="D155" s="148"/>
      <c r="E155" s="93"/>
      <c r="F155" s="149"/>
    </row>
    <row r="156" spans="1:6">
      <c r="A156" s="22"/>
      <c r="B156" s="43"/>
      <c r="C156" s="22"/>
      <c r="D156" s="148"/>
      <c r="E156" s="93"/>
      <c r="F156" s="149"/>
    </row>
    <row r="157" spans="1:6">
      <c r="A157" s="22"/>
      <c r="D157" s="139"/>
      <c r="E157" s="84"/>
      <c r="F157" s="84"/>
    </row>
    <row r="158" spans="1:6">
      <c r="A158" s="22"/>
      <c r="B158" s="43"/>
      <c r="C158" s="22"/>
      <c r="D158" s="148"/>
      <c r="E158" s="93"/>
      <c r="F158" s="149"/>
    </row>
    <row r="159" spans="1:6">
      <c r="A159" s="22"/>
      <c r="B159" s="43"/>
      <c r="C159" s="22"/>
      <c r="D159" s="148"/>
      <c r="E159" s="93"/>
      <c r="F159" s="149"/>
    </row>
    <row r="160" spans="1:6">
      <c r="A160" s="22"/>
      <c r="B160" s="43"/>
      <c r="C160" s="22"/>
      <c r="D160" s="148"/>
      <c r="E160" s="93"/>
      <c r="F160" s="149"/>
    </row>
    <row r="161" spans="1:6">
      <c r="A161" s="22"/>
      <c r="D161" s="139"/>
      <c r="E161" s="84"/>
      <c r="F161" s="84"/>
    </row>
    <row r="162" spans="1:6">
      <c r="A162" s="22"/>
      <c r="B162" s="43"/>
      <c r="C162" s="22"/>
      <c r="D162" s="148"/>
      <c r="E162" s="93"/>
      <c r="F162" s="149"/>
    </row>
    <row r="163" spans="1:6">
      <c r="A163" s="22"/>
      <c r="B163" s="43"/>
      <c r="C163" s="22"/>
      <c r="D163" s="148"/>
      <c r="E163" s="93"/>
      <c r="F163" s="149"/>
    </row>
    <row r="164" spans="1:6">
      <c r="A164" s="22"/>
      <c r="B164" s="43"/>
      <c r="C164" s="22"/>
      <c r="D164" s="148"/>
      <c r="E164" s="93"/>
      <c r="F164" s="149"/>
    </row>
    <row r="165" spans="1:6">
      <c r="A165" s="22"/>
      <c r="D165" s="139"/>
      <c r="E165" s="84"/>
      <c r="F165" s="84"/>
    </row>
    <row r="166" spans="1:6">
      <c r="A166" s="22"/>
      <c r="B166" s="43"/>
      <c r="C166" s="22"/>
      <c r="D166" s="148"/>
      <c r="E166" s="93"/>
      <c r="F166" s="149"/>
    </row>
    <row r="167" spans="1:6">
      <c r="A167" s="22"/>
      <c r="B167" s="43"/>
      <c r="C167" s="22"/>
      <c r="D167" s="148"/>
      <c r="E167" s="93"/>
      <c r="F167" s="149"/>
    </row>
    <row r="168" spans="1:6">
      <c r="A168" s="22"/>
      <c r="B168" s="43"/>
      <c r="C168" s="22"/>
      <c r="D168" s="148"/>
      <c r="E168" s="93"/>
      <c r="F168" s="149"/>
    </row>
    <row r="169" spans="1:6">
      <c r="A169" s="22"/>
      <c r="D169" s="139"/>
      <c r="E169" s="84"/>
      <c r="F169" s="84"/>
    </row>
    <row r="170" spans="1:6">
      <c r="A170" s="22"/>
      <c r="B170" s="43"/>
      <c r="C170" s="22"/>
      <c r="D170" s="148"/>
      <c r="E170" s="93"/>
      <c r="F170" s="149"/>
    </row>
    <row r="171" spans="1:6">
      <c r="A171" s="22"/>
      <c r="B171" s="43"/>
      <c r="C171" s="22"/>
      <c r="D171" s="148"/>
      <c r="E171" s="93"/>
      <c r="F171" s="149"/>
    </row>
    <row r="172" spans="1:6">
      <c r="A172" s="22"/>
      <c r="B172" s="43"/>
      <c r="C172" s="22"/>
      <c r="D172" s="148"/>
      <c r="E172" s="93"/>
      <c r="F172" s="149"/>
    </row>
    <row r="173" spans="1:6">
      <c r="A173" s="22"/>
      <c r="D173" s="139"/>
      <c r="E173" s="84"/>
      <c r="F173" s="84"/>
    </row>
    <row r="174" spans="1:6">
      <c r="A174" s="22"/>
      <c r="B174" s="43"/>
      <c r="C174" s="22"/>
      <c r="D174" s="148"/>
      <c r="E174" s="93"/>
      <c r="F174" s="149"/>
    </row>
    <row r="175" spans="1:6">
      <c r="A175" s="22"/>
      <c r="B175" s="43"/>
      <c r="C175" s="22"/>
      <c r="D175" s="148"/>
      <c r="E175" s="93"/>
      <c r="F175" s="149"/>
    </row>
    <row r="176" spans="1:6">
      <c r="A176" s="22"/>
      <c r="B176" s="43"/>
      <c r="C176" s="22"/>
      <c r="D176" s="148"/>
      <c r="E176" s="93"/>
      <c r="F176" s="149"/>
    </row>
    <row r="177" spans="1:6">
      <c r="A177" s="22"/>
      <c r="D177" s="139"/>
      <c r="E177" s="84"/>
      <c r="F177" s="84"/>
    </row>
    <row r="178" spans="1:6">
      <c r="A178" s="22"/>
      <c r="B178" s="43"/>
      <c r="C178" s="22"/>
      <c r="D178" s="148"/>
      <c r="E178" s="93"/>
      <c r="F178" s="149"/>
    </row>
    <row r="179" spans="1:6">
      <c r="A179" s="22"/>
      <c r="B179" s="43"/>
      <c r="C179" s="22"/>
      <c r="D179" s="148"/>
      <c r="E179" s="93"/>
      <c r="F179" s="149"/>
    </row>
    <row r="180" spans="1:6">
      <c r="A180" s="22"/>
      <c r="B180" s="43"/>
      <c r="C180" s="22"/>
      <c r="D180" s="148"/>
      <c r="E180" s="93"/>
      <c r="F180" s="149"/>
    </row>
    <row r="181" spans="1:6">
      <c r="A181" s="22"/>
      <c r="D181" s="139"/>
      <c r="E181" s="84"/>
      <c r="F181" s="84"/>
    </row>
    <row r="182" spans="1:6">
      <c r="A182" s="22"/>
      <c r="B182" s="43"/>
      <c r="C182" s="22"/>
      <c r="D182" s="148"/>
      <c r="E182" s="93"/>
      <c r="F182" s="149"/>
    </row>
    <row r="183" spans="1:6">
      <c r="A183" s="22"/>
      <c r="B183" s="43"/>
      <c r="C183" s="22"/>
      <c r="D183" s="148"/>
      <c r="E183" s="93"/>
      <c r="F183" s="149"/>
    </row>
    <row r="184" spans="1:6">
      <c r="A184" s="22"/>
      <c r="B184" s="43"/>
      <c r="C184" s="22"/>
      <c r="D184" s="148"/>
      <c r="E184" s="93"/>
      <c r="F184" s="149"/>
    </row>
    <row r="185" spans="1:6">
      <c r="A185" s="22"/>
      <c r="D185" s="139"/>
      <c r="E185" s="84"/>
      <c r="F185" s="84"/>
    </row>
    <row r="186" spans="1:6">
      <c r="A186" s="22"/>
      <c r="B186" s="43"/>
      <c r="C186" s="22"/>
      <c r="D186" s="148"/>
      <c r="E186" s="93"/>
      <c r="F186" s="149"/>
    </row>
    <row r="187" spans="1:6">
      <c r="A187" s="22"/>
      <c r="B187" s="43"/>
      <c r="C187" s="22"/>
      <c r="D187" s="148"/>
      <c r="E187" s="93"/>
      <c r="F187" s="149"/>
    </row>
    <row r="188" spans="1:6">
      <c r="A188" s="22"/>
      <c r="B188" s="43"/>
      <c r="C188" s="22"/>
      <c r="D188" s="148"/>
      <c r="E188" s="93"/>
      <c r="F188" s="149"/>
    </row>
    <row r="189" spans="1:6">
      <c r="A189" s="22"/>
      <c r="D189" s="139"/>
      <c r="E189" s="84"/>
      <c r="F189" s="84"/>
    </row>
    <row r="190" spans="1:6">
      <c r="A190" s="22"/>
      <c r="B190" s="43"/>
      <c r="C190" s="22"/>
      <c r="D190" s="148"/>
      <c r="E190" s="93"/>
      <c r="F190" s="149"/>
    </row>
    <row r="191" spans="1:6">
      <c r="A191" s="22"/>
      <c r="B191" s="43"/>
      <c r="C191" s="22"/>
      <c r="D191" s="148"/>
      <c r="E191" s="93"/>
      <c r="F191" s="149"/>
    </row>
    <row r="192" spans="1:6">
      <c r="A192" s="22"/>
      <c r="B192" s="43"/>
      <c r="C192" s="22"/>
      <c r="D192" s="148"/>
      <c r="E192" s="93"/>
      <c r="F192" s="149"/>
    </row>
    <row r="193" spans="1:6">
      <c r="A193" s="22"/>
      <c r="D193" s="139"/>
      <c r="E193" s="84"/>
      <c r="F193" s="84"/>
    </row>
    <row r="194" spans="1:6">
      <c r="A194" s="22"/>
      <c r="B194" s="43"/>
      <c r="C194" s="22"/>
      <c r="D194" s="148"/>
      <c r="E194" s="93"/>
      <c r="F194" s="149"/>
    </row>
    <row r="195" spans="1:6">
      <c r="A195" s="22"/>
      <c r="B195" s="43"/>
      <c r="C195" s="22"/>
      <c r="D195" s="148"/>
      <c r="E195" s="93"/>
      <c r="F195" s="149"/>
    </row>
    <row r="196" spans="1:6">
      <c r="A196" s="22"/>
      <c r="B196" s="43"/>
      <c r="C196" s="22"/>
      <c r="D196" s="148"/>
      <c r="E196" s="93"/>
      <c r="F196" s="149"/>
    </row>
    <row r="197" spans="1:6">
      <c r="A197" s="22"/>
      <c r="D197" s="139"/>
      <c r="E197" s="84"/>
      <c r="F197" s="84"/>
    </row>
    <row r="198" spans="1:6">
      <c r="A198" s="22"/>
      <c r="B198" s="43"/>
      <c r="C198" s="22"/>
      <c r="D198" s="148"/>
      <c r="E198" s="93"/>
      <c r="F198" s="149"/>
    </row>
    <row r="199" spans="1:6">
      <c r="A199" s="22"/>
      <c r="B199" s="43"/>
      <c r="C199" s="22"/>
      <c r="D199" s="148"/>
      <c r="E199" s="93"/>
      <c r="F199" s="149"/>
    </row>
    <row r="200" spans="1:6">
      <c r="A200" s="22"/>
      <c r="B200" s="43"/>
      <c r="C200" s="22"/>
      <c r="D200" s="148"/>
      <c r="E200" s="93"/>
      <c r="F200" s="149"/>
    </row>
    <row r="201" spans="1:6">
      <c r="A201" s="22"/>
      <c r="D201" s="139"/>
      <c r="E201" s="84"/>
      <c r="F201" s="84"/>
    </row>
    <row r="202" spans="1:6">
      <c r="A202" s="22"/>
      <c r="B202" s="43"/>
      <c r="C202" s="22"/>
      <c r="D202" s="148"/>
      <c r="E202" s="93"/>
      <c r="F202" s="149"/>
    </row>
    <row r="203" spans="1:6">
      <c r="A203" s="22"/>
      <c r="B203" s="43"/>
      <c r="C203" s="22"/>
      <c r="D203" s="148"/>
      <c r="E203" s="93"/>
      <c r="F203" s="149"/>
    </row>
    <row r="204" spans="1:6">
      <c r="A204" s="22"/>
      <c r="B204" s="43"/>
      <c r="C204" s="22"/>
      <c r="D204" s="148"/>
      <c r="E204" s="93"/>
      <c r="F204" s="149"/>
    </row>
    <row r="205" spans="1:6">
      <c r="A205" s="22"/>
      <c r="D205" s="139"/>
      <c r="E205" s="84"/>
      <c r="F205" s="84"/>
    </row>
    <row r="206" spans="1:6">
      <c r="A206" s="22"/>
      <c r="B206" s="43"/>
      <c r="C206" s="22"/>
      <c r="D206" s="148"/>
      <c r="E206" s="93"/>
      <c r="F206" s="149"/>
    </row>
    <row r="207" spans="1:6">
      <c r="A207" s="22"/>
      <c r="B207" s="43"/>
      <c r="C207" s="22"/>
      <c r="D207" s="148"/>
      <c r="E207" s="93"/>
      <c r="F207" s="149"/>
    </row>
    <row r="208" spans="1:6">
      <c r="A208" s="22"/>
      <c r="B208" s="43"/>
      <c r="C208" s="22"/>
      <c r="D208" s="148"/>
      <c r="E208" s="93"/>
      <c r="F208" s="149"/>
    </row>
    <row r="209" spans="1:6">
      <c r="A209" s="22"/>
      <c r="D209" s="139"/>
      <c r="E209" s="84"/>
      <c r="F209" s="84"/>
    </row>
    <row r="210" spans="1:6">
      <c r="A210" s="22"/>
      <c r="B210" s="43"/>
      <c r="C210" s="22"/>
      <c r="D210" s="148"/>
      <c r="E210" s="93"/>
      <c r="F210" s="149"/>
    </row>
    <row r="211" spans="1:6">
      <c r="A211" s="22"/>
      <c r="B211" s="43"/>
      <c r="C211" s="22"/>
      <c r="D211" s="148"/>
      <c r="E211" s="93"/>
      <c r="F211" s="149"/>
    </row>
    <row r="212" spans="1:6">
      <c r="A212" s="22"/>
      <c r="B212" s="43"/>
      <c r="C212" s="22"/>
      <c r="D212" s="148"/>
      <c r="E212" s="93"/>
      <c r="F212" s="149"/>
    </row>
    <row r="213" spans="1:6">
      <c r="A213" s="22"/>
      <c r="D213" s="139"/>
      <c r="E213" s="84"/>
      <c r="F213" s="84"/>
    </row>
    <row r="214" spans="1:6">
      <c r="A214" s="22"/>
      <c r="B214" s="43"/>
      <c r="C214" s="22"/>
      <c r="D214" s="148"/>
      <c r="E214" s="93"/>
      <c r="F214" s="149"/>
    </row>
    <row r="215" spans="1:6">
      <c r="A215" s="22"/>
      <c r="B215" s="43"/>
      <c r="C215" s="22"/>
      <c r="D215" s="148"/>
      <c r="E215" s="93"/>
      <c r="F215" s="149"/>
    </row>
    <row r="216" spans="1:6">
      <c r="A216" s="22"/>
      <c r="B216" s="43"/>
      <c r="C216" s="22"/>
      <c r="D216" s="148"/>
      <c r="E216" s="93"/>
      <c r="F216" s="149"/>
    </row>
    <row r="217" spans="1:6">
      <c r="A217" s="22"/>
      <c r="D217" s="139"/>
      <c r="E217" s="84"/>
      <c r="F217" s="84"/>
    </row>
    <row r="218" spans="1:6">
      <c r="A218" s="22"/>
      <c r="B218" s="43"/>
      <c r="C218" s="22"/>
      <c r="D218" s="148"/>
      <c r="E218" s="93"/>
      <c r="F218" s="149"/>
    </row>
    <row r="219" spans="1:6">
      <c r="A219" s="22"/>
      <c r="B219" s="43"/>
      <c r="C219" s="22"/>
      <c r="D219" s="148"/>
      <c r="E219" s="93"/>
      <c r="F219" s="149"/>
    </row>
    <row r="220" spans="1:6">
      <c r="A220" s="22"/>
      <c r="B220" s="43"/>
      <c r="C220" s="22"/>
      <c r="D220" s="148"/>
      <c r="E220" s="93"/>
      <c r="F220" s="149"/>
    </row>
    <row r="221" spans="1:6">
      <c r="A221" s="22"/>
      <c r="D221" s="139"/>
      <c r="E221" s="84"/>
      <c r="F221" s="84"/>
    </row>
    <row r="222" spans="1:6">
      <c r="A222" s="22"/>
      <c r="B222" s="43"/>
      <c r="C222" s="22"/>
      <c r="D222" s="148"/>
      <c r="E222" s="93"/>
      <c r="F222" s="149"/>
    </row>
    <row r="223" spans="1:6">
      <c r="A223" s="22"/>
      <c r="B223" s="43"/>
      <c r="C223" s="22"/>
      <c r="D223" s="148"/>
      <c r="E223" s="93"/>
      <c r="F223" s="149"/>
    </row>
    <row r="224" spans="1:6">
      <c r="A224" s="22"/>
      <c r="B224" s="43"/>
      <c r="C224" s="22"/>
      <c r="D224" s="148"/>
      <c r="E224" s="93"/>
      <c r="F224" s="149"/>
    </row>
    <row r="225" spans="1:6">
      <c r="A225" s="22"/>
      <c r="D225" s="139"/>
      <c r="E225" s="84"/>
      <c r="F225" s="84"/>
    </row>
    <row r="226" spans="1:6">
      <c r="A226" s="22"/>
      <c r="B226" s="43"/>
      <c r="C226" s="22"/>
      <c r="D226" s="148"/>
      <c r="E226" s="93"/>
      <c r="F226" s="149"/>
    </row>
    <row r="227" spans="1:6">
      <c r="A227" s="22"/>
      <c r="B227" s="43"/>
      <c r="C227" s="22"/>
      <c r="D227" s="148"/>
      <c r="E227" s="93"/>
      <c r="F227" s="149"/>
    </row>
    <row r="228" spans="1:6">
      <c r="A228" s="22"/>
      <c r="B228" s="43"/>
      <c r="C228" s="22"/>
      <c r="D228" s="148"/>
      <c r="E228" s="93"/>
      <c r="F228" s="149"/>
    </row>
    <row r="229" spans="1:6">
      <c r="A229" s="22"/>
      <c r="D229" s="139"/>
      <c r="E229" s="84"/>
      <c r="F229" s="84"/>
    </row>
    <row r="230" spans="1:6">
      <c r="A230" s="22"/>
      <c r="B230" s="43"/>
      <c r="C230" s="22"/>
      <c r="D230" s="148"/>
      <c r="E230" s="93"/>
      <c r="F230" s="149"/>
    </row>
    <row r="231" spans="1:6">
      <c r="A231" s="22"/>
      <c r="B231" s="43"/>
      <c r="C231" s="22"/>
      <c r="D231" s="148"/>
      <c r="E231" s="93"/>
      <c r="F231" s="149"/>
    </row>
    <row r="232" spans="1:6">
      <c r="A232" s="22"/>
      <c r="B232" s="43"/>
      <c r="C232" s="22"/>
      <c r="D232" s="148"/>
      <c r="E232" s="93"/>
      <c r="F232" s="149"/>
    </row>
    <row r="233" spans="1:6">
      <c r="A233" s="22"/>
      <c r="D233" s="139"/>
      <c r="E233" s="84"/>
      <c r="F233" s="84"/>
    </row>
    <row r="234" spans="1:6">
      <c r="A234" s="22"/>
      <c r="B234" s="43"/>
      <c r="C234" s="22"/>
      <c r="D234" s="148"/>
      <c r="E234" s="93"/>
      <c r="F234" s="149"/>
    </row>
    <row r="235" spans="1:6">
      <c r="A235" s="22"/>
      <c r="B235" s="43"/>
      <c r="C235" s="22"/>
      <c r="D235" s="148"/>
      <c r="E235" s="93"/>
      <c r="F235" s="149"/>
    </row>
    <row r="236" spans="1:6">
      <c r="A236" s="22"/>
      <c r="B236" s="43"/>
      <c r="C236" s="22"/>
      <c r="D236" s="148"/>
      <c r="E236" s="93"/>
      <c r="F236" s="149"/>
    </row>
    <row r="237" spans="1:6">
      <c r="A237" s="22"/>
      <c r="D237" s="139"/>
      <c r="E237" s="84"/>
      <c r="F237" s="84"/>
    </row>
    <row r="238" spans="1:6">
      <c r="A238" s="22"/>
      <c r="B238" s="43"/>
      <c r="C238" s="22"/>
      <c r="D238" s="148"/>
      <c r="E238" s="93"/>
      <c r="F238" s="149"/>
    </row>
    <row r="239" spans="1:6">
      <c r="A239" s="22"/>
      <c r="B239" s="43"/>
      <c r="C239" s="22"/>
      <c r="D239" s="148"/>
      <c r="E239" s="93"/>
      <c r="F239" s="149"/>
    </row>
    <row r="240" spans="1:6">
      <c r="A240" s="22"/>
      <c r="B240" s="43"/>
      <c r="C240" s="22"/>
      <c r="D240" s="148"/>
      <c r="E240" s="93"/>
      <c r="F240" s="149"/>
    </row>
    <row r="241" spans="1:6">
      <c r="A241" s="22"/>
      <c r="D241" s="139"/>
      <c r="E241" s="84"/>
      <c r="F241" s="84"/>
    </row>
    <row r="242" spans="1:6">
      <c r="A242" s="22"/>
      <c r="B242" s="43"/>
      <c r="C242" s="22"/>
      <c r="D242" s="148"/>
      <c r="E242" s="93"/>
      <c r="F242" s="149"/>
    </row>
    <row r="243" spans="1:6">
      <c r="A243" s="22"/>
      <c r="B243" s="43"/>
      <c r="C243" s="22"/>
      <c r="D243" s="148"/>
      <c r="E243" s="93"/>
      <c r="F243" s="149"/>
    </row>
    <row r="244" spans="1:6">
      <c r="A244" s="22"/>
      <c r="B244" s="43"/>
      <c r="C244" s="22"/>
      <c r="D244" s="148"/>
      <c r="E244" s="93"/>
      <c r="F244" s="149"/>
    </row>
    <row r="245" spans="1:6">
      <c r="A245" s="22"/>
      <c r="D245" s="139"/>
      <c r="E245" s="84"/>
      <c r="F245" s="84"/>
    </row>
    <row r="246" spans="1:6">
      <c r="A246" s="22"/>
      <c r="B246" s="43"/>
      <c r="C246" s="22"/>
      <c r="D246" s="148"/>
      <c r="E246" s="93"/>
      <c r="F246" s="149"/>
    </row>
    <row r="247" spans="1:6">
      <c r="A247" s="22"/>
      <c r="B247" s="43"/>
      <c r="C247" s="22"/>
      <c r="D247" s="148"/>
      <c r="E247" s="93"/>
      <c r="F247" s="149"/>
    </row>
    <row r="248" spans="1:6">
      <c r="A248" s="22"/>
      <c r="B248" s="43"/>
      <c r="C248" s="22"/>
      <c r="D248" s="148"/>
      <c r="E248" s="93"/>
      <c r="F248" s="149"/>
    </row>
    <row r="249" spans="1:6">
      <c r="A249" s="22"/>
      <c r="D249" s="139"/>
      <c r="E249" s="84"/>
      <c r="F249" s="84"/>
    </row>
    <row r="250" spans="1:6">
      <c r="A250" s="22"/>
      <c r="B250" s="43"/>
      <c r="C250" s="22"/>
      <c r="D250" s="148"/>
      <c r="E250" s="93"/>
      <c r="F250" s="149"/>
    </row>
    <row r="251" spans="1:6">
      <c r="A251" s="22"/>
      <c r="B251" s="43"/>
      <c r="C251" s="22"/>
      <c r="D251" s="148"/>
      <c r="E251" s="93"/>
      <c r="F251" s="149"/>
    </row>
    <row r="252" spans="1:6">
      <c r="A252" s="22"/>
      <c r="B252" s="43"/>
      <c r="C252" s="22"/>
      <c r="D252" s="148"/>
      <c r="E252" s="93"/>
      <c r="F252" s="149"/>
    </row>
    <row r="253" spans="1:6">
      <c r="A253" s="22"/>
      <c r="D253" s="139"/>
      <c r="E253" s="84"/>
      <c r="F253" s="84"/>
    </row>
    <row r="254" spans="1:6">
      <c r="A254" s="22"/>
      <c r="B254" s="43"/>
      <c r="C254" s="22"/>
      <c r="D254" s="148"/>
      <c r="E254" s="93"/>
      <c r="F254" s="149"/>
    </row>
    <row r="255" spans="1:6">
      <c r="A255" s="22"/>
      <c r="B255" s="43"/>
      <c r="C255" s="22"/>
      <c r="D255" s="148"/>
      <c r="E255" s="93"/>
      <c r="F255" s="149"/>
    </row>
    <row r="256" spans="1:6">
      <c r="A256" s="22"/>
      <c r="B256" s="43"/>
      <c r="C256" s="22"/>
      <c r="D256" s="148"/>
      <c r="E256" s="93"/>
      <c r="F256" s="149"/>
    </row>
    <row r="257" spans="1:6">
      <c r="A257" s="22"/>
      <c r="D257" s="139"/>
      <c r="E257" s="84"/>
      <c r="F257" s="84"/>
    </row>
    <row r="258" spans="1:6">
      <c r="A258" s="22"/>
      <c r="B258" s="43"/>
      <c r="C258" s="22"/>
      <c r="D258" s="148"/>
      <c r="E258" s="93"/>
      <c r="F258" s="149"/>
    </row>
    <row r="259" spans="1:6">
      <c r="A259" s="22"/>
      <c r="B259" s="43"/>
      <c r="C259" s="22"/>
      <c r="D259" s="148"/>
      <c r="E259" s="93"/>
      <c r="F259" s="149"/>
    </row>
    <row r="260" spans="1:6">
      <c r="A260" s="22"/>
      <c r="B260" s="43"/>
      <c r="C260" s="22"/>
      <c r="D260" s="148"/>
      <c r="E260" s="93"/>
      <c r="F260" s="149"/>
    </row>
    <row r="261" spans="1:6">
      <c r="A261" s="22"/>
      <c r="D261" s="139"/>
      <c r="E261" s="84"/>
      <c r="F261" s="84"/>
    </row>
    <row r="262" spans="1:6">
      <c r="A262" s="22"/>
      <c r="B262" s="43"/>
      <c r="C262" s="22"/>
      <c r="D262" s="148"/>
      <c r="E262" s="93"/>
      <c r="F262" s="149"/>
    </row>
    <row r="263" spans="1:6">
      <c r="A263" s="22"/>
      <c r="B263" s="43"/>
      <c r="C263" s="22"/>
      <c r="D263" s="148"/>
      <c r="E263" s="93"/>
      <c r="F263" s="149"/>
    </row>
    <row r="264" spans="1:6">
      <c r="A264" s="22"/>
      <c r="B264" s="43"/>
      <c r="C264" s="22"/>
      <c r="D264" s="148"/>
      <c r="E264" s="93"/>
      <c r="F264" s="149"/>
    </row>
    <row r="265" spans="1:6">
      <c r="A265" s="22"/>
      <c r="D265" s="139"/>
      <c r="E265" s="84"/>
      <c r="F265" s="84"/>
    </row>
    <row r="266" spans="1:6">
      <c r="A266" s="22"/>
      <c r="B266" s="43"/>
      <c r="C266" s="22"/>
      <c r="D266" s="148"/>
      <c r="E266" s="93"/>
      <c r="F266" s="149"/>
    </row>
    <row r="267" spans="1:6">
      <c r="A267" s="22"/>
      <c r="B267" s="43"/>
      <c r="C267" s="22"/>
      <c r="D267" s="148"/>
      <c r="E267" s="93"/>
      <c r="F267" s="149"/>
    </row>
    <row r="268" spans="1:6">
      <c r="A268" s="22"/>
      <c r="B268" s="43"/>
      <c r="C268" s="22"/>
      <c r="D268" s="148"/>
      <c r="E268" s="93"/>
      <c r="F268" s="149"/>
    </row>
    <row r="269" spans="1:6">
      <c r="A269" s="22"/>
      <c r="D269" s="139"/>
      <c r="E269" s="84"/>
      <c r="F269" s="84"/>
    </row>
    <row r="270" spans="1:6">
      <c r="A270" s="22"/>
      <c r="B270" s="43"/>
      <c r="C270" s="22"/>
      <c r="D270" s="148"/>
      <c r="E270" s="93"/>
      <c r="F270" s="149"/>
    </row>
    <row r="271" spans="1:6">
      <c r="A271" s="22"/>
      <c r="B271" s="43"/>
      <c r="C271" s="22"/>
      <c r="D271" s="148"/>
      <c r="E271" s="93"/>
      <c r="F271" s="149"/>
    </row>
    <row r="272" spans="1:6">
      <c r="A272" s="22"/>
      <c r="B272" s="43"/>
      <c r="C272" s="22"/>
      <c r="D272" s="148"/>
      <c r="E272" s="93"/>
      <c r="F272" s="149"/>
    </row>
    <row r="273" spans="1:6">
      <c r="A273" s="22"/>
      <c r="D273" s="139"/>
      <c r="E273" s="84"/>
      <c r="F273" s="84"/>
    </row>
    <row r="274" spans="1:6">
      <c r="A274" s="22"/>
      <c r="B274" s="43"/>
      <c r="C274" s="22"/>
      <c r="D274" s="148"/>
      <c r="E274" s="93"/>
      <c r="F274" s="149"/>
    </row>
    <row r="275" spans="1:6">
      <c r="A275" s="22"/>
      <c r="B275" s="43"/>
      <c r="C275" s="22"/>
      <c r="D275" s="148"/>
      <c r="E275" s="93"/>
      <c r="F275" s="149"/>
    </row>
    <row r="276" spans="1:6">
      <c r="A276" s="22"/>
      <c r="B276" s="43"/>
      <c r="C276" s="22"/>
      <c r="D276" s="148"/>
      <c r="E276" s="93"/>
      <c r="F276" s="149"/>
    </row>
    <row r="277" spans="1:6">
      <c r="A277" s="22"/>
      <c r="D277" s="139"/>
      <c r="E277" s="84"/>
      <c r="F277" s="84"/>
    </row>
    <row r="278" spans="1:6">
      <c r="A278" s="22"/>
      <c r="B278" s="43"/>
      <c r="C278" s="22"/>
      <c r="D278" s="148"/>
      <c r="E278" s="93"/>
      <c r="F278" s="149"/>
    </row>
    <row r="279" spans="1:6">
      <c r="A279" s="22"/>
      <c r="B279" s="43"/>
      <c r="C279" s="22"/>
      <c r="D279" s="148"/>
      <c r="E279" s="93"/>
      <c r="F279" s="149"/>
    </row>
    <row r="280" spans="1:6">
      <c r="A280" s="22"/>
      <c r="B280" s="43"/>
      <c r="C280" s="22"/>
      <c r="D280" s="148"/>
      <c r="E280" s="93"/>
      <c r="F280" s="149"/>
    </row>
    <row r="281" spans="1:6">
      <c r="A281" s="22"/>
      <c r="D281" s="139"/>
      <c r="E281" s="84"/>
      <c r="F281" s="84"/>
    </row>
    <row r="282" spans="1:6">
      <c r="A282" s="22"/>
      <c r="B282" s="43"/>
      <c r="C282" s="22"/>
      <c r="D282" s="148"/>
      <c r="E282" s="93"/>
      <c r="F282" s="149"/>
    </row>
    <row r="283" spans="1:6">
      <c r="A283" s="22"/>
      <c r="B283" s="43"/>
      <c r="C283" s="22"/>
      <c r="D283" s="148"/>
      <c r="E283" s="93"/>
      <c r="F283" s="149"/>
    </row>
    <row r="284" spans="1:6">
      <c r="A284" s="22"/>
      <c r="B284" s="43"/>
      <c r="C284" s="22"/>
      <c r="D284" s="148"/>
      <c r="E284" s="93"/>
      <c r="F284" s="149"/>
    </row>
    <row r="285" spans="1:6">
      <c r="A285" s="22"/>
      <c r="D285" s="139"/>
      <c r="E285" s="84"/>
      <c r="F285" s="84"/>
    </row>
    <row r="286" spans="1:6">
      <c r="A286" s="22"/>
      <c r="B286" s="43"/>
      <c r="C286" s="22"/>
      <c r="D286" s="148"/>
      <c r="E286" s="93"/>
      <c r="F286" s="149"/>
    </row>
    <row r="287" spans="1:6">
      <c r="A287" s="22"/>
      <c r="B287" s="43"/>
      <c r="C287" s="22"/>
      <c r="D287" s="148"/>
      <c r="E287" s="93"/>
      <c r="F287" s="149"/>
    </row>
    <row r="288" spans="1:6">
      <c r="A288" s="22"/>
      <c r="B288" s="43"/>
      <c r="C288" s="22"/>
      <c r="D288" s="148"/>
      <c r="E288" s="93"/>
      <c r="F288" s="149"/>
    </row>
    <row r="289" spans="1:6">
      <c r="A289" s="22"/>
      <c r="D289" s="139"/>
      <c r="E289" s="84"/>
      <c r="F289" s="84"/>
    </row>
    <row r="290" spans="1:6">
      <c r="A290" s="22"/>
      <c r="B290" s="43"/>
      <c r="C290" s="22"/>
      <c r="D290" s="148"/>
      <c r="E290" s="93"/>
      <c r="F290" s="149"/>
    </row>
    <row r="291" spans="1:6">
      <c r="A291" s="22"/>
      <c r="B291" s="43"/>
      <c r="C291" s="22"/>
      <c r="D291" s="148"/>
      <c r="E291" s="93"/>
      <c r="F291" s="149"/>
    </row>
    <row r="292" spans="1:6">
      <c r="A292" s="22"/>
      <c r="B292" s="43"/>
      <c r="C292" s="22"/>
      <c r="D292" s="148"/>
      <c r="E292" s="93"/>
      <c r="F292" s="149"/>
    </row>
    <row r="293" spans="1:6">
      <c r="A293" s="22"/>
      <c r="D293" s="139"/>
      <c r="E293" s="84"/>
      <c r="F293" s="84"/>
    </row>
    <row r="294" spans="1:6">
      <c r="A294" s="22"/>
      <c r="B294" s="43"/>
      <c r="C294" s="22"/>
      <c r="D294" s="148"/>
      <c r="E294" s="93"/>
      <c r="F294" s="149"/>
    </row>
    <row r="295" spans="1:6">
      <c r="A295" s="22"/>
      <c r="B295" s="43"/>
      <c r="C295" s="22"/>
      <c r="D295" s="148"/>
      <c r="E295" s="93"/>
      <c r="F295" s="149"/>
    </row>
    <row r="296" spans="1:6">
      <c r="A296" s="22"/>
      <c r="B296" s="43"/>
      <c r="C296" s="22"/>
      <c r="D296" s="148"/>
      <c r="E296" s="93"/>
      <c r="F296" s="149"/>
    </row>
    <row r="297" spans="1:6">
      <c r="A297" s="22"/>
      <c r="D297" s="139"/>
      <c r="E297" s="84"/>
      <c r="F297" s="84"/>
    </row>
    <row r="298" spans="1:6">
      <c r="A298" s="22"/>
      <c r="B298" s="43"/>
      <c r="C298" s="22"/>
      <c r="D298" s="148"/>
      <c r="E298" s="93"/>
      <c r="F298" s="149"/>
    </row>
    <row r="299" spans="1:6">
      <c r="A299" s="22"/>
      <c r="B299" s="43"/>
      <c r="C299" s="22"/>
      <c r="D299" s="148"/>
      <c r="E299" s="93"/>
      <c r="F299" s="149"/>
    </row>
    <row r="300" spans="1:6">
      <c r="A300" s="22"/>
      <c r="B300" s="43"/>
      <c r="C300" s="22"/>
      <c r="D300" s="148"/>
      <c r="E300" s="93"/>
      <c r="F300" s="149"/>
    </row>
    <row r="301" spans="1:6">
      <c r="A301" s="22"/>
      <c r="D301" s="139"/>
      <c r="E301" s="84"/>
      <c r="F301" s="84"/>
    </row>
    <row r="302" spans="1:6">
      <c r="A302" s="22"/>
      <c r="B302" s="43"/>
      <c r="C302" s="22"/>
      <c r="D302" s="148"/>
      <c r="E302" s="93"/>
      <c r="F302" s="149"/>
    </row>
    <row r="303" spans="1:6">
      <c r="A303" s="22"/>
      <c r="B303" s="43"/>
      <c r="C303" s="22"/>
      <c r="D303" s="148"/>
      <c r="E303" s="93"/>
      <c r="F303" s="149"/>
    </row>
    <row r="304" spans="1:6">
      <c r="A304" s="22"/>
      <c r="B304" s="43"/>
      <c r="C304" s="22"/>
      <c r="D304" s="148"/>
      <c r="E304" s="93"/>
      <c r="F304" s="149"/>
    </row>
    <row r="305" spans="1:6">
      <c r="A305" s="22"/>
      <c r="D305" s="139"/>
      <c r="E305" s="84"/>
      <c r="F305" s="84"/>
    </row>
    <row r="306" spans="1:6">
      <c r="A306" s="22"/>
      <c r="B306" s="43"/>
      <c r="C306" s="22"/>
      <c r="D306" s="148"/>
      <c r="E306" s="93"/>
      <c r="F306" s="149"/>
    </row>
    <row r="307" spans="1:6">
      <c r="A307" s="22"/>
      <c r="B307" s="43"/>
      <c r="C307" s="22"/>
      <c r="D307" s="148"/>
      <c r="E307" s="93"/>
      <c r="F307" s="149"/>
    </row>
    <row r="308" spans="1:6">
      <c r="A308" s="22"/>
      <c r="B308" s="43"/>
      <c r="C308" s="22"/>
      <c r="D308" s="148"/>
      <c r="E308" s="93"/>
      <c r="F308" s="149"/>
    </row>
    <row r="309" spans="1:6">
      <c r="A309" s="22"/>
      <c r="D309" s="139"/>
      <c r="E309" s="84"/>
      <c r="F309" s="84"/>
    </row>
    <row r="310" spans="1:6">
      <c r="A310" s="22"/>
      <c r="B310" s="43"/>
      <c r="C310" s="22"/>
      <c r="D310" s="148"/>
      <c r="E310" s="93"/>
      <c r="F310" s="149"/>
    </row>
    <row r="311" spans="1:6">
      <c r="A311" s="22"/>
      <c r="B311" s="43"/>
      <c r="C311" s="22"/>
      <c r="D311" s="148"/>
      <c r="E311" s="93"/>
      <c r="F311" s="149"/>
    </row>
    <row r="312" spans="1:6">
      <c r="A312" s="22"/>
      <c r="B312" s="43"/>
      <c r="C312" s="22"/>
      <c r="D312" s="148"/>
      <c r="E312" s="93"/>
      <c r="F312" s="149"/>
    </row>
    <row r="313" spans="1:6">
      <c r="A313" s="22"/>
      <c r="D313" s="139"/>
      <c r="E313" s="84"/>
      <c r="F313" s="84"/>
    </row>
    <row r="314" spans="1:6">
      <c r="A314" s="22"/>
      <c r="B314" s="43"/>
      <c r="C314" s="22"/>
      <c r="D314" s="148"/>
      <c r="E314" s="93"/>
      <c r="F314" s="149"/>
    </row>
    <row r="315" spans="1:6">
      <c r="A315" s="22"/>
      <c r="B315" s="43"/>
      <c r="C315" s="22"/>
      <c r="D315" s="148"/>
      <c r="E315" s="93"/>
      <c r="F315" s="149"/>
    </row>
    <row r="316" spans="1:6">
      <c r="A316" s="22"/>
      <c r="B316" s="43"/>
      <c r="C316" s="22"/>
      <c r="D316" s="148"/>
      <c r="E316" s="93"/>
      <c r="F316" s="149"/>
    </row>
    <row r="317" spans="1:6">
      <c r="A317" s="22"/>
      <c r="D317" s="139"/>
      <c r="E317" s="84"/>
      <c r="F317" s="84"/>
    </row>
    <row r="318" spans="1:6">
      <c r="A318" s="22"/>
      <c r="B318" s="43"/>
      <c r="C318" s="22"/>
      <c r="D318" s="148"/>
      <c r="E318" s="93"/>
      <c r="F318" s="149"/>
    </row>
    <row r="319" spans="1:6">
      <c r="A319" s="22"/>
      <c r="B319" s="43"/>
      <c r="C319" s="22"/>
      <c r="D319" s="148"/>
      <c r="E319" s="93"/>
      <c r="F319" s="149"/>
    </row>
    <row r="320" spans="1:6">
      <c r="A320" s="22"/>
      <c r="B320" s="43"/>
      <c r="C320" s="22"/>
      <c r="D320" s="148"/>
      <c r="E320" s="93"/>
      <c r="F320" s="149"/>
    </row>
    <row r="321" spans="1:6">
      <c r="A321" s="22"/>
      <c r="D321" s="139"/>
      <c r="E321" s="84"/>
      <c r="F321" s="84"/>
    </row>
    <row r="322" spans="1:6">
      <c r="A322" s="22"/>
      <c r="B322" s="43"/>
      <c r="C322" s="22"/>
      <c r="D322" s="148"/>
      <c r="E322" s="93"/>
      <c r="F322" s="149"/>
    </row>
    <row r="323" spans="1:6">
      <c r="A323" s="22"/>
      <c r="B323" s="43"/>
      <c r="C323" s="22"/>
      <c r="D323" s="148"/>
      <c r="E323" s="93"/>
      <c r="F323" s="149"/>
    </row>
    <row r="324" spans="1:6">
      <c r="A324" s="22"/>
      <c r="B324" s="43"/>
      <c r="C324" s="22"/>
      <c r="D324" s="148"/>
      <c r="E324" s="93"/>
      <c r="F324" s="149"/>
    </row>
    <row r="325" spans="1:6">
      <c r="A325" s="22"/>
      <c r="D325" s="139"/>
      <c r="E325" s="84"/>
      <c r="F325" s="84"/>
    </row>
    <row r="326" spans="1:6">
      <c r="A326" s="22"/>
      <c r="B326" s="43"/>
      <c r="C326" s="22"/>
      <c r="D326" s="148"/>
      <c r="E326" s="93"/>
      <c r="F326" s="149"/>
    </row>
    <row r="327" spans="1:6">
      <c r="A327" s="22"/>
      <c r="B327" s="43"/>
      <c r="C327" s="22"/>
      <c r="D327" s="148"/>
      <c r="E327" s="93"/>
      <c r="F327" s="149"/>
    </row>
    <row r="328" spans="1:6">
      <c r="A328" s="22"/>
      <c r="B328" s="43"/>
      <c r="C328" s="22"/>
      <c r="D328" s="148"/>
      <c r="E328" s="93"/>
      <c r="F328" s="149"/>
    </row>
    <row r="329" spans="1:6">
      <c r="A329" s="22"/>
      <c r="D329" s="139"/>
      <c r="E329" s="84"/>
      <c r="F329" s="84"/>
    </row>
    <row r="330" spans="1:6">
      <c r="A330" s="22"/>
      <c r="B330" s="43"/>
      <c r="C330" s="22"/>
      <c r="D330" s="148"/>
      <c r="E330" s="93"/>
      <c r="F330" s="149"/>
    </row>
    <row r="331" spans="1:6">
      <c r="A331" s="22"/>
      <c r="B331" s="43"/>
      <c r="C331" s="22"/>
      <c r="D331" s="148"/>
      <c r="E331" s="93"/>
      <c r="F331" s="149"/>
    </row>
    <row r="332" spans="1:6">
      <c r="A332" s="22"/>
      <c r="B332" s="43"/>
      <c r="C332" s="22"/>
      <c r="D332" s="148"/>
      <c r="E332" s="93"/>
      <c r="F332" s="149"/>
    </row>
    <row r="333" spans="1:6">
      <c r="A333" s="22"/>
      <c r="D333" s="139"/>
      <c r="E333" s="84"/>
      <c r="F333" s="84"/>
    </row>
    <row r="334" spans="1:6">
      <c r="A334" s="22"/>
      <c r="B334" s="43"/>
      <c r="C334" s="22"/>
      <c r="D334" s="148"/>
      <c r="E334" s="93"/>
      <c r="F334" s="149"/>
    </row>
    <row r="335" spans="1:6">
      <c r="A335" s="22"/>
      <c r="B335" s="43"/>
      <c r="C335" s="22"/>
      <c r="D335" s="148"/>
      <c r="E335" s="93"/>
      <c r="F335" s="149"/>
    </row>
    <row r="336" spans="1:6">
      <c r="A336" s="22"/>
      <c r="B336" s="43"/>
      <c r="C336" s="22"/>
      <c r="D336" s="148"/>
      <c r="E336" s="93"/>
      <c r="F336" s="149"/>
    </row>
    <row r="337" spans="1:6">
      <c r="A337" s="22"/>
      <c r="D337" s="139"/>
      <c r="E337" s="84"/>
      <c r="F337" s="84"/>
    </row>
    <row r="338" spans="1:6">
      <c r="A338" s="22"/>
      <c r="B338" s="43"/>
      <c r="C338" s="22"/>
      <c r="D338" s="148"/>
      <c r="E338" s="93"/>
      <c r="F338" s="149"/>
    </row>
    <row r="339" spans="1:6">
      <c r="A339" s="22"/>
      <c r="B339" s="43"/>
      <c r="C339" s="22"/>
      <c r="D339" s="148"/>
      <c r="E339" s="93"/>
      <c r="F339" s="149"/>
    </row>
    <row r="340" spans="1:6">
      <c r="A340" s="22"/>
      <c r="B340" s="43"/>
      <c r="C340" s="22"/>
      <c r="D340" s="148"/>
      <c r="E340" s="93"/>
      <c r="F340" s="149"/>
    </row>
    <row r="341" spans="1:6">
      <c r="A341" s="22"/>
      <c r="D341" s="139"/>
      <c r="E341" s="84"/>
      <c r="F341" s="84"/>
    </row>
    <row r="342" spans="1:6">
      <c r="A342" s="22"/>
      <c r="B342" s="43"/>
      <c r="C342" s="22"/>
      <c r="D342" s="148"/>
      <c r="E342" s="93"/>
      <c r="F342" s="149"/>
    </row>
    <row r="343" spans="1:6">
      <c r="A343" s="22"/>
      <c r="B343" s="43"/>
      <c r="C343" s="22"/>
      <c r="D343" s="148"/>
      <c r="E343" s="93"/>
      <c r="F343" s="149"/>
    </row>
    <row r="344" spans="1:6">
      <c r="A344" s="22"/>
      <c r="B344" s="43"/>
      <c r="C344" s="22"/>
      <c r="D344" s="148"/>
      <c r="E344" s="93"/>
      <c r="F344" s="149"/>
    </row>
    <row r="345" spans="1:6">
      <c r="A345" s="22"/>
      <c r="D345" s="139"/>
      <c r="E345" s="84"/>
      <c r="F345" s="84"/>
    </row>
    <row r="346" spans="1:6">
      <c r="A346" s="22"/>
      <c r="B346" s="43"/>
      <c r="C346" s="22"/>
      <c r="D346" s="148"/>
      <c r="E346" s="93"/>
      <c r="F346" s="149"/>
    </row>
    <row r="347" spans="1:6">
      <c r="A347" s="22"/>
      <c r="B347" s="43"/>
      <c r="C347" s="22"/>
      <c r="D347" s="148"/>
      <c r="E347" s="93"/>
      <c r="F347" s="149"/>
    </row>
    <row r="348" spans="1:6">
      <c r="A348" s="22"/>
      <c r="B348" s="43"/>
      <c r="C348" s="22"/>
      <c r="D348" s="148"/>
      <c r="E348" s="93"/>
      <c r="F348" s="149"/>
    </row>
    <row r="349" spans="1:6">
      <c r="A349" s="22"/>
      <c r="D349" s="139"/>
      <c r="E349" s="84"/>
      <c r="F349" s="84"/>
    </row>
    <row r="350" spans="1:6">
      <c r="A350" s="22"/>
      <c r="B350" s="43"/>
      <c r="C350" s="22"/>
      <c r="D350" s="148"/>
      <c r="E350" s="93"/>
      <c r="F350" s="149"/>
    </row>
    <row r="351" spans="1:6">
      <c r="A351" s="22"/>
      <c r="B351" s="43"/>
      <c r="C351" s="22"/>
      <c r="D351" s="148"/>
      <c r="E351" s="93"/>
      <c r="F351" s="149"/>
    </row>
    <row r="352" spans="1:6">
      <c r="A352" s="22"/>
      <c r="B352" s="43"/>
      <c r="C352" s="22"/>
      <c r="D352" s="148"/>
      <c r="E352" s="93"/>
      <c r="F352" s="149"/>
    </row>
    <row r="353" spans="1:6">
      <c r="A353" s="22"/>
      <c r="D353" s="139"/>
      <c r="E353" s="84"/>
      <c r="F353" s="84"/>
    </row>
    <row r="354" spans="1:6">
      <c r="A354" s="22"/>
      <c r="B354" s="43"/>
      <c r="C354" s="22"/>
      <c r="D354" s="148"/>
      <c r="E354" s="93"/>
      <c r="F354" s="149"/>
    </row>
    <row r="355" spans="1:6">
      <c r="A355" s="22"/>
      <c r="B355" s="43"/>
      <c r="C355" s="22"/>
      <c r="D355" s="148"/>
      <c r="E355" s="93"/>
      <c r="F355" s="149"/>
    </row>
    <row r="356" spans="1:6">
      <c r="A356" s="22"/>
      <c r="B356" s="43"/>
      <c r="C356" s="22"/>
      <c r="D356" s="148"/>
      <c r="E356" s="93"/>
      <c r="F356" s="149"/>
    </row>
    <row r="357" spans="1:6">
      <c r="A357" s="22"/>
      <c r="D357" s="139"/>
      <c r="E357" s="84"/>
      <c r="F357" s="84"/>
    </row>
    <row r="358" spans="1:6">
      <c r="A358" s="22"/>
      <c r="B358" s="43"/>
      <c r="C358" s="22"/>
      <c r="D358" s="148"/>
      <c r="E358" s="93"/>
      <c r="F358" s="149"/>
    </row>
    <row r="359" spans="1:6">
      <c r="A359" s="22"/>
      <c r="B359" s="43"/>
      <c r="C359" s="22"/>
      <c r="D359" s="148"/>
      <c r="E359" s="93"/>
      <c r="F359" s="149"/>
    </row>
    <row r="360" spans="1:6">
      <c r="A360" s="22"/>
      <c r="B360" s="43"/>
      <c r="C360" s="22"/>
      <c r="D360" s="148"/>
      <c r="E360" s="93"/>
      <c r="F360" s="149"/>
    </row>
    <row r="361" spans="1:6">
      <c r="A361" s="22"/>
      <c r="D361" s="139"/>
      <c r="E361" s="84"/>
      <c r="F361" s="84"/>
    </row>
    <row r="362" spans="1:6">
      <c r="A362" s="22"/>
      <c r="B362" s="43"/>
      <c r="C362" s="22"/>
      <c r="D362" s="148"/>
      <c r="E362" s="93"/>
      <c r="F362" s="149"/>
    </row>
    <row r="363" spans="1:6">
      <c r="A363" s="22"/>
      <c r="B363" s="43"/>
      <c r="C363" s="22"/>
      <c r="D363" s="148"/>
      <c r="E363" s="93"/>
      <c r="F363" s="149"/>
    </row>
    <row r="364" spans="1:6">
      <c r="A364" s="22"/>
      <c r="B364" s="43"/>
      <c r="C364" s="22"/>
      <c r="D364" s="148"/>
      <c r="E364" s="93"/>
      <c r="F364" s="149"/>
    </row>
    <row r="365" spans="1:6">
      <c r="A365" s="22"/>
      <c r="D365" s="139"/>
      <c r="E365" s="84"/>
      <c r="F365" s="84"/>
    </row>
    <row r="366" spans="1:6">
      <c r="A366" s="22"/>
      <c r="B366" s="43"/>
      <c r="C366" s="22"/>
      <c r="D366" s="148"/>
      <c r="E366" s="93"/>
      <c r="F366" s="149"/>
    </row>
    <row r="367" spans="1:6">
      <c r="A367" s="22"/>
      <c r="B367" s="43"/>
      <c r="C367" s="22"/>
      <c r="D367" s="148"/>
      <c r="E367" s="93"/>
      <c r="F367" s="149"/>
    </row>
    <row r="368" spans="1:6">
      <c r="A368" s="22"/>
      <c r="B368" s="43"/>
      <c r="C368" s="22"/>
      <c r="D368" s="148"/>
      <c r="E368" s="93"/>
      <c r="F368" s="149"/>
    </row>
    <row r="369" spans="1:6">
      <c r="A369" s="22"/>
      <c r="D369" s="139"/>
      <c r="E369" s="84"/>
      <c r="F369" s="84"/>
    </row>
    <row r="370" spans="1:6">
      <c r="A370" s="22"/>
      <c r="B370" s="43"/>
      <c r="C370" s="22"/>
      <c r="D370" s="148"/>
      <c r="E370" s="93"/>
      <c r="F370" s="149"/>
    </row>
    <row r="371" spans="1:6">
      <c r="A371" s="22"/>
      <c r="B371" s="43"/>
      <c r="C371" s="22"/>
      <c r="D371" s="148"/>
      <c r="E371" s="93"/>
      <c r="F371" s="149"/>
    </row>
    <row r="372" spans="1:6">
      <c r="A372" s="22"/>
      <c r="B372" s="43"/>
      <c r="C372" s="22"/>
      <c r="D372" s="148"/>
      <c r="E372" s="93"/>
      <c r="F372" s="149"/>
    </row>
    <row r="373" spans="1:6">
      <c r="A373" s="22"/>
      <c r="D373" s="139"/>
      <c r="E373" s="84"/>
      <c r="F373" s="84"/>
    </row>
    <row r="374" spans="1:6">
      <c r="A374" s="22"/>
      <c r="B374" s="43"/>
      <c r="C374" s="22"/>
      <c r="D374" s="148"/>
      <c r="E374" s="93"/>
      <c r="F374" s="149"/>
    </row>
    <row r="375" spans="1:6">
      <c r="A375" s="22"/>
      <c r="B375" s="43"/>
      <c r="C375" s="22"/>
      <c r="D375" s="148"/>
      <c r="E375" s="93"/>
      <c r="F375" s="149"/>
    </row>
    <row r="376" spans="1:6">
      <c r="A376" s="22"/>
      <c r="B376" s="43"/>
      <c r="C376" s="22"/>
      <c r="D376" s="148"/>
      <c r="E376" s="93"/>
      <c r="F376" s="149"/>
    </row>
    <row r="377" spans="1:6">
      <c r="A377" s="22"/>
      <c r="D377" s="139"/>
      <c r="E377" s="84"/>
      <c r="F377" s="84"/>
    </row>
    <row r="378" spans="1:6">
      <c r="A378" s="22"/>
      <c r="B378" s="43"/>
      <c r="C378" s="22"/>
      <c r="D378" s="148"/>
      <c r="E378" s="93"/>
      <c r="F378" s="149"/>
    </row>
    <row r="379" spans="1:6">
      <c r="A379" s="22"/>
      <c r="B379" s="43"/>
      <c r="C379" s="22"/>
      <c r="D379" s="148"/>
      <c r="E379" s="93"/>
      <c r="F379" s="149"/>
    </row>
    <row r="380" spans="1:6">
      <c r="A380" s="22"/>
      <c r="B380" s="43"/>
      <c r="C380" s="22"/>
      <c r="D380" s="148"/>
      <c r="E380" s="93"/>
      <c r="F380" s="149"/>
    </row>
    <row r="381" spans="1:6">
      <c r="A381" s="22"/>
      <c r="D381" s="139"/>
      <c r="E381" s="84"/>
      <c r="F381" s="84"/>
    </row>
    <row r="382" spans="1:6">
      <c r="A382" s="22"/>
      <c r="B382" s="43"/>
      <c r="C382" s="22"/>
      <c r="D382" s="148"/>
      <c r="E382" s="93"/>
      <c r="F382" s="149"/>
    </row>
    <row r="383" spans="1:6">
      <c r="A383" s="22"/>
      <c r="B383" s="43"/>
      <c r="C383" s="22"/>
      <c r="D383" s="148"/>
      <c r="E383" s="93"/>
      <c r="F383" s="149"/>
    </row>
    <row r="384" spans="1:6">
      <c r="A384" s="22"/>
      <c r="B384" s="43"/>
      <c r="C384" s="22"/>
      <c r="D384" s="148"/>
      <c r="E384" s="93"/>
      <c r="F384" s="149"/>
    </row>
    <row r="385" spans="1:6">
      <c r="A385" s="22"/>
      <c r="D385" s="139"/>
      <c r="E385" s="84"/>
      <c r="F385" s="84"/>
    </row>
    <row r="386" spans="1:6">
      <c r="A386" s="22"/>
      <c r="B386" s="43"/>
      <c r="C386" s="22"/>
      <c r="D386" s="148"/>
      <c r="E386" s="93"/>
      <c r="F386" s="149"/>
    </row>
    <row r="387" spans="1:6">
      <c r="A387" s="22"/>
      <c r="B387" s="43"/>
      <c r="C387" s="22"/>
      <c r="D387" s="148"/>
      <c r="E387" s="93"/>
      <c r="F387" s="149"/>
    </row>
    <row r="388" spans="1:6">
      <c r="A388" s="22"/>
      <c r="B388" s="43"/>
      <c r="C388" s="22"/>
      <c r="D388" s="148"/>
      <c r="E388" s="93"/>
      <c r="F388" s="149"/>
    </row>
    <row r="389" spans="1:6">
      <c r="A389" s="22"/>
      <c r="D389" s="139"/>
      <c r="E389" s="84"/>
      <c r="F389" s="84"/>
    </row>
    <row r="390" spans="1:6">
      <c r="A390" s="22"/>
      <c r="B390" s="43"/>
      <c r="C390" s="22"/>
      <c r="D390" s="148"/>
      <c r="E390" s="93"/>
      <c r="F390" s="149"/>
    </row>
    <row r="391" spans="1:6">
      <c r="A391" s="22"/>
      <c r="B391" s="43"/>
      <c r="C391" s="22"/>
      <c r="D391" s="148"/>
      <c r="E391" s="93"/>
      <c r="F391" s="149"/>
    </row>
    <row r="392" spans="1:6">
      <c r="A392" s="22"/>
      <c r="B392" s="43"/>
      <c r="C392" s="22"/>
      <c r="D392" s="148"/>
      <c r="E392" s="93"/>
      <c r="F392" s="149"/>
    </row>
    <row r="393" spans="1:6">
      <c r="A393" s="22"/>
      <c r="D393" s="139"/>
      <c r="E393" s="84"/>
      <c r="F393" s="84"/>
    </row>
    <row r="394" spans="1:6">
      <c r="A394" s="22"/>
      <c r="B394" s="43"/>
      <c r="C394" s="22"/>
      <c r="D394" s="148"/>
      <c r="E394" s="93"/>
      <c r="F394" s="149"/>
    </row>
    <row r="395" spans="1:6">
      <c r="A395" s="22"/>
      <c r="B395" s="43"/>
      <c r="C395" s="22"/>
      <c r="D395" s="148"/>
      <c r="E395" s="93"/>
      <c r="F395" s="149"/>
    </row>
    <row r="396" spans="1:6">
      <c r="A396" s="22"/>
      <c r="B396" s="43"/>
      <c r="C396" s="22"/>
      <c r="D396" s="148"/>
      <c r="E396" s="93"/>
      <c r="F396" s="149"/>
    </row>
    <row r="397" spans="1:6">
      <c r="A397" s="22"/>
      <c r="D397" s="139"/>
      <c r="E397" s="84"/>
      <c r="F397" s="84"/>
    </row>
    <row r="398" spans="1:6">
      <c r="A398" s="22"/>
      <c r="B398" s="43"/>
      <c r="C398" s="22"/>
      <c r="D398" s="148"/>
      <c r="E398" s="93"/>
      <c r="F398" s="149"/>
    </row>
    <row r="399" spans="1:6">
      <c r="A399" s="22"/>
      <c r="B399" s="43"/>
      <c r="C399" s="22"/>
      <c r="D399" s="148"/>
      <c r="E399" s="93"/>
      <c r="F399" s="149"/>
    </row>
    <row r="400" spans="1:6">
      <c r="A400" s="22"/>
      <c r="B400" s="43"/>
      <c r="C400" s="22"/>
      <c r="D400" s="148"/>
      <c r="E400" s="93"/>
      <c r="F400" s="149"/>
    </row>
    <row r="401" spans="1:6">
      <c r="A401" s="22"/>
      <c r="D401" s="139"/>
      <c r="E401" s="84"/>
      <c r="F401" s="84"/>
    </row>
    <row r="402" spans="1:6">
      <c r="A402" s="22"/>
      <c r="B402" s="43"/>
      <c r="C402" s="22"/>
      <c r="D402" s="148"/>
      <c r="E402" s="93"/>
      <c r="F402" s="149"/>
    </row>
    <row r="403" spans="1:6">
      <c r="A403" s="22"/>
      <c r="B403" s="43"/>
      <c r="C403" s="22"/>
      <c r="D403" s="148"/>
      <c r="E403" s="93"/>
      <c r="F403" s="149"/>
    </row>
    <row r="404" spans="1:6">
      <c r="A404" s="22"/>
      <c r="B404" s="43"/>
      <c r="C404" s="22"/>
      <c r="D404" s="148"/>
      <c r="E404" s="93"/>
      <c r="F404" s="149"/>
    </row>
    <row r="405" spans="1:6">
      <c r="A405" s="22"/>
      <c r="D405" s="139"/>
      <c r="E405" s="84"/>
      <c r="F405" s="84"/>
    </row>
    <row r="406" spans="1:6">
      <c r="A406" s="22"/>
      <c r="B406" s="43"/>
      <c r="C406" s="22"/>
      <c r="D406" s="148"/>
      <c r="E406" s="93"/>
      <c r="F406" s="149"/>
    </row>
    <row r="407" spans="1:6">
      <c r="A407" s="22"/>
      <c r="B407" s="43"/>
      <c r="C407" s="22"/>
      <c r="D407" s="148"/>
      <c r="E407" s="93"/>
      <c r="F407" s="149"/>
    </row>
    <row r="408" spans="1:6">
      <c r="A408" s="22"/>
      <c r="B408" s="43"/>
      <c r="C408" s="22"/>
      <c r="D408" s="148"/>
      <c r="E408" s="93"/>
      <c r="F408" s="149"/>
    </row>
    <row r="409" spans="1:6">
      <c r="A409" s="22"/>
      <c r="D409" s="139"/>
      <c r="E409" s="84"/>
      <c r="F409" s="84"/>
    </row>
    <row r="410" spans="1:6">
      <c r="A410" s="22"/>
      <c r="B410" s="43"/>
      <c r="C410" s="22"/>
      <c r="D410" s="148"/>
      <c r="E410" s="93"/>
      <c r="F410" s="149"/>
    </row>
    <row r="411" spans="1:6">
      <c r="A411" s="22"/>
      <c r="B411" s="43"/>
      <c r="C411" s="22"/>
      <c r="D411" s="148"/>
      <c r="E411" s="93"/>
      <c r="F411" s="149"/>
    </row>
    <row r="412" spans="1:6">
      <c r="A412" s="22"/>
      <c r="B412" s="43"/>
      <c r="C412" s="22"/>
      <c r="D412" s="148"/>
      <c r="E412" s="93"/>
      <c r="F412" s="149"/>
    </row>
    <row r="413" spans="1:6">
      <c r="A413" s="22"/>
      <c r="D413" s="139"/>
      <c r="E413" s="84"/>
      <c r="F413" s="84"/>
    </row>
    <row r="414" spans="1:6">
      <c r="A414" s="22"/>
      <c r="B414" s="43"/>
      <c r="C414" s="22"/>
      <c r="D414" s="148"/>
      <c r="E414" s="93"/>
      <c r="F414" s="149"/>
    </row>
    <row r="415" spans="1:6">
      <c r="A415" s="22"/>
      <c r="B415" s="43"/>
      <c r="C415" s="22"/>
      <c r="D415" s="148"/>
      <c r="E415" s="93"/>
      <c r="F415" s="149"/>
    </row>
    <row r="416" spans="1:6">
      <c r="A416" s="22"/>
      <c r="B416" s="43"/>
      <c r="C416" s="22"/>
      <c r="D416" s="148"/>
      <c r="E416" s="93"/>
      <c r="F416" s="149"/>
    </row>
    <row r="417" spans="1:6">
      <c r="A417" s="22"/>
      <c r="D417" s="139"/>
      <c r="E417" s="84"/>
      <c r="F417" s="84"/>
    </row>
    <row r="418" spans="1:6">
      <c r="A418" s="22"/>
      <c r="B418" s="43"/>
      <c r="C418" s="22"/>
      <c r="D418" s="148"/>
      <c r="E418" s="93"/>
      <c r="F418" s="149"/>
    </row>
    <row r="419" spans="1:6">
      <c r="A419" s="22"/>
      <c r="B419" s="43"/>
      <c r="C419" s="22"/>
      <c r="D419" s="148"/>
      <c r="E419" s="93"/>
      <c r="F419" s="149"/>
    </row>
    <row r="420" spans="1:6">
      <c r="A420" s="22"/>
      <c r="B420" s="43"/>
      <c r="C420" s="22"/>
      <c r="D420" s="148"/>
      <c r="E420" s="93"/>
      <c r="F420" s="149"/>
    </row>
    <row r="421" spans="1:6">
      <c r="A421" s="22"/>
      <c r="D421" s="139"/>
      <c r="E421" s="84"/>
      <c r="F421" s="84"/>
    </row>
    <row r="422" spans="1:6">
      <c r="A422" s="22"/>
      <c r="B422" s="43"/>
      <c r="C422" s="22"/>
      <c r="D422" s="148"/>
      <c r="E422" s="93"/>
      <c r="F422" s="149"/>
    </row>
    <row r="423" spans="1:6">
      <c r="A423" s="22"/>
      <c r="B423" s="43"/>
      <c r="C423" s="22"/>
      <c r="D423" s="148"/>
      <c r="E423" s="93"/>
      <c r="F423" s="149"/>
    </row>
    <row r="424" spans="1:6">
      <c r="A424" s="22"/>
      <c r="B424" s="43"/>
      <c r="C424" s="22"/>
      <c r="D424" s="148"/>
      <c r="E424" s="93"/>
      <c r="F424" s="149"/>
    </row>
    <row r="425" spans="1:6">
      <c r="A425" s="22"/>
      <c r="D425" s="139"/>
      <c r="E425" s="84"/>
      <c r="F425" s="84"/>
    </row>
    <row r="426" spans="1:6">
      <c r="A426" s="22"/>
      <c r="B426" s="43"/>
      <c r="C426" s="22"/>
      <c r="D426" s="148"/>
      <c r="E426" s="93"/>
      <c r="F426" s="149"/>
    </row>
    <row r="427" spans="1:6">
      <c r="A427" s="22"/>
      <c r="B427" s="43"/>
      <c r="C427" s="22"/>
      <c r="D427" s="148"/>
      <c r="E427" s="93"/>
      <c r="F427" s="149"/>
    </row>
    <row r="428" spans="1:6">
      <c r="A428" s="22"/>
      <c r="B428" s="43"/>
      <c r="C428" s="22"/>
      <c r="D428" s="148"/>
      <c r="E428" s="93"/>
      <c r="F428" s="149"/>
    </row>
    <row r="429" spans="1:6">
      <c r="A429" s="22"/>
      <c r="D429" s="139"/>
      <c r="E429" s="84"/>
      <c r="F429" s="84"/>
    </row>
    <row r="430" spans="1:6">
      <c r="A430" s="22"/>
      <c r="B430" s="43"/>
      <c r="C430" s="22"/>
      <c r="D430" s="148"/>
      <c r="E430" s="93"/>
      <c r="F430" s="149"/>
    </row>
    <row r="431" spans="1:6">
      <c r="A431" s="22"/>
      <c r="B431" s="43"/>
      <c r="C431" s="22"/>
      <c r="D431" s="148"/>
      <c r="E431" s="93"/>
      <c r="F431" s="149"/>
    </row>
    <row r="432" spans="1:6">
      <c r="A432" s="22"/>
      <c r="B432" s="43"/>
      <c r="C432" s="22"/>
      <c r="D432" s="148"/>
      <c r="E432" s="93"/>
      <c r="F432" s="149"/>
    </row>
    <row r="433" spans="1:6">
      <c r="A433" s="22"/>
      <c r="D433" s="139"/>
      <c r="E433" s="84"/>
      <c r="F433" s="84"/>
    </row>
    <row r="434" spans="1:6">
      <c r="A434" s="22"/>
      <c r="B434" s="43"/>
      <c r="C434" s="22"/>
      <c r="D434" s="148"/>
      <c r="E434" s="93"/>
      <c r="F434" s="149"/>
    </row>
    <row r="435" spans="1:6">
      <c r="A435" s="22"/>
      <c r="B435" s="43"/>
      <c r="C435" s="22"/>
      <c r="D435" s="148"/>
      <c r="E435" s="93"/>
      <c r="F435" s="149"/>
    </row>
    <row r="436" spans="1:6">
      <c r="A436" s="22"/>
      <c r="B436" s="43"/>
      <c r="C436" s="22"/>
      <c r="D436" s="148"/>
      <c r="E436" s="93"/>
      <c r="F436" s="149"/>
    </row>
    <row r="437" spans="1:6">
      <c r="A437" s="22"/>
      <c r="D437" s="139"/>
      <c r="E437" s="84"/>
      <c r="F437" s="84"/>
    </row>
    <row r="438" spans="1:6">
      <c r="A438" s="22"/>
      <c r="B438" s="43"/>
      <c r="C438" s="22"/>
      <c r="D438" s="148"/>
      <c r="E438" s="93"/>
      <c r="F438" s="149"/>
    </row>
    <row r="439" spans="1:6">
      <c r="A439" s="22"/>
      <c r="B439" s="43"/>
      <c r="C439" s="22"/>
      <c r="D439" s="148"/>
      <c r="E439" s="93"/>
      <c r="F439" s="149"/>
    </row>
    <row r="440" spans="1:6">
      <c r="A440" s="22"/>
      <c r="B440" s="43"/>
      <c r="C440" s="22"/>
      <c r="D440" s="148"/>
      <c r="E440" s="93"/>
      <c r="F440" s="149"/>
    </row>
    <row r="441" spans="1:6">
      <c r="A441" s="22"/>
      <c r="D441" s="139"/>
      <c r="E441" s="84"/>
      <c r="F441" s="84"/>
    </row>
    <row r="442" spans="1:6">
      <c r="A442" s="22"/>
      <c r="B442" s="43"/>
      <c r="C442" s="22"/>
      <c r="D442" s="148"/>
      <c r="E442" s="93"/>
      <c r="F442" s="149"/>
    </row>
    <row r="443" spans="1:6">
      <c r="A443" s="22"/>
      <c r="B443" s="43"/>
      <c r="C443" s="22"/>
      <c r="D443" s="148"/>
      <c r="E443" s="93"/>
      <c r="F443" s="149"/>
    </row>
    <row r="444" spans="1:6">
      <c r="A444" s="22"/>
      <c r="B444" s="43"/>
      <c r="C444" s="22"/>
      <c r="D444" s="148"/>
      <c r="E444" s="93"/>
      <c r="F444" s="149"/>
    </row>
    <row r="445" spans="1:6">
      <c r="A445" s="22"/>
      <c r="D445" s="139"/>
      <c r="E445" s="84"/>
      <c r="F445" s="84"/>
    </row>
    <row r="446" spans="1:6">
      <c r="A446" s="22"/>
      <c r="B446" s="43"/>
      <c r="C446" s="22"/>
      <c r="D446" s="148"/>
      <c r="E446" s="93"/>
      <c r="F446" s="149"/>
    </row>
    <row r="447" spans="1:6">
      <c r="A447" s="22"/>
      <c r="B447" s="43"/>
      <c r="C447" s="22"/>
      <c r="D447" s="148"/>
      <c r="E447" s="93"/>
      <c r="F447" s="149"/>
    </row>
    <row r="448" spans="1:6">
      <c r="A448" s="22"/>
      <c r="B448" s="43"/>
      <c r="C448" s="22"/>
      <c r="D448" s="148"/>
      <c r="E448" s="93"/>
      <c r="F448" s="149"/>
    </row>
    <row r="449" spans="1:6">
      <c r="A449" s="22"/>
      <c r="D449" s="139"/>
      <c r="E449" s="84"/>
      <c r="F449" s="84"/>
    </row>
  </sheetData>
  <sheetProtection algorithmName="SHA-512" hashValue="Bua01oozqrvmbro67Bn+kafMatZJllx2Q2RRU4X8BOc8A2e16wcTT3arps3apV1ED0QvWVY7tGoSVLfGHMjs9w==" saltValue="KYKjDxl7EZ68hG9CUBxUuQ=="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6" tint="0.39997558519241921"/>
  </sheetPr>
  <dimension ref="A1:G310"/>
  <sheetViews>
    <sheetView topLeftCell="A13" zoomScale="85" zoomScaleNormal="85" zoomScaleSheetLayoutView="90" workbookViewId="0">
      <selection activeCell="E21" sqref="E21"/>
    </sheetView>
  </sheetViews>
  <sheetFormatPr defaultColWidth="8.6640625" defaultRowHeight="13.2"/>
  <cols>
    <col min="1" max="1" width="6.6640625" style="10" customWidth="1"/>
    <col min="2" max="2" width="57.6640625" style="10" customWidth="1"/>
    <col min="3" max="3" width="10.6640625" style="12" customWidth="1"/>
    <col min="4" max="5" width="10.6640625" style="10" customWidth="1"/>
    <col min="6" max="6" width="12.6640625" style="10" customWidth="1"/>
    <col min="7" max="16384" width="8.6640625" style="10"/>
  </cols>
  <sheetData>
    <row r="1" spans="1:7" ht="13.8" thickBot="1">
      <c r="A1" s="867" t="s">
        <v>3</v>
      </c>
      <c r="B1" s="868" t="s">
        <v>4</v>
      </c>
      <c r="C1" s="881"/>
      <c r="D1" s="876"/>
      <c r="E1" s="871"/>
      <c r="F1" s="871"/>
    </row>
    <row r="2" spans="1:7">
      <c r="D2" s="13"/>
      <c r="E2" s="14"/>
      <c r="F2" s="14"/>
    </row>
    <row r="3" spans="1:7" s="20" customFormat="1" ht="14.25" customHeight="1">
      <c r="A3" s="1527" t="s">
        <v>145</v>
      </c>
      <c r="B3" s="1528" t="s">
        <v>146</v>
      </c>
      <c r="C3" s="1529" t="s">
        <v>147</v>
      </c>
      <c r="D3" s="1532" t="s">
        <v>148</v>
      </c>
      <c r="E3" s="1532" t="s">
        <v>149</v>
      </c>
      <c r="F3" s="1532"/>
      <c r="G3" s="1537" t="s">
        <v>2523</v>
      </c>
    </row>
    <row r="4" spans="1:7" s="20" customFormat="1">
      <c r="A4" s="1527"/>
      <c r="B4" s="1528"/>
      <c r="C4" s="1530"/>
      <c r="D4" s="1532"/>
      <c r="E4" s="1532"/>
      <c r="F4" s="1532"/>
      <c r="G4" s="1537"/>
    </row>
    <row r="5" spans="1:7" s="20" customFormat="1">
      <c r="A5" s="1527"/>
      <c r="B5" s="1528"/>
      <c r="C5" s="1531"/>
      <c r="D5" s="1532"/>
      <c r="E5" s="49" t="s">
        <v>150</v>
      </c>
      <c r="F5" s="50" t="s">
        <v>151</v>
      </c>
      <c r="G5" s="1537"/>
    </row>
    <row r="6" spans="1:7" s="20" customFormat="1">
      <c r="A6" s="52"/>
      <c r="B6" s="53"/>
      <c r="C6" s="54"/>
      <c r="D6" s="55"/>
      <c r="E6" s="56"/>
      <c r="F6" s="57"/>
    </row>
    <row r="7" spans="1:7" ht="52.8">
      <c r="A7" s="43">
        <v>1</v>
      </c>
      <c r="B7" s="67" t="s">
        <v>203</v>
      </c>
      <c r="D7" s="38"/>
      <c r="E7" s="39"/>
      <c r="F7" s="39"/>
    </row>
    <row r="8" spans="1:7" ht="67.8">
      <c r="A8" s="43"/>
      <c r="B8" s="67" t="s">
        <v>204</v>
      </c>
      <c r="D8" s="38"/>
      <c r="E8" s="39"/>
      <c r="F8" s="39"/>
    </row>
    <row r="9" spans="1:7" ht="15">
      <c r="A9" s="22" t="s">
        <v>12</v>
      </c>
      <c r="B9" s="67" t="s">
        <v>299</v>
      </c>
      <c r="C9" s="12" t="s">
        <v>173</v>
      </c>
      <c r="D9" s="38">
        <v>10</v>
      </c>
      <c r="E9" s="156">
        <f>'[1]B_V_ ZAVRŠNI ZIDARSKI RADOVI'!E9</f>
        <v>40</v>
      </c>
      <c r="F9" s="39">
        <f>SUM(D9*E9)</f>
        <v>400</v>
      </c>
    </row>
    <row r="10" spans="1:7" ht="15">
      <c r="A10" s="22" t="s">
        <v>13</v>
      </c>
      <c r="B10" s="67" t="s">
        <v>98</v>
      </c>
      <c r="C10" s="12" t="s">
        <v>173</v>
      </c>
      <c r="D10" s="38">
        <v>115</v>
      </c>
      <c r="E10" s="156">
        <f>'[1]B_V_ ZAVRŠNI ZIDARSKI RADOVI'!E10</f>
        <v>30</v>
      </c>
      <c r="F10" s="39">
        <f>SUM(D10*E10)</f>
        <v>3450</v>
      </c>
    </row>
    <row r="11" spans="1:7" ht="15">
      <c r="A11" s="22" t="s">
        <v>13</v>
      </c>
      <c r="B11" s="67" t="s">
        <v>106</v>
      </c>
      <c r="C11" s="12" t="s">
        <v>173</v>
      </c>
      <c r="D11" s="38">
        <v>215</v>
      </c>
      <c r="E11" s="156">
        <f>'[1]B_V_ ZAVRŠNI ZIDARSKI RADOVI'!E11</f>
        <v>30</v>
      </c>
      <c r="F11" s="39">
        <f>SUM(D11*E11)</f>
        <v>6450</v>
      </c>
    </row>
    <row r="12" spans="1:7">
      <c r="A12" s="22"/>
      <c r="B12" s="67"/>
      <c r="D12" s="38"/>
      <c r="E12" s="39"/>
      <c r="F12" s="39"/>
    </row>
    <row r="13" spans="1:7" ht="132">
      <c r="A13" s="43">
        <v>2</v>
      </c>
      <c r="B13" s="67" t="s">
        <v>330</v>
      </c>
      <c r="D13" s="13"/>
      <c r="E13" s="14"/>
      <c r="F13" s="14"/>
    </row>
    <row r="14" spans="1:7" ht="15">
      <c r="A14" s="22" t="s">
        <v>12</v>
      </c>
      <c r="B14" s="10" t="s">
        <v>325</v>
      </c>
      <c r="C14" s="60" t="s">
        <v>190</v>
      </c>
      <c r="D14" s="61">
        <v>12</v>
      </c>
      <c r="E14" s="1321">
        <f>'[1]B_V_ ZAVRŠNI ZIDARSKI RADOVI'!E14</f>
        <v>300</v>
      </c>
      <c r="F14" s="124">
        <f>SUM(D14*E14)</f>
        <v>3600</v>
      </c>
    </row>
    <row r="15" spans="1:7">
      <c r="A15" s="22" t="s">
        <v>13</v>
      </c>
      <c r="B15" s="10" t="s">
        <v>326</v>
      </c>
      <c r="C15" s="12" t="s">
        <v>9</v>
      </c>
      <c r="D15" s="38">
        <v>1</v>
      </c>
      <c r="E15" s="1322">
        <f>'[1]B_V_ ZAVRŠNI ZIDARSKI RADOVI'!E15</f>
        <v>200</v>
      </c>
      <c r="F15" s="201">
        <f>SUM(D15*E15)</f>
        <v>200</v>
      </c>
    </row>
    <row r="16" spans="1:7">
      <c r="A16" s="22" t="s">
        <v>14</v>
      </c>
      <c r="B16" s="10" t="s">
        <v>327</v>
      </c>
      <c r="C16" s="12" t="s">
        <v>9</v>
      </c>
      <c r="D16" s="38">
        <v>1</v>
      </c>
      <c r="E16" s="1322">
        <f>'[1]B_V_ ZAVRŠNI ZIDARSKI RADOVI'!E16</f>
        <v>200</v>
      </c>
      <c r="F16" s="201">
        <f>SUM(D16*E16)</f>
        <v>200</v>
      </c>
    </row>
    <row r="17" spans="1:6">
      <c r="A17" s="22" t="s">
        <v>15</v>
      </c>
      <c r="B17" s="10" t="s">
        <v>328</v>
      </c>
      <c r="C17" s="12" t="s">
        <v>9</v>
      </c>
      <c r="D17" s="38">
        <v>1</v>
      </c>
      <c r="E17" s="1322">
        <f>'[1]B_V_ ZAVRŠNI ZIDARSKI RADOVI'!E17</f>
        <v>500</v>
      </c>
      <c r="F17" s="201">
        <f>SUM(D17*E17)</f>
        <v>500</v>
      </c>
    </row>
    <row r="18" spans="1:6">
      <c r="A18" s="22" t="s">
        <v>21</v>
      </c>
      <c r="B18" s="10" t="s">
        <v>329</v>
      </c>
      <c r="C18" s="12" t="s">
        <v>9</v>
      </c>
      <c r="D18" s="38">
        <v>1</v>
      </c>
      <c r="E18" s="1322">
        <f>'[1]B_V_ ZAVRŠNI ZIDARSKI RADOVI'!E18</f>
        <v>200</v>
      </c>
      <c r="F18" s="201">
        <f>SUM(D18*E18)</f>
        <v>200</v>
      </c>
    </row>
    <row r="19" spans="1:6">
      <c r="A19" s="22"/>
      <c r="D19" s="38"/>
      <c r="E19" s="201"/>
      <c r="F19" s="201"/>
    </row>
    <row r="20" spans="1:6">
      <c r="A20" s="22"/>
      <c r="D20" s="38"/>
      <c r="E20" s="201"/>
      <c r="F20" s="201"/>
    </row>
    <row r="21" spans="1:6" ht="92.4">
      <c r="A21" s="43">
        <v>3</v>
      </c>
      <c r="B21" s="67" t="s">
        <v>366</v>
      </c>
      <c r="D21" s="38"/>
      <c r="E21" s="39"/>
      <c r="F21" s="39"/>
    </row>
    <row r="22" spans="1:6" ht="15">
      <c r="A22" s="22"/>
      <c r="B22" s="67"/>
      <c r="C22" s="12" t="s">
        <v>173</v>
      </c>
      <c r="D22" s="38">
        <v>410</v>
      </c>
      <c r="E22" s="156">
        <f>'[1]B_V_ ZAVRŠNI ZIDARSKI RADOVI'!E22</f>
        <v>30</v>
      </c>
      <c r="F22" s="39">
        <f>SUM(D22*E22)</f>
        <v>12300</v>
      </c>
    </row>
    <row r="23" spans="1:6">
      <c r="A23" s="22"/>
      <c r="B23" s="67"/>
      <c r="D23" s="38"/>
      <c r="E23" s="39"/>
      <c r="F23" s="39"/>
    </row>
    <row r="24" spans="1:6" ht="79.2">
      <c r="A24" s="43">
        <v>4</v>
      </c>
      <c r="B24" s="67" t="s">
        <v>2563</v>
      </c>
      <c r="D24" s="38"/>
      <c r="E24" s="39"/>
      <c r="F24" s="39"/>
    </row>
    <row r="25" spans="1:6" ht="15">
      <c r="A25" s="22"/>
      <c r="B25" s="67"/>
      <c r="C25" s="12" t="s">
        <v>173</v>
      </c>
      <c r="D25" s="38">
        <v>160</v>
      </c>
      <c r="E25" s="156">
        <f>'[1]B_V_ ZAVRŠNI ZIDARSKI RADOVI'!E25</f>
        <v>30</v>
      </c>
      <c r="F25" s="39">
        <f>SUM(D25*E25)</f>
        <v>4800</v>
      </c>
    </row>
    <row r="26" spans="1:6">
      <c r="A26" s="22"/>
      <c r="B26" s="67"/>
      <c r="D26" s="38"/>
      <c r="E26" s="39"/>
      <c r="F26" s="39"/>
    </row>
    <row r="27" spans="1:6" ht="39.6">
      <c r="A27" s="43">
        <v>5</v>
      </c>
      <c r="B27" s="105" t="s">
        <v>2562</v>
      </c>
      <c r="D27" s="38"/>
      <c r="E27" s="39"/>
      <c r="F27" s="39"/>
    </row>
    <row r="28" spans="1:6">
      <c r="B28" s="67" t="s">
        <v>56</v>
      </c>
      <c r="C28" s="60" t="s">
        <v>55</v>
      </c>
      <c r="D28" s="61">
        <v>250</v>
      </c>
      <c r="E28" s="1316">
        <f>'[1]B_V_ ZAVRŠNI ZIDARSKI RADOVI'!E28</f>
        <v>15</v>
      </c>
      <c r="F28" s="62">
        <f>SUM(D28*E28)</f>
        <v>3750</v>
      </c>
    </row>
    <row r="29" spans="1:6">
      <c r="B29" s="67"/>
      <c r="D29" s="38"/>
      <c r="E29" s="39"/>
      <c r="F29" s="39"/>
    </row>
    <row r="30" spans="1:6" ht="66">
      <c r="A30" s="43">
        <v>6</v>
      </c>
      <c r="B30" s="105" t="s">
        <v>205</v>
      </c>
      <c r="D30" s="38"/>
      <c r="E30" s="39"/>
      <c r="F30" s="39"/>
    </row>
    <row r="31" spans="1:6">
      <c r="A31" s="43"/>
      <c r="B31" s="67"/>
      <c r="C31" s="12" t="s">
        <v>27</v>
      </c>
      <c r="D31" s="38">
        <v>1</v>
      </c>
      <c r="E31" s="156">
        <f>'[1]B_V_ ZAVRŠNI ZIDARSKI RADOVI'!E31</f>
        <v>2500</v>
      </c>
      <c r="F31" s="39">
        <f>SUM(D31*E31)</f>
        <v>2500</v>
      </c>
    </row>
    <row r="32" spans="1:6">
      <c r="A32" s="43"/>
      <c r="B32" s="67"/>
      <c r="D32" s="38"/>
      <c r="E32" s="39"/>
      <c r="F32" s="39"/>
    </row>
    <row r="33" spans="1:6">
      <c r="A33" s="99"/>
      <c r="B33" s="123" t="s">
        <v>202</v>
      </c>
      <c r="C33" s="96"/>
      <c r="D33" s="100"/>
      <c r="E33" s="102" t="s">
        <v>159</v>
      </c>
      <c r="F33" s="103">
        <f>SUM(F9:F31)</f>
        <v>38350</v>
      </c>
    </row>
    <row r="34" spans="1:6">
      <c r="A34" s="43"/>
      <c r="B34" s="67"/>
      <c r="D34" s="38"/>
      <c r="E34" s="39"/>
      <c r="F34" s="39"/>
    </row>
    <row r="35" spans="1:6">
      <c r="A35" s="43"/>
      <c r="B35" s="67"/>
      <c r="D35" s="38"/>
      <c r="E35" s="39"/>
      <c r="F35" s="39"/>
    </row>
    <row r="36" spans="1:6">
      <c r="A36" s="43"/>
      <c r="B36" s="67"/>
      <c r="D36" s="38"/>
      <c r="E36" s="39"/>
      <c r="F36" s="39"/>
    </row>
    <row r="37" spans="1:6">
      <c r="A37" s="43"/>
      <c r="B37" s="67"/>
      <c r="D37" s="38"/>
      <c r="E37" s="39"/>
      <c r="F37" s="39"/>
    </row>
    <row r="38" spans="1:6">
      <c r="A38" s="43"/>
      <c r="B38" s="67"/>
      <c r="D38" s="38"/>
      <c r="E38" s="39"/>
      <c r="F38" s="39"/>
    </row>
    <row r="39" spans="1:6">
      <c r="A39" s="43"/>
      <c r="B39" s="67"/>
      <c r="D39" s="38"/>
      <c r="E39" s="39"/>
      <c r="F39" s="39"/>
    </row>
    <row r="40" spans="1:6">
      <c r="A40" s="43"/>
      <c r="B40" s="67"/>
      <c r="D40" s="38"/>
      <c r="E40" s="39"/>
      <c r="F40" s="39"/>
    </row>
    <row r="41" spans="1:6">
      <c r="A41" s="43"/>
      <c r="B41" s="67"/>
      <c r="D41" s="38"/>
      <c r="E41" s="39"/>
      <c r="F41" s="39"/>
    </row>
    <row r="42" spans="1:6">
      <c r="A42" s="43"/>
      <c r="B42" s="67"/>
      <c r="D42" s="38"/>
      <c r="E42" s="39"/>
      <c r="F42" s="39"/>
    </row>
    <row r="43" spans="1:6">
      <c r="A43" s="43"/>
      <c r="B43" s="67"/>
      <c r="D43" s="38"/>
      <c r="E43" s="39"/>
      <c r="F43" s="39"/>
    </row>
    <row r="44" spans="1:6">
      <c r="A44" s="43"/>
      <c r="B44" s="67"/>
      <c r="D44" s="38"/>
      <c r="E44" s="39"/>
      <c r="F44" s="39"/>
    </row>
    <row r="45" spans="1:6">
      <c r="A45" s="43"/>
      <c r="B45" s="67"/>
      <c r="D45" s="38"/>
      <c r="E45" s="39"/>
      <c r="F45" s="39"/>
    </row>
    <row r="46" spans="1:6">
      <c r="A46" s="43"/>
      <c r="B46" s="67"/>
      <c r="D46" s="38"/>
      <c r="E46" s="39"/>
      <c r="F46" s="39"/>
    </row>
    <row r="47" spans="1:6">
      <c r="A47" s="43"/>
      <c r="B47" s="67"/>
      <c r="D47" s="38"/>
      <c r="E47" s="39"/>
      <c r="F47" s="39"/>
    </row>
    <row r="48" spans="1:6">
      <c r="A48" s="43"/>
      <c r="B48" s="67"/>
      <c r="D48" s="38"/>
      <c r="E48" s="39"/>
      <c r="F48" s="39"/>
    </row>
    <row r="49" spans="1:6">
      <c r="A49" s="43"/>
      <c r="B49" s="67"/>
      <c r="D49" s="38"/>
      <c r="E49" s="39"/>
      <c r="F49" s="39"/>
    </row>
    <row r="50" spans="1:6">
      <c r="A50" s="43"/>
      <c r="B50" s="67"/>
      <c r="D50" s="38"/>
      <c r="E50" s="39"/>
      <c r="F50" s="39"/>
    </row>
    <row r="51" spans="1:6">
      <c r="A51" s="43"/>
      <c r="B51" s="67"/>
      <c r="D51" s="38"/>
      <c r="E51" s="39"/>
      <c r="F51" s="39"/>
    </row>
    <row r="52" spans="1:6">
      <c r="A52" s="43"/>
      <c r="B52" s="67"/>
      <c r="D52" s="38"/>
      <c r="E52" s="39"/>
      <c r="F52" s="39"/>
    </row>
    <row r="53" spans="1:6">
      <c r="A53" s="43"/>
      <c r="B53" s="67"/>
      <c r="D53" s="38"/>
      <c r="E53" s="39"/>
      <c r="F53" s="39"/>
    </row>
    <row r="54" spans="1:6">
      <c r="A54" s="43"/>
      <c r="B54" s="67"/>
      <c r="D54" s="38"/>
      <c r="E54" s="39"/>
      <c r="F54" s="39"/>
    </row>
    <row r="55" spans="1:6">
      <c r="A55" s="43"/>
      <c r="B55" s="67"/>
      <c r="D55" s="38"/>
      <c r="E55" s="39"/>
      <c r="F55" s="39"/>
    </row>
    <row r="56" spans="1:6">
      <c r="A56" s="43"/>
      <c r="B56" s="67"/>
      <c r="D56" s="38"/>
      <c r="E56" s="39"/>
      <c r="F56" s="39"/>
    </row>
    <row r="57" spans="1:6">
      <c r="A57" s="43"/>
      <c r="B57" s="67"/>
      <c r="D57" s="38"/>
      <c r="E57" s="39"/>
      <c r="F57" s="39"/>
    </row>
    <row r="58" spans="1:6">
      <c r="A58" s="43"/>
      <c r="B58" s="67"/>
      <c r="D58" s="38"/>
      <c r="E58" s="39"/>
      <c r="F58" s="39"/>
    </row>
    <row r="59" spans="1:6">
      <c r="A59" s="43"/>
      <c r="B59" s="67"/>
      <c r="D59" s="38"/>
      <c r="E59" s="39"/>
      <c r="F59" s="39"/>
    </row>
    <row r="60" spans="1:6">
      <c r="A60" s="43"/>
      <c r="B60" s="67"/>
      <c r="D60" s="38"/>
      <c r="E60" s="39"/>
      <c r="F60" s="39"/>
    </row>
    <row r="61" spans="1:6">
      <c r="A61" s="43"/>
      <c r="B61" s="67"/>
      <c r="D61" s="38"/>
      <c r="E61" s="39"/>
      <c r="F61" s="39"/>
    </row>
    <row r="62" spans="1:6">
      <c r="A62" s="43"/>
      <c r="B62" s="67"/>
      <c r="D62" s="38"/>
      <c r="E62" s="39"/>
      <c r="F62" s="39"/>
    </row>
    <row r="63" spans="1:6">
      <c r="A63" s="43"/>
      <c r="B63" s="67"/>
      <c r="D63" s="38"/>
      <c r="E63" s="39"/>
      <c r="F63" s="39"/>
    </row>
    <row r="64" spans="1:6">
      <c r="A64" s="43"/>
      <c r="B64" s="67"/>
      <c r="D64" s="38"/>
      <c r="E64" s="39"/>
      <c r="F64" s="39"/>
    </row>
    <row r="65" spans="1:6">
      <c r="A65" s="43"/>
      <c r="B65" s="67"/>
      <c r="D65" s="38"/>
      <c r="E65" s="39"/>
      <c r="F65" s="39"/>
    </row>
    <row r="66" spans="1:6">
      <c r="A66" s="43"/>
      <c r="B66" s="67"/>
      <c r="D66" s="38"/>
      <c r="E66" s="39"/>
      <c r="F66" s="39"/>
    </row>
    <row r="67" spans="1:6">
      <c r="A67" s="43"/>
      <c r="B67" s="67"/>
      <c r="D67" s="38"/>
      <c r="E67" s="39"/>
      <c r="F67" s="39"/>
    </row>
    <row r="68" spans="1:6">
      <c r="A68" s="43"/>
      <c r="B68" s="67"/>
      <c r="D68" s="38"/>
      <c r="E68" s="39"/>
      <c r="F68" s="39"/>
    </row>
    <row r="69" spans="1:6">
      <c r="A69" s="43"/>
      <c r="B69" s="67"/>
      <c r="D69" s="38"/>
      <c r="E69" s="39"/>
      <c r="F69" s="39"/>
    </row>
    <row r="70" spans="1:6">
      <c r="A70" s="43"/>
      <c r="B70" s="67"/>
      <c r="D70" s="38"/>
      <c r="E70" s="39"/>
      <c r="F70" s="39"/>
    </row>
    <row r="71" spans="1:6">
      <c r="A71" s="43"/>
      <c r="B71" s="67"/>
      <c r="D71" s="38"/>
      <c r="E71" s="39"/>
      <c r="F71" s="39"/>
    </row>
    <row r="72" spans="1:6">
      <c r="A72" s="43"/>
      <c r="B72" s="67"/>
      <c r="D72" s="38"/>
      <c r="E72" s="39"/>
      <c r="F72" s="39"/>
    </row>
    <row r="73" spans="1:6">
      <c r="A73" s="43"/>
      <c r="B73" s="67"/>
      <c r="D73" s="38"/>
      <c r="E73" s="39"/>
      <c r="F73" s="39"/>
    </row>
    <row r="74" spans="1:6">
      <c r="A74" s="43"/>
      <c r="B74" s="67"/>
      <c r="D74" s="38"/>
      <c r="E74" s="39"/>
      <c r="F74" s="39"/>
    </row>
    <row r="75" spans="1:6">
      <c r="A75" s="43"/>
      <c r="B75" s="67"/>
      <c r="D75" s="38"/>
      <c r="E75" s="39"/>
      <c r="F75" s="39"/>
    </row>
    <row r="76" spans="1:6">
      <c r="A76" s="43"/>
      <c r="B76" s="67"/>
      <c r="D76" s="38"/>
      <c r="E76" s="39"/>
      <c r="F76" s="39"/>
    </row>
    <row r="77" spans="1:6">
      <c r="A77" s="43"/>
      <c r="B77" s="67"/>
      <c r="D77" s="38"/>
      <c r="E77" s="39"/>
      <c r="F77" s="39"/>
    </row>
    <row r="78" spans="1:6">
      <c r="A78" s="43"/>
      <c r="B78" s="67"/>
      <c r="D78" s="38"/>
      <c r="E78" s="39"/>
      <c r="F78" s="39"/>
    </row>
    <row r="79" spans="1:6">
      <c r="A79" s="43"/>
      <c r="B79" s="67"/>
      <c r="D79" s="38"/>
      <c r="E79" s="39"/>
      <c r="F79" s="39"/>
    </row>
    <row r="80" spans="1:6">
      <c r="A80" s="43"/>
      <c r="B80" s="67"/>
      <c r="D80" s="38"/>
      <c r="E80" s="39"/>
      <c r="F80" s="39"/>
    </row>
    <row r="81" spans="1:6">
      <c r="A81" s="43"/>
      <c r="B81" s="67"/>
      <c r="D81" s="38"/>
      <c r="E81" s="39"/>
      <c r="F81" s="39"/>
    </row>
    <row r="82" spans="1:6">
      <c r="A82" s="43"/>
      <c r="B82" s="67"/>
      <c r="D82" s="38"/>
      <c r="E82" s="39"/>
      <c r="F82" s="39"/>
    </row>
    <row r="83" spans="1:6">
      <c r="A83" s="43"/>
      <c r="B83" s="67"/>
      <c r="D83" s="38"/>
      <c r="E83" s="39"/>
      <c r="F83" s="39"/>
    </row>
    <row r="84" spans="1:6">
      <c r="A84" s="43"/>
      <c r="B84" s="67"/>
      <c r="D84" s="38"/>
      <c r="E84" s="39"/>
      <c r="F84" s="39"/>
    </row>
    <row r="85" spans="1:6">
      <c r="A85" s="43"/>
      <c r="B85" s="67"/>
      <c r="D85" s="38"/>
      <c r="E85" s="39"/>
      <c r="F85" s="39"/>
    </row>
    <row r="86" spans="1:6">
      <c r="A86" s="43"/>
      <c r="B86" s="67"/>
      <c r="D86" s="38"/>
      <c r="E86" s="39"/>
      <c r="F86" s="39"/>
    </row>
    <row r="87" spans="1:6">
      <c r="A87" s="43"/>
      <c r="B87" s="67"/>
      <c r="D87" s="38"/>
      <c r="E87" s="39"/>
      <c r="F87" s="39"/>
    </row>
    <row r="88" spans="1:6">
      <c r="A88" s="43"/>
      <c r="B88" s="67"/>
      <c r="D88" s="38"/>
      <c r="E88" s="39"/>
      <c r="F88" s="39"/>
    </row>
    <row r="89" spans="1:6">
      <c r="A89" s="43"/>
      <c r="B89" s="67"/>
      <c r="D89" s="38"/>
      <c r="E89" s="39"/>
      <c r="F89" s="39"/>
    </row>
    <row r="90" spans="1:6">
      <c r="A90" s="43"/>
      <c r="B90" s="67"/>
      <c r="D90" s="38"/>
      <c r="E90" s="39"/>
      <c r="F90" s="39"/>
    </row>
    <row r="91" spans="1:6">
      <c r="A91" s="43"/>
      <c r="B91" s="67"/>
      <c r="D91" s="38"/>
      <c r="E91" s="39"/>
      <c r="F91" s="39"/>
    </row>
    <row r="92" spans="1:6">
      <c r="A92" s="43"/>
      <c r="B92" s="67"/>
      <c r="D92" s="38"/>
      <c r="E92" s="39"/>
      <c r="F92" s="39"/>
    </row>
    <row r="93" spans="1:6">
      <c r="A93" s="43"/>
      <c r="B93" s="67"/>
      <c r="D93" s="38"/>
      <c r="E93" s="39"/>
      <c r="F93" s="39"/>
    </row>
    <row r="94" spans="1:6">
      <c r="A94" s="43"/>
      <c r="B94" s="67"/>
      <c r="D94" s="38"/>
      <c r="E94" s="39"/>
      <c r="F94" s="39"/>
    </row>
    <row r="95" spans="1:6">
      <c r="A95" s="43"/>
      <c r="B95" s="67"/>
      <c r="D95" s="38"/>
      <c r="E95" s="39"/>
      <c r="F95" s="39"/>
    </row>
    <row r="96" spans="1:6">
      <c r="A96" s="43"/>
      <c r="B96" s="67"/>
      <c r="D96" s="38"/>
      <c r="E96" s="39"/>
      <c r="F96" s="39"/>
    </row>
    <row r="97" spans="1:6">
      <c r="A97" s="43"/>
      <c r="B97" s="67"/>
      <c r="D97" s="38"/>
      <c r="E97" s="39"/>
      <c r="F97" s="39"/>
    </row>
    <row r="98" spans="1:6">
      <c r="A98" s="43"/>
      <c r="B98" s="67"/>
      <c r="D98" s="38"/>
      <c r="E98" s="39"/>
      <c r="F98" s="39"/>
    </row>
    <row r="99" spans="1:6">
      <c r="A99" s="43"/>
      <c r="B99" s="67"/>
      <c r="D99" s="38"/>
      <c r="E99" s="39"/>
      <c r="F99" s="39"/>
    </row>
    <row r="100" spans="1:6">
      <c r="A100" s="43"/>
      <c r="B100" s="67"/>
      <c r="D100" s="38"/>
      <c r="E100" s="39"/>
      <c r="F100" s="39"/>
    </row>
    <row r="101" spans="1:6">
      <c r="A101" s="43"/>
      <c r="B101" s="67"/>
      <c r="D101" s="38"/>
      <c r="E101" s="39"/>
      <c r="F101" s="39"/>
    </row>
    <row r="102" spans="1:6">
      <c r="A102" s="43"/>
      <c r="B102" s="67"/>
      <c r="D102" s="38"/>
      <c r="E102" s="39"/>
      <c r="F102" s="39"/>
    </row>
    <row r="103" spans="1:6">
      <c r="A103" s="43"/>
      <c r="B103" s="67"/>
      <c r="D103" s="38"/>
      <c r="E103" s="39"/>
      <c r="F103" s="39"/>
    </row>
    <row r="104" spans="1:6">
      <c r="A104" s="43"/>
      <c r="B104" s="67"/>
      <c r="D104" s="38"/>
      <c r="E104" s="39"/>
      <c r="F104" s="39"/>
    </row>
    <row r="105" spans="1:6">
      <c r="A105" s="43"/>
      <c r="B105" s="67"/>
      <c r="D105" s="38"/>
      <c r="E105" s="39"/>
      <c r="F105" s="39"/>
    </row>
    <row r="106" spans="1:6">
      <c r="A106" s="43"/>
      <c r="B106" s="67"/>
      <c r="D106" s="38"/>
      <c r="E106" s="39"/>
      <c r="F106" s="39"/>
    </row>
    <row r="107" spans="1:6">
      <c r="A107" s="43"/>
      <c r="B107" s="67"/>
      <c r="D107" s="38"/>
      <c r="E107" s="39"/>
      <c r="F107" s="39"/>
    </row>
    <row r="108" spans="1:6">
      <c r="A108" s="43"/>
      <c r="B108" s="67"/>
      <c r="D108" s="38"/>
      <c r="E108" s="39"/>
      <c r="F108" s="39"/>
    </row>
    <row r="109" spans="1:6">
      <c r="A109" s="43"/>
      <c r="B109" s="67"/>
      <c r="D109" s="38"/>
      <c r="E109" s="39"/>
      <c r="F109" s="39"/>
    </row>
    <row r="110" spans="1:6">
      <c r="A110" s="43"/>
      <c r="B110" s="67"/>
      <c r="D110" s="38"/>
      <c r="E110" s="39"/>
      <c r="F110" s="39"/>
    </row>
    <row r="111" spans="1:6">
      <c r="A111" s="43"/>
      <c r="B111" s="67"/>
      <c r="D111" s="38"/>
      <c r="E111" s="39"/>
      <c r="F111" s="39"/>
    </row>
    <row r="112" spans="1:6">
      <c r="A112" s="43"/>
      <c r="B112" s="67"/>
      <c r="D112" s="38"/>
      <c r="E112" s="39"/>
      <c r="F112" s="39"/>
    </row>
    <row r="113" spans="1:6">
      <c r="A113" s="43"/>
      <c r="B113" s="67"/>
      <c r="D113" s="38"/>
      <c r="E113" s="39"/>
      <c r="F113" s="39"/>
    </row>
    <row r="114" spans="1:6">
      <c r="A114" s="43"/>
      <c r="B114" s="67"/>
      <c r="D114" s="38"/>
      <c r="E114" s="39"/>
      <c r="F114" s="39"/>
    </row>
    <row r="115" spans="1:6">
      <c r="A115" s="43"/>
      <c r="B115" s="67"/>
      <c r="D115" s="38"/>
      <c r="E115" s="39"/>
      <c r="F115" s="39"/>
    </row>
    <row r="116" spans="1:6">
      <c r="A116" s="43"/>
      <c r="B116" s="67"/>
      <c r="D116" s="38"/>
      <c r="E116" s="39"/>
      <c r="F116" s="39"/>
    </row>
    <row r="117" spans="1:6">
      <c r="A117" s="43"/>
      <c r="B117" s="67"/>
      <c r="D117" s="38"/>
      <c r="E117" s="39"/>
      <c r="F117" s="39"/>
    </row>
    <row r="118" spans="1:6">
      <c r="A118" s="43"/>
      <c r="B118" s="67"/>
      <c r="D118" s="38"/>
      <c r="E118" s="39"/>
      <c r="F118" s="39"/>
    </row>
    <row r="119" spans="1:6">
      <c r="A119" s="43"/>
      <c r="B119" s="67"/>
      <c r="D119" s="38"/>
      <c r="E119" s="39"/>
      <c r="F119" s="39"/>
    </row>
    <row r="120" spans="1:6">
      <c r="A120" s="43"/>
      <c r="B120" s="67"/>
      <c r="D120" s="38"/>
      <c r="E120" s="39"/>
      <c r="F120" s="39"/>
    </row>
    <row r="121" spans="1:6">
      <c r="A121" s="43"/>
      <c r="B121" s="67"/>
      <c r="D121" s="38"/>
      <c r="E121" s="39"/>
      <c r="F121" s="39"/>
    </row>
    <row r="122" spans="1:6">
      <c r="A122" s="43"/>
      <c r="B122" s="67"/>
      <c r="D122" s="38"/>
      <c r="E122" s="39"/>
      <c r="F122" s="39"/>
    </row>
    <row r="123" spans="1:6">
      <c r="A123" s="43"/>
      <c r="B123" s="67"/>
      <c r="D123" s="38"/>
      <c r="E123" s="39"/>
      <c r="F123" s="39"/>
    </row>
    <row r="124" spans="1:6">
      <c r="A124" s="43"/>
      <c r="B124" s="67"/>
      <c r="D124" s="38"/>
      <c r="E124" s="39"/>
      <c r="F124" s="39"/>
    </row>
    <row r="125" spans="1:6">
      <c r="A125" s="43"/>
      <c r="B125" s="67"/>
      <c r="D125" s="38"/>
      <c r="E125" s="39"/>
      <c r="F125" s="39"/>
    </row>
    <row r="126" spans="1:6">
      <c r="A126" s="43"/>
      <c r="B126" s="67"/>
      <c r="D126" s="38"/>
      <c r="E126" s="39"/>
      <c r="F126" s="39"/>
    </row>
    <row r="127" spans="1:6">
      <c r="A127" s="43"/>
      <c r="B127" s="67"/>
      <c r="D127" s="38"/>
      <c r="E127" s="39"/>
      <c r="F127" s="39"/>
    </row>
    <row r="128" spans="1:6">
      <c r="A128" s="43"/>
      <c r="B128" s="67"/>
      <c r="D128" s="38"/>
      <c r="E128" s="39"/>
      <c r="F128" s="39"/>
    </row>
    <row r="129" spans="1:6">
      <c r="A129" s="43"/>
      <c r="B129" s="67"/>
      <c r="D129" s="38"/>
      <c r="E129" s="39"/>
      <c r="F129" s="39"/>
    </row>
    <row r="130" spans="1:6">
      <c r="A130" s="43"/>
      <c r="B130" s="67"/>
      <c r="D130" s="38"/>
      <c r="E130" s="39"/>
      <c r="F130" s="39"/>
    </row>
    <row r="131" spans="1:6">
      <c r="A131" s="43"/>
      <c r="B131" s="67"/>
      <c r="D131" s="38"/>
      <c r="E131" s="39"/>
      <c r="F131" s="39"/>
    </row>
    <row r="132" spans="1:6">
      <c r="A132" s="43"/>
      <c r="B132" s="67"/>
      <c r="D132" s="38"/>
      <c r="E132" s="39"/>
      <c r="F132" s="39"/>
    </row>
    <row r="133" spans="1:6">
      <c r="A133" s="43"/>
      <c r="B133" s="67"/>
      <c r="D133" s="38"/>
      <c r="E133" s="39"/>
      <c r="F133" s="39"/>
    </row>
    <row r="134" spans="1:6">
      <c r="A134" s="43"/>
      <c r="B134" s="67"/>
      <c r="D134" s="38"/>
      <c r="E134" s="39"/>
      <c r="F134" s="39"/>
    </row>
    <row r="135" spans="1:6">
      <c r="A135" s="43"/>
      <c r="B135" s="67"/>
      <c r="D135" s="38"/>
      <c r="E135" s="39"/>
      <c r="F135" s="39"/>
    </row>
    <row r="136" spans="1:6">
      <c r="A136" s="43"/>
      <c r="B136" s="67"/>
      <c r="D136" s="38"/>
      <c r="E136" s="39"/>
      <c r="F136" s="39"/>
    </row>
    <row r="137" spans="1:6">
      <c r="A137" s="43"/>
      <c r="B137" s="67"/>
      <c r="D137" s="38"/>
      <c r="E137" s="39"/>
      <c r="F137" s="39"/>
    </row>
    <row r="138" spans="1:6">
      <c r="A138" s="43"/>
      <c r="B138" s="67"/>
      <c r="D138" s="38"/>
      <c r="E138" s="39"/>
      <c r="F138" s="39"/>
    </row>
    <row r="139" spans="1:6">
      <c r="A139" s="43"/>
      <c r="B139" s="67"/>
      <c r="D139" s="38"/>
      <c r="E139" s="39"/>
      <c r="F139" s="39"/>
    </row>
    <row r="140" spans="1:6">
      <c r="A140" s="43"/>
      <c r="B140" s="67"/>
      <c r="D140" s="38"/>
      <c r="E140" s="39"/>
      <c r="F140" s="39"/>
    </row>
    <row r="141" spans="1:6">
      <c r="A141" s="43"/>
      <c r="B141" s="67"/>
      <c r="D141" s="38"/>
      <c r="E141" s="39"/>
      <c r="F141" s="39"/>
    </row>
    <row r="142" spans="1:6">
      <c r="A142" s="43"/>
      <c r="B142" s="67"/>
      <c r="D142" s="38"/>
      <c r="E142" s="39"/>
      <c r="F142" s="39"/>
    </row>
    <row r="143" spans="1:6">
      <c r="A143" s="43"/>
      <c r="B143" s="67"/>
      <c r="D143" s="38"/>
      <c r="E143" s="39"/>
      <c r="F143" s="39"/>
    </row>
    <row r="144" spans="1:6">
      <c r="A144" s="43"/>
      <c r="B144" s="67"/>
      <c r="D144" s="38"/>
      <c r="E144" s="39"/>
      <c r="F144" s="39"/>
    </row>
    <row r="145" spans="1:6">
      <c r="A145" s="43"/>
      <c r="B145" s="67"/>
      <c r="D145" s="38"/>
      <c r="E145" s="39"/>
      <c r="F145" s="39"/>
    </row>
    <row r="146" spans="1:6">
      <c r="A146" s="43"/>
      <c r="B146" s="67"/>
      <c r="D146" s="38"/>
      <c r="E146" s="39"/>
      <c r="F146" s="39"/>
    </row>
    <row r="147" spans="1:6">
      <c r="A147" s="43"/>
      <c r="B147" s="67"/>
      <c r="D147" s="38"/>
      <c r="E147" s="39"/>
      <c r="F147" s="39"/>
    </row>
    <row r="148" spans="1:6">
      <c r="A148" s="43"/>
      <c r="B148" s="67"/>
      <c r="D148" s="38"/>
      <c r="E148" s="39"/>
      <c r="F148" s="39"/>
    </row>
    <row r="149" spans="1:6">
      <c r="A149" s="43"/>
      <c r="B149" s="67"/>
      <c r="D149" s="38"/>
      <c r="E149" s="39"/>
      <c r="F149" s="39"/>
    </row>
    <row r="150" spans="1:6">
      <c r="A150" s="43"/>
      <c r="B150" s="67"/>
      <c r="D150" s="38"/>
      <c r="E150" s="39"/>
      <c r="F150" s="39"/>
    </row>
    <row r="151" spans="1:6">
      <c r="A151" s="43"/>
      <c r="B151" s="67"/>
      <c r="D151" s="38"/>
      <c r="E151" s="39"/>
      <c r="F151" s="39"/>
    </row>
    <row r="152" spans="1:6">
      <c r="A152" s="43"/>
      <c r="B152" s="67"/>
      <c r="D152" s="38"/>
      <c r="E152" s="39"/>
      <c r="F152" s="39"/>
    </row>
    <row r="153" spans="1:6">
      <c r="A153" s="43"/>
      <c r="B153" s="67"/>
      <c r="D153" s="38"/>
      <c r="E153" s="39"/>
      <c r="F153" s="39"/>
    </row>
    <row r="154" spans="1:6">
      <c r="A154" s="43"/>
      <c r="B154" s="67"/>
      <c r="D154" s="38"/>
      <c r="E154" s="39"/>
      <c r="F154" s="39"/>
    </row>
    <row r="155" spans="1:6">
      <c r="A155" s="43"/>
      <c r="B155" s="67"/>
      <c r="D155" s="38"/>
      <c r="E155" s="39"/>
      <c r="F155" s="39"/>
    </row>
    <row r="156" spans="1:6">
      <c r="A156" s="43"/>
      <c r="B156" s="67"/>
      <c r="D156" s="38"/>
      <c r="E156" s="39"/>
      <c r="F156" s="39"/>
    </row>
    <row r="157" spans="1:6">
      <c r="A157" s="43"/>
      <c r="B157" s="67"/>
      <c r="D157" s="38"/>
      <c r="E157" s="39"/>
      <c r="F157" s="39"/>
    </row>
    <row r="158" spans="1:6">
      <c r="A158" s="43"/>
      <c r="B158" s="67"/>
      <c r="D158" s="38"/>
      <c r="E158" s="39"/>
      <c r="F158" s="39"/>
    </row>
    <row r="159" spans="1:6">
      <c r="A159" s="43"/>
      <c r="B159" s="67"/>
      <c r="D159" s="38"/>
      <c r="E159" s="39"/>
      <c r="F159" s="39"/>
    </row>
    <row r="160" spans="1:6">
      <c r="A160" s="43"/>
      <c r="B160" s="67"/>
      <c r="D160" s="38"/>
      <c r="E160" s="39"/>
      <c r="F160" s="39"/>
    </row>
    <row r="161" spans="1:6">
      <c r="A161" s="43"/>
      <c r="B161" s="67"/>
      <c r="D161" s="38"/>
      <c r="E161" s="39"/>
      <c r="F161" s="39"/>
    </row>
    <row r="162" spans="1:6">
      <c r="A162" s="43"/>
      <c r="B162" s="67"/>
      <c r="D162" s="38"/>
      <c r="E162" s="39"/>
      <c r="F162" s="39"/>
    </row>
    <row r="163" spans="1:6">
      <c r="A163" s="43"/>
      <c r="B163" s="67"/>
      <c r="D163" s="38"/>
      <c r="E163" s="39"/>
      <c r="F163" s="39"/>
    </row>
    <row r="164" spans="1:6">
      <c r="A164" s="43"/>
      <c r="B164" s="67"/>
      <c r="D164" s="38"/>
      <c r="E164" s="39"/>
      <c r="F164" s="39"/>
    </row>
    <row r="165" spans="1:6">
      <c r="A165" s="43"/>
      <c r="B165" s="67"/>
      <c r="D165" s="38"/>
      <c r="E165" s="39"/>
      <c r="F165" s="39"/>
    </row>
    <row r="166" spans="1:6">
      <c r="A166" s="43"/>
      <c r="B166" s="67"/>
      <c r="D166" s="38"/>
      <c r="E166" s="39"/>
      <c r="F166" s="39"/>
    </row>
    <row r="167" spans="1:6">
      <c r="A167" s="43"/>
      <c r="B167" s="67"/>
      <c r="D167" s="38"/>
      <c r="E167" s="39"/>
      <c r="F167" s="39"/>
    </row>
    <row r="168" spans="1:6">
      <c r="A168" s="43"/>
      <c r="B168" s="67"/>
      <c r="D168" s="38"/>
      <c r="E168" s="39"/>
      <c r="F168" s="39"/>
    </row>
    <row r="169" spans="1:6">
      <c r="A169" s="43"/>
      <c r="B169" s="67"/>
      <c r="D169" s="38"/>
      <c r="E169" s="39"/>
      <c r="F169" s="39"/>
    </row>
    <row r="170" spans="1:6">
      <c r="A170" s="43"/>
      <c r="B170" s="67"/>
      <c r="D170" s="38"/>
      <c r="E170" s="39"/>
      <c r="F170" s="39"/>
    </row>
    <row r="171" spans="1:6">
      <c r="A171" s="43"/>
      <c r="B171" s="67"/>
      <c r="D171" s="38"/>
      <c r="E171" s="39"/>
      <c r="F171" s="39"/>
    </row>
    <row r="172" spans="1:6">
      <c r="A172" s="43"/>
      <c r="B172" s="67"/>
      <c r="D172" s="38"/>
      <c r="E172" s="39"/>
      <c r="F172" s="39"/>
    </row>
    <row r="173" spans="1:6">
      <c r="A173" s="43"/>
      <c r="B173" s="67"/>
      <c r="D173" s="38"/>
      <c r="E173" s="39"/>
      <c r="F173" s="39"/>
    </row>
    <row r="174" spans="1:6">
      <c r="A174" s="43"/>
      <c r="B174" s="67"/>
      <c r="D174" s="38"/>
      <c r="E174" s="39"/>
      <c r="F174" s="39"/>
    </row>
    <row r="175" spans="1:6">
      <c r="A175" s="43"/>
      <c r="B175" s="67"/>
      <c r="D175" s="38"/>
      <c r="E175" s="39"/>
      <c r="F175" s="39"/>
    </row>
    <row r="176" spans="1:6">
      <c r="A176" s="43"/>
      <c r="B176" s="67"/>
      <c r="D176" s="38"/>
      <c r="E176" s="39"/>
      <c r="F176" s="39"/>
    </row>
    <row r="177" spans="1:6">
      <c r="A177" s="43"/>
      <c r="B177" s="67"/>
      <c r="D177" s="38"/>
      <c r="E177" s="39"/>
      <c r="F177" s="39"/>
    </row>
    <row r="178" spans="1:6">
      <c r="A178" s="43"/>
      <c r="B178" s="67"/>
      <c r="D178" s="38"/>
      <c r="E178" s="39"/>
      <c r="F178" s="39"/>
    </row>
    <row r="179" spans="1:6">
      <c r="A179" s="43"/>
      <c r="B179" s="67"/>
      <c r="D179" s="38"/>
      <c r="E179" s="39"/>
      <c r="F179" s="39"/>
    </row>
    <row r="180" spans="1:6">
      <c r="A180" s="43"/>
      <c r="B180" s="67"/>
      <c r="D180" s="38"/>
      <c r="E180" s="39"/>
      <c r="F180" s="39"/>
    </row>
    <row r="181" spans="1:6">
      <c r="A181" s="43"/>
      <c r="B181" s="67"/>
      <c r="D181" s="38"/>
      <c r="E181" s="39"/>
      <c r="F181" s="39"/>
    </row>
    <row r="182" spans="1:6">
      <c r="A182" s="43"/>
      <c r="B182" s="67"/>
      <c r="D182" s="38"/>
      <c r="E182" s="39"/>
      <c r="F182" s="39"/>
    </row>
    <row r="183" spans="1:6">
      <c r="A183" s="43"/>
      <c r="B183" s="67"/>
      <c r="D183" s="38"/>
      <c r="E183" s="39"/>
      <c r="F183" s="39"/>
    </row>
    <row r="184" spans="1:6">
      <c r="A184" s="43"/>
      <c r="B184" s="67"/>
      <c r="D184" s="38"/>
      <c r="E184" s="39"/>
      <c r="F184" s="39"/>
    </row>
    <row r="185" spans="1:6">
      <c r="A185" s="43"/>
      <c r="B185" s="67"/>
      <c r="D185" s="38"/>
      <c r="E185" s="39"/>
      <c r="F185" s="39"/>
    </row>
    <row r="186" spans="1:6">
      <c r="A186" s="43"/>
      <c r="B186" s="67"/>
      <c r="D186" s="38"/>
      <c r="E186" s="39"/>
      <c r="F186" s="39"/>
    </row>
    <row r="187" spans="1:6">
      <c r="A187" s="43"/>
      <c r="B187" s="67"/>
      <c r="D187" s="38"/>
      <c r="E187" s="39"/>
      <c r="F187" s="39"/>
    </row>
    <row r="188" spans="1:6">
      <c r="A188" s="43"/>
      <c r="B188" s="67"/>
      <c r="D188" s="38"/>
      <c r="E188" s="39"/>
      <c r="F188" s="39"/>
    </row>
    <row r="189" spans="1:6">
      <c r="A189" s="43"/>
      <c r="B189" s="67"/>
      <c r="D189" s="38"/>
      <c r="E189" s="39"/>
      <c r="F189" s="39"/>
    </row>
    <row r="190" spans="1:6">
      <c r="A190" s="43"/>
      <c r="B190" s="67"/>
      <c r="D190" s="38"/>
      <c r="E190" s="39"/>
      <c r="F190" s="39"/>
    </row>
    <row r="191" spans="1:6">
      <c r="A191" s="43"/>
      <c r="B191" s="67"/>
      <c r="D191" s="38"/>
      <c r="E191" s="39"/>
      <c r="F191" s="39"/>
    </row>
    <row r="192" spans="1:6">
      <c r="A192" s="43"/>
      <c r="B192" s="67"/>
      <c r="D192" s="38"/>
      <c r="E192" s="39"/>
      <c r="F192" s="39"/>
    </row>
    <row r="193" spans="1:6">
      <c r="A193" s="43"/>
      <c r="B193" s="67"/>
      <c r="D193" s="38"/>
      <c r="E193" s="39"/>
      <c r="F193" s="39"/>
    </row>
    <row r="194" spans="1:6">
      <c r="A194" s="43"/>
      <c r="B194" s="67"/>
      <c r="D194" s="38"/>
      <c r="E194" s="39"/>
      <c r="F194" s="39"/>
    </row>
    <row r="195" spans="1:6">
      <c r="A195" s="43"/>
      <c r="B195" s="67"/>
      <c r="D195" s="38"/>
      <c r="E195" s="39"/>
      <c r="F195" s="39"/>
    </row>
    <row r="196" spans="1:6">
      <c r="A196" s="43"/>
      <c r="B196" s="67"/>
      <c r="D196" s="38"/>
      <c r="E196" s="39"/>
      <c r="F196" s="39"/>
    </row>
    <row r="197" spans="1:6">
      <c r="A197" s="43"/>
      <c r="B197" s="67"/>
      <c r="D197" s="38"/>
      <c r="E197" s="39"/>
      <c r="F197" s="39"/>
    </row>
    <row r="198" spans="1:6">
      <c r="A198" s="43"/>
      <c r="B198" s="67"/>
      <c r="D198" s="38"/>
      <c r="E198" s="39"/>
      <c r="F198" s="39"/>
    </row>
    <row r="199" spans="1:6">
      <c r="A199" s="43"/>
      <c r="B199" s="67"/>
      <c r="D199" s="38"/>
      <c r="E199" s="39"/>
      <c r="F199" s="39"/>
    </row>
    <row r="200" spans="1:6">
      <c r="A200" s="43"/>
      <c r="B200" s="67"/>
      <c r="D200" s="38"/>
      <c r="E200" s="39"/>
      <c r="F200" s="39"/>
    </row>
    <row r="201" spans="1:6">
      <c r="A201" s="43"/>
      <c r="B201" s="67"/>
      <c r="D201" s="38"/>
      <c r="E201" s="39"/>
      <c r="F201" s="39"/>
    </row>
    <row r="202" spans="1:6">
      <c r="A202" s="43"/>
      <c r="B202" s="67"/>
      <c r="D202" s="38"/>
      <c r="E202" s="39"/>
      <c r="F202" s="39"/>
    </row>
    <row r="203" spans="1:6">
      <c r="A203" s="43"/>
      <c r="B203" s="67"/>
      <c r="D203" s="38"/>
      <c r="E203" s="39"/>
      <c r="F203" s="39"/>
    </row>
    <row r="204" spans="1:6">
      <c r="A204" s="43"/>
      <c r="B204" s="67"/>
      <c r="D204" s="38"/>
      <c r="E204" s="39"/>
      <c r="F204" s="39"/>
    </row>
    <row r="205" spans="1:6">
      <c r="A205" s="43"/>
      <c r="B205" s="67"/>
      <c r="D205" s="38"/>
      <c r="E205" s="39"/>
      <c r="F205" s="39"/>
    </row>
    <row r="206" spans="1:6">
      <c r="A206" s="43"/>
      <c r="B206" s="67"/>
      <c r="D206" s="38"/>
      <c r="E206" s="39"/>
      <c r="F206" s="39"/>
    </row>
    <row r="207" spans="1:6">
      <c r="A207" s="43"/>
      <c r="B207" s="67"/>
      <c r="D207" s="38"/>
      <c r="E207" s="39"/>
      <c r="F207" s="39"/>
    </row>
    <row r="208" spans="1:6">
      <c r="A208" s="43"/>
      <c r="B208" s="67"/>
      <c r="D208" s="38"/>
      <c r="E208" s="39"/>
      <c r="F208" s="39"/>
    </row>
    <row r="209" spans="1:6">
      <c r="A209" s="43"/>
      <c r="B209" s="67"/>
      <c r="D209" s="38"/>
      <c r="E209" s="39"/>
      <c r="F209" s="39"/>
    </row>
    <row r="210" spans="1:6">
      <c r="A210" s="43"/>
      <c r="B210" s="67"/>
      <c r="D210" s="38"/>
      <c r="E210" s="39"/>
      <c r="F210" s="39"/>
    </row>
    <row r="211" spans="1:6">
      <c r="A211" s="43"/>
      <c r="B211" s="67"/>
      <c r="D211" s="38"/>
      <c r="E211" s="39"/>
      <c r="F211" s="39"/>
    </row>
    <row r="212" spans="1:6">
      <c r="A212" s="43"/>
      <c r="B212" s="67"/>
      <c r="D212" s="38"/>
      <c r="E212" s="39"/>
      <c r="F212" s="39"/>
    </row>
    <row r="213" spans="1:6">
      <c r="A213" s="43"/>
      <c r="B213" s="67"/>
      <c r="D213" s="38"/>
      <c r="E213" s="39"/>
      <c r="F213" s="39"/>
    </row>
    <row r="214" spans="1:6">
      <c r="A214" s="43"/>
      <c r="B214" s="67"/>
      <c r="D214" s="38"/>
      <c r="E214" s="39"/>
      <c r="F214" s="39"/>
    </row>
    <row r="215" spans="1:6">
      <c r="A215" s="43"/>
      <c r="B215" s="67"/>
      <c r="D215" s="38"/>
      <c r="E215" s="39"/>
      <c r="F215" s="39"/>
    </row>
    <row r="216" spans="1:6">
      <c r="A216" s="43"/>
      <c r="B216" s="67"/>
      <c r="D216" s="38"/>
      <c r="E216" s="39"/>
      <c r="F216" s="39"/>
    </row>
    <row r="217" spans="1:6">
      <c r="A217" s="43"/>
      <c r="B217" s="67"/>
      <c r="D217" s="38"/>
      <c r="E217" s="39"/>
      <c r="F217" s="39"/>
    </row>
    <row r="218" spans="1:6">
      <c r="A218" s="43"/>
      <c r="B218" s="67"/>
      <c r="D218" s="38"/>
      <c r="E218" s="39"/>
      <c r="F218" s="39"/>
    </row>
    <row r="219" spans="1:6">
      <c r="A219" s="43"/>
      <c r="B219" s="67"/>
      <c r="D219" s="38"/>
      <c r="E219" s="39"/>
      <c r="F219" s="39"/>
    </row>
    <row r="220" spans="1:6">
      <c r="A220" s="43"/>
      <c r="B220" s="67"/>
      <c r="D220" s="38"/>
      <c r="E220" s="39"/>
      <c r="F220" s="39"/>
    </row>
    <row r="221" spans="1:6">
      <c r="A221" s="43"/>
      <c r="B221" s="67"/>
      <c r="D221" s="38"/>
      <c r="E221" s="39"/>
      <c r="F221" s="39"/>
    </row>
    <row r="222" spans="1:6">
      <c r="A222" s="43"/>
      <c r="B222" s="67"/>
      <c r="D222" s="38"/>
      <c r="E222" s="39"/>
      <c r="F222" s="39"/>
    </row>
    <row r="223" spans="1:6">
      <c r="A223" s="43"/>
      <c r="B223" s="67"/>
      <c r="D223" s="38"/>
      <c r="E223" s="39"/>
      <c r="F223" s="39"/>
    </row>
    <row r="224" spans="1:6">
      <c r="A224" s="43"/>
      <c r="B224" s="67"/>
      <c r="D224" s="38"/>
      <c r="E224" s="39"/>
      <c r="F224" s="39"/>
    </row>
    <row r="225" spans="1:6">
      <c r="A225" s="43"/>
      <c r="B225" s="67"/>
      <c r="D225" s="38"/>
      <c r="E225" s="39"/>
      <c r="F225" s="39"/>
    </row>
    <row r="226" spans="1:6">
      <c r="A226" s="43"/>
      <c r="B226" s="67"/>
      <c r="D226" s="38"/>
      <c r="E226" s="39"/>
      <c r="F226" s="39"/>
    </row>
    <row r="227" spans="1:6">
      <c r="A227" s="43"/>
      <c r="B227" s="67"/>
      <c r="D227" s="38"/>
      <c r="E227" s="39"/>
      <c r="F227" s="39"/>
    </row>
    <row r="228" spans="1:6">
      <c r="A228" s="43"/>
      <c r="B228" s="67"/>
      <c r="D228" s="38"/>
      <c r="E228" s="39"/>
      <c r="F228" s="39"/>
    </row>
    <row r="229" spans="1:6">
      <c r="A229" s="43"/>
      <c r="B229" s="67"/>
      <c r="D229" s="38"/>
      <c r="E229" s="39"/>
      <c r="F229" s="39"/>
    </row>
    <row r="230" spans="1:6">
      <c r="A230" s="43"/>
      <c r="B230" s="67"/>
      <c r="D230" s="38"/>
      <c r="E230" s="39"/>
      <c r="F230" s="39"/>
    </row>
    <row r="231" spans="1:6">
      <c r="A231" s="43"/>
      <c r="B231" s="67"/>
      <c r="D231" s="38"/>
      <c r="E231" s="39"/>
      <c r="F231" s="39"/>
    </row>
    <row r="232" spans="1:6">
      <c r="A232" s="43"/>
      <c r="B232" s="67"/>
      <c r="D232" s="38"/>
      <c r="E232" s="39"/>
      <c r="F232" s="39"/>
    </row>
    <row r="233" spans="1:6">
      <c r="A233" s="43"/>
      <c r="B233" s="67"/>
      <c r="D233" s="38"/>
      <c r="E233" s="39"/>
      <c r="F233" s="39"/>
    </row>
    <row r="234" spans="1:6">
      <c r="A234" s="43"/>
      <c r="B234" s="67"/>
      <c r="D234" s="38"/>
      <c r="E234" s="39"/>
      <c r="F234" s="39"/>
    </row>
    <row r="235" spans="1:6">
      <c r="A235" s="43"/>
      <c r="B235" s="67"/>
      <c r="D235" s="38"/>
      <c r="E235" s="39"/>
      <c r="F235" s="39"/>
    </row>
    <row r="236" spans="1:6">
      <c r="A236" s="43"/>
      <c r="B236" s="67"/>
      <c r="D236" s="38"/>
      <c r="E236" s="39"/>
      <c r="F236" s="39"/>
    </row>
    <row r="237" spans="1:6">
      <c r="A237" s="43"/>
      <c r="B237" s="67"/>
      <c r="D237" s="38"/>
      <c r="E237" s="39"/>
      <c r="F237" s="39"/>
    </row>
    <row r="238" spans="1:6">
      <c r="A238" s="43"/>
      <c r="B238" s="67"/>
      <c r="D238" s="38"/>
      <c r="E238" s="39"/>
      <c r="F238" s="39"/>
    </row>
    <row r="239" spans="1:6">
      <c r="A239" s="43"/>
      <c r="B239" s="67"/>
      <c r="D239" s="38"/>
      <c r="E239" s="39"/>
      <c r="F239" s="39"/>
    </row>
    <row r="240" spans="1:6">
      <c r="A240" s="43"/>
      <c r="B240" s="67"/>
      <c r="D240" s="38"/>
      <c r="E240" s="39"/>
      <c r="F240" s="39"/>
    </row>
    <row r="241" spans="1:6">
      <c r="A241" s="43"/>
      <c r="B241" s="67"/>
      <c r="D241" s="38"/>
      <c r="E241" s="39"/>
      <c r="F241" s="39"/>
    </row>
    <row r="242" spans="1:6">
      <c r="A242" s="43"/>
      <c r="B242" s="67"/>
      <c r="D242" s="38"/>
      <c r="E242" s="39"/>
      <c r="F242" s="39"/>
    </row>
    <row r="243" spans="1:6">
      <c r="A243" s="43"/>
      <c r="B243" s="67"/>
      <c r="D243" s="38"/>
      <c r="E243" s="39"/>
      <c r="F243" s="39"/>
    </row>
    <row r="244" spans="1:6">
      <c r="A244" s="43"/>
      <c r="B244" s="67"/>
      <c r="D244" s="38"/>
      <c r="E244" s="39"/>
      <c r="F244" s="39"/>
    </row>
    <row r="245" spans="1:6">
      <c r="A245" s="43"/>
      <c r="B245" s="67"/>
      <c r="D245" s="38"/>
      <c r="E245" s="39"/>
      <c r="F245" s="39"/>
    </row>
    <row r="246" spans="1:6">
      <c r="A246" s="43"/>
      <c r="B246" s="67"/>
      <c r="D246" s="38"/>
      <c r="E246" s="39"/>
      <c r="F246" s="39"/>
    </row>
    <row r="247" spans="1:6">
      <c r="A247" s="43"/>
      <c r="B247" s="67"/>
      <c r="D247" s="38"/>
      <c r="E247" s="39"/>
      <c r="F247" s="39"/>
    </row>
    <row r="248" spans="1:6">
      <c r="A248" s="43"/>
      <c r="B248" s="67"/>
      <c r="D248" s="38"/>
      <c r="E248" s="39"/>
      <c r="F248" s="39"/>
    </row>
    <row r="249" spans="1:6">
      <c r="A249" s="43"/>
      <c r="B249" s="67"/>
      <c r="D249" s="38"/>
      <c r="E249" s="39"/>
      <c r="F249" s="39"/>
    </row>
    <row r="250" spans="1:6">
      <c r="A250" s="43"/>
      <c r="B250" s="67"/>
      <c r="D250" s="38"/>
      <c r="E250" s="39"/>
      <c r="F250" s="39"/>
    </row>
    <row r="251" spans="1:6">
      <c r="A251" s="43"/>
      <c r="B251" s="67"/>
      <c r="D251" s="38"/>
      <c r="E251" s="39"/>
      <c r="F251" s="39"/>
    </row>
    <row r="252" spans="1:6">
      <c r="A252" s="43"/>
      <c r="B252" s="67"/>
      <c r="D252" s="38"/>
      <c r="E252" s="39"/>
      <c r="F252" s="39"/>
    </row>
    <row r="253" spans="1:6">
      <c r="A253" s="43"/>
      <c r="B253" s="67"/>
      <c r="D253" s="38"/>
      <c r="E253" s="39"/>
      <c r="F253" s="39"/>
    </row>
    <row r="254" spans="1:6">
      <c r="A254" s="43"/>
      <c r="B254" s="67"/>
      <c r="D254" s="38"/>
      <c r="E254" s="39"/>
      <c r="F254" s="39"/>
    </row>
    <row r="255" spans="1:6">
      <c r="A255" s="43"/>
      <c r="B255" s="67"/>
      <c r="D255" s="38"/>
      <c r="E255" s="39"/>
      <c r="F255" s="39"/>
    </row>
    <row r="256" spans="1:6">
      <c r="A256" s="43"/>
      <c r="B256" s="67"/>
      <c r="D256" s="38"/>
      <c r="E256" s="39"/>
      <c r="F256" s="39"/>
    </row>
    <row r="257" spans="1:6">
      <c r="A257" s="43"/>
      <c r="B257" s="67"/>
      <c r="D257" s="38"/>
      <c r="E257" s="39"/>
      <c r="F257" s="39"/>
    </row>
    <row r="258" spans="1:6">
      <c r="A258" s="43"/>
      <c r="B258" s="67"/>
      <c r="D258" s="38"/>
      <c r="E258" s="39"/>
      <c r="F258" s="39"/>
    </row>
    <row r="259" spans="1:6">
      <c r="A259" s="43"/>
      <c r="B259" s="67"/>
      <c r="D259" s="38"/>
      <c r="E259" s="39"/>
      <c r="F259" s="39"/>
    </row>
    <row r="260" spans="1:6">
      <c r="A260" s="43"/>
      <c r="B260" s="67"/>
      <c r="D260" s="38"/>
      <c r="E260" s="39"/>
      <c r="F260" s="39"/>
    </row>
    <row r="261" spans="1:6">
      <c r="A261" s="43"/>
      <c r="B261" s="67"/>
      <c r="D261" s="38"/>
      <c r="E261" s="39"/>
      <c r="F261" s="39"/>
    </row>
    <row r="262" spans="1:6">
      <c r="A262" s="43"/>
      <c r="B262" s="67"/>
      <c r="D262" s="38"/>
      <c r="E262" s="39"/>
      <c r="F262" s="39"/>
    </row>
    <row r="263" spans="1:6">
      <c r="A263" s="43"/>
      <c r="B263" s="67"/>
      <c r="D263" s="38"/>
      <c r="E263" s="39"/>
      <c r="F263" s="39"/>
    </row>
    <row r="264" spans="1:6">
      <c r="A264" s="43"/>
      <c r="B264" s="67"/>
      <c r="D264" s="38"/>
      <c r="E264" s="39"/>
      <c r="F264" s="39"/>
    </row>
    <row r="265" spans="1:6">
      <c r="A265" s="43"/>
      <c r="B265" s="67"/>
      <c r="D265" s="38"/>
      <c r="E265" s="39"/>
      <c r="F265" s="39"/>
    </row>
    <row r="266" spans="1:6">
      <c r="A266" s="43"/>
      <c r="B266" s="67"/>
      <c r="D266" s="38"/>
      <c r="E266" s="39"/>
      <c r="F266" s="39"/>
    </row>
    <row r="267" spans="1:6">
      <c r="A267" s="43"/>
      <c r="B267" s="67"/>
      <c r="D267" s="38"/>
      <c r="E267" s="39"/>
      <c r="F267" s="39"/>
    </row>
    <row r="268" spans="1:6">
      <c r="A268" s="43"/>
      <c r="B268" s="67"/>
      <c r="D268" s="38"/>
      <c r="E268" s="39"/>
      <c r="F268" s="39"/>
    </row>
    <row r="269" spans="1:6">
      <c r="A269" s="43"/>
      <c r="B269" s="67"/>
      <c r="D269" s="38"/>
      <c r="E269" s="39"/>
      <c r="F269" s="39"/>
    </row>
    <row r="270" spans="1:6">
      <c r="A270" s="43"/>
      <c r="B270" s="67"/>
      <c r="D270" s="38"/>
      <c r="E270" s="39"/>
      <c r="F270" s="39"/>
    </row>
    <row r="271" spans="1:6">
      <c r="A271" s="43"/>
      <c r="B271" s="67"/>
      <c r="D271" s="38"/>
      <c r="E271" s="39"/>
      <c r="F271" s="39"/>
    </row>
    <row r="272" spans="1:6">
      <c r="A272" s="43"/>
      <c r="B272" s="67"/>
      <c r="D272" s="38"/>
      <c r="E272" s="39"/>
      <c r="F272" s="39"/>
    </row>
    <row r="273" spans="1:6">
      <c r="A273" s="43"/>
      <c r="B273" s="67"/>
      <c r="D273" s="38"/>
      <c r="E273" s="39"/>
      <c r="F273" s="39"/>
    </row>
    <row r="274" spans="1:6">
      <c r="A274" s="43"/>
      <c r="B274" s="67"/>
      <c r="D274" s="38"/>
      <c r="E274" s="39"/>
      <c r="F274" s="39"/>
    </row>
    <row r="275" spans="1:6">
      <c r="A275" s="43"/>
      <c r="B275" s="67"/>
      <c r="D275" s="38"/>
      <c r="E275" s="39"/>
      <c r="F275" s="39"/>
    </row>
    <row r="276" spans="1:6">
      <c r="A276" s="43"/>
      <c r="B276" s="67"/>
      <c r="D276" s="38"/>
      <c r="E276" s="39"/>
      <c r="F276" s="39"/>
    </row>
    <row r="277" spans="1:6">
      <c r="A277" s="43"/>
      <c r="B277" s="67"/>
      <c r="D277" s="38"/>
      <c r="E277" s="39"/>
      <c r="F277" s="39"/>
    </row>
    <row r="278" spans="1:6">
      <c r="A278" s="43"/>
      <c r="B278" s="67"/>
      <c r="D278" s="38"/>
      <c r="E278" s="39"/>
      <c r="F278" s="39"/>
    </row>
    <row r="279" spans="1:6">
      <c r="A279" s="43"/>
      <c r="B279" s="67"/>
      <c r="D279" s="38"/>
      <c r="E279" s="39"/>
      <c r="F279" s="39"/>
    </row>
    <row r="280" spans="1:6">
      <c r="A280" s="43"/>
      <c r="B280" s="67"/>
      <c r="D280" s="38"/>
      <c r="E280" s="39"/>
      <c r="F280" s="39"/>
    </row>
    <row r="281" spans="1:6">
      <c r="A281" s="43"/>
      <c r="B281" s="67"/>
      <c r="D281" s="38"/>
      <c r="E281" s="39"/>
      <c r="F281" s="39"/>
    </row>
    <row r="282" spans="1:6">
      <c r="A282" s="43"/>
      <c r="B282" s="67"/>
      <c r="D282" s="38"/>
      <c r="E282" s="39"/>
      <c r="F282" s="39"/>
    </row>
    <row r="283" spans="1:6">
      <c r="A283" s="43"/>
      <c r="B283" s="67"/>
      <c r="D283" s="38"/>
      <c r="E283" s="39"/>
      <c r="F283" s="39"/>
    </row>
    <row r="284" spans="1:6">
      <c r="A284" s="43"/>
      <c r="B284" s="67"/>
      <c r="D284" s="38"/>
      <c r="E284" s="39"/>
      <c r="F284" s="39"/>
    </row>
    <row r="285" spans="1:6">
      <c r="A285" s="43"/>
      <c r="B285" s="67"/>
      <c r="D285" s="38"/>
      <c r="E285" s="39"/>
      <c r="F285" s="39"/>
    </row>
    <row r="286" spans="1:6">
      <c r="A286" s="43"/>
      <c r="B286" s="67"/>
      <c r="D286" s="38"/>
      <c r="E286" s="39"/>
      <c r="F286" s="39"/>
    </row>
    <row r="287" spans="1:6">
      <c r="A287" s="43"/>
      <c r="B287" s="67"/>
      <c r="D287" s="38"/>
      <c r="E287" s="39"/>
      <c r="F287" s="39"/>
    </row>
    <row r="288" spans="1:6">
      <c r="A288" s="43"/>
      <c r="B288" s="67"/>
      <c r="D288" s="38"/>
      <c r="E288" s="39"/>
      <c r="F288" s="39"/>
    </row>
    <row r="289" spans="1:6">
      <c r="A289" s="43"/>
      <c r="B289" s="67"/>
      <c r="D289" s="38"/>
      <c r="E289" s="39"/>
      <c r="F289" s="39"/>
    </row>
    <row r="290" spans="1:6">
      <c r="A290" s="43"/>
      <c r="B290" s="67"/>
      <c r="D290" s="38"/>
      <c r="E290" s="39"/>
      <c r="F290" s="39"/>
    </row>
    <row r="291" spans="1:6">
      <c r="A291" s="43"/>
      <c r="B291" s="67"/>
      <c r="D291" s="38"/>
      <c r="E291" s="39"/>
      <c r="F291" s="39"/>
    </row>
    <row r="292" spans="1:6">
      <c r="A292" s="43"/>
      <c r="B292" s="67"/>
      <c r="D292" s="38"/>
      <c r="E292" s="39"/>
      <c r="F292" s="39"/>
    </row>
    <row r="293" spans="1:6">
      <c r="A293" s="43"/>
      <c r="B293" s="67"/>
      <c r="D293" s="38"/>
      <c r="E293" s="39"/>
      <c r="F293" s="39"/>
    </row>
    <row r="294" spans="1:6">
      <c r="A294" s="43"/>
      <c r="B294" s="67"/>
      <c r="D294" s="38"/>
      <c r="E294" s="39"/>
      <c r="F294" s="39"/>
    </row>
    <row r="295" spans="1:6">
      <c r="A295" s="43"/>
      <c r="B295" s="67"/>
      <c r="D295" s="38"/>
      <c r="E295" s="39"/>
      <c r="F295" s="39"/>
    </row>
    <row r="296" spans="1:6">
      <c r="A296" s="43"/>
      <c r="B296" s="67"/>
      <c r="D296" s="38"/>
      <c r="E296" s="39"/>
      <c r="F296" s="39"/>
    </row>
    <row r="297" spans="1:6">
      <c r="A297" s="43"/>
      <c r="B297" s="67"/>
      <c r="D297" s="38"/>
      <c r="E297" s="39"/>
      <c r="F297" s="39"/>
    </row>
    <row r="298" spans="1:6">
      <c r="A298" s="43"/>
      <c r="B298" s="67"/>
      <c r="D298" s="38"/>
      <c r="E298" s="39"/>
      <c r="F298" s="39"/>
    </row>
    <row r="299" spans="1:6">
      <c r="A299" s="43"/>
      <c r="B299" s="67"/>
      <c r="D299" s="38"/>
      <c r="E299" s="39"/>
      <c r="F299" s="39"/>
    </row>
    <row r="300" spans="1:6">
      <c r="A300" s="43"/>
      <c r="B300" s="67"/>
      <c r="D300" s="38"/>
      <c r="E300" s="39"/>
      <c r="F300" s="39"/>
    </row>
    <row r="301" spans="1:6">
      <c r="A301" s="43"/>
      <c r="B301" s="67"/>
      <c r="D301" s="38"/>
      <c r="E301" s="39"/>
      <c r="F301" s="39"/>
    </row>
    <row r="302" spans="1:6">
      <c r="A302" s="43"/>
      <c r="B302" s="67"/>
      <c r="D302" s="38"/>
      <c r="E302" s="39"/>
      <c r="F302" s="39"/>
    </row>
    <row r="303" spans="1:6">
      <c r="A303" s="43"/>
      <c r="B303" s="67"/>
      <c r="D303" s="38"/>
      <c r="E303" s="39"/>
      <c r="F303" s="39"/>
    </row>
    <row r="304" spans="1:6">
      <c r="A304" s="43"/>
      <c r="B304" s="67"/>
      <c r="D304" s="38"/>
      <c r="E304" s="39"/>
      <c r="F304" s="39"/>
    </row>
    <row r="305" spans="1:6">
      <c r="A305" s="43"/>
      <c r="B305" s="67"/>
      <c r="D305" s="38"/>
      <c r="E305" s="39"/>
      <c r="F305" s="39"/>
    </row>
    <row r="306" spans="1:6">
      <c r="A306" s="43"/>
      <c r="B306" s="67"/>
      <c r="D306" s="38"/>
      <c r="E306" s="39"/>
      <c r="F306" s="39"/>
    </row>
    <row r="307" spans="1:6">
      <c r="A307" s="43"/>
      <c r="B307" s="67"/>
      <c r="D307" s="38"/>
      <c r="E307" s="39"/>
      <c r="F307" s="39"/>
    </row>
    <row r="308" spans="1:6">
      <c r="A308" s="43"/>
      <c r="B308" s="67"/>
      <c r="D308" s="38"/>
      <c r="E308" s="39"/>
      <c r="F308" s="39"/>
    </row>
    <row r="309" spans="1:6">
      <c r="A309" s="43"/>
      <c r="B309" s="67"/>
      <c r="D309" s="38"/>
      <c r="E309" s="39"/>
      <c r="F309" s="39"/>
    </row>
    <row r="310" spans="1:6">
      <c r="A310" s="43"/>
      <c r="B310" s="67"/>
      <c r="D310" s="38"/>
      <c r="E310" s="39"/>
      <c r="F310" s="39"/>
    </row>
  </sheetData>
  <sheetProtection algorithmName="SHA-512" hashValue="ICEHKE9sqMB4XyQV94PbafV01DgghVuWoY/ezROdT8Lm6eVdxNIJLeSki7yePOAlYETuMX096hesDxNudl6sHw==" saltValue="QwOzc6zgg8nJz8FQ4lxedA=="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39997558519241921"/>
  </sheetPr>
  <dimension ref="A1:G340"/>
  <sheetViews>
    <sheetView topLeftCell="A34" zoomScale="90" zoomScaleNormal="90" zoomScaleSheetLayoutView="100" workbookViewId="0">
      <selection activeCell="E50" sqref="E50"/>
    </sheetView>
  </sheetViews>
  <sheetFormatPr defaultColWidth="8.6640625" defaultRowHeight="13.2"/>
  <cols>
    <col min="1" max="1" width="6.6640625" style="10" customWidth="1"/>
    <col min="2" max="2" width="57.6640625" style="10" customWidth="1"/>
    <col min="3" max="3" width="10.6640625" style="12" customWidth="1"/>
    <col min="4" max="5" width="10.6640625" style="10" customWidth="1"/>
    <col min="6" max="6" width="12.6640625" style="10" customWidth="1"/>
    <col min="7" max="16384" width="8.6640625" style="10"/>
  </cols>
  <sheetData>
    <row r="1" spans="1:7" ht="13.8" thickBot="1">
      <c r="A1" s="867" t="s">
        <v>63</v>
      </c>
      <c r="B1" s="868" t="s">
        <v>62</v>
      </c>
      <c r="C1" s="881"/>
      <c r="D1" s="876"/>
      <c r="E1" s="871"/>
      <c r="F1" s="871"/>
    </row>
    <row r="2" spans="1:7">
      <c r="D2" s="13"/>
      <c r="E2" s="14"/>
      <c r="F2" s="14"/>
    </row>
    <row r="3" spans="1:7" s="20" customFormat="1" ht="14.25" customHeight="1">
      <c r="A3" s="1527" t="s">
        <v>145</v>
      </c>
      <c r="B3" s="1528" t="s">
        <v>146</v>
      </c>
      <c r="C3" s="1529" t="s">
        <v>147</v>
      </c>
      <c r="D3" s="1532" t="s">
        <v>148</v>
      </c>
      <c r="E3" s="1532" t="s">
        <v>149</v>
      </c>
      <c r="F3" s="1532"/>
      <c r="G3" s="1537" t="s">
        <v>2523</v>
      </c>
    </row>
    <row r="4" spans="1:7" s="20" customFormat="1">
      <c r="A4" s="1527"/>
      <c r="B4" s="1528"/>
      <c r="C4" s="1530"/>
      <c r="D4" s="1532"/>
      <c r="E4" s="1532"/>
      <c r="F4" s="1532"/>
      <c r="G4" s="1537"/>
    </row>
    <row r="5" spans="1:7" s="20" customFormat="1">
      <c r="A5" s="1527"/>
      <c r="B5" s="1528"/>
      <c r="C5" s="1531"/>
      <c r="D5" s="1532"/>
      <c r="E5" s="49" t="s">
        <v>150</v>
      </c>
      <c r="F5" s="50" t="s">
        <v>151</v>
      </c>
      <c r="G5" s="1537"/>
    </row>
    <row r="6" spans="1:7" s="20" customFormat="1">
      <c r="A6" s="52"/>
      <c r="B6" s="53"/>
      <c r="C6" s="54"/>
      <c r="D6" s="55"/>
      <c r="E6" s="56"/>
      <c r="F6" s="57"/>
    </row>
    <row r="7" spans="1:7" ht="105.6">
      <c r="A7" s="43">
        <v>1</v>
      </c>
      <c r="B7" s="67" t="s">
        <v>300</v>
      </c>
      <c r="D7" s="38"/>
      <c r="E7" s="39"/>
      <c r="F7" s="39"/>
    </row>
    <row r="8" spans="1:7" ht="15">
      <c r="A8" s="22" t="s">
        <v>12</v>
      </c>
      <c r="B8" s="67" t="s">
        <v>60</v>
      </c>
      <c r="C8" s="12" t="s">
        <v>173</v>
      </c>
      <c r="D8" s="38">
        <v>125</v>
      </c>
      <c r="E8" s="156">
        <f>'[1]B_VI_ GIPSARSKI RADOVI'!E8</f>
        <v>75</v>
      </c>
      <c r="F8" s="39">
        <f>SUM(D8*E8)</f>
        <v>9375</v>
      </c>
    </row>
    <row r="9" spans="1:7" ht="15">
      <c r="A9" s="22" t="s">
        <v>13</v>
      </c>
      <c r="B9" s="67" t="s">
        <v>59</v>
      </c>
      <c r="C9" s="60" t="s">
        <v>173</v>
      </c>
      <c r="D9" s="61">
        <v>100</v>
      </c>
      <c r="E9" s="1316">
        <f>'[1]B_VI_ GIPSARSKI RADOVI'!E9</f>
        <v>5</v>
      </c>
      <c r="F9" s="62">
        <f>SUM(D9*E9)</f>
        <v>500</v>
      </c>
    </row>
    <row r="10" spans="1:7" ht="26.4">
      <c r="A10" s="22" t="s">
        <v>14</v>
      </c>
      <c r="B10" s="67" t="s">
        <v>61</v>
      </c>
      <c r="C10" s="60" t="s">
        <v>190</v>
      </c>
      <c r="D10" s="61">
        <v>12</v>
      </c>
      <c r="E10" s="1316">
        <f>'[1]B_VI_ GIPSARSKI RADOVI'!E10</f>
        <v>100</v>
      </c>
      <c r="F10" s="62">
        <f>SUM(D10*E10)</f>
        <v>1200</v>
      </c>
    </row>
    <row r="11" spans="1:7">
      <c r="A11" s="22"/>
      <c r="B11" s="67"/>
      <c r="C11" s="60"/>
      <c r="D11" s="61"/>
      <c r="E11" s="62"/>
      <c r="F11" s="62"/>
    </row>
    <row r="12" spans="1:7" ht="105.6">
      <c r="A12" s="43">
        <v>2</v>
      </c>
      <c r="B12" s="67" t="s">
        <v>206</v>
      </c>
      <c r="C12" s="60"/>
      <c r="D12" s="61"/>
      <c r="E12" s="62"/>
      <c r="F12" s="62"/>
    </row>
    <row r="13" spans="1:7" ht="15">
      <c r="A13" s="22" t="s">
        <v>12</v>
      </c>
      <c r="B13" s="67" t="s">
        <v>60</v>
      </c>
      <c r="C13" s="60" t="s">
        <v>173</v>
      </c>
      <c r="D13" s="61">
        <v>90</v>
      </c>
      <c r="E13" s="1316">
        <f>'[1]B_VI_ GIPSARSKI RADOVI'!E13</f>
        <v>75</v>
      </c>
      <c r="F13" s="62">
        <f>SUM(D13*E13)</f>
        <v>6750</v>
      </c>
    </row>
    <row r="14" spans="1:7" ht="15">
      <c r="A14" s="22" t="s">
        <v>13</v>
      </c>
      <c r="B14" s="67" t="s">
        <v>59</v>
      </c>
      <c r="C14" s="60" t="s">
        <v>173</v>
      </c>
      <c r="D14" s="61">
        <v>75</v>
      </c>
      <c r="E14" s="1316">
        <f>'[1]B_VI_ GIPSARSKI RADOVI'!E14</f>
        <v>5</v>
      </c>
      <c r="F14" s="62">
        <f>SUM(D14*E14)</f>
        <v>375</v>
      </c>
    </row>
    <row r="15" spans="1:7">
      <c r="A15" s="22"/>
      <c r="B15" s="67"/>
      <c r="D15" s="38"/>
      <c r="E15" s="39"/>
      <c r="F15" s="39"/>
    </row>
    <row r="16" spans="1:7" ht="92.4">
      <c r="A16" s="43">
        <v>3</v>
      </c>
      <c r="B16" s="67" t="s">
        <v>301</v>
      </c>
      <c r="C16" s="60"/>
      <c r="D16" s="61"/>
      <c r="E16" s="62"/>
      <c r="F16" s="62"/>
    </row>
    <row r="17" spans="1:6" ht="15">
      <c r="A17" s="22"/>
      <c r="B17" s="67"/>
      <c r="C17" s="60" t="s">
        <v>173</v>
      </c>
      <c r="D17" s="61">
        <v>25</v>
      </c>
      <c r="E17" s="1316">
        <f>'[1]B_VI_ GIPSARSKI RADOVI'!E17</f>
        <v>65</v>
      </c>
      <c r="F17" s="62">
        <f>SUM(D17*E17)</f>
        <v>1625</v>
      </c>
    </row>
    <row r="18" spans="1:6">
      <c r="A18" s="22"/>
      <c r="B18" s="67"/>
      <c r="D18" s="38"/>
      <c r="E18" s="39"/>
      <c r="F18" s="39"/>
    </row>
    <row r="19" spans="1:6" ht="132">
      <c r="A19" s="43">
        <v>4</v>
      </c>
      <c r="B19" s="67" t="s">
        <v>207</v>
      </c>
      <c r="D19" s="38"/>
      <c r="E19" s="39"/>
      <c r="F19" s="39"/>
    </row>
    <row r="20" spans="1:6" ht="15">
      <c r="A20" s="22" t="s">
        <v>12</v>
      </c>
      <c r="B20" s="67" t="s">
        <v>60</v>
      </c>
      <c r="C20" s="12" t="s">
        <v>173</v>
      </c>
      <c r="D20" s="38">
        <v>25</v>
      </c>
      <c r="E20" s="156">
        <f>'[1]B_VI_ GIPSARSKI RADOVI'!E20</f>
        <v>100</v>
      </c>
      <c r="F20" s="39">
        <f>SUM(D20*E20)</f>
        <v>2500</v>
      </c>
    </row>
    <row r="21" spans="1:6" ht="26.4">
      <c r="A21" s="22" t="s">
        <v>13</v>
      </c>
      <c r="B21" s="67" t="s">
        <v>104</v>
      </c>
      <c r="C21" s="60" t="s">
        <v>173</v>
      </c>
      <c r="D21" s="61">
        <v>12</v>
      </c>
      <c r="E21" s="1316">
        <f>'[1]B_VI_ GIPSARSKI RADOVI'!E21</f>
        <v>10</v>
      </c>
      <c r="F21" s="62">
        <f>SUM(D21*E21)</f>
        <v>120</v>
      </c>
    </row>
    <row r="22" spans="1:6">
      <c r="A22" s="22"/>
      <c r="B22" s="67"/>
      <c r="D22" s="38"/>
      <c r="E22" s="39"/>
      <c r="F22" s="39"/>
    </row>
    <row r="23" spans="1:6" ht="105.6">
      <c r="A23" s="43">
        <v>5</v>
      </c>
      <c r="B23" s="67" t="s">
        <v>208</v>
      </c>
      <c r="D23" s="38"/>
      <c r="E23" s="39"/>
      <c r="F23" s="39"/>
    </row>
    <row r="24" spans="1:6" ht="15">
      <c r="A24" s="22" t="s">
        <v>12</v>
      </c>
      <c r="B24" s="67" t="s">
        <v>58</v>
      </c>
      <c r="C24" s="12" t="s">
        <v>173</v>
      </c>
      <c r="D24" s="61">
        <v>170</v>
      </c>
      <c r="E24" s="1316">
        <f>'[1]B_VI_ GIPSARSKI RADOVI'!E24</f>
        <v>60</v>
      </c>
      <c r="F24" s="62">
        <f>SUM(D24*E24)</f>
        <v>10200</v>
      </c>
    </row>
    <row r="25" spans="1:6">
      <c r="A25" s="22" t="s">
        <v>14</v>
      </c>
      <c r="B25" s="67" t="s">
        <v>57</v>
      </c>
      <c r="C25" s="60" t="s">
        <v>9</v>
      </c>
      <c r="D25" s="61">
        <v>2</v>
      </c>
      <c r="E25" s="1316">
        <f>'[1]B_VI_ GIPSARSKI RADOVI'!E25</f>
        <v>100</v>
      </c>
      <c r="F25" s="62">
        <f>SUM(D25*E25)</f>
        <v>200</v>
      </c>
    </row>
    <row r="26" spans="1:6">
      <c r="A26" s="22"/>
      <c r="B26" s="67"/>
      <c r="D26" s="38"/>
      <c r="E26" s="39"/>
      <c r="F26" s="39"/>
    </row>
    <row r="27" spans="1:6" ht="105.6">
      <c r="A27" s="43">
        <v>6</v>
      </c>
      <c r="B27" s="67" t="s">
        <v>303</v>
      </c>
      <c r="D27" s="38"/>
      <c r="E27" s="39"/>
      <c r="F27" s="39"/>
    </row>
    <row r="28" spans="1:6">
      <c r="A28" s="43"/>
      <c r="B28" s="114" t="s">
        <v>105</v>
      </c>
      <c r="D28" s="38"/>
      <c r="E28" s="39"/>
      <c r="F28" s="39"/>
    </row>
    <row r="29" spans="1:6">
      <c r="A29" s="43"/>
      <c r="B29" s="114" t="s">
        <v>99</v>
      </c>
      <c r="D29" s="38"/>
      <c r="E29" s="39"/>
      <c r="F29" s="39"/>
    </row>
    <row r="30" spans="1:6" ht="39.6">
      <c r="A30" s="22"/>
      <c r="B30" s="147" t="s">
        <v>101</v>
      </c>
      <c r="C30" s="60"/>
      <c r="D30" s="68"/>
      <c r="E30" s="68"/>
      <c r="F30" s="68"/>
    </row>
    <row r="31" spans="1:6">
      <c r="A31" s="22"/>
      <c r="B31" s="147" t="s">
        <v>100</v>
      </c>
      <c r="C31" s="60"/>
      <c r="D31" s="68"/>
      <c r="E31" s="68"/>
      <c r="F31" s="68"/>
    </row>
    <row r="32" spans="1:6" ht="15">
      <c r="A32" s="22"/>
      <c r="B32" s="37"/>
      <c r="C32" s="60" t="s">
        <v>209</v>
      </c>
      <c r="D32" s="68">
        <v>340</v>
      </c>
      <c r="E32" s="1323">
        <f>'[1]B_VI_ GIPSARSKI RADOVI'!E32</f>
        <v>60</v>
      </c>
      <c r="F32" s="68">
        <f>ROUND(D32*E32,2)</f>
        <v>20400</v>
      </c>
    </row>
    <row r="33" spans="1:6">
      <c r="A33" s="22"/>
      <c r="B33" s="67"/>
      <c r="D33" s="38"/>
      <c r="E33" s="39"/>
      <c r="F33" s="39"/>
    </row>
    <row r="34" spans="1:6" ht="118.8">
      <c r="A34" s="43">
        <v>7</v>
      </c>
      <c r="B34" s="67" t="s">
        <v>302</v>
      </c>
      <c r="D34" s="38"/>
      <c r="E34" s="39"/>
      <c r="F34" s="39"/>
    </row>
    <row r="35" spans="1:6" ht="15">
      <c r="A35" s="22"/>
      <c r="B35" s="67"/>
      <c r="C35" s="12" t="s">
        <v>173</v>
      </c>
      <c r="D35" s="38">
        <v>210</v>
      </c>
      <c r="E35" s="156">
        <f>'[1]B_VI_ GIPSARSKI RADOVI'!E35</f>
        <v>60</v>
      </c>
      <c r="F35" s="39">
        <f>SUM(D35*E35)</f>
        <v>12600</v>
      </c>
    </row>
    <row r="36" spans="1:6">
      <c r="A36" s="22"/>
      <c r="B36" s="67"/>
      <c r="C36" s="60"/>
      <c r="D36" s="61"/>
      <c r="E36" s="62"/>
      <c r="F36" s="62"/>
    </row>
    <row r="37" spans="1:6">
      <c r="A37" s="99"/>
      <c r="B37" s="95" t="s">
        <v>210</v>
      </c>
      <c r="C37" s="96"/>
      <c r="D37" s="100"/>
      <c r="E37" s="98"/>
      <c r="F37" s="91">
        <f>SUM(F8:F36)</f>
        <v>65845</v>
      </c>
    </row>
    <row r="38" spans="1:6">
      <c r="A38" s="22"/>
      <c r="B38" s="67"/>
      <c r="D38" s="38"/>
      <c r="E38" s="39"/>
      <c r="F38" s="39"/>
    </row>
    <row r="39" spans="1:6">
      <c r="A39" s="22"/>
      <c r="B39" s="67"/>
      <c r="D39" s="38"/>
      <c r="E39" s="39"/>
      <c r="F39" s="39"/>
    </row>
    <row r="40" spans="1:6">
      <c r="A40" s="22"/>
      <c r="B40" s="67"/>
      <c r="D40" s="38"/>
      <c r="E40" s="39"/>
      <c r="F40" s="39"/>
    </row>
    <row r="41" spans="1:6">
      <c r="A41" s="22"/>
      <c r="B41" s="67"/>
      <c r="D41" s="38"/>
      <c r="E41" s="39"/>
      <c r="F41" s="39"/>
    </row>
    <row r="42" spans="1:6">
      <c r="A42" s="22"/>
      <c r="B42" s="67"/>
      <c r="D42" s="38"/>
      <c r="E42" s="39"/>
      <c r="F42" s="39"/>
    </row>
    <row r="43" spans="1:6">
      <c r="A43" s="22"/>
      <c r="B43" s="67"/>
      <c r="D43" s="38"/>
      <c r="E43" s="39"/>
      <c r="F43" s="39"/>
    </row>
    <row r="44" spans="1:6">
      <c r="A44" s="22"/>
      <c r="B44" s="67"/>
      <c r="D44" s="38"/>
      <c r="E44" s="39"/>
      <c r="F44" s="39"/>
    </row>
    <row r="45" spans="1:6">
      <c r="A45" s="22"/>
      <c r="B45" s="67"/>
      <c r="D45" s="38"/>
      <c r="E45" s="39"/>
      <c r="F45" s="39"/>
    </row>
    <row r="46" spans="1:6">
      <c r="A46" s="22"/>
      <c r="B46" s="67"/>
      <c r="D46" s="38"/>
      <c r="E46" s="39"/>
      <c r="F46" s="39"/>
    </row>
    <row r="47" spans="1:6">
      <c r="A47" s="22"/>
      <c r="B47" s="67"/>
      <c r="D47" s="38"/>
      <c r="E47" s="39"/>
      <c r="F47" s="39"/>
    </row>
    <row r="48" spans="1:6">
      <c r="A48" s="22"/>
      <c r="B48" s="67"/>
      <c r="D48" s="38"/>
      <c r="E48" s="39"/>
      <c r="F48" s="39"/>
    </row>
    <row r="49" spans="1:6">
      <c r="A49" s="22"/>
      <c r="B49" s="67"/>
      <c r="D49" s="38"/>
      <c r="E49" s="39"/>
      <c r="F49" s="39"/>
    </row>
    <row r="50" spans="1:6">
      <c r="A50" s="22"/>
      <c r="B50" s="67"/>
      <c r="D50" s="38"/>
      <c r="E50" s="39"/>
      <c r="F50" s="39"/>
    </row>
    <row r="51" spans="1:6">
      <c r="A51" s="22"/>
      <c r="B51" s="67"/>
      <c r="D51" s="38"/>
      <c r="E51" s="39"/>
      <c r="F51" s="39"/>
    </row>
    <row r="52" spans="1:6">
      <c r="A52" s="22"/>
      <c r="B52" s="67"/>
      <c r="D52" s="38"/>
      <c r="E52" s="39"/>
      <c r="F52" s="39"/>
    </row>
    <row r="53" spans="1:6">
      <c r="A53" s="22"/>
      <c r="B53" s="67"/>
      <c r="D53" s="38"/>
      <c r="E53" s="39"/>
      <c r="F53" s="39"/>
    </row>
    <row r="54" spans="1:6">
      <c r="A54" s="22"/>
      <c r="B54" s="67"/>
      <c r="D54" s="38"/>
      <c r="E54" s="39"/>
      <c r="F54" s="39"/>
    </row>
    <row r="55" spans="1:6">
      <c r="A55" s="22"/>
      <c r="B55" s="67"/>
      <c r="D55" s="38"/>
      <c r="E55" s="39"/>
      <c r="F55" s="39"/>
    </row>
    <row r="56" spans="1:6">
      <c r="A56" s="22"/>
      <c r="B56" s="67"/>
      <c r="D56" s="38"/>
      <c r="E56" s="39"/>
      <c r="F56" s="39"/>
    </row>
    <row r="57" spans="1:6">
      <c r="A57" s="22"/>
      <c r="B57" s="67"/>
      <c r="D57" s="38"/>
      <c r="E57" s="39"/>
      <c r="F57" s="39"/>
    </row>
    <row r="58" spans="1:6">
      <c r="A58" s="22"/>
      <c r="B58" s="67"/>
      <c r="D58" s="38"/>
      <c r="E58" s="39"/>
      <c r="F58" s="39"/>
    </row>
    <row r="59" spans="1:6">
      <c r="A59" s="22"/>
      <c r="B59" s="67"/>
      <c r="D59" s="38"/>
      <c r="E59" s="39"/>
      <c r="F59" s="39"/>
    </row>
    <row r="60" spans="1:6">
      <c r="A60" s="22"/>
      <c r="B60" s="67"/>
      <c r="D60" s="38"/>
      <c r="E60" s="39"/>
      <c r="F60" s="39"/>
    </row>
    <row r="61" spans="1:6">
      <c r="A61" s="22"/>
      <c r="B61" s="67"/>
      <c r="D61" s="38"/>
      <c r="E61" s="39"/>
      <c r="F61" s="39"/>
    </row>
    <row r="62" spans="1:6">
      <c r="A62" s="22"/>
      <c r="B62" s="67"/>
      <c r="D62" s="38"/>
      <c r="E62" s="39"/>
      <c r="F62" s="39"/>
    </row>
    <row r="63" spans="1:6">
      <c r="A63" s="22"/>
      <c r="B63" s="67"/>
      <c r="D63" s="38"/>
      <c r="E63" s="39"/>
      <c r="F63" s="39"/>
    </row>
    <row r="64" spans="1:6">
      <c r="A64" s="22"/>
      <c r="B64" s="67"/>
      <c r="D64" s="38"/>
      <c r="E64" s="39"/>
      <c r="F64" s="39"/>
    </row>
    <row r="65" spans="1:6">
      <c r="A65" s="22"/>
      <c r="B65" s="67"/>
      <c r="D65" s="38"/>
      <c r="E65" s="39"/>
      <c r="F65" s="39"/>
    </row>
    <row r="66" spans="1:6">
      <c r="A66" s="22"/>
      <c r="B66" s="67"/>
      <c r="D66" s="38"/>
      <c r="E66" s="39"/>
      <c r="F66" s="39"/>
    </row>
    <row r="67" spans="1:6">
      <c r="A67" s="22"/>
      <c r="B67" s="67"/>
      <c r="D67" s="38"/>
      <c r="E67" s="39"/>
      <c r="F67" s="39"/>
    </row>
    <row r="68" spans="1:6">
      <c r="A68" s="22"/>
      <c r="B68" s="67"/>
      <c r="D68" s="38"/>
      <c r="E68" s="39"/>
      <c r="F68" s="39"/>
    </row>
    <row r="69" spans="1:6">
      <c r="A69" s="22"/>
      <c r="B69" s="67"/>
      <c r="D69" s="38"/>
      <c r="E69" s="39"/>
      <c r="F69" s="39"/>
    </row>
    <row r="70" spans="1:6">
      <c r="A70" s="22"/>
      <c r="B70" s="67"/>
      <c r="D70" s="38"/>
      <c r="E70" s="39"/>
      <c r="F70" s="39"/>
    </row>
    <row r="71" spans="1:6">
      <c r="A71" s="22"/>
      <c r="B71" s="67"/>
      <c r="D71" s="38"/>
      <c r="E71" s="39"/>
      <c r="F71" s="39"/>
    </row>
    <row r="72" spans="1:6">
      <c r="A72" s="22"/>
      <c r="B72" s="67"/>
      <c r="D72" s="38"/>
      <c r="E72" s="39"/>
      <c r="F72" s="39"/>
    </row>
    <row r="73" spans="1:6">
      <c r="A73" s="22"/>
      <c r="B73" s="67"/>
      <c r="D73" s="38"/>
      <c r="E73" s="39"/>
      <c r="F73" s="39"/>
    </row>
    <row r="74" spans="1:6">
      <c r="A74" s="22"/>
      <c r="B74" s="67"/>
      <c r="D74" s="38"/>
      <c r="E74" s="39"/>
      <c r="F74" s="39"/>
    </row>
    <row r="75" spans="1:6">
      <c r="A75" s="22"/>
      <c r="B75" s="67"/>
      <c r="D75" s="38"/>
      <c r="E75" s="39"/>
      <c r="F75" s="39"/>
    </row>
    <row r="76" spans="1:6">
      <c r="A76" s="22"/>
      <c r="B76" s="67"/>
      <c r="D76" s="38"/>
      <c r="E76" s="39"/>
      <c r="F76" s="39"/>
    </row>
    <row r="77" spans="1:6">
      <c r="A77" s="22"/>
      <c r="B77" s="67"/>
      <c r="D77" s="38"/>
      <c r="E77" s="39"/>
      <c r="F77" s="39"/>
    </row>
    <row r="78" spans="1:6">
      <c r="A78" s="22"/>
      <c r="B78" s="67"/>
      <c r="D78" s="38"/>
      <c r="E78" s="39"/>
      <c r="F78" s="39"/>
    </row>
    <row r="79" spans="1:6">
      <c r="A79" s="22"/>
      <c r="B79" s="67"/>
      <c r="D79" s="38"/>
      <c r="E79" s="39"/>
      <c r="F79" s="39"/>
    </row>
    <row r="80" spans="1:6">
      <c r="A80" s="22"/>
      <c r="B80" s="67"/>
      <c r="D80" s="38"/>
      <c r="E80" s="39"/>
      <c r="F80" s="39"/>
    </row>
    <row r="81" spans="1:6">
      <c r="A81" s="22"/>
      <c r="B81" s="67"/>
      <c r="D81" s="38"/>
      <c r="E81" s="39"/>
      <c r="F81" s="39"/>
    </row>
    <row r="82" spans="1:6">
      <c r="A82" s="22"/>
      <c r="B82" s="67"/>
      <c r="D82" s="38"/>
      <c r="E82" s="39"/>
      <c r="F82" s="39"/>
    </row>
    <row r="83" spans="1:6">
      <c r="A83" s="22"/>
      <c r="B83" s="67"/>
      <c r="D83" s="38"/>
      <c r="E83" s="39"/>
      <c r="F83" s="39"/>
    </row>
    <row r="84" spans="1:6">
      <c r="A84" s="22"/>
      <c r="B84" s="67"/>
      <c r="D84" s="38"/>
      <c r="E84" s="39"/>
      <c r="F84" s="39"/>
    </row>
    <row r="85" spans="1:6">
      <c r="A85" s="22"/>
      <c r="B85" s="67"/>
      <c r="D85" s="38"/>
      <c r="E85" s="39"/>
      <c r="F85" s="39"/>
    </row>
    <row r="86" spans="1:6">
      <c r="A86" s="22"/>
      <c r="B86" s="67"/>
      <c r="D86" s="38"/>
      <c r="E86" s="39"/>
      <c r="F86" s="39"/>
    </row>
    <row r="87" spans="1:6">
      <c r="A87" s="22"/>
      <c r="B87" s="67"/>
      <c r="D87" s="38"/>
      <c r="E87" s="39"/>
      <c r="F87" s="39"/>
    </row>
    <row r="88" spans="1:6">
      <c r="A88" s="22"/>
      <c r="B88" s="67"/>
      <c r="D88" s="38"/>
      <c r="E88" s="39"/>
      <c r="F88" s="39"/>
    </row>
    <row r="89" spans="1:6">
      <c r="A89" s="22"/>
      <c r="B89" s="67"/>
      <c r="D89" s="38"/>
      <c r="E89" s="39"/>
      <c r="F89" s="39"/>
    </row>
    <row r="90" spans="1:6">
      <c r="A90" s="22"/>
      <c r="B90" s="67"/>
      <c r="D90" s="38"/>
      <c r="E90" s="39"/>
      <c r="F90" s="39"/>
    </row>
    <row r="91" spans="1:6">
      <c r="A91" s="22"/>
      <c r="B91" s="67"/>
      <c r="D91" s="38"/>
      <c r="E91" s="39"/>
      <c r="F91" s="39"/>
    </row>
    <row r="92" spans="1:6">
      <c r="A92" s="22"/>
      <c r="B92" s="67"/>
      <c r="D92" s="38"/>
      <c r="E92" s="39"/>
      <c r="F92" s="39"/>
    </row>
    <row r="93" spans="1:6">
      <c r="A93" s="22"/>
      <c r="B93" s="67"/>
      <c r="D93" s="38"/>
      <c r="E93" s="39"/>
      <c r="F93" s="39"/>
    </row>
    <row r="94" spans="1:6">
      <c r="A94" s="22"/>
      <c r="B94" s="67"/>
      <c r="D94" s="38"/>
      <c r="E94" s="39"/>
      <c r="F94" s="39"/>
    </row>
    <row r="95" spans="1:6">
      <c r="A95" s="22"/>
      <c r="B95" s="67"/>
      <c r="D95" s="38"/>
      <c r="E95" s="39"/>
      <c r="F95" s="39"/>
    </row>
    <row r="96" spans="1:6">
      <c r="A96" s="22"/>
      <c r="B96" s="67"/>
      <c r="D96" s="38"/>
      <c r="E96" s="39"/>
      <c r="F96" s="39"/>
    </row>
    <row r="97" spans="1:6">
      <c r="A97" s="22"/>
      <c r="B97" s="67"/>
      <c r="D97" s="38"/>
      <c r="E97" s="39"/>
      <c r="F97" s="39"/>
    </row>
    <row r="98" spans="1:6">
      <c r="A98" s="22"/>
      <c r="B98" s="67"/>
      <c r="D98" s="38"/>
      <c r="E98" s="39"/>
      <c r="F98" s="39"/>
    </row>
    <row r="99" spans="1:6">
      <c r="A99" s="22"/>
      <c r="B99" s="67"/>
      <c r="D99" s="38"/>
      <c r="E99" s="39"/>
      <c r="F99" s="39"/>
    </row>
    <row r="100" spans="1:6">
      <c r="A100" s="22"/>
      <c r="B100" s="67"/>
      <c r="D100" s="38"/>
      <c r="E100" s="39"/>
      <c r="F100" s="39"/>
    </row>
    <row r="101" spans="1:6">
      <c r="A101" s="22"/>
      <c r="B101" s="67"/>
      <c r="D101" s="38"/>
      <c r="E101" s="39"/>
      <c r="F101" s="39"/>
    </row>
    <row r="102" spans="1:6">
      <c r="A102" s="22"/>
      <c r="B102" s="67"/>
      <c r="D102" s="38"/>
      <c r="E102" s="39"/>
      <c r="F102" s="39"/>
    </row>
    <row r="103" spans="1:6">
      <c r="A103" s="22"/>
      <c r="B103" s="67"/>
      <c r="D103" s="38"/>
      <c r="E103" s="39"/>
      <c r="F103" s="39"/>
    </row>
    <row r="104" spans="1:6">
      <c r="A104" s="22"/>
      <c r="B104" s="67"/>
      <c r="D104" s="38"/>
      <c r="E104" s="39"/>
      <c r="F104" s="39"/>
    </row>
    <row r="105" spans="1:6">
      <c r="A105" s="22"/>
      <c r="B105" s="67"/>
      <c r="D105" s="38"/>
      <c r="E105" s="39"/>
      <c r="F105" s="39"/>
    </row>
    <row r="106" spans="1:6">
      <c r="A106" s="22"/>
      <c r="B106" s="67"/>
      <c r="D106" s="38"/>
      <c r="E106" s="39"/>
      <c r="F106" s="39"/>
    </row>
    <row r="107" spans="1:6">
      <c r="A107" s="22"/>
      <c r="B107" s="67"/>
      <c r="D107" s="38"/>
      <c r="E107" s="39"/>
      <c r="F107" s="39"/>
    </row>
    <row r="108" spans="1:6">
      <c r="A108" s="22"/>
      <c r="B108" s="67"/>
      <c r="D108" s="38"/>
      <c r="E108" s="39"/>
      <c r="F108" s="39"/>
    </row>
    <row r="109" spans="1:6">
      <c r="A109" s="22"/>
      <c r="B109" s="67"/>
      <c r="D109" s="38"/>
      <c r="E109" s="39"/>
      <c r="F109" s="39"/>
    </row>
    <row r="110" spans="1:6">
      <c r="A110" s="22"/>
      <c r="B110" s="67"/>
      <c r="D110" s="38"/>
      <c r="E110" s="39"/>
      <c r="F110" s="39"/>
    </row>
    <row r="111" spans="1:6">
      <c r="A111" s="22"/>
      <c r="B111" s="67"/>
      <c r="D111" s="38"/>
      <c r="E111" s="39"/>
      <c r="F111" s="39"/>
    </row>
    <row r="112" spans="1:6">
      <c r="A112" s="22"/>
      <c r="B112" s="67"/>
      <c r="D112" s="38"/>
      <c r="E112" s="39"/>
      <c r="F112" s="39"/>
    </row>
    <row r="113" spans="1:6">
      <c r="A113" s="22"/>
      <c r="B113" s="67"/>
      <c r="D113" s="38"/>
      <c r="E113" s="39"/>
      <c r="F113" s="39"/>
    </row>
    <row r="114" spans="1:6">
      <c r="A114" s="22"/>
      <c r="B114" s="67"/>
      <c r="D114" s="38"/>
      <c r="E114" s="39"/>
      <c r="F114" s="39"/>
    </row>
    <row r="115" spans="1:6">
      <c r="A115" s="22"/>
      <c r="B115" s="67"/>
      <c r="D115" s="38"/>
      <c r="E115" s="39"/>
      <c r="F115" s="39"/>
    </row>
    <row r="116" spans="1:6">
      <c r="A116" s="22"/>
      <c r="B116" s="67"/>
      <c r="D116" s="38"/>
      <c r="E116" s="39"/>
      <c r="F116" s="39"/>
    </row>
    <row r="117" spans="1:6">
      <c r="A117" s="22"/>
      <c r="B117" s="67"/>
      <c r="D117" s="38"/>
      <c r="E117" s="39"/>
      <c r="F117" s="39"/>
    </row>
    <row r="118" spans="1:6">
      <c r="A118" s="22"/>
      <c r="B118" s="67"/>
      <c r="D118" s="38"/>
      <c r="E118" s="39"/>
      <c r="F118" s="39"/>
    </row>
    <row r="119" spans="1:6">
      <c r="A119" s="22"/>
      <c r="B119" s="67"/>
      <c r="D119" s="38"/>
      <c r="E119" s="39"/>
      <c r="F119" s="39"/>
    </row>
    <row r="120" spans="1:6">
      <c r="A120" s="22"/>
      <c r="B120" s="67"/>
      <c r="D120" s="38"/>
      <c r="E120" s="39"/>
      <c r="F120" s="39"/>
    </row>
    <row r="121" spans="1:6">
      <c r="A121" s="22"/>
      <c r="B121" s="67"/>
      <c r="D121" s="38"/>
      <c r="E121" s="39"/>
      <c r="F121" s="39"/>
    </row>
    <row r="122" spans="1:6">
      <c r="A122" s="22"/>
      <c r="B122" s="67"/>
      <c r="D122" s="38"/>
      <c r="E122" s="39"/>
      <c r="F122" s="39"/>
    </row>
    <row r="123" spans="1:6">
      <c r="A123" s="22"/>
      <c r="B123" s="67"/>
      <c r="D123" s="38"/>
      <c r="E123" s="39"/>
      <c r="F123" s="39"/>
    </row>
    <row r="124" spans="1:6">
      <c r="A124" s="22"/>
      <c r="B124" s="67"/>
      <c r="D124" s="38"/>
      <c r="E124" s="39"/>
      <c r="F124" s="39"/>
    </row>
    <row r="125" spans="1:6">
      <c r="A125" s="22"/>
      <c r="B125" s="67"/>
      <c r="D125" s="38"/>
      <c r="E125" s="39"/>
      <c r="F125" s="39"/>
    </row>
    <row r="126" spans="1:6">
      <c r="A126" s="22"/>
      <c r="B126" s="67"/>
      <c r="D126" s="38"/>
      <c r="E126" s="39"/>
      <c r="F126" s="39"/>
    </row>
    <row r="127" spans="1:6">
      <c r="A127" s="22"/>
      <c r="B127" s="67"/>
      <c r="D127" s="38"/>
      <c r="E127" s="39"/>
      <c r="F127" s="39"/>
    </row>
    <row r="128" spans="1:6">
      <c r="A128" s="22"/>
      <c r="B128" s="67"/>
      <c r="D128" s="38"/>
      <c r="E128" s="39"/>
      <c r="F128" s="39"/>
    </row>
    <row r="129" spans="1:6">
      <c r="A129" s="22"/>
      <c r="B129" s="67"/>
      <c r="D129" s="38"/>
      <c r="E129" s="39"/>
      <c r="F129" s="39"/>
    </row>
    <row r="130" spans="1:6">
      <c r="A130" s="22"/>
      <c r="B130" s="67"/>
      <c r="D130" s="38"/>
      <c r="E130" s="39"/>
      <c r="F130" s="39"/>
    </row>
    <row r="131" spans="1:6">
      <c r="A131" s="22"/>
      <c r="B131" s="67"/>
      <c r="D131" s="38"/>
      <c r="E131" s="39"/>
      <c r="F131" s="39"/>
    </row>
    <row r="132" spans="1:6">
      <c r="A132" s="22"/>
      <c r="B132" s="67"/>
      <c r="D132" s="38"/>
      <c r="E132" s="39"/>
      <c r="F132" s="39"/>
    </row>
    <row r="133" spans="1:6">
      <c r="A133" s="22"/>
      <c r="B133" s="67"/>
      <c r="D133" s="38"/>
      <c r="E133" s="39"/>
      <c r="F133" s="39"/>
    </row>
    <row r="134" spans="1:6">
      <c r="A134" s="22"/>
      <c r="B134" s="67"/>
      <c r="D134" s="38"/>
      <c r="E134" s="39"/>
      <c r="F134" s="39"/>
    </row>
    <row r="135" spans="1:6">
      <c r="A135" s="22"/>
      <c r="B135" s="67"/>
      <c r="D135" s="38"/>
      <c r="E135" s="39"/>
      <c r="F135" s="39"/>
    </row>
    <row r="136" spans="1:6">
      <c r="A136" s="22"/>
      <c r="B136" s="67"/>
      <c r="D136" s="38"/>
      <c r="E136" s="39"/>
      <c r="F136" s="39"/>
    </row>
    <row r="137" spans="1:6">
      <c r="A137" s="22"/>
      <c r="B137" s="67"/>
      <c r="D137" s="38"/>
      <c r="E137" s="39"/>
      <c r="F137" s="39"/>
    </row>
    <row r="138" spans="1:6">
      <c r="A138" s="22"/>
      <c r="B138" s="67"/>
      <c r="D138" s="38"/>
      <c r="E138" s="39"/>
      <c r="F138" s="39"/>
    </row>
    <row r="139" spans="1:6">
      <c r="A139" s="22"/>
      <c r="B139" s="67"/>
      <c r="D139" s="38"/>
      <c r="E139" s="39"/>
      <c r="F139" s="39"/>
    </row>
    <row r="140" spans="1:6">
      <c r="A140" s="22"/>
      <c r="B140" s="67"/>
      <c r="D140" s="38"/>
      <c r="E140" s="39"/>
      <c r="F140" s="39"/>
    </row>
    <row r="141" spans="1:6">
      <c r="A141" s="22"/>
      <c r="B141" s="67"/>
      <c r="D141" s="38"/>
      <c r="E141" s="39"/>
      <c r="F141" s="39"/>
    </row>
    <row r="142" spans="1:6">
      <c r="A142" s="22"/>
      <c r="B142" s="67"/>
      <c r="D142" s="38"/>
      <c r="E142" s="39"/>
      <c r="F142" s="39"/>
    </row>
    <row r="143" spans="1:6">
      <c r="A143" s="22"/>
      <c r="B143" s="67"/>
      <c r="D143" s="38"/>
      <c r="E143" s="39"/>
      <c r="F143" s="39"/>
    </row>
    <row r="144" spans="1:6">
      <c r="A144" s="22"/>
      <c r="B144" s="67"/>
      <c r="D144" s="38"/>
      <c r="E144" s="39"/>
      <c r="F144" s="39"/>
    </row>
    <row r="145" spans="1:6">
      <c r="A145" s="22"/>
      <c r="B145" s="67"/>
      <c r="D145" s="38"/>
      <c r="E145" s="39"/>
      <c r="F145" s="39"/>
    </row>
    <row r="146" spans="1:6">
      <c r="A146" s="22"/>
      <c r="B146" s="67"/>
      <c r="D146" s="38"/>
      <c r="E146" s="39"/>
      <c r="F146" s="39"/>
    </row>
    <row r="147" spans="1:6">
      <c r="A147" s="22"/>
      <c r="B147" s="67"/>
      <c r="D147" s="38"/>
      <c r="E147" s="39"/>
      <c r="F147" s="39"/>
    </row>
    <row r="148" spans="1:6">
      <c r="A148" s="22"/>
      <c r="B148" s="67"/>
      <c r="D148" s="38"/>
      <c r="E148" s="39"/>
      <c r="F148" s="39"/>
    </row>
    <row r="149" spans="1:6">
      <c r="A149" s="22"/>
      <c r="B149" s="67"/>
      <c r="D149" s="38"/>
      <c r="E149" s="39"/>
      <c r="F149" s="39"/>
    </row>
    <row r="150" spans="1:6">
      <c r="A150" s="22"/>
      <c r="B150" s="67"/>
      <c r="D150" s="38"/>
      <c r="E150" s="39"/>
      <c r="F150" s="39"/>
    </row>
    <row r="151" spans="1:6">
      <c r="A151" s="22"/>
      <c r="B151" s="67"/>
      <c r="D151" s="38"/>
      <c r="E151" s="39"/>
      <c r="F151" s="39"/>
    </row>
    <row r="152" spans="1:6">
      <c r="A152" s="22"/>
      <c r="B152" s="67"/>
      <c r="D152" s="38"/>
      <c r="E152" s="39"/>
      <c r="F152" s="39"/>
    </row>
    <row r="153" spans="1:6">
      <c r="A153" s="22"/>
      <c r="B153" s="67"/>
      <c r="D153" s="38"/>
      <c r="E153" s="39"/>
      <c r="F153" s="39"/>
    </row>
    <row r="154" spans="1:6">
      <c r="A154" s="22"/>
      <c r="B154" s="67"/>
      <c r="D154" s="38"/>
      <c r="E154" s="39"/>
      <c r="F154" s="39"/>
    </row>
    <row r="155" spans="1:6">
      <c r="A155" s="22"/>
      <c r="B155" s="67"/>
      <c r="D155" s="38"/>
      <c r="E155" s="39"/>
      <c r="F155" s="39"/>
    </row>
    <row r="156" spans="1:6">
      <c r="A156" s="22"/>
      <c r="B156" s="67"/>
      <c r="D156" s="38"/>
      <c r="E156" s="39"/>
      <c r="F156" s="39"/>
    </row>
    <row r="157" spans="1:6">
      <c r="A157" s="22"/>
      <c r="B157" s="67"/>
      <c r="D157" s="38"/>
      <c r="E157" s="39"/>
      <c r="F157" s="39"/>
    </row>
    <row r="158" spans="1:6">
      <c r="A158" s="22"/>
      <c r="B158" s="67"/>
      <c r="D158" s="38"/>
      <c r="E158" s="39"/>
      <c r="F158" s="39"/>
    </row>
    <row r="159" spans="1:6">
      <c r="A159" s="22"/>
      <c r="B159" s="67"/>
      <c r="D159" s="38"/>
      <c r="E159" s="39"/>
      <c r="F159" s="39"/>
    </row>
    <row r="160" spans="1:6">
      <c r="A160" s="22"/>
      <c r="B160" s="67"/>
      <c r="D160" s="38"/>
      <c r="E160" s="39"/>
      <c r="F160" s="39"/>
    </row>
    <row r="161" spans="1:6">
      <c r="A161" s="22"/>
      <c r="B161" s="67"/>
      <c r="D161" s="38"/>
      <c r="E161" s="39"/>
      <c r="F161" s="39"/>
    </row>
    <row r="162" spans="1:6">
      <c r="A162" s="22"/>
      <c r="B162" s="67"/>
      <c r="D162" s="38"/>
      <c r="E162" s="39"/>
      <c r="F162" s="39"/>
    </row>
    <row r="163" spans="1:6">
      <c r="A163" s="22"/>
      <c r="B163" s="67"/>
      <c r="D163" s="38"/>
      <c r="E163" s="39"/>
      <c r="F163" s="39"/>
    </row>
    <row r="164" spans="1:6">
      <c r="A164" s="22"/>
      <c r="B164" s="67"/>
      <c r="D164" s="38"/>
      <c r="E164" s="39"/>
      <c r="F164" s="39"/>
    </row>
    <row r="165" spans="1:6">
      <c r="A165" s="22"/>
      <c r="B165" s="67"/>
      <c r="D165" s="38"/>
      <c r="E165" s="39"/>
      <c r="F165" s="39"/>
    </row>
    <row r="166" spans="1:6">
      <c r="A166" s="22"/>
      <c r="B166" s="67"/>
      <c r="D166" s="38"/>
      <c r="E166" s="39"/>
      <c r="F166" s="39"/>
    </row>
    <row r="167" spans="1:6">
      <c r="A167" s="22"/>
      <c r="B167" s="67"/>
      <c r="D167" s="38"/>
      <c r="E167" s="39"/>
      <c r="F167" s="39"/>
    </row>
    <row r="168" spans="1:6">
      <c r="A168" s="22"/>
      <c r="B168" s="67"/>
      <c r="D168" s="38"/>
      <c r="E168" s="39"/>
      <c r="F168" s="39"/>
    </row>
    <row r="169" spans="1:6">
      <c r="A169" s="22"/>
      <c r="B169" s="67"/>
      <c r="D169" s="38"/>
      <c r="E169" s="39"/>
      <c r="F169" s="39"/>
    </row>
    <row r="170" spans="1:6">
      <c r="A170" s="22"/>
      <c r="B170" s="67"/>
      <c r="D170" s="38"/>
      <c r="E170" s="39"/>
      <c r="F170" s="39"/>
    </row>
    <row r="171" spans="1:6">
      <c r="A171" s="22"/>
      <c r="B171" s="67"/>
      <c r="D171" s="38"/>
      <c r="E171" s="39"/>
      <c r="F171" s="39"/>
    </row>
    <row r="172" spans="1:6">
      <c r="A172" s="22"/>
      <c r="B172" s="67"/>
      <c r="D172" s="38"/>
      <c r="E172" s="39"/>
      <c r="F172" s="39"/>
    </row>
    <row r="173" spans="1:6">
      <c r="A173" s="22"/>
      <c r="B173" s="67"/>
      <c r="D173" s="38"/>
      <c r="E173" s="39"/>
      <c r="F173" s="39"/>
    </row>
    <row r="174" spans="1:6">
      <c r="A174" s="22"/>
      <c r="B174" s="67"/>
      <c r="D174" s="38"/>
      <c r="E174" s="39"/>
      <c r="F174" s="39"/>
    </row>
    <row r="175" spans="1:6">
      <c r="A175" s="22"/>
      <c r="B175" s="67"/>
      <c r="D175" s="38"/>
      <c r="E175" s="39"/>
      <c r="F175" s="39"/>
    </row>
    <row r="176" spans="1:6">
      <c r="A176" s="22"/>
      <c r="B176" s="67"/>
      <c r="D176" s="38"/>
      <c r="E176" s="39"/>
      <c r="F176" s="39"/>
    </row>
    <row r="177" spans="1:6">
      <c r="A177" s="22"/>
      <c r="B177" s="67"/>
      <c r="D177" s="38"/>
      <c r="E177" s="39"/>
      <c r="F177" s="39"/>
    </row>
    <row r="178" spans="1:6">
      <c r="A178" s="22"/>
      <c r="B178" s="67"/>
      <c r="D178" s="38"/>
      <c r="E178" s="39"/>
      <c r="F178" s="39"/>
    </row>
    <row r="179" spans="1:6">
      <c r="A179" s="22"/>
      <c r="B179" s="67"/>
      <c r="D179" s="38"/>
      <c r="E179" s="39"/>
      <c r="F179" s="39"/>
    </row>
    <row r="180" spans="1:6">
      <c r="A180" s="22"/>
      <c r="B180" s="67"/>
      <c r="D180" s="38"/>
      <c r="E180" s="39"/>
      <c r="F180" s="39"/>
    </row>
    <row r="181" spans="1:6">
      <c r="A181" s="22"/>
      <c r="B181" s="67"/>
      <c r="D181" s="38"/>
      <c r="E181" s="39"/>
      <c r="F181" s="39"/>
    </row>
    <row r="182" spans="1:6">
      <c r="A182" s="22"/>
      <c r="B182" s="67"/>
      <c r="D182" s="38"/>
      <c r="E182" s="39"/>
      <c r="F182" s="39"/>
    </row>
    <row r="183" spans="1:6">
      <c r="A183" s="22"/>
      <c r="B183" s="67"/>
      <c r="D183" s="38"/>
      <c r="E183" s="39"/>
      <c r="F183" s="39"/>
    </row>
    <row r="184" spans="1:6">
      <c r="A184" s="22"/>
      <c r="B184" s="67"/>
      <c r="D184" s="38"/>
      <c r="E184" s="39"/>
      <c r="F184" s="39"/>
    </row>
    <row r="185" spans="1:6">
      <c r="A185" s="22"/>
      <c r="B185" s="67"/>
      <c r="D185" s="38"/>
      <c r="E185" s="39"/>
      <c r="F185" s="39"/>
    </row>
    <row r="186" spans="1:6">
      <c r="A186" s="22"/>
      <c r="B186" s="67"/>
      <c r="D186" s="38"/>
      <c r="E186" s="39"/>
      <c r="F186" s="39"/>
    </row>
    <row r="187" spans="1:6">
      <c r="A187" s="22"/>
      <c r="B187" s="67"/>
      <c r="D187" s="38"/>
      <c r="E187" s="39"/>
      <c r="F187" s="39"/>
    </row>
    <row r="188" spans="1:6">
      <c r="A188" s="22"/>
      <c r="B188" s="67"/>
      <c r="D188" s="38"/>
      <c r="E188" s="39"/>
      <c r="F188" s="39"/>
    </row>
    <row r="189" spans="1:6">
      <c r="A189" s="22"/>
      <c r="B189" s="67"/>
      <c r="D189" s="38"/>
      <c r="E189" s="39"/>
      <c r="F189" s="39"/>
    </row>
    <row r="190" spans="1:6">
      <c r="A190" s="22"/>
      <c r="B190" s="67"/>
      <c r="D190" s="38"/>
      <c r="E190" s="39"/>
      <c r="F190" s="39"/>
    </row>
    <row r="191" spans="1:6">
      <c r="A191" s="22"/>
      <c r="B191" s="67"/>
      <c r="D191" s="38"/>
      <c r="E191" s="39"/>
      <c r="F191" s="39"/>
    </row>
    <row r="192" spans="1:6">
      <c r="A192" s="22"/>
      <c r="B192" s="67"/>
      <c r="D192" s="38"/>
      <c r="E192" s="39"/>
      <c r="F192" s="39"/>
    </row>
    <row r="193" spans="1:6">
      <c r="A193" s="22"/>
      <c r="B193" s="67"/>
      <c r="D193" s="38"/>
      <c r="E193" s="39"/>
      <c r="F193" s="39"/>
    </row>
    <row r="194" spans="1:6">
      <c r="A194" s="22"/>
      <c r="B194" s="67"/>
      <c r="D194" s="38"/>
      <c r="E194" s="39"/>
      <c r="F194" s="39"/>
    </row>
    <row r="195" spans="1:6">
      <c r="A195" s="22"/>
      <c r="B195" s="67"/>
      <c r="D195" s="38"/>
      <c r="E195" s="39"/>
      <c r="F195" s="39"/>
    </row>
    <row r="196" spans="1:6">
      <c r="A196" s="22"/>
      <c r="B196" s="67"/>
      <c r="D196" s="38"/>
      <c r="E196" s="39"/>
      <c r="F196" s="39"/>
    </row>
    <row r="197" spans="1:6">
      <c r="A197" s="22"/>
      <c r="B197" s="67"/>
      <c r="D197" s="38"/>
      <c r="E197" s="39"/>
      <c r="F197" s="39"/>
    </row>
    <row r="198" spans="1:6">
      <c r="A198" s="22"/>
      <c r="B198" s="67"/>
      <c r="D198" s="38"/>
      <c r="E198" s="39"/>
      <c r="F198" s="39"/>
    </row>
    <row r="199" spans="1:6">
      <c r="A199" s="22"/>
      <c r="B199" s="67"/>
      <c r="D199" s="38"/>
      <c r="E199" s="39"/>
      <c r="F199" s="39"/>
    </row>
    <row r="200" spans="1:6">
      <c r="A200" s="22"/>
      <c r="B200" s="67"/>
      <c r="D200" s="38"/>
      <c r="E200" s="39"/>
      <c r="F200" s="39"/>
    </row>
    <row r="201" spans="1:6">
      <c r="A201" s="22"/>
      <c r="B201" s="67"/>
      <c r="D201" s="38"/>
      <c r="E201" s="39"/>
      <c r="F201" s="39"/>
    </row>
    <row r="202" spans="1:6">
      <c r="A202" s="22"/>
      <c r="B202" s="67"/>
      <c r="D202" s="38"/>
      <c r="E202" s="39"/>
      <c r="F202" s="39"/>
    </row>
    <row r="203" spans="1:6">
      <c r="A203" s="22"/>
      <c r="B203" s="67"/>
      <c r="D203" s="38"/>
      <c r="E203" s="39"/>
      <c r="F203" s="39"/>
    </row>
    <row r="204" spans="1:6">
      <c r="A204" s="22"/>
      <c r="B204" s="67"/>
      <c r="D204" s="38"/>
      <c r="E204" s="39"/>
      <c r="F204" s="39"/>
    </row>
    <row r="205" spans="1:6">
      <c r="A205" s="22"/>
      <c r="B205" s="67"/>
      <c r="D205" s="38"/>
      <c r="E205" s="39"/>
      <c r="F205" s="39"/>
    </row>
    <row r="206" spans="1:6">
      <c r="A206" s="22"/>
      <c r="B206" s="67"/>
      <c r="D206" s="38"/>
      <c r="E206" s="39"/>
      <c r="F206" s="39"/>
    </row>
    <row r="207" spans="1:6">
      <c r="A207" s="22"/>
      <c r="B207" s="67"/>
      <c r="D207" s="38"/>
      <c r="E207" s="39"/>
      <c r="F207" s="39"/>
    </row>
    <row r="208" spans="1:6">
      <c r="A208" s="22"/>
      <c r="B208" s="67"/>
      <c r="D208" s="38"/>
      <c r="E208" s="39"/>
      <c r="F208" s="39"/>
    </row>
    <row r="209" spans="1:6">
      <c r="A209" s="22"/>
      <c r="B209" s="67"/>
      <c r="D209" s="38"/>
      <c r="E209" s="39"/>
      <c r="F209" s="39"/>
    </row>
    <row r="210" spans="1:6">
      <c r="A210" s="22"/>
      <c r="B210" s="67"/>
      <c r="D210" s="38"/>
      <c r="E210" s="39"/>
      <c r="F210" s="39"/>
    </row>
    <row r="211" spans="1:6">
      <c r="A211" s="22"/>
      <c r="B211" s="67"/>
      <c r="D211" s="38"/>
      <c r="E211" s="39"/>
      <c r="F211" s="39"/>
    </row>
    <row r="212" spans="1:6">
      <c r="A212" s="22"/>
      <c r="B212" s="67"/>
      <c r="D212" s="38"/>
      <c r="E212" s="39"/>
      <c r="F212" s="39"/>
    </row>
    <row r="213" spans="1:6">
      <c r="A213" s="22"/>
      <c r="B213" s="67"/>
      <c r="D213" s="38"/>
      <c r="E213" s="39"/>
      <c r="F213" s="39"/>
    </row>
    <row r="214" spans="1:6">
      <c r="A214" s="22"/>
      <c r="B214" s="67"/>
      <c r="D214" s="38"/>
      <c r="E214" s="39"/>
      <c r="F214" s="39"/>
    </row>
    <row r="215" spans="1:6">
      <c r="A215" s="22"/>
      <c r="B215" s="67"/>
      <c r="D215" s="38"/>
      <c r="E215" s="39"/>
      <c r="F215" s="39"/>
    </row>
    <row r="216" spans="1:6">
      <c r="A216" s="22"/>
      <c r="B216" s="67"/>
      <c r="D216" s="38"/>
      <c r="E216" s="39"/>
      <c r="F216" s="39"/>
    </row>
    <row r="217" spans="1:6">
      <c r="A217" s="22"/>
      <c r="B217" s="67"/>
      <c r="D217" s="38"/>
      <c r="E217" s="39"/>
      <c r="F217" s="39"/>
    </row>
    <row r="218" spans="1:6">
      <c r="A218" s="22"/>
      <c r="B218" s="67"/>
      <c r="D218" s="38"/>
      <c r="E218" s="39"/>
      <c r="F218" s="39"/>
    </row>
    <row r="219" spans="1:6">
      <c r="A219" s="22"/>
      <c r="B219" s="67"/>
      <c r="D219" s="38"/>
      <c r="E219" s="39"/>
      <c r="F219" s="39"/>
    </row>
    <row r="220" spans="1:6">
      <c r="A220" s="22"/>
      <c r="B220" s="67"/>
      <c r="D220" s="38"/>
      <c r="E220" s="39"/>
      <c r="F220" s="39"/>
    </row>
    <row r="221" spans="1:6">
      <c r="A221" s="22"/>
      <c r="B221" s="67"/>
      <c r="D221" s="38"/>
      <c r="E221" s="39"/>
      <c r="F221" s="39"/>
    </row>
    <row r="222" spans="1:6">
      <c r="A222" s="22"/>
      <c r="B222" s="67"/>
      <c r="D222" s="38"/>
      <c r="E222" s="39"/>
      <c r="F222" s="39"/>
    </row>
    <row r="223" spans="1:6">
      <c r="A223" s="22"/>
      <c r="B223" s="67"/>
      <c r="D223" s="38"/>
      <c r="E223" s="39"/>
      <c r="F223" s="39"/>
    </row>
    <row r="224" spans="1:6">
      <c r="A224" s="22"/>
      <c r="B224" s="67"/>
      <c r="D224" s="38"/>
      <c r="E224" s="39"/>
      <c r="F224" s="39"/>
    </row>
    <row r="225" spans="1:6">
      <c r="A225" s="22"/>
      <c r="B225" s="67"/>
      <c r="D225" s="38"/>
      <c r="E225" s="39"/>
      <c r="F225" s="39"/>
    </row>
    <row r="226" spans="1:6">
      <c r="A226" s="22"/>
      <c r="B226" s="67"/>
      <c r="D226" s="38"/>
      <c r="E226" s="39"/>
      <c r="F226" s="39"/>
    </row>
    <row r="227" spans="1:6">
      <c r="A227" s="22"/>
      <c r="B227" s="67"/>
      <c r="D227" s="38"/>
      <c r="E227" s="39"/>
      <c r="F227" s="39"/>
    </row>
    <row r="228" spans="1:6">
      <c r="A228" s="22"/>
      <c r="B228" s="67"/>
      <c r="D228" s="38"/>
      <c r="E228" s="39"/>
      <c r="F228" s="39"/>
    </row>
    <row r="229" spans="1:6">
      <c r="A229" s="22"/>
      <c r="B229" s="67"/>
      <c r="D229" s="38"/>
      <c r="E229" s="39"/>
      <c r="F229" s="39"/>
    </row>
    <row r="230" spans="1:6">
      <c r="A230" s="22"/>
      <c r="B230" s="67"/>
      <c r="D230" s="38"/>
      <c r="E230" s="39"/>
      <c r="F230" s="39"/>
    </row>
    <row r="231" spans="1:6">
      <c r="A231" s="22"/>
      <c r="B231" s="67"/>
      <c r="D231" s="38"/>
      <c r="E231" s="39"/>
      <c r="F231" s="39"/>
    </row>
    <row r="232" spans="1:6">
      <c r="A232" s="22"/>
      <c r="B232" s="67"/>
      <c r="D232" s="38"/>
      <c r="E232" s="39"/>
      <c r="F232" s="39"/>
    </row>
    <row r="233" spans="1:6">
      <c r="A233" s="22"/>
      <c r="B233" s="67"/>
      <c r="D233" s="38"/>
      <c r="E233" s="39"/>
      <c r="F233" s="39"/>
    </row>
    <row r="234" spans="1:6">
      <c r="A234" s="22"/>
      <c r="B234" s="67"/>
      <c r="D234" s="38"/>
      <c r="E234" s="39"/>
      <c r="F234" s="39"/>
    </row>
    <row r="235" spans="1:6">
      <c r="A235" s="22"/>
      <c r="B235" s="67"/>
      <c r="D235" s="38"/>
      <c r="E235" s="39"/>
      <c r="F235" s="39"/>
    </row>
    <row r="236" spans="1:6">
      <c r="A236" s="22"/>
      <c r="B236" s="67"/>
      <c r="D236" s="38"/>
      <c r="E236" s="39"/>
      <c r="F236" s="39"/>
    </row>
    <row r="237" spans="1:6">
      <c r="A237" s="22"/>
      <c r="B237" s="67"/>
      <c r="D237" s="38"/>
      <c r="E237" s="39"/>
      <c r="F237" s="39"/>
    </row>
    <row r="238" spans="1:6">
      <c r="A238" s="22"/>
      <c r="B238" s="67"/>
      <c r="D238" s="38"/>
      <c r="E238" s="39"/>
      <c r="F238" s="39"/>
    </row>
    <row r="239" spans="1:6">
      <c r="A239" s="22"/>
      <c r="B239" s="67"/>
      <c r="D239" s="38"/>
      <c r="E239" s="39"/>
      <c r="F239" s="39"/>
    </row>
    <row r="240" spans="1:6">
      <c r="A240" s="22"/>
      <c r="B240" s="67"/>
      <c r="D240" s="38"/>
      <c r="E240" s="39"/>
      <c r="F240" s="39"/>
    </row>
    <row r="241" spans="1:6">
      <c r="A241" s="22"/>
      <c r="B241" s="67"/>
      <c r="D241" s="38"/>
      <c r="E241" s="39"/>
      <c r="F241" s="39"/>
    </row>
    <row r="242" spans="1:6">
      <c r="A242" s="22"/>
      <c r="B242" s="67"/>
      <c r="D242" s="38"/>
      <c r="E242" s="39"/>
      <c r="F242" s="39"/>
    </row>
    <row r="243" spans="1:6">
      <c r="A243" s="22"/>
      <c r="B243" s="67"/>
      <c r="D243" s="38"/>
      <c r="E243" s="39"/>
      <c r="F243" s="39"/>
    </row>
    <row r="244" spans="1:6">
      <c r="A244" s="22"/>
      <c r="B244" s="67"/>
      <c r="D244" s="38"/>
      <c r="E244" s="39"/>
      <c r="F244" s="39"/>
    </row>
    <row r="245" spans="1:6">
      <c r="A245" s="22"/>
      <c r="B245" s="67"/>
      <c r="D245" s="38"/>
      <c r="E245" s="39"/>
      <c r="F245" s="39"/>
    </row>
    <row r="246" spans="1:6">
      <c r="A246" s="22"/>
      <c r="B246" s="67"/>
      <c r="D246" s="38"/>
      <c r="E246" s="39"/>
      <c r="F246" s="39"/>
    </row>
    <row r="247" spans="1:6">
      <c r="A247" s="22"/>
      <c r="B247" s="67"/>
      <c r="D247" s="38"/>
      <c r="E247" s="39"/>
      <c r="F247" s="39"/>
    </row>
    <row r="248" spans="1:6">
      <c r="A248" s="22"/>
      <c r="B248" s="67"/>
      <c r="D248" s="38"/>
      <c r="E248" s="39"/>
      <c r="F248" s="39"/>
    </row>
    <row r="249" spans="1:6">
      <c r="A249" s="22"/>
      <c r="B249" s="67"/>
      <c r="D249" s="38"/>
      <c r="E249" s="39"/>
      <c r="F249" s="39"/>
    </row>
    <row r="250" spans="1:6">
      <c r="A250" s="22"/>
      <c r="B250" s="67"/>
      <c r="D250" s="38"/>
      <c r="E250" s="39"/>
      <c r="F250" s="39"/>
    </row>
    <row r="251" spans="1:6">
      <c r="A251" s="22"/>
      <c r="B251" s="67"/>
      <c r="D251" s="38"/>
      <c r="E251" s="39"/>
      <c r="F251" s="39"/>
    </row>
    <row r="252" spans="1:6">
      <c r="A252" s="22"/>
      <c r="B252" s="67"/>
      <c r="D252" s="38"/>
      <c r="E252" s="39"/>
      <c r="F252" s="39"/>
    </row>
    <row r="253" spans="1:6">
      <c r="A253" s="22"/>
      <c r="B253" s="67"/>
      <c r="D253" s="38"/>
      <c r="E253" s="39"/>
      <c r="F253" s="39"/>
    </row>
    <row r="254" spans="1:6">
      <c r="A254" s="22"/>
      <c r="B254" s="67"/>
      <c r="D254" s="38"/>
      <c r="E254" s="39"/>
      <c r="F254" s="39"/>
    </row>
    <row r="255" spans="1:6">
      <c r="A255" s="22"/>
      <c r="B255" s="67"/>
      <c r="D255" s="38"/>
      <c r="E255" s="39"/>
      <c r="F255" s="39"/>
    </row>
    <row r="256" spans="1:6">
      <c r="A256" s="22"/>
      <c r="B256" s="67"/>
      <c r="D256" s="38"/>
      <c r="E256" s="39"/>
      <c r="F256" s="39"/>
    </row>
    <row r="257" spans="1:6">
      <c r="A257" s="22"/>
      <c r="B257" s="67"/>
      <c r="D257" s="38"/>
      <c r="E257" s="39"/>
      <c r="F257" s="39"/>
    </row>
    <row r="258" spans="1:6">
      <c r="A258" s="22"/>
      <c r="B258" s="67"/>
      <c r="D258" s="38"/>
      <c r="E258" s="39"/>
      <c r="F258" s="39"/>
    </row>
    <row r="259" spans="1:6">
      <c r="A259" s="22"/>
      <c r="B259" s="67"/>
      <c r="D259" s="38"/>
      <c r="E259" s="39"/>
      <c r="F259" s="39"/>
    </row>
    <row r="260" spans="1:6">
      <c r="A260" s="22"/>
      <c r="B260" s="67"/>
      <c r="D260" s="38"/>
      <c r="E260" s="39"/>
      <c r="F260" s="39"/>
    </row>
    <row r="261" spans="1:6">
      <c r="A261" s="22"/>
      <c r="B261" s="67"/>
      <c r="D261" s="38"/>
      <c r="E261" s="39"/>
      <c r="F261" s="39"/>
    </row>
    <row r="262" spans="1:6">
      <c r="A262" s="22"/>
      <c r="B262" s="67"/>
      <c r="D262" s="38"/>
      <c r="E262" s="39"/>
      <c r="F262" s="39"/>
    </row>
    <row r="263" spans="1:6">
      <c r="A263" s="22"/>
      <c r="B263" s="67"/>
      <c r="D263" s="38"/>
      <c r="E263" s="39"/>
      <c r="F263" s="39"/>
    </row>
    <row r="264" spans="1:6">
      <c r="A264" s="22"/>
      <c r="B264" s="67"/>
      <c r="D264" s="38"/>
      <c r="E264" s="39"/>
      <c r="F264" s="39"/>
    </row>
    <row r="265" spans="1:6">
      <c r="A265" s="22"/>
      <c r="B265" s="67"/>
      <c r="D265" s="38"/>
      <c r="E265" s="39"/>
      <c r="F265" s="39"/>
    </row>
    <row r="266" spans="1:6">
      <c r="A266" s="22"/>
      <c r="B266" s="67"/>
      <c r="D266" s="38"/>
      <c r="E266" s="39"/>
      <c r="F266" s="39"/>
    </row>
    <row r="267" spans="1:6">
      <c r="A267" s="22"/>
      <c r="B267" s="67"/>
      <c r="D267" s="38"/>
      <c r="E267" s="39"/>
      <c r="F267" s="39"/>
    </row>
    <row r="268" spans="1:6">
      <c r="A268" s="22"/>
      <c r="B268" s="67"/>
      <c r="D268" s="38"/>
      <c r="E268" s="39"/>
      <c r="F268" s="39"/>
    </row>
    <row r="269" spans="1:6">
      <c r="A269" s="22"/>
      <c r="B269" s="67"/>
      <c r="D269" s="38"/>
      <c r="E269" s="39"/>
      <c r="F269" s="39"/>
    </row>
    <row r="270" spans="1:6">
      <c r="A270" s="22"/>
      <c r="B270" s="67"/>
      <c r="D270" s="38"/>
      <c r="E270" s="39"/>
      <c r="F270" s="39"/>
    </row>
    <row r="271" spans="1:6">
      <c r="A271" s="22"/>
      <c r="B271" s="67"/>
      <c r="D271" s="38"/>
      <c r="E271" s="39"/>
      <c r="F271" s="39"/>
    </row>
    <row r="272" spans="1:6">
      <c r="A272" s="22"/>
      <c r="B272" s="67"/>
      <c r="D272" s="38"/>
      <c r="E272" s="39"/>
      <c r="F272" s="39"/>
    </row>
    <row r="273" spans="1:6">
      <c r="A273" s="22"/>
      <c r="B273" s="67"/>
      <c r="D273" s="38"/>
      <c r="E273" s="39"/>
      <c r="F273" s="39"/>
    </row>
    <row r="274" spans="1:6">
      <c r="A274" s="22"/>
      <c r="B274" s="67"/>
      <c r="D274" s="38"/>
      <c r="E274" s="39"/>
      <c r="F274" s="39"/>
    </row>
    <row r="275" spans="1:6">
      <c r="A275" s="22"/>
      <c r="B275" s="67"/>
      <c r="D275" s="38"/>
      <c r="E275" s="39"/>
      <c r="F275" s="39"/>
    </row>
    <row r="276" spans="1:6">
      <c r="A276" s="22"/>
      <c r="B276" s="67"/>
      <c r="D276" s="38"/>
      <c r="E276" s="39"/>
      <c r="F276" s="39"/>
    </row>
    <row r="277" spans="1:6">
      <c r="A277" s="22"/>
      <c r="B277" s="67"/>
      <c r="D277" s="38"/>
      <c r="E277" s="39"/>
      <c r="F277" s="39"/>
    </row>
    <row r="278" spans="1:6">
      <c r="A278" s="22"/>
      <c r="B278" s="67"/>
      <c r="D278" s="38"/>
      <c r="E278" s="39"/>
      <c r="F278" s="39"/>
    </row>
    <row r="279" spans="1:6">
      <c r="A279" s="22"/>
      <c r="B279" s="67"/>
      <c r="D279" s="38"/>
      <c r="E279" s="39"/>
      <c r="F279" s="39"/>
    </row>
    <row r="280" spans="1:6">
      <c r="A280" s="22"/>
      <c r="B280" s="67"/>
      <c r="D280" s="38"/>
      <c r="E280" s="39"/>
      <c r="F280" s="39"/>
    </row>
    <row r="281" spans="1:6">
      <c r="A281" s="22"/>
      <c r="B281" s="67"/>
      <c r="D281" s="38"/>
      <c r="E281" s="39"/>
      <c r="F281" s="39"/>
    </row>
    <row r="282" spans="1:6">
      <c r="A282" s="22"/>
      <c r="B282" s="67"/>
      <c r="D282" s="38"/>
      <c r="E282" s="39"/>
      <c r="F282" s="39"/>
    </row>
    <row r="283" spans="1:6">
      <c r="A283" s="22"/>
      <c r="B283" s="67"/>
      <c r="D283" s="38"/>
      <c r="E283" s="39"/>
      <c r="F283" s="39"/>
    </row>
    <row r="284" spans="1:6">
      <c r="A284" s="22"/>
      <c r="B284" s="67"/>
      <c r="D284" s="38"/>
      <c r="E284" s="39"/>
      <c r="F284" s="39"/>
    </row>
    <row r="285" spans="1:6">
      <c r="A285" s="22"/>
      <c r="B285" s="67"/>
      <c r="D285" s="38"/>
      <c r="E285" s="39"/>
      <c r="F285" s="39"/>
    </row>
    <row r="286" spans="1:6">
      <c r="A286" s="22"/>
      <c r="B286" s="67"/>
      <c r="D286" s="38"/>
      <c r="E286" s="39"/>
      <c r="F286" s="39"/>
    </row>
    <row r="287" spans="1:6">
      <c r="A287" s="22"/>
      <c r="B287" s="67"/>
      <c r="D287" s="38"/>
      <c r="E287" s="39"/>
      <c r="F287" s="39"/>
    </row>
    <row r="288" spans="1:6">
      <c r="A288" s="22"/>
      <c r="B288" s="67"/>
      <c r="D288" s="38"/>
      <c r="E288" s="39"/>
      <c r="F288" s="39"/>
    </row>
    <row r="289" spans="1:6">
      <c r="A289" s="22"/>
      <c r="B289" s="67"/>
      <c r="D289" s="38"/>
      <c r="E289" s="39"/>
      <c r="F289" s="39"/>
    </row>
    <row r="290" spans="1:6">
      <c r="A290" s="22"/>
      <c r="B290" s="67"/>
      <c r="D290" s="38"/>
      <c r="E290" s="39"/>
      <c r="F290" s="39"/>
    </row>
    <row r="291" spans="1:6">
      <c r="A291" s="22"/>
      <c r="B291" s="67"/>
      <c r="D291" s="38"/>
      <c r="E291" s="39"/>
      <c r="F291" s="39"/>
    </row>
    <row r="292" spans="1:6">
      <c r="A292" s="22"/>
      <c r="B292" s="67"/>
      <c r="D292" s="38"/>
      <c r="E292" s="39"/>
      <c r="F292" s="39"/>
    </row>
    <row r="293" spans="1:6">
      <c r="A293" s="22"/>
      <c r="B293" s="67"/>
      <c r="D293" s="38"/>
      <c r="E293" s="39"/>
      <c r="F293" s="39"/>
    </row>
    <row r="294" spans="1:6">
      <c r="A294" s="22"/>
      <c r="B294" s="67"/>
      <c r="D294" s="38"/>
      <c r="E294" s="39"/>
      <c r="F294" s="39"/>
    </row>
    <row r="295" spans="1:6">
      <c r="A295" s="22"/>
      <c r="B295" s="67"/>
      <c r="D295" s="38"/>
      <c r="E295" s="39"/>
      <c r="F295" s="39"/>
    </row>
    <row r="296" spans="1:6">
      <c r="A296" s="22"/>
      <c r="B296" s="67"/>
      <c r="D296" s="38"/>
      <c r="E296" s="39"/>
      <c r="F296" s="39"/>
    </row>
    <row r="297" spans="1:6">
      <c r="A297" s="22"/>
      <c r="B297" s="67"/>
      <c r="D297" s="38"/>
      <c r="E297" s="39"/>
      <c r="F297" s="39"/>
    </row>
    <row r="298" spans="1:6">
      <c r="A298" s="22"/>
      <c r="B298" s="67"/>
      <c r="D298" s="38"/>
      <c r="E298" s="39"/>
      <c r="F298" s="39"/>
    </row>
    <row r="299" spans="1:6">
      <c r="A299" s="22"/>
      <c r="B299" s="67"/>
      <c r="D299" s="38"/>
      <c r="E299" s="39"/>
      <c r="F299" s="39"/>
    </row>
    <row r="300" spans="1:6">
      <c r="A300" s="22"/>
      <c r="B300" s="67"/>
      <c r="D300" s="38"/>
      <c r="E300" s="39"/>
      <c r="F300" s="39"/>
    </row>
    <row r="301" spans="1:6">
      <c r="A301" s="22"/>
      <c r="B301" s="67"/>
      <c r="D301" s="38"/>
      <c r="E301" s="39"/>
      <c r="F301" s="39"/>
    </row>
    <row r="302" spans="1:6">
      <c r="A302" s="22"/>
      <c r="B302" s="67"/>
      <c r="D302" s="38"/>
      <c r="E302" s="39"/>
      <c r="F302" s="39"/>
    </row>
    <row r="303" spans="1:6">
      <c r="A303" s="22"/>
      <c r="B303" s="67"/>
      <c r="D303" s="38"/>
      <c r="E303" s="39"/>
      <c r="F303" s="39"/>
    </row>
    <row r="304" spans="1:6">
      <c r="A304" s="22"/>
      <c r="B304" s="67"/>
      <c r="D304" s="38"/>
      <c r="E304" s="39"/>
      <c r="F304" s="39"/>
    </row>
    <row r="305" spans="1:6">
      <c r="A305" s="22"/>
      <c r="B305" s="67"/>
      <c r="D305" s="38"/>
      <c r="E305" s="39"/>
      <c r="F305" s="39"/>
    </row>
    <row r="306" spans="1:6">
      <c r="A306" s="22"/>
      <c r="B306" s="67"/>
      <c r="D306" s="38"/>
      <c r="E306" s="39"/>
      <c r="F306" s="39"/>
    </row>
    <row r="307" spans="1:6">
      <c r="A307" s="22"/>
      <c r="B307" s="67"/>
      <c r="D307" s="38"/>
      <c r="E307" s="39"/>
      <c r="F307" s="39"/>
    </row>
    <row r="308" spans="1:6">
      <c r="A308" s="22"/>
      <c r="B308" s="67"/>
      <c r="D308" s="38"/>
      <c r="E308" s="39"/>
      <c r="F308" s="39"/>
    </row>
    <row r="309" spans="1:6">
      <c r="A309" s="22"/>
      <c r="B309" s="67"/>
      <c r="D309" s="38"/>
      <c r="E309" s="39"/>
      <c r="F309" s="39"/>
    </row>
    <row r="310" spans="1:6">
      <c r="A310" s="22"/>
      <c r="B310" s="67"/>
      <c r="D310" s="38"/>
      <c r="E310" s="39"/>
      <c r="F310" s="39"/>
    </row>
    <row r="311" spans="1:6">
      <c r="A311" s="22"/>
      <c r="B311" s="67"/>
      <c r="D311" s="38"/>
      <c r="E311" s="39"/>
      <c r="F311" s="39"/>
    </row>
    <row r="312" spans="1:6">
      <c r="A312" s="22"/>
      <c r="B312" s="67"/>
      <c r="D312" s="38"/>
      <c r="E312" s="39"/>
      <c r="F312" s="39"/>
    </row>
    <row r="313" spans="1:6">
      <c r="A313" s="22"/>
      <c r="B313" s="67"/>
      <c r="D313" s="38"/>
      <c r="E313" s="39"/>
      <c r="F313" s="39"/>
    </row>
    <row r="314" spans="1:6">
      <c r="A314" s="22"/>
      <c r="B314" s="67"/>
      <c r="D314" s="38"/>
      <c r="E314" s="39"/>
      <c r="F314" s="39"/>
    </row>
    <row r="315" spans="1:6">
      <c r="A315" s="22"/>
      <c r="B315" s="67"/>
      <c r="D315" s="38"/>
      <c r="E315" s="39"/>
      <c r="F315" s="39"/>
    </row>
    <row r="316" spans="1:6">
      <c r="A316" s="22"/>
      <c r="B316" s="67"/>
      <c r="D316" s="38"/>
      <c r="E316" s="39"/>
      <c r="F316" s="39"/>
    </row>
    <row r="317" spans="1:6">
      <c r="A317" s="22"/>
      <c r="B317" s="67"/>
      <c r="D317" s="38"/>
      <c r="E317" s="39"/>
      <c r="F317" s="39"/>
    </row>
    <row r="318" spans="1:6">
      <c r="A318" s="22"/>
      <c r="B318" s="67"/>
      <c r="D318" s="38"/>
      <c r="E318" s="39"/>
      <c r="F318" s="39"/>
    </row>
    <row r="319" spans="1:6">
      <c r="A319" s="22"/>
      <c r="B319" s="67"/>
      <c r="D319" s="38"/>
      <c r="E319" s="39"/>
      <c r="F319" s="39"/>
    </row>
    <row r="320" spans="1:6">
      <c r="A320" s="22"/>
      <c r="B320" s="67"/>
      <c r="D320" s="38"/>
      <c r="E320" s="39"/>
      <c r="F320" s="39"/>
    </row>
    <row r="321" spans="1:6">
      <c r="A321" s="22"/>
      <c r="B321" s="67"/>
      <c r="D321" s="38"/>
      <c r="E321" s="39"/>
      <c r="F321" s="39"/>
    </row>
    <row r="322" spans="1:6">
      <c r="A322" s="22"/>
      <c r="B322" s="67"/>
      <c r="D322" s="38"/>
      <c r="E322" s="39"/>
      <c r="F322" s="39"/>
    </row>
    <row r="323" spans="1:6">
      <c r="A323" s="22"/>
      <c r="B323" s="67"/>
      <c r="D323" s="38"/>
      <c r="E323" s="39"/>
      <c r="F323" s="39"/>
    </row>
    <row r="324" spans="1:6">
      <c r="A324" s="22"/>
      <c r="B324" s="67"/>
      <c r="D324" s="38"/>
      <c r="E324" s="39"/>
      <c r="F324" s="39"/>
    </row>
    <row r="325" spans="1:6">
      <c r="A325" s="22"/>
      <c r="B325" s="67"/>
      <c r="D325" s="38"/>
      <c r="E325" s="39"/>
      <c r="F325" s="39"/>
    </row>
    <row r="326" spans="1:6">
      <c r="A326" s="22"/>
      <c r="B326" s="67"/>
      <c r="D326" s="38"/>
      <c r="E326" s="39"/>
      <c r="F326" s="39"/>
    </row>
    <row r="327" spans="1:6">
      <c r="A327" s="22"/>
      <c r="B327" s="67"/>
      <c r="D327" s="38"/>
      <c r="E327" s="39"/>
      <c r="F327" s="39"/>
    </row>
    <row r="328" spans="1:6">
      <c r="A328" s="22"/>
      <c r="B328" s="67"/>
      <c r="D328" s="38"/>
      <c r="E328" s="39"/>
      <c r="F328" s="39"/>
    </row>
    <row r="329" spans="1:6">
      <c r="A329" s="22"/>
      <c r="B329" s="67"/>
      <c r="D329" s="38"/>
      <c r="E329" s="39"/>
      <c r="F329" s="39"/>
    </row>
    <row r="330" spans="1:6">
      <c r="A330" s="22"/>
      <c r="B330" s="67"/>
      <c r="D330" s="38"/>
      <c r="E330" s="39"/>
      <c r="F330" s="39"/>
    </row>
    <row r="331" spans="1:6">
      <c r="A331" s="22"/>
      <c r="B331" s="67"/>
      <c r="D331" s="38"/>
      <c r="E331" s="39"/>
      <c r="F331" s="39"/>
    </row>
    <row r="332" spans="1:6">
      <c r="A332" s="22"/>
      <c r="B332" s="67"/>
      <c r="D332" s="38"/>
      <c r="E332" s="39"/>
      <c r="F332" s="39"/>
    </row>
    <row r="333" spans="1:6">
      <c r="A333" s="22"/>
      <c r="B333" s="67"/>
      <c r="D333" s="38"/>
      <c r="E333" s="39"/>
      <c r="F333" s="39"/>
    </row>
    <row r="334" spans="1:6">
      <c r="A334" s="22"/>
      <c r="B334" s="67"/>
      <c r="D334" s="38"/>
      <c r="E334" s="39"/>
      <c r="F334" s="39"/>
    </row>
    <row r="335" spans="1:6">
      <c r="A335" s="22"/>
      <c r="B335" s="67"/>
      <c r="D335" s="38"/>
      <c r="E335" s="39"/>
      <c r="F335" s="39"/>
    </row>
    <row r="336" spans="1:6">
      <c r="A336" s="22"/>
      <c r="B336" s="67"/>
      <c r="D336" s="38"/>
      <c r="E336" s="39"/>
      <c r="F336" s="39"/>
    </row>
    <row r="337" spans="1:6">
      <c r="A337" s="22"/>
      <c r="B337" s="67"/>
      <c r="D337" s="38"/>
      <c r="E337" s="39"/>
      <c r="F337" s="39"/>
    </row>
    <row r="338" spans="1:6">
      <c r="A338" s="22"/>
      <c r="B338" s="67"/>
      <c r="D338" s="38"/>
      <c r="E338" s="39"/>
      <c r="F338" s="39"/>
    </row>
    <row r="339" spans="1:6">
      <c r="A339" s="22"/>
      <c r="B339" s="67"/>
      <c r="D339" s="38"/>
      <c r="E339" s="39"/>
      <c r="F339" s="39"/>
    </row>
    <row r="340" spans="1:6">
      <c r="A340" s="22"/>
      <c r="B340" s="67"/>
      <c r="D340" s="38"/>
      <c r="E340" s="39"/>
      <c r="F340" s="39"/>
    </row>
  </sheetData>
  <sheetProtection algorithmName="SHA-512" hashValue="NrxbOrkKeZtNxr/tNYjx4fMT4qz/svWgIqqJxC2b3dIqUU1RQqshqAg/GAUF4hshzeiLVCyfG56wPR8XMoaJ7w==" saltValue="3YtLoQby5D6B2Ypqf9fHJQ=="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6" tint="0.39997558519241921"/>
  </sheetPr>
  <dimension ref="A1:H27"/>
  <sheetViews>
    <sheetView topLeftCell="C21" zoomScale="85" zoomScaleNormal="85" zoomScaleSheetLayoutView="142" workbookViewId="0">
      <selection activeCell="G24" sqref="G24"/>
    </sheetView>
  </sheetViews>
  <sheetFormatPr defaultColWidth="9.109375" defaultRowHeight="13.2"/>
  <cols>
    <col min="1" max="1" width="6.6640625" style="10" customWidth="1"/>
    <col min="2" max="2" width="57.6640625" style="10" customWidth="1"/>
    <col min="3" max="3" width="10.6640625" style="12" customWidth="1"/>
    <col min="4" max="4" width="10.6640625" style="38" customWidth="1"/>
    <col min="5" max="5" width="10.6640625" style="10" customWidth="1"/>
    <col min="6" max="6" width="12.6640625" style="10" customWidth="1"/>
    <col min="7" max="10" width="9.109375" style="10"/>
    <col min="11" max="11" width="57.6640625" style="10" customWidth="1"/>
    <col min="12" max="16384" width="9.109375" style="10"/>
  </cols>
  <sheetData>
    <row r="1" spans="1:8" ht="13.8" thickBot="1">
      <c r="A1" s="867" t="s">
        <v>64</v>
      </c>
      <c r="B1" s="868" t="s">
        <v>109</v>
      </c>
      <c r="C1" s="881"/>
      <c r="D1" s="894"/>
      <c r="E1" s="871"/>
      <c r="F1" s="871"/>
    </row>
    <row r="2" spans="1:8">
      <c r="E2" s="14"/>
      <c r="F2" s="14"/>
    </row>
    <row r="3" spans="1:8" s="20" customFormat="1" ht="14.25" customHeight="1">
      <c r="A3" s="1527" t="s">
        <v>145</v>
      </c>
      <c r="B3" s="1528" t="s">
        <v>146</v>
      </c>
      <c r="C3" s="1529" t="s">
        <v>147</v>
      </c>
      <c r="D3" s="1532" t="s">
        <v>148</v>
      </c>
      <c r="E3" s="1532" t="s">
        <v>149</v>
      </c>
      <c r="F3" s="1532"/>
      <c r="G3" s="1537" t="s">
        <v>2523</v>
      </c>
    </row>
    <row r="4" spans="1:8" s="20" customFormat="1">
      <c r="A4" s="1527"/>
      <c r="B4" s="1528"/>
      <c r="C4" s="1530"/>
      <c r="D4" s="1532"/>
      <c r="E4" s="1532"/>
      <c r="F4" s="1532"/>
      <c r="G4" s="1537"/>
    </row>
    <row r="5" spans="1:8" s="20" customFormat="1">
      <c r="A5" s="1527"/>
      <c r="B5" s="1528"/>
      <c r="C5" s="1531"/>
      <c r="D5" s="1532"/>
      <c r="E5" s="49" t="s">
        <v>150</v>
      </c>
      <c r="F5" s="50" t="s">
        <v>151</v>
      </c>
      <c r="G5" s="1537"/>
    </row>
    <row r="6" spans="1:8" s="20" customFormat="1">
      <c r="A6" s="52"/>
      <c r="B6" s="53"/>
      <c r="C6" s="54"/>
      <c r="D6" s="55"/>
      <c r="E6" s="56"/>
      <c r="F6" s="57"/>
    </row>
    <row r="7" spans="1:8" ht="52.8">
      <c r="A7" s="43">
        <v>1</v>
      </c>
      <c r="B7" s="37" t="s">
        <v>310</v>
      </c>
      <c r="E7" s="14"/>
      <c r="F7" s="14"/>
    </row>
    <row r="8" spans="1:8">
      <c r="A8" s="43"/>
      <c r="B8" s="152"/>
      <c r="E8" s="14"/>
      <c r="F8" s="14"/>
    </row>
    <row r="9" spans="1:8">
      <c r="A9" s="153">
        <v>1.1000000000000001</v>
      </c>
      <c r="B9" s="152" t="s">
        <v>132</v>
      </c>
      <c r="E9" s="14"/>
      <c r="F9" s="14"/>
    </row>
    <row r="10" spans="1:8" ht="67.8">
      <c r="A10" s="44"/>
      <c r="B10" s="37" t="s">
        <v>212</v>
      </c>
      <c r="E10" s="14"/>
      <c r="F10" s="14"/>
    </row>
    <row r="11" spans="1:8" ht="15">
      <c r="A11" s="44"/>
      <c r="B11" s="37"/>
      <c r="C11" s="60" t="s">
        <v>209</v>
      </c>
      <c r="D11" s="79">
        <v>230</v>
      </c>
      <c r="E11" s="1323">
        <f>'[1]B_VII_RADOVI NA PROČELJU'!E11</f>
        <v>60</v>
      </c>
      <c r="F11" s="68">
        <f>ROUND(D11*E11,2)</f>
        <v>13800</v>
      </c>
    </row>
    <row r="12" spans="1:8">
      <c r="A12" s="44"/>
      <c r="B12" s="37"/>
      <c r="E12" s="14"/>
      <c r="F12" s="14"/>
    </row>
    <row r="13" spans="1:8" ht="26.4">
      <c r="A13" s="153">
        <v>1.2</v>
      </c>
      <c r="B13" s="152" t="s">
        <v>211</v>
      </c>
      <c r="E13" s="14"/>
      <c r="F13" s="14"/>
    </row>
    <row r="14" spans="1:8" ht="54.6">
      <c r="A14" s="44"/>
      <c r="B14" s="37" t="s">
        <v>390</v>
      </c>
      <c r="E14" s="14"/>
      <c r="F14" s="14"/>
    </row>
    <row r="15" spans="1:8" ht="15">
      <c r="A15" s="44"/>
      <c r="B15" s="37"/>
      <c r="C15" s="60" t="s">
        <v>209</v>
      </c>
      <c r="D15" s="79">
        <v>120</v>
      </c>
      <c r="E15" s="1323">
        <f>'[1]B_VII_RADOVI NA PROČELJU'!E15</f>
        <v>20</v>
      </c>
      <c r="F15" s="68">
        <f>ROUND(D15*E15,2)</f>
        <v>2400</v>
      </c>
    </row>
    <row r="16" spans="1:8">
      <c r="A16" s="153">
        <v>1.3</v>
      </c>
      <c r="B16" s="152" t="s">
        <v>133</v>
      </c>
      <c r="E16" s="14"/>
      <c r="F16" s="14"/>
      <c r="G16" s="15"/>
      <c r="H16" s="15"/>
    </row>
    <row r="17" spans="1:6" ht="67.8">
      <c r="A17" s="44"/>
      <c r="B17" s="37" t="s">
        <v>212</v>
      </c>
      <c r="E17" s="14"/>
      <c r="F17" s="14"/>
    </row>
    <row r="18" spans="1:6" ht="15">
      <c r="A18" s="44"/>
      <c r="B18" s="37"/>
      <c r="C18" s="60" t="s">
        <v>209</v>
      </c>
      <c r="D18" s="79">
        <v>20</v>
      </c>
      <c r="E18" s="1323">
        <f>'[1]B_VII_RADOVI NA PROČELJU'!E18</f>
        <v>20</v>
      </c>
      <c r="F18" s="68">
        <f>ROUND(D18*E18,2)</f>
        <v>400</v>
      </c>
    </row>
    <row r="19" spans="1:6" ht="132">
      <c r="A19" s="22">
        <v>1.4</v>
      </c>
      <c r="B19" s="67" t="s">
        <v>309</v>
      </c>
      <c r="C19" s="60" t="s">
        <v>173</v>
      </c>
      <c r="D19" s="61">
        <v>230</v>
      </c>
      <c r="E19" s="1321">
        <f>'[1]B_VII_RADOVI NA PROČELJU'!E19</f>
        <v>30</v>
      </c>
      <c r="F19" s="124">
        <f>SUM(D19*E19)</f>
        <v>6900</v>
      </c>
    </row>
    <row r="20" spans="1:6">
      <c r="A20" s="22"/>
      <c r="B20" s="67"/>
      <c r="C20" s="60"/>
      <c r="D20" s="61"/>
      <c r="E20" s="124"/>
      <c r="F20" s="124"/>
    </row>
    <row r="21" spans="1:6" ht="198">
      <c r="A21" s="22">
        <v>1.5</v>
      </c>
      <c r="B21" s="37" t="s">
        <v>378</v>
      </c>
      <c r="C21" s="10"/>
      <c r="D21" s="12"/>
    </row>
    <row r="22" spans="1:6" ht="15">
      <c r="A22" s="22"/>
      <c r="B22" s="67" t="s">
        <v>374</v>
      </c>
      <c r="C22" s="60" t="s">
        <v>173</v>
      </c>
      <c r="D22" s="61">
        <v>690</v>
      </c>
      <c r="E22" s="1321">
        <f>'[1]B_VII_RADOVI NA PROČELJU'!E22</f>
        <v>30</v>
      </c>
      <c r="F22" s="124">
        <f>SUM(D22*E22)</f>
        <v>20700</v>
      </c>
    </row>
    <row r="23" spans="1:6">
      <c r="A23" s="43"/>
      <c r="B23" s="152"/>
      <c r="E23" s="14"/>
      <c r="F23" s="14"/>
    </row>
    <row r="24" spans="1:6" ht="66">
      <c r="A24" s="43">
        <v>2</v>
      </c>
      <c r="B24" s="67" t="s">
        <v>2111</v>
      </c>
    </row>
    <row r="25" spans="1:6">
      <c r="A25" s="22"/>
      <c r="B25" s="67"/>
      <c r="C25" s="12" t="s">
        <v>31</v>
      </c>
      <c r="D25" s="38">
        <v>1</v>
      </c>
      <c r="E25" s="1315">
        <f>'[1]B_VII_RADOVI NA PROČELJU'!E25</f>
        <v>8000</v>
      </c>
      <c r="F25" s="106">
        <f>SUM(D25*E25)</f>
        <v>8000</v>
      </c>
    </row>
    <row r="26" spans="1:6">
      <c r="A26" s="22"/>
      <c r="B26" s="67"/>
      <c r="E26" s="106"/>
      <c r="F26" s="106"/>
    </row>
    <row r="27" spans="1:6">
      <c r="A27" s="99"/>
      <c r="B27" s="95" t="s">
        <v>213</v>
      </c>
      <c r="C27" s="96"/>
      <c r="D27" s="293"/>
      <c r="E27" s="155" t="s">
        <v>159</v>
      </c>
      <c r="F27" s="154">
        <f>SUM(F9:F25)</f>
        <v>52200</v>
      </c>
    </row>
  </sheetData>
  <sheetProtection algorithmName="SHA-512" hashValue="7nYOTjBWUbwOA95S8dxwcuLp7N3V+iCNEVjX494h5LTIE31tmAXr82d+YuvrdxEh2H7g5RxtqnNM2SRJWpSC5w==" saltValue="U7a3AbhlA7hWEGxG1+iGdg=="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tint="0.39997558519241921"/>
  </sheetPr>
  <dimension ref="A1:G10"/>
  <sheetViews>
    <sheetView zoomScale="85" zoomScaleNormal="85" zoomScaleSheetLayoutView="100" workbookViewId="0">
      <selection activeCell="E16" sqref="E16"/>
    </sheetView>
  </sheetViews>
  <sheetFormatPr defaultRowHeight="13.2"/>
  <cols>
    <col min="1" max="1" width="6.6640625" style="10" customWidth="1"/>
    <col min="2" max="2" width="57.6640625" style="10" customWidth="1"/>
    <col min="3" max="3" width="10.6640625" style="12" customWidth="1"/>
    <col min="4" max="6" width="10.6640625" style="10" customWidth="1"/>
    <col min="7" max="254" width="9.109375" style="10"/>
    <col min="255" max="255" width="6.33203125" style="10" customWidth="1"/>
    <col min="256" max="256" width="57.6640625" style="10" customWidth="1"/>
    <col min="257" max="257" width="9.109375" style="10"/>
    <col min="258" max="258" width="8" style="10" customWidth="1"/>
    <col min="259" max="260" width="9.33203125" style="10" customWidth="1"/>
    <col min="261" max="510" width="9.109375" style="10"/>
    <col min="511" max="511" width="6.33203125" style="10" customWidth="1"/>
    <col min="512" max="512" width="57.6640625" style="10" customWidth="1"/>
    <col min="513" max="513" width="9.109375" style="10"/>
    <col min="514" max="514" width="8" style="10" customWidth="1"/>
    <col min="515" max="516" width="9.33203125" style="10" customWidth="1"/>
    <col min="517" max="766" width="9.109375" style="10"/>
    <col min="767" max="767" width="6.33203125" style="10" customWidth="1"/>
    <col min="768" max="768" width="57.6640625" style="10" customWidth="1"/>
    <col min="769" max="769" width="9.109375" style="10"/>
    <col min="770" max="770" width="8" style="10" customWidth="1"/>
    <col min="771" max="772" width="9.33203125" style="10" customWidth="1"/>
    <col min="773" max="1022" width="9.109375" style="10"/>
    <col min="1023" max="1023" width="6.33203125" style="10" customWidth="1"/>
    <col min="1024" max="1024" width="57.6640625" style="10" customWidth="1"/>
    <col min="1025" max="1025" width="9.109375" style="10"/>
    <col min="1026" max="1026" width="8" style="10" customWidth="1"/>
    <col min="1027" max="1028" width="9.33203125" style="10" customWidth="1"/>
    <col min="1029" max="1278" width="9.109375" style="10"/>
    <col min="1279" max="1279" width="6.33203125" style="10" customWidth="1"/>
    <col min="1280" max="1280" width="57.6640625" style="10" customWidth="1"/>
    <col min="1281" max="1281" width="9.109375" style="10"/>
    <col min="1282" max="1282" width="8" style="10" customWidth="1"/>
    <col min="1283" max="1284" width="9.33203125" style="10" customWidth="1"/>
    <col min="1285" max="1534" width="9.109375" style="10"/>
    <col min="1535" max="1535" width="6.33203125" style="10" customWidth="1"/>
    <col min="1536" max="1536" width="57.6640625" style="10" customWidth="1"/>
    <col min="1537" max="1537" width="9.109375" style="10"/>
    <col min="1538" max="1538" width="8" style="10" customWidth="1"/>
    <col min="1539" max="1540" width="9.33203125" style="10" customWidth="1"/>
    <col min="1541" max="1790" width="9.109375" style="10"/>
    <col min="1791" max="1791" width="6.33203125" style="10" customWidth="1"/>
    <col min="1792" max="1792" width="57.6640625" style="10" customWidth="1"/>
    <col min="1793" max="1793" width="9.109375" style="10"/>
    <col min="1794" max="1794" width="8" style="10" customWidth="1"/>
    <col min="1795" max="1796" width="9.33203125" style="10" customWidth="1"/>
    <col min="1797" max="2046" width="9.109375" style="10"/>
    <col min="2047" max="2047" width="6.33203125" style="10" customWidth="1"/>
    <col min="2048" max="2048" width="57.6640625" style="10" customWidth="1"/>
    <col min="2049" max="2049" width="9.109375" style="10"/>
    <col min="2050" max="2050" width="8" style="10" customWidth="1"/>
    <col min="2051" max="2052" width="9.33203125" style="10" customWidth="1"/>
    <col min="2053" max="2302" width="9.109375" style="10"/>
    <col min="2303" max="2303" width="6.33203125" style="10" customWidth="1"/>
    <col min="2304" max="2304" width="57.6640625" style="10" customWidth="1"/>
    <col min="2305" max="2305" width="9.109375" style="10"/>
    <col min="2306" max="2306" width="8" style="10" customWidth="1"/>
    <col min="2307" max="2308" width="9.33203125" style="10" customWidth="1"/>
    <col min="2309" max="2558" width="9.109375" style="10"/>
    <col min="2559" max="2559" width="6.33203125" style="10" customWidth="1"/>
    <col min="2560" max="2560" width="57.6640625" style="10" customWidth="1"/>
    <col min="2561" max="2561" width="9.109375" style="10"/>
    <col min="2562" max="2562" width="8" style="10" customWidth="1"/>
    <col min="2563" max="2564" width="9.33203125" style="10" customWidth="1"/>
    <col min="2565" max="2814" width="9.109375" style="10"/>
    <col min="2815" max="2815" width="6.33203125" style="10" customWidth="1"/>
    <col min="2816" max="2816" width="57.6640625" style="10" customWidth="1"/>
    <col min="2817" max="2817" width="9.109375" style="10"/>
    <col min="2818" max="2818" width="8" style="10" customWidth="1"/>
    <col min="2819" max="2820" width="9.33203125" style="10" customWidth="1"/>
    <col min="2821" max="3070" width="9.109375" style="10"/>
    <col min="3071" max="3071" width="6.33203125" style="10" customWidth="1"/>
    <col min="3072" max="3072" width="57.6640625" style="10" customWidth="1"/>
    <col min="3073" max="3073" width="9.109375" style="10"/>
    <col min="3074" max="3074" width="8" style="10" customWidth="1"/>
    <col min="3075" max="3076" width="9.33203125" style="10" customWidth="1"/>
    <col min="3077" max="3326" width="9.109375" style="10"/>
    <col min="3327" max="3327" width="6.33203125" style="10" customWidth="1"/>
    <col min="3328" max="3328" width="57.6640625" style="10" customWidth="1"/>
    <col min="3329" max="3329" width="9.109375" style="10"/>
    <col min="3330" max="3330" width="8" style="10" customWidth="1"/>
    <col min="3331" max="3332" width="9.33203125" style="10" customWidth="1"/>
    <col min="3333" max="3582" width="9.109375" style="10"/>
    <col min="3583" max="3583" width="6.33203125" style="10" customWidth="1"/>
    <col min="3584" max="3584" width="57.6640625" style="10" customWidth="1"/>
    <col min="3585" max="3585" width="9.109375" style="10"/>
    <col min="3586" max="3586" width="8" style="10" customWidth="1"/>
    <col min="3587" max="3588" width="9.33203125" style="10" customWidth="1"/>
    <col min="3589" max="3838" width="9.109375" style="10"/>
    <col min="3839" max="3839" width="6.33203125" style="10" customWidth="1"/>
    <col min="3840" max="3840" width="57.6640625" style="10" customWidth="1"/>
    <col min="3841" max="3841" width="9.109375" style="10"/>
    <col min="3842" max="3842" width="8" style="10" customWidth="1"/>
    <col min="3843" max="3844" width="9.33203125" style="10" customWidth="1"/>
    <col min="3845" max="4094" width="9.109375" style="10"/>
    <col min="4095" max="4095" width="6.33203125" style="10" customWidth="1"/>
    <col min="4096" max="4096" width="57.6640625" style="10" customWidth="1"/>
    <col min="4097" max="4097" width="9.109375" style="10"/>
    <col min="4098" max="4098" width="8" style="10" customWidth="1"/>
    <col min="4099" max="4100" width="9.33203125" style="10" customWidth="1"/>
    <col min="4101" max="4350" width="9.109375" style="10"/>
    <col min="4351" max="4351" width="6.33203125" style="10" customWidth="1"/>
    <col min="4352" max="4352" width="57.6640625" style="10" customWidth="1"/>
    <col min="4353" max="4353" width="9.109375" style="10"/>
    <col min="4354" max="4354" width="8" style="10" customWidth="1"/>
    <col min="4355" max="4356" width="9.33203125" style="10" customWidth="1"/>
    <col min="4357" max="4606" width="9.109375" style="10"/>
    <col min="4607" max="4607" width="6.33203125" style="10" customWidth="1"/>
    <col min="4608" max="4608" width="57.6640625" style="10" customWidth="1"/>
    <col min="4609" max="4609" width="9.109375" style="10"/>
    <col min="4610" max="4610" width="8" style="10" customWidth="1"/>
    <col min="4611" max="4612" width="9.33203125" style="10" customWidth="1"/>
    <col min="4613" max="4862" width="9.109375" style="10"/>
    <col min="4863" max="4863" width="6.33203125" style="10" customWidth="1"/>
    <col min="4864" max="4864" width="57.6640625" style="10" customWidth="1"/>
    <col min="4865" max="4865" width="9.109375" style="10"/>
    <col min="4866" max="4866" width="8" style="10" customWidth="1"/>
    <col min="4867" max="4868" width="9.33203125" style="10" customWidth="1"/>
    <col min="4869" max="5118" width="9.109375" style="10"/>
    <col min="5119" max="5119" width="6.33203125" style="10" customWidth="1"/>
    <col min="5120" max="5120" width="57.6640625" style="10" customWidth="1"/>
    <col min="5121" max="5121" width="9.109375" style="10"/>
    <col min="5122" max="5122" width="8" style="10" customWidth="1"/>
    <col min="5123" max="5124" width="9.33203125" style="10" customWidth="1"/>
    <col min="5125" max="5374" width="9.109375" style="10"/>
    <col min="5375" max="5375" width="6.33203125" style="10" customWidth="1"/>
    <col min="5376" max="5376" width="57.6640625" style="10" customWidth="1"/>
    <col min="5377" max="5377" width="9.109375" style="10"/>
    <col min="5378" max="5378" width="8" style="10" customWidth="1"/>
    <col min="5379" max="5380" width="9.33203125" style="10" customWidth="1"/>
    <col min="5381" max="5630" width="9.109375" style="10"/>
    <col min="5631" max="5631" width="6.33203125" style="10" customWidth="1"/>
    <col min="5632" max="5632" width="57.6640625" style="10" customWidth="1"/>
    <col min="5633" max="5633" width="9.109375" style="10"/>
    <col min="5634" max="5634" width="8" style="10" customWidth="1"/>
    <col min="5635" max="5636" width="9.33203125" style="10" customWidth="1"/>
    <col min="5637" max="5886" width="9.109375" style="10"/>
    <col min="5887" max="5887" width="6.33203125" style="10" customWidth="1"/>
    <col min="5888" max="5888" width="57.6640625" style="10" customWidth="1"/>
    <col min="5889" max="5889" width="9.109375" style="10"/>
    <col min="5890" max="5890" width="8" style="10" customWidth="1"/>
    <col min="5891" max="5892" width="9.33203125" style="10" customWidth="1"/>
    <col min="5893" max="6142" width="9.109375" style="10"/>
    <col min="6143" max="6143" width="6.33203125" style="10" customWidth="1"/>
    <col min="6144" max="6144" width="57.6640625" style="10" customWidth="1"/>
    <col min="6145" max="6145" width="9.109375" style="10"/>
    <col min="6146" max="6146" width="8" style="10" customWidth="1"/>
    <col min="6147" max="6148" width="9.33203125" style="10" customWidth="1"/>
    <col min="6149" max="6398" width="9.109375" style="10"/>
    <col min="6399" max="6399" width="6.33203125" style="10" customWidth="1"/>
    <col min="6400" max="6400" width="57.6640625" style="10" customWidth="1"/>
    <col min="6401" max="6401" width="9.109375" style="10"/>
    <col min="6402" max="6402" width="8" style="10" customWidth="1"/>
    <col min="6403" max="6404" width="9.33203125" style="10" customWidth="1"/>
    <col min="6405" max="6654" width="9.109375" style="10"/>
    <col min="6655" max="6655" width="6.33203125" style="10" customWidth="1"/>
    <col min="6656" max="6656" width="57.6640625" style="10" customWidth="1"/>
    <col min="6657" max="6657" width="9.109375" style="10"/>
    <col min="6658" max="6658" width="8" style="10" customWidth="1"/>
    <col min="6659" max="6660" width="9.33203125" style="10" customWidth="1"/>
    <col min="6661" max="6910" width="9.109375" style="10"/>
    <col min="6911" max="6911" width="6.33203125" style="10" customWidth="1"/>
    <col min="6912" max="6912" width="57.6640625" style="10" customWidth="1"/>
    <col min="6913" max="6913" width="9.109375" style="10"/>
    <col min="6914" max="6914" width="8" style="10" customWidth="1"/>
    <col min="6915" max="6916" width="9.33203125" style="10" customWidth="1"/>
    <col min="6917" max="7166" width="9.109375" style="10"/>
    <col min="7167" max="7167" width="6.33203125" style="10" customWidth="1"/>
    <col min="7168" max="7168" width="57.6640625" style="10" customWidth="1"/>
    <col min="7169" max="7169" width="9.109375" style="10"/>
    <col min="7170" max="7170" width="8" style="10" customWidth="1"/>
    <col min="7171" max="7172" width="9.33203125" style="10" customWidth="1"/>
    <col min="7173" max="7422" width="9.109375" style="10"/>
    <col min="7423" max="7423" width="6.33203125" style="10" customWidth="1"/>
    <col min="7424" max="7424" width="57.6640625" style="10" customWidth="1"/>
    <col min="7425" max="7425" width="9.109375" style="10"/>
    <col min="7426" max="7426" width="8" style="10" customWidth="1"/>
    <col min="7427" max="7428" width="9.33203125" style="10" customWidth="1"/>
    <col min="7429" max="7678" width="9.109375" style="10"/>
    <col min="7679" max="7679" width="6.33203125" style="10" customWidth="1"/>
    <col min="7680" max="7680" width="57.6640625" style="10" customWidth="1"/>
    <col min="7681" max="7681" width="9.109375" style="10"/>
    <col min="7682" max="7682" width="8" style="10" customWidth="1"/>
    <col min="7683" max="7684" width="9.33203125" style="10" customWidth="1"/>
    <col min="7685" max="7934" width="9.109375" style="10"/>
    <col min="7935" max="7935" width="6.33203125" style="10" customWidth="1"/>
    <col min="7936" max="7936" width="57.6640625" style="10" customWidth="1"/>
    <col min="7937" max="7937" width="9.109375" style="10"/>
    <col min="7938" max="7938" width="8" style="10" customWidth="1"/>
    <col min="7939" max="7940" width="9.33203125" style="10" customWidth="1"/>
    <col min="7941" max="8190" width="9.109375" style="10"/>
    <col min="8191" max="8191" width="6.33203125" style="10" customWidth="1"/>
    <col min="8192" max="8192" width="57.6640625" style="10" customWidth="1"/>
    <col min="8193" max="8193" width="9.109375" style="10"/>
    <col min="8194" max="8194" width="8" style="10" customWidth="1"/>
    <col min="8195" max="8196" width="9.33203125" style="10" customWidth="1"/>
    <col min="8197" max="8446" width="9.109375" style="10"/>
    <col min="8447" max="8447" width="6.33203125" style="10" customWidth="1"/>
    <col min="8448" max="8448" width="57.6640625" style="10" customWidth="1"/>
    <col min="8449" max="8449" width="9.109375" style="10"/>
    <col min="8450" max="8450" width="8" style="10" customWidth="1"/>
    <col min="8451" max="8452" width="9.33203125" style="10" customWidth="1"/>
    <col min="8453" max="8702" width="9.109375" style="10"/>
    <col min="8703" max="8703" width="6.33203125" style="10" customWidth="1"/>
    <col min="8704" max="8704" width="57.6640625" style="10" customWidth="1"/>
    <col min="8705" max="8705" width="9.109375" style="10"/>
    <col min="8706" max="8706" width="8" style="10" customWidth="1"/>
    <col min="8707" max="8708" width="9.33203125" style="10" customWidth="1"/>
    <col min="8709" max="8958" width="9.109375" style="10"/>
    <col min="8959" max="8959" width="6.33203125" style="10" customWidth="1"/>
    <col min="8960" max="8960" width="57.6640625" style="10" customWidth="1"/>
    <col min="8961" max="8961" width="9.109375" style="10"/>
    <col min="8962" max="8962" width="8" style="10" customWidth="1"/>
    <col min="8963" max="8964" width="9.33203125" style="10" customWidth="1"/>
    <col min="8965" max="9214" width="9.109375" style="10"/>
    <col min="9215" max="9215" width="6.33203125" style="10" customWidth="1"/>
    <col min="9216" max="9216" width="57.6640625" style="10" customWidth="1"/>
    <col min="9217" max="9217" width="9.109375" style="10"/>
    <col min="9218" max="9218" width="8" style="10" customWidth="1"/>
    <col min="9219" max="9220" width="9.33203125" style="10" customWidth="1"/>
    <col min="9221" max="9470" width="9.109375" style="10"/>
    <col min="9471" max="9471" width="6.33203125" style="10" customWidth="1"/>
    <col min="9472" max="9472" width="57.6640625" style="10" customWidth="1"/>
    <col min="9473" max="9473" width="9.109375" style="10"/>
    <col min="9474" max="9474" width="8" style="10" customWidth="1"/>
    <col min="9475" max="9476" width="9.33203125" style="10" customWidth="1"/>
    <col min="9477" max="9726" width="9.109375" style="10"/>
    <col min="9727" max="9727" width="6.33203125" style="10" customWidth="1"/>
    <col min="9728" max="9728" width="57.6640625" style="10" customWidth="1"/>
    <col min="9729" max="9729" width="9.109375" style="10"/>
    <col min="9730" max="9730" width="8" style="10" customWidth="1"/>
    <col min="9731" max="9732" width="9.33203125" style="10" customWidth="1"/>
    <col min="9733" max="9982" width="9.109375" style="10"/>
    <col min="9983" max="9983" width="6.33203125" style="10" customWidth="1"/>
    <col min="9984" max="9984" width="57.6640625" style="10" customWidth="1"/>
    <col min="9985" max="9985" width="9.109375" style="10"/>
    <col min="9986" max="9986" width="8" style="10" customWidth="1"/>
    <col min="9987" max="9988" width="9.33203125" style="10" customWidth="1"/>
    <col min="9989" max="10238" width="9.109375" style="10"/>
    <col min="10239" max="10239" width="6.33203125" style="10" customWidth="1"/>
    <col min="10240" max="10240" width="57.6640625" style="10" customWidth="1"/>
    <col min="10241" max="10241" width="9.109375" style="10"/>
    <col min="10242" max="10242" width="8" style="10" customWidth="1"/>
    <col min="10243" max="10244" width="9.33203125" style="10" customWidth="1"/>
    <col min="10245" max="10494" width="9.109375" style="10"/>
    <col min="10495" max="10495" width="6.33203125" style="10" customWidth="1"/>
    <col min="10496" max="10496" width="57.6640625" style="10" customWidth="1"/>
    <col min="10497" max="10497" width="9.109375" style="10"/>
    <col min="10498" max="10498" width="8" style="10" customWidth="1"/>
    <col min="10499" max="10500" width="9.33203125" style="10" customWidth="1"/>
    <col min="10501" max="10750" width="9.109375" style="10"/>
    <col min="10751" max="10751" width="6.33203125" style="10" customWidth="1"/>
    <col min="10752" max="10752" width="57.6640625" style="10" customWidth="1"/>
    <col min="10753" max="10753" width="9.109375" style="10"/>
    <col min="10754" max="10754" width="8" style="10" customWidth="1"/>
    <col min="10755" max="10756" width="9.33203125" style="10" customWidth="1"/>
    <col min="10757" max="11006" width="9.109375" style="10"/>
    <col min="11007" max="11007" width="6.33203125" style="10" customWidth="1"/>
    <col min="11008" max="11008" width="57.6640625" style="10" customWidth="1"/>
    <col min="11009" max="11009" width="9.109375" style="10"/>
    <col min="11010" max="11010" width="8" style="10" customWidth="1"/>
    <col min="11011" max="11012" width="9.33203125" style="10" customWidth="1"/>
    <col min="11013" max="11262" width="9.109375" style="10"/>
    <col min="11263" max="11263" width="6.33203125" style="10" customWidth="1"/>
    <col min="11264" max="11264" width="57.6640625" style="10" customWidth="1"/>
    <col min="11265" max="11265" width="9.109375" style="10"/>
    <col min="11266" max="11266" width="8" style="10" customWidth="1"/>
    <col min="11267" max="11268" width="9.33203125" style="10" customWidth="1"/>
    <col min="11269" max="11518" width="9.109375" style="10"/>
    <col min="11519" max="11519" width="6.33203125" style="10" customWidth="1"/>
    <col min="11520" max="11520" width="57.6640625" style="10" customWidth="1"/>
    <col min="11521" max="11521" width="9.109375" style="10"/>
    <col min="11522" max="11522" width="8" style="10" customWidth="1"/>
    <col min="11523" max="11524" width="9.33203125" style="10" customWidth="1"/>
    <col min="11525" max="11774" width="9.109375" style="10"/>
    <col min="11775" max="11775" width="6.33203125" style="10" customWidth="1"/>
    <col min="11776" max="11776" width="57.6640625" style="10" customWidth="1"/>
    <col min="11777" max="11777" width="9.109375" style="10"/>
    <col min="11778" max="11778" width="8" style="10" customWidth="1"/>
    <col min="11779" max="11780" width="9.33203125" style="10" customWidth="1"/>
    <col min="11781" max="12030" width="9.109375" style="10"/>
    <col min="12031" max="12031" width="6.33203125" style="10" customWidth="1"/>
    <col min="12032" max="12032" width="57.6640625" style="10" customWidth="1"/>
    <col min="12033" max="12033" width="9.109375" style="10"/>
    <col min="12034" max="12034" width="8" style="10" customWidth="1"/>
    <col min="12035" max="12036" width="9.33203125" style="10" customWidth="1"/>
    <col min="12037" max="12286" width="9.109375" style="10"/>
    <col min="12287" max="12287" width="6.33203125" style="10" customWidth="1"/>
    <col min="12288" max="12288" width="57.6640625" style="10" customWidth="1"/>
    <col min="12289" max="12289" width="9.109375" style="10"/>
    <col min="12290" max="12290" width="8" style="10" customWidth="1"/>
    <col min="12291" max="12292" width="9.33203125" style="10" customWidth="1"/>
    <col min="12293" max="12542" width="9.109375" style="10"/>
    <col min="12543" max="12543" width="6.33203125" style="10" customWidth="1"/>
    <col min="12544" max="12544" width="57.6640625" style="10" customWidth="1"/>
    <col min="12545" max="12545" width="9.109375" style="10"/>
    <col min="12546" max="12546" width="8" style="10" customWidth="1"/>
    <col min="12547" max="12548" width="9.33203125" style="10" customWidth="1"/>
    <col min="12549" max="12798" width="9.109375" style="10"/>
    <col min="12799" max="12799" width="6.33203125" style="10" customWidth="1"/>
    <col min="12800" max="12800" width="57.6640625" style="10" customWidth="1"/>
    <col min="12801" max="12801" width="9.109375" style="10"/>
    <col min="12802" max="12802" width="8" style="10" customWidth="1"/>
    <col min="12803" max="12804" width="9.33203125" style="10" customWidth="1"/>
    <col min="12805" max="13054" width="9.109375" style="10"/>
    <col min="13055" max="13055" width="6.33203125" style="10" customWidth="1"/>
    <col min="13056" max="13056" width="57.6640625" style="10" customWidth="1"/>
    <col min="13057" max="13057" width="9.109375" style="10"/>
    <col min="13058" max="13058" width="8" style="10" customWidth="1"/>
    <col min="13059" max="13060" width="9.33203125" style="10" customWidth="1"/>
    <col min="13061" max="13310" width="9.109375" style="10"/>
    <col min="13311" max="13311" width="6.33203125" style="10" customWidth="1"/>
    <col min="13312" max="13312" width="57.6640625" style="10" customWidth="1"/>
    <col min="13313" max="13313" width="9.109375" style="10"/>
    <col min="13314" max="13314" width="8" style="10" customWidth="1"/>
    <col min="13315" max="13316" width="9.33203125" style="10" customWidth="1"/>
    <col min="13317" max="13566" width="9.109375" style="10"/>
    <col min="13567" max="13567" width="6.33203125" style="10" customWidth="1"/>
    <col min="13568" max="13568" width="57.6640625" style="10" customWidth="1"/>
    <col min="13569" max="13569" width="9.109375" style="10"/>
    <col min="13570" max="13570" width="8" style="10" customWidth="1"/>
    <col min="13571" max="13572" width="9.33203125" style="10" customWidth="1"/>
    <col min="13573" max="13822" width="9.109375" style="10"/>
    <col min="13823" max="13823" width="6.33203125" style="10" customWidth="1"/>
    <col min="13824" max="13824" width="57.6640625" style="10" customWidth="1"/>
    <col min="13825" max="13825" width="9.109375" style="10"/>
    <col min="13826" max="13826" width="8" style="10" customWidth="1"/>
    <col min="13827" max="13828" width="9.33203125" style="10" customWidth="1"/>
    <col min="13829" max="14078" width="9.109375" style="10"/>
    <col min="14079" max="14079" width="6.33203125" style="10" customWidth="1"/>
    <col min="14080" max="14080" width="57.6640625" style="10" customWidth="1"/>
    <col min="14081" max="14081" width="9.109375" style="10"/>
    <col min="14082" max="14082" width="8" style="10" customWidth="1"/>
    <col min="14083" max="14084" width="9.33203125" style="10" customWidth="1"/>
    <col min="14085" max="14334" width="9.109375" style="10"/>
    <col min="14335" max="14335" width="6.33203125" style="10" customWidth="1"/>
    <col min="14336" max="14336" width="57.6640625" style="10" customWidth="1"/>
    <col min="14337" max="14337" width="9.109375" style="10"/>
    <col min="14338" max="14338" width="8" style="10" customWidth="1"/>
    <col min="14339" max="14340" width="9.33203125" style="10" customWidth="1"/>
    <col min="14341" max="14590" width="9.109375" style="10"/>
    <col min="14591" max="14591" width="6.33203125" style="10" customWidth="1"/>
    <col min="14592" max="14592" width="57.6640625" style="10" customWidth="1"/>
    <col min="14593" max="14593" width="9.109375" style="10"/>
    <col min="14594" max="14594" width="8" style="10" customWidth="1"/>
    <col min="14595" max="14596" width="9.33203125" style="10" customWidth="1"/>
    <col min="14597" max="14846" width="9.109375" style="10"/>
    <col min="14847" max="14847" width="6.33203125" style="10" customWidth="1"/>
    <col min="14848" max="14848" width="57.6640625" style="10" customWidth="1"/>
    <col min="14849" max="14849" width="9.109375" style="10"/>
    <col min="14850" max="14850" width="8" style="10" customWidth="1"/>
    <col min="14851" max="14852" width="9.33203125" style="10" customWidth="1"/>
    <col min="14853" max="15102" width="9.109375" style="10"/>
    <col min="15103" max="15103" width="6.33203125" style="10" customWidth="1"/>
    <col min="15104" max="15104" width="57.6640625" style="10" customWidth="1"/>
    <col min="15105" max="15105" width="9.109375" style="10"/>
    <col min="15106" max="15106" width="8" style="10" customWidth="1"/>
    <col min="15107" max="15108" width="9.33203125" style="10" customWidth="1"/>
    <col min="15109" max="15358" width="9.109375" style="10"/>
    <col min="15359" max="15359" width="6.33203125" style="10" customWidth="1"/>
    <col min="15360" max="15360" width="57.6640625" style="10" customWidth="1"/>
    <col min="15361" max="15361" width="9.109375" style="10"/>
    <col min="15362" max="15362" width="8" style="10" customWidth="1"/>
    <col min="15363" max="15364" width="9.33203125" style="10" customWidth="1"/>
    <col min="15365" max="15614" width="9.109375" style="10"/>
    <col min="15615" max="15615" width="6.33203125" style="10" customWidth="1"/>
    <col min="15616" max="15616" width="57.6640625" style="10" customWidth="1"/>
    <col min="15617" max="15617" width="9.109375" style="10"/>
    <col min="15618" max="15618" width="8" style="10" customWidth="1"/>
    <col min="15619" max="15620" width="9.33203125" style="10" customWidth="1"/>
    <col min="15621" max="15870" width="9.109375" style="10"/>
    <col min="15871" max="15871" width="6.33203125" style="10" customWidth="1"/>
    <col min="15872" max="15872" width="57.6640625" style="10" customWidth="1"/>
    <col min="15873" max="15873" width="9.109375" style="10"/>
    <col min="15874" max="15874" width="8" style="10" customWidth="1"/>
    <col min="15875" max="15876" width="9.33203125" style="10" customWidth="1"/>
    <col min="15877" max="16126" width="9.109375" style="10"/>
    <col min="16127" max="16127" width="6.33203125" style="10" customWidth="1"/>
    <col min="16128" max="16128" width="57.6640625" style="10" customWidth="1"/>
    <col min="16129" max="16129" width="9.109375" style="10"/>
    <col min="16130" max="16130" width="8" style="10" customWidth="1"/>
    <col min="16131" max="16132" width="9.33203125" style="10" customWidth="1"/>
    <col min="16133" max="16384" width="9.109375" style="10"/>
  </cols>
  <sheetData>
    <row r="1" spans="1:7" ht="13.8" thickBot="1">
      <c r="A1" s="867" t="s">
        <v>64</v>
      </c>
      <c r="B1" s="868" t="s">
        <v>304</v>
      </c>
      <c r="C1" s="881"/>
      <c r="D1" s="876"/>
      <c r="E1" s="871"/>
      <c r="F1" s="871"/>
    </row>
    <row r="2" spans="1:7">
      <c r="D2" s="13"/>
      <c r="E2" s="14"/>
      <c r="F2" s="14"/>
    </row>
    <row r="3" spans="1:7" s="20" customFormat="1" ht="14.25" customHeight="1">
      <c r="A3" s="1527" t="s">
        <v>145</v>
      </c>
      <c r="B3" s="1528" t="s">
        <v>146</v>
      </c>
      <c r="C3" s="1529" t="s">
        <v>147</v>
      </c>
      <c r="D3" s="1532" t="s">
        <v>148</v>
      </c>
      <c r="E3" s="1532" t="s">
        <v>149</v>
      </c>
      <c r="F3" s="1532"/>
      <c r="G3" s="1537" t="s">
        <v>2523</v>
      </c>
    </row>
    <row r="4" spans="1:7" s="20" customFormat="1">
      <c r="A4" s="1527"/>
      <c r="B4" s="1528"/>
      <c r="C4" s="1530"/>
      <c r="D4" s="1532"/>
      <c r="E4" s="1532"/>
      <c r="F4" s="1532"/>
      <c r="G4" s="1537"/>
    </row>
    <row r="5" spans="1:7" s="20" customFormat="1">
      <c r="A5" s="1527"/>
      <c r="B5" s="1528"/>
      <c r="C5" s="1531"/>
      <c r="D5" s="1532"/>
      <c r="E5" s="49" t="s">
        <v>150</v>
      </c>
      <c r="F5" s="50" t="s">
        <v>151</v>
      </c>
      <c r="G5" s="1537"/>
    </row>
    <row r="6" spans="1:7" s="20" customFormat="1">
      <c r="A6" s="52"/>
      <c r="B6" s="53"/>
      <c r="C6" s="54"/>
      <c r="D6" s="55"/>
      <c r="E6" s="56"/>
      <c r="F6" s="57"/>
    </row>
    <row r="7" spans="1:7" ht="118.8">
      <c r="A7" s="43">
        <v>1</v>
      </c>
      <c r="B7" s="67" t="s">
        <v>408</v>
      </c>
      <c r="D7" s="38"/>
      <c r="E7" s="201"/>
      <c r="F7" s="201"/>
    </row>
    <row r="8" spans="1:7" ht="15">
      <c r="A8" s="22"/>
      <c r="B8" s="67"/>
      <c r="C8" s="12" t="s">
        <v>173</v>
      </c>
      <c r="D8" s="38">
        <v>40</v>
      </c>
      <c r="E8" s="1322">
        <v>400</v>
      </c>
      <c r="F8" s="201">
        <f>SUM(D8*E8)</f>
        <v>16000</v>
      </c>
    </row>
    <row r="9" spans="1:7">
      <c r="A9" s="22"/>
      <c r="D9" s="13"/>
      <c r="E9" s="14"/>
      <c r="F9" s="14"/>
    </row>
    <row r="10" spans="1:7">
      <c r="A10" s="101"/>
      <c r="B10" s="232" t="s">
        <v>308</v>
      </c>
      <c r="C10" s="41"/>
      <c r="D10" s="42"/>
      <c r="E10" s="102" t="s">
        <v>159</v>
      </c>
      <c r="F10" s="233">
        <f>SUM(F8:F9)</f>
        <v>16000</v>
      </c>
    </row>
  </sheetData>
  <sheetProtection algorithmName="SHA-512" hashValue="uyIodvUNSrwHQWC4mprFcX7a9hIHhs6SzODVV1t0ByqzgieVNgrEjnuFlqQxt7tQMts4ug55q+asETzoJiWYHA==" saltValue="kGxPSknKzccNWKGKaQ+s2Q=="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6" tint="0.39997558519241921"/>
  </sheetPr>
  <dimension ref="A1:G400"/>
  <sheetViews>
    <sheetView topLeftCell="A12" zoomScale="70" zoomScaleNormal="70" zoomScaleSheetLayoutView="130" workbookViewId="0">
      <selection activeCell="D17" sqref="D17"/>
    </sheetView>
  </sheetViews>
  <sheetFormatPr defaultColWidth="8.6640625" defaultRowHeight="13.2"/>
  <cols>
    <col min="1" max="1" width="6.6640625" style="10" customWidth="1"/>
    <col min="2" max="2" width="57.6640625" style="10" customWidth="1"/>
    <col min="3" max="5" width="10.6640625" style="10" customWidth="1"/>
    <col min="6" max="6" width="12.6640625" style="10" customWidth="1"/>
    <col min="7" max="16384" width="8.6640625" style="10"/>
  </cols>
  <sheetData>
    <row r="1" spans="1:7" ht="15" customHeight="1" thickBot="1">
      <c r="A1" s="867" t="s">
        <v>66</v>
      </c>
      <c r="B1" s="868" t="s">
        <v>65</v>
      </c>
      <c r="C1" s="881"/>
      <c r="D1" s="876"/>
      <c r="E1" s="871"/>
      <c r="F1" s="871"/>
    </row>
    <row r="2" spans="1:7">
      <c r="C2" s="12"/>
      <c r="D2" s="13"/>
      <c r="E2" s="14"/>
      <c r="F2" s="14"/>
    </row>
    <row r="3" spans="1:7" s="20" customFormat="1" ht="14.25" customHeight="1">
      <c r="A3" s="1527" t="s">
        <v>145</v>
      </c>
      <c r="B3" s="1528" t="s">
        <v>146</v>
      </c>
      <c r="C3" s="1529" t="s">
        <v>147</v>
      </c>
      <c r="D3" s="1532" t="s">
        <v>148</v>
      </c>
      <c r="E3" s="1532" t="s">
        <v>149</v>
      </c>
      <c r="F3" s="1532"/>
      <c r="G3" s="1537" t="s">
        <v>2523</v>
      </c>
    </row>
    <row r="4" spans="1:7" s="20" customFormat="1">
      <c r="A4" s="1527"/>
      <c r="B4" s="1528"/>
      <c r="C4" s="1530"/>
      <c r="D4" s="1532"/>
      <c r="E4" s="1532"/>
      <c r="F4" s="1532"/>
      <c r="G4" s="1537"/>
    </row>
    <row r="5" spans="1:7" s="20" customFormat="1">
      <c r="A5" s="1527"/>
      <c r="B5" s="1528"/>
      <c r="C5" s="1531"/>
      <c r="D5" s="1532"/>
      <c r="E5" s="49" t="s">
        <v>150</v>
      </c>
      <c r="F5" s="50" t="s">
        <v>151</v>
      </c>
      <c r="G5" s="1537"/>
    </row>
    <row r="6" spans="1:7" s="20" customFormat="1">
      <c r="A6" s="52"/>
      <c r="B6" s="53"/>
      <c r="C6" s="54"/>
      <c r="D6" s="55"/>
      <c r="E6" s="56"/>
      <c r="F6" s="57"/>
    </row>
    <row r="7" spans="1:7" ht="171.6">
      <c r="A7" s="43">
        <v>1</v>
      </c>
      <c r="B7" s="67" t="s">
        <v>214</v>
      </c>
      <c r="C7" s="12"/>
      <c r="D7" s="38"/>
      <c r="E7" s="39"/>
      <c r="F7" s="39"/>
    </row>
    <row r="8" spans="1:7" ht="81">
      <c r="A8" s="22" t="s">
        <v>12</v>
      </c>
      <c r="B8" s="67" t="s">
        <v>2564</v>
      </c>
      <c r="C8" s="60" t="s">
        <v>173</v>
      </c>
      <c r="D8" s="61">
        <v>170</v>
      </c>
      <c r="E8" s="1316">
        <f>'[1]B_X_ KERAMIČARSKI RADOVI'!E8</f>
        <v>80</v>
      </c>
      <c r="F8" s="62">
        <f>SUM(D8*E8)</f>
        <v>13600</v>
      </c>
    </row>
    <row r="9" spans="1:7" ht="15">
      <c r="A9" s="22" t="s">
        <v>13</v>
      </c>
      <c r="B9" s="67" t="s">
        <v>102</v>
      </c>
      <c r="C9" s="60" t="s">
        <v>190</v>
      </c>
      <c r="D9" s="61">
        <v>42</v>
      </c>
      <c r="E9" s="1316">
        <f>'[1]B_X_ KERAMIČARSKI RADOVI'!E9</f>
        <v>20</v>
      </c>
      <c r="F9" s="62">
        <f>SUM(D9*E9)</f>
        <v>840</v>
      </c>
    </row>
    <row r="10" spans="1:7">
      <c r="A10" s="22"/>
      <c r="B10" s="67"/>
      <c r="C10" s="60"/>
      <c r="D10" s="61"/>
      <c r="E10" s="62"/>
      <c r="F10" s="62"/>
    </row>
    <row r="11" spans="1:7" ht="173.4">
      <c r="A11" s="43">
        <v>2</v>
      </c>
      <c r="B11" s="67" t="s">
        <v>2565</v>
      </c>
      <c r="C11" s="12"/>
      <c r="D11" s="38"/>
      <c r="E11" s="39"/>
      <c r="F11" s="39"/>
    </row>
    <row r="12" spans="1:7" ht="15">
      <c r="A12" s="22"/>
      <c r="B12" s="67"/>
      <c r="C12" s="12" t="s">
        <v>190</v>
      </c>
      <c r="D12" s="38">
        <v>130</v>
      </c>
      <c r="E12" s="156">
        <f>'[1]B_X_ KERAMIČARSKI RADOVI'!E12</f>
        <v>20</v>
      </c>
      <c r="F12" s="39">
        <f>SUM(D12*E12)</f>
        <v>2600</v>
      </c>
    </row>
    <row r="13" spans="1:7">
      <c r="B13" s="67"/>
      <c r="C13" s="12"/>
      <c r="D13" s="38"/>
      <c r="E13" s="39"/>
      <c r="F13" s="39"/>
    </row>
    <row r="14" spans="1:7" ht="186.6">
      <c r="A14" s="43">
        <v>3</v>
      </c>
      <c r="B14" s="67" t="s">
        <v>215</v>
      </c>
      <c r="C14" s="12"/>
      <c r="D14" s="38"/>
      <c r="E14" s="39"/>
      <c r="F14" s="39"/>
    </row>
    <row r="15" spans="1:7" ht="15">
      <c r="A15" s="22"/>
      <c r="B15" s="67"/>
      <c r="C15" s="12" t="s">
        <v>173</v>
      </c>
      <c r="D15" s="38">
        <v>260</v>
      </c>
      <c r="E15" s="156">
        <f>'[1]B_X_ KERAMIČARSKI RADOVI'!E15</f>
        <v>70</v>
      </c>
      <c r="F15" s="39">
        <f>SUM(D15*E15)</f>
        <v>18200</v>
      </c>
    </row>
    <row r="16" spans="1:7">
      <c r="A16" s="22"/>
      <c r="B16" s="67"/>
      <c r="C16" s="12"/>
      <c r="D16" s="38"/>
      <c r="E16" s="39"/>
      <c r="F16" s="39"/>
    </row>
    <row r="17" spans="1:6" ht="52.8">
      <c r="A17" s="43">
        <v>4</v>
      </c>
      <c r="B17" s="67" t="s">
        <v>216</v>
      </c>
      <c r="C17" s="12"/>
      <c r="D17" s="38"/>
      <c r="E17" s="39"/>
      <c r="F17" s="39"/>
    </row>
    <row r="18" spans="1:6" ht="15">
      <c r="B18" s="67"/>
      <c r="C18" s="12" t="s">
        <v>190</v>
      </c>
      <c r="D18" s="38">
        <v>8</v>
      </c>
      <c r="E18" s="156">
        <f>'[1]B_X_ KERAMIČARSKI RADOVI'!E18</f>
        <v>20</v>
      </c>
      <c r="F18" s="39">
        <f>SUM(D18*E18)</f>
        <v>160</v>
      </c>
    </row>
    <row r="19" spans="1:6">
      <c r="B19" s="67"/>
      <c r="C19" s="12"/>
      <c r="D19" s="38"/>
      <c r="E19" s="39"/>
      <c r="F19" s="39"/>
    </row>
    <row r="20" spans="1:6" ht="26.4">
      <c r="A20" s="43">
        <v>5</v>
      </c>
      <c r="B20" s="67" t="s">
        <v>217</v>
      </c>
      <c r="C20" s="12"/>
      <c r="D20" s="38"/>
      <c r="E20" s="39"/>
      <c r="F20" s="39"/>
    </row>
    <row r="21" spans="1:6">
      <c r="B21" s="67"/>
      <c r="C21" s="12" t="s">
        <v>9</v>
      </c>
      <c r="D21" s="38">
        <v>6</v>
      </c>
      <c r="E21" s="156">
        <f>'[1]B_X_ KERAMIČARSKI RADOVI'!E21</f>
        <v>200</v>
      </c>
      <c r="F21" s="39">
        <f>SUM(D21*E21)</f>
        <v>1200</v>
      </c>
    </row>
    <row r="22" spans="1:6">
      <c r="B22" s="67"/>
      <c r="C22" s="12"/>
      <c r="D22" s="38"/>
      <c r="E22" s="39"/>
      <c r="F22" s="39"/>
    </row>
    <row r="23" spans="1:6">
      <c r="A23" s="157"/>
      <c r="B23" s="158" t="s">
        <v>218</v>
      </c>
      <c r="C23" s="159"/>
      <c r="D23" s="160"/>
      <c r="E23" s="162" t="s">
        <v>159</v>
      </c>
      <c r="F23" s="161">
        <f>SUM(F1:F22)</f>
        <v>36600</v>
      </c>
    </row>
    <row r="24" spans="1:6">
      <c r="A24" s="22"/>
      <c r="B24" s="67"/>
      <c r="C24" s="12"/>
      <c r="D24" s="38"/>
      <c r="E24" s="156"/>
      <c r="F24" s="39"/>
    </row>
    <row r="25" spans="1:6">
      <c r="A25" s="22"/>
      <c r="B25" s="67"/>
      <c r="C25" s="12"/>
      <c r="D25" s="38"/>
      <c r="E25" s="39"/>
      <c r="F25" s="39"/>
    </row>
    <row r="26" spans="1:6">
      <c r="A26" s="43"/>
      <c r="B26" s="43"/>
      <c r="C26" s="44"/>
      <c r="D26" s="45"/>
      <c r="E26" s="46"/>
      <c r="F26" s="47"/>
    </row>
    <row r="27" spans="1:6">
      <c r="A27" s="22"/>
      <c r="B27" s="67"/>
      <c r="C27" s="12"/>
      <c r="D27" s="38"/>
      <c r="E27" s="156"/>
      <c r="F27" s="39"/>
    </row>
    <row r="28" spans="1:6">
      <c r="A28" s="22"/>
      <c r="B28" s="67"/>
      <c r="C28" s="12"/>
      <c r="D28" s="38"/>
      <c r="E28" s="39"/>
      <c r="F28" s="39"/>
    </row>
    <row r="29" spans="1:6">
      <c r="A29" s="43"/>
      <c r="B29" s="43"/>
      <c r="C29" s="44"/>
      <c r="D29" s="45"/>
      <c r="E29" s="46"/>
      <c r="F29" s="47"/>
    </row>
    <row r="30" spans="1:6">
      <c r="A30" s="22"/>
      <c r="B30" s="67"/>
      <c r="C30" s="12"/>
      <c r="D30" s="38"/>
      <c r="E30" s="156"/>
      <c r="F30" s="39"/>
    </row>
    <row r="31" spans="1:6">
      <c r="A31" s="22"/>
      <c r="B31" s="67"/>
      <c r="C31" s="12"/>
      <c r="D31" s="38"/>
      <c r="E31" s="39"/>
      <c r="F31" s="39"/>
    </row>
    <row r="32" spans="1:6">
      <c r="A32" s="43"/>
      <c r="B32" s="43"/>
      <c r="C32" s="44"/>
      <c r="D32" s="45"/>
      <c r="E32" s="46"/>
      <c r="F32" s="47"/>
    </row>
    <row r="33" spans="1:6">
      <c r="A33" s="22"/>
      <c r="B33" s="67"/>
      <c r="C33" s="12"/>
      <c r="D33" s="38"/>
      <c r="E33" s="156"/>
      <c r="F33" s="39"/>
    </row>
    <row r="34" spans="1:6">
      <c r="A34" s="22"/>
      <c r="B34" s="67"/>
      <c r="C34" s="12"/>
      <c r="D34" s="38"/>
      <c r="E34" s="39"/>
      <c r="F34" s="39"/>
    </row>
    <row r="35" spans="1:6">
      <c r="A35" s="43"/>
      <c r="B35" s="43"/>
      <c r="C35" s="44"/>
      <c r="D35" s="45"/>
      <c r="E35" s="46"/>
      <c r="F35" s="47"/>
    </row>
    <row r="36" spans="1:6">
      <c r="A36" s="22"/>
      <c r="B36" s="67"/>
      <c r="C36" s="12"/>
      <c r="D36" s="38"/>
      <c r="E36" s="156"/>
      <c r="F36" s="39"/>
    </row>
    <row r="37" spans="1:6">
      <c r="A37" s="22"/>
      <c r="B37" s="67"/>
      <c r="C37" s="12"/>
      <c r="D37" s="38"/>
      <c r="E37" s="39"/>
      <c r="F37" s="39"/>
    </row>
    <row r="38" spans="1:6">
      <c r="A38" s="43"/>
      <c r="B38" s="43"/>
      <c r="C38" s="44"/>
      <c r="D38" s="45"/>
      <c r="E38" s="46"/>
      <c r="F38" s="47"/>
    </row>
    <row r="39" spans="1:6">
      <c r="A39" s="22"/>
      <c r="B39" s="67"/>
      <c r="C39" s="12"/>
      <c r="D39" s="38"/>
      <c r="E39" s="156"/>
      <c r="F39" s="39"/>
    </row>
    <row r="40" spans="1:6">
      <c r="A40" s="22"/>
      <c r="B40" s="67"/>
      <c r="C40" s="12"/>
      <c r="D40" s="38"/>
      <c r="E40" s="39"/>
      <c r="F40" s="39"/>
    </row>
    <row r="41" spans="1:6">
      <c r="A41" s="43"/>
      <c r="B41" s="43"/>
      <c r="C41" s="44"/>
      <c r="D41" s="45"/>
      <c r="E41" s="46"/>
      <c r="F41" s="47"/>
    </row>
    <row r="42" spans="1:6">
      <c r="A42" s="22"/>
      <c r="B42" s="67"/>
      <c r="C42" s="12"/>
      <c r="D42" s="38"/>
      <c r="E42" s="156"/>
      <c r="F42" s="39"/>
    </row>
    <row r="43" spans="1:6">
      <c r="A43" s="22"/>
      <c r="B43" s="67"/>
      <c r="C43" s="12"/>
      <c r="D43" s="38"/>
      <c r="E43" s="39"/>
      <c r="F43" s="39"/>
    </row>
    <row r="44" spans="1:6">
      <c r="A44" s="43"/>
      <c r="B44" s="43"/>
      <c r="C44" s="44"/>
      <c r="D44" s="45"/>
      <c r="E44" s="46"/>
      <c r="F44" s="47"/>
    </row>
    <row r="45" spans="1:6">
      <c r="A45" s="22"/>
      <c r="B45" s="67"/>
      <c r="C45" s="12"/>
      <c r="D45" s="38"/>
      <c r="E45" s="156"/>
      <c r="F45" s="39"/>
    </row>
    <row r="46" spans="1:6">
      <c r="A46" s="22"/>
      <c r="B46" s="67"/>
      <c r="C46" s="12"/>
      <c r="D46" s="38"/>
      <c r="E46" s="39"/>
      <c r="F46" s="39"/>
    </row>
    <row r="47" spans="1:6">
      <c r="A47" s="43"/>
      <c r="B47" s="43"/>
      <c r="C47" s="44"/>
      <c r="D47" s="45"/>
      <c r="E47" s="46"/>
      <c r="F47" s="47"/>
    </row>
    <row r="48" spans="1:6">
      <c r="A48" s="22"/>
      <c r="B48" s="67"/>
      <c r="C48" s="12"/>
      <c r="D48" s="38"/>
      <c r="E48" s="156"/>
      <c r="F48" s="39"/>
    </row>
    <row r="49" spans="1:6">
      <c r="A49" s="22"/>
      <c r="B49" s="67"/>
      <c r="C49" s="12"/>
      <c r="D49" s="38"/>
      <c r="E49" s="39"/>
      <c r="F49" s="39"/>
    </row>
    <row r="50" spans="1:6">
      <c r="A50" s="43"/>
      <c r="B50" s="43"/>
      <c r="C50" s="44"/>
      <c r="D50" s="45"/>
      <c r="E50" s="46"/>
      <c r="F50" s="47"/>
    </row>
    <row r="51" spans="1:6">
      <c r="A51" s="22"/>
      <c r="B51" s="67"/>
      <c r="C51" s="12"/>
      <c r="D51" s="38"/>
      <c r="E51" s="156"/>
      <c r="F51" s="39"/>
    </row>
    <row r="52" spans="1:6">
      <c r="A52" s="22"/>
      <c r="B52" s="67"/>
      <c r="C52" s="12"/>
      <c r="D52" s="38"/>
      <c r="E52" s="39"/>
      <c r="F52" s="39"/>
    </row>
    <row r="53" spans="1:6">
      <c r="A53" s="43"/>
      <c r="B53" s="43"/>
      <c r="C53" s="44"/>
      <c r="D53" s="45"/>
      <c r="E53" s="46"/>
      <c r="F53" s="47"/>
    </row>
    <row r="54" spans="1:6">
      <c r="A54" s="22"/>
      <c r="B54" s="67"/>
      <c r="C54" s="12"/>
      <c r="D54" s="38"/>
      <c r="E54" s="156"/>
      <c r="F54" s="39"/>
    </row>
    <row r="55" spans="1:6">
      <c r="A55" s="22"/>
      <c r="B55" s="67"/>
      <c r="C55" s="12"/>
      <c r="D55" s="38"/>
      <c r="E55" s="39"/>
      <c r="F55" s="39"/>
    </row>
    <row r="56" spans="1:6">
      <c r="A56" s="43"/>
      <c r="B56" s="43"/>
      <c r="C56" s="44"/>
      <c r="D56" s="45"/>
      <c r="E56" s="46"/>
      <c r="F56" s="47"/>
    </row>
    <row r="57" spans="1:6">
      <c r="A57" s="22"/>
      <c r="B57" s="67"/>
      <c r="C57" s="12"/>
      <c r="D57" s="38"/>
      <c r="E57" s="156"/>
      <c r="F57" s="39"/>
    </row>
    <row r="58" spans="1:6">
      <c r="A58" s="22"/>
      <c r="B58" s="67"/>
      <c r="C58" s="12"/>
      <c r="D58" s="38"/>
      <c r="E58" s="39"/>
      <c r="F58" s="39"/>
    </row>
    <row r="59" spans="1:6">
      <c r="A59" s="43"/>
      <c r="B59" s="43"/>
      <c r="C59" s="44"/>
      <c r="D59" s="45"/>
      <c r="E59" s="46"/>
      <c r="F59" s="47"/>
    </row>
    <row r="60" spans="1:6">
      <c r="A60" s="22"/>
      <c r="B60" s="67"/>
      <c r="C60" s="12"/>
      <c r="D60" s="38"/>
      <c r="E60" s="156"/>
      <c r="F60" s="39"/>
    </row>
    <row r="61" spans="1:6">
      <c r="A61" s="22"/>
      <c r="B61" s="67"/>
      <c r="C61" s="12"/>
      <c r="D61" s="38"/>
      <c r="E61" s="39"/>
      <c r="F61" s="39"/>
    </row>
    <row r="62" spans="1:6">
      <c r="A62" s="43"/>
      <c r="B62" s="43"/>
      <c r="C62" s="44"/>
      <c r="D62" s="45"/>
      <c r="E62" s="46"/>
      <c r="F62" s="47"/>
    </row>
    <row r="63" spans="1:6">
      <c r="A63" s="22"/>
      <c r="B63" s="67"/>
      <c r="C63" s="12"/>
      <c r="D63" s="38"/>
      <c r="E63" s="156"/>
      <c r="F63" s="39"/>
    </row>
    <row r="64" spans="1:6">
      <c r="A64" s="22"/>
      <c r="B64" s="67"/>
      <c r="C64" s="12"/>
      <c r="D64" s="38"/>
      <c r="E64" s="39"/>
      <c r="F64" s="39"/>
    </row>
    <row r="65" spans="1:6">
      <c r="A65" s="43"/>
      <c r="B65" s="43"/>
      <c r="C65" s="44"/>
      <c r="D65" s="45"/>
      <c r="E65" s="46"/>
      <c r="F65" s="47"/>
    </row>
    <row r="66" spans="1:6">
      <c r="A66" s="22"/>
      <c r="B66" s="67"/>
      <c r="C66" s="12"/>
      <c r="D66" s="38"/>
      <c r="E66" s="156"/>
      <c r="F66" s="39"/>
    </row>
    <row r="67" spans="1:6">
      <c r="A67" s="22"/>
      <c r="B67" s="67"/>
      <c r="C67" s="12"/>
      <c r="D67" s="38"/>
      <c r="E67" s="39"/>
      <c r="F67" s="39"/>
    </row>
    <row r="68" spans="1:6">
      <c r="A68" s="43"/>
      <c r="B68" s="43"/>
      <c r="C68" s="44"/>
      <c r="D68" s="45"/>
      <c r="E68" s="46"/>
      <c r="F68" s="47"/>
    </row>
    <row r="69" spans="1:6">
      <c r="A69" s="22"/>
      <c r="B69" s="67"/>
      <c r="C69" s="12"/>
      <c r="D69" s="38"/>
      <c r="E69" s="156"/>
      <c r="F69" s="39"/>
    </row>
    <row r="70" spans="1:6">
      <c r="A70" s="22"/>
      <c r="B70" s="67"/>
      <c r="C70" s="12"/>
      <c r="D70" s="38"/>
      <c r="E70" s="39"/>
      <c r="F70" s="39"/>
    </row>
    <row r="71" spans="1:6">
      <c r="A71" s="43"/>
      <c r="B71" s="43"/>
      <c r="C71" s="44"/>
      <c r="D71" s="45"/>
      <c r="E71" s="46"/>
      <c r="F71" s="47"/>
    </row>
    <row r="72" spans="1:6">
      <c r="A72" s="22"/>
      <c r="B72" s="67"/>
      <c r="C72" s="12"/>
      <c r="D72" s="38"/>
      <c r="E72" s="156"/>
      <c r="F72" s="39"/>
    </row>
    <row r="73" spans="1:6">
      <c r="A73" s="22"/>
      <c r="B73" s="67"/>
      <c r="C73" s="12"/>
      <c r="D73" s="38"/>
      <c r="E73" s="39"/>
      <c r="F73" s="39"/>
    </row>
    <row r="74" spans="1:6">
      <c r="A74" s="43"/>
      <c r="B74" s="43"/>
      <c r="C74" s="44"/>
      <c r="D74" s="45"/>
      <c r="E74" s="46"/>
      <c r="F74" s="47"/>
    </row>
    <row r="75" spans="1:6">
      <c r="A75" s="22"/>
      <c r="B75" s="67"/>
      <c r="C75" s="12"/>
      <c r="D75" s="38"/>
      <c r="E75" s="156"/>
      <c r="F75" s="39"/>
    </row>
    <row r="76" spans="1:6">
      <c r="A76" s="22"/>
      <c r="B76" s="67"/>
      <c r="C76" s="12"/>
      <c r="D76" s="38"/>
      <c r="E76" s="39"/>
      <c r="F76" s="39"/>
    </row>
    <row r="77" spans="1:6">
      <c r="A77" s="43"/>
      <c r="B77" s="43"/>
      <c r="C77" s="44"/>
      <c r="D77" s="45"/>
      <c r="E77" s="46"/>
      <c r="F77" s="47"/>
    </row>
    <row r="78" spans="1:6">
      <c r="A78" s="22"/>
      <c r="B78" s="67"/>
      <c r="C78" s="12"/>
      <c r="D78" s="38"/>
      <c r="E78" s="156"/>
      <c r="F78" s="39"/>
    </row>
    <row r="79" spans="1:6">
      <c r="A79" s="22"/>
      <c r="B79" s="67"/>
      <c r="C79" s="12"/>
      <c r="D79" s="38"/>
      <c r="E79" s="39"/>
      <c r="F79" s="39"/>
    </row>
    <row r="80" spans="1:6">
      <c r="A80" s="43"/>
      <c r="B80" s="43"/>
      <c r="C80" s="44"/>
      <c r="D80" s="45"/>
      <c r="E80" s="46"/>
      <c r="F80" s="47"/>
    </row>
    <row r="81" spans="1:6">
      <c r="A81" s="22"/>
      <c r="B81" s="67"/>
      <c r="C81" s="12"/>
      <c r="D81" s="38"/>
      <c r="E81" s="156"/>
      <c r="F81" s="39"/>
    </row>
    <row r="82" spans="1:6">
      <c r="A82" s="22"/>
      <c r="B82" s="67"/>
      <c r="C82" s="12"/>
      <c r="D82" s="38"/>
      <c r="E82" s="39"/>
      <c r="F82" s="39"/>
    </row>
    <row r="83" spans="1:6">
      <c r="A83" s="43"/>
      <c r="B83" s="43"/>
      <c r="C83" s="44"/>
      <c r="D83" s="45"/>
      <c r="E83" s="46"/>
      <c r="F83" s="47"/>
    </row>
    <row r="84" spans="1:6">
      <c r="A84" s="22"/>
      <c r="B84" s="67"/>
      <c r="C84" s="12"/>
      <c r="D84" s="38"/>
      <c r="E84" s="156"/>
      <c r="F84" s="39"/>
    </row>
    <row r="85" spans="1:6">
      <c r="A85" s="22"/>
      <c r="B85" s="67"/>
      <c r="C85" s="12"/>
      <c r="D85" s="38"/>
      <c r="E85" s="39"/>
      <c r="F85" s="39"/>
    </row>
    <row r="86" spans="1:6">
      <c r="A86" s="43"/>
      <c r="B86" s="43"/>
      <c r="C86" s="44"/>
      <c r="D86" s="45"/>
      <c r="E86" s="46"/>
      <c r="F86" s="47"/>
    </row>
    <row r="87" spans="1:6">
      <c r="A87" s="22"/>
      <c r="B87" s="67"/>
      <c r="C87" s="12"/>
      <c r="D87" s="38"/>
      <c r="E87" s="156"/>
      <c r="F87" s="39"/>
    </row>
    <row r="88" spans="1:6">
      <c r="A88" s="22"/>
      <c r="B88" s="67"/>
      <c r="C88" s="12"/>
      <c r="D88" s="38"/>
      <c r="E88" s="39"/>
      <c r="F88" s="39"/>
    </row>
    <row r="89" spans="1:6">
      <c r="A89" s="43"/>
      <c r="B89" s="43"/>
      <c r="C89" s="44"/>
      <c r="D89" s="45"/>
      <c r="E89" s="46"/>
      <c r="F89" s="47"/>
    </row>
    <row r="90" spans="1:6">
      <c r="A90" s="22"/>
      <c r="B90" s="67"/>
      <c r="C90" s="12"/>
      <c r="D90" s="38"/>
      <c r="E90" s="156"/>
      <c r="F90" s="39"/>
    </row>
    <row r="91" spans="1:6">
      <c r="A91" s="22"/>
      <c r="B91" s="67"/>
      <c r="C91" s="12"/>
      <c r="D91" s="38"/>
      <c r="E91" s="39"/>
      <c r="F91" s="39"/>
    </row>
    <row r="92" spans="1:6">
      <c r="A92" s="43"/>
      <c r="B92" s="43"/>
      <c r="C92" s="44"/>
      <c r="D92" s="45"/>
      <c r="E92" s="46"/>
      <c r="F92" s="47"/>
    </row>
    <row r="93" spans="1:6">
      <c r="A93" s="22"/>
      <c r="B93" s="67"/>
      <c r="C93" s="12"/>
      <c r="D93" s="38"/>
      <c r="E93" s="156"/>
      <c r="F93" s="39"/>
    </row>
    <row r="94" spans="1:6">
      <c r="A94" s="22"/>
      <c r="B94" s="67"/>
      <c r="C94" s="12"/>
      <c r="D94" s="38"/>
      <c r="E94" s="39"/>
      <c r="F94" s="39"/>
    </row>
    <row r="95" spans="1:6">
      <c r="A95" s="43"/>
      <c r="B95" s="43"/>
      <c r="C95" s="44"/>
      <c r="D95" s="45"/>
      <c r="E95" s="46"/>
      <c r="F95" s="47"/>
    </row>
    <row r="96" spans="1:6">
      <c r="A96" s="22"/>
      <c r="B96" s="67"/>
      <c r="C96" s="12"/>
      <c r="D96" s="38"/>
      <c r="E96" s="156"/>
      <c r="F96" s="39"/>
    </row>
    <row r="97" spans="1:6">
      <c r="A97" s="22"/>
      <c r="B97" s="67"/>
      <c r="C97" s="12"/>
      <c r="D97" s="38"/>
      <c r="E97" s="39"/>
      <c r="F97" s="39"/>
    </row>
    <row r="98" spans="1:6">
      <c r="A98" s="43"/>
      <c r="B98" s="43"/>
      <c r="C98" s="44"/>
      <c r="D98" s="45"/>
      <c r="E98" s="46"/>
      <c r="F98" s="47"/>
    </row>
    <row r="99" spans="1:6">
      <c r="A99" s="22"/>
      <c r="B99" s="67"/>
      <c r="C99" s="12"/>
      <c r="D99" s="38"/>
      <c r="E99" s="156"/>
      <c r="F99" s="39"/>
    </row>
    <row r="100" spans="1:6">
      <c r="A100" s="22"/>
      <c r="B100" s="67"/>
      <c r="C100" s="12"/>
      <c r="D100" s="38"/>
      <c r="E100" s="39"/>
      <c r="F100" s="39"/>
    </row>
    <row r="101" spans="1:6">
      <c r="A101" s="43"/>
      <c r="B101" s="43"/>
      <c r="C101" s="44"/>
      <c r="D101" s="45"/>
      <c r="E101" s="46"/>
      <c r="F101" s="47"/>
    </row>
    <row r="102" spans="1:6">
      <c r="A102" s="22"/>
      <c r="B102" s="67"/>
      <c r="C102" s="12"/>
      <c r="D102" s="38"/>
      <c r="E102" s="156"/>
      <c r="F102" s="39"/>
    </row>
    <row r="103" spans="1:6">
      <c r="A103" s="22"/>
      <c r="B103" s="67"/>
      <c r="C103" s="12"/>
      <c r="D103" s="38"/>
      <c r="E103" s="39"/>
      <c r="F103" s="39"/>
    </row>
    <row r="104" spans="1:6">
      <c r="A104" s="43"/>
      <c r="B104" s="43"/>
      <c r="C104" s="44"/>
      <c r="D104" s="45"/>
      <c r="E104" s="46"/>
      <c r="F104" s="47"/>
    </row>
    <row r="105" spans="1:6">
      <c r="A105" s="22"/>
      <c r="B105" s="67"/>
      <c r="C105" s="12"/>
      <c r="D105" s="38"/>
      <c r="E105" s="156"/>
      <c r="F105" s="39"/>
    </row>
    <row r="106" spans="1:6">
      <c r="A106" s="22"/>
      <c r="B106" s="67"/>
      <c r="C106" s="12"/>
      <c r="D106" s="38"/>
      <c r="E106" s="39"/>
      <c r="F106" s="39"/>
    </row>
    <row r="107" spans="1:6">
      <c r="A107" s="43"/>
      <c r="B107" s="43"/>
      <c r="C107" s="44"/>
      <c r="D107" s="45"/>
      <c r="E107" s="46"/>
      <c r="F107" s="47"/>
    </row>
    <row r="108" spans="1:6">
      <c r="A108" s="22"/>
      <c r="B108" s="67"/>
      <c r="C108" s="12"/>
      <c r="D108" s="38"/>
      <c r="E108" s="156"/>
      <c r="F108" s="39"/>
    </row>
    <row r="109" spans="1:6">
      <c r="A109" s="22"/>
      <c r="B109" s="67"/>
      <c r="C109" s="12"/>
      <c r="D109" s="38"/>
      <c r="E109" s="39"/>
      <c r="F109" s="39"/>
    </row>
    <row r="110" spans="1:6">
      <c r="A110" s="43"/>
      <c r="B110" s="43"/>
      <c r="C110" s="44"/>
      <c r="D110" s="45"/>
      <c r="E110" s="46"/>
      <c r="F110" s="47"/>
    </row>
    <row r="111" spans="1:6">
      <c r="A111" s="22"/>
      <c r="B111" s="67"/>
      <c r="C111" s="12"/>
      <c r="D111" s="38"/>
      <c r="E111" s="156"/>
      <c r="F111" s="39"/>
    </row>
    <row r="112" spans="1:6">
      <c r="A112" s="22"/>
      <c r="B112" s="67"/>
      <c r="C112" s="12"/>
      <c r="D112" s="38"/>
      <c r="E112" s="39"/>
      <c r="F112" s="39"/>
    </row>
    <row r="113" spans="1:6">
      <c r="A113" s="43"/>
      <c r="B113" s="43"/>
      <c r="C113" s="44"/>
      <c r="D113" s="45"/>
      <c r="E113" s="46"/>
      <c r="F113" s="47"/>
    </row>
    <row r="114" spans="1:6">
      <c r="A114" s="22"/>
      <c r="B114" s="67"/>
      <c r="C114" s="12"/>
      <c r="D114" s="38"/>
      <c r="E114" s="156"/>
      <c r="F114" s="39"/>
    </row>
    <row r="115" spans="1:6">
      <c r="A115" s="22"/>
      <c r="B115" s="67"/>
      <c r="C115" s="12"/>
      <c r="D115" s="38"/>
      <c r="E115" s="39"/>
      <c r="F115" s="39"/>
    </row>
    <row r="116" spans="1:6">
      <c r="A116" s="43"/>
      <c r="B116" s="43"/>
      <c r="C116" s="44"/>
      <c r="D116" s="45"/>
      <c r="E116" s="46"/>
      <c r="F116" s="47"/>
    </row>
    <row r="117" spans="1:6">
      <c r="A117" s="22"/>
      <c r="B117" s="67"/>
      <c r="C117" s="12"/>
      <c r="D117" s="38"/>
      <c r="E117" s="156"/>
      <c r="F117" s="39"/>
    </row>
    <row r="118" spans="1:6">
      <c r="A118" s="22"/>
      <c r="B118" s="67"/>
      <c r="C118" s="12"/>
      <c r="D118" s="38"/>
      <c r="E118" s="39"/>
      <c r="F118" s="39"/>
    </row>
    <row r="119" spans="1:6">
      <c r="A119" s="43"/>
      <c r="B119" s="43"/>
      <c r="C119" s="44"/>
      <c r="D119" s="45"/>
      <c r="E119" s="46"/>
      <c r="F119" s="47"/>
    </row>
    <row r="120" spans="1:6">
      <c r="A120" s="22"/>
      <c r="B120" s="67"/>
      <c r="C120" s="12"/>
      <c r="D120" s="38"/>
      <c r="E120" s="156"/>
      <c r="F120" s="39"/>
    </row>
    <row r="121" spans="1:6">
      <c r="A121" s="22"/>
      <c r="B121" s="67"/>
      <c r="C121" s="12"/>
      <c r="D121" s="38"/>
      <c r="E121" s="39"/>
      <c r="F121" s="39"/>
    </row>
    <row r="122" spans="1:6">
      <c r="A122" s="43"/>
      <c r="B122" s="43"/>
      <c r="C122" s="44"/>
      <c r="D122" s="45"/>
      <c r="E122" s="46"/>
      <c r="F122" s="47"/>
    </row>
    <row r="123" spans="1:6">
      <c r="A123" s="22"/>
      <c r="B123" s="67"/>
      <c r="C123" s="12"/>
      <c r="D123" s="38"/>
      <c r="E123" s="156"/>
      <c r="F123" s="39"/>
    </row>
    <row r="124" spans="1:6">
      <c r="A124" s="22"/>
      <c r="B124" s="67"/>
      <c r="C124" s="12"/>
      <c r="D124" s="38"/>
      <c r="E124" s="39"/>
      <c r="F124" s="39"/>
    </row>
    <row r="125" spans="1:6">
      <c r="A125" s="43"/>
      <c r="B125" s="43"/>
      <c r="C125" s="44"/>
      <c r="D125" s="45"/>
      <c r="E125" s="46"/>
      <c r="F125" s="47"/>
    </row>
    <row r="126" spans="1:6">
      <c r="A126" s="22"/>
      <c r="B126" s="67"/>
      <c r="C126" s="12"/>
      <c r="D126" s="38"/>
      <c r="E126" s="156"/>
      <c r="F126" s="39"/>
    </row>
    <row r="127" spans="1:6">
      <c r="A127" s="22"/>
      <c r="B127" s="67"/>
      <c r="C127" s="12"/>
      <c r="D127" s="38"/>
      <c r="E127" s="39"/>
      <c r="F127" s="39"/>
    </row>
    <row r="128" spans="1:6">
      <c r="A128" s="43"/>
      <c r="B128" s="43"/>
      <c r="C128" s="44"/>
      <c r="D128" s="45"/>
      <c r="E128" s="46"/>
      <c r="F128" s="47"/>
    </row>
    <row r="129" spans="1:6">
      <c r="A129" s="22"/>
      <c r="B129" s="67"/>
      <c r="C129" s="12"/>
      <c r="D129" s="38"/>
      <c r="E129" s="156"/>
      <c r="F129" s="39"/>
    </row>
    <row r="130" spans="1:6">
      <c r="A130" s="22"/>
      <c r="B130" s="67"/>
      <c r="C130" s="12"/>
      <c r="D130" s="38"/>
      <c r="E130" s="39"/>
      <c r="F130" s="39"/>
    </row>
    <row r="131" spans="1:6">
      <c r="A131" s="43"/>
      <c r="B131" s="43"/>
      <c r="C131" s="44"/>
      <c r="D131" s="45"/>
      <c r="E131" s="46"/>
      <c r="F131" s="47"/>
    </row>
    <row r="132" spans="1:6">
      <c r="A132" s="22"/>
      <c r="B132" s="67"/>
      <c r="C132" s="12"/>
      <c r="D132" s="38"/>
      <c r="E132" s="156"/>
      <c r="F132" s="39"/>
    </row>
    <row r="133" spans="1:6">
      <c r="A133" s="22"/>
      <c r="B133" s="67"/>
      <c r="C133" s="12"/>
      <c r="D133" s="38"/>
      <c r="E133" s="39"/>
      <c r="F133" s="39"/>
    </row>
    <row r="134" spans="1:6">
      <c r="A134" s="43"/>
      <c r="B134" s="43"/>
      <c r="C134" s="44"/>
      <c r="D134" s="45"/>
      <c r="E134" s="46"/>
      <c r="F134" s="47"/>
    </row>
    <row r="135" spans="1:6">
      <c r="A135" s="22"/>
      <c r="B135" s="67"/>
      <c r="C135" s="12"/>
      <c r="D135" s="38"/>
      <c r="E135" s="156"/>
      <c r="F135" s="39"/>
    </row>
    <row r="136" spans="1:6">
      <c r="A136" s="22"/>
      <c r="B136" s="67"/>
      <c r="C136" s="12"/>
      <c r="D136" s="38"/>
      <c r="E136" s="39"/>
      <c r="F136" s="39"/>
    </row>
    <row r="137" spans="1:6">
      <c r="A137" s="43"/>
      <c r="B137" s="43"/>
      <c r="C137" s="44"/>
      <c r="D137" s="45"/>
      <c r="E137" s="46"/>
      <c r="F137" s="47"/>
    </row>
    <row r="138" spans="1:6">
      <c r="A138" s="22"/>
      <c r="B138" s="67"/>
      <c r="C138" s="12"/>
      <c r="D138" s="38"/>
      <c r="E138" s="156"/>
      <c r="F138" s="39"/>
    </row>
    <row r="139" spans="1:6">
      <c r="A139" s="22"/>
      <c r="B139" s="67"/>
      <c r="C139" s="12"/>
      <c r="D139" s="38"/>
      <c r="E139" s="39"/>
      <c r="F139" s="39"/>
    </row>
    <row r="140" spans="1:6">
      <c r="A140" s="43"/>
      <c r="B140" s="43"/>
      <c r="C140" s="44"/>
      <c r="D140" s="45"/>
      <c r="E140" s="46"/>
      <c r="F140" s="47"/>
    </row>
    <row r="141" spans="1:6">
      <c r="A141" s="22"/>
      <c r="B141" s="67"/>
      <c r="C141" s="12"/>
      <c r="D141" s="38"/>
      <c r="E141" s="156"/>
      <c r="F141" s="39"/>
    </row>
    <row r="142" spans="1:6">
      <c r="A142" s="22"/>
      <c r="B142" s="67"/>
      <c r="C142" s="12"/>
      <c r="D142" s="38"/>
      <c r="E142" s="39"/>
      <c r="F142" s="39"/>
    </row>
    <row r="143" spans="1:6">
      <c r="A143" s="43"/>
      <c r="B143" s="43"/>
      <c r="C143" s="44"/>
      <c r="D143" s="45"/>
      <c r="E143" s="46"/>
      <c r="F143" s="47"/>
    </row>
    <row r="144" spans="1:6">
      <c r="A144" s="22"/>
      <c r="B144" s="67"/>
      <c r="C144" s="12"/>
      <c r="D144" s="38"/>
      <c r="E144" s="156"/>
      <c r="F144" s="39"/>
    </row>
    <row r="145" spans="1:6">
      <c r="A145" s="22"/>
      <c r="B145" s="67"/>
      <c r="C145" s="12"/>
      <c r="D145" s="38"/>
      <c r="E145" s="39"/>
      <c r="F145" s="39"/>
    </row>
    <row r="146" spans="1:6">
      <c r="A146" s="43"/>
      <c r="B146" s="43"/>
      <c r="C146" s="44"/>
      <c r="D146" s="45"/>
      <c r="E146" s="46"/>
      <c r="F146" s="47"/>
    </row>
    <row r="147" spans="1:6">
      <c r="A147" s="22"/>
      <c r="B147" s="67"/>
      <c r="C147" s="12"/>
      <c r="D147" s="38"/>
      <c r="E147" s="156"/>
      <c r="F147" s="39"/>
    </row>
    <row r="148" spans="1:6">
      <c r="A148" s="22"/>
      <c r="B148" s="67"/>
      <c r="C148" s="12"/>
      <c r="D148" s="38"/>
      <c r="E148" s="39"/>
      <c r="F148" s="39"/>
    </row>
    <row r="149" spans="1:6">
      <c r="A149" s="43"/>
      <c r="B149" s="43"/>
      <c r="C149" s="44"/>
      <c r="D149" s="45"/>
      <c r="E149" s="46"/>
      <c r="F149" s="47"/>
    </row>
    <row r="150" spans="1:6">
      <c r="A150" s="22"/>
      <c r="B150" s="67"/>
      <c r="C150" s="12"/>
      <c r="D150" s="38"/>
      <c r="E150" s="156"/>
      <c r="F150" s="39"/>
    </row>
    <row r="151" spans="1:6">
      <c r="A151" s="22"/>
      <c r="B151" s="67"/>
      <c r="C151" s="12"/>
      <c r="D151" s="38"/>
      <c r="E151" s="39"/>
      <c r="F151" s="39"/>
    </row>
    <row r="152" spans="1:6">
      <c r="A152" s="43"/>
      <c r="B152" s="43"/>
      <c r="C152" s="44"/>
      <c r="D152" s="45"/>
      <c r="E152" s="46"/>
      <c r="F152" s="47"/>
    </row>
    <row r="153" spans="1:6">
      <c r="A153" s="22"/>
      <c r="B153" s="67"/>
      <c r="C153" s="12"/>
      <c r="D153" s="38"/>
      <c r="E153" s="156"/>
      <c r="F153" s="39"/>
    </row>
    <row r="154" spans="1:6">
      <c r="A154" s="22"/>
      <c r="B154" s="67"/>
      <c r="C154" s="12"/>
      <c r="D154" s="38"/>
      <c r="E154" s="39"/>
      <c r="F154" s="39"/>
    </row>
    <row r="155" spans="1:6">
      <c r="A155" s="43"/>
      <c r="B155" s="43"/>
      <c r="C155" s="44"/>
      <c r="D155" s="45"/>
      <c r="E155" s="46"/>
      <c r="F155" s="47"/>
    </row>
    <row r="156" spans="1:6">
      <c r="A156" s="22"/>
      <c r="B156" s="67"/>
      <c r="C156" s="12"/>
      <c r="D156" s="38"/>
      <c r="E156" s="156"/>
      <c r="F156" s="39"/>
    </row>
    <row r="157" spans="1:6">
      <c r="A157" s="22"/>
      <c r="B157" s="67"/>
      <c r="C157" s="12"/>
      <c r="D157" s="38"/>
      <c r="E157" s="39"/>
      <c r="F157" s="39"/>
    </row>
    <row r="158" spans="1:6">
      <c r="A158" s="43"/>
      <c r="B158" s="43"/>
      <c r="C158" s="44"/>
      <c r="D158" s="45"/>
      <c r="E158" s="46"/>
      <c r="F158" s="47"/>
    </row>
    <row r="159" spans="1:6">
      <c r="A159" s="22"/>
      <c r="B159" s="67"/>
      <c r="C159" s="12"/>
      <c r="D159" s="38"/>
      <c r="E159" s="156"/>
      <c r="F159" s="39"/>
    </row>
    <row r="160" spans="1:6">
      <c r="A160" s="22"/>
      <c r="B160" s="67"/>
      <c r="C160" s="12"/>
      <c r="D160" s="38"/>
      <c r="E160" s="39"/>
      <c r="F160" s="39"/>
    </row>
    <row r="161" spans="1:6">
      <c r="A161" s="43"/>
      <c r="B161" s="43"/>
      <c r="C161" s="44"/>
      <c r="D161" s="45"/>
      <c r="E161" s="46"/>
      <c r="F161" s="47"/>
    </row>
    <row r="162" spans="1:6">
      <c r="A162" s="22"/>
      <c r="B162" s="67"/>
      <c r="C162" s="12"/>
      <c r="D162" s="38"/>
      <c r="E162" s="156"/>
      <c r="F162" s="39"/>
    </row>
    <row r="163" spans="1:6">
      <c r="A163" s="22"/>
      <c r="B163" s="67"/>
      <c r="C163" s="12"/>
      <c r="D163" s="38"/>
      <c r="E163" s="39"/>
      <c r="F163" s="39"/>
    </row>
    <row r="164" spans="1:6">
      <c r="A164" s="43"/>
      <c r="B164" s="43"/>
      <c r="C164" s="44"/>
      <c r="D164" s="45"/>
      <c r="E164" s="46"/>
      <c r="F164" s="47"/>
    </row>
    <row r="165" spans="1:6">
      <c r="A165" s="22"/>
      <c r="B165" s="67"/>
      <c r="C165" s="12"/>
      <c r="D165" s="38"/>
      <c r="E165" s="156"/>
      <c r="F165" s="39"/>
    </row>
    <row r="166" spans="1:6">
      <c r="A166" s="22"/>
      <c r="B166" s="67"/>
      <c r="C166" s="12"/>
      <c r="D166" s="38"/>
      <c r="E166" s="39"/>
      <c r="F166" s="39"/>
    </row>
    <row r="167" spans="1:6">
      <c r="A167" s="43"/>
      <c r="B167" s="43"/>
      <c r="C167" s="44"/>
      <c r="D167" s="45"/>
      <c r="E167" s="46"/>
      <c r="F167" s="47"/>
    </row>
    <row r="168" spans="1:6">
      <c r="A168" s="22"/>
      <c r="B168" s="67"/>
      <c r="C168" s="12"/>
      <c r="D168" s="38"/>
      <c r="E168" s="156"/>
      <c r="F168" s="39"/>
    </row>
    <row r="169" spans="1:6">
      <c r="A169" s="22"/>
      <c r="B169" s="67"/>
      <c r="C169" s="12"/>
      <c r="D169" s="38"/>
      <c r="E169" s="39"/>
      <c r="F169" s="39"/>
    </row>
    <row r="170" spans="1:6">
      <c r="A170" s="43"/>
      <c r="B170" s="43"/>
      <c r="C170" s="44"/>
      <c r="D170" s="45"/>
      <c r="E170" s="46"/>
      <c r="F170" s="47"/>
    </row>
    <row r="171" spans="1:6">
      <c r="A171" s="22"/>
      <c r="B171" s="67"/>
      <c r="C171" s="12"/>
      <c r="D171" s="38"/>
      <c r="E171" s="156"/>
      <c r="F171" s="39"/>
    </row>
    <row r="172" spans="1:6">
      <c r="A172" s="22"/>
      <c r="B172" s="67"/>
      <c r="C172" s="12"/>
      <c r="D172" s="38"/>
      <c r="E172" s="39"/>
      <c r="F172" s="39"/>
    </row>
    <row r="173" spans="1:6">
      <c r="A173" s="43"/>
      <c r="B173" s="43"/>
      <c r="C173" s="44"/>
      <c r="D173" s="45"/>
      <c r="E173" s="46"/>
      <c r="F173" s="47"/>
    </row>
    <row r="174" spans="1:6">
      <c r="A174" s="22"/>
      <c r="B174" s="67"/>
      <c r="C174" s="12"/>
      <c r="D174" s="38"/>
      <c r="E174" s="156"/>
      <c r="F174" s="39"/>
    </row>
    <row r="175" spans="1:6">
      <c r="A175" s="22"/>
      <c r="B175" s="67"/>
      <c r="C175" s="12"/>
      <c r="D175" s="38"/>
      <c r="E175" s="39"/>
      <c r="F175" s="39"/>
    </row>
    <row r="176" spans="1:6">
      <c r="A176" s="43"/>
      <c r="B176" s="43"/>
      <c r="C176" s="44"/>
      <c r="D176" s="45"/>
      <c r="E176" s="46"/>
      <c r="F176" s="47"/>
    </row>
    <row r="177" spans="1:6">
      <c r="A177" s="22"/>
      <c r="B177" s="67"/>
      <c r="C177" s="12"/>
      <c r="D177" s="38"/>
      <c r="E177" s="156"/>
      <c r="F177" s="39"/>
    </row>
    <row r="178" spans="1:6">
      <c r="A178" s="22"/>
      <c r="B178" s="67"/>
      <c r="C178" s="12"/>
      <c r="D178" s="38"/>
      <c r="E178" s="39"/>
      <c r="F178" s="39"/>
    </row>
    <row r="179" spans="1:6">
      <c r="A179" s="43"/>
      <c r="B179" s="43"/>
      <c r="C179" s="44"/>
      <c r="D179" s="45"/>
      <c r="E179" s="46"/>
      <c r="F179" s="47"/>
    </row>
    <row r="180" spans="1:6">
      <c r="A180" s="22"/>
      <c r="B180" s="67"/>
      <c r="C180" s="12"/>
      <c r="D180" s="38"/>
      <c r="E180" s="156"/>
      <c r="F180" s="39"/>
    </row>
    <row r="181" spans="1:6">
      <c r="A181" s="22"/>
      <c r="B181" s="67"/>
      <c r="C181" s="12"/>
      <c r="D181" s="38"/>
      <c r="E181" s="39"/>
      <c r="F181" s="39"/>
    </row>
    <row r="182" spans="1:6">
      <c r="A182" s="43"/>
      <c r="B182" s="43"/>
      <c r="C182" s="44"/>
      <c r="D182" s="45"/>
      <c r="E182" s="46"/>
      <c r="F182" s="47"/>
    </row>
    <row r="183" spans="1:6">
      <c r="A183" s="22"/>
      <c r="B183" s="67"/>
      <c r="C183" s="12"/>
      <c r="D183" s="38"/>
      <c r="E183" s="156"/>
      <c r="F183" s="39"/>
    </row>
    <row r="184" spans="1:6">
      <c r="A184" s="22"/>
      <c r="B184" s="67"/>
      <c r="C184" s="12"/>
      <c r="D184" s="38"/>
      <c r="E184" s="39"/>
      <c r="F184" s="39"/>
    </row>
    <row r="185" spans="1:6">
      <c r="A185" s="43"/>
      <c r="B185" s="43"/>
      <c r="C185" s="44"/>
      <c r="D185" s="45"/>
      <c r="E185" s="46"/>
      <c r="F185" s="47"/>
    </row>
    <row r="186" spans="1:6">
      <c r="A186" s="22"/>
      <c r="B186" s="67"/>
      <c r="C186" s="12"/>
      <c r="D186" s="38"/>
      <c r="E186" s="156"/>
      <c r="F186" s="39"/>
    </row>
    <row r="187" spans="1:6">
      <c r="A187" s="22"/>
      <c r="B187" s="67"/>
      <c r="C187" s="12"/>
      <c r="D187" s="38"/>
      <c r="E187" s="39"/>
      <c r="F187" s="39"/>
    </row>
    <row r="188" spans="1:6">
      <c r="A188" s="43"/>
      <c r="B188" s="43"/>
      <c r="C188" s="44"/>
      <c r="D188" s="45"/>
      <c r="E188" s="46"/>
      <c r="F188" s="47"/>
    </row>
    <row r="189" spans="1:6">
      <c r="A189" s="22"/>
      <c r="B189" s="67"/>
      <c r="C189" s="12"/>
      <c r="D189" s="38"/>
      <c r="E189" s="156"/>
      <c r="F189" s="39"/>
    </row>
    <row r="190" spans="1:6">
      <c r="A190" s="22"/>
      <c r="B190" s="67"/>
      <c r="C190" s="12"/>
      <c r="D190" s="38"/>
      <c r="E190" s="39"/>
      <c r="F190" s="39"/>
    </row>
    <row r="191" spans="1:6">
      <c r="A191" s="43"/>
      <c r="B191" s="43"/>
      <c r="C191" s="44"/>
      <c r="D191" s="45"/>
      <c r="E191" s="46"/>
      <c r="F191" s="47"/>
    </row>
    <row r="192" spans="1:6">
      <c r="A192" s="22"/>
      <c r="B192" s="67"/>
      <c r="C192" s="12"/>
      <c r="D192" s="38"/>
      <c r="E192" s="156"/>
      <c r="F192" s="39"/>
    </row>
    <row r="193" spans="1:6">
      <c r="A193" s="22"/>
      <c r="B193" s="67"/>
      <c r="C193" s="12"/>
      <c r="D193" s="38"/>
      <c r="E193" s="39"/>
      <c r="F193" s="39"/>
    </row>
    <row r="194" spans="1:6">
      <c r="A194" s="43"/>
      <c r="B194" s="43"/>
      <c r="C194" s="44"/>
      <c r="D194" s="45"/>
      <c r="E194" s="46"/>
      <c r="F194" s="47"/>
    </row>
    <row r="195" spans="1:6">
      <c r="A195" s="22"/>
      <c r="B195" s="67"/>
      <c r="C195" s="12"/>
      <c r="D195" s="38"/>
      <c r="E195" s="156"/>
      <c r="F195" s="39"/>
    </row>
    <row r="196" spans="1:6">
      <c r="A196" s="22"/>
      <c r="B196" s="67"/>
      <c r="C196" s="12"/>
      <c r="D196" s="38"/>
      <c r="E196" s="39"/>
      <c r="F196" s="39"/>
    </row>
    <row r="197" spans="1:6">
      <c r="A197" s="43"/>
      <c r="B197" s="43"/>
      <c r="C197" s="44"/>
      <c r="D197" s="45"/>
      <c r="E197" s="46"/>
      <c r="F197" s="47"/>
    </row>
    <row r="198" spans="1:6">
      <c r="A198" s="22"/>
      <c r="B198" s="67"/>
      <c r="C198" s="12"/>
      <c r="D198" s="38"/>
      <c r="E198" s="156"/>
      <c r="F198" s="39"/>
    </row>
    <row r="199" spans="1:6">
      <c r="A199" s="22"/>
      <c r="B199" s="67"/>
      <c r="C199" s="12"/>
      <c r="D199" s="38"/>
      <c r="E199" s="39"/>
      <c r="F199" s="39"/>
    </row>
    <row r="200" spans="1:6">
      <c r="A200" s="43"/>
      <c r="B200" s="43"/>
      <c r="C200" s="44"/>
      <c r="D200" s="45"/>
      <c r="E200" s="46"/>
      <c r="F200" s="47"/>
    </row>
    <row r="201" spans="1:6">
      <c r="A201" s="22"/>
      <c r="B201" s="67"/>
      <c r="C201" s="12"/>
      <c r="D201" s="38"/>
      <c r="E201" s="156"/>
      <c r="F201" s="39"/>
    </row>
    <row r="202" spans="1:6">
      <c r="A202" s="22"/>
      <c r="B202" s="67"/>
      <c r="C202" s="12"/>
      <c r="D202" s="38"/>
      <c r="E202" s="39"/>
      <c r="F202" s="39"/>
    </row>
    <row r="203" spans="1:6">
      <c r="A203" s="43"/>
      <c r="B203" s="43"/>
      <c r="C203" s="44"/>
      <c r="D203" s="45"/>
      <c r="E203" s="46"/>
      <c r="F203" s="47"/>
    </row>
    <row r="204" spans="1:6">
      <c r="A204" s="22"/>
      <c r="B204" s="67"/>
      <c r="C204" s="12"/>
      <c r="D204" s="38"/>
      <c r="E204" s="156"/>
      <c r="F204" s="39"/>
    </row>
    <row r="205" spans="1:6">
      <c r="A205" s="22"/>
      <c r="B205" s="67"/>
      <c r="C205" s="12"/>
      <c r="D205" s="38"/>
      <c r="E205" s="39"/>
      <c r="F205" s="39"/>
    </row>
    <row r="206" spans="1:6">
      <c r="A206" s="43"/>
      <c r="B206" s="43"/>
      <c r="C206" s="44"/>
      <c r="D206" s="45"/>
      <c r="E206" s="46"/>
      <c r="F206" s="47"/>
    </row>
    <row r="207" spans="1:6">
      <c r="A207" s="22"/>
      <c r="B207" s="67"/>
      <c r="C207" s="12"/>
      <c r="D207" s="38"/>
      <c r="E207" s="156"/>
      <c r="F207" s="39"/>
    </row>
    <row r="208" spans="1:6">
      <c r="A208" s="22"/>
      <c r="B208" s="67"/>
      <c r="C208" s="12"/>
      <c r="D208" s="38"/>
      <c r="E208" s="39"/>
      <c r="F208" s="39"/>
    </row>
    <row r="209" spans="1:6">
      <c r="A209" s="43"/>
      <c r="B209" s="43"/>
      <c r="C209" s="44"/>
      <c r="D209" s="45"/>
      <c r="E209" s="46"/>
      <c r="F209" s="47"/>
    </row>
    <row r="210" spans="1:6">
      <c r="A210" s="22"/>
      <c r="B210" s="67"/>
      <c r="C210" s="12"/>
      <c r="D210" s="38"/>
      <c r="E210" s="156"/>
      <c r="F210" s="39"/>
    </row>
    <row r="211" spans="1:6">
      <c r="A211" s="22"/>
      <c r="B211" s="67"/>
      <c r="C211" s="12"/>
      <c r="D211" s="38"/>
      <c r="E211" s="39"/>
      <c r="F211" s="39"/>
    </row>
    <row r="212" spans="1:6">
      <c r="A212" s="43"/>
      <c r="B212" s="43"/>
      <c r="C212" s="44"/>
      <c r="D212" s="45"/>
      <c r="E212" s="46"/>
      <c r="F212" s="47"/>
    </row>
    <row r="213" spans="1:6">
      <c r="A213" s="22"/>
      <c r="B213" s="67"/>
      <c r="C213" s="12"/>
      <c r="D213" s="38"/>
      <c r="E213" s="156"/>
      <c r="F213" s="39"/>
    </row>
    <row r="214" spans="1:6">
      <c r="A214" s="22"/>
      <c r="B214" s="67"/>
      <c r="C214" s="12"/>
      <c r="D214" s="38"/>
      <c r="E214" s="39"/>
      <c r="F214" s="39"/>
    </row>
    <row r="215" spans="1:6">
      <c r="A215" s="43"/>
      <c r="B215" s="43"/>
      <c r="C215" s="44"/>
      <c r="D215" s="45"/>
      <c r="E215" s="46"/>
      <c r="F215" s="47"/>
    </row>
    <row r="216" spans="1:6">
      <c r="A216" s="22"/>
      <c r="B216" s="67"/>
      <c r="C216" s="12"/>
      <c r="D216" s="38"/>
      <c r="E216" s="156"/>
      <c r="F216" s="39"/>
    </row>
    <row r="217" spans="1:6">
      <c r="A217" s="22"/>
      <c r="B217" s="67"/>
      <c r="C217" s="12"/>
      <c r="D217" s="38"/>
      <c r="E217" s="39"/>
      <c r="F217" s="39"/>
    </row>
    <row r="218" spans="1:6">
      <c r="A218" s="43"/>
      <c r="B218" s="43"/>
      <c r="C218" s="44"/>
      <c r="D218" s="45"/>
      <c r="E218" s="46"/>
      <c r="F218" s="47"/>
    </row>
    <row r="219" spans="1:6">
      <c r="A219" s="22"/>
      <c r="B219" s="67"/>
      <c r="C219" s="12"/>
      <c r="D219" s="38"/>
      <c r="E219" s="156"/>
      <c r="F219" s="39"/>
    </row>
    <row r="220" spans="1:6">
      <c r="A220" s="22"/>
      <c r="B220" s="67"/>
      <c r="C220" s="12"/>
      <c r="D220" s="38"/>
      <c r="E220" s="39"/>
      <c r="F220" s="39"/>
    </row>
    <row r="221" spans="1:6">
      <c r="A221" s="43"/>
      <c r="B221" s="43"/>
      <c r="C221" s="44"/>
      <c r="D221" s="45"/>
      <c r="E221" s="46"/>
      <c r="F221" s="47"/>
    </row>
    <row r="222" spans="1:6">
      <c r="A222" s="22"/>
      <c r="B222" s="67"/>
      <c r="C222" s="12"/>
      <c r="D222" s="38"/>
      <c r="E222" s="156"/>
      <c r="F222" s="39"/>
    </row>
    <row r="223" spans="1:6">
      <c r="A223" s="22"/>
      <c r="B223" s="67"/>
      <c r="C223" s="12"/>
      <c r="D223" s="38"/>
      <c r="E223" s="39"/>
      <c r="F223" s="39"/>
    </row>
    <row r="224" spans="1:6">
      <c r="A224" s="43"/>
      <c r="B224" s="43"/>
      <c r="C224" s="44"/>
      <c r="D224" s="45"/>
      <c r="E224" s="46"/>
      <c r="F224" s="47"/>
    </row>
    <row r="225" spans="1:6">
      <c r="A225" s="22"/>
      <c r="B225" s="67"/>
      <c r="C225" s="12"/>
      <c r="D225" s="38"/>
      <c r="E225" s="156"/>
      <c r="F225" s="39"/>
    </row>
    <row r="226" spans="1:6">
      <c r="A226" s="22"/>
      <c r="B226" s="67"/>
      <c r="C226" s="12"/>
      <c r="D226" s="38"/>
      <c r="E226" s="39"/>
      <c r="F226" s="39"/>
    </row>
    <row r="227" spans="1:6">
      <c r="A227" s="43"/>
      <c r="B227" s="43"/>
      <c r="C227" s="44"/>
      <c r="D227" s="45"/>
      <c r="E227" s="46"/>
      <c r="F227" s="47"/>
    </row>
    <row r="228" spans="1:6">
      <c r="A228" s="22"/>
      <c r="B228" s="67"/>
      <c r="C228" s="12"/>
      <c r="D228" s="38"/>
      <c r="E228" s="156"/>
      <c r="F228" s="39"/>
    </row>
    <row r="229" spans="1:6">
      <c r="A229" s="22"/>
      <c r="B229" s="67"/>
      <c r="C229" s="12"/>
      <c r="D229" s="38"/>
      <c r="E229" s="39"/>
      <c r="F229" s="39"/>
    </row>
    <row r="230" spans="1:6">
      <c r="A230" s="43"/>
      <c r="B230" s="43"/>
      <c r="C230" s="44"/>
      <c r="D230" s="45"/>
      <c r="E230" s="46"/>
      <c r="F230" s="47"/>
    </row>
    <row r="231" spans="1:6">
      <c r="A231" s="22"/>
      <c r="B231" s="67"/>
      <c r="C231" s="12"/>
      <c r="D231" s="38"/>
      <c r="E231" s="156"/>
      <c r="F231" s="39"/>
    </row>
    <row r="232" spans="1:6">
      <c r="A232" s="22"/>
      <c r="B232" s="67"/>
      <c r="C232" s="12"/>
      <c r="D232" s="38"/>
      <c r="E232" s="39"/>
      <c r="F232" s="39"/>
    </row>
    <row r="233" spans="1:6">
      <c r="A233" s="43"/>
      <c r="B233" s="43"/>
      <c r="C233" s="44"/>
      <c r="D233" s="45"/>
      <c r="E233" s="46"/>
      <c r="F233" s="47"/>
    </row>
    <row r="234" spans="1:6">
      <c r="A234" s="22"/>
      <c r="B234" s="67"/>
      <c r="C234" s="12"/>
      <c r="D234" s="38"/>
      <c r="E234" s="156"/>
      <c r="F234" s="39"/>
    </row>
    <row r="235" spans="1:6">
      <c r="A235" s="22"/>
      <c r="B235" s="67"/>
      <c r="C235" s="12"/>
      <c r="D235" s="38"/>
      <c r="E235" s="39"/>
      <c r="F235" s="39"/>
    </row>
    <row r="236" spans="1:6">
      <c r="A236" s="43"/>
      <c r="B236" s="43"/>
      <c r="C236" s="44"/>
      <c r="D236" s="45"/>
      <c r="E236" s="46"/>
      <c r="F236" s="47"/>
    </row>
    <row r="237" spans="1:6">
      <c r="A237" s="22"/>
      <c r="B237" s="67"/>
      <c r="C237" s="12"/>
      <c r="D237" s="38"/>
      <c r="E237" s="156"/>
      <c r="F237" s="39"/>
    </row>
    <row r="238" spans="1:6">
      <c r="A238" s="22"/>
      <c r="B238" s="67"/>
      <c r="C238" s="12"/>
      <c r="D238" s="38"/>
      <c r="E238" s="39"/>
      <c r="F238" s="39"/>
    </row>
    <row r="239" spans="1:6">
      <c r="A239" s="43"/>
      <c r="B239" s="43"/>
      <c r="C239" s="44"/>
      <c r="D239" s="45"/>
      <c r="E239" s="46"/>
      <c r="F239" s="47"/>
    </row>
    <row r="240" spans="1:6">
      <c r="A240" s="22"/>
      <c r="B240" s="67"/>
      <c r="C240" s="12"/>
      <c r="D240" s="38"/>
      <c r="E240" s="156"/>
      <c r="F240" s="39"/>
    </row>
    <row r="241" spans="1:6">
      <c r="A241" s="22"/>
      <c r="B241" s="67"/>
      <c r="C241" s="12"/>
      <c r="D241" s="38"/>
      <c r="E241" s="39"/>
      <c r="F241" s="39"/>
    </row>
    <row r="242" spans="1:6">
      <c r="A242" s="43"/>
      <c r="B242" s="43"/>
      <c r="C242" s="44"/>
      <c r="D242" s="45"/>
      <c r="E242" s="46"/>
      <c r="F242" s="47"/>
    </row>
    <row r="243" spans="1:6">
      <c r="A243" s="22"/>
      <c r="B243" s="67"/>
      <c r="C243" s="12"/>
      <c r="D243" s="38"/>
      <c r="E243" s="156"/>
      <c r="F243" s="39"/>
    </row>
    <row r="244" spans="1:6">
      <c r="A244" s="22"/>
      <c r="B244" s="67"/>
      <c r="C244" s="12"/>
      <c r="D244" s="38"/>
      <c r="E244" s="39"/>
      <c r="F244" s="39"/>
    </row>
    <row r="245" spans="1:6">
      <c r="A245" s="43"/>
      <c r="B245" s="43"/>
      <c r="C245" s="44"/>
      <c r="D245" s="45"/>
      <c r="E245" s="46"/>
      <c r="F245" s="47"/>
    </row>
    <row r="246" spans="1:6">
      <c r="A246" s="22"/>
      <c r="B246" s="67"/>
      <c r="C246" s="12"/>
      <c r="D246" s="38"/>
      <c r="E246" s="156"/>
      <c r="F246" s="39"/>
    </row>
    <row r="247" spans="1:6">
      <c r="A247" s="22"/>
      <c r="B247" s="67"/>
      <c r="C247" s="12"/>
      <c r="D247" s="38"/>
      <c r="E247" s="39"/>
      <c r="F247" s="39"/>
    </row>
    <row r="248" spans="1:6">
      <c r="A248" s="43"/>
      <c r="B248" s="43"/>
      <c r="C248" s="44"/>
      <c r="D248" s="45"/>
      <c r="E248" s="46"/>
      <c r="F248" s="47"/>
    </row>
    <row r="249" spans="1:6">
      <c r="A249" s="22"/>
      <c r="B249" s="67"/>
      <c r="C249" s="12"/>
      <c r="D249" s="38"/>
      <c r="E249" s="156"/>
      <c r="F249" s="39"/>
    </row>
    <row r="250" spans="1:6">
      <c r="A250" s="22"/>
      <c r="B250" s="67"/>
      <c r="C250" s="12"/>
      <c r="D250" s="38"/>
      <c r="E250" s="39"/>
      <c r="F250" s="39"/>
    </row>
    <row r="251" spans="1:6">
      <c r="A251" s="43"/>
      <c r="B251" s="43"/>
      <c r="C251" s="44"/>
      <c r="D251" s="45"/>
      <c r="E251" s="46"/>
      <c r="F251" s="47"/>
    </row>
    <row r="252" spans="1:6">
      <c r="A252" s="22"/>
      <c r="B252" s="67"/>
      <c r="C252" s="12"/>
      <c r="D252" s="38"/>
      <c r="E252" s="156"/>
      <c r="F252" s="39"/>
    </row>
    <row r="253" spans="1:6">
      <c r="A253" s="22"/>
      <c r="B253" s="67"/>
      <c r="C253" s="12"/>
      <c r="D253" s="38"/>
      <c r="E253" s="39"/>
      <c r="F253" s="39"/>
    </row>
    <row r="254" spans="1:6">
      <c r="A254" s="43"/>
      <c r="B254" s="43"/>
      <c r="C254" s="44"/>
      <c r="D254" s="45"/>
      <c r="E254" s="46"/>
      <c r="F254" s="47"/>
    </row>
    <row r="255" spans="1:6">
      <c r="A255" s="22"/>
      <c r="B255" s="67"/>
      <c r="C255" s="12"/>
      <c r="D255" s="38"/>
      <c r="E255" s="156"/>
      <c r="F255" s="39"/>
    </row>
    <row r="256" spans="1:6">
      <c r="A256" s="22"/>
      <c r="B256" s="67"/>
      <c r="C256" s="12"/>
      <c r="D256" s="38"/>
      <c r="E256" s="39"/>
      <c r="F256" s="39"/>
    </row>
    <row r="257" spans="1:6">
      <c r="A257" s="43"/>
      <c r="B257" s="43"/>
      <c r="C257" s="44"/>
      <c r="D257" s="45"/>
      <c r="E257" s="46"/>
      <c r="F257" s="47"/>
    </row>
    <row r="258" spans="1:6">
      <c r="A258" s="22"/>
      <c r="B258" s="67"/>
      <c r="C258" s="12"/>
      <c r="D258" s="38"/>
      <c r="E258" s="156"/>
      <c r="F258" s="39"/>
    </row>
    <row r="259" spans="1:6">
      <c r="A259" s="22"/>
      <c r="B259" s="67"/>
      <c r="C259" s="12"/>
      <c r="D259" s="38"/>
      <c r="E259" s="39"/>
      <c r="F259" s="39"/>
    </row>
    <row r="260" spans="1:6">
      <c r="A260" s="43"/>
      <c r="B260" s="43"/>
      <c r="C260" s="44"/>
      <c r="D260" s="45"/>
      <c r="E260" s="46"/>
      <c r="F260" s="47"/>
    </row>
    <row r="261" spans="1:6">
      <c r="A261" s="22"/>
      <c r="B261" s="67"/>
      <c r="C261" s="12"/>
      <c r="D261" s="38"/>
      <c r="E261" s="156"/>
      <c r="F261" s="39"/>
    </row>
    <row r="262" spans="1:6">
      <c r="A262" s="22"/>
      <c r="B262" s="67"/>
      <c r="C262" s="12"/>
      <c r="D262" s="38"/>
      <c r="E262" s="39"/>
      <c r="F262" s="39"/>
    </row>
    <row r="263" spans="1:6">
      <c r="A263" s="43"/>
      <c r="B263" s="43"/>
      <c r="C263" s="44"/>
      <c r="D263" s="45"/>
      <c r="E263" s="46"/>
      <c r="F263" s="47"/>
    </row>
    <row r="264" spans="1:6">
      <c r="A264" s="22"/>
      <c r="B264" s="67"/>
      <c r="C264" s="12"/>
      <c r="D264" s="38"/>
      <c r="E264" s="156"/>
      <c r="F264" s="39"/>
    </row>
    <row r="265" spans="1:6">
      <c r="A265" s="22"/>
      <c r="B265" s="67"/>
      <c r="C265" s="12"/>
      <c r="D265" s="38"/>
      <c r="E265" s="39"/>
      <c r="F265" s="39"/>
    </row>
    <row r="266" spans="1:6">
      <c r="A266" s="43"/>
      <c r="B266" s="43"/>
      <c r="C266" s="44"/>
      <c r="D266" s="45"/>
      <c r="E266" s="46"/>
      <c r="F266" s="47"/>
    </row>
    <row r="267" spans="1:6">
      <c r="A267" s="22"/>
      <c r="B267" s="67"/>
      <c r="C267" s="12"/>
      <c r="D267" s="38"/>
      <c r="E267" s="156"/>
      <c r="F267" s="39"/>
    </row>
    <row r="268" spans="1:6">
      <c r="A268" s="22"/>
      <c r="B268" s="67"/>
      <c r="C268" s="12"/>
      <c r="D268" s="38"/>
      <c r="E268" s="39"/>
      <c r="F268" s="39"/>
    </row>
    <row r="269" spans="1:6">
      <c r="A269" s="43"/>
      <c r="B269" s="43"/>
      <c r="C269" s="44"/>
      <c r="D269" s="45"/>
      <c r="E269" s="46"/>
      <c r="F269" s="47"/>
    </row>
    <row r="270" spans="1:6">
      <c r="A270" s="22"/>
      <c r="B270" s="67"/>
      <c r="C270" s="12"/>
      <c r="D270" s="38"/>
      <c r="E270" s="156"/>
      <c r="F270" s="39"/>
    </row>
    <row r="271" spans="1:6">
      <c r="A271" s="22"/>
      <c r="B271" s="67"/>
      <c r="C271" s="12"/>
      <c r="D271" s="38"/>
      <c r="E271" s="39"/>
      <c r="F271" s="39"/>
    </row>
    <row r="272" spans="1:6">
      <c r="A272" s="43"/>
      <c r="B272" s="43"/>
      <c r="C272" s="44"/>
      <c r="D272" s="45"/>
      <c r="E272" s="46"/>
      <c r="F272" s="47"/>
    </row>
    <row r="273" spans="1:6">
      <c r="A273" s="22"/>
      <c r="B273" s="67"/>
      <c r="C273" s="12"/>
      <c r="D273" s="38"/>
      <c r="E273" s="156"/>
      <c r="F273" s="39"/>
    </row>
    <row r="274" spans="1:6">
      <c r="A274" s="22"/>
      <c r="B274" s="67"/>
      <c r="C274" s="12"/>
      <c r="D274" s="38"/>
      <c r="E274" s="39"/>
      <c r="F274" s="39"/>
    </row>
    <row r="275" spans="1:6">
      <c r="A275" s="43"/>
      <c r="B275" s="43"/>
      <c r="C275" s="44"/>
      <c r="D275" s="45"/>
      <c r="E275" s="46"/>
      <c r="F275" s="47"/>
    </row>
    <row r="276" spans="1:6">
      <c r="A276" s="22"/>
      <c r="B276" s="67"/>
      <c r="C276" s="12"/>
      <c r="D276" s="38"/>
      <c r="E276" s="156"/>
      <c r="F276" s="39"/>
    </row>
    <row r="277" spans="1:6">
      <c r="A277" s="22"/>
      <c r="B277" s="67"/>
      <c r="C277" s="12"/>
      <c r="D277" s="38"/>
      <c r="E277" s="39"/>
      <c r="F277" s="39"/>
    </row>
    <row r="278" spans="1:6">
      <c r="A278" s="43"/>
      <c r="B278" s="43"/>
      <c r="C278" s="44"/>
      <c r="D278" s="45"/>
      <c r="E278" s="46"/>
      <c r="F278" s="47"/>
    </row>
    <row r="279" spans="1:6">
      <c r="A279" s="22"/>
      <c r="B279" s="67"/>
      <c r="C279" s="12"/>
      <c r="D279" s="38"/>
      <c r="E279" s="156"/>
      <c r="F279" s="39"/>
    </row>
    <row r="280" spans="1:6">
      <c r="A280" s="22"/>
      <c r="B280" s="67"/>
      <c r="C280" s="12"/>
      <c r="D280" s="38"/>
      <c r="E280" s="39"/>
      <c r="F280" s="39"/>
    </row>
    <row r="281" spans="1:6">
      <c r="A281" s="43"/>
      <c r="B281" s="43"/>
      <c r="C281" s="44"/>
      <c r="D281" s="45"/>
      <c r="E281" s="46"/>
      <c r="F281" s="47"/>
    </row>
    <row r="282" spans="1:6">
      <c r="A282" s="22"/>
      <c r="B282" s="67"/>
      <c r="C282" s="12"/>
      <c r="D282" s="38"/>
      <c r="E282" s="156"/>
      <c r="F282" s="39"/>
    </row>
    <row r="283" spans="1:6">
      <c r="A283" s="22"/>
      <c r="B283" s="67"/>
      <c r="C283" s="12"/>
      <c r="D283" s="38"/>
      <c r="E283" s="39"/>
      <c r="F283" s="39"/>
    </row>
    <row r="284" spans="1:6">
      <c r="A284" s="43"/>
      <c r="B284" s="43"/>
      <c r="C284" s="44"/>
      <c r="D284" s="45"/>
      <c r="E284" s="46"/>
      <c r="F284" s="47"/>
    </row>
    <row r="285" spans="1:6">
      <c r="A285" s="22"/>
      <c r="B285" s="67"/>
      <c r="C285" s="12"/>
      <c r="D285" s="38"/>
      <c r="E285" s="156"/>
      <c r="F285" s="39"/>
    </row>
    <row r="286" spans="1:6">
      <c r="A286" s="22"/>
      <c r="B286" s="67"/>
      <c r="C286" s="12"/>
      <c r="D286" s="38"/>
      <c r="E286" s="39"/>
      <c r="F286" s="39"/>
    </row>
    <row r="287" spans="1:6">
      <c r="A287" s="43"/>
      <c r="B287" s="43"/>
      <c r="C287" s="44"/>
      <c r="D287" s="45"/>
      <c r="E287" s="46"/>
      <c r="F287" s="47"/>
    </row>
    <row r="288" spans="1:6">
      <c r="A288" s="22"/>
      <c r="B288" s="67"/>
      <c r="C288" s="12"/>
      <c r="D288" s="38"/>
      <c r="E288" s="156"/>
      <c r="F288" s="39"/>
    </row>
    <row r="289" spans="1:6">
      <c r="A289" s="22"/>
      <c r="B289" s="67"/>
      <c r="C289" s="12"/>
      <c r="D289" s="38"/>
      <c r="E289" s="39"/>
      <c r="F289" s="39"/>
    </row>
    <row r="290" spans="1:6">
      <c r="A290" s="43"/>
      <c r="B290" s="43"/>
      <c r="C290" s="44"/>
      <c r="D290" s="45"/>
      <c r="E290" s="46"/>
      <c r="F290" s="47"/>
    </row>
    <row r="291" spans="1:6">
      <c r="A291" s="22"/>
      <c r="B291" s="67"/>
      <c r="C291" s="12"/>
      <c r="D291" s="38"/>
      <c r="E291" s="156"/>
      <c r="F291" s="39"/>
    </row>
    <row r="292" spans="1:6">
      <c r="A292" s="22"/>
      <c r="B292" s="67"/>
      <c r="C292" s="12"/>
      <c r="D292" s="38"/>
      <c r="E292" s="39"/>
      <c r="F292" s="39"/>
    </row>
    <row r="293" spans="1:6">
      <c r="A293" s="43"/>
      <c r="B293" s="43"/>
      <c r="C293" s="44"/>
      <c r="D293" s="45"/>
      <c r="E293" s="46"/>
      <c r="F293" s="47"/>
    </row>
    <row r="294" spans="1:6">
      <c r="A294" s="22"/>
      <c r="B294" s="67"/>
      <c r="C294" s="12"/>
      <c r="D294" s="38"/>
      <c r="E294" s="156"/>
      <c r="F294" s="39"/>
    </row>
    <row r="295" spans="1:6">
      <c r="A295" s="22"/>
      <c r="B295" s="67"/>
      <c r="C295" s="12"/>
      <c r="D295" s="38"/>
      <c r="E295" s="39"/>
      <c r="F295" s="39"/>
    </row>
    <row r="296" spans="1:6">
      <c r="A296" s="43"/>
      <c r="B296" s="43"/>
      <c r="C296" s="44"/>
      <c r="D296" s="45"/>
      <c r="E296" s="46"/>
      <c r="F296" s="47"/>
    </row>
    <row r="297" spans="1:6">
      <c r="A297" s="22"/>
      <c r="B297" s="67"/>
      <c r="C297" s="12"/>
      <c r="D297" s="38"/>
      <c r="E297" s="156"/>
      <c r="F297" s="39"/>
    </row>
    <row r="298" spans="1:6">
      <c r="A298" s="22"/>
      <c r="B298" s="67"/>
      <c r="C298" s="12"/>
      <c r="D298" s="38"/>
      <c r="E298" s="39"/>
      <c r="F298" s="39"/>
    </row>
    <row r="299" spans="1:6">
      <c r="A299" s="43"/>
      <c r="B299" s="43"/>
      <c r="C299" s="44"/>
      <c r="D299" s="45"/>
      <c r="E299" s="46"/>
      <c r="F299" s="47"/>
    </row>
    <row r="300" spans="1:6">
      <c r="A300" s="22"/>
      <c r="B300" s="67"/>
      <c r="C300" s="12"/>
      <c r="D300" s="38"/>
      <c r="E300" s="156"/>
      <c r="F300" s="39"/>
    </row>
    <row r="301" spans="1:6">
      <c r="A301" s="22"/>
      <c r="B301" s="67"/>
      <c r="C301" s="12"/>
      <c r="D301" s="38"/>
      <c r="E301" s="39"/>
      <c r="F301" s="39"/>
    </row>
    <row r="302" spans="1:6">
      <c r="A302" s="43"/>
      <c r="B302" s="43"/>
      <c r="C302" s="44"/>
      <c r="D302" s="45"/>
      <c r="E302" s="46"/>
      <c r="F302" s="47"/>
    </row>
    <row r="303" spans="1:6">
      <c r="A303" s="22"/>
      <c r="B303" s="67"/>
      <c r="C303" s="12"/>
      <c r="D303" s="38"/>
      <c r="E303" s="156"/>
      <c r="F303" s="39"/>
    </row>
    <row r="304" spans="1:6">
      <c r="A304" s="22"/>
      <c r="B304" s="67"/>
      <c r="C304" s="12"/>
      <c r="D304" s="38"/>
      <c r="E304" s="39"/>
      <c r="F304" s="39"/>
    </row>
    <row r="305" spans="1:6">
      <c r="A305" s="43"/>
      <c r="B305" s="43"/>
      <c r="C305" s="44"/>
      <c r="D305" s="45"/>
      <c r="E305" s="46"/>
      <c r="F305" s="47"/>
    </row>
    <row r="306" spans="1:6">
      <c r="A306" s="22"/>
      <c r="B306" s="67"/>
      <c r="C306" s="12"/>
      <c r="D306" s="38"/>
      <c r="E306" s="156"/>
      <c r="F306" s="39"/>
    </row>
    <row r="307" spans="1:6">
      <c r="A307" s="22"/>
      <c r="B307" s="67"/>
      <c r="C307" s="12"/>
      <c r="D307" s="38"/>
      <c r="E307" s="39"/>
      <c r="F307" s="39"/>
    </row>
    <row r="308" spans="1:6">
      <c r="A308" s="43"/>
      <c r="B308" s="43"/>
      <c r="C308" s="44"/>
      <c r="D308" s="45"/>
      <c r="E308" s="46"/>
      <c r="F308" s="47"/>
    </row>
    <row r="309" spans="1:6">
      <c r="A309" s="22"/>
      <c r="B309" s="67"/>
      <c r="C309" s="12"/>
      <c r="D309" s="38"/>
      <c r="E309" s="156"/>
      <c r="F309" s="39"/>
    </row>
    <row r="310" spans="1:6">
      <c r="A310" s="22"/>
      <c r="B310" s="67"/>
      <c r="C310" s="12"/>
      <c r="D310" s="38"/>
      <c r="E310" s="39"/>
      <c r="F310" s="39"/>
    </row>
    <row r="311" spans="1:6">
      <c r="A311" s="43"/>
      <c r="B311" s="43"/>
      <c r="C311" s="44"/>
      <c r="D311" s="45"/>
      <c r="E311" s="46"/>
      <c r="F311" s="47"/>
    </row>
    <row r="312" spans="1:6">
      <c r="A312" s="22"/>
      <c r="B312" s="67"/>
      <c r="C312" s="12"/>
      <c r="D312" s="38"/>
      <c r="E312" s="156"/>
      <c r="F312" s="39"/>
    </row>
    <row r="313" spans="1:6">
      <c r="A313" s="22"/>
      <c r="B313" s="67"/>
      <c r="C313" s="12"/>
      <c r="D313" s="38"/>
      <c r="E313" s="39"/>
      <c r="F313" s="39"/>
    </row>
    <row r="314" spans="1:6">
      <c r="A314" s="43"/>
      <c r="B314" s="43"/>
      <c r="C314" s="44"/>
      <c r="D314" s="45"/>
      <c r="E314" s="46"/>
      <c r="F314" s="47"/>
    </row>
    <row r="315" spans="1:6">
      <c r="A315" s="22"/>
      <c r="B315" s="67"/>
      <c r="C315" s="12"/>
      <c r="D315" s="38"/>
      <c r="E315" s="156"/>
      <c r="F315" s="39"/>
    </row>
    <row r="316" spans="1:6">
      <c r="A316" s="22"/>
      <c r="B316" s="67"/>
      <c r="C316" s="12"/>
      <c r="D316" s="38"/>
      <c r="E316" s="39"/>
      <c r="F316" s="39"/>
    </row>
    <row r="317" spans="1:6">
      <c r="A317" s="43"/>
      <c r="B317" s="43"/>
      <c r="C317" s="44"/>
      <c r="D317" s="45"/>
      <c r="E317" s="46"/>
      <c r="F317" s="47"/>
    </row>
    <row r="318" spans="1:6">
      <c r="A318" s="22"/>
      <c r="B318" s="67"/>
      <c r="C318" s="12"/>
      <c r="D318" s="38"/>
      <c r="E318" s="156"/>
      <c r="F318" s="39"/>
    </row>
    <row r="319" spans="1:6">
      <c r="A319" s="22"/>
      <c r="B319" s="67"/>
      <c r="C319" s="12"/>
      <c r="D319" s="38"/>
      <c r="E319" s="39"/>
      <c r="F319" s="39"/>
    </row>
    <row r="320" spans="1:6">
      <c r="A320" s="43"/>
      <c r="B320" s="43"/>
      <c r="C320" s="44"/>
      <c r="D320" s="45"/>
      <c r="E320" s="46"/>
      <c r="F320" s="47"/>
    </row>
    <row r="321" spans="1:6">
      <c r="A321" s="22"/>
      <c r="B321" s="67"/>
      <c r="C321" s="12"/>
      <c r="D321" s="38"/>
      <c r="E321" s="156"/>
      <c r="F321" s="39"/>
    </row>
    <row r="322" spans="1:6">
      <c r="A322" s="22"/>
      <c r="B322" s="67"/>
      <c r="C322" s="12"/>
      <c r="D322" s="38"/>
      <c r="E322" s="39"/>
      <c r="F322" s="39"/>
    </row>
    <row r="323" spans="1:6">
      <c r="A323" s="43"/>
      <c r="B323" s="43"/>
      <c r="C323" s="44"/>
      <c r="D323" s="45"/>
      <c r="E323" s="46"/>
      <c r="F323" s="47"/>
    </row>
    <row r="324" spans="1:6">
      <c r="A324" s="22"/>
      <c r="B324" s="67"/>
      <c r="C324" s="12"/>
      <c r="D324" s="38"/>
      <c r="E324" s="156"/>
      <c r="F324" s="39"/>
    </row>
    <row r="325" spans="1:6">
      <c r="A325" s="22"/>
      <c r="B325" s="67"/>
      <c r="C325" s="12"/>
      <c r="D325" s="38"/>
      <c r="E325" s="39"/>
      <c r="F325" s="39"/>
    </row>
    <row r="326" spans="1:6">
      <c r="A326" s="43"/>
      <c r="B326" s="43"/>
      <c r="C326" s="44"/>
      <c r="D326" s="45"/>
      <c r="E326" s="46"/>
      <c r="F326" s="47"/>
    </row>
    <row r="327" spans="1:6">
      <c r="A327" s="22"/>
      <c r="B327" s="67"/>
      <c r="C327" s="12"/>
      <c r="D327" s="38"/>
      <c r="E327" s="156"/>
      <c r="F327" s="39"/>
    </row>
    <row r="328" spans="1:6">
      <c r="A328" s="22"/>
      <c r="B328" s="67"/>
      <c r="C328" s="12"/>
      <c r="D328" s="38"/>
      <c r="E328" s="39"/>
      <c r="F328" s="39"/>
    </row>
    <row r="329" spans="1:6">
      <c r="A329" s="43"/>
      <c r="B329" s="43"/>
      <c r="C329" s="44"/>
      <c r="D329" s="45"/>
      <c r="E329" s="46"/>
      <c r="F329" s="47"/>
    </row>
    <row r="330" spans="1:6">
      <c r="A330" s="22"/>
      <c r="B330" s="67"/>
      <c r="C330" s="12"/>
      <c r="D330" s="38"/>
      <c r="E330" s="156"/>
      <c r="F330" s="39"/>
    </row>
    <row r="331" spans="1:6">
      <c r="A331" s="22"/>
      <c r="B331" s="67"/>
      <c r="C331" s="12"/>
      <c r="D331" s="38"/>
      <c r="E331" s="39"/>
      <c r="F331" s="39"/>
    </row>
    <row r="332" spans="1:6">
      <c r="A332" s="43"/>
      <c r="B332" s="43"/>
      <c r="C332" s="44"/>
      <c r="D332" s="45"/>
      <c r="E332" s="46"/>
      <c r="F332" s="47"/>
    </row>
    <row r="333" spans="1:6">
      <c r="A333" s="22"/>
      <c r="B333" s="67"/>
      <c r="C333" s="12"/>
      <c r="D333" s="38"/>
      <c r="E333" s="156"/>
      <c r="F333" s="39"/>
    </row>
    <row r="334" spans="1:6">
      <c r="A334" s="22"/>
      <c r="B334" s="67"/>
      <c r="C334" s="12"/>
      <c r="D334" s="38"/>
      <c r="E334" s="39"/>
      <c r="F334" s="39"/>
    </row>
    <row r="335" spans="1:6">
      <c r="A335" s="43"/>
      <c r="B335" s="43"/>
      <c r="C335" s="44"/>
      <c r="D335" s="45"/>
      <c r="E335" s="46"/>
      <c r="F335" s="47"/>
    </row>
    <row r="336" spans="1:6">
      <c r="A336" s="22"/>
      <c r="B336" s="67"/>
      <c r="C336" s="12"/>
      <c r="D336" s="38"/>
      <c r="E336" s="156"/>
      <c r="F336" s="39"/>
    </row>
    <row r="337" spans="1:6">
      <c r="A337" s="22"/>
      <c r="B337" s="67"/>
      <c r="C337" s="12"/>
      <c r="D337" s="38"/>
      <c r="E337" s="39"/>
      <c r="F337" s="39"/>
    </row>
    <row r="338" spans="1:6">
      <c r="A338" s="43"/>
      <c r="B338" s="43"/>
      <c r="C338" s="44"/>
      <c r="D338" s="45"/>
      <c r="E338" s="46"/>
      <c r="F338" s="47"/>
    </row>
    <row r="339" spans="1:6">
      <c r="A339" s="22"/>
      <c r="B339" s="67"/>
      <c r="C339" s="12"/>
      <c r="D339" s="38"/>
      <c r="E339" s="156"/>
      <c r="F339" s="39"/>
    </row>
    <row r="340" spans="1:6">
      <c r="A340" s="22"/>
      <c r="B340" s="67"/>
      <c r="C340" s="12"/>
      <c r="D340" s="38"/>
      <c r="E340" s="39"/>
      <c r="F340" s="39"/>
    </row>
    <row r="341" spans="1:6">
      <c r="A341" s="43"/>
      <c r="B341" s="43"/>
      <c r="C341" s="44"/>
      <c r="D341" s="45"/>
      <c r="E341" s="46"/>
      <c r="F341" s="47"/>
    </row>
    <row r="342" spans="1:6">
      <c r="A342" s="22"/>
      <c r="B342" s="67"/>
      <c r="C342" s="12"/>
      <c r="D342" s="38"/>
      <c r="E342" s="156"/>
      <c r="F342" s="39"/>
    </row>
    <row r="343" spans="1:6">
      <c r="A343" s="22"/>
      <c r="B343" s="67"/>
      <c r="C343" s="12"/>
      <c r="D343" s="38"/>
      <c r="E343" s="39"/>
      <c r="F343" s="39"/>
    </row>
    <row r="344" spans="1:6">
      <c r="A344" s="43"/>
      <c r="B344" s="43"/>
      <c r="C344" s="44"/>
      <c r="D344" s="45"/>
      <c r="E344" s="46"/>
      <c r="F344" s="47"/>
    </row>
    <row r="345" spans="1:6">
      <c r="A345" s="22"/>
      <c r="B345" s="67"/>
      <c r="C345" s="12"/>
      <c r="D345" s="38"/>
      <c r="E345" s="156"/>
      <c r="F345" s="39"/>
    </row>
    <row r="346" spans="1:6">
      <c r="A346" s="22"/>
      <c r="B346" s="67"/>
      <c r="C346" s="12"/>
      <c r="D346" s="38"/>
      <c r="E346" s="39"/>
      <c r="F346" s="39"/>
    </row>
    <row r="347" spans="1:6">
      <c r="A347" s="43"/>
      <c r="B347" s="43"/>
      <c r="C347" s="44"/>
      <c r="D347" s="45"/>
      <c r="E347" s="46"/>
      <c r="F347" s="47"/>
    </row>
    <row r="348" spans="1:6">
      <c r="A348" s="22"/>
      <c r="B348" s="67"/>
      <c r="C348" s="12"/>
      <c r="D348" s="38"/>
      <c r="E348" s="156"/>
      <c r="F348" s="39"/>
    </row>
    <row r="349" spans="1:6">
      <c r="A349" s="22"/>
      <c r="B349" s="67"/>
      <c r="C349" s="12"/>
      <c r="D349" s="38"/>
      <c r="E349" s="39"/>
      <c r="F349" s="39"/>
    </row>
    <row r="350" spans="1:6">
      <c r="A350" s="43"/>
      <c r="B350" s="43"/>
      <c r="C350" s="44"/>
      <c r="D350" s="45"/>
      <c r="E350" s="46"/>
      <c r="F350" s="47"/>
    </row>
    <row r="351" spans="1:6">
      <c r="A351" s="22"/>
      <c r="B351" s="67"/>
      <c r="C351" s="12"/>
      <c r="D351" s="38"/>
      <c r="E351" s="156"/>
      <c r="F351" s="39"/>
    </row>
    <row r="352" spans="1:6">
      <c r="A352" s="22"/>
      <c r="B352" s="67"/>
      <c r="C352" s="12"/>
      <c r="D352" s="38"/>
      <c r="E352" s="39"/>
      <c r="F352" s="39"/>
    </row>
    <row r="353" spans="1:6">
      <c r="A353" s="43"/>
      <c r="B353" s="43"/>
      <c r="C353" s="44"/>
      <c r="D353" s="45"/>
      <c r="E353" s="46"/>
      <c r="F353" s="47"/>
    </row>
    <row r="354" spans="1:6">
      <c r="A354" s="22"/>
      <c r="B354" s="67"/>
      <c r="C354" s="12"/>
      <c r="D354" s="38"/>
      <c r="E354" s="156"/>
      <c r="F354" s="39"/>
    </row>
    <row r="355" spans="1:6">
      <c r="A355" s="22"/>
      <c r="B355" s="67"/>
      <c r="C355" s="12"/>
      <c r="D355" s="38"/>
      <c r="E355" s="39"/>
      <c r="F355" s="39"/>
    </row>
    <row r="356" spans="1:6">
      <c r="A356" s="43"/>
      <c r="B356" s="43"/>
      <c r="C356" s="44"/>
      <c r="D356" s="45"/>
      <c r="E356" s="46"/>
      <c r="F356" s="47"/>
    </row>
    <row r="357" spans="1:6">
      <c r="A357" s="22"/>
      <c r="B357" s="67"/>
      <c r="C357" s="12"/>
      <c r="D357" s="38"/>
      <c r="E357" s="156"/>
      <c r="F357" s="39"/>
    </row>
    <row r="358" spans="1:6">
      <c r="A358" s="22"/>
      <c r="B358" s="67"/>
      <c r="C358" s="12"/>
      <c r="D358" s="38"/>
      <c r="E358" s="39"/>
      <c r="F358" s="39"/>
    </row>
    <row r="359" spans="1:6">
      <c r="A359" s="43"/>
      <c r="B359" s="43"/>
      <c r="C359" s="44"/>
      <c r="D359" s="45"/>
      <c r="E359" s="46"/>
      <c r="F359" s="47"/>
    </row>
    <row r="360" spans="1:6">
      <c r="A360" s="22"/>
      <c r="B360" s="67"/>
      <c r="C360" s="12"/>
      <c r="D360" s="38"/>
      <c r="E360" s="156"/>
      <c r="F360" s="39"/>
    </row>
    <row r="361" spans="1:6">
      <c r="A361" s="22"/>
      <c r="B361" s="67"/>
      <c r="C361" s="12"/>
      <c r="D361" s="38"/>
      <c r="E361" s="39"/>
      <c r="F361" s="39"/>
    </row>
    <row r="362" spans="1:6">
      <c r="A362" s="43"/>
      <c r="B362" s="43"/>
      <c r="C362" s="44"/>
      <c r="D362" s="45"/>
      <c r="E362" s="46"/>
      <c r="F362" s="47"/>
    </row>
    <row r="363" spans="1:6">
      <c r="A363" s="22"/>
      <c r="B363" s="67"/>
      <c r="C363" s="12"/>
      <c r="D363" s="38"/>
      <c r="E363" s="156"/>
      <c r="F363" s="39"/>
    </row>
    <row r="364" spans="1:6">
      <c r="A364" s="22"/>
      <c r="B364" s="67"/>
      <c r="C364" s="12"/>
      <c r="D364" s="38"/>
      <c r="E364" s="39"/>
      <c r="F364" s="39"/>
    </row>
    <row r="365" spans="1:6">
      <c r="A365" s="43"/>
      <c r="B365" s="43"/>
      <c r="C365" s="44"/>
      <c r="D365" s="45"/>
      <c r="E365" s="46"/>
      <c r="F365" s="47"/>
    </row>
    <row r="366" spans="1:6">
      <c r="A366" s="22"/>
      <c r="B366" s="67"/>
      <c r="C366" s="12"/>
      <c r="D366" s="38"/>
      <c r="E366" s="156"/>
      <c r="F366" s="39"/>
    </row>
    <row r="367" spans="1:6">
      <c r="A367" s="22"/>
      <c r="B367" s="67"/>
      <c r="C367" s="12"/>
      <c r="D367" s="38"/>
      <c r="E367" s="39"/>
      <c r="F367" s="39"/>
    </row>
    <row r="368" spans="1:6">
      <c r="A368" s="43"/>
      <c r="B368" s="43"/>
      <c r="C368" s="44"/>
      <c r="D368" s="45"/>
      <c r="E368" s="46"/>
      <c r="F368" s="47"/>
    </row>
    <row r="369" spans="1:6">
      <c r="A369" s="22"/>
      <c r="B369" s="67"/>
      <c r="C369" s="12"/>
      <c r="D369" s="38"/>
      <c r="E369" s="156"/>
      <c r="F369" s="39"/>
    </row>
    <row r="370" spans="1:6">
      <c r="A370" s="22"/>
      <c r="B370" s="67"/>
      <c r="C370" s="12"/>
      <c r="D370" s="38"/>
      <c r="E370" s="39"/>
      <c r="F370" s="39"/>
    </row>
    <row r="371" spans="1:6">
      <c r="A371" s="43"/>
      <c r="B371" s="43"/>
      <c r="C371" s="44"/>
      <c r="D371" s="45"/>
      <c r="E371" s="46"/>
      <c r="F371" s="47"/>
    </row>
    <row r="372" spans="1:6">
      <c r="A372" s="22"/>
      <c r="B372" s="67"/>
      <c r="C372" s="12"/>
      <c r="D372" s="38"/>
      <c r="E372" s="156"/>
      <c r="F372" s="39"/>
    </row>
    <row r="373" spans="1:6">
      <c r="A373" s="22"/>
      <c r="B373" s="67"/>
      <c r="C373" s="12"/>
      <c r="D373" s="38"/>
      <c r="E373" s="39"/>
      <c r="F373" s="39"/>
    </row>
    <row r="374" spans="1:6">
      <c r="A374" s="43"/>
      <c r="B374" s="43"/>
      <c r="C374" s="44"/>
      <c r="D374" s="45"/>
      <c r="E374" s="46"/>
      <c r="F374" s="47"/>
    </row>
    <row r="375" spans="1:6">
      <c r="A375" s="22"/>
      <c r="B375" s="67"/>
      <c r="C375" s="12"/>
      <c r="D375" s="38"/>
      <c r="E375" s="156"/>
      <c r="F375" s="39"/>
    </row>
    <row r="376" spans="1:6">
      <c r="A376" s="22"/>
      <c r="B376" s="67"/>
      <c r="C376" s="12"/>
      <c r="D376" s="38"/>
      <c r="E376" s="39"/>
      <c r="F376" s="39"/>
    </row>
    <row r="377" spans="1:6">
      <c r="A377" s="43"/>
      <c r="B377" s="43"/>
      <c r="C377" s="44"/>
      <c r="D377" s="45"/>
      <c r="E377" s="46"/>
      <c r="F377" s="47"/>
    </row>
    <row r="378" spans="1:6">
      <c r="A378" s="22"/>
      <c r="B378" s="67"/>
      <c r="C378" s="12"/>
      <c r="D378" s="38"/>
      <c r="E378" s="156"/>
      <c r="F378" s="39"/>
    </row>
    <row r="379" spans="1:6">
      <c r="A379" s="22"/>
      <c r="B379" s="67"/>
      <c r="C379" s="12"/>
      <c r="D379" s="38"/>
      <c r="E379" s="39"/>
      <c r="F379" s="39"/>
    </row>
    <row r="380" spans="1:6">
      <c r="A380" s="43"/>
      <c r="B380" s="43"/>
      <c r="C380" s="44"/>
      <c r="D380" s="45"/>
      <c r="E380" s="46"/>
      <c r="F380" s="47"/>
    </row>
    <row r="381" spans="1:6">
      <c r="A381" s="22"/>
      <c r="B381" s="67"/>
      <c r="C381" s="12"/>
      <c r="D381" s="38"/>
      <c r="E381" s="156"/>
      <c r="F381" s="39"/>
    </row>
    <row r="382" spans="1:6">
      <c r="A382" s="22"/>
      <c r="B382" s="67"/>
      <c r="C382" s="12"/>
      <c r="D382" s="38"/>
      <c r="E382" s="39"/>
      <c r="F382" s="39"/>
    </row>
    <row r="383" spans="1:6">
      <c r="A383" s="43"/>
      <c r="B383" s="43"/>
      <c r="C383" s="44"/>
      <c r="D383" s="45"/>
      <c r="E383" s="46"/>
      <c r="F383" s="47"/>
    </row>
    <row r="384" spans="1:6">
      <c r="A384" s="22"/>
      <c r="B384" s="67"/>
      <c r="C384" s="12"/>
      <c r="D384" s="38"/>
      <c r="E384" s="156"/>
      <c r="F384" s="39"/>
    </row>
    <row r="385" spans="1:6">
      <c r="A385" s="22"/>
      <c r="B385" s="67"/>
      <c r="C385" s="12"/>
      <c r="D385" s="38"/>
      <c r="E385" s="39"/>
      <c r="F385" s="39"/>
    </row>
    <row r="386" spans="1:6">
      <c r="A386" s="43"/>
      <c r="B386" s="43"/>
      <c r="C386" s="44"/>
      <c r="D386" s="45"/>
      <c r="E386" s="46"/>
      <c r="F386" s="47"/>
    </row>
    <row r="387" spans="1:6">
      <c r="A387" s="22"/>
      <c r="B387" s="67"/>
      <c r="C387" s="12"/>
      <c r="D387" s="38"/>
      <c r="E387" s="156"/>
      <c r="F387" s="39"/>
    </row>
    <row r="388" spans="1:6">
      <c r="A388" s="22"/>
      <c r="B388" s="67"/>
      <c r="C388" s="12"/>
      <c r="D388" s="38"/>
      <c r="E388" s="39"/>
      <c r="F388" s="39"/>
    </row>
    <row r="389" spans="1:6">
      <c r="A389" s="43"/>
      <c r="B389" s="43"/>
      <c r="C389" s="44"/>
      <c r="D389" s="45"/>
      <c r="E389" s="46"/>
      <c r="F389" s="47"/>
    </row>
    <row r="390" spans="1:6">
      <c r="A390" s="22"/>
      <c r="B390" s="67"/>
      <c r="C390" s="12"/>
      <c r="D390" s="38"/>
      <c r="E390" s="156"/>
      <c r="F390" s="39"/>
    </row>
    <row r="391" spans="1:6">
      <c r="A391" s="22"/>
      <c r="B391" s="67"/>
      <c r="C391" s="12"/>
      <c r="D391" s="38"/>
      <c r="E391" s="39"/>
      <c r="F391" s="39"/>
    </row>
    <row r="392" spans="1:6">
      <c r="A392" s="43"/>
      <c r="B392" s="43"/>
      <c r="C392" s="44"/>
      <c r="D392" s="45"/>
      <c r="E392" s="46"/>
      <c r="F392" s="47"/>
    </row>
    <row r="393" spans="1:6">
      <c r="A393" s="22"/>
      <c r="B393" s="67"/>
      <c r="C393" s="12"/>
      <c r="D393" s="38"/>
      <c r="E393" s="156"/>
      <c r="F393" s="39"/>
    </row>
    <row r="394" spans="1:6">
      <c r="A394" s="22"/>
      <c r="B394" s="67"/>
      <c r="C394" s="12"/>
      <c r="D394" s="38"/>
      <c r="E394" s="39"/>
      <c r="F394" s="39"/>
    </row>
    <row r="395" spans="1:6">
      <c r="A395" s="43"/>
      <c r="B395" s="43"/>
      <c r="C395" s="44"/>
      <c r="D395" s="45"/>
      <c r="E395" s="46"/>
      <c r="F395" s="47"/>
    </row>
    <row r="396" spans="1:6">
      <c r="A396" s="22"/>
      <c r="B396" s="67"/>
      <c r="C396" s="12"/>
      <c r="D396" s="38"/>
      <c r="E396" s="156"/>
      <c r="F396" s="39"/>
    </row>
    <row r="397" spans="1:6">
      <c r="A397" s="22"/>
      <c r="B397" s="67"/>
      <c r="C397" s="12"/>
      <c r="D397" s="38"/>
      <c r="E397" s="39"/>
      <c r="F397" s="39"/>
    </row>
    <row r="398" spans="1:6">
      <c r="A398" s="43"/>
      <c r="B398" s="43"/>
      <c r="C398" s="44"/>
      <c r="D398" s="45"/>
      <c r="E398" s="46"/>
      <c r="F398" s="47"/>
    </row>
    <row r="399" spans="1:6">
      <c r="A399" s="22"/>
      <c r="B399" s="67"/>
      <c r="C399" s="12"/>
      <c r="D399" s="38"/>
      <c r="E399" s="156"/>
      <c r="F399" s="39"/>
    </row>
    <row r="400" spans="1:6">
      <c r="A400" s="22"/>
      <c r="B400" s="67"/>
      <c r="C400" s="12"/>
      <c r="D400" s="38"/>
      <c r="E400" s="39"/>
      <c r="F400" s="39"/>
    </row>
  </sheetData>
  <sheetProtection algorithmName="SHA-512" hashValue="A6CRBTE7DKcthera7DuTGQGu1XZ9krtNVhIhxPMO8YnfHmvaF7aq+TZR047tog+La4hr5gH46e6E7Mql9iKhMw==" saltValue="VZqYiVTluuvh/se5rQ+jsA=="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39997558519241921"/>
  </sheetPr>
  <dimension ref="A1:G251"/>
  <sheetViews>
    <sheetView zoomScale="90" zoomScaleNormal="90" zoomScaleSheetLayoutView="100" workbookViewId="0">
      <selection activeCell="E8" sqref="E8:E14"/>
    </sheetView>
  </sheetViews>
  <sheetFormatPr defaultColWidth="8.6640625" defaultRowHeight="13.2"/>
  <cols>
    <col min="1" max="1" width="6.6640625" style="10" customWidth="1"/>
    <col min="2" max="2" width="57.6640625" style="10" customWidth="1"/>
    <col min="3" max="3" width="10.6640625" style="12" customWidth="1"/>
    <col min="4" max="5" width="10.6640625" style="10" customWidth="1"/>
    <col min="6" max="6" width="12.6640625" style="10" customWidth="1"/>
    <col min="7" max="16384" width="8.6640625" style="10"/>
  </cols>
  <sheetData>
    <row r="1" spans="1:7" ht="13.8" thickBot="1">
      <c r="A1" s="867" t="s">
        <v>71</v>
      </c>
      <c r="B1" s="868" t="s">
        <v>70</v>
      </c>
      <c r="C1" s="881"/>
      <c r="D1" s="876"/>
      <c r="E1" s="871"/>
      <c r="F1" s="871"/>
    </row>
    <row r="2" spans="1:7">
      <c r="D2" s="13"/>
      <c r="E2" s="14"/>
      <c r="F2" s="14"/>
    </row>
    <row r="3" spans="1:7" s="20" customFormat="1" ht="14.25" customHeight="1">
      <c r="A3" s="1527" t="s">
        <v>145</v>
      </c>
      <c r="B3" s="1528" t="s">
        <v>146</v>
      </c>
      <c r="C3" s="1529" t="s">
        <v>147</v>
      </c>
      <c r="D3" s="1532" t="s">
        <v>148</v>
      </c>
      <c r="E3" s="1532" t="s">
        <v>149</v>
      </c>
      <c r="F3" s="1532"/>
      <c r="G3" s="1537" t="s">
        <v>2523</v>
      </c>
    </row>
    <row r="4" spans="1:7" s="20" customFormat="1">
      <c r="A4" s="1527"/>
      <c r="B4" s="1528"/>
      <c r="C4" s="1530"/>
      <c r="D4" s="1532"/>
      <c r="E4" s="1532"/>
      <c r="F4" s="1532"/>
      <c r="G4" s="1537"/>
    </row>
    <row r="5" spans="1:7" s="20" customFormat="1">
      <c r="A5" s="1527"/>
      <c r="B5" s="1528"/>
      <c r="C5" s="1531"/>
      <c r="D5" s="1532"/>
      <c r="E5" s="49" t="s">
        <v>150</v>
      </c>
      <c r="F5" s="50" t="s">
        <v>151</v>
      </c>
      <c r="G5" s="1537"/>
    </row>
    <row r="6" spans="1:7" s="20" customFormat="1">
      <c r="A6" s="52"/>
      <c r="B6" s="53"/>
      <c r="C6" s="54"/>
      <c r="D6" s="55"/>
      <c r="E6" s="56"/>
      <c r="F6" s="57"/>
    </row>
    <row r="7" spans="1:7" ht="92.4">
      <c r="A7" s="43">
        <v>1</v>
      </c>
      <c r="B7" s="67" t="s">
        <v>220</v>
      </c>
      <c r="D7" s="38"/>
      <c r="E7" s="39"/>
      <c r="F7" s="39"/>
    </row>
    <row r="8" spans="1:7" ht="15">
      <c r="A8" s="22" t="s">
        <v>12</v>
      </c>
      <c r="B8" s="67" t="s">
        <v>69</v>
      </c>
      <c r="C8" s="60" t="s">
        <v>173</v>
      </c>
      <c r="D8" s="61">
        <v>825</v>
      </c>
      <c r="E8" s="1316">
        <f>'[1]B_XI_ SOBOSLIKARSKI RADOVI'!E8</f>
        <v>8</v>
      </c>
      <c r="F8" s="62">
        <f>SUM(D8*E8)</f>
        <v>6600</v>
      </c>
    </row>
    <row r="9" spans="1:7" ht="15">
      <c r="A9" s="22" t="s">
        <v>14</v>
      </c>
      <c r="B9" s="67" t="s">
        <v>88</v>
      </c>
      <c r="C9" s="60" t="s">
        <v>173</v>
      </c>
      <c r="D9" s="61">
        <v>775</v>
      </c>
      <c r="E9" s="1316">
        <f>'[1]B_XI_ SOBOSLIKARSKI RADOVI'!E9</f>
        <v>8</v>
      </c>
      <c r="F9" s="62">
        <f>SUM(D9*E9)</f>
        <v>6200</v>
      </c>
    </row>
    <row r="10" spans="1:7" ht="105.6">
      <c r="A10" s="22" t="s">
        <v>15</v>
      </c>
      <c r="B10" s="67" t="s">
        <v>107</v>
      </c>
      <c r="C10" s="60" t="s">
        <v>173</v>
      </c>
      <c r="D10" s="61">
        <v>50</v>
      </c>
      <c r="E10" s="1316">
        <f>'[1]B_XI_ SOBOSLIKARSKI RADOVI'!E10</f>
        <v>9</v>
      </c>
      <c r="F10" s="62">
        <f>SUM(D10*E10)</f>
        <v>450</v>
      </c>
    </row>
    <row r="11" spans="1:7" ht="15.75" customHeight="1">
      <c r="B11" s="67"/>
      <c r="D11" s="38"/>
      <c r="E11" s="39"/>
      <c r="F11" s="39"/>
    </row>
    <row r="12" spans="1:7" ht="105.6">
      <c r="A12" s="43">
        <v>2</v>
      </c>
      <c r="B12" s="67" t="s">
        <v>368</v>
      </c>
      <c r="D12" s="38"/>
      <c r="E12" s="39"/>
      <c r="F12" s="39"/>
    </row>
    <row r="13" spans="1:7" ht="15">
      <c r="A13" s="22" t="s">
        <v>12</v>
      </c>
      <c r="B13" s="67" t="s">
        <v>68</v>
      </c>
      <c r="C13" s="60" t="s">
        <v>173</v>
      </c>
      <c r="D13" s="61">
        <v>160</v>
      </c>
      <c r="E13" s="1316">
        <f>'[1]B_XI_ SOBOSLIKARSKI RADOVI'!E13</f>
        <v>5</v>
      </c>
      <c r="F13" s="62">
        <f>SUM(D13*E13)</f>
        <v>800</v>
      </c>
    </row>
    <row r="14" spans="1:7" ht="15">
      <c r="A14" s="22" t="s">
        <v>13</v>
      </c>
      <c r="B14" s="67" t="s">
        <v>67</v>
      </c>
      <c r="C14" s="12" t="s">
        <v>173</v>
      </c>
      <c r="D14" s="38">
        <v>670</v>
      </c>
      <c r="E14" s="156">
        <f>'[1]B_XI_ SOBOSLIKARSKI RADOVI'!E14</f>
        <v>7.5</v>
      </c>
      <c r="F14" s="39">
        <f>SUM(D14*E14)</f>
        <v>5025</v>
      </c>
    </row>
    <row r="15" spans="1:7">
      <c r="B15" s="67"/>
      <c r="D15" s="38"/>
      <c r="E15" s="39"/>
      <c r="F15" s="39"/>
    </row>
    <row r="16" spans="1:7">
      <c r="A16" s="163"/>
      <c r="B16" s="164" t="s">
        <v>219</v>
      </c>
      <c r="C16" s="165"/>
      <c r="D16" s="166"/>
      <c r="E16" s="162" t="s">
        <v>159</v>
      </c>
      <c r="F16" s="161">
        <f>SUM(F8:F15)</f>
        <v>19075</v>
      </c>
    </row>
    <row r="17" spans="1:6">
      <c r="B17" s="67"/>
      <c r="C17" s="60"/>
      <c r="D17" s="61"/>
      <c r="E17" s="62"/>
      <c r="F17" s="62"/>
    </row>
    <row r="18" spans="1:6">
      <c r="B18" s="67"/>
      <c r="C18" s="60"/>
      <c r="D18" s="61"/>
      <c r="E18" s="62"/>
      <c r="F18" s="62"/>
    </row>
    <row r="19" spans="1:6">
      <c r="B19" s="67"/>
      <c r="C19" s="60"/>
      <c r="D19" s="61"/>
      <c r="E19" s="62"/>
      <c r="F19" s="62"/>
    </row>
    <row r="20" spans="1:6">
      <c r="B20" s="67"/>
      <c r="D20" s="38"/>
      <c r="E20" s="39"/>
      <c r="F20" s="39"/>
    </row>
    <row r="21" spans="1:6">
      <c r="A21" s="43"/>
      <c r="B21" s="43"/>
      <c r="C21" s="44"/>
      <c r="D21" s="45"/>
      <c r="E21" s="46"/>
      <c r="F21" s="47"/>
    </row>
    <row r="22" spans="1:6">
      <c r="B22" s="67"/>
      <c r="C22" s="60"/>
      <c r="D22" s="61"/>
      <c r="E22" s="62"/>
      <c r="F22" s="62"/>
    </row>
    <row r="23" spans="1:6">
      <c r="B23" s="67"/>
      <c r="D23" s="38"/>
      <c r="E23" s="39"/>
      <c r="F23" s="39"/>
    </row>
    <row r="24" spans="1:6">
      <c r="A24" s="43"/>
      <c r="B24" s="43"/>
      <c r="C24" s="44"/>
      <c r="D24" s="45"/>
      <c r="E24" s="46"/>
      <c r="F24" s="47"/>
    </row>
    <row r="25" spans="1:6">
      <c r="B25" s="67"/>
      <c r="C25" s="60"/>
      <c r="D25" s="61"/>
      <c r="E25" s="62"/>
      <c r="F25" s="62"/>
    </row>
    <row r="26" spans="1:6">
      <c r="B26" s="67"/>
      <c r="D26" s="38"/>
      <c r="E26" s="39"/>
      <c r="F26" s="39"/>
    </row>
    <row r="27" spans="1:6">
      <c r="A27" s="43"/>
      <c r="B27" s="43"/>
      <c r="C27" s="44"/>
      <c r="D27" s="45"/>
      <c r="E27" s="46"/>
      <c r="F27" s="47"/>
    </row>
    <row r="28" spans="1:6">
      <c r="B28" s="67"/>
      <c r="C28" s="60"/>
      <c r="D28" s="61"/>
      <c r="E28" s="62"/>
      <c r="F28" s="62"/>
    </row>
    <row r="29" spans="1:6">
      <c r="B29" s="67"/>
      <c r="D29" s="38"/>
      <c r="E29" s="39"/>
      <c r="F29" s="39"/>
    </row>
    <row r="30" spans="1:6">
      <c r="A30" s="43"/>
      <c r="B30" s="43"/>
      <c r="C30" s="44"/>
      <c r="D30" s="45"/>
      <c r="E30" s="46"/>
      <c r="F30" s="47"/>
    </row>
    <row r="31" spans="1:6">
      <c r="B31" s="67"/>
      <c r="C31" s="60"/>
      <c r="D31" s="61"/>
      <c r="E31" s="62"/>
      <c r="F31" s="62"/>
    </row>
    <row r="32" spans="1:6">
      <c r="B32" s="67"/>
      <c r="D32" s="38"/>
      <c r="E32" s="39"/>
      <c r="F32" s="39"/>
    </row>
    <row r="33" spans="1:6">
      <c r="A33" s="43"/>
      <c r="B33" s="43"/>
      <c r="C33" s="44"/>
      <c r="D33" s="45"/>
      <c r="E33" s="46"/>
      <c r="F33" s="47"/>
    </row>
    <row r="34" spans="1:6">
      <c r="B34" s="67"/>
      <c r="C34" s="60"/>
      <c r="D34" s="61"/>
      <c r="E34" s="62"/>
      <c r="F34" s="62"/>
    </row>
    <row r="35" spans="1:6">
      <c r="B35" s="67"/>
      <c r="D35" s="38"/>
      <c r="E35" s="39"/>
      <c r="F35" s="39"/>
    </row>
    <row r="36" spans="1:6">
      <c r="A36" s="43"/>
      <c r="B36" s="43"/>
      <c r="C36" s="44"/>
      <c r="D36" s="45"/>
      <c r="E36" s="46"/>
      <c r="F36" s="47"/>
    </row>
    <row r="37" spans="1:6">
      <c r="B37" s="67"/>
      <c r="C37" s="60"/>
      <c r="D37" s="61"/>
      <c r="E37" s="62"/>
      <c r="F37" s="62"/>
    </row>
    <row r="38" spans="1:6">
      <c r="B38" s="67"/>
      <c r="D38" s="38"/>
      <c r="E38" s="39"/>
      <c r="F38" s="39"/>
    </row>
    <row r="39" spans="1:6">
      <c r="A39" s="43"/>
      <c r="B39" s="43"/>
      <c r="C39" s="44"/>
      <c r="D39" s="45"/>
      <c r="E39" s="46"/>
      <c r="F39" s="47"/>
    </row>
    <row r="40" spans="1:6">
      <c r="B40" s="67"/>
      <c r="C40" s="60"/>
      <c r="D40" s="61"/>
      <c r="E40" s="62"/>
      <c r="F40" s="62"/>
    </row>
    <row r="41" spans="1:6">
      <c r="B41" s="67"/>
      <c r="D41" s="38"/>
      <c r="E41" s="39"/>
      <c r="F41" s="39"/>
    </row>
    <row r="42" spans="1:6">
      <c r="A42" s="43"/>
      <c r="B42" s="43"/>
      <c r="C42" s="44"/>
      <c r="D42" s="45"/>
      <c r="E42" s="46"/>
      <c r="F42" s="47"/>
    </row>
    <row r="43" spans="1:6">
      <c r="B43" s="67"/>
      <c r="C43" s="60"/>
      <c r="D43" s="61"/>
      <c r="E43" s="62"/>
      <c r="F43" s="62"/>
    </row>
    <row r="44" spans="1:6">
      <c r="B44" s="67"/>
      <c r="D44" s="38"/>
      <c r="E44" s="39"/>
      <c r="F44" s="39"/>
    </row>
    <row r="45" spans="1:6">
      <c r="A45" s="43"/>
      <c r="B45" s="43"/>
      <c r="C45" s="44"/>
      <c r="D45" s="45"/>
      <c r="E45" s="46"/>
      <c r="F45" s="47"/>
    </row>
    <row r="46" spans="1:6">
      <c r="B46" s="67"/>
      <c r="C46" s="60"/>
      <c r="D46" s="61"/>
      <c r="E46" s="62"/>
      <c r="F46" s="62"/>
    </row>
    <row r="47" spans="1:6">
      <c r="B47" s="67"/>
      <c r="D47" s="38"/>
      <c r="E47" s="39"/>
      <c r="F47" s="39"/>
    </row>
    <row r="48" spans="1:6">
      <c r="A48" s="43"/>
      <c r="B48" s="43"/>
      <c r="C48" s="44"/>
      <c r="D48" s="45"/>
      <c r="E48" s="46"/>
      <c r="F48" s="47"/>
    </row>
    <row r="49" spans="1:6">
      <c r="B49" s="67"/>
      <c r="C49" s="60"/>
      <c r="D49" s="61"/>
      <c r="E49" s="62"/>
      <c r="F49" s="62"/>
    </row>
    <row r="50" spans="1:6">
      <c r="B50" s="67"/>
      <c r="D50" s="38"/>
      <c r="E50" s="39"/>
      <c r="F50" s="39"/>
    </row>
    <row r="51" spans="1:6">
      <c r="A51" s="43"/>
      <c r="B51" s="43"/>
      <c r="C51" s="44"/>
      <c r="D51" s="45"/>
      <c r="E51" s="46"/>
      <c r="F51" s="47"/>
    </row>
    <row r="52" spans="1:6">
      <c r="B52" s="67"/>
      <c r="C52" s="60"/>
      <c r="D52" s="61"/>
      <c r="E52" s="62"/>
      <c r="F52" s="62"/>
    </row>
    <row r="53" spans="1:6">
      <c r="B53" s="67"/>
      <c r="D53" s="38"/>
      <c r="E53" s="39"/>
      <c r="F53" s="39"/>
    </row>
    <row r="54" spans="1:6">
      <c r="A54" s="43"/>
      <c r="B54" s="43"/>
      <c r="C54" s="44"/>
      <c r="D54" s="45"/>
      <c r="E54" s="46"/>
      <c r="F54" s="47"/>
    </row>
    <row r="55" spans="1:6">
      <c r="B55" s="67"/>
      <c r="C55" s="60"/>
      <c r="D55" s="61"/>
      <c r="E55" s="62"/>
      <c r="F55" s="62"/>
    </row>
    <row r="56" spans="1:6">
      <c r="B56" s="67"/>
      <c r="D56" s="38"/>
      <c r="E56" s="39"/>
      <c r="F56" s="39"/>
    </row>
    <row r="57" spans="1:6">
      <c r="A57" s="43"/>
      <c r="B57" s="43"/>
      <c r="C57" s="44"/>
      <c r="D57" s="45"/>
      <c r="E57" s="46"/>
      <c r="F57" s="47"/>
    </row>
    <row r="58" spans="1:6">
      <c r="B58" s="67"/>
      <c r="C58" s="60"/>
      <c r="D58" s="61"/>
      <c r="E58" s="62"/>
      <c r="F58" s="62"/>
    </row>
    <row r="59" spans="1:6">
      <c r="B59" s="67"/>
      <c r="D59" s="38"/>
      <c r="E59" s="39"/>
      <c r="F59" s="39"/>
    </row>
    <row r="60" spans="1:6">
      <c r="A60" s="43"/>
      <c r="B60" s="43"/>
      <c r="C60" s="44"/>
      <c r="D60" s="45"/>
      <c r="E60" s="46"/>
      <c r="F60" s="47"/>
    </row>
    <row r="61" spans="1:6">
      <c r="B61" s="67"/>
      <c r="C61" s="60"/>
      <c r="D61" s="61"/>
      <c r="E61" s="62"/>
      <c r="F61" s="62"/>
    </row>
    <row r="62" spans="1:6">
      <c r="B62" s="67"/>
      <c r="D62" s="38"/>
      <c r="E62" s="39"/>
      <c r="F62" s="39"/>
    </row>
    <row r="63" spans="1:6">
      <c r="A63" s="43"/>
      <c r="B63" s="43"/>
      <c r="C63" s="44"/>
      <c r="D63" s="45"/>
      <c r="E63" s="46"/>
      <c r="F63" s="47"/>
    </row>
    <row r="64" spans="1:6">
      <c r="B64" s="67"/>
      <c r="C64" s="60"/>
      <c r="D64" s="61"/>
      <c r="E64" s="62"/>
      <c r="F64" s="62"/>
    </row>
    <row r="65" spans="1:6">
      <c r="B65" s="67"/>
      <c r="D65" s="38"/>
      <c r="E65" s="39"/>
      <c r="F65" s="39"/>
    </row>
    <row r="66" spans="1:6">
      <c r="A66" s="43"/>
      <c r="B66" s="43"/>
      <c r="C66" s="44"/>
      <c r="D66" s="45"/>
      <c r="E66" s="46"/>
      <c r="F66" s="47"/>
    </row>
    <row r="67" spans="1:6">
      <c r="B67" s="67"/>
      <c r="C67" s="60"/>
      <c r="D67" s="61"/>
      <c r="E67" s="62"/>
      <c r="F67" s="62"/>
    </row>
    <row r="68" spans="1:6">
      <c r="B68" s="67"/>
      <c r="D68" s="38"/>
      <c r="E68" s="39"/>
      <c r="F68" s="39"/>
    </row>
    <row r="69" spans="1:6">
      <c r="A69" s="43"/>
      <c r="B69" s="43"/>
      <c r="C69" s="44"/>
      <c r="D69" s="45"/>
      <c r="E69" s="46"/>
      <c r="F69" s="47"/>
    </row>
    <row r="70" spans="1:6">
      <c r="B70" s="67"/>
      <c r="C70" s="60"/>
      <c r="D70" s="61"/>
      <c r="E70" s="62"/>
      <c r="F70" s="62"/>
    </row>
    <row r="71" spans="1:6">
      <c r="B71" s="67"/>
      <c r="D71" s="38"/>
      <c r="E71" s="39"/>
      <c r="F71" s="39"/>
    </row>
    <row r="72" spans="1:6">
      <c r="A72" s="43"/>
      <c r="B72" s="43"/>
      <c r="C72" s="44"/>
      <c r="D72" s="45"/>
      <c r="E72" s="46"/>
      <c r="F72" s="47"/>
    </row>
    <row r="73" spans="1:6">
      <c r="B73" s="67"/>
      <c r="C73" s="60"/>
      <c r="D73" s="61"/>
      <c r="E73" s="62"/>
      <c r="F73" s="62"/>
    </row>
    <row r="74" spans="1:6">
      <c r="B74" s="67"/>
      <c r="D74" s="38"/>
      <c r="E74" s="39"/>
      <c r="F74" s="39"/>
    </row>
    <row r="75" spans="1:6">
      <c r="A75" s="43"/>
      <c r="B75" s="43"/>
      <c r="C75" s="44"/>
      <c r="D75" s="45"/>
      <c r="E75" s="46"/>
      <c r="F75" s="47"/>
    </row>
    <row r="76" spans="1:6">
      <c r="B76" s="67"/>
      <c r="C76" s="60"/>
      <c r="D76" s="61"/>
      <c r="E76" s="62"/>
      <c r="F76" s="62"/>
    </row>
    <row r="77" spans="1:6">
      <c r="B77" s="67"/>
      <c r="D77" s="38"/>
      <c r="E77" s="39"/>
      <c r="F77" s="39"/>
    </row>
    <row r="78" spans="1:6">
      <c r="A78" s="43"/>
      <c r="B78" s="43"/>
      <c r="C78" s="44"/>
      <c r="D78" s="45"/>
      <c r="E78" s="46"/>
      <c r="F78" s="47"/>
    </row>
    <row r="79" spans="1:6">
      <c r="B79" s="67"/>
      <c r="C79" s="60"/>
      <c r="D79" s="61"/>
      <c r="E79" s="62"/>
      <c r="F79" s="62"/>
    </row>
    <row r="80" spans="1:6">
      <c r="B80" s="67"/>
      <c r="D80" s="38"/>
      <c r="E80" s="39"/>
      <c r="F80" s="39"/>
    </row>
    <row r="81" spans="1:6">
      <c r="A81" s="43"/>
      <c r="B81" s="43"/>
      <c r="C81" s="44"/>
      <c r="D81" s="45"/>
      <c r="E81" s="46"/>
      <c r="F81" s="47"/>
    </row>
    <row r="82" spans="1:6">
      <c r="B82" s="67"/>
      <c r="C82" s="60"/>
      <c r="D82" s="61"/>
      <c r="E82" s="62"/>
      <c r="F82" s="62"/>
    </row>
    <row r="83" spans="1:6">
      <c r="B83" s="67"/>
      <c r="D83" s="38"/>
      <c r="E83" s="39"/>
      <c r="F83" s="39"/>
    </row>
    <row r="84" spans="1:6">
      <c r="A84" s="43"/>
      <c r="B84" s="43"/>
      <c r="C84" s="44"/>
      <c r="D84" s="45"/>
      <c r="E84" s="46"/>
      <c r="F84" s="47"/>
    </row>
    <row r="85" spans="1:6">
      <c r="B85" s="67"/>
      <c r="C85" s="60"/>
      <c r="D85" s="61"/>
      <c r="E85" s="62"/>
      <c r="F85" s="62"/>
    </row>
    <row r="86" spans="1:6">
      <c r="B86" s="67"/>
      <c r="D86" s="38"/>
      <c r="E86" s="39"/>
      <c r="F86" s="39"/>
    </row>
    <row r="87" spans="1:6">
      <c r="A87" s="43"/>
      <c r="B87" s="43"/>
      <c r="C87" s="44"/>
      <c r="D87" s="45"/>
      <c r="E87" s="46"/>
      <c r="F87" s="47"/>
    </row>
    <row r="88" spans="1:6">
      <c r="B88" s="67"/>
      <c r="C88" s="60"/>
      <c r="D88" s="61"/>
      <c r="E88" s="62"/>
      <c r="F88" s="62"/>
    </row>
    <row r="89" spans="1:6">
      <c r="B89" s="67"/>
      <c r="D89" s="38"/>
      <c r="E89" s="39"/>
      <c r="F89" s="39"/>
    </row>
    <row r="90" spans="1:6">
      <c r="A90" s="43"/>
      <c r="B90" s="43"/>
      <c r="C90" s="44"/>
      <c r="D90" s="45"/>
      <c r="E90" s="46"/>
      <c r="F90" s="47"/>
    </row>
    <row r="91" spans="1:6">
      <c r="B91" s="67"/>
      <c r="C91" s="60"/>
      <c r="D91" s="61"/>
      <c r="E91" s="62"/>
      <c r="F91" s="62"/>
    </row>
    <row r="92" spans="1:6">
      <c r="B92" s="67"/>
      <c r="D92" s="38"/>
      <c r="E92" s="39"/>
      <c r="F92" s="39"/>
    </row>
    <row r="93" spans="1:6">
      <c r="A93" s="43"/>
      <c r="B93" s="43"/>
      <c r="C93" s="44"/>
      <c r="D93" s="45"/>
      <c r="E93" s="46"/>
      <c r="F93" s="47"/>
    </row>
    <row r="94" spans="1:6">
      <c r="B94" s="67"/>
      <c r="C94" s="60"/>
      <c r="D94" s="61"/>
      <c r="E94" s="62"/>
      <c r="F94" s="62"/>
    </row>
    <row r="95" spans="1:6">
      <c r="B95" s="67"/>
      <c r="D95" s="38"/>
      <c r="E95" s="39"/>
      <c r="F95" s="39"/>
    </row>
    <row r="96" spans="1:6">
      <c r="A96" s="43"/>
      <c r="B96" s="43"/>
      <c r="C96" s="44"/>
      <c r="D96" s="45"/>
      <c r="E96" s="46"/>
      <c r="F96" s="47"/>
    </row>
    <row r="97" spans="1:6">
      <c r="B97" s="67"/>
      <c r="C97" s="60"/>
      <c r="D97" s="61"/>
      <c r="E97" s="62"/>
      <c r="F97" s="62"/>
    </row>
    <row r="98" spans="1:6">
      <c r="B98" s="67"/>
      <c r="D98" s="38"/>
      <c r="E98" s="39"/>
      <c r="F98" s="39"/>
    </row>
    <row r="99" spans="1:6">
      <c r="A99" s="43"/>
      <c r="B99" s="43"/>
      <c r="C99" s="44"/>
      <c r="D99" s="45"/>
      <c r="E99" s="46"/>
      <c r="F99" s="47"/>
    </row>
    <row r="100" spans="1:6">
      <c r="B100" s="67"/>
      <c r="C100" s="60"/>
      <c r="D100" s="61"/>
      <c r="E100" s="62"/>
      <c r="F100" s="62"/>
    </row>
    <row r="101" spans="1:6">
      <c r="B101" s="67"/>
      <c r="D101" s="38"/>
      <c r="E101" s="39"/>
      <c r="F101" s="39"/>
    </row>
    <row r="102" spans="1:6">
      <c r="A102" s="43"/>
      <c r="B102" s="43"/>
      <c r="C102" s="44"/>
      <c r="D102" s="45"/>
      <c r="E102" s="46"/>
      <c r="F102" s="47"/>
    </row>
    <row r="103" spans="1:6">
      <c r="B103" s="67"/>
      <c r="C103" s="60"/>
      <c r="D103" s="61"/>
      <c r="E103" s="62"/>
      <c r="F103" s="62"/>
    </row>
    <row r="104" spans="1:6">
      <c r="B104" s="67"/>
      <c r="D104" s="38"/>
      <c r="E104" s="39"/>
      <c r="F104" s="39"/>
    </row>
    <row r="105" spans="1:6">
      <c r="A105" s="43"/>
      <c r="B105" s="43"/>
      <c r="C105" s="44"/>
      <c r="D105" s="45"/>
      <c r="E105" s="46"/>
      <c r="F105" s="47"/>
    </row>
    <row r="106" spans="1:6">
      <c r="B106" s="67"/>
      <c r="C106" s="60"/>
      <c r="D106" s="61"/>
      <c r="E106" s="62"/>
      <c r="F106" s="62"/>
    </row>
    <row r="107" spans="1:6">
      <c r="B107" s="67"/>
      <c r="D107" s="38"/>
      <c r="E107" s="39"/>
      <c r="F107" s="39"/>
    </row>
    <row r="108" spans="1:6">
      <c r="A108" s="43"/>
      <c r="B108" s="43"/>
      <c r="C108" s="44"/>
      <c r="D108" s="45"/>
      <c r="E108" s="46"/>
      <c r="F108" s="47"/>
    </row>
    <row r="109" spans="1:6">
      <c r="B109" s="67"/>
      <c r="C109" s="60"/>
      <c r="D109" s="61"/>
      <c r="E109" s="62"/>
      <c r="F109" s="62"/>
    </row>
    <row r="110" spans="1:6">
      <c r="B110" s="67"/>
      <c r="D110" s="38"/>
      <c r="E110" s="39"/>
      <c r="F110" s="39"/>
    </row>
    <row r="111" spans="1:6">
      <c r="A111" s="43"/>
      <c r="B111" s="43"/>
      <c r="C111" s="44"/>
      <c r="D111" s="45"/>
      <c r="E111" s="46"/>
      <c r="F111" s="47"/>
    </row>
    <row r="112" spans="1:6">
      <c r="B112" s="67"/>
      <c r="C112" s="60"/>
      <c r="D112" s="61"/>
      <c r="E112" s="62"/>
      <c r="F112" s="62"/>
    </row>
    <row r="113" spans="1:6">
      <c r="B113" s="67"/>
      <c r="D113" s="38"/>
      <c r="E113" s="39"/>
      <c r="F113" s="39"/>
    </row>
    <row r="114" spans="1:6">
      <c r="A114" s="43"/>
      <c r="B114" s="43"/>
      <c r="C114" s="44"/>
      <c r="D114" s="45"/>
      <c r="E114" s="46"/>
      <c r="F114" s="47"/>
    </row>
    <row r="115" spans="1:6">
      <c r="B115" s="67"/>
      <c r="C115" s="60"/>
      <c r="D115" s="61"/>
      <c r="E115" s="62"/>
      <c r="F115" s="62"/>
    </row>
    <row r="116" spans="1:6">
      <c r="B116" s="67"/>
      <c r="D116" s="38"/>
      <c r="E116" s="39"/>
      <c r="F116" s="39"/>
    </row>
    <row r="117" spans="1:6">
      <c r="A117" s="43"/>
      <c r="B117" s="43"/>
      <c r="C117" s="44"/>
      <c r="D117" s="45"/>
      <c r="E117" s="46"/>
      <c r="F117" s="47"/>
    </row>
    <row r="118" spans="1:6">
      <c r="B118" s="67"/>
      <c r="C118" s="60"/>
      <c r="D118" s="61"/>
      <c r="E118" s="62"/>
      <c r="F118" s="62"/>
    </row>
    <row r="119" spans="1:6">
      <c r="B119" s="67"/>
      <c r="D119" s="38"/>
      <c r="E119" s="39"/>
      <c r="F119" s="39"/>
    </row>
    <row r="120" spans="1:6">
      <c r="A120" s="43"/>
      <c r="B120" s="43"/>
      <c r="C120" s="44"/>
      <c r="D120" s="45"/>
      <c r="E120" s="46"/>
      <c r="F120" s="47"/>
    </row>
    <row r="121" spans="1:6">
      <c r="B121" s="67"/>
      <c r="C121" s="60"/>
      <c r="D121" s="61"/>
      <c r="E121" s="62"/>
      <c r="F121" s="62"/>
    </row>
    <row r="122" spans="1:6">
      <c r="B122" s="67"/>
      <c r="D122" s="38"/>
      <c r="E122" s="39"/>
      <c r="F122" s="39"/>
    </row>
    <row r="123" spans="1:6">
      <c r="A123" s="43"/>
      <c r="B123" s="43"/>
      <c r="C123" s="44"/>
      <c r="D123" s="45"/>
      <c r="E123" s="46"/>
      <c r="F123" s="47"/>
    </row>
    <row r="124" spans="1:6">
      <c r="B124" s="67"/>
      <c r="C124" s="60"/>
      <c r="D124" s="61"/>
      <c r="E124" s="62"/>
      <c r="F124" s="62"/>
    </row>
    <row r="125" spans="1:6">
      <c r="B125" s="67"/>
      <c r="D125" s="38"/>
      <c r="E125" s="39"/>
      <c r="F125" s="39"/>
    </row>
    <row r="126" spans="1:6">
      <c r="A126" s="43"/>
      <c r="B126" s="43"/>
      <c r="C126" s="44"/>
      <c r="D126" s="45"/>
      <c r="E126" s="46"/>
      <c r="F126" s="47"/>
    </row>
    <row r="127" spans="1:6">
      <c r="B127" s="67"/>
      <c r="C127" s="60"/>
      <c r="D127" s="61"/>
      <c r="E127" s="62"/>
      <c r="F127" s="62"/>
    </row>
    <row r="128" spans="1:6">
      <c r="B128" s="67"/>
      <c r="D128" s="38"/>
      <c r="E128" s="39"/>
      <c r="F128" s="39"/>
    </row>
    <row r="129" spans="1:6">
      <c r="A129" s="43"/>
      <c r="B129" s="43"/>
      <c r="C129" s="44"/>
      <c r="D129" s="45"/>
      <c r="E129" s="46"/>
      <c r="F129" s="47"/>
    </row>
    <row r="130" spans="1:6">
      <c r="B130" s="67"/>
      <c r="C130" s="60"/>
      <c r="D130" s="61"/>
      <c r="E130" s="62"/>
      <c r="F130" s="62"/>
    </row>
    <row r="131" spans="1:6">
      <c r="B131" s="67"/>
      <c r="D131" s="38"/>
      <c r="E131" s="39"/>
      <c r="F131" s="39"/>
    </row>
    <row r="132" spans="1:6">
      <c r="A132" s="43"/>
      <c r="B132" s="43"/>
      <c r="C132" s="44"/>
      <c r="D132" s="45"/>
      <c r="E132" s="46"/>
      <c r="F132" s="47"/>
    </row>
    <row r="133" spans="1:6">
      <c r="B133" s="67"/>
      <c r="C133" s="60"/>
      <c r="D133" s="61"/>
      <c r="E133" s="62"/>
      <c r="F133" s="62"/>
    </row>
    <row r="134" spans="1:6">
      <c r="B134" s="67"/>
      <c r="D134" s="38"/>
      <c r="E134" s="39"/>
      <c r="F134" s="39"/>
    </row>
    <row r="135" spans="1:6">
      <c r="A135" s="43"/>
      <c r="B135" s="43"/>
      <c r="C135" s="44"/>
      <c r="D135" s="45"/>
      <c r="E135" s="46"/>
      <c r="F135" s="47"/>
    </row>
    <row r="136" spans="1:6">
      <c r="B136" s="67"/>
      <c r="C136" s="60"/>
      <c r="D136" s="61"/>
      <c r="E136" s="62"/>
      <c r="F136" s="62"/>
    </row>
    <row r="137" spans="1:6">
      <c r="B137" s="67"/>
      <c r="D137" s="38"/>
      <c r="E137" s="39"/>
      <c r="F137" s="39"/>
    </row>
    <row r="138" spans="1:6">
      <c r="A138" s="43"/>
      <c r="B138" s="43"/>
      <c r="C138" s="44"/>
      <c r="D138" s="45"/>
      <c r="E138" s="46"/>
      <c r="F138" s="47"/>
    </row>
    <row r="139" spans="1:6">
      <c r="B139" s="67"/>
      <c r="C139" s="60"/>
      <c r="D139" s="61"/>
      <c r="E139" s="62"/>
      <c r="F139" s="62"/>
    </row>
    <row r="140" spans="1:6">
      <c r="B140" s="67"/>
      <c r="D140" s="38"/>
      <c r="E140" s="39"/>
      <c r="F140" s="39"/>
    </row>
    <row r="141" spans="1:6">
      <c r="A141" s="43"/>
      <c r="B141" s="43"/>
      <c r="C141" s="44"/>
      <c r="D141" s="45"/>
      <c r="E141" s="46"/>
      <c r="F141" s="47"/>
    </row>
    <row r="142" spans="1:6">
      <c r="B142" s="67"/>
      <c r="C142" s="60"/>
      <c r="D142" s="61"/>
      <c r="E142" s="62"/>
      <c r="F142" s="62"/>
    </row>
    <row r="143" spans="1:6">
      <c r="B143" s="67"/>
      <c r="D143" s="38"/>
      <c r="E143" s="39"/>
      <c r="F143" s="39"/>
    </row>
    <row r="144" spans="1:6">
      <c r="A144" s="43"/>
      <c r="B144" s="43"/>
      <c r="C144" s="44"/>
      <c r="D144" s="45"/>
      <c r="E144" s="46"/>
      <c r="F144" s="47"/>
    </row>
    <row r="145" spans="1:6">
      <c r="B145" s="67"/>
      <c r="C145" s="60"/>
      <c r="D145" s="61"/>
      <c r="E145" s="62"/>
      <c r="F145" s="62"/>
    </row>
    <row r="146" spans="1:6">
      <c r="B146" s="67"/>
      <c r="D146" s="38"/>
      <c r="E146" s="39"/>
      <c r="F146" s="39"/>
    </row>
    <row r="147" spans="1:6">
      <c r="A147" s="43"/>
      <c r="B147" s="43"/>
      <c r="C147" s="44"/>
      <c r="D147" s="45"/>
      <c r="E147" s="46"/>
      <c r="F147" s="47"/>
    </row>
    <row r="148" spans="1:6">
      <c r="B148" s="67"/>
      <c r="C148" s="60"/>
      <c r="D148" s="61"/>
      <c r="E148" s="62"/>
      <c r="F148" s="62"/>
    </row>
    <row r="149" spans="1:6">
      <c r="B149" s="67"/>
      <c r="D149" s="38"/>
      <c r="E149" s="39"/>
      <c r="F149" s="39"/>
    </row>
    <row r="150" spans="1:6">
      <c r="A150" s="43"/>
      <c r="B150" s="43"/>
      <c r="C150" s="44"/>
      <c r="D150" s="45"/>
      <c r="E150" s="46"/>
      <c r="F150" s="47"/>
    </row>
    <row r="151" spans="1:6">
      <c r="B151" s="67"/>
      <c r="C151" s="60"/>
      <c r="D151" s="61"/>
      <c r="E151" s="62"/>
      <c r="F151" s="62"/>
    </row>
    <row r="152" spans="1:6">
      <c r="B152" s="67"/>
      <c r="D152" s="38"/>
      <c r="E152" s="39"/>
      <c r="F152" s="39"/>
    </row>
    <row r="153" spans="1:6">
      <c r="A153" s="43"/>
      <c r="B153" s="43"/>
      <c r="C153" s="44"/>
      <c r="D153" s="45"/>
      <c r="E153" s="46"/>
      <c r="F153" s="47"/>
    </row>
    <row r="154" spans="1:6">
      <c r="B154" s="67"/>
      <c r="C154" s="60"/>
      <c r="D154" s="61"/>
      <c r="E154" s="62"/>
      <c r="F154" s="62"/>
    </row>
    <row r="155" spans="1:6">
      <c r="B155" s="67"/>
      <c r="D155" s="38"/>
      <c r="E155" s="39"/>
      <c r="F155" s="39"/>
    </row>
    <row r="156" spans="1:6">
      <c r="A156" s="43"/>
      <c r="B156" s="43"/>
      <c r="C156" s="44"/>
      <c r="D156" s="45"/>
      <c r="E156" s="46"/>
      <c r="F156" s="47"/>
    </row>
    <row r="157" spans="1:6">
      <c r="B157" s="67"/>
      <c r="C157" s="60"/>
      <c r="D157" s="61"/>
      <c r="E157" s="62"/>
      <c r="F157" s="62"/>
    </row>
    <row r="158" spans="1:6">
      <c r="B158" s="67"/>
      <c r="D158" s="38"/>
      <c r="E158" s="39"/>
      <c r="F158" s="39"/>
    </row>
    <row r="159" spans="1:6">
      <c r="A159" s="43"/>
      <c r="B159" s="43"/>
      <c r="C159" s="44"/>
      <c r="D159" s="45"/>
      <c r="E159" s="46"/>
      <c r="F159" s="47"/>
    </row>
    <row r="160" spans="1:6">
      <c r="B160" s="67"/>
      <c r="C160" s="60"/>
      <c r="D160" s="61"/>
      <c r="E160" s="62"/>
      <c r="F160" s="62"/>
    </row>
    <row r="161" spans="1:6">
      <c r="B161" s="67"/>
      <c r="D161" s="38"/>
      <c r="E161" s="39"/>
      <c r="F161" s="39"/>
    </row>
    <row r="162" spans="1:6">
      <c r="A162" s="43"/>
      <c r="B162" s="43"/>
      <c r="C162" s="44"/>
      <c r="D162" s="45"/>
      <c r="E162" s="46"/>
      <c r="F162" s="47"/>
    </row>
    <row r="163" spans="1:6">
      <c r="B163" s="67"/>
      <c r="C163" s="60"/>
      <c r="D163" s="61"/>
      <c r="E163" s="62"/>
      <c r="F163" s="62"/>
    </row>
    <row r="164" spans="1:6">
      <c r="B164" s="67"/>
      <c r="D164" s="38"/>
      <c r="E164" s="39"/>
      <c r="F164" s="39"/>
    </row>
    <row r="165" spans="1:6">
      <c r="A165" s="43"/>
      <c r="B165" s="43"/>
      <c r="C165" s="44"/>
      <c r="D165" s="45"/>
      <c r="E165" s="46"/>
      <c r="F165" s="47"/>
    </row>
    <row r="166" spans="1:6">
      <c r="B166" s="67"/>
      <c r="C166" s="60"/>
      <c r="D166" s="61"/>
      <c r="E166" s="62"/>
      <c r="F166" s="62"/>
    </row>
    <row r="167" spans="1:6">
      <c r="B167" s="67"/>
      <c r="D167" s="38"/>
      <c r="E167" s="39"/>
      <c r="F167" s="39"/>
    </row>
    <row r="168" spans="1:6">
      <c r="A168" s="43"/>
      <c r="B168" s="43"/>
      <c r="C168" s="44"/>
      <c r="D168" s="45"/>
      <c r="E168" s="46"/>
      <c r="F168" s="47"/>
    </row>
    <row r="169" spans="1:6">
      <c r="B169" s="67"/>
      <c r="C169" s="60"/>
      <c r="D169" s="61"/>
      <c r="E169" s="62"/>
      <c r="F169" s="62"/>
    </row>
    <row r="170" spans="1:6">
      <c r="B170" s="67"/>
      <c r="D170" s="38"/>
      <c r="E170" s="39"/>
      <c r="F170" s="39"/>
    </row>
    <row r="171" spans="1:6">
      <c r="A171" s="43"/>
      <c r="B171" s="43"/>
      <c r="C171" s="44"/>
      <c r="D171" s="45"/>
      <c r="E171" s="46"/>
      <c r="F171" s="47"/>
    </row>
    <row r="172" spans="1:6">
      <c r="B172" s="67"/>
      <c r="C172" s="60"/>
      <c r="D172" s="61"/>
      <c r="E172" s="62"/>
      <c r="F172" s="62"/>
    </row>
    <row r="173" spans="1:6">
      <c r="B173" s="67"/>
      <c r="D173" s="38"/>
      <c r="E173" s="39"/>
      <c r="F173" s="39"/>
    </row>
    <row r="174" spans="1:6">
      <c r="A174" s="43"/>
      <c r="B174" s="43"/>
      <c r="C174" s="44"/>
      <c r="D174" s="45"/>
      <c r="E174" s="46"/>
      <c r="F174" s="47"/>
    </row>
    <row r="175" spans="1:6">
      <c r="B175" s="67"/>
      <c r="C175" s="60"/>
      <c r="D175" s="61"/>
      <c r="E175" s="62"/>
      <c r="F175" s="62"/>
    </row>
    <row r="176" spans="1:6">
      <c r="B176" s="67"/>
      <c r="D176" s="38"/>
      <c r="E176" s="39"/>
      <c r="F176" s="39"/>
    </row>
    <row r="177" spans="1:6">
      <c r="A177" s="43"/>
      <c r="B177" s="43"/>
      <c r="C177" s="44"/>
      <c r="D177" s="45"/>
      <c r="E177" s="46"/>
      <c r="F177" s="47"/>
    </row>
    <row r="178" spans="1:6">
      <c r="B178" s="67"/>
      <c r="C178" s="60"/>
      <c r="D178" s="61"/>
      <c r="E178" s="62"/>
      <c r="F178" s="62"/>
    </row>
    <row r="179" spans="1:6">
      <c r="B179" s="67"/>
      <c r="D179" s="38"/>
      <c r="E179" s="39"/>
      <c r="F179" s="39"/>
    </row>
    <row r="180" spans="1:6">
      <c r="A180" s="43"/>
      <c r="B180" s="43"/>
      <c r="C180" s="44"/>
      <c r="D180" s="45"/>
      <c r="E180" s="46"/>
      <c r="F180" s="47"/>
    </row>
    <row r="181" spans="1:6">
      <c r="B181" s="67"/>
      <c r="C181" s="60"/>
      <c r="D181" s="61"/>
      <c r="E181" s="62"/>
      <c r="F181" s="62"/>
    </row>
    <row r="182" spans="1:6">
      <c r="B182" s="67"/>
      <c r="D182" s="38"/>
      <c r="E182" s="39"/>
      <c r="F182" s="39"/>
    </row>
    <row r="183" spans="1:6">
      <c r="A183" s="43"/>
      <c r="B183" s="43"/>
      <c r="C183" s="44"/>
      <c r="D183" s="45"/>
      <c r="E183" s="46"/>
      <c r="F183" s="47"/>
    </row>
    <row r="184" spans="1:6">
      <c r="B184" s="67"/>
      <c r="C184" s="60"/>
      <c r="D184" s="61"/>
      <c r="E184" s="62"/>
      <c r="F184" s="62"/>
    </row>
    <row r="185" spans="1:6">
      <c r="B185" s="67"/>
      <c r="D185" s="38"/>
      <c r="E185" s="39"/>
      <c r="F185" s="39"/>
    </row>
    <row r="186" spans="1:6">
      <c r="A186" s="43"/>
      <c r="B186" s="43"/>
      <c r="C186" s="44"/>
      <c r="D186" s="45"/>
      <c r="E186" s="46"/>
      <c r="F186" s="47"/>
    </row>
    <row r="187" spans="1:6">
      <c r="B187" s="67"/>
      <c r="C187" s="60"/>
      <c r="D187" s="61"/>
      <c r="E187" s="62"/>
      <c r="F187" s="62"/>
    </row>
    <row r="188" spans="1:6">
      <c r="B188" s="67"/>
      <c r="D188" s="38"/>
      <c r="E188" s="39"/>
      <c r="F188" s="39"/>
    </row>
    <row r="189" spans="1:6">
      <c r="A189" s="43"/>
      <c r="B189" s="43"/>
      <c r="C189" s="44"/>
      <c r="D189" s="45"/>
      <c r="E189" s="46"/>
      <c r="F189" s="47"/>
    </row>
    <row r="190" spans="1:6">
      <c r="B190" s="67"/>
      <c r="C190" s="60"/>
      <c r="D190" s="61"/>
      <c r="E190" s="62"/>
      <c r="F190" s="62"/>
    </row>
    <row r="191" spans="1:6">
      <c r="B191" s="67"/>
      <c r="D191" s="38"/>
      <c r="E191" s="39"/>
      <c r="F191" s="39"/>
    </row>
    <row r="192" spans="1:6">
      <c r="A192" s="43"/>
      <c r="B192" s="43"/>
      <c r="C192" s="44"/>
      <c r="D192" s="45"/>
      <c r="E192" s="46"/>
      <c r="F192" s="47"/>
    </row>
    <row r="193" spans="1:6">
      <c r="B193" s="67"/>
      <c r="C193" s="60"/>
      <c r="D193" s="61"/>
      <c r="E193" s="62"/>
      <c r="F193" s="62"/>
    </row>
    <row r="194" spans="1:6">
      <c r="B194" s="67"/>
      <c r="D194" s="38"/>
      <c r="E194" s="39"/>
      <c r="F194" s="39"/>
    </row>
    <row r="195" spans="1:6">
      <c r="A195" s="43"/>
      <c r="B195" s="43"/>
      <c r="C195" s="44"/>
      <c r="D195" s="45"/>
      <c r="E195" s="46"/>
      <c r="F195" s="47"/>
    </row>
    <row r="196" spans="1:6">
      <c r="B196" s="67"/>
      <c r="C196" s="60"/>
      <c r="D196" s="61"/>
      <c r="E196" s="62"/>
      <c r="F196" s="62"/>
    </row>
    <row r="197" spans="1:6">
      <c r="B197" s="67"/>
      <c r="D197" s="38"/>
      <c r="E197" s="39"/>
      <c r="F197" s="39"/>
    </row>
    <row r="198" spans="1:6">
      <c r="A198" s="43"/>
      <c r="B198" s="43"/>
      <c r="C198" s="44"/>
      <c r="D198" s="45"/>
      <c r="E198" s="46"/>
      <c r="F198" s="47"/>
    </row>
    <row r="199" spans="1:6">
      <c r="B199" s="67"/>
      <c r="C199" s="60"/>
      <c r="D199" s="61"/>
      <c r="E199" s="62"/>
      <c r="F199" s="62"/>
    </row>
    <row r="200" spans="1:6">
      <c r="B200" s="67"/>
      <c r="D200" s="38"/>
      <c r="E200" s="39"/>
      <c r="F200" s="39"/>
    </row>
    <row r="201" spans="1:6">
      <c r="A201" s="43"/>
      <c r="B201" s="43"/>
      <c r="C201" s="44"/>
      <c r="D201" s="45"/>
      <c r="E201" s="46"/>
      <c r="F201" s="47"/>
    </row>
    <row r="202" spans="1:6">
      <c r="B202" s="67"/>
      <c r="C202" s="60"/>
      <c r="D202" s="61"/>
      <c r="E202" s="62"/>
      <c r="F202" s="62"/>
    </row>
    <row r="203" spans="1:6">
      <c r="B203" s="67"/>
      <c r="D203" s="38"/>
      <c r="E203" s="39"/>
      <c r="F203" s="39"/>
    </row>
    <row r="204" spans="1:6">
      <c r="A204" s="43"/>
      <c r="B204" s="43"/>
      <c r="C204" s="44"/>
      <c r="D204" s="45"/>
      <c r="E204" s="46"/>
      <c r="F204" s="47"/>
    </row>
    <row r="205" spans="1:6">
      <c r="B205" s="67"/>
      <c r="C205" s="60"/>
      <c r="D205" s="61"/>
      <c r="E205" s="62"/>
      <c r="F205" s="62"/>
    </row>
    <row r="206" spans="1:6">
      <c r="B206" s="67"/>
      <c r="D206" s="38"/>
      <c r="E206" s="39"/>
      <c r="F206" s="39"/>
    </row>
    <row r="207" spans="1:6">
      <c r="A207" s="43"/>
      <c r="B207" s="43"/>
      <c r="C207" s="44"/>
      <c r="D207" s="45"/>
      <c r="E207" s="46"/>
      <c r="F207" s="47"/>
    </row>
    <row r="208" spans="1:6">
      <c r="B208" s="67"/>
      <c r="C208" s="60"/>
      <c r="D208" s="61"/>
      <c r="E208" s="62"/>
      <c r="F208" s="62"/>
    </row>
    <row r="209" spans="1:6">
      <c r="B209" s="67"/>
      <c r="D209" s="38"/>
      <c r="E209" s="39"/>
      <c r="F209" s="39"/>
    </row>
    <row r="210" spans="1:6">
      <c r="A210" s="43"/>
      <c r="B210" s="43"/>
      <c r="C210" s="44"/>
      <c r="D210" s="45"/>
      <c r="E210" s="46"/>
      <c r="F210" s="47"/>
    </row>
    <row r="211" spans="1:6">
      <c r="B211" s="67"/>
      <c r="C211" s="60"/>
      <c r="D211" s="61"/>
      <c r="E211" s="62"/>
      <c r="F211" s="62"/>
    </row>
    <row r="212" spans="1:6">
      <c r="B212" s="67"/>
      <c r="D212" s="38"/>
      <c r="E212" s="39"/>
      <c r="F212" s="39"/>
    </row>
    <row r="213" spans="1:6">
      <c r="A213" s="43"/>
      <c r="B213" s="43"/>
      <c r="C213" s="44"/>
      <c r="D213" s="45"/>
      <c r="E213" s="46"/>
      <c r="F213" s="47"/>
    </row>
    <row r="214" spans="1:6">
      <c r="B214" s="67"/>
      <c r="C214" s="60"/>
      <c r="D214" s="61"/>
      <c r="E214" s="62"/>
      <c r="F214" s="62"/>
    </row>
    <row r="215" spans="1:6">
      <c r="B215" s="67"/>
      <c r="D215" s="38"/>
      <c r="E215" s="39"/>
      <c r="F215" s="39"/>
    </row>
    <row r="216" spans="1:6">
      <c r="A216" s="43"/>
      <c r="B216" s="43"/>
      <c r="C216" s="44"/>
      <c r="D216" s="45"/>
      <c r="E216" s="46"/>
      <c r="F216" s="47"/>
    </row>
    <row r="217" spans="1:6">
      <c r="B217" s="67"/>
      <c r="C217" s="60"/>
      <c r="D217" s="61"/>
      <c r="E217" s="62"/>
      <c r="F217" s="62"/>
    </row>
    <row r="218" spans="1:6">
      <c r="B218" s="67"/>
      <c r="D218" s="38"/>
      <c r="E218" s="39"/>
      <c r="F218" s="39"/>
    </row>
    <row r="219" spans="1:6">
      <c r="A219" s="43"/>
      <c r="B219" s="43"/>
      <c r="C219" s="44"/>
      <c r="D219" s="45"/>
      <c r="E219" s="46"/>
      <c r="F219" s="47"/>
    </row>
    <row r="220" spans="1:6">
      <c r="B220" s="67"/>
      <c r="C220" s="60"/>
      <c r="D220" s="61"/>
      <c r="E220" s="62"/>
      <c r="F220" s="62"/>
    </row>
    <row r="221" spans="1:6">
      <c r="B221" s="67"/>
      <c r="D221" s="38"/>
      <c r="E221" s="39"/>
      <c r="F221" s="39"/>
    </row>
    <row r="222" spans="1:6">
      <c r="A222" s="43"/>
      <c r="B222" s="43"/>
      <c r="C222" s="44"/>
      <c r="D222" s="45"/>
      <c r="E222" s="46"/>
      <c r="F222" s="47"/>
    </row>
    <row r="223" spans="1:6">
      <c r="B223" s="67"/>
      <c r="C223" s="60"/>
      <c r="D223" s="61"/>
      <c r="E223" s="62"/>
      <c r="F223" s="62"/>
    </row>
    <row r="224" spans="1:6">
      <c r="B224" s="67"/>
      <c r="D224" s="38"/>
      <c r="E224" s="39"/>
      <c r="F224" s="39"/>
    </row>
    <row r="225" spans="1:6">
      <c r="A225" s="43"/>
      <c r="B225" s="43"/>
      <c r="C225" s="44"/>
      <c r="D225" s="45"/>
      <c r="E225" s="46"/>
      <c r="F225" s="47"/>
    </row>
    <row r="226" spans="1:6">
      <c r="B226" s="67"/>
      <c r="C226" s="60"/>
      <c r="D226" s="61"/>
      <c r="E226" s="62"/>
      <c r="F226" s="62"/>
    </row>
    <row r="227" spans="1:6">
      <c r="B227" s="67"/>
      <c r="D227" s="38"/>
      <c r="E227" s="39"/>
      <c r="F227" s="39"/>
    </row>
    <row r="228" spans="1:6">
      <c r="A228" s="43"/>
      <c r="B228" s="43"/>
      <c r="C228" s="44"/>
      <c r="D228" s="45"/>
      <c r="E228" s="46"/>
      <c r="F228" s="47"/>
    </row>
    <row r="229" spans="1:6">
      <c r="B229" s="67"/>
      <c r="C229" s="60"/>
      <c r="D229" s="61"/>
      <c r="E229" s="62"/>
      <c r="F229" s="62"/>
    </row>
    <row r="230" spans="1:6">
      <c r="B230" s="67"/>
      <c r="D230" s="38"/>
      <c r="E230" s="39"/>
      <c r="F230" s="39"/>
    </row>
    <row r="231" spans="1:6">
      <c r="A231" s="43"/>
      <c r="B231" s="43"/>
      <c r="C231" s="44"/>
      <c r="D231" s="45"/>
      <c r="E231" s="46"/>
      <c r="F231" s="47"/>
    </row>
    <row r="232" spans="1:6">
      <c r="B232" s="67"/>
      <c r="C232" s="60"/>
      <c r="D232" s="61"/>
      <c r="E232" s="62"/>
      <c r="F232" s="62"/>
    </row>
    <row r="233" spans="1:6">
      <c r="B233" s="67"/>
      <c r="D233" s="38"/>
      <c r="E233" s="39"/>
      <c r="F233" s="39"/>
    </row>
    <row r="234" spans="1:6">
      <c r="A234" s="43"/>
      <c r="B234" s="43"/>
      <c r="C234" s="44"/>
      <c r="D234" s="45"/>
      <c r="E234" s="46"/>
      <c r="F234" s="47"/>
    </row>
    <row r="235" spans="1:6">
      <c r="B235" s="67"/>
      <c r="C235" s="60"/>
      <c r="D235" s="61"/>
      <c r="E235" s="62"/>
      <c r="F235" s="62"/>
    </row>
    <row r="236" spans="1:6">
      <c r="B236" s="67"/>
      <c r="D236" s="38"/>
      <c r="E236" s="39"/>
      <c r="F236" s="39"/>
    </row>
    <row r="237" spans="1:6">
      <c r="A237" s="43"/>
      <c r="B237" s="43"/>
      <c r="C237" s="44"/>
      <c r="D237" s="45"/>
      <c r="E237" s="46"/>
      <c r="F237" s="47"/>
    </row>
    <row r="238" spans="1:6">
      <c r="B238" s="67"/>
      <c r="C238" s="60"/>
      <c r="D238" s="61"/>
      <c r="E238" s="62"/>
      <c r="F238" s="62"/>
    </row>
    <row r="239" spans="1:6">
      <c r="B239" s="67"/>
      <c r="D239" s="38"/>
      <c r="E239" s="39"/>
      <c r="F239" s="39"/>
    </row>
    <row r="240" spans="1:6">
      <c r="A240" s="43"/>
      <c r="B240" s="43"/>
      <c r="C240" s="44"/>
      <c r="D240" s="45"/>
      <c r="E240" s="46"/>
      <c r="F240" s="47"/>
    </row>
    <row r="241" spans="1:6">
      <c r="B241" s="67"/>
      <c r="C241" s="60"/>
      <c r="D241" s="61"/>
      <c r="E241" s="62"/>
      <c r="F241" s="62"/>
    </row>
    <row r="242" spans="1:6">
      <c r="B242" s="67"/>
      <c r="D242" s="38"/>
      <c r="E242" s="39"/>
      <c r="F242" s="39"/>
    </row>
    <row r="243" spans="1:6">
      <c r="A243" s="43"/>
      <c r="B243" s="43"/>
      <c r="C243" s="44"/>
      <c r="D243" s="45"/>
      <c r="E243" s="46"/>
      <c r="F243" s="47"/>
    </row>
    <row r="244" spans="1:6">
      <c r="B244" s="67"/>
      <c r="C244" s="60"/>
      <c r="D244" s="61"/>
      <c r="E244" s="62"/>
      <c r="F244" s="62"/>
    </row>
    <row r="245" spans="1:6">
      <c r="B245" s="67"/>
      <c r="D245" s="38"/>
      <c r="E245" s="39"/>
      <c r="F245" s="39"/>
    </row>
    <row r="246" spans="1:6">
      <c r="A246" s="43"/>
      <c r="B246" s="43"/>
      <c r="C246" s="44"/>
      <c r="D246" s="45"/>
      <c r="E246" s="46"/>
      <c r="F246" s="47"/>
    </row>
    <row r="247" spans="1:6">
      <c r="B247" s="67"/>
      <c r="C247" s="60"/>
      <c r="D247" s="61"/>
      <c r="E247" s="62"/>
      <c r="F247" s="62"/>
    </row>
    <row r="248" spans="1:6">
      <c r="B248" s="67"/>
      <c r="D248" s="38"/>
      <c r="E248" s="39"/>
      <c r="F248" s="39"/>
    </row>
    <row r="249" spans="1:6">
      <c r="A249" s="43"/>
      <c r="B249" s="43"/>
      <c r="C249" s="44"/>
      <c r="D249" s="45"/>
      <c r="E249" s="46"/>
      <c r="F249" s="47"/>
    </row>
    <row r="250" spans="1:6">
      <c r="B250" s="67"/>
      <c r="C250" s="60"/>
      <c r="D250" s="61"/>
      <c r="E250" s="62"/>
      <c r="F250" s="62"/>
    </row>
    <row r="251" spans="1:6">
      <c r="B251" s="67"/>
      <c r="D251" s="38"/>
      <c r="E251" s="39"/>
      <c r="F251" s="39"/>
    </row>
  </sheetData>
  <sheetProtection algorithmName="SHA-512" hashValue="xDrxMpZTVOUGwHmcL/f6/1EMVW+rz6Zgo4oaI6RehL1tLBneRmFA8spyWVE9Sgd9bnKh9Q1f43+7yNRI2+8m5A==" saltValue="lsQkgQBjcrdAvnch8eyXbQ=="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6" tint="0.39997558519241921"/>
  </sheetPr>
  <dimension ref="A1:G174"/>
  <sheetViews>
    <sheetView topLeftCell="A17" zoomScale="70" zoomScaleNormal="70" zoomScaleSheetLayoutView="100" zoomScalePageLayoutView="115" workbookViewId="0">
      <selection activeCell="E33" sqref="E33"/>
    </sheetView>
  </sheetViews>
  <sheetFormatPr defaultColWidth="8.6640625" defaultRowHeight="13.2"/>
  <cols>
    <col min="1" max="1" width="6.6640625" style="11" customWidth="1"/>
    <col min="2" max="2" width="57.6640625" style="10" customWidth="1"/>
    <col min="3" max="3" width="10.6640625" style="12" customWidth="1"/>
    <col min="4" max="5" width="10.6640625" style="10" customWidth="1"/>
    <col min="6" max="6" width="12.6640625" style="10" customWidth="1"/>
    <col min="7" max="16384" width="8.6640625" style="10"/>
  </cols>
  <sheetData>
    <row r="1" spans="1:7" ht="13.8" thickBot="1">
      <c r="A1" s="875" t="s">
        <v>76</v>
      </c>
      <c r="B1" s="868" t="s">
        <v>75</v>
      </c>
      <c r="C1" s="881"/>
      <c r="D1" s="876"/>
      <c r="E1" s="871"/>
      <c r="F1" s="871"/>
    </row>
    <row r="2" spans="1:7">
      <c r="D2" s="13"/>
      <c r="E2" s="14"/>
      <c r="F2" s="14"/>
    </row>
    <row r="3" spans="1:7" s="20" customFormat="1" ht="14.25" customHeight="1">
      <c r="A3" s="1527" t="s">
        <v>145</v>
      </c>
      <c r="B3" s="1528" t="s">
        <v>146</v>
      </c>
      <c r="C3" s="1529" t="s">
        <v>147</v>
      </c>
      <c r="D3" s="1532" t="s">
        <v>148</v>
      </c>
      <c r="E3" s="1532" t="s">
        <v>149</v>
      </c>
      <c r="F3" s="1532"/>
      <c r="G3" s="1537" t="s">
        <v>2523</v>
      </c>
    </row>
    <row r="4" spans="1:7" s="20" customFormat="1">
      <c r="A4" s="1527"/>
      <c r="B4" s="1528"/>
      <c r="C4" s="1530"/>
      <c r="D4" s="1532"/>
      <c r="E4" s="1532"/>
      <c r="F4" s="1532"/>
      <c r="G4" s="1537"/>
    </row>
    <row r="5" spans="1:7" s="20" customFormat="1">
      <c r="A5" s="1527"/>
      <c r="B5" s="1528"/>
      <c r="C5" s="1531"/>
      <c r="D5" s="1532"/>
      <c r="E5" s="49" t="s">
        <v>150</v>
      </c>
      <c r="F5" s="50" t="s">
        <v>151</v>
      </c>
      <c r="G5" s="1537"/>
    </row>
    <row r="6" spans="1:7" s="20" customFormat="1">
      <c r="A6" s="52"/>
      <c r="B6" s="53"/>
      <c r="C6" s="54"/>
      <c r="D6" s="55"/>
      <c r="E6" s="56"/>
      <c r="F6" s="57"/>
    </row>
    <row r="7" spans="1:7" ht="66">
      <c r="A7" s="22">
        <v>1</v>
      </c>
      <c r="B7" s="167" t="s">
        <v>294</v>
      </c>
      <c r="C7" s="60"/>
      <c r="D7" s="61"/>
      <c r="E7" s="62"/>
      <c r="F7" s="62"/>
    </row>
    <row r="8" spans="1:7">
      <c r="A8" s="168"/>
      <c r="B8" s="147" t="s">
        <v>122</v>
      </c>
      <c r="C8" s="169"/>
      <c r="D8" s="170"/>
      <c r="E8" s="170"/>
      <c r="F8" s="170"/>
    </row>
    <row r="9" spans="1:7">
      <c r="A9" s="168"/>
      <c r="B9" s="147" t="s">
        <v>123</v>
      </c>
      <c r="C9" s="169"/>
      <c r="D9" s="170"/>
      <c r="E9" s="170"/>
      <c r="F9" s="170"/>
    </row>
    <row r="10" spans="1:7">
      <c r="A10" s="168"/>
      <c r="B10" s="147" t="s">
        <v>2103</v>
      </c>
      <c r="C10" s="169"/>
      <c r="D10" s="170"/>
      <c r="E10" s="170"/>
      <c r="F10" s="170"/>
    </row>
    <row r="11" spans="1:7">
      <c r="A11" s="168"/>
      <c r="B11" s="37" t="s">
        <v>117</v>
      </c>
      <c r="C11" s="169"/>
      <c r="D11" s="170"/>
      <c r="E11" s="170"/>
      <c r="F11" s="170"/>
    </row>
    <row r="12" spans="1:7" ht="264">
      <c r="A12" s="22"/>
      <c r="B12" s="167" t="s">
        <v>403</v>
      </c>
      <c r="C12" s="60"/>
      <c r="D12" s="61"/>
      <c r="E12" s="62"/>
      <c r="F12" s="62"/>
    </row>
    <row r="13" spans="1:7" ht="15">
      <c r="A13" s="22" t="s">
        <v>12</v>
      </c>
      <c r="B13" s="114" t="s">
        <v>74</v>
      </c>
      <c r="C13" s="60" t="s">
        <v>173</v>
      </c>
      <c r="D13" s="61">
        <v>10</v>
      </c>
      <c r="E13" s="1316">
        <f>'[1]B_XIII_ PODOPOLAGAČKI RADOVI'!E13</f>
        <v>100</v>
      </c>
      <c r="F13" s="62">
        <f>SUM(D13*E13)</f>
        <v>1000</v>
      </c>
    </row>
    <row r="14" spans="1:7" ht="15">
      <c r="A14" s="22" t="s">
        <v>13</v>
      </c>
      <c r="B14" s="114" t="s">
        <v>118</v>
      </c>
      <c r="C14" s="60" t="s">
        <v>190</v>
      </c>
      <c r="D14" s="61">
        <v>25</v>
      </c>
      <c r="E14" s="1316">
        <f>'[1]B_XIII_ PODOPOLAGAČKI RADOVI'!E14</f>
        <v>30</v>
      </c>
      <c r="F14" s="62">
        <f>SUM(D14*E14)</f>
        <v>750</v>
      </c>
    </row>
    <row r="15" spans="1:7">
      <c r="A15" s="22"/>
      <c r="B15" s="114"/>
      <c r="D15" s="38"/>
      <c r="E15" s="39"/>
      <c r="F15" s="39"/>
    </row>
    <row r="16" spans="1:7" ht="92.4">
      <c r="A16" s="22">
        <v>2</v>
      </c>
      <c r="B16" s="67" t="s">
        <v>2566</v>
      </c>
      <c r="D16" s="38"/>
      <c r="E16" s="39"/>
      <c r="F16" s="39"/>
    </row>
    <row r="17" spans="1:6" ht="15">
      <c r="B17" s="67"/>
      <c r="C17" s="12" t="s">
        <v>173</v>
      </c>
      <c r="D17" s="61">
        <v>10</v>
      </c>
      <c r="E17" s="1316">
        <f>'[1]B_XIII_ PODOPOLAGAČKI RADOVI'!E17</f>
        <v>30</v>
      </c>
      <c r="F17" s="62">
        <f>SUM(D17*E17)</f>
        <v>300</v>
      </c>
    </row>
    <row r="18" spans="1:6">
      <c r="A18" s="22"/>
      <c r="B18" s="114"/>
      <c r="D18" s="61"/>
      <c r="E18" s="62"/>
      <c r="F18" s="62"/>
    </row>
    <row r="19" spans="1:6" ht="250.8">
      <c r="A19" s="43">
        <v>3</v>
      </c>
      <c r="B19" s="67" t="s">
        <v>306</v>
      </c>
      <c r="D19" s="38"/>
      <c r="E19" s="201"/>
      <c r="F19" s="201"/>
    </row>
    <row r="20" spans="1:6" ht="15">
      <c r="A20" s="22" t="s">
        <v>12</v>
      </c>
      <c r="B20" s="67" t="s">
        <v>307</v>
      </c>
      <c r="C20" s="60" t="s">
        <v>173</v>
      </c>
      <c r="D20" s="61">
        <v>180</v>
      </c>
      <c r="E20" s="1321">
        <f>'[1]B_XIII_ PODOPOLAGAČKI RADOVI'!E20</f>
        <v>80</v>
      </c>
      <c r="F20" s="124">
        <f>SUM(D20*E20)</f>
        <v>14400</v>
      </c>
    </row>
    <row r="21" spans="1:6" ht="15">
      <c r="A21" s="22" t="s">
        <v>13</v>
      </c>
      <c r="B21" s="67" t="s">
        <v>305</v>
      </c>
      <c r="C21" s="12" t="s">
        <v>190</v>
      </c>
      <c r="D21" s="38">
        <v>170</v>
      </c>
      <c r="E21" s="1322">
        <f>'[1]B_XIII_ PODOPOLAGAČKI RADOVI'!E21</f>
        <v>30</v>
      </c>
      <c r="F21" s="201">
        <f>SUM(D21*E21)</f>
        <v>5100</v>
      </c>
    </row>
    <row r="22" spans="1:6">
      <c r="A22" s="22"/>
      <c r="B22" s="105"/>
      <c r="D22" s="38"/>
      <c r="E22" s="201"/>
      <c r="F22" s="201"/>
    </row>
    <row r="23" spans="1:6" ht="86.25" customHeight="1">
      <c r="A23" s="22">
        <v>4</v>
      </c>
      <c r="B23" s="67" t="s">
        <v>221</v>
      </c>
      <c r="D23" s="38"/>
      <c r="E23" s="39"/>
      <c r="F23" s="39"/>
    </row>
    <row r="24" spans="1:6" ht="15">
      <c r="A24" s="22" t="s">
        <v>12</v>
      </c>
      <c r="B24" s="105" t="s">
        <v>73</v>
      </c>
      <c r="C24" s="12" t="s">
        <v>173</v>
      </c>
      <c r="D24" s="61">
        <v>2.5</v>
      </c>
      <c r="E24" s="1316">
        <f>'[1]B_XIII_ PODOPOLAGAČKI RADOVI'!E24</f>
        <v>500</v>
      </c>
      <c r="F24" s="62">
        <f>SUM(D24*E24)</f>
        <v>1250</v>
      </c>
    </row>
    <row r="25" spans="1:6" ht="26.4">
      <c r="A25" s="22" t="s">
        <v>13</v>
      </c>
      <c r="B25" s="105" t="s">
        <v>72</v>
      </c>
      <c r="C25" s="60" t="s">
        <v>190</v>
      </c>
      <c r="D25" s="61">
        <v>7</v>
      </c>
      <c r="E25" s="1316">
        <f>'[1]B_XIII_ PODOPOLAGAČKI RADOVI'!E25</f>
        <v>50</v>
      </c>
      <c r="F25" s="62">
        <f>SUM(D25*E25)</f>
        <v>350</v>
      </c>
    </row>
    <row r="26" spans="1:6">
      <c r="A26" s="22"/>
      <c r="B26" s="105"/>
      <c r="D26" s="38"/>
      <c r="E26" s="39"/>
      <c r="F26" s="39"/>
    </row>
    <row r="27" spans="1:6">
      <c r="A27" s="171"/>
      <c r="B27" s="164" t="s">
        <v>222</v>
      </c>
      <c r="C27" s="165"/>
      <c r="D27" s="166"/>
      <c r="E27" s="162" t="s">
        <v>159</v>
      </c>
      <c r="F27" s="161">
        <f>SUM(F13:F25)</f>
        <v>23150</v>
      </c>
    </row>
    <row r="28" spans="1:6">
      <c r="A28" s="22"/>
      <c r="B28" s="105"/>
      <c r="D28" s="38"/>
      <c r="E28" s="39"/>
      <c r="F28" s="39"/>
    </row>
    <row r="29" spans="1:6">
      <c r="A29" s="22"/>
      <c r="B29" s="43"/>
      <c r="C29" s="44"/>
      <c r="D29" s="45"/>
      <c r="E29" s="46"/>
      <c r="F29" s="47"/>
    </row>
    <row r="30" spans="1:6">
      <c r="A30" s="22"/>
      <c r="B30" s="105"/>
      <c r="D30" s="38"/>
      <c r="E30" s="39"/>
      <c r="F30" s="39"/>
    </row>
    <row r="31" spans="1:6">
      <c r="A31" s="22"/>
      <c r="B31" s="105"/>
      <c r="D31" s="38"/>
      <c r="E31" s="39"/>
      <c r="F31" s="39"/>
    </row>
    <row r="32" spans="1:6">
      <c r="A32" s="22"/>
      <c r="B32" s="105"/>
      <c r="D32" s="38"/>
      <c r="E32" s="39"/>
      <c r="F32" s="39"/>
    </row>
    <row r="33" spans="1:6">
      <c r="A33" s="22"/>
      <c r="B33" s="43"/>
      <c r="C33" s="44"/>
      <c r="D33" s="45"/>
      <c r="E33" s="46"/>
      <c r="F33" s="47"/>
    </row>
    <row r="34" spans="1:6">
      <c r="A34" s="22"/>
      <c r="B34" s="105"/>
      <c r="D34" s="38"/>
      <c r="E34" s="39"/>
      <c r="F34" s="39"/>
    </row>
    <row r="35" spans="1:6">
      <c r="A35" s="22"/>
      <c r="B35" s="105"/>
      <c r="D35" s="38"/>
      <c r="E35" s="39"/>
      <c r="F35" s="39"/>
    </row>
    <row r="36" spans="1:6">
      <c r="A36" s="22"/>
      <c r="B36" s="105"/>
      <c r="D36" s="38"/>
      <c r="E36" s="39"/>
      <c r="F36" s="39"/>
    </row>
    <row r="37" spans="1:6">
      <c r="A37" s="22"/>
      <c r="B37" s="43"/>
      <c r="C37" s="44"/>
      <c r="D37" s="45"/>
      <c r="E37" s="46"/>
      <c r="F37" s="47"/>
    </row>
    <row r="38" spans="1:6">
      <c r="A38" s="22"/>
      <c r="B38" s="105"/>
      <c r="D38" s="38"/>
      <c r="E38" s="39"/>
      <c r="F38" s="39"/>
    </row>
    <row r="39" spans="1:6">
      <c r="A39" s="22"/>
      <c r="B39" s="105"/>
      <c r="D39" s="38"/>
      <c r="E39" s="39"/>
      <c r="F39" s="39"/>
    </row>
    <row r="40" spans="1:6">
      <c r="A40" s="22"/>
      <c r="B40" s="105"/>
      <c r="D40" s="38"/>
      <c r="E40" s="39"/>
      <c r="F40" s="39"/>
    </row>
    <row r="41" spans="1:6">
      <c r="A41" s="22"/>
      <c r="B41" s="43"/>
      <c r="C41" s="44"/>
      <c r="D41" s="45"/>
      <c r="E41" s="46"/>
      <c r="F41" s="47"/>
    </row>
    <row r="42" spans="1:6">
      <c r="A42" s="22"/>
      <c r="B42" s="105"/>
      <c r="D42" s="38"/>
      <c r="E42" s="39"/>
      <c r="F42" s="39"/>
    </row>
    <row r="43" spans="1:6">
      <c r="A43" s="22"/>
      <c r="B43" s="105"/>
      <c r="D43" s="38"/>
      <c r="E43" s="39"/>
      <c r="F43" s="39"/>
    </row>
    <row r="44" spans="1:6">
      <c r="A44" s="22"/>
      <c r="B44" s="105"/>
      <c r="D44" s="38"/>
      <c r="E44" s="39"/>
      <c r="F44" s="39"/>
    </row>
    <row r="45" spans="1:6">
      <c r="A45" s="22"/>
      <c r="B45" s="43"/>
      <c r="C45" s="44"/>
      <c r="D45" s="45"/>
      <c r="E45" s="46"/>
      <c r="F45" s="47"/>
    </row>
    <row r="46" spans="1:6">
      <c r="A46" s="22"/>
      <c r="B46" s="105"/>
      <c r="D46" s="38"/>
      <c r="E46" s="39"/>
      <c r="F46" s="39"/>
    </row>
    <row r="47" spans="1:6">
      <c r="A47" s="22"/>
      <c r="B47" s="105"/>
      <c r="D47" s="38"/>
      <c r="E47" s="39"/>
      <c r="F47" s="39"/>
    </row>
    <row r="48" spans="1:6">
      <c r="A48" s="22"/>
      <c r="B48" s="105"/>
      <c r="D48" s="38"/>
      <c r="E48" s="39"/>
      <c r="F48" s="39"/>
    </row>
    <row r="49" spans="1:6">
      <c r="A49" s="22"/>
      <c r="B49" s="43"/>
      <c r="C49" s="44"/>
      <c r="D49" s="45"/>
      <c r="E49" s="46"/>
      <c r="F49" s="47"/>
    </row>
    <row r="50" spans="1:6">
      <c r="A50" s="22"/>
      <c r="B50" s="105"/>
      <c r="D50" s="38"/>
      <c r="E50" s="39"/>
      <c r="F50" s="39"/>
    </row>
    <row r="51" spans="1:6">
      <c r="A51" s="22"/>
      <c r="B51" s="105"/>
      <c r="D51" s="38"/>
      <c r="E51" s="39"/>
      <c r="F51" s="39"/>
    </row>
    <row r="52" spans="1:6">
      <c r="A52" s="22"/>
      <c r="B52" s="105"/>
      <c r="D52" s="38"/>
      <c r="E52" s="39"/>
      <c r="F52" s="39"/>
    </row>
    <row r="53" spans="1:6">
      <c r="A53" s="22"/>
      <c r="B53" s="43"/>
      <c r="C53" s="44"/>
      <c r="D53" s="45"/>
      <c r="E53" s="46"/>
      <c r="F53" s="47"/>
    </row>
    <row r="54" spans="1:6">
      <c r="A54" s="22"/>
      <c r="B54" s="105"/>
      <c r="D54" s="38"/>
      <c r="E54" s="39"/>
      <c r="F54" s="39"/>
    </row>
    <row r="55" spans="1:6">
      <c r="A55" s="22"/>
      <c r="B55" s="105"/>
      <c r="D55" s="38"/>
      <c r="E55" s="39"/>
      <c r="F55" s="39"/>
    </row>
    <row r="56" spans="1:6">
      <c r="A56" s="22"/>
      <c r="B56" s="105"/>
      <c r="D56" s="38"/>
      <c r="E56" s="39"/>
      <c r="F56" s="39"/>
    </row>
    <row r="57" spans="1:6">
      <c r="A57" s="22"/>
      <c r="B57" s="43"/>
      <c r="C57" s="44"/>
      <c r="D57" s="45"/>
      <c r="E57" s="46"/>
      <c r="F57" s="47"/>
    </row>
    <row r="58" spans="1:6">
      <c r="A58" s="22"/>
      <c r="B58" s="105"/>
      <c r="D58" s="38"/>
      <c r="E58" s="39"/>
      <c r="F58" s="39"/>
    </row>
    <row r="59" spans="1:6">
      <c r="A59" s="22"/>
      <c r="B59" s="105"/>
      <c r="D59" s="38"/>
      <c r="E59" s="39"/>
      <c r="F59" s="39"/>
    </row>
    <row r="60" spans="1:6">
      <c r="A60" s="22"/>
      <c r="B60" s="105"/>
      <c r="D60" s="38"/>
      <c r="E60" s="39"/>
      <c r="F60" s="39"/>
    </row>
    <row r="61" spans="1:6">
      <c r="A61" s="22"/>
      <c r="B61" s="43"/>
      <c r="C61" s="44"/>
      <c r="D61" s="45"/>
      <c r="E61" s="46"/>
      <c r="F61" s="47"/>
    </row>
    <row r="62" spans="1:6">
      <c r="A62" s="22"/>
      <c r="B62" s="105"/>
      <c r="D62" s="38"/>
      <c r="E62" s="39"/>
      <c r="F62" s="39"/>
    </row>
    <row r="63" spans="1:6">
      <c r="A63" s="22"/>
      <c r="B63" s="105"/>
      <c r="D63" s="38"/>
      <c r="E63" s="39"/>
      <c r="F63" s="39"/>
    </row>
    <row r="64" spans="1:6">
      <c r="A64" s="22"/>
      <c r="B64" s="105"/>
      <c r="D64" s="38"/>
      <c r="E64" s="39"/>
      <c r="F64" s="39"/>
    </row>
    <row r="65" spans="1:6">
      <c r="A65" s="22"/>
      <c r="B65" s="43"/>
      <c r="C65" s="44"/>
      <c r="D65" s="45"/>
      <c r="E65" s="46"/>
      <c r="F65" s="47"/>
    </row>
    <row r="66" spans="1:6">
      <c r="A66" s="22"/>
      <c r="B66" s="105"/>
      <c r="D66" s="38"/>
      <c r="E66" s="39"/>
      <c r="F66" s="39"/>
    </row>
    <row r="67" spans="1:6">
      <c r="A67" s="22"/>
      <c r="B67" s="105"/>
      <c r="D67" s="38"/>
      <c r="E67" s="39"/>
      <c r="F67" s="39"/>
    </row>
    <row r="68" spans="1:6">
      <c r="A68" s="22"/>
      <c r="B68" s="105"/>
      <c r="D68" s="38"/>
      <c r="E68" s="39"/>
      <c r="F68" s="39"/>
    </row>
    <row r="69" spans="1:6">
      <c r="A69" s="22"/>
      <c r="B69" s="43"/>
      <c r="C69" s="44"/>
      <c r="D69" s="45"/>
      <c r="E69" s="46"/>
      <c r="F69" s="47"/>
    </row>
    <row r="70" spans="1:6">
      <c r="A70" s="22"/>
      <c r="B70" s="105"/>
      <c r="D70" s="38"/>
      <c r="E70" s="39"/>
      <c r="F70" s="39"/>
    </row>
    <row r="71" spans="1:6">
      <c r="A71" s="22"/>
      <c r="B71" s="105"/>
      <c r="D71" s="38"/>
      <c r="E71" s="39"/>
      <c r="F71" s="39"/>
    </row>
    <row r="72" spans="1:6">
      <c r="A72" s="22"/>
      <c r="B72" s="105"/>
      <c r="D72" s="38"/>
      <c r="E72" s="39"/>
      <c r="F72" s="39"/>
    </row>
    <row r="73" spans="1:6">
      <c r="A73" s="22"/>
      <c r="B73" s="43"/>
      <c r="C73" s="44"/>
      <c r="D73" s="45"/>
      <c r="E73" s="46"/>
      <c r="F73" s="47"/>
    </row>
    <row r="74" spans="1:6">
      <c r="A74" s="22"/>
      <c r="B74" s="105"/>
      <c r="D74" s="38"/>
      <c r="E74" s="39"/>
      <c r="F74" s="39"/>
    </row>
    <row r="75" spans="1:6">
      <c r="A75" s="22"/>
      <c r="B75" s="105"/>
      <c r="D75" s="38"/>
      <c r="E75" s="39"/>
      <c r="F75" s="39"/>
    </row>
    <row r="76" spans="1:6">
      <c r="A76" s="22"/>
      <c r="B76" s="105"/>
      <c r="D76" s="38"/>
      <c r="E76" s="39"/>
      <c r="F76" s="39"/>
    </row>
    <row r="77" spans="1:6">
      <c r="A77" s="22"/>
      <c r="B77" s="43"/>
      <c r="C77" s="44"/>
      <c r="D77" s="45"/>
      <c r="E77" s="46"/>
      <c r="F77" s="47"/>
    </row>
    <row r="78" spans="1:6">
      <c r="A78" s="22"/>
      <c r="B78" s="105"/>
      <c r="D78" s="38"/>
      <c r="E78" s="39"/>
      <c r="F78" s="39"/>
    </row>
    <row r="79" spans="1:6">
      <c r="A79" s="22"/>
      <c r="B79" s="105"/>
      <c r="D79" s="38"/>
      <c r="E79" s="39"/>
      <c r="F79" s="39"/>
    </row>
    <row r="80" spans="1:6">
      <c r="A80" s="22"/>
      <c r="B80" s="105"/>
      <c r="D80" s="38"/>
      <c r="E80" s="39"/>
      <c r="F80" s="39"/>
    </row>
    <row r="81" spans="1:6">
      <c r="A81" s="22"/>
      <c r="B81" s="43"/>
      <c r="C81" s="44"/>
      <c r="D81" s="45"/>
      <c r="E81" s="46"/>
      <c r="F81" s="47"/>
    </row>
    <row r="82" spans="1:6">
      <c r="A82" s="22"/>
      <c r="B82" s="105"/>
      <c r="D82" s="38"/>
      <c r="E82" s="39"/>
      <c r="F82" s="39"/>
    </row>
    <row r="83" spans="1:6">
      <c r="A83" s="22"/>
      <c r="B83" s="105"/>
      <c r="D83" s="38"/>
      <c r="E83" s="39"/>
      <c r="F83" s="39"/>
    </row>
    <row r="84" spans="1:6">
      <c r="A84" s="22"/>
      <c r="B84" s="105"/>
      <c r="D84" s="38"/>
      <c r="E84" s="39"/>
      <c r="F84" s="39"/>
    </row>
    <row r="85" spans="1:6">
      <c r="A85" s="22"/>
      <c r="B85" s="43"/>
      <c r="C85" s="44"/>
      <c r="D85" s="45"/>
      <c r="E85" s="46"/>
      <c r="F85" s="47"/>
    </row>
    <row r="86" spans="1:6">
      <c r="A86" s="22"/>
      <c r="B86" s="105"/>
      <c r="D86" s="38"/>
      <c r="E86" s="39"/>
      <c r="F86" s="39"/>
    </row>
    <row r="87" spans="1:6">
      <c r="A87" s="22"/>
      <c r="B87" s="105"/>
      <c r="D87" s="38"/>
      <c r="E87" s="39"/>
      <c r="F87" s="39"/>
    </row>
    <row r="88" spans="1:6">
      <c r="A88" s="22"/>
      <c r="B88" s="105"/>
      <c r="D88" s="38"/>
      <c r="E88" s="39"/>
      <c r="F88" s="39"/>
    </row>
    <row r="89" spans="1:6">
      <c r="A89" s="22"/>
      <c r="B89" s="43"/>
      <c r="C89" s="44"/>
      <c r="D89" s="45"/>
      <c r="E89" s="46"/>
      <c r="F89" s="47"/>
    </row>
    <row r="90" spans="1:6">
      <c r="A90" s="22"/>
      <c r="B90" s="105"/>
      <c r="D90" s="38"/>
      <c r="E90" s="39"/>
      <c r="F90" s="39"/>
    </row>
    <row r="91" spans="1:6">
      <c r="A91" s="22"/>
      <c r="B91" s="105"/>
      <c r="D91" s="38"/>
      <c r="E91" s="39"/>
      <c r="F91" s="39"/>
    </row>
    <row r="92" spans="1:6">
      <c r="A92" s="22"/>
      <c r="B92" s="105"/>
      <c r="D92" s="38"/>
      <c r="E92" s="39"/>
      <c r="F92" s="39"/>
    </row>
    <row r="93" spans="1:6">
      <c r="A93" s="22"/>
      <c r="B93" s="43"/>
      <c r="C93" s="44"/>
      <c r="D93" s="45"/>
      <c r="E93" s="46"/>
      <c r="F93" s="47"/>
    </row>
    <row r="94" spans="1:6">
      <c r="A94" s="22"/>
      <c r="B94" s="105"/>
      <c r="D94" s="38"/>
      <c r="E94" s="39"/>
      <c r="F94" s="39"/>
    </row>
    <row r="95" spans="1:6">
      <c r="A95" s="22"/>
      <c r="B95" s="105"/>
      <c r="D95" s="38"/>
      <c r="E95" s="39"/>
      <c r="F95" s="39"/>
    </row>
    <row r="96" spans="1:6">
      <c r="A96" s="22"/>
      <c r="B96" s="105"/>
      <c r="D96" s="38"/>
      <c r="E96" s="39"/>
      <c r="F96" s="39"/>
    </row>
    <row r="97" spans="1:6">
      <c r="A97" s="22"/>
      <c r="B97" s="43"/>
      <c r="C97" s="44"/>
      <c r="D97" s="45"/>
      <c r="E97" s="46"/>
      <c r="F97" s="47"/>
    </row>
    <row r="98" spans="1:6">
      <c r="A98" s="22"/>
      <c r="B98" s="105"/>
      <c r="D98" s="38"/>
      <c r="E98" s="39"/>
      <c r="F98" s="39"/>
    </row>
    <row r="99" spans="1:6">
      <c r="A99" s="22"/>
      <c r="B99" s="105"/>
      <c r="D99" s="38"/>
      <c r="E99" s="39"/>
      <c r="F99" s="39"/>
    </row>
    <row r="100" spans="1:6">
      <c r="A100" s="22"/>
      <c r="B100" s="105"/>
      <c r="D100" s="38"/>
      <c r="E100" s="39"/>
      <c r="F100" s="39"/>
    </row>
    <row r="101" spans="1:6">
      <c r="A101" s="22"/>
      <c r="B101" s="43"/>
      <c r="C101" s="44"/>
      <c r="D101" s="45"/>
      <c r="E101" s="46"/>
      <c r="F101" s="47"/>
    </row>
    <row r="102" spans="1:6">
      <c r="A102" s="22"/>
      <c r="B102" s="105"/>
      <c r="D102" s="38"/>
      <c r="E102" s="39"/>
      <c r="F102" s="39"/>
    </row>
    <row r="103" spans="1:6">
      <c r="A103" s="22"/>
      <c r="B103" s="105"/>
      <c r="D103" s="38"/>
      <c r="E103" s="39"/>
      <c r="F103" s="39"/>
    </row>
    <row r="104" spans="1:6">
      <c r="A104" s="22"/>
      <c r="B104" s="105"/>
      <c r="D104" s="38"/>
      <c r="E104" s="39"/>
      <c r="F104" s="39"/>
    </row>
    <row r="105" spans="1:6">
      <c r="A105" s="22"/>
      <c r="B105" s="43"/>
      <c r="C105" s="44"/>
      <c r="D105" s="45"/>
      <c r="E105" s="46"/>
      <c r="F105" s="47"/>
    </row>
    <row r="106" spans="1:6">
      <c r="A106" s="22"/>
      <c r="B106" s="105"/>
      <c r="D106" s="38"/>
      <c r="E106" s="39"/>
      <c r="F106" s="39"/>
    </row>
    <row r="107" spans="1:6">
      <c r="A107" s="22"/>
      <c r="B107" s="105"/>
      <c r="D107" s="38"/>
      <c r="E107" s="39"/>
      <c r="F107" s="39"/>
    </row>
    <row r="108" spans="1:6">
      <c r="A108" s="22"/>
      <c r="B108" s="105"/>
      <c r="D108" s="38"/>
      <c r="E108" s="39"/>
      <c r="F108" s="39"/>
    </row>
    <row r="109" spans="1:6">
      <c r="A109" s="22"/>
      <c r="B109" s="43"/>
      <c r="C109" s="44"/>
      <c r="D109" s="45"/>
      <c r="E109" s="46"/>
      <c r="F109" s="47"/>
    </row>
    <row r="110" spans="1:6">
      <c r="A110" s="22"/>
      <c r="B110" s="105"/>
      <c r="D110" s="38"/>
      <c r="E110" s="39"/>
      <c r="F110" s="39"/>
    </row>
    <row r="111" spans="1:6">
      <c r="A111" s="22"/>
      <c r="B111" s="105"/>
      <c r="D111" s="38"/>
      <c r="E111" s="39"/>
      <c r="F111" s="39"/>
    </row>
    <row r="112" spans="1:6">
      <c r="A112" s="22"/>
      <c r="B112" s="105"/>
      <c r="D112" s="38"/>
      <c r="E112" s="39"/>
      <c r="F112" s="39"/>
    </row>
    <row r="113" spans="1:6">
      <c r="A113" s="22"/>
      <c r="B113" s="43"/>
      <c r="C113" s="44"/>
      <c r="D113" s="45"/>
      <c r="E113" s="46"/>
      <c r="F113" s="47"/>
    </row>
    <row r="114" spans="1:6">
      <c r="A114" s="22"/>
      <c r="B114" s="105"/>
      <c r="D114" s="38"/>
      <c r="E114" s="39"/>
      <c r="F114" s="39"/>
    </row>
    <row r="115" spans="1:6">
      <c r="A115" s="22"/>
      <c r="B115" s="105"/>
      <c r="D115" s="38"/>
      <c r="E115" s="39"/>
      <c r="F115" s="39"/>
    </row>
    <row r="116" spans="1:6">
      <c r="A116" s="22"/>
      <c r="B116" s="105"/>
      <c r="D116" s="38"/>
      <c r="E116" s="39"/>
      <c r="F116" s="39"/>
    </row>
    <row r="117" spans="1:6">
      <c r="A117" s="22"/>
      <c r="B117" s="43"/>
      <c r="C117" s="44"/>
      <c r="D117" s="45"/>
      <c r="E117" s="46"/>
      <c r="F117" s="47"/>
    </row>
    <row r="118" spans="1:6">
      <c r="A118" s="22"/>
      <c r="B118" s="105"/>
      <c r="D118" s="38"/>
      <c r="E118" s="39"/>
      <c r="F118" s="39"/>
    </row>
    <row r="119" spans="1:6">
      <c r="A119" s="22"/>
      <c r="B119" s="105"/>
      <c r="D119" s="38"/>
      <c r="E119" s="39"/>
      <c r="F119" s="39"/>
    </row>
    <row r="120" spans="1:6">
      <c r="A120" s="22"/>
      <c r="B120" s="105"/>
      <c r="D120" s="38"/>
      <c r="E120" s="39"/>
      <c r="F120" s="39"/>
    </row>
    <row r="121" spans="1:6">
      <c r="A121" s="22"/>
      <c r="B121" s="43"/>
      <c r="C121" s="44"/>
      <c r="D121" s="45"/>
      <c r="E121" s="46"/>
      <c r="F121" s="47"/>
    </row>
    <row r="122" spans="1:6">
      <c r="A122" s="22"/>
      <c r="B122" s="105"/>
      <c r="D122" s="38"/>
      <c r="E122" s="39"/>
      <c r="F122" s="39"/>
    </row>
    <row r="123" spans="1:6">
      <c r="A123" s="22"/>
      <c r="B123" s="105"/>
      <c r="D123" s="38"/>
      <c r="E123" s="39"/>
      <c r="F123" s="39"/>
    </row>
    <row r="124" spans="1:6">
      <c r="A124" s="22"/>
      <c r="B124" s="105"/>
      <c r="D124" s="38"/>
      <c r="E124" s="39"/>
      <c r="F124" s="39"/>
    </row>
    <row r="125" spans="1:6">
      <c r="A125" s="22"/>
      <c r="B125" s="43"/>
      <c r="C125" s="44"/>
      <c r="D125" s="45"/>
      <c r="E125" s="46"/>
      <c r="F125" s="47"/>
    </row>
    <row r="126" spans="1:6">
      <c r="A126" s="22"/>
      <c r="B126" s="105"/>
      <c r="D126" s="38"/>
      <c r="E126" s="39"/>
      <c r="F126" s="39"/>
    </row>
    <row r="127" spans="1:6">
      <c r="A127" s="22"/>
      <c r="B127" s="105"/>
      <c r="D127" s="38"/>
      <c r="E127" s="39"/>
      <c r="F127" s="39"/>
    </row>
    <row r="128" spans="1:6">
      <c r="A128" s="22"/>
      <c r="B128" s="105"/>
      <c r="D128" s="38"/>
      <c r="E128" s="39"/>
      <c r="F128" s="39"/>
    </row>
    <row r="129" spans="1:6">
      <c r="A129" s="22"/>
      <c r="B129" s="43"/>
      <c r="C129" s="44"/>
      <c r="D129" s="45"/>
      <c r="E129" s="46"/>
      <c r="F129" s="47"/>
    </row>
    <row r="130" spans="1:6">
      <c r="A130" s="22"/>
      <c r="B130" s="105"/>
      <c r="D130" s="38"/>
      <c r="E130" s="39"/>
      <c r="F130" s="39"/>
    </row>
    <row r="131" spans="1:6">
      <c r="A131" s="22"/>
      <c r="B131" s="105"/>
      <c r="D131" s="38"/>
      <c r="E131" s="39"/>
      <c r="F131" s="39"/>
    </row>
    <row r="132" spans="1:6">
      <c r="A132" s="22"/>
      <c r="B132" s="105"/>
      <c r="D132" s="38"/>
      <c r="E132" s="39"/>
      <c r="F132" s="39"/>
    </row>
    <row r="133" spans="1:6">
      <c r="A133" s="22"/>
      <c r="B133" s="43"/>
      <c r="C133" s="44"/>
      <c r="D133" s="45"/>
      <c r="E133" s="46"/>
      <c r="F133" s="47"/>
    </row>
    <row r="134" spans="1:6">
      <c r="A134" s="22"/>
      <c r="B134" s="105"/>
      <c r="D134" s="38"/>
      <c r="E134" s="39"/>
      <c r="F134" s="39"/>
    </row>
    <row r="135" spans="1:6">
      <c r="A135" s="22"/>
      <c r="B135" s="105"/>
      <c r="D135" s="38"/>
      <c r="E135" s="39"/>
      <c r="F135" s="39"/>
    </row>
    <row r="136" spans="1:6">
      <c r="A136" s="22"/>
      <c r="B136" s="105"/>
      <c r="D136" s="38"/>
      <c r="E136" s="39"/>
      <c r="F136" s="39"/>
    </row>
    <row r="137" spans="1:6">
      <c r="A137" s="22"/>
      <c r="B137" s="43"/>
      <c r="C137" s="44"/>
      <c r="D137" s="45"/>
      <c r="E137" s="46"/>
      <c r="F137" s="47"/>
    </row>
    <row r="138" spans="1:6">
      <c r="A138" s="22"/>
      <c r="B138" s="105"/>
      <c r="D138" s="38"/>
      <c r="E138" s="39"/>
      <c r="F138" s="39"/>
    </row>
    <row r="139" spans="1:6">
      <c r="A139" s="22"/>
      <c r="B139" s="105"/>
      <c r="D139" s="38"/>
      <c r="E139" s="39"/>
      <c r="F139" s="39"/>
    </row>
    <row r="140" spans="1:6">
      <c r="A140" s="22"/>
      <c r="B140" s="105"/>
      <c r="D140" s="38"/>
      <c r="E140" s="39"/>
      <c r="F140" s="39"/>
    </row>
    <row r="141" spans="1:6">
      <c r="A141" s="22"/>
      <c r="B141" s="43"/>
      <c r="C141" s="44"/>
      <c r="D141" s="45"/>
      <c r="E141" s="46"/>
      <c r="F141" s="47"/>
    </row>
    <row r="142" spans="1:6">
      <c r="A142" s="22"/>
      <c r="B142" s="105"/>
      <c r="D142" s="38"/>
      <c r="E142" s="39"/>
      <c r="F142" s="39"/>
    </row>
    <row r="143" spans="1:6">
      <c r="A143" s="22"/>
      <c r="B143" s="105"/>
      <c r="D143" s="38"/>
      <c r="E143" s="39"/>
      <c r="F143" s="39"/>
    </row>
    <row r="144" spans="1:6">
      <c r="A144" s="22"/>
      <c r="B144" s="105"/>
      <c r="D144" s="38"/>
      <c r="E144" s="39"/>
      <c r="F144" s="39"/>
    </row>
    <row r="145" spans="1:6">
      <c r="A145" s="22"/>
      <c r="B145" s="43"/>
      <c r="C145" s="44"/>
      <c r="D145" s="45"/>
      <c r="E145" s="46"/>
      <c r="F145" s="47"/>
    </row>
    <row r="146" spans="1:6">
      <c r="A146" s="22"/>
      <c r="B146" s="105"/>
      <c r="D146" s="38"/>
      <c r="E146" s="39"/>
      <c r="F146" s="39"/>
    </row>
    <row r="147" spans="1:6">
      <c r="A147" s="22"/>
      <c r="B147" s="105"/>
      <c r="D147" s="38"/>
      <c r="E147" s="39"/>
      <c r="F147" s="39"/>
    </row>
    <row r="148" spans="1:6">
      <c r="A148" s="22"/>
      <c r="B148" s="105"/>
      <c r="D148" s="38"/>
      <c r="E148" s="39"/>
      <c r="F148" s="39"/>
    </row>
    <row r="149" spans="1:6">
      <c r="A149" s="22"/>
      <c r="B149" s="43"/>
      <c r="C149" s="44"/>
      <c r="D149" s="45"/>
      <c r="E149" s="46"/>
      <c r="F149" s="47"/>
    </row>
    <row r="150" spans="1:6">
      <c r="A150" s="22"/>
      <c r="B150" s="105"/>
      <c r="D150" s="38"/>
      <c r="E150" s="39"/>
      <c r="F150" s="39"/>
    </row>
    <row r="151" spans="1:6">
      <c r="A151" s="22"/>
      <c r="B151" s="105"/>
      <c r="D151" s="38"/>
      <c r="E151" s="39"/>
      <c r="F151" s="39"/>
    </row>
    <row r="152" spans="1:6">
      <c r="A152" s="22"/>
      <c r="B152" s="105"/>
      <c r="D152" s="38"/>
      <c r="E152" s="39"/>
      <c r="F152" s="39"/>
    </row>
    <row r="153" spans="1:6">
      <c r="A153" s="22"/>
      <c r="B153" s="43"/>
      <c r="C153" s="44"/>
      <c r="D153" s="45"/>
      <c r="E153" s="46"/>
      <c r="F153" s="47"/>
    </row>
    <row r="154" spans="1:6">
      <c r="A154" s="22"/>
      <c r="B154" s="105"/>
      <c r="D154" s="38"/>
      <c r="E154" s="39"/>
      <c r="F154" s="39"/>
    </row>
    <row r="155" spans="1:6">
      <c r="A155" s="22"/>
      <c r="B155" s="105"/>
      <c r="D155" s="38"/>
      <c r="E155" s="39"/>
      <c r="F155" s="39"/>
    </row>
    <row r="156" spans="1:6">
      <c r="A156" s="22"/>
      <c r="B156" s="105"/>
      <c r="D156" s="38"/>
      <c r="E156" s="39"/>
      <c r="F156" s="39"/>
    </row>
    <row r="157" spans="1:6">
      <c r="A157" s="22"/>
      <c r="B157" s="43"/>
      <c r="C157" s="44"/>
      <c r="D157" s="45"/>
      <c r="E157" s="46"/>
      <c r="F157" s="47"/>
    </row>
    <row r="158" spans="1:6">
      <c r="A158" s="22"/>
      <c r="B158" s="105"/>
      <c r="D158" s="38"/>
      <c r="E158" s="39"/>
      <c r="F158" s="39"/>
    </row>
    <row r="159" spans="1:6">
      <c r="A159" s="22"/>
      <c r="B159" s="105"/>
      <c r="D159" s="38"/>
      <c r="E159" s="39"/>
      <c r="F159" s="39"/>
    </row>
    <row r="160" spans="1:6">
      <c r="A160" s="22"/>
      <c r="B160" s="105"/>
      <c r="D160" s="38"/>
      <c r="E160" s="39"/>
      <c r="F160" s="39"/>
    </row>
    <row r="161" spans="1:6">
      <c r="A161" s="22"/>
      <c r="B161" s="43"/>
      <c r="C161" s="44"/>
      <c r="D161" s="45"/>
      <c r="E161" s="46"/>
      <c r="F161" s="47"/>
    </row>
    <row r="162" spans="1:6">
      <c r="A162" s="22"/>
      <c r="B162" s="105"/>
      <c r="D162" s="38"/>
      <c r="E162" s="39"/>
      <c r="F162" s="39"/>
    </row>
    <row r="163" spans="1:6">
      <c r="A163" s="22"/>
      <c r="B163" s="105"/>
      <c r="D163" s="38"/>
      <c r="E163" s="39"/>
      <c r="F163" s="39"/>
    </row>
    <row r="164" spans="1:6">
      <c r="A164" s="22"/>
      <c r="B164" s="105"/>
      <c r="D164" s="38"/>
      <c r="E164" s="39"/>
      <c r="F164" s="39"/>
    </row>
    <row r="165" spans="1:6">
      <c r="A165" s="22"/>
      <c r="B165" s="43"/>
      <c r="C165" s="44"/>
      <c r="D165" s="45"/>
      <c r="E165" s="46"/>
      <c r="F165" s="47"/>
    </row>
    <row r="166" spans="1:6">
      <c r="A166" s="22"/>
      <c r="B166" s="105"/>
      <c r="D166" s="38"/>
      <c r="E166" s="39"/>
      <c r="F166" s="39"/>
    </row>
    <row r="167" spans="1:6">
      <c r="A167" s="22"/>
      <c r="B167" s="105"/>
      <c r="D167" s="38"/>
      <c r="E167" s="39"/>
      <c r="F167" s="39"/>
    </row>
    <row r="168" spans="1:6">
      <c r="A168" s="22"/>
      <c r="B168" s="105"/>
      <c r="D168" s="38"/>
      <c r="E168" s="39"/>
      <c r="F168" s="39"/>
    </row>
    <row r="169" spans="1:6">
      <c r="A169" s="22"/>
      <c r="B169" s="43"/>
      <c r="C169" s="44"/>
      <c r="D169" s="45"/>
      <c r="E169" s="46"/>
      <c r="F169" s="47"/>
    </row>
    <row r="170" spans="1:6">
      <c r="A170" s="22"/>
      <c r="B170" s="105"/>
      <c r="D170" s="38"/>
      <c r="E170" s="39"/>
      <c r="F170" s="39"/>
    </row>
    <row r="171" spans="1:6">
      <c r="A171" s="22"/>
      <c r="B171" s="105"/>
      <c r="D171" s="38"/>
      <c r="E171" s="39"/>
      <c r="F171" s="39"/>
    </row>
    <row r="172" spans="1:6">
      <c r="A172" s="22"/>
      <c r="B172" s="105"/>
      <c r="D172" s="38"/>
      <c r="E172" s="39"/>
      <c r="F172" s="39"/>
    </row>
    <row r="173" spans="1:6">
      <c r="A173" s="22"/>
      <c r="B173" s="43"/>
      <c r="C173" s="44"/>
      <c r="D173" s="45"/>
      <c r="E173" s="46"/>
      <c r="F173" s="47"/>
    </row>
    <row r="174" spans="1:6">
      <c r="A174" s="22"/>
      <c r="B174" s="105"/>
      <c r="D174" s="38"/>
      <c r="E174" s="39"/>
      <c r="F174" s="39"/>
    </row>
  </sheetData>
  <sheetProtection algorithmName="SHA-512" hashValue="0sMTta9qSj6t7eMlRpSzjrH3duX6YTGAdoW41rp3KllCPHjEs7vMXATO1m0j24LlrMA/ZfBptx+IblUa/qrfeQ==" saltValue="wwKDUlqE9B3f8ldUeTD4Iw=="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tint="0.39997558519241921"/>
  </sheetPr>
  <dimension ref="A1:G73"/>
  <sheetViews>
    <sheetView topLeftCell="A46" zoomScale="70" zoomScaleNormal="70" zoomScaleSheetLayoutView="145" workbookViewId="0">
      <selection activeCell="F70" sqref="F70"/>
    </sheetView>
  </sheetViews>
  <sheetFormatPr defaultColWidth="9.109375" defaultRowHeight="13.2"/>
  <cols>
    <col min="1" max="1" width="6.6640625" style="12" customWidth="1"/>
    <col min="2" max="2" width="57.6640625" style="10" customWidth="1"/>
    <col min="3" max="3" width="10.6640625" style="60" customWidth="1"/>
    <col min="4" max="5" width="10.6640625" style="20" customWidth="1"/>
    <col min="6" max="6" width="12.6640625" style="20" customWidth="1"/>
    <col min="7" max="16384" width="9.109375" style="10"/>
  </cols>
  <sheetData>
    <row r="1" spans="1:7" ht="13.8" thickBot="1">
      <c r="A1" s="895" t="s">
        <v>369</v>
      </c>
      <c r="B1" s="868" t="s">
        <v>370</v>
      </c>
      <c r="C1" s="882"/>
      <c r="D1" s="889"/>
      <c r="E1" s="891"/>
      <c r="F1" s="891"/>
    </row>
    <row r="2" spans="1:7">
      <c r="D2" s="80"/>
      <c r="E2" s="19"/>
      <c r="F2" s="19"/>
    </row>
    <row r="3" spans="1:7">
      <c r="A3" s="44"/>
      <c r="B3" s="81"/>
      <c r="D3" s="80"/>
      <c r="E3" s="19"/>
      <c r="F3" s="19"/>
    </row>
    <row r="4" spans="1:7">
      <c r="A4" s="44"/>
      <c r="B4" s="81"/>
      <c r="D4" s="80"/>
      <c r="E4" s="124"/>
      <c r="F4" s="124"/>
    </row>
    <row r="5" spans="1:7">
      <c r="A5" s="44"/>
      <c r="B5" s="81"/>
      <c r="D5" s="80"/>
      <c r="E5" s="124"/>
      <c r="F5" s="124"/>
    </row>
    <row r="6" spans="1:7">
      <c r="A6" s="44"/>
      <c r="B6" s="81"/>
      <c r="D6" s="80"/>
      <c r="E6" s="124"/>
      <c r="F6" s="124"/>
    </row>
    <row r="7" spans="1:7" s="20" customFormat="1" ht="14.25" customHeight="1">
      <c r="A7" s="1527" t="s">
        <v>145</v>
      </c>
      <c r="B7" s="1528" t="s">
        <v>146</v>
      </c>
      <c r="C7" s="1529" t="s">
        <v>147</v>
      </c>
      <c r="D7" s="1532" t="s">
        <v>148</v>
      </c>
      <c r="E7" s="1532" t="s">
        <v>149</v>
      </c>
      <c r="F7" s="1532"/>
      <c r="G7" s="1537" t="s">
        <v>2523</v>
      </c>
    </row>
    <row r="8" spans="1:7" s="20" customFormat="1">
      <c r="A8" s="1527"/>
      <c r="B8" s="1528"/>
      <c r="C8" s="1530"/>
      <c r="D8" s="1532"/>
      <c r="E8" s="1532"/>
      <c r="F8" s="1532"/>
      <c r="G8" s="1537"/>
    </row>
    <row r="9" spans="1:7" s="20" customFormat="1">
      <c r="A9" s="1527"/>
      <c r="B9" s="1528"/>
      <c r="C9" s="1531"/>
      <c r="D9" s="1532"/>
      <c r="E9" s="49" t="s">
        <v>150</v>
      </c>
      <c r="F9" s="50" t="s">
        <v>151</v>
      </c>
      <c r="G9" s="1537"/>
    </row>
    <row r="10" spans="1:7" s="20" customFormat="1">
      <c r="A10" s="52"/>
      <c r="B10" s="53"/>
      <c r="C10" s="54"/>
      <c r="D10" s="55"/>
      <c r="E10" s="56"/>
      <c r="F10" s="57"/>
    </row>
    <row r="11" spans="1:7" s="20" customFormat="1" ht="79.2">
      <c r="A11" s="43">
        <v>1</v>
      </c>
      <c r="B11" s="129" t="s">
        <v>410</v>
      </c>
      <c r="C11" s="54"/>
      <c r="D11" s="55"/>
      <c r="E11" s="56"/>
      <c r="F11" s="57"/>
    </row>
    <row r="12" spans="1:7">
      <c r="A12" s="22"/>
      <c r="B12" s="127" t="s">
        <v>273</v>
      </c>
      <c r="C12" s="12" t="s">
        <v>9</v>
      </c>
      <c r="D12" s="38">
        <v>1</v>
      </c>
      <c r="E12" s="1324">
        <f>'[1]B_XIV_KONZERVATORSKI RADOVI'!E12</f>
        <v>8000</v>
      </c>
      <c r="F12" s="219">
        <f>SUM(D12*E12)</f>
        <v>8000</v>
      </c>
    </row>
    <row r="13" spans="1:7">
      <c r="A13" s="22"/>
      <c r="B13" s="127"/>
      <c r="C13" s="12"/>
      <c r="D13" s="38"/>
      <c r="E13" s="39"/>
      <c r="F13" s="39"/>
    </row>
    <row r="14" spans="1:7" ht="171.6">
      <c r="A14" s="22">
        <v>2</v>
      </c>
      <c r="B14" s="67" t="s">
        <v>371</v>
      </c>
      <c r="D14" s="80"/>
      <c r="E14" s="19"/>
      <c r="F14" s="19"/>
    </row>
    <row r="15" spans="1:7" ht="15">
      <c r="A15" s="44"/>
      <c r="B15" s="67" t="s">
        <v>372</v>
      </c>
      <c r="C15" s="60" t="s">
        <v>173</v>
      </c>
      <c r="D15" s="80">
        <v>260</v>
      </c>
      <c r="E15" s="1321">
        <f>'[1]B_XIV_KONZERVATORSKI RADOVI'!E15</f>
        <v>80</v>
      </c>
      <c r="F15" s="124">
        <f>SUM(D15*E15)</f>
        <v>20800</v>
      </c>
    </row>
    <row r="16" spans="1:7">
      <c r="A16" s="44"/>
      <c r="B16" s="67"/>
      <c r="D16" s="80"/>
      <c r="E16" s="124"/>
      <c r="F16" s="124"/>
    </row>
    <row r="17" spans="1:6" ht="118.8">
      <c r="A17" s="22">
        <v>3</v>
      </c>
      <c r="B17" s="67" t="s">
        <v>373</v>
      </c>
      <c r="D17" s="80"/>
      <c r="E17" s="19"/>
      <c r="F17" s="19"/>
    </row>
    <row r="18" spans="1:6" ht="15">
      <c r="A18" s="44"/>
      <c r="B18" s="67" t="s">
        <v>374</v>
      </c>
      <c r="C18" s="60" t="s">
        <v>173</v>
      </c>
      <c r="D18" s="80">
        <v>390</v>
      </c>
      <c r="E18" s="1321">
        <f>'[1]B_XIV_KONZERVATORSKI RADOVI'!E18</f>
        <v>60</v>
      </c>
      <c r="F18" s="124">
        <f>SUM(D18*E18)</f>
        <v>23400</v>
      </c>
    </row>
    <row r="19" spans="1:6">
      <c r="A19" s="44"/>
      <c r="D19" s="80"/>
      <c r="E19" s="124"/>
      <c r="F19" s="124"/>
    </row>
    <row r="20" spans="1:6" ht="92.4">
      <c r="A20" s="43">
        <v>4</v>
      </c>
      <c r="B20" s="67" t="s">
        <v>375</v>
      </c>
      <c r="C20" s="12"/>
      <c r="D20" s="38"/>
      <c r="E20" s="219"/>
      <c r="F20" s="219"/>
    </row>
    <row r="21" spans="1:6" ht="15">
      <c r="A21" s="10"/>
      <c r="B21" s="11"/>
      <c r="C21" s="12" t="s">
        <v>173</v>
      </c>
      <c r="D21" s="78">
        <v>20</v>
      </c>
      <c r="E21" s="1325">
        <f>'[1]B_XIV_KONZERVATORSKI RADOVI'!E21</f>
        <v>100</v>
      </c>
      <c r="F21" s="220">
        <f>SUM(D21*E21)</f>
        <v>2000</v>
      </c>
    </row>
    <row r="22" spans="1:6">
      <c r="A22" s="44"/>
      <c r="D22" s="80"/>
      <c r="E22" s="124"/>
      <c r="F22" s="124"/>
    </row>
    <row r="23" spans="1:6" ht="66">
      <c r="A23" s="43">
        <v>5</v>
      </c>
      <c r="B23" s="67" t="s">
        <v>383</v>
      </c>
      <c r="C23" s="12"/>
      <c r="D23" s="38"/>
      <c r="E23" s="219"/>
      <c r="F23" s="219"/>
    </row>
    <row r="24" spans="1:6" ht="26.4">
      <c r="A24" s="43"/>
      <c r="B24" s="67" t="s">
        <v>379</v>
      </c>
      <c r="C24" s="60" t="s">
        <v>9</v>
      </c>
      <c r="D24" s="61">
        <v>1</v>
      </c>
      <c r="E24" s="1325">
        <f>'[1]B_XIV_KONZERVATORSKI RADOVI'!E24</f>
        <v>200</v>
      </c>
      <c r="F24" s="220">
        <f t="shared" ref="F24:F31" si="0">SUM(D24*E24)</f>
        <v>200</v>
      </c>
    </row>
    <row r="25" spans="1:6" ht="39.6">
      <c r="A25" s="43"/>
      <c r="B25" s="67" t="s">
        <v>380</v>
      </c>
      <c r="C25" s="60" t="s">
        <v>9</v>
      </c>
      <c r="D25" s="61">
        <v>1</v>
      </c>
      <c r="E25" s="1325">
        <f>'[1]B_XIV_KONZERVATORSKI RADOVI'!E25</f>
        <v>200</v>
      </c>
      <c r="F25" s="220">
        <f t="shared" si="0"/>
        <v>200</v>
      </c>
    </row>
    <row r="26" spans="1:6" ht="26.4">
      <c r="A26" s="43"/>
      <c r="B26" s="67" t="s">
        <v>381</v>
      </c>
      <c r="C26" s="60" t="s">
        <v>9</v>
      </c>
      <c r="D26" s="61">
        <v>1</v>
      </c>
      <c r="E26" s="1325">
        <f>'[1]B_XIV_KONZERVATORSKI RADOVI'!E26</f>
        <v>200</v>
      </c>
      <c r="F26" s="220">
        <f t="shared" si="0"/>
        <v>200</v>
      </c>
    </row>
    <row r="27" spans="1:6" ht="26.4">
      <c r="A27" s="43"/>
      <c r="B27" s="67" t="s">
        <v>382</v>
      </c>
      <c r="C27" s="60" t="s">
        <v>9</v>
      </c>
      <c r="D27" s="61">
        <v>1</v>
      </c>
      <c r="E27" s="1325">
        <f>'[1]B_XIV_KONZERVATORSKI RADOVI'!E27</f>
        <v>200</v>
      </c>
      <c r="F27" s="220">
        <f t="shared" si="0"/>
        <v>200</v>
      </c>
    </row>
    <row r="28" spans="1:6" ht="26.4">
      <c r="A28" s="43"/>
      <c r="B28" s="67" t="s">
        <v>384</v>
      </c>
      <c r="C28" s="60" t="s">
        <v>9</v>
      </c>
      <c r="D28" s="61">
        <v>1</v>
      </c>
      <c r="E28" s="1325">
        <f>'[1]B_XIV_KONZERVATORSKI RADOVI'!E28</f>
        <v>200</v>
      </c>
      <c r="F28" s="220">
        <f t="shared" si="0"/>
        <v>200</v>
      </c>
    </row>
    <row r="29" spans="1:6" ht="39.6">
      <c r="A29" s="43"/>
      <c r="B29" s="67" t="s">
        <v>385</v>
      </c>
      <c r="C29" s="60" t="s">
        <v>9</v>
      </c>
      <c r="D29" s="61">
        <v>1</v>
      </c>
      <c r="E29" s="1325">
        <f>'[1]B_XIV_KONZERVATORSKI RADOVI'!E29</f>
        <v>200</v>
      </c>
      <c r="F29" s="220">
        <f t="shared" si="0"/>
        <v>200</v>
      </c>
    </row>
    <row r="30" spans="1:6" ht="26.4">
      <c r="A30" s="43"/>
      <c r="B30" s="67" t="s">
        <v>387</v>
      </c>
      <c r="C30" s="60" t="s">
        <v>9</v>
      </c>
      <c r="D30" s="61">
        <v>1</v>
      </c>
      <c r="E30" s="1325">
        <f>'[1]B_XIV_KONZERVATORSKI RADOVI'!E30</f>
        <v>200</v>
      </c>
      <c r="F30" s="220">
        <f t="shared" si="0"/>
        <v>200</v>
      </c>
    </row>
    <row r="31" spans="1:6" ht="39.6">
      <c r="A31" s="43"/>
      <c r="B31" s="67" t="s">
        <v>411</v>
      </c>
      <c r="C31" s="60" t="s">
        <v>9</v>
      </c>
      <c r="D31" s="61">
        <v>1</v>
      </c>
      <c r="E31" s="1325">
        <f>'[1]B_XIV_KONZERVATORSKI RADOVI'!E31</f>
        <v>200</v>
      </c>
      <c r="F31" s="220">
        <f t="shared" si="0"/>
        <v>200</v>
      </c>
    </row>
    <row r="32" spans="1:6">
      <c r="A32" s="43"/>
      <c r="B32" s="67"/>
      <c r="C32" s="12"/>
      <c r="D32" s="38"/>
      <c r="E32" s="219"/>
      <c r="F32" s="219"/>
    </row>
    <row r="33" spans="1:6" ht="132">
      <c r="A33" s="43">
        <v>6</v>
      </c>
      <c r="B33" s="67" t="s">
        <v>386</v>
      </c>
      <c r="C33" s="12"/>
      <c r="D33" s="38"/>
      <c r="E33" s="219"/>
      <c r="F33" s="219"/>
    </row>
    <row r="34" spans="1:6">
      <c r="A34" s="43"/>
      <c r="B34" s="67"/>
      <c r="C34" s="12"/>
      <c r="D34" s="38"/>
      <c r="E34" s="219"/>
      <c r="F34" s="219"/>
    </row>
    <row r="35" spans="1:6" ht="26.4">
      <c r="A35" s="22"/>
      <c r="B35" s="67" t="s">
        <v>379</v>
      </c>
      <c r="C35" s="12"/>
      <c r="D35" s="38"/>
      <c r="E35" s="219"/>
      <c r="F35" s="219"/>
    </row>
    <row r="36" spans="1:6">
      <c r="A36" s="22"/>
      <c r="B36" s="144" t="s">
        <v>376</v>
      </c>
      <c r="C36" s="12" t="s">
        <v>9</v>
      </c>
      <c r="D36" s="38">
        <v>1</v>
      </c>
      <c r="E36" s="1324">
        <f>'[1]B_XIV_KONZERVATORSKI RADOVI'!E36</f>
        <v>200</v>
      </c>
      <c r="F36" s="219">
        <f>SUM(D36*E36)</f>
        <v>200</v>
      </c>
    </row>
    <row r="37" spans="1:6" ht="15">
      <c r="A37" s="22"/>
      <c r="B37" s="67" t="s">
        <v>2567</v>
      </c>
      <c r="C37" s="60" t="s">
        <v>190</v>
      </c>
      <c r="D37" s="61">
        <v>26</v>
      </c>
      <c r="E37" s="1325">
        <f>'[1]B_XIV_KONZERVATORSKI RADOVI'!E37</f>
        <v>100</v>
      </c>
      <c r="F37" s="220">
        <f>SUM(D37*E37)</f>
        <v>2600</v>
      </c>
    </row>
    <row r="38" spans="1:6">
      <c r="A38" s="22"/>
      <c r="B38" s="144"/>
      <c r="C38" s="12"/>
      <c r="D38" s="38"/>
      <c r="E38" s="219"/>
      <c r="F38" s="219"/>
    </row>
    <row r="39" spans="1:6" ht="39.6">
      <c r="A39" s="22"/>
      <c r="B39" s="67" t="s">
        <v>380</v>
      </c>
      <c r="C39" s="12"/>
      <c r="D39" s="38"/>
      <c r="E39" s="219"/>
      <c r="F39" s="219"/>
    </row>
    <row r="40" spans="1:6">
      <c r="A40" s="22"/>
      <c r="B40" s="144" t="s">
        <v>376</v>
      </c>
      <c r="C40" s="12" t="s">
        <v>9</v>
      </c>
      <c r="D40" s="38">
        <v>1</v>
      </c>
      <c r="E40" s="1324">
        <f>'[1]B_XIV_KONZERVATORSKI RADOVI'!E40</f>
        <v>200</v>
      </c>
      <c r="F40" s="219">
        <f>SUM(D40*E40)</f>
        <v>200</v>
      </c>
    </row>
    <row r="41" spans="1:6" ht="12.75" customHeight="1">
      <c r="A41" s="22"/>
      <c r="B41" s="1200" t="s">
        <v>2568</v>
      </c>
      <c r="C41" s="60" t="s">
        <v>190</v>
      </c>
      <c r="D41" s="61">
        <v>12</v>
      </c>
      <c r="E41" s="1325">
        <f>'[1]B_XIV_KONZERVATORSKI RADOVI'!E41</f>
        <v>100</v>
      </c>
      <c r="F41" s="220">
        <f>SUM(D41*E41)</f>
        <v>1200</v>
      </c>
    </row>
    <row r="42" spans="1:6">
      <c r="A42" s="22"/>
      <c r="B42" s="144"/>
      <c r="C42" s="12"/>
      <c r="D42" s="10"/>
      <c r="E42" s="10"/>
      <c r="F42" s="10"/>
    </row>
    <row r="43" spans="1:6" ht="26.4">
      <c r="A43" s="22"/>
      <c r="B43" s="67" t="s">
        <v>381</v>
      </c>
      <c r="C43" s="12"/>
      <c r="D43" s="38"/>
      <c r="E43" s="219"/>
      <c r="F43" s="219"/>
    </row>
    <row r="44" spans="1:6">
      <c r="A44" s="22"/>
      <c r="B44" s="144" t="s">
        <v>376</v>
      </c>
      <c r="C44" s="12" t="s">
        <v>9</v>
      </c>
      <c r="D44" s="38">
        <v>1</v>
      </c>
      <c r="E44" s="1324">
        <f>'[1]B_XIV_KONZERVATORSKI RADOVI'!E44</f>
        <v>200</v>
      </c>
      <c r="F44" s="219">
        <f>SUM(D44*E44)</f>
        <v>200</v>
      </c>
    </row>
    <row r="45" spans="1:6" ht="15">
      <c r="A45" s="22"/>
      <c r="B45" s="67" t="s">
        <v>2569</v>
      </c>
      <c r="C45" s="60" t="s">
        <v>190</v>
      </c>
      <c r="D45" s="61">
        <v>5.6</v>
      </c>
      <c r="E45" s="1325">
        <f>'[1]B_XIV_KONZERVATORSKI RADOVI'!E45</f>
        <v>100</v>
      </c>
      <c r="F45" s="220">
        <f>SUM(D45*E45)</f>
        <v>560</v>
      </c>
    </row>
    <row r="46" spans="1:6">
      <c r="A46" s="22"/>
      <c r="B46" s="67"/>
      <c r="C46" s="12"/>
      <c r="D46" s="38"/>
      <c r="E46" s="219"/>
      <c r="F46" s="219"/>
    </row>
    <row r="47" spans="1:6" ht="26.4">
      <c r="A47" s="22"/>
      <c r="B47" s="67" t="s">
        <v>382</v>
      </c>
      <c r="C47" s="12"/>
      <c r="D47" s="38"/>
      <c r="E47" s="219"/>
      <c r="F47" s="219"/>
    </row>
    <row r="48" spans="1:6">
      <c r="A48" s="22"/>
      <c r="B48" s="144" t="s">
        <v>376</v>
      </c>
      <c r="C48" s="12" t="s">
        <v>9</v>
      </c>
      <c r="D48" s="38">
        <v>1</v>
      </c>
      <c r="E48" s="1324">
        <f>'[1]B_XIV_KONZERVATORSKI RADOVI'!E48</f>
        <v>200</v>
      </c>
      <c r="F48" s="219">
        <f>SUM(D48*E48)</f>
        <v>200</v>
      </c>
    </row>
    <row r="49" spans="1:6" ht="15">
      <c r="A49" s="22"/>
      <c r="B49" s="67" t="s">
        <v>2570</v>
      </c>
      <c r="C49" s="60" t="s">
        <v>190</v>
      </c>
      <c r="D49" s="61">
        <v>20</v>
      </c>
      <c r="E49" s="1325">
        <f>'[1]B_XIV_KONZERVATORSKI RADOVI'!E49</f>
        <v>100</v>
      </c>
      <c r="F49" s="220">
        <f>SUM(D49*E49)</f>
        <v>2000</v>
      </c>
    </row>
    <row r="50" spans="1:6">
      <c r="A50" s="22"/>
      <c r="B50" s="67"/>
      <c r="C50" s="12"/>
      <c r="D50" s="38"/>
      <c r="E50" s="219"/>
      <c r="F50" s="219"/>
    </row>
    <row r="51" spans="1:6" ht="26.4">
      <c r="A51" s="22"/>
      <c r="B51" s="67" t="s">
        <v>384</v>
      </c>
      <c r="C51" s="12"/>
      <c r="D51" s="38"/>
      <c r="E51" s="219"/>
      <c r="F51" s="219"/>
    </row>
    <row r="52" spans="1:6">
      <c r="A52" s="22"/>
      <c r="B52" s="144" t="s">
        <v>376</v>
      </c>
      <c r="C52" s="12" t="s">
        <v>9</v>
      </c>
      <c r="D52" s="38">
        <v>1</v>
      </c>
      <c r="E52" s="1324">
        <f>'[1]B_XIV_KONZERVATORSKI RADOVI'!E52</f>
        <v>200</v>
      </c>
      <c r="F52" s="219">
        <f>SUM(D52*E52)</f>
        <v>200</v>
      </c>
    </row>
    <row r="53" spans="1:6" ht="15">
      <c r="A53" s="22"/>
      <c r="B53" s="67" t="s">
        <v>2571</v>
      </c>
      <c r="C53" s="60" t="s">
        <v>190</v>
      </c>
      <c r="D53" s="61">
        <v>7.5</v>
      </c>
      <c r="E53" s="1325">
        <f>'[1]B_XIV_KONZERVATORSKI RADOVI'!E53</f>
        <v>10</v>
      </c>
      <c r="F53" s="220">
        <f>SUM(D53*E53)</f>
        <v>75</v>
      </c>
    </row>
    <row r="54" spans="1:6">
      <c r="A54" s="22"/>
      <c r="B54" s="67"/>
      <c r="C54" s="12"/>
      <c r="D54" s="38"/>
      <c r="E54" s="219"/>
      <c r="F54" s="219"/>
    </row>
    <row r="55" spans="1:6" ht="39.6">
      <c r="A55" s="22"/>
      <c r="B55" s="67" t="s">
        <v>385</v>
      </c>
      <c r="C55" s="12"/>
      <c r="D55" s="38"/>
      <c r="E55" s="219"/>
      <c r="F55" s="219"/>
    </row>
    <row r="56" spans="1:6">
      <c r="A56" s="22"/>
      <c r="B56" s="144" t="s">
        <v>376</v>
      </c>
      <c r="C56" s="12" t="s">
        <v>9</v>
      </c>
      <c r="D56" s="38">
        <v>1</v>
      </c>
      <c r="E56" s="1324">
        <f>'[1]B_XIV_KONZERVATORSKI RADOVI'!E56</f>
        <v>200</v>
      </c>
      <c r="F56" s="219">
        <f>SUM(D56*E56)</f>
        <v>200</v>
      </c>
    </row>
    <row r="57" spans="1:6" ht="15">
      <c r="A57" s="22"/>
      <c r="B57" s="67" t="s">
        <v>2571</v>
      </c>
      <c r="C57" s="60" t="s">
        <v>190</v>
      </c>
      <c r="D57" s="61">
        <v>2</v>
      </c>
      <c r="E57" s="1325">
        <f>'[1]B_XIV_KONZERVATORSKI RADOVI'!E57</f>
        <v>100</v>
      </c>
      <c r="F57" s="220">
        <f>SUM(D57*E57)</f>
        <v>200</v>
      </c>
    </row>
    <row r="58" spans="1:6">
      <c r="A58" s="22"/>
      <c r="B58" s="67"/>
      <c r="D58" s="61"/>
      <c r="E58" s="220"/>
      <c r="F58" s="220"/>
    </row>
    <row r="59" spans="1:6" ht="26.4">
      <c r="A59" s="22"/>
      <c r="B59" s="67" t="s">
        <v>387</v>
      </c>
      <c r="C59" s="12"/>
      <c r="D59" s="38"/>
      <c r="E59" s="219"/>
      <c r="F59" s="219"/>
    </row>
    <row r="60" spans="1:6">
      <c r="A60" s="22"/>
      <c r="B60" s="144" t="s">
        <v>376</v>
      </c>
      <c r="C60" s="12" t="s">
        <v>9</v>
      </c>
      <c r="D60" s="38">
        <v>1</v>
      </c>
      <c r="E60" s="1324">
        <f>'[1]B_XIV_KONZERVATORSKI RADOVI'!E60</f>
        <v>200</v>
      </c>
      <c r="F60" s="219">
        <f>SUM(D60*E60)</f>
        <v>200</v>
      </c>
    </row>
    <row r="61" spans="1:6" ht="26.4">
      <c r="A61" s="22"/>
      <c r="B61" s="67" t="s">
        <v>2572</v>
      </c>
      <c r="C61" s="60" t="s">
        <v>190</v>
      </c>
      <c r="D61" s="61">
        <v>1.3</v>
      </c>
      <c r="E61" s="1325">
        <f>'[1]B_XIV_KONZERVATORSKI RADOVI'!E61</f>
        <v>100</v>
      </c>
      <c r="F61" s="220">
        <f>SUM(D61*E61)</f>
        <v>130</v>
      </c>
    </row>
    <row r="62" spans="1:6">
      <c r="A62" s="22"/>
      <c r="B62" s="67"/>
      <c r="D62" s="61"/>
      <c r="E62" s="220"/>
      <c r="F62" s="220"/>
    </row>
    <row r="63" spans="1:6">
      <c r="A63" s="22"/>
      <c r="B63" s="114"/>
      <c r="C63" s="12"/>
      <c r="D63" s="38"/>
      <c r="E63" s="219"/>
      <c r="F63" s="219"/>
    </row>
    <row r="64" spans="1:6" ht="66">
      <c r="A64" s="43">
        <v>7</v>
      </c>
      <c r="B64" s="67" t="s">
        <v>2573</v>
      </c>
      <c r="C64" s="12"/>
      <c r="D64" s="38"/>
      <c r="E64" s="219"/>
      <c r="F64" s="219"/>
    </row>
    <row r="65" spans="1:6" ht="15">
      <c r="A65" s="22"/>
      <c r="B65" s="67" t="s">
        <v>374</v>
      </c>
      <c r="C65" s="12" t="s">
        <v>173</v>
      </c>
      <c r="D65" s="38">
        <v>390</v>
      </c>
      <c r="E65" s="1324">
        <f>'[1]B_XIV_KONZERVATORSKI RADOVI'!E65</f>
        <v>40</v>
      </c>
      <c r="F65" s="219">
        <f>SUM(D65*E65)</f>
        <v>15600</v>
      </c>
    </row>
    <row r="66" spans="1:6">
      <c r="A66" s="22"/>
      <c r="B66" s="144"/>
      <c r="C66" s="12"/>
      <c r="D66" s="38"/>
      <c r="E66" s="219"/>
      <c r="F66" s="219"/>
    </row>
    <row r="67" spans="1:6" ht="79.2">
      <c r="A67" s="43">
        <v>8</v>
      </c>
      <c r="B67" s="67" t="s">
        <v>412</v>
      </c>
      <c r="C67" s="12"/>
      <c r="D67" s="38"/>
      <c r="E67" s="201"/>
      <c r="F67" s="201"/>
    </row>
    <row r="68" spans="1:6">
      <c r="A68" s="43"/>
      <c r="B68" s="67"/>
      <c r="C68" s="12" t="s">
        <v>31</v>
      </c>
      <c r="D68" s="38">
        <v>1</v>
      </c>
      <c r="E68" s="1322">
        <f>'[1]B_XIV_KONZERVATORSKI RADOVI'!E68</f>
        <v>500</v>
      </c>
      <c r="F68" s="201">
        <f>SUM(D68*E68)</f>
        <v>500</v>
      </c>
    </row>
    <row r="69" spans="1:6">
      <c r="A69" s="43"/>
      <c r="B69" s="67"/>
      <c r="C69" s="12"/>
      <c r="D69" s="38"/>
      <c r="E69" s="201"/>
      <c r="F69" s="201"/>
    </row>
    <row r="70" spans="1:6">
      <c r="A70" s="234"/>
      <c r="B70" s="95" t="s">
        <v>388</v>
      </c>
      <c r="C70" s="71"/>
      <c r="D70" s="235"/>
      <c r="E70" s="73" t="s">
        <v>159</v>
      </c>
      <c r="F70" s="236">
        <f>SUM(F4:F68)</f>
        <v>80065</v>
      </c>
    </row>
    <row r="71" spans="1:6">
      <c r="D71" s="80"/>
      <c r="E71" s="124"/>
      <c r="F71" s="124"/>
    </row>
    <row r="73" spans="1:6">
      <c r="B73" s="67"/>
    </row>
  </sheetData>
  <sheetProtection algorithmName="SHA-512" hashValue="/kZJQ+VIwPGkZePsus/iRMboCsfsRcod5bSOPsl+AJZcZt59FdwvdmDgTg3n8LxwOBwTDisQHJxHP7Ot6ZUSBA==" saltValue="M/prRjtUaeugR8g/aRMIyg==" spinCount="100000" sheet="1" objects="1" scenarios="1"/>
  <mergeCells count="6">
    <mergeCell ref="G7:G9"/>
    <mergeCell ref="A7:A9"/>
    <mergeCell ref="B7:B9"/>
    <mergeCell ref="C7:C9"/>
    <mergeCell ref="D7:D9"/>
    <mergeCell ref="E7:F8"/>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tint="0.39997558519241921"/>
  </sheetPr>
  <dimension ref="A1:G245"/>
  <sheetViews>
    <sheetView topLeftCell="A8" zoomScale="90" zoomScaleNormal="90" zoomScaleSheetLayoutView="130" workbookViewId="0">
      <selection activeCell="E20" sqref="E20"/>
    </sheetView>
  </sheetViews>
  <sheetFormatPr defaultColWidth="8.6640625" defaultRowHeight="13.2"/>
  <cols>
    <col min="1" max="1" width="6.6640625" style="11" customWidth="1"/>
    <col min="2" max="2" width="57.6640625" style="10" customWidth="1"/>
    <col min="3" max="3" width="11.33203125" style="56" customWidth="1"/>
    <col min="4" max="4" width="10.109375" style="10" customWidth="1"/>
    <col min="5" max="5" width="11.5546875" style="10" bestFit="1" customWidth="1"/>
    <col min="6" max="6" width="14.5546875" style="10" customWidth="1"/>
    <col min="7" max="16384" width="8.6640625" style="10"/>
  </cols>
  <sheetData>
    <row r="1" spans="1:7" ht="13.8" thickBot="1">
      <c r="A1" s="875" t="s">
        <v>78</v>
      </c>
      <c r="B1" s="868" t="s">
        <v>77</v>
      </c>
      <c r="C1" s="869"/>
      <c r="D1" s="876"/>
      <c r="E1" s="871"/>
      <c r="F1" s="871"/>
    </row>
    <row r="2" spans="1:7">
      <c r="D2" s="13"/>
      <c r="E2" s="14"/>
      <c r="F2" s="14"/>
    </row>
    <row r="3" spans="1:7" s="20" customFormat="1" ht="14.25" customHeight="1">
      <c r="A3" s="1527" t="s">
        <v>145</v>
      </c>
      <c r="B3" s="1528" t="s">
        <v>146</v>
      </c>
      <c r="C3" s="1529" t="s">
        <v>147</v>
      </c>
      <c r="D3" s="1532" t="s">
        <v>148</v>
      </c>
      <c r="E3" s="1532" t="s">
        <v>149</v>
      </c>
      <c r="F3" s="1532"/>
      <c r="G3" s="1537" t="s">
        <v>2523</v>
      </c>
    </row>
    <row r="4" spans="1:7" s="20" customFormat="1">
      <c r="A4" s="1527"/>
      <c r="B4" s="1528"/>
      <c r="C4" s="1530"/>
      <c r="D4" s="1532"/>
      <c r="E4" s="1532"/>
      <c r="F4" s="1532"/>
      <c r="G4" s="1537"/>
    </row>
    <row r="5" spans="1:7" s="20" customFormat="1">
      <c r="A5" s="1527"/>
      <c r="B5" s="1528"/>
      <c r="C5" s="1531"/>
      <c r="D5" s="1532"/>
      <c r="E5" s="49" t="s">
        <v>150</v>
      </c>
      <c r="F5" s="50" t="s">
        <v>151</v>
      </c>
      <c r="G5" s="1537"/>
    </row>
    <row r="6" spans="1:7" s="20" customFormat="1">
      <c r="A6" s="52"/>
      <c r="B6" s="53"/>
      <c r="C6" s="54"/>
      <c r="D6" s="55"/>
      <c r="E6" s="56"/>
      <c r="F6" s="57"/>
    </row>
    <row r="7" spans="1:7" ht="52.8">
      <c r="A7" s="22">
        <v>1</v>
      </c>
      <c r="B7" s="67" t="s">
        <v>2105</v>
      </c>
      <c r="C7" s="10"/>
      <c r="D7" s="13"/>
      <c r="E7" s="14"/>
      <c r="F7" s="14"/>
    </row>
    <row r="8" spans="1:7" ht="66">
      <c r="A8" s="22"/>
      <c r="B8" s="94" t="s">
        <v>2106</v>
      </c>
      <c r="C8" s="10"/>
      <c r="D8" s="13"/>
      <c r="E8" s="39"/>
      <c r="F8" s="39"/>
    </row>
    <row r="9" spans="1:7" ht="39.6">
      <c r="A9" s="22"/>
      <c r="B9" s="94" t="s">
        <v>2104</v>
      </c>
      <c r="C9" s="10"/>
      <c r="D9" s="12"/>
    </row>
    <row r="10" spans="1:7">
      <c r="A10" s="22"/>
      <c r="C10" s="60" t="s">
        <v>27</v>
      </c>
      <c r="D10" s="61">
        <v>1</v>
      </c>
      <c r="E10" s="1316">
        <v>1500</v>
      </c>
      <c r="F10" s="62">
        <f>D10*E10</f>
        <v>1500</v>
      </c>
    </row>
    <row r="11" spans="1:7">
      <c r="A11" s="22"/>
      <c r="C11" s="10"/>
      <c r="D11" s="38"/>
      <c r="E11" s="39"/>
      <c r="F11" s="39"/>
    </row>
    <row r="12" spans="1:7" ht="52.8">
      <c r="A12" s="22">
        <v>2</v>
      </c>
      <c r="B12" s="37" t="s">
        <v>2107</v>
      </c>
      <c r="D12" s="38"/>
      <c r="E12" s="14"/>
      <c r="F12" s="14"/>
    </row>
    <row r="13" spans="1:7">
      <c r="A13" s="22"/>
      <c r="C13" s="60" t="s">
        <v>27</v>
      </c>
      <c r="D13" s="61">
        <v>1</v>
      </c>
      <c r="E13" s="1316">
        <v>1000</v>
      </c>
      <c r="F13" s="62">
        <f>SUM(D13*E13)</f>
        <v>1000</v>
      </c>
    </row>
    <row r="14" spans="1:7">
      <c r="A14" s="22"/>
      <c r="D14" s="38"/>
      <c r="E14" s="39"/>
      <c r="F14" s="39"/>
    </row>
    <row r="15" spans="1:7" ht="52.8">
      <c r="A15" s="22">
        <v>3</v>
      </c>
      <c r="B15" s="37" t="s">
        <v>224</v>
      </c>
      <c r="D15" s="38"/>
      <c r="E15" s="14"/>
      <c r="F15" s="14"/>
    </row>
    <row r="16" spans="1:7">
      <c r="A16" s="22"/>
      <c r="C16" s="60" t="s">
        <v>27</v>
      </c>
      <c r="D16" s="61">
        <v>1</v>
      </c>
      <c r="E16" s="1316">
        <v>1000</v>
      </c>
      <c r="F16" s="62">
        <f>SUM(D16*E16)</f>
        <v>1000</v>
      </c>
    </row>
    <row r="17" spans="1:6">
      <c r="A17" s="22"/>
      <c r="D17" s="38"/>
      <c r="E17" s="39"/>
      <c r="F17" s="39"/>
    </row>
    <row r="18" spans="1:6" ht="66">
      <c r="A18" s="22">
        <v>4</v>
      </c>
      <c r="B18" s="37" t="s">
        <v>225</v>
      </c>
      <c r="D18" s="38"/>
      <c r="E18" s="14"/>
      <c r="F18" s="14"/>
    </row>
    <row r="19" spans="1:6">
      <c r="A19" s="22"/>
      <c r="C19" s="60" t="s">
        <v>27</v>
      </c>
      <c r="D19" s="61">
        <v>1</v>
      </c>
      <c r="E19" s="1316">
        <v>1000</v>
      </c>
      <c r="F19" s="62">
        <f>SUM(D19*E19)</f>
        <v>1000</v>
      </c>
    </row>
    <row r="20" spans="1:6">
      <c r="A20" s="22"/>
      <c r="D20" s="38"/>
      <c r="E20" s="39"/>
      <c r="F20" s="39"/>
    </row>
    <row r="21" spans="1:6" ht="13.8" thickBot="1">
      <c r="A21" s="115"/>
      <c r="B21" s="172" t="s">
        <v>223</v>
      </c>
      <c r="C21" s="108"/>
      <c r="D21" s="116"/>
      <c r="E21" s="110" t="s">
        <v>159</v>
      </c>
      <c r="F21" s="111">
        <f>SUM(F10:F19)</f>
        <v>4500</v>
      </c>
    </row>
    <row r="22" spans="1:6">
      <c r="A22" s="22"/>
      <c r="D22" s="38"/>
      <c r="E22" s="39"/>
      <c r="F22" s="39"/>
    </row>
    <row r="23" spans="1:6">
      <c r="A23" s="22"/>
      <c r="D23" s="38"/>
      <c r="E23" s="39"/>
      <c r="F23" s="39"/>
    </row>
    <row r="24" spans="1:6">
      <c r="A24" s="22"/>
      <c r="D24" s="38"/>
      <c r="E24" s="39"/>
      <c r="F24" s="39"/>
    </row>
    <row r="25" spans="1:6">
      <c r="A25" s="22"/>
      <c r="D25" s="38"/>
      <c r="E25" s="39"/>
      <c r="F25" s="39"/>
    </row>
    <row r="26" spans="1:6">
      <c r="A26" s="22"/>
      <c r="D26" s="38"/>
      <c r="E26" s="39"/>
      <c r="F26" s="39"/>
    </row>
    <row r="27" spans="1:6">
      <c r="A27" s="22"/>
      <c r="D27" s="38"/>
      <c r="E27" s="39"/>
      <c r="F27" s="39"/>
    </row>
    <row r="28" spans="1:6">
      <c r="A28" s="22"/>
      <c r="D28" s="38"/>
      <c r="E28" s="39"/>
      <c r="F28" s="39"/>
    </row>
    <row r="29" spans="1:6">
      <c r="A29" s="22"/>
      <c r="D29" s="38"/>
      <c r="E29" s="39"/>
      <c r="F29" s="39"/>
    </row>
    <row r="30" spans="1:6">
      <c r="A30" s="22"/>
      <c r="D30" s="38"/>
      <c r="E30" s="39"/>
      <c r="F30" s="39"/>
    </row>
    <row r="31" spans="1:6">
      <c r="A31" s="22"/>
      <c r="D31" s="38"/>
      <c r="E31" s="39"/>
      <c r="F31" s="39"/>
    </row>
    <row r="32" spans="1:6">
      <c r="A32" s="22"/>
      <c r="D32" s="38"/>
      <c r="E32" s="39"/>
      <c r="F32" s="39"/>
    </row>
    <row r="33" spans="1:6">
      <c r="A33" s="22"/>
      <c r="D33" s="38"/>
      <c r="E33" s="39"/>
      <c r="F33" s="39"/>
    </row>
    <row r="34" spans="1:6">
      <c r="A34" s="22"/>
      <c r="D34" s="38"/>
      <c r="E34" s="39"/>
      <c r="F34" s="39"/>
    </row>
    <row r="35" spans="1:6">
      <c r="A35" s="22"/>
      <c r="D35" s="38"/>
      <c r="E35" s="39"/>
      <c r="F35" s="39"/>
    </row>
    <row r="36" spans="1:6">
      <c r="A36" s="22"/>
      <c r="D36" s="38"/>
      <c r="E36" s="39"/>
      <c r="F36" s="39"/>
    </row>
    <row r="37" spans="1:6">
      <c r="A37" s="22"/>
      <c r="D37" s="38"/>
      <c r="E37" s="39"/>
      <c r="F37" s="39"/>
    </row>
    <row r="38" spans="1:6">
      <c r="A38" s="22"/>
      <c r="D38" s="38"/>
      <c r="E38" s="39"/>
      <c r="F38" s="39"/>
    </row>
    <row r="39" spans="1:6">
      <c r="A39" s="22"/>
      <c r="D39" s="38"/>
      <c r="E39" s="39"/>
      <c r="F39" s="39"/>
    </row>
    <row r="40" spans="1:6">
      <c r="A40" s="22"/>
      <c r="D40" s="38"/>
      <c r="E40" s="39"/>
      <c r="F40" s="39"/>
    </row>
    <row r="41" spans="1:6">
      <c r="A41" s="22"/>
      <c r="D41" s="38"/>
      <c r="E41" s="39"/>
      <c r="F41" s="39"/>
    </row>
    <row r="42" spans="1:6">
      <c r="A42" s="22"/>
      <c r="D42" s="38"/>
      <c r="E42" s="39"/>
      <c r="F42" s="39"/>
    </row>
    <row r="43" spans="1:6">
      <c r="A43" s="22"/>
      <c r="D43" s="38"/>
      <c r="E43" s="39"/>
      <c r="F43" s="39"/>
    </row>
    <row r="44" spans="1:6">
      <c r="A44" s="22"/>
      <c r="D44" s="38"/>
      <c r="E44" s="39"/>
      <c r="F44" s="39"/>
    </row>
    <row r="45" spans="1:6">
      <c r="A45" s="22"/>
      <c r="D45" s="38"/>
      <c r="E45" s="39"/>
      <c r="F45" s="39"/>
    </row>
    <row r="46" spans="1:6">
      <c r="A46" s="22"/>
      <c r="D46" s="38"/>
      <c r="E46" s="39"/>
      <c r="F46" s="39"/>
    </row>
    <row r="47" spans="1:6">
      <c r="A47" s="22"/>
      <c r="D47" s="38"/>
      <c r="E47" s="39"/>
      <c r="F47" s="39"/>
    </row>
    <row r="48" spans="1:6">
      <c r="A48" s="22"/>
      <c r="D48" s="38"/>
      <c r="E48" s="39"/>
      <c r="F48" s="39"/>
    </row>
    <row r="49" spans="1:6">
      <c r="A49" s="22"/>
      <c r="D49" s="38"/>
      <c r="E49" s="39"/>
      <c r="F49" s="39"/>
    </row>
    <row r="50" spans="1:6">
      <c r="A50" s="22"/>
      <c r="D50" s="38"/>
      <c r="E50" s="39"/>
      <c r="F50" s="39"/>
    </row>
    <row r="51" spans="1:6">
      <c r="A51" s="22"/>
      <c r="D51" s="38"/>
      <c r="E51" s="39"/>
      <c r="F51" s="39"/>
    </row>
    <row r="52" spans="1:6">
      <c r="A52" s="22"/>
      <c r="D52" s="38"/>
      <c r="E52" s="39"/>
      <c r="F52" s="39"/>
    </row>
    <row r="53" spans="1:6">
      <c r="A53" s="22"/>
      <c r="D53" s="38"/>
      <c r="E53" s="39"/>
      <c r="F53" s="39"/>
    </row>
    <row r="54" spans="1:6">
      <c r="A54" s="22"/>
      <c r="D54" s="38"/>
      <c r="E54" s="39"/>
      <c r="F54" s="39"/>
    </row>
    <row r="55" spans="1:6">
      <c r="A55" s="22"/>
      <c r="D55" s="38"/>
      <c r="E55" s="39"/>
      <c r="F55" s="39"/>
    </row>
    <row r="56" spans="1:6">
      <c r="A56" s="22"/>
      <c r="D56" s="38"/>
      <c r="E56" s="39"/>
      <c r="F56" s="39"/>
    </row>
    <row r="57" spans="1:6">
      <c r="A57" s="22"/>
      <c r="D57" s="38"/>
      <c r="E57" s="39"/>
      <c r="F57" s="39"/>
    </row>
    <row r="58" spans="1:6">
      <c r="A58" s="22"/>
      <c r="D58" s="38"/>
      <c r="E58" s="39"/>
      <c r="F58" s="39"/>
    </row>
    <row r="59" spans="1:6">
      <c r="A59" s="22"/>
      <c r="D59" s="38"/>
      <c r="E59" s="39"/>
      <c r="F59" s="39"/>
    </row>
    <row r="60" spans="1:6">
      <c r="A60" s="22"/>
      <c r="D60" s="38"/>
      <c r="E60" s="39"/>
      <c r="F60" s="39"/>
    </row>
    <row r="61" spans="1:6">
      <c r="A61" s="22"/>
      <c r="D61" s="38"/>
      <c r="E61" s="39"/>
      <c r="F61" s="39"/>
    </row>
    <row r="62" spans="1:6">
      <c r="A62" s="22"/>
      <c r="D62" s="38"/>
      <c r="E62" s="39"/>
      <c r="F62" s="39"/>
    </row>
    <row r="63" spans="1:6">
      <c r="A63" s="22"/>
      <c r="D63" s="38"/>
      <c r="E63" s="39"/>
      <c r="F63" s="39"/>
    </row>
    <row r="64" spans="1:6">
      <c r="A64" s="22"/>
      <c r="D64" s="38"/>
      <c r="E64" s="39"/>
      <c r="F64" s="39"/>
    </row>
    <row r="65" spans="1:6">
      <c r="A65" s="22"/>
      <c r="D65" s="38"/>
      <c r="E65" s="39"/>
      <c r="F65" s="39"/>
    </row>
    <row r="66" spans="1:6">
      <c r="A66" s="22"/>
      <c r="D66" s="38"/>
      <c r="E66" s="39"/>
      <c r="F66" s="39"/>
    </row>
    <row r="67" spans="1:6">
      <c r="A67" s="22"/>
      <c r="D67" s="38"/>
      <c r="E67" s="39"/>
      <c r="F67" s="39"/>
    </row>
    <row r="68" spans="1:6">
      <c r="A68" s="22"/>
      <c r="D68" s="38"/>
      <c r="E68" s="39"/>
      <c r="F68" s="39"/>
    </row>
    <row r="69" spans="1:6">
      <c r="A69" s="22"/>
      <c r="D69" s="38"/>
      <c r="E69" s="39"/>
      <c r="F69" s="39"/>
    </row>
    <row r="70" spans="1:6">
      <c r="A70" s="22"/>
      <c r="D70" s="38"/>
      <c r="E70" s="39"/>
      <c r="F70" s="39"/>
    </row>
    <row r="71" spans="1:6">
      <c r="A71" s="22"/>
      <c r="D71" s="38"/>
      <c r="E71" s="39"/>
      <c r="F71" s="39"/>
    </row>
    <row r="72" spans="1:6">
      <c r="A72" s="22"/>
      <c r="D72" s="38"/>
      <c r="E72" s="39"/>
      <c r="F72" s="39"/>
    </row>
    <row r="73" spans="1:6">
      <c r="A73" s="22"/>
      <c r="D73" s="38"/>
      <c r="E73" s="39"/>
      <c r="F73" s="39"/>
    </row>
    <row r="74" spans="1:6">
      <c r="A74" s="22"/>
      <c r="D74" s="38"/>
      <c r="E74" s="39"/>
      <c r="F74" s="39"/>
    </row>
    <row r="75" spans="1:6">
      <c r="A75" s="22"/>
      <c r="D75" s="38"/>
      <c r="E75" s="39"/>
      <c r="F75" s="39"/>
    </row>
    <row r="76" spans="1:6">
      <c r="A76" s="22"/>
      <c r="D76" s="38"/>
      <c r="E76" s="39"/>
      <c r="F76" s="39"/>
    </row>
    <row r="77" spans="1:6">
      <c r="A77" s="22"/>
      <c r="D77" s="38"/>
      <c r="E77" s="39"/>
      <c r="F77" s="39"/>
    </row>
    <row r="78" spans="1:6">
      <c r="A78" s="22"/>
      <c r="D78" s="38"/>
      <c r="E78" s="39"/>
      <c r="F78" s="39"/>
    </row>
    <row r="79" spans="1:6">
      <c r="A79" s="22"/>
      <c r="D79" s="38"/>
      <c r="E79" s="39"/>
      <c r="F79" s="39"/>
    </row>
    <row r="80" spans="1:6">
      <c r="A80" s="22"/>
      <c r="D80" s="38"/>
      <c r="E80" s="39"/>
      <c r="F80" s="39"/>
    </row>
    <row r="81" spans="1:6">
      <c r="A81" s="22"/>
      <c r="D81" s="38"/>
      <c r="E81" s="39"/>
      <c r="F81" s="39"/>
    </row>
    <row r="82" spans="1:6">
      <c r="A82" s="22"/>
      <c r="D82" s="38"/>
      <c r="E82" s="39"/>
      <c r="F82" s="39"/>
    </row>
    <row r="83" spans="1:6">
      <c r="A83" s="22"/>
      <c r="D83" s="38"/>
      <c r="E83" s="39"/>
      <c r="F83" s="39"/>
    </row>
    <row r="84" spans="1:6">
      <c r="A84" s="22"/>
      <c r="D84" s="38"/>
      <c r="E84" s="39"/>
      <c r="F84" s="39"/>
    </row>
    <row r="85" spans="1:6">
      <c r="A85" s="22"/>
      <c r="D85" s="38"/>
      <c r="E85" s="39"/>
      <c r="F85" s="39"/>
    </row>
    <row r="86" spans="1:6">
      <c r="A86" s="22"/>
      <c r="D86" s="38"/>
      <c r="E86" s="39"/>
      <c r="F86" s="39"/>
    </row>
    <row r="87" spans="1:6">
      <c r="A87" s="22"/>
      <c r="D87" s="38"/>
      <c r="E87" s="39"/>
      <c r="F87" s="39"/>
    </row>
    <row r="88" spans="1:6">
      <c r="A88" s="22"/>
      <c r="D88" s="38"/>
      <c r="E88" s="39"/>
      <c r="F88" s="39"/>
    </row>
    <row r="89" spans="1:6">
      <c r="A89" s="22"/>
      <c r="D89" s="38"/>
      <c r="E89" s="39"/>
      <c r="F89" s="39"/>
    </row>
    <row r="90" spans="1:6">
      <c r="A90" s="22"/>
      <c r="D90" s="38"/>
      <c r="E90" s="39"/>
      <c r="F90" s="39"/>
    </row>
    <row r="91" spans="1:6">
      <c r="A91" s="22"/>
      <c r="D91" s="38"/>
      <c r="E91" s="39"/>
      <c r="F91" s="39"/>
    </row>
    <row r="92" spans="1:6">
      <c r="A92" s="22"/>
      <c r="D92" s="38"/>
      <c r="E92" s="39"/>
      <c r="F92" s="39"/>
    </row>
    <row r="93" spans="1:6">
      <c r="A93" s="22"/>
      <c r="D93" s="38"/>
      <c r="E93" s="39"/>
      <c r="F93" s="39"/>
    </row>
    <row r="94" spans="1:6">
      <c r="A94" s="22"/>
      <c r="D94" s="38"/>
      <c r="E94" s="39"/>
      <c r="F94" s="39"/>
    </row>
    <row r="95" spans="1:6">
      <c r="A95" s="22"/>
      <c r="D95" s="38"/>
      <c r="E95" s="39"/>
      <c r="F95" s="39"/>
    </row>
    <row r="96" spans="1:6">
      <c r="A96" s="22"/>
      <c r="D96" s="38"/>
      <c r="E96" s="39"/>
      <c r="F96" s="39"/>
    </row>
    <row r="97" spans="1:6">
      <c r="A97" s="22"/>
      <c r="D97" s="38"/>
      <c r="E97" s="39"/>
      <c r="F97" s="39"/>
    </row>
    <row r="98" spans="1:6">
      <c r="A98" s="22"/>
      <c r="D98" s="38"/>
      <c r="E98" s="39"/>
      <c r="F98" s="39"/>
    </row>
    <row r="99" spans="1:6">
      <c r="A99" s="22"/>
      <c r="D99" s="38"/>
      <c r="E99" s="39"/>
      <c r="F99" s="39"/>
    </row>
    <row r="100" spans="1:6">
      <c r="A100" s="22"/>
      <c r="D100" s="38"/>
      <c r="E100" s="39"/>
      <c r="F100" s="39"/>
    </row>
    <row r="101" spans="1:6">
      <c r="A101" s="22"/>
      <c r="D101" s="38"/>
      <c r="E101" s="39"/>
      <c r="F101" s="39"/>
    </row>
    <row r="102" spans="1:6">
      <c r="A102" s="22"/>
      <c r="D102" s="38"/>
      <c r="E102" s="39"/>
      <c r="F102" s="39"/>
    </row>
    <row r="103" spans="1:6">
      <c r="A103" s="22"/>
      <c r="D103" s="38"/>
      <c r="E103" s="39"/>
      <c r="F103" s="39"/>
    </row>
    <row r="104" spans="1:6">
      <c r="A104" s="22"/>
      <c r="D104" s="38"/>
      <c r="E104" s="39"/>
      <c r="F104" s="39"/>
    </row>
    <row r="105" spans="1:6">
      <c r="A105" s="22"/>
      <c r="D105" s="38"/>
      <c r="E105" s="39"/>
      <c r="F105" s="39"/>
    </row>
    <row r="106" spans="1:6">
      <c r="A106" s="22"/>
      <c r="D106" s="38"/>
      <c r="E106" s="39"/>
      <c r="F106" s="39"/>
    </row>
    <row r="107" spans="1:6">
      <c r="A107" s="22"/>
      <c r="D107" s="38"/>
      <c r="E107" s="39"/>
      <c r="F107" s="39"/>
    </row>
    <row r="108" spans="1:6">
      <c r="A108" s="22"/>
      <c r="D108" s="38"/>
      <c r="E108" s="39"/>
      <c r="F108" s="39"/>
    </row>
    <row r="109" spans="1:6">
      <c r="A109" s="22"/>
      <c r="D109" s="38"/>
      <c r="E109" s="39"/>
      <c r="F109" s="39"/>
    </row>
    <row r="110" spans="1:6">
      <c r="A110" s="22"/>
      <c r="D110" s="38"/>
      <c r="E110" s="39"/>
      <c r="F110" s="39"/>
    </row>
    <row r="111" spans="1:6">
      <c r="A111" s="22"/>
      <c r="D111" s="38"/>
      <c r="E111" s="39"/>
      <c r="F111" s="39"/>
    </row>
    <row r="112" spans="1:6">
      <c r="A112" s="22"/>
      <c r="D112" s="38"/>
      <c r="E112" s="39"/>
      <c r="F112" s="39"/>
    </row>
    <row r="113" spans="1:6">
      <c r="A113" s="22"/>
      <c r="D113" s="38"/>
      <c r="E113" s="39"/>
      <c r="F113" s="39"/>
    </row>
    <row r="114" spans="1:6">
      <c r="A114" s="22"/>
      <c r="D114" s="38"/>
      <c r="E114" s="39"/>
      <c r="F114" s="39"/>
    </row>
    <row r="115" spans="1:6">
      <c r="A115" s="22"/>
      <c r="D115" s="38"/>
      <c r="E115" s="39"/>
      <c r="F115" s="39"/>
    </row>
    <row r="116" spans="1:6">
      <c r="A116" s="22"/>
      <c r="D116" s="38"/>
      <c r="E116" s="39"/>
      <c r="F116" s="39"/>
    </row>
    <row r="117" spans="1:6">
      <c r="A117" s="22"/>
      <c r="D117" s="38"/>
      <c r="E117" s="39"/>
      <c r="F117" s="39"/>
    </row>
    <row r="118" spans="1:6">
      <c r="A118" s="22"/>
      <c r="D118" s="38"/>
      <c r="E118" s="39"/>
      <c r="F118" s="39"/>
    </row>
    <row r="119" spans="1:6">
      <c r="A119" s="22"/>
      <c r="D119" s="38"/>
      <c r="E119" s="39"/>
      <c r="F119" s="39"/>
    </row>
    <row r="120" spans="1:6">
      <c r="A120" s="22"/>
      <c r="D120" s="38"/>
      <c r="E120" s="39"/>
      <c r="F120" s="39"/>
    </row>
    <row r="121" spans="1:6">
      <c r="A121" s="22"/>
      <c r="D121" s="38"/>
      <c r="E121" s="39"/>
      <c r="F121" s="39"/>
    </row>
    <row r="122" spans="1:6">
      <c r="A122" s="22"/>
      <c r="D122" s="38"/>
      <c r="E122" s="39"/>
      <c r="F122" s="39"/>
    </row>
    <row r="123" spans="1:6">
      <c r="A123" s="22"/>
      <c r="D123" s="38"/>
      <c r="E123" s="39"/>
      <c r="F123" s="39"/>
    </row>
    <row r="124" spans="1:6">
      <c r="A124" s="22"/>
      <c r="D124" s="38"/>
      <c r="E124" s="39"/>
      <c r="F124" s="39"/>
    </row>
    <row r="125" spans="1:6">
      <c r="A125" s="22"/>
      <c r="D125" s="38"/>
      <c r="E125" s="39"/>
      <c r="F125" s="39"/>
    </row>
    <row r="126" spans="1:6">
      <c r="A126" s="22"/>
      <c r="D126" s="38"/>
      <c r="E126" s="39"/>
      <c r="F126" s="39"/>
    </row>
    <row r="127" spans="1:6">
      <c r="A127" s="22"/>
      <c r="D127" s="38"/>
      <c r="E127" s="39"/>
      <c r="F127" s="39"/>
    </row>
    <row r="128" spans="1:6">
      <c r="A128" s="22"/>
      <c r="D128" s="38"/>
      <c r="E128" s="39"/>
      <c r="F128" s="39"/>
    </row>
    <row r="129" spans="1:6">
      <c r="A129" s="22"/>
      <c r="D129" s="38"/>
      <c r="E129" s="39"/>
      <c r="F129" s="39"/>
    </row>
    <row r="130" spans="1:6">
      <c r="A130" s="22"/>
      <c r="D130" s="38"/>
      <c r="E130" s="39"/>
      <c r="F130" s="39"/>
    </row>
    <row r="131" spans="1:6">
      <c r="A131" s="22"/>
      <c r="D131" s="38"/>
      <c r="E131" s="39"/>
      <c r="F131" s="39"/>
    </row>
    <row r="132" spans="1:6">
      <c r="A132" s="22"/>
      <c r="D132" s="38"/>
      <c r="E132" s="39"/>
      <c r="F132" s="39"/>
    </row>
    <row r="133" spans="1:6">
      <c r="A133" s="22"/>
      <c r="D133" s="38"/>
      <c r="E133" s="39"/>
      <c r="F133" s="39"/>
    </row>
    <row r="134" spans="1:6">
      <c r="A134" s="22"/>
      <c r="D134" s="38"/>
      <c r="E134" s="39"/>
      <c r="F134" s="39"/>
    </row>
    <row r="135" spans="1:6">
      <c r="A135" s="22"/>
      <c r="D135" s="38"/>
      <c r="E135" s="39"/>
      <c r="F135" s="39"/>
    </row>
    <row r="136" spans="1:6">
      <c r="A136" s="22"/>
      <c r="D136" s="38"/>
      <c r="E136" s="39"/>
      <c r="F136" s="39"/>
    </row>
    <row r="137" spans="1:6">
      <c r="A137" s="22"/>
      <c r="D137" s="38"/>
      <c r="E137" s="39"/>
      <c r="F137" s="39"/>
    </row>
    <row r="138" spans="1:6">
      <c r="A138" s="22"/>
      <c r="D138" s="38"/>
      <c r="E138" s="39"/>
      <c r="F138" s="39"/>
    </row>
    <row r="139" spans="1:6">
      <c r="A139" s="22"/>
      <c r="D139" s="38"/>
      <c r="E139" s="39"/>
      <c r="F139" s="39"/>
    </row>
    <row r="140" spans="1:6">
      <c r="A140" s="22"/>
      <c r="D140" s="38"/>
      <c r="E140" s="39"/>
      <c r="F140" s="39"/>
    </row>
    <row r="141" spans="1:6">
      <c r="A141" s="22"/>
      <c r="D141" s="38"/>
      <c r="E141" s="39"/>
      <c r="F141" s="39"/>
    </row>
    <row r="142" spans="1:6">
      <c r="A142" s="22"/>
      <c r="D142" s="38"/>
      <c r="E142" s="39"/>
      <c r="F142" s="39"/>
    </row>
    <row r="143" spans="1:6">
      <c r="A143" s="22"/>
      <c r="D143" s="38"/>
      <c r="E143" s="39"/>
      <c r="F143" s="39"/>
    </row>
    <row r="144" spans="1:6">
      <c r="A144" s="22"/>
      <c r="D144" s="38"/>
      <c r="E144" s="39"/>
      <c r="F144" s="39"/>
    </row>
    <row r="145" spans="1:6">
      <c r="A145" s="22"/>
      <c r="D145" s="38"/>
      <c r="E145" s="39"/>
      <c r="F145" s="39"/>
    </row>
    <row r="146" spans="1:6">
      <c r="A146" s="22"/>
      <c r="D146" s="38"/>
      <c r="E146" s="39"/>
      <c r="F146" s="39"/>
    </row>
    <row r="147" spans="1:6">
      <c r="A147" s="22"/>
      <c r="D147" s="38"/>
      <c r="E147" s="39"/>
      <c r="F147" s="39"/>
    </row>
    <row r="148" spans="1:6">
      <c r="A148" s="22"/>
      <c r="D148" s="38"/>
      <c r="E148" s="39"/>
      <c r="F148" s="39"/>
    </row>
    <row r="149" spans="1:6">
      <c r="A149" s="22"/>
      <c r="D149" s="38"/>
      <c r="E149" s="39"/>
      <c r="F149" s="39"/>
    </row>
    <row r="150" spans="1:6">
      <c r="A150" s="22"/>
      <c r="D150" s="38"/>
      <c r="E150" s="39"/>
      <c r="F150" s="39"/>
    </row>
    <row r="151" spans="1:6">
      <c r="A151" s="22"/>
      <c r="D151" s="38"/>
      <c r="E151" s="39"/>
      <c r="F151" s="39"/>
    </row>
    <row r="152" spans="1:6">
      <c r="A152" s="22"/>
      <c r="D152" s="38"/>
      <c r="E152" s="39"/>
      <c r="F152" s="39"/>
    </row>
    <row r="153" spans="1:6">
      <c r="A153" s="22"/>
      <c r="D153" s="38"/>
      <c r="E153" s="39"/>
      <c r="F153" s="39"/>
    </row>
    <row r="154" spans="1:6">
      <c r="A154" s="22"/>
      <c r="D154" s="38"/>
      <c r="E154" s="39"/>
      <c r="F154" s="39"/>
    </row>
    <row r="155" spans="1:6">
      <c r="A155" s="22"/>
      <c r="D155" s="38"/>
      <c r="E155" s="39"/>
      <c r="F155" s="39"/>
    </row>
    <row r="156" spans="1:6">
      <c r="A156" s="22"/>
      <c r="D156" s="38"/>
      <c r="E156" s="39"/>
      <c r="F156" s="39"/>
    </row>
    <row r="157" spans="1:6">
      <c r="A157" s="22"/>
      <c r="D157" s="38"/>
      <c r="E157" s="39"/>
      <c r="F157" s="39"/>
    </row>
    <row r="158" spans="1:6">
      <c r="A158" s="22"/>
      <c r="D158" s="38"/>
      <c r="E158" s="39"/>
      <c r="F158" s="39"/>
    </row>
    <row r="159" spans="1:6">
      <c r="A159" s="22"/>
      <c r="D159" s="38"/>
      <c r="E159" s="39"/>
      <c r="F159" s="39"/>
    </row>
    <row r="160" spans="1:6">
      <c r="A160" s="22"/>
      <c r="D160" s="38"/>
      <c r="E160" s="39"/>
      <c r="F160" s="39"/>
    </row>
    <row r="161" spans="1:6">
      <c r="A161" s="22"/>
      <c r="D161" s="38"/>
      <c r="E161" s="39"/>
      <c r="F161" s="39"/>
    </row>
    <row r="162" spans="1:6">
      <c r="A162" s="22"/>
      <c r="D162" s="38"/>
      <c r="E162" s="39"/>
      <c r="F162" s="39"/>
    </row>
    <row r="163" spans="1:6">
      <c r="A163" s="22"/>
      <c r="D163" s="38"/>
      <c r="E163" s="39"/>
      <c r="F163" s="39"/>
    </row>
    <row r="164" spans="1:6">
      <c r="A164" s="22"/>
      <c r="D164" s="38"/>
      <c r="E164" s="39"/>
      <c r="F164" s="39"/>
    </row>
    <row r="165" spans="1:6">
      <c r="A165" s="22"/>
      <c r="D165" s="38"/>
      <c r="E165" s="39"/>
      <c r="F165" s="39"/>
    </row>
    <row r="166" spans="1:6">
      <c r="A166" s="22"/>
      <c r="D166" s="38"/>
      <c r="E166" s="39"/>
      <c r="F166" s="39"/>
    </row>
    <row r="167" spans="1:6">
      <c r="A167" s="22"/>
      <c r="D167" s="38"/>
      <c r="E167" s="39"/>
      <c r="F167" s="39"/>
    </row>
    <row r="168" spans="1:6">
      <c r="A168" s="22"/>
      <c r="D168" s="38"/>
      <c r="E168" s="39"/>
      <c r="F168" s="39"/>
    </row>
    <row r="169" spans="1:6">
      <c r="A169" s="22"/>
      <c r="D169" s="38"/>
      <c r="E169" s="39"/>
      <c r="F169" s="39"/>
    </row>
    <row r="170" spans="1:6">
      <c r="A170" s="22"/>
      <c r="D170" s="38"/>
      <c r="E170" s="39"/>
      <c r="F170" s="39"/>
    </row>
    <row r="171" spans="1:6">
      <c r="A171" s="22"/>
      <c r="D171" s="38"/>
      <c r="E171" s="39"/>
      <c r="F171" s="39"/>
    </row>
    <row r="172" spans="1:6">
      <c r="A172" s="22"/>
      <c r="D172" s="38"/>
      <c r="E172" s="39"/>
      <c r="F172" s="39"/>
    </row>
    <row r="173" spans="1:6">
      <c r="A173" s="22"/>
      <c r="D173" s="38"/>
      <c r="E173" s="39"/>
      <c r="F173" s="39"/>
    </row>
    <row r="174" spans="1:6">
      <c r="A174" s="22"/>
      <c r="D174" s="38"/>
      <c r="E174" s="39"/>
      <c r="F174" s="39"/>
    </row>
    <row r="175" spans="1:6">
      <c r="A175" s="22"/>
      <c r="D175" s="38"/>
      <c r="E175" s="39"/>
      <c r="F175" s="39"/>
    </row>
    <row r="176" spans="1:6">
      <c r="A176" s="22"/>
      <c r="D176" s="38"/>
      <c r="E176" s="39"/>
      <c r="F176" s="39"/>
    </row>
    <row r="177" spans="1:6">
      <c r="A177" s="22"/>
      <c r="D177" s="38"/>
      <c r="E177" s="39"/>
      <c r="F177" s="39"/>
    </row>
    <row r="178" spans="1:6">
      <c r="A178" s="22"/>
      <c r="D178" s="38"/>
      <c r="E178" s="39"/>
      <c r="F178" s="39"/>
    </row>
    <row r="179" spans="1:6">
      <c r="A179" s="22"/>
      <c r="D179" s="38"/>
      <c r="E179" s="39"/>
      <c r="F179" s="39"/>
    </row>
    <row r="180" spans="1:6">
      <c r="A180" s="22"/>
      <c r="D180" s="38"/>
      <c r="E180" s="39"/>
      <c r="F180" s="39"/>
    </row>
    <row r="181" spans="1:6">
      <c r="A181" s="22"/>
      <c r="D181" s="38"/>
      <c r="E181" s="39"/>
      <c r="F181" s="39"/>
    </row>
    <row r="182" spans="1:6">
      <c r="A182" s="22"/>
      <c r="D182" s="38"/>
      <c r="E182" s="39"/>
      <c r="F182" s="39"/>
    </row>
    <row r="183" spans="1:6">
      <c r="A183" s="22"/>
      <c r="D183" s="38"/>
      <c r="E183" s="39"/>
      <c r="F183" s="39"/>
    </row>
    <row r="184" spans="1:6">
      <c r="A184" s="22"/>
      <c r="D184" s="38"/>
      <c r="E184" s="39"/>
      <c r="F184" s="39"/>
    </row>
    <row r="185" spans="1:6">
      <c r="A185" s="22"/>
      <c r="D185" s="38"/>
      <c r="E185" s="39"/>
      <c r="F185" s="39"/>
    </row>
    <row r="186" spans="1:6">
      <c r="A186" s="22"/>
      <c r="D186" s="38"/>
      <c r="E186" s="39"/>
      <c r="F186" s="39"/>
    </row>
    <row r="187" spans="1:6">
      <c r="A187" s="22"/>
      <c r="D187" s="38"/>
      <c r="E187" s="39"/>
      <c r="F187" s="39"/>
    </row>
    <row r="188" spans="1:6">
      <c r="A188" s="22"/>
      <c r="D188" s="38"/>
      <c r="E188" s="39"/>
      <c r="F188" s="39"/>
    </row>
    <row r="189" spans="1:6">
      <c r="A189" s="22"/>
      <c r="D189" s="38"/>
      <c r="E189" s="39"/>
      <c r="F189" s="39"/>
    </row>
    <row r="190" spans="1:6">
      <c r="A190" s="22"/>
      <c r="D190" s="38"/>
      <c r="E190" s="39"/>
      <c r="F190" s="39"/>
    </row>
    <row r="191" spans="1:6">
      <c r="A191" s="22"/>
      <c r="D191" s="38"/>
      <c r="E191" s="39"/>
      <c r="F191" s="39"/>
    </row>
    <row r="192" spans="1:6">
      <c r="A192" s="22"/>
      <c r="D192" s="38"/>
      <c r="E192" s="39"/>
      <c r="F192" s="39"/>
    </row>
    <row r="193" spans="1:6">
      <c r="A193" s="22"/>
      <c r="D193" s="38"/>
      <c r="E193" s="39"/>
      <c r="F193" s="39"/>
    </row>
    <row r="194" spans="1:6">
      <c r="A194" s="22"/>
      <c r="D194" s="38"/>
      <c r="E194" s="39"/>
      <c r="F194" s="39"/>
    </row>
    <row r="195" spans="1:6">
      <c r="A195" s="22"/>
      <c r="D195" s="38"/>
      <c r="E195" s="39"/>
      <c r="F195" s="39"/>
    </row>
    <row r="196" spans="1:6">
      <c r="A196" s="22"/>
      <c r="D196" s="38"/>
      <c r="E196" s="39"/>
      <c r="F196" s="39"/>
    </row>
    <row r="197" spans="1:6">
      <c r="A197" s="22"/>
      <c r="D197" s="38"/>
      <c r="E197" s="39"/>
      <c r="F197" s="39"/>
    </row>
    <row r="198" spans="1:6">
      <c r="A198" s="22"/>
      <c r="D198" s="38"/>
      <c r="E198" s="39"/>
      <c r="F198" s="39"/>
    </row>
    <row r="199" spans="1:6">
      <c r="A199" s="22"/>
      <c r="D199" s="38"/>
      <c r="E199" s="39"/>
      <c r="F199" s="39"/>
    </row>
    <row r="200" spans="1:6">
      <c r="A200" s="22"/>
      <c r="D200" s="38"/>
      <c r="E200" s="39"/>
      <c r="F200" s="39"/>
    </row>
    <row r="201" spans="1:6">
      <c r="A201" s="22"/>
      <c r="D201" s="38"/>
      <c r="E201" s="39"/>
      <c r="F201" s="39"/>
    </row>
    <row r="202" spans="1:6">
      <c r="A202" s="22"/>
      <c r="D202" s="38"/>
      <c r="E202" s="39"/>
      <c r="F202" s="39"/>
    </row>
    <row r="203" spans="1:6">
      <c r="A203" s="22"/>
      <c r="D203" s="38"/>
      <c r="E203" s="39"/>
      <c r="F203" s="39"/>
    </row>
    <row r="204" spans="1:6">
      <c r="A204" s="22"/>
      <c r="D204" s="38"/>
      <c r="E204" s="39"/>
      <c r="F204" s="39"/>
    </row>
    <row r="205" spans="1:6">
      <c r="A205" s="22"/>
      <c r="D205" s="38"/>
      <c r="E205" s="39"/>
      <c r="F205" s="39"/>
    </row>
    <row r="206" spans="1:6">
      <c r="A206" s="22"/>
      <c r="D206" s="38"/>
      <c r="E206" s="39"/>
      <c r="F206" s="39"/>
    </row>
    <row r="207" spans="1:6">
      <c r="A207" s="22"/>
      <c r="D207" s="38"/>
      <c r="E207" s="39"/>
      <c r="F207" s="39"/>
    </row>
    <row r="208" spans="1:6">
      <c r="A208" s="22"/>
      <c r="D208" s="38"/>
      <c r="E208" s="39"/>
      <c r="F208" s="39"/>
    </row>
    <row r="209" spans="1:6">
      <c r="A209" s="22"/>
      <c r="D209" s="38"/>
      <c r="E209" s="39"/>
      <c r="F209" s="39"/>
    </row>
    <row r="210" spans="1:6">
      <c r="A210" s="22"/>
      <c r="D210" s="38"/>
      <c r="E210" s="39"/>
      <c r="F210" s="39"/>
    </row>
    <row r="211" spans="1:6">
      <c r="A211" s="22"/>
      <c r="D211" s="38"/>
      <c r="E211" s="39"/>
      <c r="F211" s="39"/>
    </row>
    <row r="212" spans="1:6">
      <c r="A212" s="22"/>
      <c r="D212" s="38"/>
      <c r="E212" s="39"/>
      <c r="F212" s="39"/>
    </row>
    <row r="213" spans="1:6">
      <c r="A213" s="22"/>
      <c r="D213" s="38"/>
      <c r="E213" s="39"/>
      <c r="F213" s="39"/>
    </row>
    <row r="214" spans="1:6">
      <c r="A214" s="22"/>
      <c r="D214" s="38"/>
      <c r="E214" s="39"/>
      <c r="F214" s="39"/>
    </row>
    <row r="215" spans="1:6">
      <c r="A215" s="22"/>
      <c r="D215" s="38"/>
      <c r="E215" s="39"/>
      <c r="F215" s="39"/>
    </row>
    <row r="216" spans="1:6">
      <c r="A216" s="22"/>
      <c r="D216" s="38"/>
      <c r="E216" s="39"/>
      <c r="F216" s="39"/>
    </row>
    <row r="217" spans="1:6">
      <c r="A217" s="22"/>
      <c r="D217" s="38"/>
      <c r="E217" s="39"/>
      <c r="F217" s="39"/>
    </row>
    <row r="218" spans="1:6">
      <c r="A218" s="22"/>
      <c r="D218" s="38"/>
      <c r="E218" s="39"/>
      <c r="F218" s="39"/>
    </row>
    <row r="219" spans="1:6">
      <c r="A219" s="22"/>
      <c r="D219" s="38"/>
      <c r="E219" s="39"/>
      <c r="F219" s="39"/>
    </row>
    <row r="220" spans="1:6">
      <c r="A220" s="22"/>
      <c r="D220" s="38"/>
      <c r="E220" s="39"/>
      <c r="F220" s="39"/>
    </row>
    <row r="221" spans="1:6">
      <c r="A221" s="22"/>
      <c r="D221" s="38"/>
      <c r="E221" s="39"/>
      <c r="F221" s="39"/>
    </row>
    <row r="222" spans="1:6">
      <c r="A222" s="22"/>
      <c r="D222" s="38"/>
      <c r="E222" s="39"/>
      <c r="F222" s="39"/>
    </row>
    <row r="223" spans="1:6">
      <c r="A223" s="22"/>
      <c r="D223" s="38"/>
      <c r="E223" s="39"/>
      <c r="F223" s="39"/>
    </row>
    <row r="224" spans="1:6">
      <c r="A224" s="22"/>
      <c r="D224" s="38"/>
      <c r="E224" s="39"/>
      <c r="F224" s="39"/>
    </row>
    <row r="225" spans="1:6">
      <c r="A225" s="22"/>
      <c r="D225" s="38"/>
      <c r="E225" s="39"/>
      <c r="F225" s="39"/>
    </row>
    <row r="226" spans="1:6">
      <c r="A226" s="22"/>
      <c r="D226" s="38"/>
      <c r="E226" s="39"/>
      <c r="F226" s="39"/>
    </row>
    <row r="227" spans="1:6">
      <c r="A227" s="22"/>
      <c r="D227" s="38"/>
      <c r="E227" s="39"/>
      <c r="F227" s="39"/>
    </row>
    <row r="228" spans="1:6">
      <c r="A228" s="22"/>
      <c r="D228" s="38"/>
      <c r="E228" s="39"/>
      <c r="F228" s="39"/>
    </row>
    <row r="229" spans="1:6">
      <c r="A229" s="22"/>
      <c r="D229" s="38"/>
      <c r="E229" s="39"/>
      <c r="F229" s="39"/>
    </row>
    <row r="230" spans="1:6">
      <c r="A230" s="22"/>
      <c r="D230" s="38"/>
      <c r="E230" s="39"/>
      <c r="F230" s="39"/>
    </row>
    <row r="231" spans="1:6">
      <c r="A231" s="22"/>
      <c r="D231" s="38"/>
      <c r="E231" s="39"/>
      <c r="F231" s="39"/>
    </row>
    <row r="232" spans="1:6">
      <c r="A232" s="22"/>
      <c r="D232" s="38"/>
      <c r="E232" s="39"/>
      <c r="F232" s="39"/>
    </row>
    <row r="233" spans="1:6">
      <c r="A233" s="22"/>
      <c r="D233" s="38"/>
      <c r="E233" s="39"/>
      <c r="F233" s="39"/>
    </row>
    <row r="234" spans="1:6">
      <c r="A234" s="22"/>
      <c r="D234" s="38"/>
      <c r="E234" s="39"/>
      <c r="F234" s="39"/>
    </row>
    <row r="235" spans="1:6">
      <c r="A235" s="22"/>
      <c r="D235" s="38"/>
      <c r="E235" s="39"/>
      <c r="F235" s="39"/>
    </row>
    <row r="236" spans="1:6">
      <c r="A236" s="22"/>
      <c r="D236" s="38"/>
      <c r="E236" s="39"/>
      <c r="F236" s="39"/>
    </row>
    <row r="237" spans="1:6">
      <c r="A237" s="22"/>
      <c r="D237" s="38"/>
      <c r="E237" s="39"/>
      <c r="F237" s="39"/>
    </row>
    <row r="238" spans="1:6">
      <c r="A238" s="22"/>
      <c r="D238" s="38"/>
      <c r="E238" s="39"/>
      <c r="F238" s="39"/>
    </row>
    <row r="239" spans="1:6">
      <c r="A239" s="22"/>
      <c r="D239" s="38"/>
      <c r="E239" s="39"/>
      <c r="F239" s="39"/>
    </row>
    <row r="240" spans="1:6">
      <c r="A240" s="22"/>
      <c r="D240" s="38"/>
      <c r="E240" s="39"/>
      <c r="F240" s="39"/>
    </row>
    <row r="241" spans="1:6">
      <c r="A241" s="22"/>
      <c r="D241" s="38"/>
      <c r="E241" s="39"/>
      <c r="F241" s="39"/>
    </row>
    <row r="242" spans="1:6">
      <c r="A242" s="22"/>
      <c r="D242" s="38"/>
      <c r="E242" s="39"/>
      <c r="F242" s="39"/>
    </row>
    <row r="243" spans="1:6">
      <c r="A243" s="22"/>
      <c r="D243" s="38"/>
      <c r="E243" s="39"/>
      <c r="F243" s="39"/>
    </row>
    <row r="244" spans="1:6">
      <c r="A244" s="22"/>
      <c r="D244" s="38"/>
      <c r="E244" s="39"/>
      <c r="F244" s="39"/>
    </row>
    <row r="245" spans="1:6">
      <c r="A245" s="22"/>
      <c r="D245" s="38"/>
      <c r="E245" s="39"/>
      <c r="F245" s="39"/>
    </row>
  </sheetData>
  <sheetProtection algorithmName="SHA-512" hashValue="7jZnouC2GQwbKIf6u0zA+2n/W5k+62WJVAHKXXL8KLAKEsAXGy60fRS0657CyNR1/yvXslPVlDXwXaNErZiSMQ==" saltValue="0UDyUUTUHCFo+xvKXMCBpg=="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9" tint="-0.249977111117893"/>
  </sheetPr>
  <dimension ref="A1:G57"/>
  <sheetViews>
    <sheetView topLeftCell="A14" zoomScale="90" zoomScaleNormal="90" zoomScaleSheetLayoutView="100" workbookViewId="0">
      <selection activeCell="H58" sqref="H58"/>
    </sheetView>
  </sheetViews>
  <sheetFormatPr defaultColWidth="8.6640625" defaultRowHeight="13.2"/>
  <cols>
    <col min="1" max="1" width="8.44140625" style="10" customWidth="1"/>
    <col min="2" max="2" width="55.6640625" style="10" customWidth="1"/>
    <col min="3" max="3" width="15.5546875" style="11" customWidth="1"/>
    <col min="4" max="4" width="5.5546875" style="144" customWidth="1"/>
    <col min="5" max="5" width="8.6640625" style="10"/>
    <col min="6" max="7" width="11.6640625" style="10" bestFit="1" customWidth="1"/>
    <col min="8" max="16384" width="8.6640625" style="10"/>
  </cols>
  <sheetData>
    <row r="1" spans="1:4" ht="24.9" customHeight="1" thickBot="1"/>
    <row r="2" spans="1:4">
      <c r="A2" s="117"/>
      <c r="B2" s="118"/>
      <c r="C2" s="184"/>
      <c r="D2" s="189"/>
    </row>
    <row r="3" spans="1:4" ht="15.75" customHeight="1">
      <c r="A3" s="181"/>
      <c r="B3" s="182" t="s">
        <v>229</v>
      </c>
      <c r="C3" s="185"/>
      <c r="D3" s="191"/>
    </row>
    <row r="4" spans="1:4" ht="13.8" thickBot="1">
      <c r="A4" s="119"/>
      <c r="B4" s="120"/>
      <c r="C4" s="186"/>
      <c r="D4" s="192"/>
    </row>
    <row r="5" spans="1:4">
      <c r="A5" s="193"/>
      <c r="C5" s="139"/>
    </row>
    <row r="6" spans="1:4">
      <c r="A6" s="193"/>
      <c r="C6" s="139"/>
    </row>
    <row r="7" spans="1:4">
      <c r="A7" s="194" t="s">
        <v>36</v>
      </c>
      <c r="B7" s="183" t="s">
        <v>85</v>
      </c>
      <c r="C7" s="187">
        <f>'A_I_RUŠENJE I DEMONTAŽE'!F46</f>
        <v>59300</v>
      </c>
      <c r="D7" s="190" t="s">
        <v>159</v>
      </c>
    </row>
    <row r="8" spans="1:4">
      <c r="A8" s="194"/>
      <c r="B8" s="183"/>
      <c r="C8" s="187"/>
      <c r="D8" s="190"/>
    </row>
    <row r="9" spans="1:4">
      <c r="A9" s="194" t="s">
        <v>10</v>
      </c>
      <c r="B9" s="183" t="s">
        <v>11</v>
      </c>
      <c r="C9" s="187">
        <f>'A_II_ ZEMLJANI'!F31</f>
        <v>39500</v>
      </c>
      <c r="D9" s="190" t="s">
        <v>159</v>
      </c>
    </row>
    <row r="10" spans="1:4">
      <c r="A10" s="194"/>
      <c r="B10" s="183"/>
      <c r="C10" s="187"/>
      <c r="D10" s="190"/>
    </row>
    <row r="11" spans="1:4">
      <c r="A11" s="194" t="s">
        <v>16</v>
      </c>
      <c r="B11" s="183" t="s">
        <v>5</v>
      </c>
      <c r="C11" s="187">
        <f>'A_III_ BETONSKI I AB'!F108</f>
        <v>192502</v>
      </c>
      <c r="D11" s="190" t="s">
        <v>159</v>
      </c>
    </row>
    <row r="12" spans="1:4">
      <c r="A12" s="194"/>
      <c r="B12" s="183"/>
      <c r="C12" s="187"/>
      <c r="D12" s="190"/>
    </row>
    <row r="13" spans="1:4">
      <c r="A13" s="194" t="s">
        <v>41</v>
      </c>
      <c r="B13" s="183" t="s">
        <v>40</v>
      </c>
      <c r="C13" s="187">
        <f>'A_IV_ ZIDARSKI RADOVI'!F16</f>
        <v>12145</v>
      </c>
      <c r="D13" s="190" t="s">
        <v>159</v>
      </c>
    </row>
    <row r="14" spans="1:4">
      <c r="A14" s="194"/>
      <c r="B14" s="183"/>
      <c r="C14" s="187"/>
      <c r="D14" s="190"/>
    </row>
    <row r="15" spans="1:4">
      <c r="A15" s="194" t="s">
        <v>19</v>
      </c>
      <c r="B15" s="183" t="s">
        <v>6</v>
      </c>
      <c r="C15" s="187">
        <f>'A_V_ IZOLATERSKI RADOVI'!F26</f>
        <v>17110</v>
      </c>
      <c r="D15" s="190" t="s">
        <v>159</v>
      </c>
    </row>
    <row r="16" spans="1:4">
      <c r="A16" s="194"/>
      <c r="B16" s="183"/>
      <c r="C16" s="187"/>
      <c r="D16" s="190"/>
    </row>
    <row r="17" spans="1:7">
      <c r="A17" s="194" t="s">
        <v>94</v>
      </c>
      <c r="B17" s="183" t="s">
        <v>84</v>
      </c>
      <c r="C17" s="187">
        <f>'A_VI_METALNE KONSTRUKCIJE'!F32</f>
        <v>39550</v>
      </c>
      <c r="D17" s="190" t="s">
        <v>159</v>
      </c>
    </row>
    <row r="18" spans="1:7">
      <c r="A18" s="194"/>
      <c r="B18" s="183"/>
      <c r="C18" s="187"/>
      <c r="D18" s="190"/>
    </row>
    <row r="19" spans="1:7">
      <c r="A19" s="194" t="s">
        <v>115</v>
      </c>
      <c r="B19" s="183" t="s">
        <v>93</v>
      </c>
      <c r="C19" s="187">
        <f>'A_VII_TESARSKI RADOVI'!F21</f>
        <v>23725</v>
      </c>
      <c r="D19" s="190" t="s">
        <v>159</v>
      </c>
    </row>
    <row r="20" spans="1:7">
      <c r="A20" s="194"/>
      <c r="B20" s="183"/>
      <c r="C20" s="187"/>
      <c r="D20" s="190"/>
      <c r="F20" s="14"/>
    </row>
    <row r="21" spans="1:7">
      <c r="A21" s="194" t="s">
        <v>22</v>
      </c>
      <c r="B21" s="183" t="s">
        <v>7</v>
      </c>
      <c r="C21" s="187">
        <f>'B_I_LIMARSKI RADOVI'!F31</f>
        <v>9410</v>
      </c>
      <c r="D21" s="190" t="s">
        <v>159</v>
      </c>
    </row>
    <row r="22" spans="1:7">
      <c r="A22" s="194"/>
      <c r="B22" s="183"/>
      <c r="C22" s="187"/>
      <c r="D22" s="190"/>
    </row>
    <row r="23" spans="1:7">
      <c r="A23" s="194" t="s">
        <v>46</v>
      </c>
      <c r="B23" s="183" t="s">
        <v>83</v>
      </c>
      <c r="C23" s="187">
        <f>'B_II_POKRIVAČKI RADOVI'!F14</f>
        <v>38500</v>
      </c>
      <c r="D23" s="190" t="s">
        <v>159</v>
      </c>
    </row>
    <row r="24" spans="1:7">
      <c r="A24" s="194"/>
      <c r="B24" s="183"/>
      <c r="C24" s="187"/>
      <c r="D24" s="190"/>
    </row>
    <row r="25" spans="1:7">
      <c r="A25" s="194" t="s">
        <v>24</v>
      </c>
      <c r="B25" s="183" t="s">
        <v>8</v>
      </c>
      <c r="C25" s="187">
        <f>'B_III_STOLARSKI RADOVI'!F146</f>
        <v>77940</v>
      </c>
      <c r="D25" s="190" t="s">
        <v>159</v>
      </c>
    </row>
    <row r="26" spans="1:7">
      <c r="A26" s="195"/>
      <c r="B26" s="86"/>
      <c r="C26" s="188"/>
    </row>
    <row r="27" spans="1:7">
      <c r="A27" s="194" t="s">
        <v>82</v>
      </c>
      <c r="B27" s="183" t="s">
        <v>81</v>
      </c>
      <c r="C27" s="187">
        <f>'B_IV_BRAVARSKI RADOVI '!F14</f>
        <v>1900</v>
      </c>
      <c r="D27" s="190" t="s">
        <v>159</v>
      </c>
    </row>
    <row r="28" spans="1:7">
      <c r="A28" s="195"/>
      <c r="B28" s="86"/>
      <c r="C28" s="188"/>
    </row>
    <row r="29" spans="1:7">
      <c r="A29" s="194" t="s">
        <v>3</v>
      </c>
      <c r="B29" s="183" t="s">
        <v>4</v>
      </c>
      <c r="C29" s="187">
        <f>'B_V_ ZAVRŠNI ZIDARSKI RADOVI'!F33</f>
        <v>38350</v>
      </c>
      <c r="D29" s="190" t="s">
        <v>159</v>
      </c>
      <c r="G29" s="14"/>
    </row>
    <row r="30" spans="1:7">
      <c r="A30" s="195"/>
      <c r="B30" s="86"/>
      <c r="C30" s="188"/>
    </row>
    <row r="31" spans="1:7">
      <c r="A31" s="194" t="s">
        <v>63</v>
      </c>
      <c r="B31" s="183" t="s">
        <v>62</v>
      </c>
      <c r="C31" s="187">
        <f>'B_VI_ GIPSARSKI RADOVI'!F37</f>
        <v>65845</v>
      </c>
      <c r="D31" s="190" t="s">
        <v>159</v>
      </c>
      <c r="F31" s="14"/>
    </row>
    <row r="32" spans="1:7">
      <c r="A32" s="195"/>
      <c r="B32" s="86"/>
      <c r="C32" s="188"/>
    </row>
    <row r="33" spans="1:6">
      <c r="A33" s="194" t="s">
        <v>64</v>
      </c>
      <c r="B33" s="183" t="s">
        <v>109</v>
      </c>
      <c r="C33" s="187">
        <f>'B_VII_RADOVI NA PROČELJU'!F27</f>
        <v>52200</v>
      </c>
      <c r="D33" s="190" t="s">
        <v>159</v>
      </c>
    </row>
    <row r="34" spans="1:6">
      <c r="A34" s="195"/>
      <c r="B34" s="86"/>
      <c r="C34" s="188"/>
    </row>
    <row r="35" spans="1:6">
      <c r="A35" s="194" t="s">
        <v>377</v>
      </c>
      <c r="B35" s="183" t="s">
        <v>304</v>
      </c>
      <c r="C35" s="187">
        <f>'B.VII KAMENOREZAČKI RADOVI'!F10</f>
        <v>16000</v>
      </c>
      <c r="D35" s="190" t="s">
        <v>159</v>
      </c>
    </row>
    <row r="36" spans="1:6">
      <c r="A36" s="195"/>
      <c r="B36" s="86"/>
      <c r="C36" s="188"/>
    </row>
    <row r="37" spans="1:6">
      <c r="A37" s="194" t="s">
        <v>66</v>
      </c>
      <c r="B37" s="183" t="s">
        <v>65</v>
      </c>
      <c r="C37" s="187">
        <f>'B_X_ KERAMIČARSKI RADOVI'!F23</f>
        <v>36600</v>
      </c>
      <c r="D37" s="190" t="s">
        <v>159</v>
      </c>
      <c r="F37" s="14"/>
    </row>
    <row r="38" spans="1:6">
      <c r="A38" s="195"/>
      <c r="B38" s="86"/>
      <c r="C38" s="188"/>
    </row>
    <row r="39" spans="1:6">
      <c r="A39" s="194" t="s">
        <v>71</v>
      </c>
      <c r="B39" s="183" t="s">
        <v>80</v>
      </c>
      <c r="C39" s="187">
        <f>'B_XI_ SOBOSLIKARSKI RADOVI'!F16</f>
        <v>19075</v>
      </c>
      <c r="D39" s="190" t="s">
        <v>159</v>
      </c>
    </row>
    <row r="40" spans="1:6">
      <c r="A40" s="195"/>
      <c r="B40" s="86"/>
      <c r="C40" s="188"/>
    </row>
    <row r="41" spans="1:6">
      <c r="A41" s="194" t="s">
        <v>76</v>
      </c>
      <c r="B41" s="183" t="s">
        <v>75</v>
      </c>
      <c r="C41" s="187">
        <f>'B_XIII_ PODOPOLAGAČKI RADOVI'!F27</f>
        <v>23150</v>
      </c>
      <c r="D41" s="190" t="s">
        <v>159</v>
      </c>
    </row>
    <row r="42" spans="1:6">
      <c r="A42" s="195"/>
      <c r="B42" s="86"/>
      <c r="C42" s="188"/>
    </row>
    <row r="43" spans="1:6">
      <c r="A43" s="194" t="s">
        <v>79</v>
      </c>
      <c r="B43" s="183" t="s">
        <v>370</v>
      </c>
      <c r="C43" s="187">
        <f>'B_XIV_KONZERVATORSKI RADOVI'!F70</f>
        <v>80065</v>
      </c>
      <c r="D43" s="190" t="s">
        <v>159</v>
      </c>
    </row>
    <row r="44" spans="1:6">
      <c r="A44" s="195"/>
      <c r="B44" s="86"/>
      <c r="C44" s="188"/>
    </row>
    <row r="45" spans="1:6">
      <c r="A45" s="194" t="s">
        <v>87</v>
      </c>
      <c r="B45" s="183" t="s">
        <v>77</v>
      </c>
      <c r="C45" s="187">
        <f>'B_XVI_ ISPITIVANJE'!F21</f>
        <v>4500</v>
      </c>
      <c r="D45" s="190" t="s">
        <v>159</v>
      </c>
    </row>
    <row r="46" spans="1:6" ht="13.8" thickBot="1">
      <c r="A46" s="195"/>
      <c r="B46" s="86"/>
      <c r="C46" s="148"/>
    </row>
    <row r="47" spans="1:6" ht="13.8" thickBot="1">
      <c r="A47" s="196"/>
      <c r="B47" s="197" t="s">
        <v>230</v>
      </c>
      <c r="C47" s="199">
        <f>SUM(C7:C45)</f>
        <v>847367</v>
      </c>
      <c r="D47" s="198" t="s">
        <v>159</v>
      </c>
    </row>
    <row r="49" spans="1:7" s="20" customFormat="1">
      <c r="A49" s="1550"/>
      <c r="B49" s="1550"/>
      <c r="C49" s="1550"/>
      <c r="D49" s="1550"/>
    </row>
    <row r="50" spans="1:7" s="20" customFormat="1">
      <c r="A50" s="249"/>
      <c r="B50" s="249"/>
      <c r="C50" s="249"/>
      <c r="D50" s="249"/>
      <c r="E50" s="249"/>
      <c r="F50" s="249"/>
      <c r="G50" s="249"/>
    </row>
    <row r="51" spans="1:7" s="20" customFormat="1" ht="15" customHeight="1">
      <c r="A51" s="1550"/>
      <c r="B51" s="1550"/>
      <c r="C51" s="1550"/>
      <c r="D51" s="1550"/>
    </row>
    <row r="52" spans="1:7" s="20" customFormat="1">
      <c r="A52" s="250"/>
      <c r="B52" s="250"/>
      <c r="C52" s="250"/>
      <c r="D52" s="250"/>
      <c r="E52" s="250"/>
      <c r="F52" s="250"/>
      <c r="G52" s="250"/>
    </row>
    <row r="53" spans="1:7" s="20" customFormat="1" ht="30" customHeight="1">
      <c r="A53" s="1550"/>
      <c r="B53" s="1550"/>
      <c r="C53" s="1550"/>
      <c r="D53" s="1550"/>
    </row>
    <row r="56" spans="1:7">
      <c r="B56" s="67"/>
    </row>
    <row r="57" spans="1:7">
      <c r="B57" s="67"/>
    </row>
  </sheetData>
  <sheetProtection algorithmName="SHA-512" hashValue="370Ip7rwfjDQYwb6D4Papk1V6oy26bwfS6+uFIqgJd8MRzHdCMwTcoM5bR8wYxFi6wFrcV88/7ufCoK7wZUsnA==" saltValue="jFSnFv3QR8EhPGO2VgyOYg==" spinCount="100000" sheet="1" objects="1" scenarios="1"/>
  <mergeCells count="3">
    <mergeCell ref="A49:D49"/>
    <mergeCell ref="A51:D51"/>
    <mergeCell ref="A53:D53"/>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tint="0.79998168889431442"/>
  </sheetPr>
  <dimension ref="A1:H125"/>
  <sheetViews>
    <sheetView topLeftCell="A86" zoomScale="85" zoomScaleNormal="85" zoomScaleSheetLayoutView="172" zoomScalePageLayoutView="130" workbookViewId="0">
      <selection activeCell="E111" sqref="E111"/>
    </sheetView>
  </sheetViews>
  <sheetFormatPr defaultColWidth="7.6640625" defaultRowHeight="13.2"/>
  <cols>
    <col min="1" max="1" width="6.6640625" style="346" customWidth="1"/>
    <col min="2" max="2" width="55.6640625" style="346" customWidth="1"/>
    <col min="3" max="3" width="10.6640625" style="346" customWidth="1"/>
    <col min="4" max="4" width="10.6640625" style="337" customWidth="1"/>
    <col min="5" max="6" width="10.6640625" style="345" customWidth="1"/>
    <col min="7" max="7" width="9.109375" style="346" hidden="1" customWidth="1"/>
    <col min="8" max="16384" width="7.6640625" style="346"/>
  </cols>
  <sheetData>
    <row r="1" spans="1:8" ht="35.1" customHeight="1">
      <c r="A1" s="1555" t="s">
        <v>2268</v>
      </c>
      <c r="B1" s="1555"/>
    </row>
    <row r="3" spans="1:8" ht="12.75" customHeight="1">
      <c r="A3" s="1557" t="s">
        <v>145</v>
      </c>
      <c r="B3" s="1558" t="s">
        <v>146</v>
      </c>
      <c r="C3" s="1558" t="s">
        <v>147</v>
      </c>
      <c r="D3" s="1559" t="s">
        <v>148</v>
      </c>
      <c r="E3" s="1560" t="s">
        <v>149</v>
      </c>
      <c r="F3" s="1560"/>
      <c r="H3" s="1551" t="s">
        <v>2523</v>
      </c>
    </row>
    <row r="4" spans="1:8">
      <c r="A4" s="1557"/>
      <c r="B4" s="1558"/>
      <c r="C4" s="1558"/>
      <c r="D4" s="1559"/>
      <c r="E4" s="1560"/>
      <c r="F4" s="1560"/>
      <c r="H4" s="1551"/>
    </row>
    <row r="5" spans="1:8">
      <c r="A5" s="1557"/>
      <c r="B5" s="1558"/>
      <c r="C5" s="1558"/>
      <c r="D5" s="1559"/>
      <c r="E5" s="693" t="s">
        <v>150</v>
      </c>
      <c r="F5" s="693" t="s">
        <v>151</v>
      </c>
      <c r="H5" s="1551"/>
    </row>
    <row r="6" spans="1:8">
      <c r="A6" s="694"/>
      <c r="B6" s="695"/>
      <c r="C6" s="696"/>
    </row>
    <row r="7" spans="1:8">
      <c r="A7" s="694"/>
      <c r="B7" s="697" t="s">
        <v>414</v>
      </c>
      <c r="C7" s="696"/>
    </row>
    <row r="8" spans="1:8">
      <c r="A8" s="694"/>
      <c r="B8" s="695"/>
      <c r="C8" s="696"/>
    </row>
    <row r="9" spans="1:8">
      <c r="A9" s="496" t="s">
        <v>26</v>
      </c>
      <c r="B9" s="698" t="s">
        <v>415</v>
      </c>
      <c r="C9" s="699"/>
      <c r="D9" s="465"/>
      <c r="E9" s="700"/>
      <c r="F9" s="700"/>
    </row>
    <row r="10" spans="1:8">
      <c r="A10" s="496"/>
      <c r="B10" s="698"/>
      <c r="C10" s="699"/>
      <c r="D10" s="465"/>
      <c r="E10" s="700"/>
      <c r="F10" s="700"/>
    </row>
    <row r="11" spans="1:8">
      <c r="A11" s="465" t="s">
        <v>416</v>
      </c>
      <c r="B11" s="698" t="s">
        <v>417</v>
      </c>
      <c r="C11" s="699"/>
      <c r="D11" s="465"/>
      <c r="E11" s="700"/>
      <c r="F11" s="700"/>
    </row>
    <row r="12" spans="1:8" ht="92.4">
      <c r="A12" s="496"/>
      <c r="B12" s="524" t="s">
        <v>418</v>
      </c>
      <c r="C12" s="699"/>
      <c r="D12" s="465"/>
      <c r="E12" s="700"/>
      <c r="F12" s="700"/>
    </row>
    <row r="13" spans="1:8">
      <c r="A13" s="496"/>
      <c r="B13" s="701" t="s">
        <v>419</v>
      </c>
      <c r="C13" s="702" t="s">
        <v>420</v>
      </c>
      <c r="D13" s="703">
        <v>1</v>
      </c>
      <c r="E13" s="1326">
        <v>500</v>
      </c>
      <c r="F13" s="704">
        <f>D13*E13</f>
        <v>500</v>
      </c>
    </row>
    <row r="14" spans="1:8">
      <c r="A14" s="496"/>
      <c r="B14" s="698"/>
      <c r="C14" s="701"/>
      <c r="D14" s="465"/>
      <c r="E14" s="700"/>
      <c r="F14" s="700"/>
    </row>
    <row r="15" spans="1:8">
      <c r="A15" s="465" t="s">
        <v>421</v>
      </c>
      <c r="B15" s="698" t="s">
        <v>422</v>
      </c>
      <c r="C15" s="701"/>
      <c r="D15" s="705"/>
      <c r="E15" s="700"/>
      <c r="F15" s="706"/>
    </row>
    <row r="16" spans="1:8" ht="105.6">
      <c r="A16" s="465"/>
      <c r="B16" s="524" t="s">
        <v>423</v>
      </c>
      <c r="C16" s="702"/>
      <c r="D16" s="303"/>
      <c r="E16" s="303"/>
    </row>
    <row r="17" spans="1:6">
      <c r="A17" s="465"/>
      <c r="B17" s="524" t="s">
        <v>424</v>
      </c>
      <c r="C17" s="702" t="s">
        <v>420</v>
      </c>
      <c r="D17" s="703">
        <v>1</v>
      </c>
      <c r="E17" s="1326">
        <v>500</v>
      </c>
      <c r="F17" s="704">
        <f>D17*E17</f>
        <v>500</v>
      </c>
    </row>
    <row r="18" spans="1:6">
      <c r="A18" s="465"/>
      <c r="B18" s="524"/>
      <c r="C18" s="702"/>
      <c r="D18" s="703"/>
      <c r="E18" s="703"/>
      <c r="F18" s="704"/>
    </row>
    <row r="19" spans="1:6">
      <c r="A19" s="465"/>
      <c r="B19" s="524"/>
      <c r="C19" s="347"/>
      <c r="D19" s="347"/>
    </row>
    <row r="20" spans="1:6" s="349" customFormat="1">
      <c r="A20" s="707"/>
      <c r="B20" s="708" t="str">
        <f>B9</f>
        <v>PRIPREMNI RADOVI</v>
      </c>
      <c r="C20" s="708" t="s">
        <v>425</v>
      </c>
      <c r="D20" s="708"/>
      <c r="E20" s="709"/>
      <c r="F20" s="710">
        <f>SUM(F13:F19)</f>
        <v>1000</v>
      </c>
    </row>
    <row r="21" spans="1:6" s="349" customFormat="1">
      <c r="A21" s="496"/>
      <c r="B21" s="698"/>
      <c r="C21" s="698"/>
      <c r="D21" s="698"/>
      <c r="E21" s="700"/>
      <c r="F21" s="711"/>
    </row>
    <row r="22" spans="1:6" s="349" customFormat="1">
      <c r="A22" s="496"/>
      <c r="B22" s="698"/>
      <c r="C22" s="698"/>
      <c r="D22" s="698"/>
      <c r="E22" s="700"/>
      <c r="F22" s="711"/>
    </row>
    <row r="23" spans="1:6" s="349" customFormat="1">
      <c r="A23" s="496"/>
      <c r="B23" s="698"/>
      <c r="C23" s="698"/>
      <c r="D23" s="465"/>
      <c r="E23" s="700"/>
      <c r="F23" s="711"/>
    </row>
    <row r="24" spans="1:6">
      <c r="A24" s="496" t="s">
        <v>426</v>
      </c>
      <c r="B24" s="698" t="s">
        <v>427</v>
      </c>
      <c r="C24" s="699"/>
      <c r="D24" s="465"/>
      <c r="E24" s="700"/>
      <c r="F24" s="700"/>
    </row>
    <row r="25" spans="1:6">
      <c r="A25" s="496"/>
      <c r="B25" s="698"/>
      <c r="C25" s="699"/>
      <c r="D25" s="465"/>
      <c r="E25" s="700"/>
      <c r="F25" s="700"/>
    </row>
    <row r="26" spans="1:6">
      <c r="A26" s="465" t="s">
        <v>416</v>
      </c>
      <c r="B26" s="1561" t="s">
        <v>428</v>
      </c>
      <c r="C26" s="1561"/>
      <c r="D26" s="1561"/>
      <c r="E26" s="1561"/>
      <c r="F26" s="706"/>
    </row>
    <row r="27" spans="1:6" ht="79.2">
      <c r="A27" s="496"/>
      <c r="B27" s="524" t="s">
        <v>429</v>
      </c>
      <c r="C27" s="303"/>
      <c r="D27" s="303"/>
    </row>
    <row r="28" spans="1:6" ht="15.6">
      <c r="A28" s="496"/>
      <c r="B28" s="524" t="s">
        <v>430</v>
      </c>
      <c r="C28" s="347" t="s">
        <v>2269</v>
      </c>
      <c r="D28" s="703">
        <v>250</v>
      </c>
      <c r="E28" s="1327">
        <v>30</v>
      </c>
      <c r="F28" s="704">
        <f>D28*E28</f>
        <v>7500</v>
      </c>
    </row>
    <row r="29" spans="1:6">
      <c r="A29" s="496"/>
      <c r="B29" s="524"/>
      <c r="C29" s="347"/>
      <c r="D29" s="703"/>
      <c r="E29" s="704"/>
      <c r="F29" s="704"/>
    </row>
    <row r="30" spans="1:6">
      <c r="A30" s="465" t="s">
        <v>421</v>
      </c>
      <c r="B30" s="1553" t="s">
        <v>431</v>
      </c>
      <c r="C30" s="1553"/>
      <c r="D30" s="1553"/>
      <c r="E30" s="704"/>
      <c r="F30" s="704"/>
    </row>
    <row r="31" spans="1:6" ht="79.2">
      <c r="A31" s="465"/>
      <c r="B31" s="524" t="s">
        <v>432</v>
      </c>
      <c r="C31" s="347"/>
      <c r="D31" s="703"/>
      <c r="E31" s="704"/>
      <c r="F31" s="704"/>
    </row>
    <row r="32" spans="1:6" ht="15.6">
      <c r="A32" s="465"/>
      <c r="B32" s="524" t="s">
        <v>433</v>
      </c>
      <c r="C32" s="347" t="s">
        <v>2269</v>
      </c>
      <c r="D32" s="703">
        <v>55</v>
      </c>
      <c r="E32" s="1327">
        <v>40</v>
      </c>
      <c r="F32" s="704">
        <f>D32*E32</f>
        <v>2200</v>
      </c>
    </row>
    <row r="33" spans="1:6">
      <c r="A33" s="465"/>
      <c r="B33" s="524"/>
      <c r="C33" s="347"/>
      <c r="D33" s="703"/>
      <c r="E33" s="704"/>
      <c r="F33" s="704"/>
    </row>
    <row r="34" spans="1:6">
      <c r="A34" s="465" t="s">
        <v>434</v>
      </c>
      <c r="B34" s="1553" t="s">
        <v>435</v>
      </c>
      <c r="C34" s="1553"/>
      <c r="D34" s="1553"/>
      <c r="E34" s="1553"/>
    </row>
    <row r="35" spans="1:6" ht="66">
      <c r="A35" s="496"/>
      <c r="B35" s="524" t="s">
        <v>436</v>
      </c>
      <c r="C35" s="303"/>
      <c r="D35" s="303"/>
    </row>
    <row r="36" spans="1:6" ht="15.6">
      <c r="A36" s="496"/>
      <c r="B36" s="524" t="s">
        <v>437</v>
      </c>
      <c r="C36" s="347" t="s">
        <v>2270</v>
      </c>
      <c r="D36" s="703">
        <v>180</v>
      </c>
      <c r="E36" s="1327">
        <v>2</v>
      </c>
      <c r="F36" s="704">
        <f>D36*E36</f>
        <v>360</v>
      </c>
    </row>
    <row r="37" spans="1:6" ht="15.6">
      <c r="A37" s="496"/>
      <c r="B37" s="524" t="s">
        <v>438</v>
      </c>
      <c r="C37" s="347" t="s">
        <v>2270</v>
      </c>
      <c r="D37" s="703">
        <v>150</v>
      </c>
      <c r="E37" s="1327">
        <v>2</v>
      </c>
      <c r="F37" s="704">
        <f>D37*E37</f>
        <v>300</v>
      </c>
    </row>
    <row r="38" spans="1:6">
      <c r="A38" s="496"/>
      <c r="B38" s="524"/>
      <c r="C38" s="347"/>
      <c r="D38" s="703"/>
      <c r="E38" s="704"/>
      <c r="F38" s="704"/>
    </row>
    <row r="39" spans="1:6">
      <c r="A39" s="465" t="s">
        <v>439</v>
      </c>
      <c r="B39" s="302" t="s">
        <v>440</v>
      </c>
      <c r="C39" s="347"/>
      <c r="D39" s="703"/>
      <c r="E39" s="704"/>
      <c r="F39" s="704"/>
    </row>
    <row r="40" spans="1:6" ht="66">
      <c r="A40" s="496"/>
      <c r="B40" s="524" t="s">
        <v>441</v>
      </c>
      <c r="C40" s="347" t="s">
        <v>2269</v>
      </c>
      <c r="D40" s="303">
        <v>300</v>
      </c>
      <c r="E40" s="1328">
        <v>45</v>
      </c>
      <c r="F40" s="303">
        <f>D40*E40</f>
        <v>13500</v>
      </c>
    </row>
    <row r="41" spans="1:6">
      <c r="A41" s="496"/>
      <c r="B41" s="524"/>
      <c r="C41" s="347"/>
      <c r="D41" s="303"/>
      <c r="E41" s="303"/>
      <c r="F41" s="303"/>
    </row>
    <row r="42" spans="1:6">
      <c r="A42" s="496"/>
      <c r="B42" s="524"/>
      <c r="C42" s="347"/>
      <c r="D42" s="703"/>
      <c r="E42" s="704"/>
      <c r="F42" s="704"/>
    </row>
    <row r="43" spans="1:6">
      <c r="A43" s="496" t="s">
        <v>442</v>
      </c>
      <c r="B43" s="302" t="s">
        <v>443</v>
      </c>
      <c r="C43" s="347"/>
      <c r="D43" s="703"/>
      <c r="E43" s="704"/>
      <c r="F43" s="704"/>
    </row>
    <row r="44" spans="1:6" ht="39.6">
      <c r="A44" s="496"/>
      <c r="B44" s="524" t="s">
        <v>444</v>
      </c>
      <c r="C44" s="347"/>
      <c r="D44" s="303"/>
    </row>
    <row r="45" spans="1:6" ht="15.6">
      <c r="A45" s="496"/>
      <c r="B45" s="524" t="s">
        <v>2271</v>
      </c>
      <c r="C45" s="712" t="s">
        <v>2270</v>
      </c>
      <c r="D45" s="703">
        <v>100</v>
      </c>
      <c r="E45" s="1329">
        <v>20</v>
      </c>
      <c r="F45" s="345">
        <f>D45*E45</f>
        <v>2000</v>
      </c>
    </row>
    <row r="46" spans="1:6">
      <c r="A46" s="496"/>
      <c r="B46" s="524"/>
      <c r="C46" s="712"/>
      <c r="D46" s="712"/>
      <c r="E46" s="700"/>
      <c r="F46" s="706"/>
    </row>
    <row r="47" spans="1:6">
      <c r="A47" s="707"/>
      <c r="B47" s="713" t="str">
        <f>B24</f>
        <v>ZEMLJANI RADOVI</v>
      </c>
      <c r="C47" s="708"/>
      <c r="D47" s="714" t="s">
        <v>425</v>
      </c>
      <c r="E47" s="709"/>
      <c r="F47" s="710">
        <f>SUM(F28:F46)</f>
        <v>25860</v>
      </c>
    </row>
    <row r="48" spans="1:6">
      <c r="A48" s="496"/>
      <c r="B48" s="715"/>
      <c r="C48" s="698"/>
      <c r="D48" s="698"/>
      <c r="E48" s="700"/>
      <c r="F48" s="711"/>
    </row>
    <row r="49" spans="1:6">
      <c r="A49" s="496"/>
      <c r="B49" s="715"/>
      <c r="C49" s="698"/>
      <c r="D49" s="698"/>
      <c r="E49" s="700"/>
      <c r="F49" s="711"/>
    </row>
    <row r="50" spans="1:6">
      <c r="A50" s="496"/>
      <c r="B50" s="715"/>
      <c r="C50" s="698"/>
      <c r="D50" s="698"/>
      <c r="E50" s="700"/>
      <c r="F50" s="711"/>
    </row>
    <row r="51" spans="1:6">
      <c r="A51" s="496" t="s">
        <v>453</v>
      </c>
      <c r="B51" s="1553" t="s">
        <v>5</v>
      </c>
      <c r="C51" s="1553"/>
      <c r="D51" s="1553"/>
      <c r="E51" s="1553"/>
      <c r="F51" s="711"/>
    </row>
    <row r="52" spans="1:6">
      <c r="A52" s="496"/>
      <c r="B52" s="302"/>
      <c r="C52" s="302"/>
      <c r="D52" s="302"/>
      <c r="E52" s="302"/>
      <c r="F52" s="711"/>
    </row>
    <row r="53" spans="1:6">
      <c r="A53" s="496" t="s">
        <v>416</v>
      </c>
      <c r="B53" s="302" t="s">
        <v>445</v>
      </c>
      <c r="C53" s="302"/>
      <c r="D53" s="302"/>
      <c r="E53" s="302"/>
      <c r="F53" s="711"/>
    </row>
    <row r="54" spans="1:6" ht="26.4">
      <c r="A54" s="465"/>
      <c r="B54" s="716" t="s">
        <v>446</v>
      </c>
      <c r="C54" s="698"/>
      <c r="D54" s="698"/>
      <c r="E54" s="700"/>
      <c r="F54" s="711"/>
    </row>
    <row r="55" spans="1:6" ht="15.6">
      <c r="A55" s="496"/>
      <c r="B55" s="717" t="s">
        <v>447</v>
      </c>
      <c r="C55" s="718" t="s">
        <v>2269</v>
      </c>
      <c r="D55" s="719">
        <v>5</v>
      </c>
      <c r="E55" s="1330">
        <v>200</v>
      </c>
      <c r="F55" s="721">
        <f>D55*E55</f>
        <v>1000</v>
      </c>
    </row>
    <row r="56" spans="1:6" ht="15.6">
      <c r="A56" s="496"/>
      <c r="B56" s="717" t="s">
        <v>448</v>
      </c>
      <c r="C56" s="718" t="s">
        <v>2269</v>
      </c>
      <c r="D56" s="719">
        <v>30</v>
      </c>
      <c r="E56" s="1330">
        <v>300</v>
      </c>
      <c r="F56" s="721">
        <f>D56*E56</f>
        <v>9000</v>
      </c>
    </row>
    <row r="57" spans="1:6">
      <c r="A57" s="496"/>
      <c r="B57" s="717" t="s">
        <v>449</v>
      </c>
      <c r="C57" s="718" t="s">
        <v>30</v>
      </c>
      <c r="D57" s="719">
        <v>4500</v>
      </c>
      <c r="E57" s="1330">
        <v>2</v>
      </c>
      <c r="F57" s="721">
        <f>D57*E57</f>
        <v>9000</v>
      </c>
    </row>
    <row r="58" spans="1:6" ht="15.6">
      <c r="A58" s="496"/>
      <c r="B58" s="717" t="s">
        <v>450</v>
      </c>
      <c r="C58" s="718" t="s">
        <v>2270</v>
      </c>
      <c r="D58" s="719">
        <v>120</v>
      </c>
      <c r="E58" s="1330">
        <v>40</v>
      </c>
      <c r="F58" s="721">
        <f>D58*E58</f>
        <v>4800</v>
      </c>
    </row>
    <row r="59" spans="1:6">
      <c r="A59" s="496"/>
      <c r="B59" s="717"/>
      <c r="C59" s="718"/>
      <c r="D59" s="719"/>
      <c r="E59" s="720"/>
      <c r="F59" s="721"/>
    </row>
    <row r="60" spans="1:6">
      <c r="A60" s="496" t="s">
        <v>421</v>
      </c>
      <c r="B60" s="1556" t="s">
        <v>451</v>
      </c>
      <c r="C60" s="1556"/>
      <c r="D60" s="1556"/>
      <c r="E60" s="720"/>
      <c r="F60" s="721"/>
    </row>
    <row r="61" spans="1:6">
      <c r="A61" s="465"/>
      <c r="B61" s="716" t="s">
        <v>452</v>
      </c>
      <c r="C61" s="718" t="s">
        <v>29</v>
      </c>
      <c r="D61" s="719">
        <v>1</v>
      </c>
      <c r="E61" s="1330">
        <v>1000</v>
      </c>
      <c r="F61" s="721">
        <f>D61*E61</f>
        <v>1000</v>
      </c>
    </row>
    <row r="62" spans="1:6">
      <c r="A62" s="722"/>
      <c r="B62" s="717"/>
      <c r="C62" s="722"/>
      <c r="D62" s="723"/>
      <c r="E62" s="724"/>
      <c r="F62" s="721"/>
    </row>
    <row r="63" spans="1:6">
      <c r="A63" s="725"/>
      <c r="B63" s="726" t="s">
        <v>5</v>
      </c>
      <c r="C63" s="726" t="s">
        <v>425</v>
      </c>
      <c r="D63" s="726"/>
      <c r="E63" s="727"/>
      <c r="F63" s="728">
        <f>SUM(F55:F62)</f>
        <v>24800</v>
      </c>
    </row>
    <row r="64" spans="1:6">
      <c r="A64" s="496"/>
      <c r="B64" s="715"/>
      <c r="C64" s="698"/>
      <c r="D64" s="698"/>
      <c r="E64" s="700"/>
      <c r="F64" s="711"/>
    </row>
    <row r="65" spans="1:6">
      <c r="A65" s="496"/>
      <c r="B65" s="715"/>
      <c r="C65" s="698"/>
      <c r="D65" s="698"/>
      <c r="E65" s="700"/>
      <c r="F65" s="711"/>
    </row>
    <row r="66" spans="1:6">
      <c r="A66" s="496"/>
      <c r="B66" s="715"/>
      <c r="C66" s="698"/>
      <c r="D66" s="698"/>
      <c r="E66" s="700"/>
      <c r="F66" s="711"/>
    </row>
    <row r="67" spans="1:6">
      <c r="A67" s="496" t="s">
        <v>466</v>
      </c>
      <c r="B67" s="698" t="s">
        <v>454</v>
      </c>
      <c r="C67" s="699"/>
      <c r="D67" s="465"/>
      <c r="E67" s="700"/>
      <c r="F67" s="700"/>
    </row>
    <row r="68" spans="1:6">
      <c r="A68" s="496"/>
      <c r="B68" s="698"/>
      <c r="C68" s="699"/>
      <c r="D68" s="465"/>
      <c r="E68" s="700"/>
      <c r="F68" s="700"/>
    </row>
    <row r="69" spans="1:6">
      <c r="A69" s="496"/>
      <c r="B69" s="524" t="s">
        <v>455</v>
      </c>
      <c r="C69" s="699"/>
      <c r="D69" s="465"/>
      <c r="E69" s="700"/>
      <c r="F69" s="700"/>
    </row>
    <row r="70" spans="1:6">
      <c r="A70" s="496"/>
      <c r="B70" s="698"/>
      <c r="C70" s="699"/>
      <c r="D70" s="465"/>
      <c r="E70" s="700"/>
      <c r="F70" s="700"/>
    </row>
    <row r="71" spans="1:6">
      <c r="A71" s="465" t="s">
        <v>416</v>
      </c>
      <c r="B71" s="304" t="s">
        <v>456</v>
      </c>
      <c r="C71" s="347"/>
      <c r="D71" s="347"/>
    </row>
    <row r="72" spans="1:6" ht="79.2">
      <c r="A72" s="496"/>
      <c r="B72" s="524" t="s">
        <v>457</v>
      </c>
      <c r="C72" s="347" t="s">
        <v>2270</v>
      </c>
      <c r="D72" s="303">
        <v>330</v>
      </c>
      <c r="E72" s="1328">
        <v>20</v>
      </c>
      <c r="F72" s="345">
        <f>D72*E72</f>
        <v>6600</v>
      </c>
    </row>
    <row r="73" spans="1:6">
      <c r="A73" s="496"/>
      <c r="B73" s="524"/>
      <c r="C73" s="347"/>
      <c r="D73" s="303"/>
      <c r="E73" s="303"/>
    </row>
    <row r="74" spans="1:6">
      <c r="A74" s="465" t="s">
        <v>421</v>
      </c>
      <c r="B74" s="1553" t="s">
        <v>458</v>
      </c>
      <c r="C74" s="1553"/>
      <c r="D74" s="1553"/>
      <c r="E74" s="1553"/>
      <c r="F74" s="1553"/>
    </row>
    <row r="75" spans="1:6" ht="132">
      <c r="A75" s="350"/>
      <c r="B75" s="524" t="s">
        <v>459</v>
      </c>
      <c r="C75" s="303"/>
      <c r="D75" s="303"/>
      <c r="E75" s="303"/>
    </row>
    <row r="76" spans="1:6" ht="15.6">
      <c r="A76" s="350"/>
      <c r="B76" s="524" t="s">
        <v>460</v>
      </c>
      <c r="C76" s="347" t="s">
        <v>2269</v>
      </c>
      <c r="D76" s="303">
        <v>80</v>
      </c>
      <c r="E76" s="1328">
        <v>50</v>
      </c>
      <c r="F76" s="345">
        <f>D76*E76</f>
        <v>4000</v>
      </c>
    </row>
    <row r="77" spans="1:6" ht="15.6">
      <c r="A77" s="350"/>
      <c r="B77" s="524" t="s">
        <v>461</v>
      </c>
      <c r="C77" s="347" t="s">
        <v>2269</v>
      </c>
      <c r="D77" s="303">
        <v>40</v>
      </c>
      <c r="E77" s="1328">
        <v>80</v>
      </c>
      <c r="F77" s="345">
        <f>D77*E77</f>
        <v>3200</v>
      </c>
    </row>
    <row r="78" spans="1:6">
      <c r="A78" s="350"/>
      <c r="B78" s="524"/>
      <c r="C78" s="729"/>
      <c r="D78" s="303"/>
      <c r="E78" s="303"/>
    </row>
    <row r="79" spans="1:6">
      <c r="A79" s="350"/>
      <c r="B79" s="524"/>
      <c r="C79" s="729"/>
      <c r="D79" s="303"/>
      <c r="E79" s="303"/>
    </row>
    <row r="80" spans="1:6">
      <c r="A80" s="350"/>
      <c r="B80" s="524"/>
      <c r="C80" s="347"/>
      <c r="D80" s="303"/>
    </row>
    <row r="81" spans="1:6">
      <c r="A81" s="465" t="s">
        <v>434</v>
      </c>
      <c r="B81" s="1553" t="s">
        <v>462</v>
      </c>
      <c r="C81" s="1553"/>
      <c r="D81" s="1553"/>
      <c r="E81" s="1553"/>
    </row>
    <row r="82" spans="1:6" ht="52.8">
      <c r="A82" s="350"/>
      <c r="B82" s="524" t="s">
        <v>463</v>
      </c>
      <c r="C82" s="337" t="s">
        <v>2272</v>
      </c>
      <c r="D82" s="730">
        <v>35</v>
      </c>
      <c r="E82" s="1328">
        <v>40</v>
      </c>
      <c r="F82" s="345">
        <f>D82*E82</f>
        <v>1400</v>
      </c>
    </row>
    <row r="83" spans="1:6">
      <c r="A83" s="350"/>
      <c r="B83" s="524"/>
      <c r="C83" s="337"/>
      <c r="D83" s="730"/>
      <c r="E83" s="303"/>
    </row>
    <row r="84" spans="1:6">
      <c r="A84" s="465" t="s">
        <v>439</v>
      </c>
      <c r="B84" s="1553" t="s">
        <v>464</v>
      </c>
      <c r="C84" s="1553"/>
      <c r="D84" s="1553"/>
      <c r="E84" s="303"/>
    </row>
    <row r="85" spans="1:6" ht="52.8">
      <c r="A85" s="350"/>
      <c r="B85" s="731" t="s">
        <v>465</v>
      </c>
      <c r="C85" s="337" t="s">
        <v>2272</v>
      </c>
      <c r="D85" s="730">
        <v>150</v>
      </c>
      <c r="E85" s="1328">
        <v>40</v>
      </c>
      <c r="F85" s="345">
        <f>D85*E85</f>
        <v>6000</v>
      </c>
    </row>
    <row r="86" spans="1:6">
      <c r="A86" s="350"/>
      <c r="B86" s="641"/>
      <c r="C86" s="347"/>
      <c r="D86" s="303"/>
      <c r="E86" s="303"/>
    </row>
    <row r="87" spans="1:6">
      <c r="A87" s="732"/>
      <c r="B87" s="713" t="s">
        <v>454</v>
      </c>
      <c r="C87" s="708"/>
      <c r="D87" s="708" t="s">
        <v>425</v>
      </c>
      <c r="E87" s="709"/>
      <c r="F87" s="733">
        <f>SUM(F72:F86)</f>
        <v>21200</v>
      </c>
    </row>
    <row r="88" spans="1:6">
      <c r="A88" s="496"/>
      <c r="B88" s="715"/>
      <c r="C88" s="698"/>
      <c r="D88" s="698"/>
      <c r="E88" s="700"/>
      <c r="F88" s="711"/>
    </row>
    <row r="89" spans="1:6">
      <c r="A89" s="496"/>
      <c r="B89" s="715"/>
      <c r="C89" s="698"/>
      <c r="D89" s="698"/>
      <c r="E89" s="700"/>
      <c r="F89" s="711"/>
    </row>
    <row r="90" spans="1:6">
      <c r="A90" s="496"/>
      <c r="B90" s="715"/>
      <c r="C90" s="698"/>
      <c r="D90" s="698"/>
      <c r="E90" s="700"/>
      <c r="F90" s="711"/>
    </row>
    <row r="91" spans="1:6">
      <c r="A91" s="496" t="s">
        <v>470</v>
      </c>
      <c r="B91" s="1554" t="s">
        <v>2273</v>
      </c>
      <c r="C91" s="1554"/>
      <c r="D91" s="1554"/>
      <c r="E91" s="1554"/>
      <c r="F91" s="711"/>
    </row>
    <row r="92" spans="1:6">
      <c r="A92" s="496"/>
      <c r="B92" s="715"/>
      <c r="C92" s="698"/>
      <c r="D92" s="698"/>
      <c r="E92" s="700"/>
      <c r="F92" s="711"/>
    </row>
    <row r="93" spans="1:6">
      <c r="A93" s="465" t="s">
        <v>416</v>
      </c>
      <c r="B93" s="302" t="s">
        <v>467</v>
      </c>
      <c r="C93" s="729"/>
      <c r="D93" s="303"/>
    </row>
    <row r="94" spans="1:6" ht="66">
      <c r="A94" s="496"/>
      <c r="B94" s="524" t="s">
        <v>468</v>
      </c>
      <c r="C94" s="702" t="s">
        <v>420</v>
      </c>
      <c r="D94" s="303">
        <v>1</v>
      </c>
      <c r="E94" s="1331">
        <v>1500</v>
      </c>
      <c r="F94" s="345">
        <f>D94*E94</f>
        <v>1500</v>
      </c>
    </row>
    <row r="95" spans="1:6">
      <c r="A95" s="496"/>
      <c r="B95" s="715"/>
      <c r="C95" s="698"/>
      <c r="D95" s="698"/>
      <c r="E95" s="700"/>
      <c r="F95" s="711"/>
    </row>
    <row r="96" spans="1:6">
      <c r="A96" s="732"/>
      <c r="B96" s="713" t="s">
        <v>469</v>
      </c>
      <c r="C96" s="708"/>
      <c r="D96" s="708" t="s">
        <v>425</v>
      </c>
      <c r="E96" s="709"/>
      <c r="F96" s="710">
        <f>SUM(F94:F95)</f>
        <v>1500</v>
      </c>
    </row>
    <row r="97" spans="1:6">
      <c r="A97" s="496"/>
      <c r="B97" s="715"/>
      <c r="C97" s="698"/>
      <c r="D97" s="698"/>
      <c r="E97" s="700"/>
      <c r="F97" s="711"/>
    </row>
    <row r="98" spans="1:6">
      <c r="A98" s="496"/>
      <c r="B98" s="715"/>
      <c r="C98" s="698"/>
      <c r="D98" s="698"/>
      <c r="E98" s="700"/>
      <c r="F98" s="711"/>
    </row>
    <row r="99" spans="1:6">
      <c r="A99" s="496"/>
      <c r="B99" s="305"/>
      <c r="C99" s="465"/>
      <c r="D99" s="734"/>
      <c r="E99" s="700"/>
      <c r="F99" s="711"/>
    </row>
    <row r="100" spans="1:6">
      <c r="A100" s="496" t="s">
        <v>592</v>
      </c>
      <c r="B100" s="698" t="s">
        <v>471</v>
      </c>
      <c r="C100" s="699"/>
      <c r="D100" s="465"/>
      <c r="E100" s="700"/>
      <c r="F100" s="700"/>
    </row>
    <row r="101" spans="1:6">
      <c r="A101" s="496"/>
      <c r="B101" s="701"/>
      <c r="C101" s="699"/>
      <c r="D101" s="465"/>
      <c r="E101" s="700"/>
      <c r="F101" s="700"/>
    </row>
    <row r="102" spans="1:6" ht="52.8">
      <c r="A102" s="465" t="s">
        <v>416</v>
      </c>
      <c r="B102" s="735" t="s">
        <v>472</v>
      </c>
      <c r="C102" s="465"/>
      <c r="D102" s="705"/>
      <c r="E102" s="700"/>
      <c r="F102" s="706"/>
    </row>
    <row r="103" spans="1:6">
      <c r="A103" s="465"/>
      <c r="B103" s="524" t="s">
        <v>473</v>
      </c>
      <c r="C103" s="465"/>
      <c r="D103" s="712"/>
      <c r="E103" s="712"/>
      <c r="F103" s="700"/>
    </row>
    <row r="104" spans="1:6">
      <c r="A104" s="465"/>
      <c r="B104" s="524" t="s">
        <v>474</v>
      </c>
      <c r="C104" s="465"/>
      <c r="D104" s="712"/>
      <c r="E104" s="712"/>
      <c r="F104" s="700"/>
    </row>
    <row r="105" spans="1:6">
      <c r="A105" s="465"/>
      <c r="B105" s="524" t="s">
        <v>475</v>
      </c>
      <c r="C105" s="465"/>
      <c r="D105" s="712"/>
      <c r="E105" s="712"/>
      <c r="F105" s="700"/>
    </row>
    <row r="106" spans="1:6" ht="26.4">
      <c r="A106" s="496"/>
      <c r="B106" s="524" t="s">
        <v>476</v>
      </c>
      <c r="C106" s="465"/>
      <c r="D106" s="712"/>
      <c r="E106" s="712"/>
      <c r="F106" s="700"/>
    </row>
    <row r="107" spans="1:6">
      <c r="A107" s="496"/>
      <c r="B107" s="524" t="s">
        <v>477</v>
      </c>
      <c r="C107" s="465"/>
      <c r="D107" s="712"/>
      <c r="E107" s="712"/>
      <c r="F107" s="700"/>
    </row>
    <row r="108" spans="1:6">
      <c r="A108" s="496"/>
      <c r="B108" s="524" t="s">
        <v>478</v>
      </c>
      <c r="C108" s="350"/>
      <c r="D108" s="736"/>
      <c r="E108" s="700"/>
    </row>
    <row r="109" spans="1:6">
      <c r="A109" s="496"/>
      <c r="B109" s="524"/>
      <c r="C109" s="350"/>
      <c r="D109" s="736"/>
      <c r="E109" s="700"/>
    </row>
    <row r="110" spans="1:6">
      <c r="A110" s="496"/>
      <c r="B110" s="524" t="s">
        <v>479</v>
      </c>
      <c r="C110" s="350" t="s">
        <v>27</v>
      </c>
      <c r="D110" s="736">
        <v>1</v>
      </c>
      <c r="E110" s="1329">
        <v>1000</v>
      </c>
      <c r="F110" s="345">
        <f>D110*E110</f>
        <v>1000</v>
      </c>
    </row>
    <row r="111" spans="1:6">
      <c r="A111" s="496"/>
      <c r="B111" s="524"/>
      <c r="C111" s="350"/>
      <c r="D111" s="736"/>
      <c r="E111" s="700"/>
    </row>
    <row r="112" spans="1:6">
      <c r="A112" s="737"/>
      <c r="B112" s="713" t="s">
        <v>471</v>
      </c>
      <c r="C112" s="708"/>
      <c r="D112" s="714" t="s">
        <v>425</v>
      </c>
      <c r="E112" s="709"/>
      <c r="F112" s="710">
        <f>SUM(F108:F111)</f>
        <v>1000</v>
      </c>
    </row>
    <row r="113" spans="1:6">
      <c r="A113" s="496"/>
      <c r="B113" s="699"/>
      <c r="C113" s="699"/>
      <c r="D113" s="465"/>
      <c r="E113" s="700"/>
      <c r="F113" s="700"/>
    </row>
    <row r="114" spans="1:6">
      <c r="A114" s="699"/>
      <c r="B114" s="699"/>
      <c r="C114" s="699"/>
      <c r="D114" s="465"/>
      <c r="E114" s="700"/>
      <c r="F114" s="700"/>
    </row>
    <row r="115" spans="1:6">
      <c r="A115" s="699"/>
      <c r="B115" s="699"/>
      <c r="C115" s="699"/>
      <c r="D115" s="465"/>
      <c r="E115" s="700"/>
      <c r="F115" s="700"/>
    </row>
    <row r="116" spans="1:6">
      <c r="A116" s="699"/>
      <c r="B116" s="699"/>
      <c r="C116" s="699"/>
      <c r="D116" s="465"/>
      <c r="E116" s="700"/>
      <c r="F116" s="700"/>
    </row>
    <row r="117" spans="1:6">
      <c r="A117" s="699"/>
      <c r="B117" s="738" t="s">
        <v>119</v>
      </c>
      <c r="C117" s="739"/>
      <c r="D117" s="496"/>
      <c r="E117" s="711"/>
      <c r="F117" s="700"/>
    </row>
    <row r="118" spans="1:6">
      <c r="A118" s="699"/>
      <c r="B118" s="1552" t="s">
        <v>480</v>
      </c>
      <c r="C118" s="1552"/>
      <c r="D118" s="1552"/>
      <c r="E118" s="1552"/>
      <c r="F118" s="700"/>
    </row>
    <row r="119" spans="1:6">
      <c r="A119" s="699"/>
      <c r="B119" s="1552" t="s">
        <v>481</v>
      </c>
      <c r="C119" s="1552"/>
      <c r="D119" s="1552"/>
      <c r="E119" s="1552"/>
      <c r="F119" s="700"/>
    </row>
    <row r="120" spans="1:6">
      <c r="A120" s="699"/>
      <c r="B120" s="699"/>
      <c r="C120" s="699"/>
      <c r="D120" s="465"/>
      <c r="E120" s="700"/>
      <c r="F120" s="700"/>
    </row>
    <row r="121" spans="1:6">
      <c r="A121" s="699"/>
      <c r="B121" s="1552" t="s">
        <v>482</v>
      </c>
      <c r="C121" s="1552"/>
      <c r="D121" s="1552"/>
      <c r="E121" s="1552"/>
      <c r="F121" s="700"/>
    </row>
    <row r="122" spans="1:6">
      <c r="A122" s="699"/>
      <c r="B122" s="699"/>
      <c r="C122" s="699"/>
      <c r="D122" s="465"/>
      <c r="E122" s="700"/>
      <c r="F122" s="700"/>
    </row>
    <row r="123" spans="1:6">
      <c r="A123" s="699"/>
      <c r="B123" s="699"/>
      <c r="C123" s="699"/>
      <c r="D123" s="465"/>
      <c r="E123" s="700"/>
      <c r="F123" s="700"/>
    </row>
    <row r="124" spans="1:6">
      <c r="A124" s="699"/>
      <c r="B124" s="699"/>
      <c r="C124" s="699"/>
      <c r="D124" s="465"/>
      <c r="E124" s="700"/>
      <c r="F124" s="700"/>
    </row>
    <row r="125" spans="1:6">
      <c r="A125" s="699"/>
    </row>
  </sheetData>
  <sheetProtection algorithmName="SHA-512" hashValue="VlzYfmc/4LN4dbgDtB2anA7//QJNyACJGZ29ZHPPge2vaHdlvaPX5yPOhay13rgBTNE6iIx4ixfz4grn+NCcDA==" saltValue="TX+hR6IrpuBWdZyS3SJP0A==" spinCount="100000" sheet="1" objects="1" scenarios="1"/>
  <mergeCells count="19">
    <mergeCell ref="A1:B1"/>
    <mergeCell ref="B60:D60"/>
    <mergeCell ref="A3:A5"/>
    <mergeCell ref="B3:B5"/>
    <mergeCell ref="C3:C5"/>
    <mergeCell ref="D3:D5"/>
    <mergeCell ref="B51:E51"/>
    <mergeCell ref="E3:F4"/>
    <mergeCell ref="B26:E26"/>
    <mergeCell ref="B30:D30"/>
    <mergeCell ref="B34:E34"/>
    <mergeCell ref="H3:H5"/>
    <mergeCell ref="B121:E121"/>
    <mergeCell ref="B74:F74"/>
    <mergeCell ref="B81:E81"/>
    <mergeCell ref="B84:D84"/>
    <mergeCell ref="B91:E91"/>
    <mergeCell ref="B118:E118"/>
    <mergeCell ref="B119:E119"/>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rowBreaks count="1" manualBreakCount="1">
    <brk id="99"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tint="0.59999389629810485"/>
  </sheetPr>
  <dimension ref="A1:G29"/>
  <sheetViews>
    <sheetView view="pageLayout" zoomScale="85" zoomScaleNormal="100" zoomScaleSheetLayoutView="175" zoomScalePageLayoutView="85" workbookViewId="0">
      <selection activeCell="D9" sqref="D9"/>
    </sheetView>
  </sheetViews>
  <sheetFormatPr defaultColWidth="9.109375" defaultRowHeight="13.2"/>
  <cols>
    <col min="1" max="1" width="4.6640625" style="256" customWidth="1"/>
    <col min="2" max="2" width="55.6640625" style="256" customWidth="1"/>
    <col min="3" max="3" width="4.88671875" style="256" customWidth="1"/>
    <col min="4" max="4" width="5.44140625" style="257" customWidth="1"/>
    <col min="5" max="5" width="5" style="273" customWidth="1"/>
    <col min="6" max="6" width="15.88671875" style="256" customWidth="1"/>
    <col min="7" max="16384" width="9.109375" style="254"/>
  </cols>
  <sheetData>
    <row r="1" spans="1:7" ht="35.1" customHeight="1">
      <c r="A1" s="254"/>
      <c r="B1" s="290" t="s">
        <v>1642</v>
      </c>
      <c r="C1" s="255"/>
      <c r="D1" s="251"/>
      <c r="E1" s="252"/>
      <c r="F1" s="252"/>
      <c r="G1" s="253"/>
    </row>
    <row r="2" spans="1:7">
      <c r="A2" s="259"/>
      <c r="B2" s="259"/>
      <c r="C2" s="259"/>
      <c r="D2" s="259"/>
      <c r="E2" s="259"/>
      <c r="F2" s="259"/>
    </row>
    <row r="3" spans="1:7" ht="30" customHeight="1">
      <c r="A3" s="259"/>
      <c r="B3" s="1562" t="s">
        <v>484</v>
      </c>
      <c r="C3" s="1562"/>
      <c r="D3" s="1562"/>
      <c r="E3" s="1562"/>
      <c r="F3" s="1562"/>
    </row>
    <row r="4" spans="1:7">
      <c r="A4" s="259"/>
      <c r="B4" s="259"/>
      <c r="C4" s="259"/>
      <c r="D4" s="259"/>
      <c r="E4" s="259"/>
      <c r="F4" s="259"/>
    </row>
    <row r="5" spans="1:7">
      <c r="A5" s="260" t="s">
        <v>26</v>
      </c>
      <c r="B5" s="261" t="s">
        <v>415</v>
      </c>
      <c r="C5" s="262"/>
      <c r="D5" s="260"/>
      <c r="E5" s="262"/>
      <c r="F5" s="899">
        <f>'MANIPULATIVNE POVRŠINE'!F20</f>
        <v>1000</v>
      </c>
    </row>
    <row r="6" spans="1:7">
      <c r="A6" s="263"/>
      <c r="B6" s="264"/>
      <c r="C6" s="265"/>
      <c r="D6" s="263"/>
      <c r="E6" s="265"/>
      <c r="F6" s="900"/>
    </row>
    <row r="7" spans="1:7">
      <c r="A7" s="260" t="s">
        <v>426</v>
      </c>
      <c r="B7" s="261" t="s">
        <v>427</v>
      </c>
      <c r="C7" s="262"/>
      <c r="D7" s="260"/>
      <c r="E7" s="262"/>
      <c r="F7" s="899">
        <f>'MANIPULATIVNE POVRŠINE'!F47</f>
        <v>25860</v>
      </c>
    </row>
    <row r="8" spans="1:7">
      <c r="A8" s="263"/>
      <c r="B8" s="264"/>
      <c r="C8" s="265"/>
      <c r="D8" s="263"/>
      <c r="E8" s="265"/>
      <c r="F8" s="900"/>
    </row>
    <row r="9" spans="1:7">
      <c r="A9" s="260" t="s">
        <v>453</v>
      </c>
      <c r="B9" s="261" t="s">
        <v>5</v>
      </c>
      <c r="C9" s="262"/>
      <c r="D9" s="260"/>
      <c r="E9" s="262"/>
      <c r="F9" s="899">
        <f>'MANIPULATIVNE POVRŠINE'!F63</f>
        <v>24800</v>
      </c>
    </row>
    <row r="10" spans="1:7">
      <c r="A10" s="263"/>
      <c r="B10" s="264"/>
      <c r="C10" s="265"/>
      <c r="D10" s="263"/>
      <c r="E10" s="265"/>
      <c r="F10" s="900"/>
    </row>
    <row r="11" spans="1:7">
      <c r="A11" s="260" t="s">
        <v>466</v>
      </c>
      <c r="B11" s="261" t="s">
        <v>454</v>
      </c>
      <c r="C11" s="262"/>
      <c r="D11" s="260"/>
      <c r="E11" s="262"/>
      <c r="F11" s="899">
        <f>'MANIPULATIVNE POVRŠINE'!F87</f>
        <v>21200</v>
      </c>
    </row>
    <row r="12" spans="1:7">
      <c r="A12" s="263"/>
      <c r="B12" s="264"/>
      <c r="C12" s="265"/>
      <c r="D12" s="263"/>
      <c r="E12" s="265"/>
      <c r="F12" s="900"/>
    </row>
    <row r="13" spans="1:7">
      <c r="A13" s="260" t="s">
        <v>470</v>
      </c>
      <c r="B13" s="261" t="s">
        <v>469</v>
      </c>
      <c r="C13" s="262"/>
      <c r="D13" s="260"/>
      <c r="E13" s="262"/>
      <c r="F13" s="899">
        <f>'MANIPULATIVNE POVRŠINE'!F96</f>
        <v>1500</v>
      </c>
    </row>
    <row r="14" spans="1:7">
      <c r="A14" s="263"/>
      <c r="B14" s="264"/>
      <c r="C14" s="265"/>
      <c r="D14" s="263"/>
      <c r="E14" s="265"/>
      <c r="F14" s="900"/>
    </row>
    <row r="15" spans="1:7">
      <c r="A15" s="260" t="s">
        <v>592</v>
      </c>
      <c r="B15" s="261" t="s">
        <v>471</v>
      </c>
      <c r="C15" s="262"/>
      <c r="D15" s="260"/>
      <c r="E15" s="262"/>
      <c r="F15" s="899">
        <f>'MANIPULATIVNE POVRŠINE'!F112</f>
        <v>1000</v>
      </c>
    </row>
    <row r="16" spans="1:7">
      <c r="A16" s="263"/>
      <c r="B16" s="264"/>
      <c r="C16" s="265"/>
      <c r="D16" s="263"/>
      <c r="E16" s="265"/>
      <c r="F16" s="900"/>
    </row>
    <row r="17" spans="1:6">
      <c r="A17" s="263"/>
      <c r="B17" s="264"/>
      <c r="C17" s="265"/>
      <c r="D17" s="263"/>
      <c r="E17" s="265"/>
      <c r="F17" s="901"/>
    </row>
    <row r="18" spans="1:6">
      <c r="A18" s="263"/>
      <c r="B18" s="265"/>
      <c r="C18" s="265"/>
      <c r="D18" s="263"/>
      <c r="E18" s="265"/>
      <c r="F18" s="901"/>
    </row>
    <row r="19" spans="1:6">
      <c r="A19" s="260"/>
      <c r="B19" s="266" t="s">
        <v>425</v>
      </c>
      <c r="C19" s="262"/>
      <c r="D19" s="260"/>
      <c r="E19" s="262"/>
      <c r="F19" s="902">
        <f>SUM(F5:F18)</f>
        <v>75360</v>
      </c>
    </row>
    <row r="20" spans="1:6">
      <c r="A20" s="259"/>
      <c r="B20" s="259"/>
      <c r="C20" s="259"/>
      <c r="D20" s="259"/>
      <c r="E20" s="259"/>
      <c r="F20" s="259"/>
    </row>
    <row r="21" spans="1:6">
      <c r="A21" s="258"/>
      <c r="B21" s="258"/>
      <c r="C21" s="258"/>
      <c r="D21" s="258"/>
      <c r="E21" s="258"/>
      <c r="F21" s="258"/>
    </row>
    <row r="22" spans="1:6">
      <c r="A22" s="258"/>
      <c r="B22" s="258"/>
      <c r="C22" s="258"/>
      <c r="D22" s="258"/>
      <c r="E22" s="258"/>
      <c r="F22" s="258"/>
    </row>
    <row r="23" spans="1:6">
      <c r="A23" s="258"/>
      <c r="B23" s="258"/>
      <c r="C23" s="258"/>
      <c r="D23" s="258"/>
      <c r="E23" s="258"/>
      <c r="F23" s="258"/>
    </row>
    <row r="24" spans="1:6">
      <c r="A24" s="258"/>
      <c r="B24" s="258"/>
      <c r="C24" s="258"/>
      <c r="D24" s="258"/>
      <c r="E24" s="258"/>
      <c r="F24" s="258"/>
    </row>
    <row r="25" spans="1:6">
      <c r="A25" s="258"/>
      <c r="B25" s="258"/>
      <c r="C25" s="258"/>
      <c r="D25" s="258"/>
      <c r="E25" s="258"/>
      <c r="F25" s="258"/>
    </row>
    <row r="26" spans="1:6">
      <c r="A26" s="258"/>
      <c r="B26" s="258"/>
      <c r="C26" s="258"/>
      <c r="D26" s="258"/>
      <c r="E26" s="258"/>
      <c r="F26" s="258"/>
    </row>
    <row r="27" spans="1:6">
      <c r="A27" s="258"/>
      <c r="B27" s="258"/>
      <c r="C27" s="258"/>
      <c r="D27" s="258"/>
      <c r="E27" s="258"/>
      <c r="F27" s="258"/>
    </row>
    <row r="28" spans="1:6">
      <c r="A28" s="267"/>
      <c r="B28" s="267"/>
      <c r="C28" s="267"/>
      <c r="D28" s="268"/>
      <c r="E28" s="269"/>
      <c r="F28" s="267"/>
    </row>
    <row r="29" spans="1:6">
      <c r="A29" s="270"/>
      <c r="B29" s="270"/>
      <c r="C29" s="270"/>
      <c r="D29" s="271"/>
      <c r="E29" s="272"/>
      <c r="F29" s="270"/>
    </row>
  </sheetData>
  <sheetProtection algorithmName="SHA-512" hashValue="hCecAtaMOM9p4LE5HgR5EsW8Ilz+NqA5EfSTlUHk2oMPdX+ZJj+TmhnMg1Hr4uafSPNchxdwg9TS9kJWuE5fJA==" saltValue="Asdnn4ZF55m7EH0eqvsXYQ==" spinCount="100000" sheet="1" objects="1" scenarios="1"/>
  <mergeCells count="1">
    <mergeCell ref="B3:F3"/>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8" tint="0.59999389629810485"/>
  </sheetPr>
  <dimension ref="A1:G340"/>
  <sheetViews>
    <sheetView topLeftCell="A314" zoomScale="85" zoomScaleNormal="85" zoomScaleSheetLayoutView="130" workbookViewId="0">
      <selection activeCell="E339" sqref="E339"/>
    </sheetView>
  </sheetViews>
  <sheetFormatPr defaultColWidth="9.109375" defaultRowHeight="13.2"/>
  <cols>
    <col min="1" max="1" width="5" style="346" customWidth="1"/>
    <col min="2" max="2" width="55.6640625" style="346" customWidth="1"/>
    <col min="3" max="3" width="10.6640625" style="337" customWidth="1"/>
    <col min="4" max="4" width="8.33203125" style="337" customWidth="1"/>
    <col min="5" max="5" width="10.5546875" style="346" customWidth="1"/>
    <col min="6" max="6" width="11.109375" style="346" customWidth="1"/>
    <col min="7" max="16384" width="9.109375" style="346"/>
  </cols>
  <sheetData>
    <row r="1" spans="1:7" ht="35.1" customHeight="1">
      <c r="A1" s="1555" t="s">
        <v>2268</v>
      </c>
      <c r="B1" s="1555"/>
      <c r="C1" s="346"/>
      <c r="E1" s="345"/>
      <c r="F1" s="345"/>
    </row>
    <row r="3" spans="1:7" ht="14.25" customHeight="1">
      <c r="A3" s="1557" t="s">
        <v>145</v>
      </c>
      <c r="B3" s="1558" t="s">
        <v>146</v>
      </c>
      <c r="C3" s="1557" t="s">
        <v>147</v>
      </c>
      <c r="D3" s="1559" t="s">
        <v>148</v>
      </c>
      <c r="E3" s="1559" t="s">
        <v>149</v>
      </c>
      <c r="F3" s="1559"/>
      <c r="G3" s="1563" t="s">
        <v>2523</v>
      </c>
    </row>
    <row r="4" spans="1:7">
      <c r="A4" s="1557"/>
      <c r="B4" s="1558"/>
      <c r="C4" s="1557"/>
      <c r="D4" s="1559"/>
      <c r="E4" s="1559"/>
      <c r="F4" s="1559"/>
      <c r="G4" s="1563"/>
    </row>
    <row r="5" spans="1:7">
      <c r="A5" s="1557"/>
      <c r="B5" s="1558"/>
      <c r="C5" s="1557"/>
      <c r="D5" s="1559"/>
      <c r="E5" s="745" t="s">
        <v>150</v>
      </c>
      <c r="F5" s="746" t="s">
        <v>151</v>
      </c>
      <c r="G5" s="1563"/>
    </row>
    <row r="7" spans="1:7">
      <c r="B7" s="1564" t="s">
        <v>485</v>
      </c>
      <c r="C7" s="1565"/>
      <c r="D7" s="1565"/>
      <c r="E7" s="1565"/>
    </row>
    <row r="9" spans="1:7">
      <c r="A9" s="747" t="s">
        <v>26</v>
      </c>
      <c r="B9" s="1566" t="s">
        <v>486</v>
      </c>
      <c r="C9" s="1566"/>
      <c r="D9" s="1566"/>
      <c r="E9" s="1566"/>
    </row>
    <row r="11" spans="1:7">
      <c r="A11" s="465"/>
      <c r="B11" s="698" t="s">
        <v>422</v>
      </c>
      <c r="C11" s="465"/>
      <c r="D11" s="705"/>
      <c r="E11" s="748"/>
      <c r="F11" s="749"/>
    </row>
    <row r="12" spans="1:7" ht="87" customHeight="1">
      <c r="A12" s="465"/>
      <c r="B12" s="524" t="s">
        <v>487</v>
      </c>
      <c r="C12" s="337" t="s">
        <v>420</v>
      </c>
      <c r="D12" s="303">
        <v>1</v>
      </c>
      <c r="E12" s="1332">
        <v>500</v>
      </c>
      <c r="F12" s="345">
        <f>D12*E12</f>
        <v>500</v>
      </c>
    </row>
    <row r="13" spans="1:7">
      <c r="A13" s="465"/>
      <c r="B13" s="524"/>
      <c r="C13" s="347"/>
      <c r="D13" s="347"/>
      <c r="E13" s="750"/>
      <c r="F13" s="345"/>
    </row>
    <row r="14" spans="1:7">
      <c r="A14" s="707"/>
      <c r="B14" s="708" t="str">
        <f>B9</f>
        <v>PRIPREMNI  RADOVI</v>
      </c>
      <c r="C14" s="707" t="s">
        <v>425</v>
      </c>
      <c r="D14" s="708"/>
      <c r="E14" s="751"/>
      <c r="F14" s="710">
        <f>SUM(F12:F13)</f>
        <v>500</v>
      </c>
    </row>
    <row r="15" spans="1:7">
      <c r="A15" s="496"/>
      <c r="B15" s="698"/>
      <c r="C15" s="496"/>
      <c r="D15" s="698"/>
      <c r="E15" s="748"/>
      <c r="F15" s="752"/>
    </row>
    <row r="16" spans="1:7">
      <c r="A16" s="496"/>
      <c r="B16" s="698"/>
      <c r="C16" s="496"/>
      <c r="D16" s="698"/>
      <c r="E16" s="748"/>
      <c r="F16" s="752"/>
    </row>
    <row r="17" spans="1:6">
      <c r="A17" s="465"/>
    </row>
    <row r="18" spans="1:6">
      <c r="A18" s="496" t="s">
        <v>426</v>
      </c>
      <c r="B18" s="753" t="s">
        <v>427</v>
      </c>
    </row>
    <row r="19" spans="1:6">
      <c r="A19" s="496"/>
      <c r="B19" s="753"/>
    </row>
    <row r="20" spans="1:6">
      <c r="A20" s="465" t="s">
        <v>416</v>
      </c>
      <c r="B20" s="1566" t="s">
        <v>2280</v>
      </c>
      <c r="C20" s="1566"/>
      <c r="D20" s="1566"/>
      <c r="E20" s="1566"/>
      <c r="F20" s="1566"/>
    </row>
    <row r="21" spans="1:6" ht="132" customHeight="1">
      <c r="A21" s="465"/>
      <c r="B21" s="524" t="s">
        <v>488</v>
      </c>
      <c r="C21" s="347" t="s">
        <v>2269</v>
      </c>
      <c r="D21" s="303">
        <v>150</v>
      </c>
      <c r="E21" s="1328">
        <v>20</v>
      </c>
      <c r="F21" s="345">
        <f>D21*E21</f>
        <v>3000</v>
      </c>
    </row>
    <row r="22" spans="1:6">
      <c r="A22" s="465"/>
      <c r="B22" s="524"/>
      <c r="C22" s="347"/>
      <c r="D22" s="303"/>
      <c r="E22" s="303"/>
      <c r="F22" s="345"/>
    </row>
    <row r="23" spans="1:6">
      <c r="A23" s="465" t="s">
        <v>421</v>
      </c>
      <c r="B23" s="754" t="s">
        <v>489</v>
      </c>
      <c r="C23" s="347"/>
      <c r="D23" s="303"/>
      <c r="E23" s="303"/>
      <c r="F23" s="345"/>
    </row>
    <row r="24" spans="1:6" ht="96" customHeight="1">
      <c r="A24" s="465"/>
      <c r="B24" s="716" t="s">
        <v>490</v>
      </c>
      <c r="C24" s="347" t="s">
        <v>2269</v>
      </c>
      <c r="D24" s="303">
        <v>10</v>
      </c>
      <c r="E24" s="1328">
        <v>50</v>
      </c>
      <c r="F24" s="345">
        <f>D24*E24</f>
        <v>500</v>
      </c>
    </row>
    <row r="25" spans="1:6">
      <c r="A25" s="465"/>
      <c r="B25" s="524"/>
      <c r="C25" s="347"/>
      <c r="D25" s="303"/>
      <c r="E25" s="303"/>
      <c r="F25" s="345"/>
    </row>
    <row r="26" spans="1:6">
      <c r="A26" s="465" t="s">
        <v>434</v>
      </c>
      <c r="B26" s="1553" t="s">
        <v>491</v>
      </c>
      <c r="C26" s="1553"/>
      <c r="D26" s="1553"/>
      <c r="E26" s="1553"/>
      <c r="F26" s="1553"/>
    </row>
    <row r="27" spans="1:6" ht="124.5" customHeight="1">
      <c r="A27" s="465"/>
      <c r="B27" s="524" t="s">
        <v>492</v>
      </c>
      <c r="C27" s="347" t="s">
        <v>2269</v>
      </c>
      <c r="D27" s="303">
        <v>70</v>
      </c>
      <c r="E27" s="1328">
        <v>20</v>
      </c>
      <c r="F27" s="345">
        <f>D27*E27</f>
        <v>1400</v>
      </c>
    </row>
    <row r="28" spans="1:6">
      <c r="A28" s="465"/>
      <c r="B28" s="524"/>
      <c r="C28" s="347"/>
      <c r="D28" s="303"/>
      <c r="E28" s="303"/>
      <c r="F28" s="345"/>
    </row>
    <row r="29" spans="1:6">
      <c r="A29" s="465" t="s">
        <v>439</v>
      </c>
      <c r="B29" s="1553" t="s">
        <v>493</v>
      </c>
      <c r="C29" s="1553"/>
      <c r="D29" s="1553"/>
      <c r="E29" s="1553"/>
      <c r="F29" s="345"/>
    </row>
    <row r="30" spans="1:6" ht="121.5" customHeight="1">
      <c r="A30" s="465"/>
      <c r="B30" s="524" t="s">
        <v>494</v>
      </c>
      <c r="C30" s="337" t="s">
        <v>2269</v>
      </c>
      <c r="D30" s="303">
        <v>200</v>
      </c>
      <c r="E30" s="1328">
        <v>40</v>
      </c>
      <c r="F30" s="345">
        <f>D30*E30</f>
        <v>8000</v>
      </c>
    </row>
    <row r="31" spans="1:6">
      <c r="A31" s="465"/>
      <c r="B31" s="524"/>
      <c r="D31" s="303"/>
      <c r="E31" s="303"/>
      <c r="F31" s="345"/>
    </row>
    <row r="32" spans="1:6">
      <c r="A32" s="465" t="s">
        <v>442</v>
      </c>
      <c r="B32" s="302" t="s">
        <v>495</v>
      </c>
      <c r="D32" s="303"/>
      <c r="E32" s="303"/>
      <c r="F32" s="345"/>
    </row>
    <row r="33" spans="1:6" ht="38.25" customHeight="1">
      <c r="A33" s="465"/>
      <c r="B33" s="524" t="s">
        <v>496</v>
      </c>
      <c r="C33" s="337" t="s">
        <v>2269</v>
      </c>
      <c r="D33" s="303">
        <v>5</v>
      </c>
      <c r="E33" s="1328">
        <v>50</v>
      </c>
      <c r="F33" s="345">
        <f>D33*E33</f>
        <v>250</v>
      </c>
    </row>
    <row r="34" spans="1:6">
      <c r="A34" s="465"/>
      <c r="B34" s="524"/>
      <c r="D34" s="303"/>
      <c r="E34" s="303"/>
      <c r="F34" s="345"/>
    </row>
    <row r="35" spans="1:6">
      <c r="A35" s="465" t="s">
        <v>497</v>
      </c>
      <c r="B35" s="1553" t="s">
        <v>440</v>
      </c>
      <c r="C35" s="1553"/>
      <c r="D35" s="1553"/>
      <c r="E35" s="303"/>
      <c r="F35" s="345"/>
    </row>
    <row r="36" spans="1:6" ht="79.2">
      <c r="A36" s="465"/>
      <c r="B36" s="524" t="s">
        <v>498</v>
      </c>
      <c r="C36" s="337" t="s">
        <v>2269</v>
      </c>
      <c r="D36" s="303">
        <v>30</v>
      </c>
      <c r="E36" s="1328">
        <v>50</v>
      </c>
      <c r="F36" s="345">
        <f>D36*E36</f>
        <v>1500</v>
      </c>
    </row>
    <row r="37" spans="1:6">
      <c r="A37" s="465"/>
      <c r="B37" s="524"/>
      <c r="D37" s="303"/>
      <c r="E37" s="303"/>
      <c r="F37" s="345"/>
    </row>
    <row r="38" spans="1:6">
      <c r="A38" s="465" t="s">
        <v>499</v>
      </c>
      <c r="B38" s="740" t="s">
        <v>500</v>
      </c>
      <c r="C38" s="346"/>
      <c r="D38" s="346"/>
      <c r="F38" s="345"/>
    </row>
    <row r="39" spans="1:6" ht="92.4">
      <c r="A39" s="465"/>
      <c r="B39" s="717" t="s">
        <v>501</v>
      </c>
      <c r="C39" s="337" t="s">
        <v>420</v>
      </c>
      <c r="D39" s="303">
        <v>1</v>
      </c>
      <c r="E39" s="1328">
        <v>2000</v>
      </c>
      <c r="F39" s="345">
        <f>D39*E39</f>
        <v>2000</v>
      </c>
    </row>
    <row r="40" spans="1:6">
      <c r="A40" s="465"/>
      <c r="B40" s="524" t="s">
        <v>2575</v>
      </c>
      <c r="D40" s="303"/>
      <c r="E40" s="303"/>
      <c r="F40" s="345"/>
    </row>
    <row r="41" spans="1:6">
      <c r="A41" s="465"/>
      <c r="B41" s="524" t="s">
        <v>2576</v>
      </c>
      <c r="D41" s="303"/>
      <c r="E41" s="303"/>
      <c r="F41" s="345"/>
    </row>
    <row r="42" spans="1:6">
      <c r="A42" s="465"/>
      <c r="B42" s="524" t="s">
        <v>2577</v>
      </c>
      <c r="D42" s="303"/>
      <c r="E42" s="303"/>
      <c r="F42" s="345"/>
    </row>
    <row r="43" spans="1:6">
      <c r="A43" s="465"/>
      <c r="B43" s="524"/>
      <c r="D43" s="303"/>
      <c r="E43" s="303"/>
      <c r="F43" s="345"/>
    </row>
    <row r="44" spans="1:6">
      <c r="A44" s="707"/>
      <c r="B44" s="755" t="s">
        <v>427</v>
      </c>
      <c r="C44" s="1568" t="s">
        <v>425</v>
      </c>
      <c r="D44" s="1568"/>
      <c r="E44" s="756"/>
      <c r="F44" s="710">
        <f>SUM(F21:F43)</f>
        <v>16650</v>
      </c>
    </row>
    <row r="45" spans="1:6">
      <c r="A45" s="496"/>
      <c r="B45" s="757"/>
      <c r="C45" s="747"/>
      <c r="D45" s="642"/>
      <c r="E45" s="758"/>
      <c r="F45" s="759"/>
    </row>
    <row r="46" spans="1:6">
      <c r="A46" s="496"/>
      <c r="B46" s="757"/>
      <c r="C46" s="747"/>
      <c r="D46" s="642"/>
      <c r="E46" s="758"/>
      <c r="F46" s="759"/>
    </row>
    <row r="47" spans="1:6">
      <c r="A47" s="465"/>
      <c r="B47" s="524"/>
      <c r="D47" s="303"/>
      <c r="E47" s="303"/>
      <c r="F47" s="345"/>
    </row>
    <row r="48" spans="1:6" ht="15" customHeight="1">
      <c r="A48" s="496" t="s">
        <v>453</v>
      </c>
      <c r="B48" s="1553" t="s">
        <v>5</v>
      </c>
      <c r="C48" s="1553"/>
      <c r="D48" s="1553"/>
      <c r="E48" s="1553"/>
      <c r="F48" s="345"/>
    </row>
    <row r="49" spans="1:6">
      <c r="A49" s="465"/>
      <c r="B49" s="524"/>
      <c r="D49" s="303"/>
      <c r="E49" s="303"/>
      <c r="F49" s="345"/>
    </row>
    <row r="50" spans="1:6">
      <c r="A50" s="465" t="s">
        <v>416</v>
      </c>
      <c r="B50" s="1569" t="s">
        <v>2281</v>
      </c>
      <c r="C50" s="1569"/>
      <c r="D50" s="1569"/>
      <c r="E50" s="303"/>
      <c r="F50" s="345"/>
    </row>
    <row r="51" spans="1:6" ht="92.25" customHeight="1">
      <c r="A51" s="465"/>
      <c r="B51" s="524" t="s">
        <v>2274</v>
      </c>
      <c r="C51" s="524"/>
      <c r="D51" s="524"/>
      <c r="E51" s="303"/>
      <c r="F51" s="345"/>
    </row>
    <row r="52" spans="1:6" ht="15.6">
      <c r="A52" s="465"/>
      <c r="B52" s="717" t="s">
        <v>447</v>
      </c>
      <c r="C52" s="718" t="s">
        <v>2269</v>
      </c>
      <c r="D52" s="719">
        <v>1</v>
      </c>
      <c r="E52" s="1330">
        <v>200</v>
      </c>
      <c r="F52" s="721">
        <f>D52*E52</f>
        <v>200</v>
      </c>
    </row>
    <row r="53" spans="1:6" ht="15.6">
      <c r="A53" s="465"/>
      <c r="B53" s="717" t="s">
        <v>502</v>
      </c>
      <c r="C53" s="718" t="s">
        <v>2269</v>
      </c>
      <c r="D53" s="719">
        <v>15</v>
      </c>
      <c r="E53" s="1330">
        <v>200</v>
      </c>
      <c r="F53" s="721">
        <f>D53*E53</f>
        <v>3000</v>
      </c>
    </row>
    <row r="54" spans="1:6">
      <c r="A54" s="465"/>
      <c r="B54" s="717" t="s">
        <v>449</v>
      </c>
      <c r="C54" s="718" t="s">
        <v>30</v>
      </c>
      <c r="D54" s="719">
        <v>2300</v>
      </c>
      <c r="E54" s="1330">
        <v>2</v>
      </c>
      <c r="F54" s="721">
        <f>D54*E54</f>
        <v>4600</v>
      </c>
    </row>
    <row r="55" spans="1:6" ht="15.6">
      <c r="A55" s="465"/>
      <c r="B55" s="717" t="s">
        <v>450</v>
      </c>
      <c r="C55" s="718" t="s">
        <v>2270</v>
      </c>
      <c r="D55" s="719">
        <v>110</v>
      </c>
      <c r="E55" s="1330">
        <v>40</v>
      </c>
      <c r="F55" s="721">
        <f>D55*E55</f>
        <v>4400</v>
      </c>
    </row>
    <row r="56" spans="1:6">
      <c r="A56" s="465"/>
      <c r="B56" s="524" t="s">
        <v>503</v>
      </c>
      <c r="C56" s="346"/>
      <c r="D56" s="346"/>
    </row>
    <row r="57" spans="1:6" ht="26.4">
      <c r="A57" s="465"/>
      <c r="B57" s="524" t="s">
        <v>504</v>
      </c>
      <c r="C57" s="718" t="s">
        <v>530</v>
      </c>
      <c r="D57" s="719">
        <v>50</v>
      </c>
      <c r="E57" s="1330">
        <v>20</v>
      </c>
      <c r="F57" s="721">
        <f>D57*E57</f>
        <v>1000</v>
      </c>
    </row>
    <row r="58" spans="1:6">
      <c r="A58" s="465"/>
      <c r="B58" s="717" t="s">
        <v>505</v>
      </c>
      <c r="C58" s="718" t="s">
        <v>29</v>
      </c>
      <c r="D58" s="719">
        <v>16</v>
      </c>
      <c r="E58" s="1330">
        <v>20</v>
      </c>
      <c r="F58" s="721">
        <f>D58*E58</f>
        <v>320</v>
      </c>
    </row>
    <row r="59" spans="1:6">
      <c r="A59" s="465"/>
      <c r="B59" s="717" t="s">
        <v>506</v>
      </c>
      <c r="C59" s="718" t="s">
        <v>29</v>
      </c>
      <c r="D59" s="719">
        <v>2</v>
      </c>
      <c r="E59" s="1330">
        <v>200</v>
      </c>
      <c r="F59" s="721">
        <f>D59*E59</f>
        <v>400</v>
      </c>
    </row>
    <row r="60" spans="1:6">
      <c r="A60" s="465"/>
      <c r="B60" s="717"/>
      <c r="C60" s="718"/>
      <c r="D60" s="719"/>
      <c r="E60" s="720"/>
      <c r="F60" s="721"/>
    </row>
    <row r="61" spans="1:6">
      <c r="A61" s="465" t="s">
        <v>421</v>
      </c>
      <c r="B61" s="760" t="s">
        <v>507</v>
      </c>
      <c r="C61" s="718"/>
      <c r="D61" s="719"/>
      <c r="E61" s="720"/>
      <c r="F61" s="721"/>
    </row>
    <row r="62" spans="1:6" ht="26.4">
      <c r="A62" s="465"/>
      <c r="B62" s="716" t="s">
        <v>508</v>
      </c>
      <c r="C62" s="718"/>
      <c r="D62" s="719"/>
      <c r="E62" s="720"/>
      <c r="F62" s="721"/>
    </row>
    <row r="63" spans="1:6" ht="15.6">
      <c r="A63" s="465"/>
      <c r="B63" s="717" t="s">
        <v>447</v>
      </c>
      <c r="C63" s="718" t="s">
        <v>2269</v>
      </c>
      <c r="D63" s="719">
        <v>0.5</v>
      </c>
      <c r="E63" s="1330">
        <v>200</v>
      </c>
      <c r="F63" s="721">
        <f>D63*E63</f>
        <v>100</v>
      </c>
    </row>
    <row r="64" spans="1:6" ht="15.6">
      <c r="A64" s="465"/>
      <c r="B64" s="717" t="s">
        <v>502</v>
      </c>
      <c r="C64" s="718" t="s">
        <v>2269</v>
      </c>
      <c r="D64" s="719">
        <v>2</v>
      </c>
      <c r="E64" s="1330">
        <v>300</v>
      </c>
      <c r="F64" s="721">
        <f>D64*E64</f>
        <v>600</v>
      </c>
    </row>
    <row r="65" spans="1:6">
      <c r="A65" s="465"/>
      <c r="B65" s="717" t="s">
        <v>449</v>
      </c>
      <c r="C65" s="718" t="s">
        <v>30</v>
      </c>
      <c r="D65" s="719">
        <v>300</v>
      </c>
      <c r="E65" s="1330">
        <v>5</v>
      </c>
      <c r="F65" s="721">
        <f>D65*E65</f>
        <v>1500</v>
      </c>
    </row>
    <row r="66" spans="1:6">
      <c r="A66" s="465"/>
      <c r="B66" s="717" t="s">
        <v>509</v>
      </c>
      <c r="C66" s="718" t="s">
        <v>29</v>
      </c>
      <c r="D66" s="719">
        <v>1</v>
      </c>
      <c r="E66" s="1330">
        <v>200</v>
      </c>
      <c r="F66" s="721">
        <f>D66*E66</f>
        <v>200</v>
      </c>
    </row>
    <row r="67" spans="1:6">
      <c r="A67" s="465"/>
      <c r="B67" s="717"/>
      <c r="C67" s="718"/>
      <c r="D67" s="719"/>
      <c r="E67" s="720"/>
      <c r="F67" s="721"/>
    </row>
    <row r="68" spans="1:6">
      <c r="A68" s="465" t="s">
        <v>434</v>
      </c>
      <c r="B68" s="1570" t="s">
        <v>510</v>
      </c>
      <c r="C68" s="1570"/>
      <c r="D68" s="1570"/>
      <c r="E68" s="1570"/>
      <c r="F68" s="721"/>
    </row>
    <row r="69" spans="1:6" ht="37.5" customHeight="1">
      <c r="A69" s="465"/>
      <c r="B69" s="716" t="s">
        <v>511</v>
      </c>
      <c r="C69" s="718"/>
      <c r="D69" s="719"/>
      <c r="E69" s="720"/>
      <c r="F69" s="721"/>
    </row>
    <row r="70" spans="1:6" ht="15.6">
      <c r="A70" s="465"/>
      <c r="B70" s="717" t="s">
        <v>502</v>
      </c>
      <c r="C70" s="718" t="s">
        <v>2269</v>
      </c>
      <c r="D70" s="719">
        <v>3</v>
      </c>
      <c r="E70" s="1330">
        <v>300</v>
      </c>
      <c r="F70" s="721">
        <f>D70*E70</f>
        <v>900</v>
      </c>
    </row>
    <row r="71" spans="1:6">
      <c r="A71" s="465"/>
      <c r="B71" s="717"/>
      <c r="C71" s="718"/>
      <c r="D71" s="719"/>
      <c r="E71" s="720"/>
      <c r="F71" s="721"/>
    </row>
    <row r="72" spans="1:6">
      <c r="A72" s="465" t="s">
        <v>439</v>
      </c>
      <c r="B72" s="760" t="s">
        <v>512</v>
      </c>
      <c r="C72" s="718"/>
      <c r="D72" s="719"/>
      <c r="E72" s="720"/>
      <c r="F72" s="721"/>
    </row>
    <row r="73" spans="1:6" ht="40.5" customHeight="1">
      <c r="A73" s="465"/>
      <c r="B73" s="716" t="s">
        <v>513</v>
      </c>
      <c r="C73" s="718"/>
      <c r="D73" s="719"/>
      <c r="E73" s="720"/>
      <c r="F73" s="721"/>
    </row>
    <row r="74" spans="1:6" ht="15.6">
      <c r="A74" s="465"/>
      <c r="B74" s="717" t="s">
        <v>447</v>
      </c>
      <c r="C74" s="718" t="s">
        <v>2269</v>
      </c>
      <c r="D74" s="719">
        <v>0.5</v>
      </c>
      <c r="E74" s="1330">
        <v>200</v>
      </c>
      <c r="F74" s="721">
        <f>D74*E74</f>
        <v>100</v>
      </c>
    </row>
    <row r="75" spans="1:6" ht="15.6">
      <c r="A75" s="465"/>
      <c r="B75" s="717" t="s">
        <v>502</v>
      </c>
      <c r="C75" s="718" t="s">
        <v>2269</v>
      </c>
      <c r="D75" s="719">
        <v>10</v>
      </c>
      <c r="E75" s="1330">
        <v>200</v>
      </c>
      <c r="F75" s="721">
        <f>D75*E75</f>
        <v>2000</v>
      </c>
    </row>
    <row r="76" spans="1:6">
      <c r="A76" s="465"/>
      <c r="B76" s="717" t="s">
        <v>449</v>
      </c>
      <c r="C76" s="718" t="s">
        <v>30</v>
      </c>
      <c r="D76" s="719">
        <v>1500</v>
      </c>
      <c r="E76" s="1330">
        <v>2</v>
      </c>
      <c r="F76" s="721">
        <f>D76*E76</f>
        <v>3000</v>
      </c>
    </row>
    <row r="77" spans="1:6" ht="15.6">
      <c r="A77" s="465"/>
      <c r="B77" s="717" t="s">
        <v>450</v>
      </c>
      <c r="C77" s="718" t="s">
        <v>2270</v>
      </c>
      <c r="D77" s="719">
        <v>35</v>
      </c>
      <c r="E77" s="1330">
        <v>40</v>
      </c>
      <c r="F77" s="721">
        <f>D77*E77</f>
        <v>1400</v>
      </c>
    </row>
    <row r="78" spans="1:6">
      <c r="A78" s="465"/>
      <c r="B78" s="717"/>
      <c r="C78" s="718"/>
      <c r="D78" s="719"/>
      <c r="E78" s="720"/>
      <c r="F78" s="721"/>
    </row>
    <row r="79" spans="1:6">
      <c r="A79" s="337" t="s">
        <v>442</v>
      </c>
      <c r="B79" s="1570" t="s">
        <v>514</v>
      </c>
      <c r="C79" s="1570"/>
      <c r="D79" s="1570"/>
      <c r="E79" s="1570"/>
      <c r="F79" s="761"/>
    </row>
    <row r="80" spans="1:6" ht="50.25" customHeight="1">
      <c r="A80" s="694"/>
      <c r="B80" s="716" t="s">
        <v>515</v>
      </c>
      <c r="C80" s="722"/>
      <c r="D80" s="723"/>
      <c r="E80" s="762"/>
      <c r="F80" s="721"/>
    </row>
    <row r="81" spans="1:6">
      <c r="A81" s="694"/>
      <c r="B81" s="717" t="s">
        <v>516</v>
      </c>
      <c r="C81" s="718" t="s">
        <v>517</v>
      </c>
      <c r="D81" s="719">
        <v>3</v>
      </c>
      <c r="E81" s="1333">
        <v>200</v>
      </c>
      <c r="F81" s="721">
        <f>D81*E81</f>
        <v>600</v>
      </c>
    </row>
    <row r="82" spans="1:6">
      <c r="A82" s="694"/>
      <c r="B82" s="717" t="s">
        <v>518</v>
      </c>
      <c r="C82" s="718" t="s">
        <v>30</v>
      </c>
      <c r="D82" s="719">
        <v>500</v>
      </c>
      <c r="E82" s="1333">
        <v>2</v>
      </c>
      <c r="F82" s="721">
        <f>D82*E82</f>
        <v>1000</v>
      </c>
    </row>
    <row r="83" spans="1:6">
      <c r="A83" s="694"/>
      <c r="B83" s="717" t="s">
        <v>450</v>
      </c>
      <c r="C83" s="718" t="s">
        <v>519</v>
      </c>
      <c r="D83" s="719">
        <v>1</v>
      </c>
      <c r="E83" s="1333">
        <v>40</v>
      </c>
      <c r="F83" s="721">
        <f>D83*E83</f>
        <v>40</v>
      </c>
    </row>
    <row r="84" spans="1:6">
      <c r="A84" s="694"/>
      <c r="B84" s="717"/>
      <c r="C84" s="718"/>
      <c r="D84" s="719"/>
      <c r="E84" s="719"/>
      <c r="F84" s="721"/>
    </row>
    <row r="85" spans="1:6" ht="26.4">
      <c r="A85" s="642" t="s">
        <v>497</v>
      </c>
      <c r="B85" s="760" t="s">
        <v>520</v>
      </c>
      <c r="C85" s="718"/>
      <c r="D85" s="719"/>
      <c r="E85" s="719"/>
      <c r="F85" s="721"/>
    </row>
    <row r="86" spans="1:6">
      <c r="A86" s="694"/>
      <c r="B86" s="716" t="s">
        <v>520</v>
      </c>
      <c r="C86" s="718" t="s">
        <v>521</v>
      </c>
      <c r="D86" s="719">
        <v>1</v>
      </c>
      <c r="E86" s="1330">
        <v>800</v>
      </c>
      <c r="F86" s="721">
        <f>D86*E86</f>
        <v>800</v>
      </c>
    </row>
    <row r="87" spans="1:6">
      <c r="A87" s="722"/>
      <c r="B87" s="717"/>
      <c r="C87" s="722"/>
      <c r="D87" s="723"/>
      <c r="E87" s="724"/>
      <c r="F87" s="721"/>
    </row>
    <row r="88" spans="1:6">
      <c r="A88" s="725"/>
      <c r="B88" s="726" t="s">
        <v>522</v>
      </c>
      <c r="C88" s="726" t="s">
        <v>425</v>
      </c>
      <c r="D88" s="726"/>
      <c r="E88" s="727"/>
      <c r="F88" s="728">
        <f>SUM(F52:F86)</f>
        <v>26160</v>
      </c>
    </row>
    <row r="89" spans="1:6">
      <c r="A89" s="694" t="s">
        <v>466</v>
      </c>
      <c r="B89" s="1553" t="s">
        <v>523</v>
      </c>
      <c r="C89" s="1553"/>
      <c r="D89" s="1553"/>
      <c r="E89" s="1553"/>
      <c r="F89" s="761"/>
    </row>
    <row r="90" spans="1:6">
      <c r="A90" s="694"/>
      <c r="B90" s="302"/>
      <c r="C90" s="302"/>
      <c r="D90" s="302"/>
      <c r="E90" s="302"/>
      <c r="F90" s="761"/>
    </row>
    <row r="91" spans="1:6" ht="87.75" customHeight="1">
      <c r="A91" s="465" t="s">
        <v>416</v>
      </c>
      <c r="B91" s="524" t="s">
        <v>524</v>
      </c>
      <c r="C91" s="718" t="s">
        <v>519</v>
      </c>
      <c r="D91" s="719">
        <v>35</v>
      </c>
      <c r="E91" s="1333">
        <v>20</v>
      </c>
      <c r="F91" s="721">
        <f>D91*E91</f>
        <v>700</v>
      </c>
    </row>
    <row r="92" spans="1:6">
      <c r="A92" s="694"/>
      <c r="B92" s="302"/>
      <c r="C92" s="302"/>
      <c r="D92" s="302"/>
      <c r="E92" s="302"/>
      <c r="F92" s="761"/>
    </row>
    <row r="93" spans="1:6" ht="84.75" customHeight="1">
      <c r="A93" s="465" t="s">
        <v>421</v>
      </c>
      <c r="B93" s="524" t="s">
        <v>525</v>
      </c>
      <c r="C93" s="346"/>
      <c r="D93" s="346"/>
    </row>
    <row r="94" spans="1:6" ht="86.25" customHeight="1">
      <c r="A94" s="694"/>
      <c r="B94" s="524" t="s">
        <v>526</v>
      </c>
      <c r="C94" s="718" t="s">
        <v>519</v>
      </c>
      <c r="D94" s="719">
        <v>35</v>
      </c>
      <c r="E94" s="1333">
        <v>40</v>
      </c>
      <c r="F94" s="721">
        <f>D94*E94</f>
        <v>1400</v>
      </c>
    </row>
    <row r="95" spans="1:6">
      <c r="A95" s="694"/>
      <c r="B95" s="306" t="s">
        <v>527</v>
      </c>
      <c r="D95" s="763"/>
      <c r="E95" s="764"/>
      <c r="F95" s="761"/>
    </row>
    <row r="96" spans="1:6" ht="69.75" customHeight="1">
      <c r="A96" s="694"/>
      <c r="B96" s="1569" t="s">
        <v>528</v>
      </c>
      <c r="C96" s="1569"/>
      <c r="D96" s="763"/>
      <c r="E96" s="764"/>
      <c r="F96" s="761"/>
    </row>
    <row r="97" spans="1:6">
      <c r="A97" s="694"/>
      <c r="B97" s="524"/>
      <c r="C97" s="524"/>
      <c r="D97" s="763"/>
      <c r="E97" s="764"/>
      <c r="F97" s="761"/>
    </row>
    <row r="98" spans="1:6" ht="52.8">
      <c r="A98" s="465" t="s">
        <v>434</v>
      </c>
      <c r="B98" s="524" t="s">
        <v>529</v>
      </c>
      <c r="C98" s="314" t="s">
        <v>530</v>
      </c>
      <c r="D98" s="719">
        <v>50</v>
      </c>
      <c r="E98" s="1333">
        <v>30</v>
      </c>
      <c r="F98" s="721">
        <f>D98*E98</f>
        <v>1500</v>
      </c>
    </row>
    <row r="99" spans="1:6">
      <c r="A99" s="722"/>
      <c r="B99" s="717"/>
      <c r="C99" s="722"/>
      <c r="D99" s="723"/>
      <c r="E99" s="724"/>
      <c r="F99" s="721"/>
    </row>
    <row r="100" spans="1:6">
      <c r="A100" s="725"/>
      <c r="B100" s="726" t="s">
        <v>531</v>
      </c>
      <c r="C100" s="726"/>
      <c r="D100" s="726" t="s">
        <v>425</v>
      </c>
      <c r="E100" s="727"/>
      <c r="F100" s="728">
        <f>SUM(F91:F98)</f>
        <v>3600</v>
      </c>
    </row>
    <row r="101" spans="1:6">
      <c r="A101" s="694"/>
      <c r="B101" s="765" t="s">
        <v>532</v>
      </c>
      <c r="D101" s="763"/>
      <c r="E101" s="764"/>
      <c r="F101" s="761"/>
    </row>
    <row r="102" spans="1:6">
      <c r="A102" s="694"/>
      <c r="B102" s="306"/>
      <c r="D102" s="763"/>
      <c r="E102" s="764"/>
      <c r="F102" s="761"/>
    </row>
    <row r="103" spans="1:6">
      <c r="A103" s="694"/>
      <c r="B103" s="306"/>
      <c r="D103" s="763"/>
      <c r="E103" s="764"/>
      <c r="F103" s="761"/>
    </row>
    <row r="104" spans="1:6">
      <c r="A104" s="496"/>
      <c r="B104" s="753"/>
      <c r="C104" s="694"/>
      <c r="D104" s="753"/>
      <c r="E104" s="764"/>
      <c r="F104" s="761"/>
    </row>
    <row r="105" spans="1:6">
      <c r="A105" s="496" t="s">
        <v>470</v>
      </c>
      <c r="B105" s="1571" t="s">
        <v>533</v>
      </c>
      <c r="C105" s="1571"/>
      <c r="D105" s="1571"/>
      <c r="E105" s="1571"/>
      <c r="F105" s="761"/>
    </row>
    <row r="106" spans="1:6">
      <c r="A106" s="496"/>
      <c r="B106" s="753"/>
      <c r="C106" s="694"/>
      <c r="D106" s="694"/>
    </row>
    <row r="107" spans="1:6">
      <c r="A107" s="465" t="s">
        <v>416</v>
      </c>
      <c r="B107" s="1566" t="s">
        <v>534</v>
      </c>
      <c r="C107" s="1566"/>
      <c r="D107" s="1566"/>
      <c r="E107" s="1566"/>
      <c r="F107" s="345"/>
    </row>
    <row r="108" spans="1:6" ht="126" customHeight="1">
      <c r="A108" s="465"/>
      <c r="B108" s="766" t="s">
        <v>2275</v>
      </c>
      <c r="C108" s="753"/>
      <c r="D108" s="753"/>
      <c r="E108" s="753"/>
      <c r="F108" s="345"/>
    </row>
    <row r="109" spans="1:6">
      <c r="A109" s="465"/>
      <c r="B109" s="767" t="s">
        <v>2276</v>
      </c>
      <c r="C109" s="753"/>
      <c r="D109" s="753"/>
      <c r="E109" s="753"/>
      <c r="F109" s="345"/>
    </row>
    <row r="110" spans="1:6" ht="15.6">
      <c r="A110" s="465"/>
      <c r="B110" s="702" t="s">
        <v>535</v>
      </c>
      <c r="C110" s="337" t="s">
        <v>2272</v>
      </c>
      <c r="D110" s="730">
        <v>20</v>
      </c>
      <c r="E110" s="1334">
        <v>30</v>
      </c>
      <c r="F110" s="345">
        <f t="shared" ref="F110:F112" si="0">D110*E110</f>
        <v>600</v>
      </c>
    </row>
    <row r="111" spans="1:6" ht="15.6">
      <c r="A111" s="465"/>
      <c r="B111" s="702" t="s">
        <v>536</v>
      </c>
      <c r="C111" s="337" t="s">
        <v>2272</v>
      </c>
      <c r="D111" s="730">
        <v>60</v>
      </c>
      <c r="E111" s="1334">
        <v>40</v>
      </c>
      <c r="F111" s="345">
        <f t="shared" si="0"/>
        <v>2400</v>
      </c>
    </row>
    <row r="112" spans="1:6" ht="15.6">
      <c r="A112" s="465"/>
      <c r="B112" s="702" t="s">
        <v>537</v>
      </c>
      <c r="C112" s="337" t="s">
        <v>2272</v>
      </c>
      <c r="D112" s="730">
        <v>30</v>
      </c>
      <c r="E112" s="1334">
        <v>50</v>
      </c>
      <c r="F112" s="345">
        <f t="shared" si="0"/>
        <v>1500</v>
      </c>
    </row>
    <row r="113" spans="1:6">
      <c r="A113" s="465"/>
      <c r="B113" s="753"/>
      <c r="C113" s="753"/>
      <c r="D113" s="753"/>
      <c r="E113" s="753"/>
      <c r="F113" s="345"/>
    </row>
    <row r="114" spans="1:6">
      <c r="A114" s="465" t="s">
        <v>421</v>
      </c>
      <c r="B114" s="1567" t="s">
        <v>2282</v>
      </c>
      <c r="C114" s="1567"/>
      <c r="D114" s="1567"/>
      <c r="E114" s="1567"/>
      <c r="F114" s="1567"/>
    </row>
    <row r="115" spans="1:6" ht="79.2">
      <c r="A115" s="465"/>
      <c r="B115" s="769" t="s">
        <v>2283</v>
      </c>
      <c r="C115" s="753"/>
      <c r="D115" s="753"/>
      <c r="E115" s="753"/>
      <c r="F115" s="345"/>
    </row>
    <row r="116" spans="1:6">
      <c r="A116" s="465"/>
      <c r="B116" s="767" t="s">
        <v>2276</v>
      </c>
      <c r="C116" s="753"/>
      <c r="D116" s="753"/>
      <c r="E116" s="753"/>
      <c r="F116" s="345"/>
    </row>
    <row r="117" spans="1:6" ht="15.6">
      <c r="A117" s="465"/>
      <c r="B117" s="702" t="s">
        <v>538</v>
      </c>
      <c r="C117" s="337" t="s">
        <v>2272</v>
      </c>
      <c r="D117" s="730">
        <v>150</v>
      </c>
      <c r="E117" s="1334">
        <v>20</v>
      </c>
      <c r="F117" s="345">
        <f t="shared" ref="F117:F120" si="1">D117*E117</f>
        <v>3000</v>
      </c>
    </row>
    <row r="118" spans="1:6" ht="15.6">
      <c r="A118" s="465"/>
      <c r="B118" s="702" t="s">
        <v>539</v>
      </c>
      <c r="C118" s="337" t="s">
        <v>2272</v>
      </c>
      <c r="D118" s="730">
        <v>30</v>
      </c>
      <c r="E118" s="1334">
        <v>25</v>
      </c>
      <c r="F118" s="345">
        <f t="shared" si="1"/>
        <v>750</v>
      </c>
    </row>
    <row r="119" spans="1:6" ht="15.6">
      <c r="A119" s="465"/>
      <c r="B119" s="702" t="s">
        <v>540</v>
      </c>
      <c r="C119" s="337" t="s">
        <v>2272</v>
      </c>
      <c r="D119" s="730">
        <v>60</v>
      </c>
      <c r="E119" s="1334">
        <v>30</v>
      </c>
      <c r="F119" s="345">
        <f t="shared" si="1"/>
        <v>1800</v>
      </c>
    </row>
    <row r="120" spans="1:6" ht="15.6">
      <c r="A120" s="465"/>
      <c r="B120" s="702" t="s">
        <v>541</v>
      </c>
      <c r="C120" s="337" t="s">
        <v>2272</v>
      </c>
      <c r="D120" s="730">
        <v>10</v>
      </c>
      <c r="E120" s="1334">
        <v>40</v>
      </c>
      <c r="F120" s="345">
        <f t="shared" si="1"/>
        <v>400</v>
      </c>
    </row>
    <row r="121" spans="1:6">
      <c r="A121" s="465"/>
      <c r="B121" s="702"/>
      <c r="C121" s="702"/>
      <c r="D121" s="702"/>
      <c r="E121" s="702"/>
      <c r="F121" s="345"/>
    </row>
    <row r="122" spans="1:6">
      <c r="A122" s="465"/>
      <c r="B122" s="702"/>
      <c r="C122" s="702"/>
      <c r="D122" s="702"/>
      <c r="E122" s="702"/>
      <c r="F122" s="345"/>
    </row>
    <row r="123" spans="1:6">
      <c r="A123" s="465" t="s">
        <v>434</v>
      </c>
      <c r="B123" s="1567" t="s">
        <v>542</v>
      </c>
      <c r="C123" s="1567"/>
      <c r="D123" s="1567"/>
      <c r="E123" s="1567"/>
    </row>
    <row r="124" spans="1:6" ht="96.75" customHeight="1">
      <c r="A124" s="350"/>
      <c r="B124" s="524" t="s">
        <v>543</v>
      </c>
      <c r="C124" s="694"/>
      <c r="D124" s="694"/>
    </row>
    <row r="125" spans="1:6" ht="15.6">
      <c r="A125" s="350"/>
      <c r="B125" s="702" t="s">
        <v>544</v>
      </c>
      <c r="C125" s="337" t="s">
        <v>2272</v>
      </c>
      <c r="D125" s="730">
        <v>30</v>
      </c>
      <c r="E125" s="1334">
        <v>40</v>
      </c>
      <c r="F125" s="345">
        <f>D125*E125</f>
        <v>1200</v>
      </c>
    </row>
    <row r="126" spans="1:6" ht="15.6">
      <c r="A126" s="350"/>
      <c r="B126" s="702" t="s">
        <v>545</v>
      </c>
      <c r="C126" s="337" t="s">
        <v>2272</v>
      </c>
      <c r="D126" s="730">
        <v>12</v>
      </c>
      <c r="E126" s="1334">
        <v>40</v>
      </c>
      <c r="F126" s="345">
        <f>D126*E126</f>
        <v>480</v>
      </c>
    </row>
    <row r="127" spans="1:6">
      <c r="A127" s="350"/>
      <c r="B127" s="702" t="s">
        <v>546</v>
      </c>
      <c r="C127" s="722" t="s">
        <v>519</v>
      </c>
      <c r="D127" s="719">
        <v>100</v>
      </c>
      <c r="E127" s="1333">
        <v>3</v>
      </c>
      <c r="F127" s="721">
        <f>D127*E127</f>
        <v>300</v>
      </c>
    </row>
    <row r="128" spans="1:6">
      <c r="A128" s="350"/>
      <c r="B128" s="702"/>
      <c r="D128" s="730"/>
      <c r="E128" s="768"/>
      <c r="F128" s="345"/>
    </row>
    <row r="129" spans="1:6">
      <c r="A129" s="350"/>
      <c r="B129" s="702"/>
      <c r="D129" s="730"/>
      <c r="E129" s="768"/>
      <c r="F129" s="345"/>
    </row>
    <row r="130" spans="1:6">
      <c r="A130" s="465" t="s">
        <v>439</v>
      </c>
      <c r="B130" s="753" t="s">
        <v>547</v>
      </c>
      <c r="C130" s="753"/>
      <c r="D130" s="753"/>
      <c r="E130" s="753"/>
      <c r="F130" s="345"/>
    </row>
    <row r="131" spans="1:6" ht="109.5" customHeight="1">
      <c r="A131" s="350"/>
      <c r="B131" s="766" t="s">
        <v>2275</v>
      </c>
      <c r="C131" s="753"/>
      <c r="D131" s="753"/>
      <c r="E131" s="753"/>
      <c r="F131" s="345"/>
    </row>
    <row r="132" spans="1:6">
      <c r="A132" s="350"/>
      <c r="B132" s="767" t="s">
        <v>2276</v>
      </c>
      <c r="C132" s="753"/>
      <c r="D132" s="753"/>
      <c r="E132" s="753"/>
      <c r="F132" s="345"/>
    </row>
    <row r="133" spans="1:6" ht="15.6">
      <c r="A133" s="350"/>
      <c r="B133" s="702" t="s">
        <v>535</v>
      </c>
      <c r="C133" s="337" t="s">
        <v>2272</v>
      </c>
      <c r="D133" s="730">
        <v>30</v>
      </c>
      <c r="E133" s="1334">
        <v>30</v>
      </c>
      <c r="F133" s="345">
        <f t="shared" ref="F133:F135" si="2">D133*E133</f>
        <v>900</v>
      </c>
    </row>
    <row r="134" spans="1:6" ht="15.6">
      <c r="A134" s="350"/>
      <c r="B134" s="702" t="s">
        <v>536</v>
      </c>
      <c r="C134" s="337" t="s">
        <v>2272</v>
      </c>
      <c r="D134" s="730">
        <v>25</v>
      </c>
      <c r="E134" s="1334">
        <v>40</v>
      </c>
      <c r="F134" s="345">
        <f t="shared" si="2"/>
        <v>1000</v>
      </c>
    </row>
    <row r="135" spans="1:6" ht="15.6">
      <c r="A135" s="350"/>
      <c r="B135" s="702" t="s">
        <v>537</v>
      </c>
      <c r="C135" s="337" t="s">
        <v>2272</v>
      </c>
      <c r="D135" s="730">
        <v>10</v>
      </c>
      <c r="E135" s="1334">
        <v>50</v>
      </c>
      <c r="F135" s="345">
        <f t="shared" si="2"/>
        <v>500</v>
      </c>
    </row>
    <row r="136" spans="1:6">
      <c r="A136" s="350"/>
      <c r="B136" s="753"/>
      <c r="C136" s="753"/>
      <c r="D136" s="753"/>
      <c r="E136" s="753"/>
      <c r="F136" s="345"/>
    </row>
    <row r="137" spans="1:6">
      <c r="A137" s="350"/>
      <c r="B137" s="524"/>
      <c r="D137" s="303"/>
      <c r="E137" s="768"/>
      <c r="F137" s="345"/>
    </row>
    <row r="138" spans="1:6" ht="15.75" customHeight="1">
      <c r="A138" s="465" t="s">
        <v>442</v>
      </c>
      <c r="B138" s="1573" t="s">
        <v>548</v>
      </c>
      <c r="C138" s="1573"/>
      <c r="D138" s="1573"/>
      <c r="E138" s="1573"/>
      <c r="F138" s="1573"/>
    </row>
    <row r="139" spans="1:6" ht="86.25" customHeight="1">
      <c r="A139" s="350"/>
      <c r="B139" s="716" t="s">
        <v>549</v>
      </c>
      <c r="C139" s="718"/>
      <c r="D139" s="720"/>
      <c r="E139" s="744"/>
      <c r="F139" s="721"/>
    </row>
    <row r="140" spans="1:6">
      <c r="A140" s="350"/>
      <c r="B140" s="716" t="s">
        <v>550</v>
      </c>
      <c r="C140" s="718"/>
      <c r="D140" s="720"/>
      <c r="E140" s="744"/>
      <c r="F140" s="721"/>
    </row>
    <row r="141" spans="1:6">
      <c r="A141" s="350"/>
      <c r="B141" s="716" t="s">
        <v>551</v>
      </c>
      <c r="C141" s="718"/>
      <c r="D141" s="720"/>
      <c r="E141" s="744"/>
      <c r="F141" s="721"/>
    </row>
    <row r="142" spans="1:6">
      <c r="A142" s="350"/>
      <c r="B142" s="716" t="s">
        <v>552</v>
      </c>
      <c r="C142" s="718"/>
      <c r="D142" s="720"/>
      <c r="E142" s="744"/>
      <c r="F142" s="721"/>
    </row>
    <row r="143" spans="1:6">
      <c r="A143" s="350"/>
      <c r="B143" s="716" t="s">
        <v>553</v>
      </c>
      <c r="C143" s="718"/>
      <c r="D143" s="720"/>
      <c r="E143" s="744"/>
      <c r="F143" s="721"/>
    </row>
    <row r="144" spans="1:6">
      <c r="A144" s="350"/>
      <c r="B144" s="716" t="s">
        <v>554</v>
      </c>
      <c r="C144" s="718"/>
      <c r="D144" s="720"/>
      <c r="E144" s="744"/>
      <c r="F144" s="721"/>
    </row>
    <row r="145" spans="1:6">
      <c r="A145" s="350"/>
      <c r="B145" s="716" t="s">
        <v>555</v>
      </c>
      <c r="C145" s="718" t="s">
        <v>29</v>
      </c>
      <c r="D145" s="720">
        <v>1</v>
      </c>
      <c r="E145" s="1335">
        <v>5000</v>
      </c>
      <c r="F145" s="345">
        <f>D145*E145</f>
        <v>5000</v>
      </c>
    </row>
    <row r="146" spans="1:6">
      <c r="A146" s="350"/>
      <c r="B146" s="716"/>
      <c r="C146" s="718"/>
      <c r="D146" s="720"/>
      <c r="E146" s="744"/>
      <c r="F146" s="721"/>
    </row>
    <row r="147" spans="1:6" ht="15.75" customHeight="1">
      <c r="A147" s="465" t="s">
        <v>497</v>
      </c>
      <c r="B147" s="492" t="s">
        <v>556</v>
      </c>
      <c r="D147" s="730"/>
      <c r="E147" s="768"/>
      <c r="F147" s="345"/>
    </row>
    <row r="148" spans="1:6" ht="62.25" customHeight="1">
      <c r="A148" s="350"/>
      <c r="B148" s="716" t="s">
        <v>2574</v>
      </c>
      <c r="C148" s="718" t="s">
        <v>29</v>
      </c>
      <c r="D148" s="720">
        <v>1</v>
      </c>
      <c r="E148" s="1335">
        <v>5000</v>
      </c>
      <c r="F148" s="345">
        <f>D148*E148</f>
        <v>5000</v>
      </c>
    </row>
    <row r="149" spans="1:6">
      <c r="A149" s="350"/>
      <c r="B149" s="306"/>
      <c r="D149" s="730"/>
      <c r="E149" s="768"/>
      <c r="F149" s="345"/>
    </row>
    <row r="150" spans="1:6" ht="15" customHeight="1">
      <c r="A150" s="465" t="s">
        <v>499</v>
      </c>
      <c r="B150" s="770" t="s">
        <v>557</v>
      </c>
      <c r="C150" s="722"/>
      <c r="D150" s="720"/>
      <c r="E150" s="771"/>
      <c r="F150" s="721"/>
    </row>
    <row r="151" spans="1:6" ht="117.75" customHeight="1">
      <c r="A151" s="350"/>
      <c r="B151" s="716" t="s">
        <v>558</v>
      </c>
      <c r="C151" s="718" t="s">
        <v>29</v>
      </c>
      <c r="D151" s="720">
        <v>1</v>
      </c>
      <c r="E151" s="1335">
        <v>3000</v>
      </c>
      <c r="F151" s="345">
        <f>D151*E151</f>
        <v>3000</v>
      </c>
    </row>
    <row r="152" spans="1:6">
      <c r="A152" s="350"/>
      <c r="B152" s="306"/>
      <c r="D152" s="730"/>
      <c r="E152" s="768"/>
      <c r="F152" s="345"/>
    </row>
    <row r="153" spans="1:6" ht="14.25" customHeight="1">
      <c r="A153" s="465" t="s">
        <v>559</v>
      </c>
      <c r="B153" s="1573" t="s">
        <v>560</v>
      </c>
      <c r="C153" s="1573"/>
      <c r="D153" s="1573"/>
      <c r="E153" s="1573"/>
      <c r="F153" s="345"/>
    </row>
    <row r="154" spans="1:6" ht="58.5" customHeight="1">
      <c r="A154" s="465"/>
      <c r="B154" s="524" t="s">
        <v>561</v>
      </c>
      <c r="C154" s="337" t="s">
        <v>29</v>
      </c>
      <c r="D154" s="730">
        <v>2</v>
      </c>
      <c r="E154" s="1334">
        <v>50</v>
      </c>
      <c r="F154" s="345">
        <f>D154*E154</f>
        <v>100</v>
      </c>
    </row>
    <row r="155" spans="1:6">
      <c r="A155" s="465"/>
      <c r="B155" s="306"/>
      <c r="D155" s="763"/>
      <c r="E155" s="768"/>
      <c r="F155" s="345"/>
    </row>
    <row r="156" spans="1:6">
      <c r="A156" s="465" t="s">
        <v>562</v>
      </c>
      <c r="B156" s="757" t="s">
        <v>563</v>
      </c>
      <c r="D156" s="660"/>
      <c r="E156" s="466"/>
      <c r="F156" s="772"/>
    </row>
    <row r="157" spans="1:6" ht="75.75" customHeight="1">
      <c r="A157" s="465"/>
      <c r="B157" s="524" t="s">
        <v>564</v>
      </c>
      <c r="C157" s="337" t="s">
        <v>29</v>
      </c>
      <c r="D157" s="730">
        <v>2</v>
      </c>
      <c r="E157" s="1334">
        <v>50</v>
      </c>
      <c r="F157" s="345">
        <f>D157*E157</f>
        <v>100</v>
      </c>
    </row>
    <row r="158" spans="1:6" ht="12.75" customHeight="1">
      <c r="A158" s="465"/>
      <c r="B158" s="314"/>
      <c r="D158" s="730"/>
      <c r="E158" s="768"/>
      <c r="F158" s="345"/>
    </row>
    <row r="159" spans="1:6">
      <c r="A159" s="465" t="s">
        <v>565</v>
      </c>
      <c r="B159" s="773" t="s">
        <v>566</v>
      </c>
      <c r="D159" s="303"/>
      <c r="E159" s="768"/>
      <c r="F159" s="345"/>
    </row>
    <row r="160" spans="1:6" ht="80.25" customHeight="1">
      <c r="A160" s="465"/>
      <c r="B160" s="524" t="s">
        <v>567</v>
      </c>
      <c r="C160" s="337" t="s">
        <v>29</v>
      </c>
      <c r="D160" s="730">
        <v>10</v>
      </c>
      <c r="E160" s="1334">
        <v>80</v>
      </c>
      <c r="F160" s="345">
        <f>D160*E160</f>
        <v>800</v>
      </c>
    </row>
    <row r="161" spans="1:6">
      <c r="A161" s="465"/>
      <c r="B161" s="773"/>
      <c r="D161" s="303"/>
      <c r="E161" s="768"/>
      <c r="F161" s="345"/>
    </row>
    <row r="162" spans="1:6">
      <c r="A162" s="465" t="s">
        <v>568</v>
      </c>
      <c r="B162" s="1567" t="s">
        <v>569</v>
      </c>
      <c r="C162" s="1567"/>
      <c r="D162" s="1567"/>
      <c r="E162" s="1567"/>
      <c r="F162" s="345"/>
    </row>
    <row r="163" spans="1:6" ht="124.5" customHeight="1">
      <c r="A163" s="465"/>
      <c r="B163" s="524" t="s">
        <v>2284</v>
      </c>
      <c r="C163" s="337" t="s">
        <v>521</v>
      </c>
      <c r="D163" s="303">
        <v>6</v>
      </c>
      <c r="E163" s="1334">
        <v>1500</v>
      </c>
      <c r="F163" s="345">
        <f t="shared" ref="F163" si="3">D163*E163</f>
        <v>9000</v>
      </c>
    </row>
    <row r="164" spans="1:6">
      <c r="A164" s="465"/>
      <c r="B164" s="524"/>
      <c r="D164" s="303"/>
      <c r="E164" s="768"/>
      <c r="F164" s="345"/>
    </row>
    <row r="165" spans="1:6" ht="17.25" customHeight="1">
      <c r="A165" s="642" t="s">
        <v>570</v>
      </c>
      <c r="B165" s="770" t="s">
        <v>571</v>
      </c>
      <c r="D165" s="303"/>
      <c r="E165" s="768"/>
      <c r="F165" s="345"/>
    </row>
    <row r="166" spans="1:6" ht="118.8">
      <c r="A166" s="465"/>
      <c r="B166" s="716" t="s">
        <v>572</v>
      </c>
      <c r="D166" s="303"/>
      <c r="E166" s="768"/>
      <c r="F166" s="345"/>
    </row>
    <row r="167" spans="1:6">
      <c r="A167" s="465"/>
      <c r="B167" s="774" t="s">
        <v>573</v>
      </c>
      <c r="C167" s="718" t="s">
        <v>29</v>
      </c>
      <c r="D167" s="719">
        <v>1</v>
      </c>
      <c r="E167" s="1335">
        <v>800</v>
      </c>
      <c r="F167" s="721">
        <f t="shared" ref="F167:F168" si="4">D167*E167</f>
        <v>800</v>
      </c>
    </row>
    <row r="168" spans="1:6">
      <c r="A168" s="465"/>
      <c r="B168" s="524" t="s">
        <v>574</v>
      </c>
      <c r="C168" s="718" t="s">
        <v>29</v>
      </c>
      <c r="D168" s="719">
        <v>1</v>
      </c>
      <c r="E168" s="1335">
        <v>200</v>
      </c>
      <c r="F168" s="721">
        <f t="shared" si="4"/>
        <v>200</v>
      </c>
    </row>
    <row r="169" spans="1:6">
      <c r="A169" s="465"/>
      <c r="B169" s="524"/>
      <c r="D169" s="303"/>
      <c r="E169" s="768"/>
      <c r="F169" s="345"/>
    </row>
    <row r="170" spans="1:6">
      <c r="A170" s="465" t="s">
        <v>575</v>
      </c>
      <c r="B170" s="715" t="s">
        <v>576</v>
      </c>
      <c r="D170" s="303"/>
      <c r="E170" s="768"/>
      <c r="F170" s="345"/>
    </row>
    <row r="171" spans="1:6" ht="79.2">
      <c r="A171" s="465"/>
      <c r="B171" s="716" t="s">
        <v>577</v>
      </c>
      <c r="C171" s="337" t="s">
        <v>29</v>
      </c>
      <c r="D171" s="730">
        <v>3</v>
      </c>
      <c r="E171" s="1334">
        <v>300</v>
      </c>
      <c r="F171" s="345">
        <f>D171*E171</f>
        <v>900</v>
      </c>
    </row>
    <row r="172" spans="1:6">
      <c r="A172" s="465"/>
      <c r="B172" s="524"/>
      <c r="D172" s="303"/>
      <c r="E172" s="768"/>
      <c r="F172" s="345"/>
    </row>
    <row r="173" spans="1:6">
      <c r="A173" s="465" t="s">
        <v>578</v>
      </c>
      <c r="B173" s="1554" t="s">
        <v>579</v>
      </c>
      <c r="C173" s="1554"/>
      <c r="D173" s="1554"/>
      <c r="E173" s="1554"/>
      <c r="F173" s="345"/>
    </row>
    <row r="174" spans="1:6" ht="79.2">
      <c r="A174" s="496"/>
      <c r="B174" s="524" t="s">
        <v>580</v>
      </c>
      <c r="C174" s="337" t="s">
        <v>29</v>
      </c>
      <c r="D174" s="730">
        <v>6</v>
      </c>
      <c r="E174" s="1334">
        <v>200</v>
      </c>
      <c r="F174" s="345">
        <f>D174*E174</f>
        <v>1200</v>
      </c>
    </row>
    <row r="175" spans="1:6">
      <c r="A175" s="496"/>
      <c r="B175" s="524"/>
      <c r="D175" s="730"/>
      <c r="E175" s="768"/>
      <c r="F175" s="345"/>
    </row>
    <row r="176" spans="1:6" ht="15.75" customHeight="1">
      <c r="A176" s="642" t="s">
        <v>581</v>
      </c>
      <c r="B176" s="757" t="s">
        <v>582</v>
      </c>
      <c r="D176" s="775"/>
      <c r="E176" s="466"/>
      <c r="F176" s="776"/>
    </row>
    <row r="177" spans="1:6" ht="26.4">
      <c r="A177" s="465"/>
      <c r="B177" s="524" t="s">
        <v>583</v>
      </c>
      <c r="C177" s="337" t="s">
        <v>521</v>
      </c>
      <c r="D177" s="730">
        <v>1</v>
      </c>
      <c r="E177" s="1334">
        <v>500</v>
      </c>
      <c r="F177" s="345">
        <f>D177*E177</f>
        <v>500</v>
      </c>
    </row>
    <row r="178" spans="1:6">
      <c r="A178" s="465"/>
      <c r="B178" s="524"/>
    </row>
    <row r="179" spans="1:6" ht="14.25" customHeight="1">
      <c r="A179" s="465" t="s">
        <v>584</v>
      </c>
      <c r="B179" s="1567" t="s">
        <v>585</v>
      </c>
      <c r="C179" s="1567"/>
      <c r="D179" s="1567"/>
      <c r="E179" s="466"/>
      <c r="F179" s="776"/>
    </row>
    <row r="180" spans="1:6" ht="52.8">
      <c r="A180" s="465"/>
      <c r="B180" s="777" t="s">
        <v>586</v>
      </c>
      <c r="C180" s="337" t="s">
        <v>521</v>
      </c>
      <c r="D180" s="730">
        <v>1</v>
      </c>
      <c r="E180" s="1334">
        <v>500</v>
      </c>
      <c r="F180" s="345">
        <f>D180*E180</f>
        <v>500</v>
      </c>
    </row>
    <row r="181" spans="1:6">
      <c r="A181" s="465"/>
      <c r="B181" s="777"/>
      <c r="D181" s="730"/>
      <c r="E181" s="768"/>
      <c r="F181" s="345"/>
    </row>
    <row r="182" spans="1:6">
      <c r="A182" s="465" t="s">
        <v>587</v>
      </c>
      <c r="B182" s="753" t="s">
        <v>588</v>
      </c>
      <c r="D182" s="775"/>
      <c r="E182" s="466"/>
      <c r="F182" s="776"/>
    </row>
    <row r="183" spans="1:6">
      <c r="A183" s="465"/>
      <c r="B183" s="524" t="s">
        <v>589</v>
      </c>
      <c r="D183" s="775"/>
      <c r="E183" s="764"/>
      <c r="F183" s="778"/>
    </row>
    <row r="184" spans="1:6">
      <c r="A184" s="465"/>
      <c r="B184" s="702" t="s">
        <v>590</v>
      </c>
      <c r="C184" s="337" t="s">
        <v>521</v>
      </c>
      <c r="D184" s="303">
        <v>1</v>
      </c>
      <c r="E184" s="1334">
        <f>'[1]VODOOPSKRBA, ODVODNJA I VATROZA'!E168</f>
        <v>200</v>
      </c>
      <c r="F184" s="345">
        <f>D184*E184</f>
        <v>200</v>
      </c>
    </row>
    <row r="185" spans="1:6">
      <c r="A185" s="496"/>
      <c r="B185" s="702"/>
    </row>
    <row r="186" spans="1:6">
      <c r="A186" s="707"/>
      <c r="B186" s="779" t="s">
        <v>591</v>
      </c>
      <c r="C186" s="780"/>
      <c r="D186" s="755" t="s">
        <v>425</v>
      </c>
      <c r="E186" s="756"/>
      <c r="F186" s="710">
        <f>SUM(F109:F185)</f>
        <v>42130</v>
      </c>
    </row>
    <row r="187" spans="1:6">
      <c r="A187" s="496"/>
      <c r="B187" s="781"/>
      <c r="C187" s="694"/>
      <c r="D187" s="753"/>
      <c r="E187" s="764"/>
      <c r="F187" s="761"/>
    </row>
    <row r="188" spans="1:6">
      <c r="A188" s="496"/>
      <c r="B188" s="782"/>
      <c r="C188" s="694"/>
      <c r="D188" s="753"/>
      <c r="E188" s="764"/>
      <c r="F188" s="761"/>
    </row>
    <row r="189" spans="1:6">
      <c r="A189" s="496"/>
      <c r="B189" s="782"/>
      <c r="C189" s="694"/>
      <c r="D189" s="753"/>
      <c r="E189" s="764"/>
      <c r="F189" s="761"/>
    </row>
    <row r="190" spans="1:6">
      <c r="A190" s="496" t="s">
        <v>592</v>
      </c>
      <c r="B190" s="1566" t="s">
        <v>593</v>
      </c>
      <c r="C190" s="1566"/>
    </row>
    <row r="191" spans="1:6">
      <c r="A191" s="496"/>
      <c r="B191" s="753"/>
      <c r="C191" s="753"/>
    </row>
    <row r="192" spans="1:6" ht="15.75" customHeight="1">
      <c r="A192" s="465" t="s">
        <v>416</v>
      </c>
      <c r="B192" s="1574" t="s">
        <v>594</v>
      </c>
      <c r="C192" s="1574"/>
      <c r="D192" s="1574"/>
      <c r="E192" s="1574"/>
      <c r="F192" s="1574"/>
    </row>
    <row r="193" spans="1:6" ht="118.8">
      <c r="A193" s="496"/>
      <c r="B193" s="783" t="s">
        <v>595</v>
      </c>
      <c r="D193" s="303"/>
      <c r="E193" s="768"/>
      <c r="F193" s="345"/>
    </row>
    <row r="194" spans="1:6" ht="15.6">
      <c r="A194" s="496"/>
      <c r="B194" s="783" t="s">
        <v>596</v>
      </c>
      <c r="C194" s="337" t="s">
        <v>2272</v>
      </c>
      <c r="D194" s="303">
        <v>30</v>
      </c>
      <c r="E194" s="1334">
        <v>50</v>
      </c>
      <c r="F194" s="345">
        <f>D194*E194</f>
        <v>1500</v>
      </c>
    </row>
    <row r="195" spans="1:6">
      <c r="A195" s="496"/>
      <c r="B195" s="783"/>
      <c r="D195" s="303"/>
      <c r="E195" s="768"/>
      <c r="F195" s="345"/>
    </row>
    <row r="196" spans="1:6">
      <c r="A196" s="465" t="s">
        <v>421</v>
      </c>
      <c r="B196" s="1574" t="s">
        <v>597</v>
      </c>
      <c r="C196" s="1574"/>
      <c r="D196" s="1574"/>
      <c r="E196" s="1574"/>
      <c r="F196" s="1574"/>
    </row>
    <row r="197" spans="1:6" ht="132">
      <c r="A197" s="496"/>
      <c r="B197" s="783" t="s">
        <v>598</v>
      </c>
      <c r="D197" s="303"/>
      <c r="E197" s="768"/>
      <c r="F197" s="345"/>
    </row>
    <row r="198" spans="1:6" ht="15.6">
      <c r="A198" s="496"/>
      <c r="B198" s="783" t="s">
        <v>599</v>
      </c>
      <c r="C198" s="337" t="s">
        <v>2272</v>
      </c>
      <c r="D198" s="303">
        <v>50</v>
      </c>
      <c r="E198" s="1334">
        <v>30</v>
      </c>
      <c r="F198" s="345">
        <f t="shared" ref="F198" si="5">D198*E198</f>
        <v>1500</v>
      </c>
    </row>
    <row r="199" spans="1:6">
      <c r="A199" s="496"/>
      <c r="B199" s="783"/>
      <c r="D199" s="303"/>
      <c r="E199" s="768"/>
      <c r="F199" s="345"/>
    </row>
    <row r="200" spans="1:6">
      <c r="A200" s="496"/>
      <c r="B200" s="783"/>
      <c r="D200" s="303"/>
      <c r="E200" s="768"/>
      <c r="F200" s="345"/>
    </row>
    <row r="201" spans="1:6" ht="15" customHeight="1">
      <c r="A201" s="337" t="s">
        <v>434</v>
      </c>
      <c r="B201" s="784" t="s">
        <v>600</v>
      </c>
      <c r="D201" s="303"/>
      <c r="E201" s="768"/>
      <c r="F201" s="345"/>
    </row>
    <row r="202" spans="1:6" ht="79.2">
      <c r="A202" s="307"/>
      <c r="B202" s="769" t="s">
        <v>2277</v>
      </c>
      <c r="D202" s="303"/>
      <c r="E202" s="768"/>
      <c r="F202" s="345"/>
    </row>
    <row r="203" spans="1:6" ht="52.8">
      <c r="A203" s="307"/>
      <c r="B203" s="769" t="s">
        <v>601</v>
      </c>
      <c r="D203" s="303"/>
      <c r="E203" s="768"/>
      <c r="F203" s="345"/>
    </row>
    <row r="204" spans="1:6" ht="13.5" customHeight="1">
      <c r="A204" s="307"/>
      <c r="B204" s="785" t="s">
        <v>2285</v>
      </c>
      <c r="D204" s="303"/>
      <c r="E204" s="768"/>
      <c r="F204" s="345"/>
    </row>
    <row r="205" spans="1:6" ht="13.5" customHeight="1">
      <c r="A205" s="307"/>
      <c r="B205" s="785" t="s">
        <v>602</v>
      </c>
      <c r="C205" s="337" t="s">
        <v>2272</v>
      </c>
      <c r="D205" s="303">
        <v>10</v>
      </c>
      <c r="E205" s="1334">
        <v>20</v>
      </c>
      <c r="F205" s="345">
        <f t="shared" ref="F205:F207" si="6">D205*E205</f>
        <v>200</v>
      </c>
    </row>
    <row r="206" spans="1:6" ht="13.5" customHeight="1">
      <c r="A206" s="307"/>
      <c r="B206" s="785" t="s">
        <v>603</v>
      </c>
      <c r="C206" s="337" t="s">
        <v>2272</v>
      </c>
      <c r="D206" s="303">
        <v>100</v>
      </c>
      <c r="E206" s="1334">
        <v>30</v>
      </c>
      <c r="F206" s="345">
        <f t="shared" si="6"/>
        <v>3000</v>
      </c>
    </row>
    <row r="207" spans="1:6" ht="13.5" customHeight="1">
      <c r="A207" s="307"/>
      <c r="B207" s="785" t="s">
        <v>604</v>
      </c>
      <c r="C207" s="337" t="s">
        <v>2272</v>
      </c>
      <c r="D207" s="303">
        <v>50</v>
      </c>
      <c r="E207" s="1334">
        <v>40</v>
      </c>
      <c r="F207" s="345">
        <f t="shared" si="6"/>
        <v>2000</v>
      </c>
    </row>
    <row r="208" spans="1:6" ht="13.5" customHeight="1">
      <c r="A208" s="307"/>
      <c r="B208" s="785"/>
      <c r="D208" s="303"/>
      <c r="E208" s="786"/>
      <c r="F208" s="345"/>
    </row>
    <row r="209" spans="1:6" ht="13.5" customHeight="1">
      <c r="A209" s="307"/>
      <c r="B209" s="306"/>
      <c r="D209" s="303"/>
      <c r="E209" s="768"/>
      <c r="F209" s="345"/>
    </row>
    <row r="210" spans="1:6" ht="13.5" customHeight="1">
      <c r="A210" s="337" t="s">
        <v>439</v>
      </c>
      <c r="B210" s="784" t="s">
        <v>600</v>
      </c>
      <c r="D210" s="303"/>
      <c r="E210" s="768"/>
      <c r="F210" s="345"/>
    </row>
    <row r="211" spans="1:6" ht="92.4">
      <c r="A211" s="307"/>
      <c r="B211" s="769" t="s">
        <v>2112</v>
      </c>
      <c r="D211" s="303"/>
      <c r="E211" s="768"/>
      <c r="F211" s="345"/>
    </row>
    <row r="212" spans="1:6" ht="13.5" customHeight="1">
      <c r="A212" s="307"/>
      <c r="B212" s="785" t="s">
        <v>2286</v>
      </c>
      <c r="D212" s="303"/>
      <c r="E212" s="768"/>
      <c r="F212" s="345"/>
    </row>
    <row r="213" spans="1:6" ht="13.5" customHeight="1">
      <c r="A213" s="307"/>
      <c r="B213" s="785" t="s">
        <v>2287</v>
      </c>
      <c r="C213" s="337" t="s">
        <v>2272</v>
      </c>
      <c r="D213" s="303">
        <v>20</v>
      </c>
      <c r="E213" s="1334">
        <v>40</v>
      </c>
      <c r="F213" s="345">
        <f>D213*E213</f>
        <v>800</v>
      </c>
    </row>
    <row r="214" spans="1:6" ht="13.5" customHeight="1">
      <c r="A214" s="307"/>
      <c r="B214" s="306"/>
      <c r="D214" s="303"/>
      <c r="E214" s="768"/>
      <c r="F214" s="345"/>
    </row>
    <row r="215" spans="1:6" ht="13.5" customHeight="1">
      <c r="A215" s="307" t="s">
        <v>442</v>
      </c>
      <c r="B215" s="492" t="s">
        <v>605</v>
      </c>
      <c r="D215" s="303"/>
      <c r="E215" s="768"/>
      <c r="F215" s="345"/>
    </row>
    <row r="216" spans="1:6" ht="79.2">
      <c r="A216" s="307"/>
      <c r="B216" s="769" t="s">
        <v>2278</v>
      </c>
      <c r="D216" s="303"/>
      <c r="E216" s="768"/>
      <c r="F216" s="345"/>
    </row>
    <row r="217" spans="1:6" ht="52.8">
      <c r="A217" s="307"/>
      <c r="B217" s="769" t="s">
        <v>601</v>
      </c>
      <c r="D217" s="303"/>
      <c r="E217" s="768"/>
      <c r="F217" s="345"/>
    </row>
    <row r="218" spans="1:6" ht="13.5" customHeight="1">
      <c r="A218" s="307"/>
      <c r="B218" s="785" t="s">
        <v>2285</v>
      </c>
      <c r="D218" s="303"/>
      <c r="E218" s="768"/>
      <c r="F218" s="345"/>
    </row>
    <row r="219" spans="1:6" ht="13.5" customHeight="1">
      <c r="A219" s="307"/>
      <c r="B219" s="785" t="s">
        <v>604</v>
      </c>
      <c r="C219" s="337" t="s">
        <v>2272</v>
      </c>
      <c r="D219" s="303">
        <v>60</v>
      </c>
      <c r="E219" s="1334">
        <v>30</v>
      </c>
      <c r="F219" s="345">
        <f t="shared" ref="F219" si="7">D219*E219</f>
        <v>1800</v>
      </c>
    </row>
    <row r="220" spans="1:6" ht="13.5" customHeight="1">
      <c r="A220" s="307"/>
      <c r="B220" s="306"/>
      <c r="D220" s="303"/>
      <c r="E220" s="768"/>
      <c r="F220" s="345"/>
    </row>
    <row r="221" spans="1:6">
      <c r="A221" s="465" t="s">
        <v>497</v>
      </c>
      <c r="B221" s="787" t="s">
        <v>606</v>
      </c>
      <c r="D221" s="303"/>
      <c r="E221" s="768"/>
      <c r="F221" s="345"/>
    </row>
    <row r="222" spans="1:6" ht="39.6">
      <c r="A222" s="465"/>
      <c r="B222" s="735" t="s">
        <v>607</v>
      </c>
      <c r="D222" s="303"/>
      <c r="E222" s="768"/>
      <c r="F222" s="345"/>
    </row>
    <row r="223" spans="1:6">
      <c r="A223" s="350"/>
      <c r="B223" s="735" t="s">
        <v>608</v>
      </c>
      <c r="C223" s="337" t="s">
        <v>29</v>
      </c>
      <c r="D223" s="303">
        <v>1</v>
      </c>
      <c r="E223" s="1334">
        <v>30</v>
      </c>
      <c r="F223" s="345">
        <f t="shared" ref="F223:F225" si="8">D223*E223</f>
        <v>30</v>
      </c>
    </row>
    <row r="224" spans="1:6">
      <c r="A224" s="350"/>
      <c r="B224" s="735" t="s">
        <v>609</v>
      </c>
      <c r="C224" s="337" t="s">
        <v>29</v>
      </c>
      <c r="D224" s="303">
        <v>10</v>
      </c>
      <c r="E224" s="1334">
        <v>25</v>
      </c>
      <c r="F224" s="345">
        <f t="shared" si="8"/>
        <v>250</v>
      </c>
    </row>
    <row r="225" spans="1:6">
      <c r="A225" s="350"/>
      <c r="B225" s="735" t="s">
        <v>610</v>
      </c>
      <c r="C225" s="337" t="s">
        <v>29</v>
      </c>
      <c r="D225" s="303">
        <v>2</v>
      </c>
      <c r="E225" s="1334">
        <v>20</v>
      </c>
      <c r="F225" s="345">
        <f t="shared" si="8"/>
        <v>40</v>
      </c>
    </row>
    <row r="226" spans="1:6">
      <c r="A226" s="350"/>
      <c r="B226" s="735"/>
      <c r="D226" s="303"/>
      <c r="E226" s="768"/>
      <c r="F226" s="345"/>
    </row>
    <row r="227" spans="1:6" ht="15" customHeight="1">
      <c r="A227" s="642" t="s">
        <v>499</v>
      </c>
      <c r="B227" s="787" t="s">
        <v>611</v>
      </c>
      <c r="D227" s="303"/>
      <c r="E227" s="768"/>
      <c r="F227" s="345"/>
    </row>
    <row r="228" spans="1:6">
      <c r="A228" s="465"/>
      <c r="B228" s="524" t="s">
        <v>612</v>
      </c>
      <c r="D228" s="303"/>
      <c r="E228" s="768"/>
      <c r="F228" s="345"/>
    </row>
    <row r="229" spans="1:6" ht="158.4">
      <c r="A229" s="465"/>
      <c r="B229" s="524" t="s">
        <v>2541</v>
      </c>
      <c r="D229" s="303"/>
      <c r="E229" s="768"/>
      <c r="F229" s="345"/>
    </row>
    <row r="230" spans="1:6" ht="26.4">
      <c r="A230" s="465"/>
      <c r="B230" s="742" t="s">
        <v>613</v>
      </c>
      <c r="D230" s="303"/>
      <c r="E230" s="768"/>
      <c r="F230" s="345"/>
    </row>
    <row r="231" spans="1:6">
      <c r="A231" s="465"/>
      <c r="B231" s="524" t="s">
        <v>614</v>
      </c>
      <c r="C231" s="337" t="s">
        <v>521</v>
      </c>
      <c r="D231" s="730">
        <v>1</v>
      </c>
      <c r="E231" s="1334">
        <v>1300</v>
      </c>
      <c r="F231" s="345">
        <f>D231*E231</f>
        <v>1300</v>
      </c>
    </row>
    <row r="232" spans="1:6">
      <c r="A232" s="465"/>
      <c r="B232" s="524" t="s">
        <v>615</v>
      </c>
      <c r="C232" s="337" t="s">
        <v>521</v>
      </c>
      <c r="D232" s="730">
        <v>1</v>
      </c>
      <c r="E232" s="1334">
        <v>500</v>
      </c>
      <c r="F232" s="345">
        <f>D232*E232</f>
        <v>500</v>
      </c>
    </row>
    <row r="233" spans="1:6">
      <c r="A233" s="350"/>
      <c r="B233" s="735"/>
      <c r="D233" s="303"/>
      <c r="E233" s="768"/>
      <c r="F233" s="345"/>
    </row>
    <row r="234" spans="1:6">
      <c r="A234" s="350"/>
      <c r="B234" s="735"/>
      <c r="D234" s="303"/>
      <c r="E234" s="768"/>
      <c r="F234" s="345"/>
    </row>
    <row r="235" spans="1:6" ht="16.5" customHeight="1">
      <c r="A235" s="642" t="s">
        <v>559</v>
      </c>
      <c r="B235" s="787" t="s">
        <v>616</v>
      </c>
      <c r="D235" s="303"/>
      <c r="E235" s="768"/>
      <c r="F235" s="345"/>
    </row>
    <row r="236" spans="1:6" ht="66">
      <c r="A236" s="350"/>
      <c r="B236" s="524" t="s">
        <v>617</v>
      </c>
      <c r="C236" s="337" t="s">
        <v>521</v>
      </c>
      <c r="D236" s="730">
        <v>1</v>
      </c>
      <c r="E236" s="1334">
        <v>500</v>
      </c>
      <c r="F236" s="345">
        <f>D236*E236</f>
        <v>500</v>
      </c>
    </row>
    <row r="237" spans="1:6">
      <c r="A237" s="350"/>
      <c r="B237" s="735"/>
      <c r="D237" s="303"/>
      <c r="E237" s="768"/>
      <c r="F237" s="345"/>
    </row>
    <row r="238" spans="1:6" ht="15" customHeight="1">
      <c r="A238" s="465" t="s">
        <v>562</v>
      </c>
      <c r="B238" s="787" t="s">
        <v>618</v>
      </c>
      <c r="D238" s="303"/>
      <c r="E238" s="768"/>
      <c r="F238" s="345"/>
    </row>
    <row r="239" spans="1:6" ht="49.5" customHeight="1">
      <c r="A239" s="350"/>
      <c r="B239" s="524" t="s">
        <v>619</v>
      </c>
      <c r="D239" s="303"/>
      <c r="E239" s="768"/>
      <c r="F239" s="345"/>
    </row>
    <row r="240" spans="1:6">
      <c r="A240" s="350"/>
      <c r="B240" s="735" t="s">
        <v>620</v>
      </c>
      <c r="D240" s="303"/>
      <c r="E240" s="768"/>
      <c r="F240" s="345"/>
    </row>
    <row r="241" spans="1:6">
      <c r="A241" s="350"/>
      <c r="B241" s="524" t="s">
        <v>621</v>
      </c>
      <c r="C241" s="337" t="s">
        <v>521</v>
      </c>
      <c r="D241" s="730">
        <v>1</v>
      </c>
      <c r="E241" s="1334">
        <v>300</v>
      </c>
      <c r="F241" s="345">
        <f>D241*E241</f>
        <v>300</v>
      </c>
    </row>
    <row r="242" spans="1:6">
      <c r="A242" s="465"/>
      <c r="B242" s="524"/>
      <c r="D242" s="303"/>
      <c r="E242" s="768"/>
      <c r="F242" s="345"/>
    </row>
    <row r="243" spans="1:6">
      <c r="A243" s="465" t="s">
        <v>565</v>
      </c>
      <c r="B243" s="757" t="s">
        <v>622</v>
      </c>
      <c r="D243" s="660"/>
      <c r="E243" s="466"/>
      <c r="F243" s="776"/>
    </row>
    <row r="244" spans="1:6" ht="42" customHeight="1">
      <c r="A244" s="465"/>
      <c r="B244" s="524" t="s">
        <v>623</v>
      </c>
      <c r="D244" s="347"/>
      <c r="E244" s="764"/>
      <c r="F244" s="778"/>
    </row>
    <row r="245" spans="1:6" ht="15.6">
      <c r="A245" s="465"/>
      <c r="B245" s="524" t="s">
        <v>2288</v>
      </c>
      <c r="C245" s="337" t="s">
        <v>521</v>
      </c>
      <c r="D245" s="303">
        <v>1</v>
      </c>
      <c r="E245" s="1334">
        <v>150</v>
      </c>
      <c r="F245" s="345">
        <f>D245*E245</f>
        <v>150</v>
      </c>
    </row>
    <row r="246" spans="1:6">
      <c r="A246" s="465"/>
      <c r="B246" s="524"/>
      <c r="D246" s="303"/>
      <c r="E246" s="768"/>
      <c r="F246" s="345"/>
    </row>
    <row r="247" spans="1:6">
      <c r="A247" s="465" t="s">
        <v>568</v>
      </c>
      <c r="B247" s="757" t="s">
        <v>624</v>
      </c>
      <c r="D247" s="660"/>
      <c r="E247" s="466"/>
      <c r="F247" s="776"/>
    </row>
    <row r="248" spans="1:6">
      <c r="A248" s="465"/>
      <c r="B248" s="524" t="s">
        <v>625</v>
      </c>
      <c r="D248" s="347"/>
      <c r="E248" s="764"/>
      <c r="F248" s="778"/>
    </row>
    <row r="249" spans="1:6" ht="15.6">
      <c r="A249" s="465"/>
      <c r="B249" s="524" t="s">
        <v>2289</v>
      </c>
      <c r="C249" s="337" t="s">
        <v>521</v>
      </c>
      <c r="D249" s="303">
        <v>1</v>
      </c>
      <c r="E249" s="1334">
        <v>500</v>
      </c>
      <c r="F249" s="345">
        <f>D249*E249</f>
        <v>500</v>
      </c>
    </row>
    <row r="250" spans="1:6">
      <c r="A250" s="465"/>
      <c r="B250" s="524"/>
      <c r="D250" s="303"/>
      <c r="E250" s="768"/>
      <c r="F250" s="345"/>
    </row>
    <row r="251" spans="1:6">
      <c r="A251" s="465" t="s">
        <v>570</v>
      </c>
      <c r="B251" s="757" t="s">
        <v>626</v>
      </c>
      <c r="D251" s="660"/>
      <c r="E251" s="466"/>
      <c r="F251" s="776"/>
    </row>
    <row r="252" spans="1:6" ht="39.75" customHeight="1">
      <c r="A252" s="465"/>
      <c r="B252" s="524" t="s">
        <v>627</v>
      </c>
      <c r="D252" s="660"/>
      <c r="E252" s="764"/>
      <c r="F252" s="778"/>
    </row>
    <row r="253" spans="1:6">
      <c r="A253" s="465"/>
      <c r="B253" s="702" t="s">
        <v>590</v>
      </c>
      <c r="C253" s="337" t="s">
        <v>521</v>
      </c>
      <c r="D253" s="303">
        <v>1</v>
      </c>
      <c r="E253" s="1334">
        <v>1000</v>
      </c>
      <c r="F253" s="345">
        <f>D253*E253</f>
        <v>1000</v>
      </c>
    </row>
    <row r="254" spans="1:6">
      <c r="A254" s="465"/>
      <c r="B254" s="753"/>
      <c r="D254" s="775"/>
      <c r="E254" s="466"/>
      <c r="F254" s="776"/>
    </row>
    <row r="255" spans="1:6">
      <c r="A255" s="465" t="s">
        <v>575</v>
      </c>
      <c r="B255" s="753" t="s">
        <v>588</v>
      </c>
      <c r="D255" s="775"/>
      <c r="E255" s="466"/>
      <c r="F255" s="776"/>
    </row>
    <row r="256" spans="1:6" ht="27" customHeight="1">
      <c r="A256" s="465"/>
      <c r="B256" s="524" t="s">
        <v>589</v>
      </c>
      <c r="D256" s="775"/>
      <c r="E256" s="764"/>
      <c r="F256" s="778"/>
    </row>
    <row r="257" spans="1:6">
      <c r="A257" s="465"/>
      <c r="B257" s="702" t="s">
        <v>590</v>
      </c>
      <c r="C257" s="337" t="s">
        <v>521</v>
      </c>
      <c r="D257" s="303">
        <v>1</v>
      </c>
      <c r="E257" s="1334">
        <v>200</v>
      </c>
      <c r="F257" s="345">
        <f>D257*E257</f>
        <v>200</v>
      </c>
    </row>
    <row r="258" spans="1:6">
      <c r="A258" s="465"/>
      <c r="B258" s="702"/>
      <c r="D258" s="347"/>
      <c r="E258" s="764"/>
      <c r="F258" s="788"/>
    </row>
    <row r="259" spans="1:6">
      <c r="A259" s="707"/>
      <c r="B259" s="789" t="s">
        <v>628</v>
      </c>
      <c r="C259" s="790"/>
      <c r="D259" s="755" t="s">
        <v>425</v>
      </c>
      <c r="E259" s="756"/>
      <c r="F259" s="791">
        <f>SUM(F194:F258)</f>
        <v>15570</v>
      </c>
    </row>
    <row r="260" spans="1:6">
      <c r="A260" s="496"/>
      <c r="B260" s="787"/>
      <c r="C260" s="747"/>
      <c r="D260" s="757"/>
      <c r="E260" s="758"/>
      <c r="F260" s="792"/>
    </row>
    <row r="261" spans="1:6">
      <c r="A261" s="496"/>
      <c r="B261" s="787"/>
      <c r="C261" s="747"/>
      <c r="D261" s="757"/>
      <c r="E261" s="758"/>
      <c r="F261" s="792"/>
    </row>
    <row r="262" spans="1:6">
      <c r="A262" s="496"/>
      <c r="B262" s="787"/>
      <c r="C262" s="747"/>
      <c r="D262" s="757"/>
      <c r="E262" s="758"/>
      <c r="F262" s="792"/>
    </row>
    <row r="263" spans="1:6">
      <c r="A263" s="496" t="s">
        <v>629</v>
      </c>
      <c r="B263" s="1566" t="s">
        <v>630</v>
      </c>
      <c r="C263" s="1566"/>
      <c r="D263" s="1566"/>
      <c r="E263" s="1566"/>
    </row>
    <row r="264" spans="1:6">
      <c r="A264" s="496"/>
      <c r="B264" s="753"/>
      <c r="C264" s="753"/>
      <c r="D264" s="753"/>
      <c r="E264" s="753"/>
    </row>
    <row r="265" spans="1:6">
      <c r="A265" s="496"/>
      <c r="B265" s="793" t="s">
        <v>119</v>
      </c>
    </row>
    <row r="266" spans="1:6">
      <c r="A266" s="496"/>
      <c r="B266" s="302"/>
    </row>
    <row r="267" spans="1:6" ht="39.6">
      <c r="A267" s="496"/>
      <c r="B267" s="524" t="s">
        <v>2290</v>
      </c>
    </row>
    <row r="268" spans="1:6">
      <c r="A268" s="496"/>
      <c r="B268" s="702"/>
    </row>
    <row r="269" spans="1:6">
      <c r="A269" s="465" t="s">
        <v>416</v>
      </c>
      <c r="B269" s="757" t="s">
        <v>631</v>
      </c>
      <c r="D269" s="660"/>
      <c r="E269" s="466"/>
      <c r="F269" s="776"/>
    </row>
    <row r="270" spans="1:6" ht="92.4">
      <c r="A270" s="465"/>
      <c r="B270" s="524" t="s">
        <v>632</v>
      </c>
      <c r="D270" s="763"/>
      <c r="E270" s="764"/>
      <c r="F270" s="778"/>
    </row>
    <row r="271" spans="1:6">
      <c r="A271" s="465"/>
      <c r="B271" s="782" t="s">
        <v>633</v>
      </c>
      <c r="C271" s="337" t="s">
        <v>521</v>
      </c>
      <c r="D271" s="303">
        <v>8</v>
      </c>
      <c r="E271" s="1334">
        <v>500</v>
      </c>
      <c r="F271" s="345">
        <f>D271*E271</f>
        <v>4000</v>
      </c>
    </row>
    <row r="272" spans="1:6">
      <c r="A272" s="465"/>
      <c r="B272" s="782"/>
      <c r="D272" s="303"/>
      <c r="E272" s="768"/>
      <c r="F272" s="345"/>
    </row>
    <row r="273" spans="1:6">
      <c r="A273" s="465" t="s">
        <v>421</v>
      </c>
      <c r="B273" s="757" t="s">
        <v>634</v>
      </c>
      <c r="D273" s="660"/>
      <c r="E273" s="466"/>
      <c r="F273" s="776"/>
    </row>
    <row r="274" spans="1:6" ht="26.4">
      <c r="A274" s="465"/>
      <c r="B274" s="524" t="s">
        <v>635</v>
      </c>
      <c r="D274" s="763"/>
      <c r="E274" s="764"/>
      <c r="F274" s="778"/>
    </row>
    <row r="275" spans="1:6">
      <c r="A275" s="465"/>
      <c r="B275" s="524" t="s">
        <v>636</v>
      </c>
      <c r="D275" s="763"/>
      <c r="E275" s="764"/>
      <c r="F275" s="778"/>
    </row>
    <row r="276" spans="1:6">
      <c r="A276" s="465"/>
      <c r="B276" s="524" t="s">
        <v>637</v>
      </c>
      <c r="D276" s="763"/>
      <c r="E276" s="764"/>
      <c r="F276" s="778"/>
    </row>
    <row r="277" spans="1:6">
      <c r="A277" s="465"/>
      <c r="B277" s="735" t="s">
        <v>638</v>
      </c>
      <c r="D277" s="763"/>
      <c r="E277" s="764"/>
      <c r="F277" s="778"/>
    </row>
    <row r="278" spans="1:6" ht="26.4">
      <c r="A278" s="465"/>
      <c r="B278" s="524" t="s">
        <v>639</v>
      </c>
      <c r="D278" s="763"/>
      <c r="E278" s="764"/>
      <c r="F278" s="778"/>
    </row>
    <row r="279" spans="1:6" ht="16.5" customHeight="1">
      <c r="A279" s="465"/>
      <c r="B279" s="524" t="s">
        <v>640</v>
      </c>
      <c r="D279" s="763"/>
      <c r="E279" s="764"/>
      <c r="F279" s="778"/>
    </row>
    <row r="280" spans="1:6" ht="26.4">
      <c r="A280" s="465"/>
      <c r="B280" s="524" t="s">
        <v>641</v>
      </c>
      <c r="D280" s="763"/>
      <c r="E280" s="764"/>
      <c r="F280" s="778"/>
    </row>
    <row r="281" spans="1:6">
      <c r="A281" s="465"/>
      <c r="B281" s="782" t="s">
        <v>642</v>
      </c>
      <c r="C281" s="337" t="s">
        <v>521</v>
      </c>
      <c r="D281" s="303">
        <v>8</v>
      </c>
      <c r="E281" s="1334">
        <v>700</v>
      </c>
      <c r="F281" s="345">
        <f>D281*E281</f>
        <v>5600</v>
      </c>
    </row>
    <row r="282" spans="1:6">
      <c r="A282" s="465"/>
      <c r="B282" s="524"/>
      <c r="D282" s="303"/>
      <c r="E282" s="768"/>
      <c r="F282" s="345"/>
    </row>
    <row r="283" spans="1:6">
      <c r="A283" s="465" t="s">
        <v>434</v>
      </c>
      <c r="B283" s="754" t="s">
        <v>643</v>
      </c>
      <c r="D283" s="303"/>
      <c r="E283" s="768"/>
      <c r="F283" s="345"/>
    </row>
    <row r="284" spans="1:6" ht="85.5" customHeight="1">
      <c r="A284" s="465"/>
      <c r="B284" s="716" t="s">
        <v>644</v>
      </c>
      <c r="D284" s="303"/>
      <c r="E284" s="768"/>
      <c r="F284" s="345"/>
    </row>
    <row r="285" spans="1:6" ht="27.75" customHeight="1">
      <c r="A285" s="465"/>
      <c r="B285" s="524" t="s">
        <v>645</v>
      </c>
      <c r="D285" s="763"/>
      <c r="E285" s="764"/>
      <c r="F285" s="778"/>
    </row>
    <row r="286" spans="1:6" ht="26.4">
      <c r="A286" s="465"/>
      <c r="B286" s="524" t="s">
        <v>641</v>
      </c>
      <c r="D286" s="763"/>
      <c r="E286" s="764"/>
      <c r="F286" s="778"/>
    </row>
    <row r="287" spans="1:6">
      <c r="A287" s="350"/>
      <c r="B287" s="524" t="s">
        <v>646</v>
      </c>
      <c r="C287" s="337" t="s">
        <v>521</v>
      </c>
      <c r="D287" s="303">
        <v>1</v>
      </c>
      <c r="E287" s="1334">
        <v>1200</v>
      </c>
      <c r="F287" s="345">
        <f>D287*E287</f>
        <v>1200</v>
      </c>
    </row>
    <row r="288" spans="1:6">
      <c r="A288" s="465"/>
      <c r="B288" s="302"/>
      <c r="D288" s="303"/>
      <c r="E288" s="768"/>
      <c r="F288" s="345"/>
    </row>
    <row r="289" spans="1:6">
      <c r="A289" s="465" t="s">
        <v>439</v>
      </c>
      <c r="B289" s="302" t="s">
        <v>647</v>
      </c>
      <c r="D289" s="303"/>
      <c r="E289" s="768"/>
      <c r="F289" s="345"/>
    </row>
    <row r="290" spans="1:6" ht="52.8">
      <c r="A290" s="465"/>
      <c r="B290" s="794" t="s">
        <v>2113</v>
      </c>
      <c r="C290" s="337" t="s">
        <v>521</v>
      </c>
      <c r="D290" s="303">
        <v>6</v>
      </c>
      <c r="E290" s="1334">
        <v>300</v>
      </c>
      <c r="F290" s="345">
        <f>D290*E290</f>
        <v>1800</v>
      </c>
    </row>
    <row r="291" spans="1:6">
      <c r="A291" s="465"/>
      <c r="B291" s="524"/>
      <c r="D291" s="303"/>
      <c r="E291" s="768"/>
      <c r="F291" s="345"/>
    </row>
    <row r="292" spans="1:6">
      <c r="A292" s="465" t="s">
        <v>442</v>
      </c>
      <c r="B292" s="743" t="s">
        <v>648</v>
      </c>
      <c r="C292" s="722"/>
      <c r="D292" s="719"/>
      <c r="E292" s="744"/>
      <c r="F292" s="721"/>
    </row>
    <row r="293" spans="1:6" ht="52.8">
      <c r="A293" s="465"/>
      <c r="B293" s="716" t="s">
        <v>649</v>
      </c>
      <c r="C293" s="337" t="s">
        <v>521</v>
      </c>
      <c r="D293" s="303">
        <v>6</v>
      </c>
      <c r="E293" s="1334">
        <v>300</v>
      </c>
      <c r="F293" s="345">
        <f>D293*E293</f>
        <v>1800</v>
      </c>
    </row>
    <row r="294" spans="1:6">
      <c r="A294" s="465"/>
      <c r="B294" s="716"/>
      <c r="D294" s="303"/>
      <c r="E294" s="768"/>
      <c r="F294" s="345"/>
    </row>
    <row r="295" spans="1:6">
      <c r="A295" s="465" t="s">
        <v>497</v>
      </c>
      <c r="B295" s="500" t="s">
        <v>650</v>
      </c>
      <c r="D295" s="303"/>
      <c r="E295" s="768"/>
      <c r="F295" s="345"/>
    </row>
    <row r="296" spans="1:6" ht="66">
      <c r="A296" s="465"/>
      <c r="B296" s="524" t="s">
        <v>651</v>
      </c>
      <c r="C296" s="337" t="s">
        <v>521</v>
      </c>
      <c r="D296" s="303">
        <v>6</v>
      </c>
      <c r="E296" s="1334">
        <v>500</v>
      </c>
      <c r="F296" s="345">
        <f>D296*E296</f>
        <v>3000</v>
      </c>
    </row>
    <row r="297" spans="1:6">
      <c r="A297" s="465"/>
      <c r="D297" s="303"/>
      <c r="E297" s="768"/>
      <c r="F297" s="345"/>
    </row>
    <row r="298" spans="1:6">
      <c r="A298" s="465" t="s">
        <v>499</v>
      </c>
      <c r="B298" s="795" t="s">
        <v>652</v>
      </c>
      <c r="D298" s="303"/>
      <c r="E298" s="768"/>
      <c r="F298" s="345"/>
    </row>
    <row r="299" spans="1:6" ht="71.25" customHeight="1">
      <c r="A299" s="465"/>
      <c r="B299" s="716" t="s">
        <v>653</v>
      </c>
      <c r="C299" s="337" t="s">
        <v>521</v>
      </c>
      <c r="D299" s="303">
        <v>2</v>
      </c>
      <c r="E299" s="1334">
        <v>250</v>
      </c>
      <c r="F299" s="345">
        <f>D299*E299</f>
        <v>500</v>
      </c>
    </row>
    <row r="300" spans="1:6">
      <c r="A300" s="465"/>
      <c r="B300" s="716"/>
      <c r="D300" s="303"/>
      <c r="E300" s="768"/>
      <c r="F300" s="345"/>
    </row>
    <row r="301" spans="1:6">
      <c r="A301" s="465" t="s">
        <v>559</v>
      </c>
      <c r="B301" s="1571" t="s">
        <v>654</v>
      </c>
      <c r="C301" s="1571"/>
      <c r="D301" s="1571"/>
      <c r="E301" s="1571"/>
      <c r="F301" s="345"/>
    </row>
    <row r="302" spans="1:6" ht="52.8">
      <c r="A302" s="465"/>
      <c r="B302" s="641" t="s">
        <v>655</v>
      </c>
      <c r="C302" s="337" t="s">
        <v>521</v>
      </c>
      <c r="D302" s="730">
        <v>3</v>
      </c>
      <c r="E302" s="1334">
        <v>50</v>
      </c>
      <c r="F302" s="345">
        <f>D302*E302</f>
        <v>150</v>
      </c>
    </row>
    <row r="303" spans="1:6">
      <c r="A303" s="465"/>
      <c r="B303" s="641"/>
      <c r="D303" s="730"/>
      <c r="E303" s="768"/>
      <c r="F303" s="345"/>
    </row>
    <row r="304" spans="1:6">
      <c r="A304" s="465" t="s">
        <v>562</v>
      </c>
      <c r="B304" s="1571" t="s">
        <v>656</v>
      </c>
      <c r="C304" s="1571"/>
      <c r="D304" s="1571"/>
      <c r="E304" s="1571"/>
      <c r="F304" s="345"/>
    </row>
    <row r="305" spans="1:6" ht="39.6">
      <c r="A305" s="465"/>
      <c r="B305" s="641" t="s">
        <v>657</v>
      </c>
      <c r="C305" s="337" t="s">
        <v>521</v>
      </c>
      <c r="D305" s="730">
        <v>7</v>
      </c>
      <c r="E305" s="1334">
        <v>50</v>
      </c>
      <c r="F305" s="345">
        <f>D305*E305</f>
        <v>350</v>
      </c>
    </row>
    <row r="306" spans="1:6">
      <c r="A306" s="465"/>
      <c r="B306" s="524"/>
      <c r="D306" s="303"/>
      <c r="E306" s="768"/>
      <c r="F306" s="345"/>
    </row>
    <row r="307" spans="1:6">
      <c r="A307" s="465" t="s">
        <v>565</v>
      </c>
      <c r="B307" s="302" t="s">
        <v>658</v>
      </c>
      <c r="D307" s="303"/>
      <c r="E307" s="768"/>
      <c r="F307" s="345"/>
    </row>
    <row r="308" spans="1:6" ht="39.6">
      <c r="A308" s="465"/>
      <c r="B308" s="524" t="s">
        <v>659</v>
      </c>
      <c r="C308" s="337" t="s">
        <v>29</v>
      </c>
      <c r="D308" s="303">
        <v>8</v>
      </c>
      <c r="E308" s="1334">
        <v>50</v>
      </c>
      <c r="F308" s="345">
        <f>D308*E308</f>
        <v>400</v>
      </c>
    </row>
    <row r="309" spans="1:6">
      <c r="A309" s="465"/>
      <c r="B309" s="702"/>
      <c r="D309" s="345"/>
      <c r="E309" s="768"/>
      <c r="F309" s="345"/>
    </row>
    <row r="310" spans="1:6">
      <c r="A310" s="465" t="s">
        <v>568</v>
      </c>
      <c r="B310" s="302" t="s">
        <v>660</v>
      </c>
      <c r="D310" s="303"/>
      <c r="E310" s="768"/>
      <c r="F310" s="345"/>
    </row>
    <row r="311" spans="1:6" ht="52.8">
      <c r="A311" s="465"/>
      <c r="B311" s="524" t="s">
        <v>661</v>
      </c>
      <c r="C311" s="337" t="s">
        <v>29</v>
      </c>
      <c r="D311" s="303">
        <v>8</v>
      </c>
      <c r="E311" s="1334">
        <v>50</v>
      </c>
      <c r="F311" s="345">
        <f>D311*E311</f>
        <v>400</v>
      </c>
    </row>
    <row r="312" spans="1:6">
      <c r="A312" s="465"/>
      <c r="B312" s="524"/>
      <c r="D312" s="303"/>
      <c r="E312" s="768"/>
      <c r="F312" s="345"/>
    </row>
    <row r="313" spans="1:6">
      <c r="A313" s="465" t="s">
        <v>570</v>
      </c>
      <c r="B313" s="781" t="s">
        <v>662</v>
      </c>
      <c r="D313" s="303"/>
      <c r="E313" s="768"/>
      <c r="F313" s="345"/>
    </row>
    <row r="314" spans="1:6" ht="52.8">
      <c r="A314" s="465"/>
      <c r="B314" s="524" t="s">
        <v>663</v>
      </c>
      <c r="D314" s="303"/>
      <c r="E314" s="768"/>
      <c r="F314" s="345"/>
    </row>
    <row r="315" spans="1:6">
      <c r="A315" s="350"/>
      <c r="B315" s="782"/>
      <c r="C315" s="337" t="s">
        <v>29</v>
      </c>
      <c r="D315" s="303">
        <v>8</v>
      </c>
      <c r="E315" s="1334">
        <v>100</v>
      </c>
      <c r="F315" s="345">
        <f>D315*E315</f>
        <v>800</v>
      </c>
    </row>
    <row r="316" spans="1:6">
      <c r="A316" s="465"/>
      <c r="B316" s="782"/>
      <c r="D316" s="303"/>
      <c r="E316" s="768"/>
      <c r="F316" s="345"/>
    </row>
    <row r="317" spans="1:6">
      <c r="A317" s="465" t="s">
        <v>575</v>
      </c>
      <c r="B317" s="781" t="s">
        <v>664</v>
      </c>
      <c r="D317" s="303"/>
      <c r="E317" s="768"/>
      <c r="F317" s="345"/>
    </row>
    <row r="318" spans="1:6" ht="26.4">
      <c r="A318" s="465"/>
      <c r="B318" s="524" t="s">
        <v>665</v>
      </c>
      <c r="C318" s="337" t="s">
        <v>29</v>
      </c>
      <c r="D318" s="303">
        <v>8</v>
      </c>
      <c r="E318" s="1334">
        <v>50</v>
      </c>
      <c r="F318" s="345">
        <f>D318*E318</f>
        <v>400</v>
      </c>
    </row>
    <row r="319" spans="1:6">
      <c r="A319" s="465"/>
      <c r="B319" s="524"/>
      <c r="D319" s="303"/>
      <c r="E319" s="768"/>
      <c r="F319" s="345"/>
    </row>
    <row r="320" spans="1:6">
      <c r="A320" s="465" t="s">
        <v>578</v>
      </c>
      <c r="B320" s="781" t="s">
        <v>666</v>
      </c>
      <c r="D320" s="303"/>
      <c r="E320" s="768"/>
      <c r="F320" s="345"/>
    </row>
    <row r="321" spans="1:6" ht="39.6">
      <c r="A321" s="465"/>
      <c r="B321" s="524" t="s">
        <v>667</v>
      </c>
      <c r="D321" s="303"/>
      <c r="E321" s="768"/>
      <c r="F321" s="345"/>
    </row>
    <row r="322" spans="1:6">
      <c r="A322" s="350"/>
      <c r="B322" s="782" t="s">
        <v>668</v>
      </c>
      <c r="C322" s="337" t="s">
        <v>29</v>
      </c>
      <c r="D322" s="303">
        <v>10</v>
      </c>
      <c r="E322" s="1334">
        <v>50</v>
      </c>
      <c r="F322" s="345">
        <f t="shared" ref="F322" si="9">D322*E322</f>
        <v>500</v>
      </c>
    </row>
    <row r="323" spans="1:6">
      <c r="A323" s="465"/>
      <c r="B323" s="796"/>
      <c r="C323" s="347"/>
      <c r="D323" s="347"/>
      <c r="E323" s="764"/>
      <c r="F323" s="788"/>
    </row>
    <row r="324" spans="1:6" ht="30.75" customHeight="1">
      <c r="A324" s="707"/>
      <c r="B324" s="1572" t="s">
        <v>630</v>
      </c>
      <c r="C324" s="1572"/>
      <c r="D324" s="755" t="s">
        <v>425</v>
      </c>
      <c r="E324" s="756"/>
      <c r="F324" s="710">
        <f>SUM(F271:F323)</f>
        <v>20900</v>
      </c>
    </row>
    <row r="325" spans="1:6">
      <c r="A325" s="496"/>
      <c r="B325" s="787"/>
      <c r="C325" s="787"/>
      <c r="D325" s="757"/>
      <c r="E325" s="758"/>
      <c r="F325" s="797"/>
    </row>
    <row r="326" spans="1:6">
      <c r="A326" s="496"/>
      <c r="B326" s="787"/>
      <c r="C326" s="787"/>
      <c r="D326" s="757"/>
      <c r="E326" s="758"/>
      <c r="F326" s="797"/>
    </row>
    <row r="327" spans="1:6">
      <c r="A327" s="465"/>
      <c r="B327" s="524"/>
      <c r="D327" s="660"/>
      <c r="E327" s="764"/>
      <c r="F327" s="788"/>
    </row>
    <row r="328" spans="1:6">
      <c r="A328" s="496" t="s">
        <v>669</v>
      </c>
      <c r="B328" s="753" t="s">
        <v>670</v>
      </c>
      <c r="D328" s="660"/>
      <c r="E328" s="466"/>
      <c r="F328" s="776"/>
    </row>
    <row r="329" spans="1:6">
      <c r="A329" s="465"/>
      <c r="B329" s="753"/>
      <c r="D329" s="660"/>
      <c r="E329" s="764"/>
      <c r="F329" s="778"/>
    </row>
    <row r="330" spans="1:6">
      <c r="A330" s="465" t="s">
        <v>416</v>
      </c>
      <c r="B330" s="753" t="s">
        <v>671</v>
      </c>
      <c r="D330" s="660"/>
      <c r="E330" s="764"/>
      <c r="F330" s="778"/>
    </row>
    <row r="331" spans="1:6" ht="93.75" customHeight="1">
      <c r="A331" s="465"/>
      <c r="B331" s="524" t="s">
        <v>672</v>
      </c>
      <c r="C331" s="337" t="s">
        <v>29</v>
      </c>
      <c r="D331" s="303">
        <v>100</v>
      </c>
      <c r="E331" s="1334">
        <v>50</v>
      </c>
      <c r="F331" s="345">
        <f t="shared" ref="F331" si="10">D331*E331</f>
        <v>5000</v>
      </c>
    </row>
    <row r="332" spans="1:6">
      <c r="A332" s="465"/>
      <c r="B332" s="524"/>
      <c r="D332" s="660"/>
      <c r="E332" s="345"/>
      <c r="F332" s="303"/>
    </row>
    <row r="333" spans="1:6">
      <c r="A333" s="798" t="s">
        <v>421</v>
      </c>
      <c r="B333" s="799" t="s">
        <v>673</v>
      </c>
      <c r="C333" s="800"/>
      <c r="D333" s="801"/>
      <c r="E333" s="303"/>
      <c r="F333" s="345"/>
    </row>
    <row r="334" spans="1:6" ht="26.4">
      <c r="A334" s="802"/>
      <c r="B334" s="305" t="s">
        <v>674</v>
      </c>
      <c r="C334" s="803"/>
      <c r="D334" s="804"/>
      <c r="E334" s="345"/>
      <c r="F334" s="303"/>
    </row>
    <row r="335" spans="1:6">
      <c r="A335" s="802"/>
      <c r="B335" s="305" t="s">
        <v>675</v>
      </c>
      <c r="C335" s="803" t="s">
        <v>29</v>
      </c>
      <c r="D335" s="804">
        <v>1</v>
      </c>
      <c r="E335" s="1331">
        <v>200</v>
      </c>
      <c r="F335" s="303">
        <f t="shared" ref="F335:F338" si="11">D335*E335</f>
        <v>200</v>
      </c>
    </row>
    <row r="336" spans="1:6">
      <c r="A336" s="802"/>
      <c r="B336" s="305" t="s">
        <v>676</v>
      </c>
      <c r="C336" s="803" t="s">
        <v>29</v>
      </c>
      <c r="D336" s="804">
        <v>9</v>
      </c>
      <c r="E336" s="1331">
        <v>200</v>
      </c>
      <c r="F336" s="303">
        <f t="shared" si="11"/>
        <v>1800</v>
      </c>
    </row>
    <row r="337" spans="1:6">
      <c r="A337" s="802"/>
      <c r="B337" s="305" t="s">
        <v>677</v>
      </c>
      <c r="C337" s="803" t="s">
        <v>29</v>
      </c>
      <c r="D337" s="804">
        <v>1</v>
      </c>
      <c r="E337" s="1331">
        <v>250</v>
      </c>
      <c r="F337" s="303">
        <f t="shared" si="11"/>
        <v>250</v>
      </c>
    </row>
    <row r="338" spans="1:6">
      <c r="A338" s="802"/>
      <c r="B338" s="783" t="s">
        <v>2279</v>
      </c>
      <c r="C338" s="803" t="s">
        <v>29</v>
      </c>
      <c r="D338" s="804">
        <v>2</v>
      </c>
      <c r="E338" s="1331">
        <v>250</v>
      </c>
      <c r="F338" s="303">
        <f t="shared" si="11"/>
        <v>500</v>
      </c>
    </row>
    <row r="339" spans="1:6">
      <c r="A339" s="802"/>
      <c r="B339" s="783"/>
      <c r="C339" s="803"/>
      <c r="D339" s="804"/>
      <c r="E339" s="345"/>
      <c r="F339" s="303"/>
    </row>
    <row r="340" spans="1:6">
      <c r="A340" s="790"/>
      <c r="B340" s="789" t="s">
        <v>670</v>
      </c>
      <c r="C340" s="790"/>
      <c r="D340" s="805" t="s">
        <v>425</v>
      </c>
      <c r="E340" s="806"/>
      <c r="F340" s="710">
        <f>SUM(F331:F339)</f>
        <v>7750</v>
      </c>
    </row>
  </sheetData>
  <sheetProtection algorithmName="SHA-512" hashValue="WCDmXOYnPvPhPH09mdNPBH6+HU4YOaKB24V4qF9a+rl8z6LEVO8Q6uHyho9TrO7M+z5OglOR8VbBW9dJJmfMqw==" saltValue="ZsP+NsLZgktynL9433gF8A==" spinCount="100000" sheet="1" objects="1" scenarios="1"/>
  <mergeCells count="36">
    <mergeCell ref="B324:C324"/>
    <mergeCell ref="B138:F138"/>
    <mergeCell ref="B153:E153"/>
    <mergeCell ref="B162:E162"/>
    <mergeCell ref="B173:E173"/>
    <mergeCell ref="B179:D179"/>
    <mergeCell ref="B190:C190"/>
    <mergeCell ref="B192:F192"/>
    <mergeCell ref="B196:F196"/>
    <mergeCell ref="B263:E263"/>
    <mergeCell ref="B301:E301"/>
    <mergeCell ref="B304:E304"/>
    <mergeCell ref="A1:B1"/>
    <mergeCell ref="B123:E123"/>
    <mergeCell ref="B35:D35"/>
    <mergeCell ref="C44:D44"/>
    <mergeCell ref="B48:E48"/>
    <mergeCell ref="B50:D50"/>
    <mergeCell ref="B68:E68"/>
    <mergeCell ref="B79:E79"/>
    <mergeCell ref="B89:E89"/>
    <mergeCell ref="B96:C96"/>
    <mergeCell ref="B105:E105"/>
    <mergeCell ref="B107:E107"/>
    <mergeCell ref="B114:F114"/>
    <mergeCell ref="G3:G5"/>
    <mergeCell ref="B29:E29"/>
    <mergeCell ref="A3:A5"/>
    <mergeCell ref="B3:B5"/>
    <mergeCell ref="C3:C5"/>
    <mergeCell ref="D3:D5"/>
    <mergeCell ref="E3:F4"/>
    <mergeCell ref="B7:E7"/>
    <mergeCell ref="B9:E9"/>
    <mergeCell ref="B20:F20"/>
    <mergeCell ref="B26:F26"/>
  </mergeCells>
  <conditionalFormatting sqref="E208">
    <cfRule type="cellIs" dxfId="0" priority="1" stopIfTrue="1" operator="greaterThan">
      <formula>0</formula>
    </cfRule>
  </conditionalFormatting>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rowBreaks count="6" manualBreakCount="6">
    <brk id="34" max="16383" man="1"/>
    <brk id="122" max="16383" man="1"/>
    <brk id="158" max="16383" man="1"/>
    <brk id="189" max="16383" man="1"/>
    <brk id="226" max="16383" man="1"/>
    <brk id="272"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39997558519241921"/>
  </sheetPr>
  <dimension ref="A1:G25"/>
  <sheetViews>
    <sheetView view="pageLayout" zoomScale="80" zoomScaleNormal="115" zoomScaleSheetLayoutView="160" zoomScalePageLayoutView="80" workbookViewId="0">
      <selection activeCell="G18" sqref="G18"/>
    </sheetView>
  </sheetViews>
  <sheetFormatPr defaultColWidth="9.109375" defaultRowHeight="13.2"/>
  <cols>
    <col min="1" max="1" width="6.6640625" style="346" customWidth="1"/>
    <col min="2" max="2" width="7.109375" style="346" customWidth="1"/>
    <col min="3" max="3" width="18.6640625" style="346" customWidth="1"/>
    <col min="4" max="4" width="9.109375" style="346"/>
    <col min="5" max="5" width="8.109375" style="346" customWidth="1"/>
    <col min="6" max="6" width="35.6640625" style="346" customWidth="1"/>
    <col min="7" max="7" width="16.6640625" style="346" customWidth="1"/>
    <col min="8" max="8" width="7.6640625" style="346" customWidth="1"/>
    <col min="9" max="9" width="16.5546875" style="346" customWidth="1"/>
    <col min="10" max="16384" width="9.109375" style="346"/>
  </cols>
  <sheetData>
    <row r="1" spans="1:7" ht="35.1" customHeight="1">
      <c r="B1" s="1575" t="s">
        <v>2267</v>
      </c>
      <c r="C1" s="1575"/>
      <c r="D1" s="1575"/>
      <c r="E1" s="1575"/>
      <c r="F1" s="1575"/>
      <c r="G1" s="807"/>
    </row>
    <row r="2" spans="1:7">
      <c r="B2" s="1565" t="s">
        <v>678</v>
      </c>
      <c r="C2" s="1565"/>
      <c r="D2" s="1565"/>
      <c r="E2" s="1565"/>
      <c r="F2" s="1565"/>
    </row>
    <row r="4" spans="1:7">
      <c r="A4" s="694"/>
      <c r="B4" s="757" t="s">
        <v>680</v>
      </c>
      <c r="E4" s="337"/>
      <c r="G4" s="753"/>
    </row>
    <row r="5" spans="1:7">
      <c r="A5" s="694"/>
      <c r="B5" s="694"/>
      <c r="C5" s="757"/>
      <c r="E5" s="337"/>
      <c r="G5" s="753"/>
    </row>
    <row r="6" spans="1:7">
      <c r="A6" s="808"/>
      <c r="B6" s="808" t="s">
        <v>26</v>
      </c>
      <c r="C6" s="809" t="s">
        <v>415</v>
      </c>
      <c r="D6" s="810"/>
      <c r="E6" s="808"/>
      <c r="F6" s="810"/>
      <c r="G6" s="903">
        <f>'VODOOPSKRBA, ODVODNJA I VATROZA'!F14</f>
        <v>500</v>
      </c>
    </row>
    <row r="7" spans="1:7">
      <c r="A7" s="337"/>
      <c r="E7" s="337"/>
      <c r="G7" s="904"/>
    </row>
    <row r="8" spans="1:7">
      <c r="A8" s="811"/>
      <c r="B8" s="811" t="s">
        <v>426</v>
      </c>
      <c r="C8" s="812" t="s">
        <v>427</v>
      </c>
      <c r="D8" s="813"/>
      <c r="E8" s="811"/>
      <c r="F8" s="813"/>
      <c r="G8" s="903">
        <f>'VODOOPSKRBA, ODVODNJA I VATROZA'!F44</f>
        <v>16650</v>
      </c>
    </row>
    <row r="9" spans="1:7">
      <c r="A9" s="337"/>
      <c r="B9" s="337"/>
      <c r="C9" s="702"/>
      <c r="E9" s="337"/>
      <c r="G9" s="905"/>
    </row>
    <row r="10" spans="1:7">
      <c r="A10" s="808"/>
      <c r="B10" s="811" t="s">
        <v>453</v>
      </c>
      <c r="C10" s="812" t="s">
        <v>5</v>
      </c>
      <c r="D10" s="813"/>
      <c r="E10" s="811"/>
      <c r="F10" s="813"/>
      <c r="G10" s="903">
        <f>'VODOOPSKRBA, ODVODNJA I VATROZA'!F88</f>
        <v>26160</v>
      </c>
    </row>
    <row r="11" spans="1:7">
      <c r="A11" s="337"/>
      <c r="B11" s="337"/>
      <c r="C11" s="702"/>
      <c r="E11" s="337"/>
      <c r="G11" s="905"/>
    </row>
    <row r="12" spans="1:7">
      <c r="A12" s="808"/>
      <c r="B12" s="811" t="s">
        <v>466</v>
      </c>
      <c r="C12" s="812" t="s">
        <v>523</v>
      </c>
      <c r="D12" s="813"/>
      <c r="E12" s="811"/>
      <c r="F12" s="813"/>
      <c r="G12" s="903">
        <f>'VODOOPSKRBA, ODVODNJA I VATROZA'!F100</f>
        <v>3600</v>
      </c>
    </row>
    <row r="13" spans="1:7">
      <c r="A13" s="337"/>
      <c r="B13" s="337"/>
      <c r="C13" s="702"/>
      <c r="E13" s="337"/>
      <c r="G13" s="905"/>
    </row>
    <row r="14" spans="1:7">
      <c r="A14" s="811"/>
      <c r="B14" s="811" t="s">
        <v>470</v>
      </c>
      <c r="C14" s="812" t="s">
        <v>591</v>
      </c>
      <c r="D14" s="813"/>
      <c r="E14" s="811"/>
      <c r="F14" s="813"/>
      <c r="G14" s="903">
        <f>'VODOOPSKRBA, ODVODNJA I VATROZA'!F186</f>
        <v>42130</v>
      </c>
    </row>
    <row r="15" spans="1:7">
      <c r="A15" s="337"/>
      <c r="B15" s="337"/>
      <c r="C15" s="702"/>
      <c r="E15" s="337"/>
      <c r="G15" s="905"/>
    </row>
    <row r="16" spans="1:7">
      <c r="A16" s="811"/>
      <c r="B16" s="811" t="s">
        <v>592</v>
      </c>
      <c r="C16" s="812" t="s">
        <v>679</v>
      </c>
      <c r="D16" s="813"/>
      <c r="E16" s="811"/>
      <c r="F16" s="813"/>
      <c r="G16" s="903">
        <f>'VODOOPSKRBA, ODVODNJA I VATROZA'!F259</f>
        <v>15570</v>
      </c>
    </row>
    <row r="17" spans="1:7">
      <c r="A17" s="337"/>
      <c r="B17" s="337"/>
      <c r="C17" s="702"/>
      <c r="E17" s="337"/>
      <c r="G17" s="905"/>
    </row>
    <row r="18" spans="1:7">
      <c r="A18" s="811"/>
      <c r="B18" s="811" t="s">
        <v>629</v>
      </c>
      <c r="C18" s="812" t="s">
        <v>630</v>
      </c>
      <c r="D18" s="813"/>
      <c r="E18" s="811"/>
      <c r="F18" s="813"/>
      <c r="G18" s="903">
        <f>'VODOOPSKRBA, ODVODNJA I VATROZA'!F324</f>
        <v>20900</v>
      </c>
    </row>
    <row r="19" spans="1:7">
      <c r="A19" s="337"/>
      <c r="B19" s="337"/>
      <c r="C19" s="702"/>
      <c r="E19" s="337"/>
      <c r="G19" s="905"/>
    </row>
    <row r="20" spans="1:7">
      <c r="A20" s="811"/>
      <c r="B20" s="811" t="s">
        <v>669</v>
      </c>
      <c r="C20" s="812" t="s">
        <v>670</v>
      </c>
      <c r="D20" s="813"/>
      <c r="E20" s="811"/>
      <c r="F20" s="813"/>
      <c r="G20" s="903">
        <f>'VODOOPSKRBA, ODVODNJA I VATROZA'!F340</f>
        <v>7750</v>
      </c>
    </row>
    <row r="21" spans="1:7">
      <c r="A21" s="337"/>
      <c r="B21" s="337"/>
      <c r="C21" s="702"/>
      <c r="E21" s="337"/>
      <c r="G21" s="905"/>
    </row>
    <row r="22" spans="1:7">
      <c r="A22" s="811"/>
      <c r="B22" s="811"/>
      <c r="C22" s="814" t="s">
        <v>425</v>
      </c>
      <c r="D22" s="813"/>
      <c r="E22" s="811"/>
      <c r="F22" s="813"/>
      <c r="G22" s="906">
        <f>SUM(G6:G21)</f>
        <v>133260</v>
      </c>
    </row>
    <row r="23" spans="1:7">
      <c r="A23" s="692"/>
      <c r="B23" s="692"/>
      <c r="C23" s="815"/>
      <c r="D23" s="690"/>
      <c r="E23" s="691"/>
      <c r="F23" s="690"/>
      <c r="G23" s="907"/>
    </row>
    <row r="24" spans="1:7">
      <c r="A24" s="692"/>
      <c r="B24" s="692"/>
      <c r="C24" s="815"/>
      <c r="D24" s="690"/>
      <c r="E24" s="691"/>
      <c r="F24" s="690"/>
      <c r="G24" s="690"/>
    </row>
    <row r="25" spans="1:7">
      <c r="A25" s="816"/>
      <c r="B25" s="817"/>
      <c r="C25" s="818"/>
      <c r="D25" s="819"/>
      <c r="E25" s="820"/>
      <c r="F25" s="819"/>
      <c r="G25" s="821"/>
    </row>
  </sheetData>
  <sheetProtection algorithmName="SHA-512" hashValue="vdQi4QUBcCxgNJyjWgCn5rvZERS6pC+g1ESEs7eRLwADNQvEVgXNlQ0/k78/KXhbdo/ytcCiHnbsEL7R+JfHQQ==" saltValue="zEVT9C92hLXkNtrOb9LHRA==" spinCount="100000" sheet="1" objects="1" scenarios="1"/>
  <mergeCells count="2">
    <mergeCell ref="B2:F2"/>
    <mergeCell ref="B1:F1"/>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H375"/>
  <sheetViews>
    <sheetView view="pageBreakPreview" topLeftCell="A219" zoomScale="85" zoomScaleNormal="55" zoomScaleSheetLayoutView="85" workbookViewId="0">
      <selection activeCell="E235" sqref="E235"/>
    </sheetView>
  </sheetViews>
  <sheetFormatPr defaultColWidth="9.109375" defaultRowHeight="13.2"/>
  <cols>
    <col min="1" max="1" width="9.6640625" style="486" customWidth="1"/>
    <col min="2" max="2" width="40.6640625" style="363" customWidth="1"/>
    <col min="3" max="4" width="8.6640625" style="484" customWidth="1"/>
    <col min="5" max="5" width="13.88671875" style="1214" bestFit="1" customWidth="1"/>
    <col min="6" max="6" width="12.88671875" style="533" bestFit="1" customWidth="1"/>
    <col min="7" max="7" width="46.6640625" style="346" customWidth="1"/>
    <col min="8" max="8" width="10.6640625" style="346" bestFit="1" customWidth="1"/>
    <col min="9" max="16384" width="9.109375" style="346"/>
  </cols>
  <sheetData>
    <row r="1" spans="1:7" s="254" customFormat="1" ht="45" customHeight="1">
      <c r="A1" s="1578" t="s">
        <v>2047</v>
      </c>
      <c r="B1" s="1578"/>
      <c r="C1" s="1578"/>
      <c r="D1" s="1578"/>
      <c r="E1" s="1578"/>
      <c r="F1" s="1578"/>
    </row>
    <row r="2" spans="1:7" s="254" customFormat="1" ht="12.6" customHeight="1" thickBot="1">
      <c r="A2" s="822"/>
      <c r="B2" s="822"/>
      <c r="C2" s="822"/>
      <c r="D2" s="822"/>
      <c r="E2" s="1202"/>
      <c r="F2" s="822"/>
    </row>
    <row r="3" spans="1:7" ht="27" thickBot="1">
      <c r="A3" s="355" t="s">
        <v>1790</v>
      </c>
      <c r="B3" s="356" t="s">
        <v>1791</v>
      </c>
      <c r="C3" s="356" t="s">
        <v>1792</v>
      </c>
      <c r="D3" s="356" t="s">
        <v>1793</v>
      </c>
      <c r="E3" s="1203" t="s">
        <v>2254</v>
      </c>
      <c r="F3" s="357" t="s">
        <v>1795</v>
      </c>
      <c r="G3" s="1189" t="s">
        <v>2523</v>
      </c>
    </row>
    <row r="4" spans="1:7" ht="14.4" thickTop="1" thickBot="1">
      <c r="A4" s="481">
        <v>1</v>
      </c>
      <c r="B4" s="482">
        <v>2</v>
      </c>
      <c r="C4" s="482">
        <v>3</v>
      </c>
      <c r="D4" s="482">
        <v>4</v>
      </c>
      <c r="E4" s="483">
        <v>5</v>
      </c>
      <c r="F4" s="483">
        <v>6</v>
      </c>
    </row>
    <row r="5" spans="1:7">
      <c r="A5" s="362"/>
      <c r="E5" s="1204"/>
      <c r="F5" s="485"/>
    </row>
    <row r="6" spans="1:7">
      <c r="A6" s="362"/>
      <c r="B6" s="534"/>
      <c r="E6" s="1204"/>
      <c r="F6" s="485"/>
    </row>
    <row r="7" spans="1:7">
      <c r="A7" s="535" t="s">
        <v>416</v>
      </c>
      <c r="B7" s="536" t="s">
        <v>1643</v>
      </c>
      <c r="C7" s="490"/>
      <c r="D7" s="490"/>
      <c r="E7" s="1205"/>
      <c r="F7" s="491"/>
    </row>
    <row r="8" spans="1:7">
      <c r="C8" s="364"/>
      <c r="D8" s="364"/>
      <c r="E8" s="1204"/>
      <c r="F8" s="485"/>
    </row>
    <row r="9" spans="1:7" ht="28.5" customHeight="1">
      <c r="A9" s="487"/>
      <c r="B9" s="1579" t="s">
        <v>1644</v>
      </c>
      <c r="C9" s="1579"/>
      <c r="D9" s="1579"/>
      <c r="E9" s="1579"/>
      <c r="F9" s="1579"/>
    </row>
    <row r="10" spans="1:7">
      <c r="A10" s="488"/>
      <c r="B10" s="1579" t="s">
        <v>1645</v>
      </c>
      <c r="C10" s="1579"/>
      <c r="D10" s="1579"/>
      <c r="E10" s="1579"/>
      <c r="F10" s="489"/>
    </row>
    <row r="11" spans="1:7" ht="29.25" customHeight="1">
      <c r="A11" s="488"/>
      <c r="B11" s="1580" t="s">
        <v>1646</v>
      </c>
      <c r="C11" s="1580"/>
      <c r="D11" s="1580"/>
      <c r="E11" s="1580"/>
      <c r="F11" s="1580"/>
    </row>
    <row r="12" spans="1:7">
      <c r="C12" s="364"/>
      <c r="D12" s="364"/>
      <c r="E12" s="1204"/>
      <c r="F12" s="485"/>
    </row>
    <row r="13" spans="1:7" ht="26.4">
      <c r="A13" s="535" t="s">
        <v>1647</v>
      </c>
      <c r="B13" s="536" t="s">
        <v>1648</v>
      </c>
      <c r="C13" s="490"/>
      <c r="D13" s="490"/>
      <c r="E13" s="1205"/>
      <c r="F13" s="491"/>
    </row>
    <row r="14" spans="1:7">
      <c r="A14" s="362"/>
      <c r="B14" s="534"/>
      <c r="E14" s="1204"/>
      <c r="F14" s="485"/>
    </row>
    <row r="15" spans="1:7">
      <c r="A15" s="362" t="s">
        <v>1649</v>
      </c>
      <c r="B15" s="492"/>
      <c r="C15" s="337"/>
      <c r="D15" s="337"/>
      <c r="E15" s="750"/>
      <c r="F15" s="346"/>
    </row>
    <row r="16" spans="1:7" s="352" customFormat="1" ht="66">
      <c r="A16" s="493"/>
      <c r="B16" s="494" t="s">
        <v>1650</v>
      </c>
      <c r="E16" s="1206"/>
    </row>
    <row r="17" spans="1:5" s="352" customFormat="1" ht="92.4">
      <c r="B17" s="494" t="s">
        <v>1651</v>
      </c>
      <c r="E17" s="1206"/>
    </row>
    <row r="18" spans="1:5" s="352" customFormat="1" ht="52.8">
      <c r="B18" s="494" t="s">
        <v>1652</v>
      </c>
      <c r="E18" s="1206"/>
    </row>
    <row r="19" spans="1:5" s="352" customFormat="1" ht="66">
      <c r="B19" s="494" t="s">
        <v>1653</v>
      </c>
      <c r="E19" s="1206"/>
    </row>
    <row r="20" spans="1:5" s="352" customFormat="1" ht="79.2">
      <c r="B20" s="494" t="s">
        <v>1654</v>
      </c>
      <c r="E20" s="1206"/>
    </row>
    <row r="21" spans="1:5" s="352" customFormat="1" ht="118.8">
      <c r="B21" s="494" t="s">
        <v>1655</v>
      </c>
      <c r="E21" s="1206"/>
    </row>
    <row r="22" spans="1:5" s="352" customFormat="1" ht="92.4">
      <c r="B22" s="494" t="s">
        <v>1656</v>
      </c>
      <c r="E22" s="1206"/>
    </row>
    <row r="23" spans="1:5" s="352" customFormat="1" ht="79.2">
      <c r="B23" s="494" t="s">
        <v>1657</v>
      </c>
      <c r="E23" s="1206"/>
    </row>
    <row r="24" spans="1:5" s="352" customFormat="1" ht="39.6">
      <c r="B24" s="494" t="s">
        <v>1658</v>
      </c>
      <c r="E24" s="1206"/>
    </row>
    <row r="25" spans="1:5" s="352" customFormat="1" ht="52.8">
      <c r="B25" s="494" t="s">
        <v>1659</v>
      </c>
      <c r="E25" s="1206"/>
    </row>
    <row r="26" spans="1:5" s="352" customFormat="1" ht="52.8">
      <c r="B26" s="494" t="s">
        <v>1660</v>
      </c>
      <c r="E26" s="1206"/>
    </row>
    <row r="27" spans="1:5" s="352" customFormat="1" ht="52.8">
      <c r="B27" s="494" t="s">
        <v>1661</v>
      </c>
      <c r="E27" s="1206"/>
    </row>
    <row r="28" spans="1:5" s="352" customFormat="1">
      <c r="A28" s="352" t="s">
        <v>1429</v>
      </c>
      <c r="E28" s="1206"/>
    </row>
    <row r="29" spans="1:5" s="352" customFormat="1">
      <c r="A29" s="493"/>
      <c r="B29" s="304" t="s">
        <v>1662</v>
      </c>
      <c r="E29" s="1206"/>
    </row>
    <row r="30" spans="1:5" s="352" customFormat="1" ht="66">
      <c r="A30" s="493"/>
      <c r="B30" s="494" t="s">
        <v>1663</v>
      </c>
      <c r="E30" s="1206"/>
    </row>
    <row r="31" spans="1:5" s="352" customFormat="1">
      <c r="A31" s="493"/>
      <c r="B31" s="494" t="s">
        <v>1664</v>
      </c>
      <c r="E31" s="1206"/>
    </row>
    <row r="32" spans="1:5" s="352" customFormat="1">
      <c r="A32" s="493"/>
      <c r="B32" s="494" t="s">
        <v>1665</v>
      </c>
      <c r="E32" s="1206"/>
    </row>
    <row r="33" spans="1:6" s="352" customFormat="1">
      <c r="A33" s="493"/>
      <c r="B33" s="494" t="s">
        <v>1666</v>
      </c>
      <c r="E33" s="1206"/>
    </row>
    <row r="34" spans="1:6" s="352" customFormat="1">
      <c r="A34" s="493"/>
      <c r="B34" s="494" t="s">
        <v>1667</v>
      </c>
      <c r="E34" s="1206"/>
    </row>
    <row r="35" spans="1:6" s="352" customFormat="1" ht="52.8">
      <c r="A35" s="493"/>
      <c r="B35" s="494" t="s">
        <v>1668</v>
      </c>
      <c r="E35" s="1206"/>
    </row>
    <row r="36" spans="1:6" s="352" customFormat="1">
      <c r="A36" s="493"/>
      <c r="B36" s="494" t="s">
        <v>1669</v>
      </c>
      <c r="E36" s="1206"/>
    </row>
    <row r="37" spans="1:6" s="352" customFormat="1">
      <c r="A37" s="493"/>
      <c r="B37" s="494" t="s">
        <v>1670</v>
      </c>
      <c r="E37" s="1206"/>
    </row>
    <row r="38" spans="1:6" s="352" customFormat="1">
      <c r="A38" s="493"/>
      <c r="B38" s="494" t="s">
        <v>1671</v>
      </c>
      <c r="E38" s="1206"/>
    </row>
    <row r="39" spans="1:6" s="352" customFormat="1">
      <c r="A39" s="493"/>
      <c r="B39" s="494" t="s">
        <v>1672</v>
      </c>
      <c r="E39" s="1206"/>
    </row>
    <row r="40" spans="1:6" s="352" customFormat="1">
      <c r="A40" s="493"/>
      <c r="B40" s="494" t="s">
        <v>1673</v>
      </c>
      <c r="E40" s="1206"/>
    </row>
    <row r="41" spans="1:6" s="352" customFormat="1">
      <c r="A41" s="493"/>
      <c r="B41" s="494" t="s">
        <v>1674</v>
      </c>
      <c r="E41" s="1206"/>
    </row>
    <row r="42" spans="1:6" s="352" customFormat="1">
      <c r="A42" s="493"/>
      <c r="B42" s="494" t="s">
        <v>1675</v>
      </c>
      <c r="C42" s="348" t="s">
        <v>29</v>
      </c>
      <c r="D42" s="344">
        <v>1</v>
      </c>
      <c r="E42" s="1336">
        <v>17000</v>
      </c>
      <c r="F42" s="908">
        <f>D42*E42</f>
        <v>17000</v>
      </c>
    </row>
    <row r="43" spans="1:6" s="352" customFormat="1">
      <c r="A43" s="344" t="s">
        <v>1429</v>
      </c>
      <c r="C43" s="344"/>
      <c r="D43" s="344"/>
      <c r="E43" s="1206"/>
      <c r="F43" s="909"/>
    </row>
    <row r="44" spans="1:6" s="352" customFormat="1">
      <c r="A44" s="362" t="s">
        <v>1676</v>
      </c>
      <c r="B44" s="492" t="s">
        <v>1677</v>
      </c>
      <c r="C44" s="344"/>
      <c r="D44" s="344"/>
      <c r="E44" s="1206"/>
      <c r="F44" s="909"/>
    </row>
    <row r="45" spans="1:6" s="352" customFormat="1">
      <c r="A45" s="496"/>
      <c r="B45" s="492"/>
      <c r="C45" s="344"/>
      <c r="D45" s="344"/>
      <c r="E45" s="1206"/>
      <c r="F45" s="909"/>
    </row>
    <row r="46" spans="1:6" s="352" customFormat="1" ht="118.8">
      <c r="A46" s="497"/>
      <c r="B46" s="494" t="s">
        <v>1678</v>
      </c>
      <c r="C46" s="344"/>
      <c r="D46" s="344"/>
      <c r="E46" s="1206"/>
      <c r="F46" s="909"/>
    </row>
    <row r="47" spans="1:6" s="352" customFormat="1">
      <c r="A47" s="344" t="s">
        <v>1429</v>
      </c>
      <c r="C47" s="344"/>
      <c r="D47" s="344"/>
      <c r="E47" s="1206"/>
      <c r="F47" s="909"/>
    </row>
    <row r="48" spans="1:6" s="352" customFormat="1">
      <c r="A48" s="497">
        <v>1</v>
      </c>
      <c r="B48" s="304" t="s">
        <v>1662</v>
      </c>
      <c r="E48" s="1206"/>
      <c r="F48" s="909"/>
    </row>
    <row r="49" spans="1:6" s="352" customFormat="1">
      <c r="A49" s="493"/>
      <c r="B49" s="494" t="s">
        <v>1679</v>
      </c>
      <c r="E49" s="1206"/>
      <c r="F49" s="909"/>
    </row>
    <row r="50" spans="1:6" s="352" customFormat="1">
      <c r="A50" s="493"/>
      <c r="B50" s="494" t="s">
        <v>1680</v>
      </c>
      <c r="E50" s="1206"/>
      <c r="F50" s="909"/>
    </row>
    <row r="51" spans="1:6" s="352" customFormat="1">
      <c r="A51" s="493"/>
      <c r="B51" s="494" t="s">
        <v>1681</v>
      </c>
      <c r="E51" s="1206"/>
      <c r="F51" s="909"/>
    </row>
    <row r="52" spans="1:6" s="352" customFormat="1">
      <c r="A52" s="493"/>
      <c r="B52" s="494" t="s">
        <v>1682</v>
      </c>
      <c r="E52" s="1206"/>
      <c r="F52" s="909"/>
    </row>
    <row r="53" spans="1:6" s="352" customFormat="1">
      <c r="A53" s="493"/>
      <c r="B53" s="494" t="s">
        <v>1683</v>
      </c>
      <c r="E53" s="1206"/>
      <c r="F53" s="909"/>
    </row>
    <row r="54" spans="1:6" s="352" customFormat="1">
      <c r="A54" s="493"/>
      <c r="B54" s="494" t="s">
        <v>1684</v>
      </c>
      <c r="E54" s="1206"/>
      <c r="F54" s="909"/>
    </row>
    <row r="55" spans="1:6" s="352" customFormat="1">
      <c r="A55" s="493"/>
      <c r="B55" s="494" t="s">
        <v>1685</v>
      </c>
      <c r="E55" s="1206"/>
      <c r="F55" s="909"/>
    </row>
    <row r="56" spans="1:6" s="352" customFormat="1">
      <c r="A56" s="493"/>
      <c r="B56" s="494" t="s">
        <v>1686</v>
      </c>
      <c r="E56" s="1206"/>
      <c r="F56" s="909"/>
    </row>
    <row r="57" spans="1:6" s="352" customFormat="1">
      <c r="A57" s="493"/>
      <c r="B57" s="494" t="s">
        <v>1687</v>
      </c>
      <c r="E57" s="1206"/>
      <c r="F57" s="909"/>
    </row>
    <row r="58" spans="1:6" s="352" customFormat="1">
      <c r="A58" s="493"/>
      <c r="B58" s="494"/>
      <c r="E58" s="1206"/>
      <c r="F58" s="909"/>
    </row>
    <row r="59" spans="1:6" s="352" customFormat="1">
      <c r="A59" s="493"/>
      <c r="B59" s="494" t="s">
        <v>1689</v>
      </c>
      <c r="E59" s="1206"/>
      <c r="F59" s="909"/>
    </row>
    <row r="60" spans="1:6" s="352" customFormat="1">
      <c r="A60" s="493"/>
      <c r="B60" s="494" t="s">
        <v>1690</v>
      </c>
      <c r="E60" s="1206"/>
      <c r="F60" s="909"/>
    </row>
    <row r="61" spans="1:6" s="352" customFormat="1">
      <c r="A61" s="493"/>
      <c r="B61" s="494" t="s">
        <v>1691</v>
      </c>
      <c r="E61" s="1206"/>
      <c r="F61" s="909"/>
    </row>
    <row r="62" spans="1:6" s="352" customFormat="1">
      <c r="A62" s="493"/>
      <c r="B62" s="494" t="s">
        <v>1692</v>
      </c>
      <c r="C62" s="336" t="s">
        <v>29</v>
      </c>
      <c r="D62" s="336">
        <v>11</v>
      </c>
      <c r="E62" s="1336">
        <v>500</v>
      </c>
      <c r="F62" s="908">
        <f>D62*E62</f>
        <v>5500</v>
      </c>
    </row>
    <row r="63" spans="1:6" s="352" customFormat="1">
      <c r="A63" s="344" t="s">
        <v>1429</v>
      </c>
      <c r="C63" s="344"/>
      <c r="D63" s="344"/>
      <c r="E63" s="1206"/>
      <c r="F63" s="909"/>
    </row>
    <row r="64" spans="1:6" s="352" customFormat="1">
      <c r="A64" s="497">
        <v>2</v>
      </c>
      <c r="B64" s="304" t="s">
        <v>1662</v>
      </c>
      <c r="C64" s="344"/>
      <c r="D64" s="344"/>
      <c r="E64" s="1206"/>
      <c r="F64" s="909"/>
    </row>
    <row r="65" spans="1:6" s="352" customFormat="1">
      <c r="A65" s="493"/>
      <c r="B65" s="494" t="s">
        <v>1679</v>
      </c>
      <c r="E65" s="1206"/>
      <c r="F65" s="909"/>
    </row>
    <row r="66" spans="1:6" s="352" customFormat="1">
      <c r="A66" s="493"/>
      <c r="B66" s="494" t="s">
        <v>1693</v>
      </c>
      <c r="E66" s="1206"/>
      <c r="F66" s="909"/>
    </row>
    <row r="67" spans="1:6" s="352" customFormat="1">
      <c r="A67" s="493"/>
      <c r="B67" s="494" t="s">
        <v>1694</v>
      </c>
      <c r="E67" s="1206"/>
      <c r="F67" s="909"/>
    </row>
    <row r="68" spans="1:6" s="352" customFormat="1">
      <c r="A68" s="493"/>
      <c r="B68" s="494" t="s">
        <v>1682</v>
      </c>
      <c r="E68" s="1206"/>
      <c r="F68" s="909"/>
    </row>
    <row r="69" spans="1:6" s="352" customFormat="1">
      <c r="A69" s="493"/>
      <c r="B69" s="494" t="s">
        <v>1683</v>
      </c>
      <c r="E69" s="1206"/>
      <c r="F69" s="909"/>
    </row>
    <row r="70" spans="1:6" s="352" customFormat="1">
      <c r="A70" s="493"/>
      <c r="B70" s="494" t="s">
        <v>1684</v>
      </c>
      <c r="E70" s="1206"/>
      <c r="F70" s="909"/>
    </row>
    <row r="71" spans="1:6" s="352" customFormat="1">
      <c r="A71" s="493"/>
      <c r="B71" s="494" t="s">
        <v>1685</v>
      </c>
      <c r="E71" s="1206"/>
      <c r="F71" s="909"/>
    </row>
    <row r="72" spans="1:6" s="352" customFormat="1">
      <c r="A72" s="493"/>
      <c r="B72" s="494" t="s">
        <v>1686</v>
      </c>
      <c r="E72" s="1206"/>
      <c r="F72" s="909"/>
    </row>
    <row r="73" spans="1:6" s="352" customFormat="1">
      <c r="A73" s="493"/>
      <c r="B73" s="494" t="s">
        <v>1687</v>
      </c>
      <c r="E73" s="1206"/>
      <c r="F73" s="909"/>
    </row>
    <row r="74" spans="1:6" s="352" customFormat="1">
      <c r="A74" s="493"/>
      <c r="B74" s="494" t="s">
        <v>1688</v>
      </c>
      <c r="E74" s="1206"/>
      <c r="F74" s="909"/>
    </row>
    <row r="75" spans="1:6" s="352" customFormat="1">
      <c r="A75" s="493"/>
      <c r="B75" s="494" t="s">
        <v>1689</v>
      </c>
      <c r="E75" s="1206"/>
      <c r="F75" s="909"/>
    </row>
    <row r="76" spans="1:6" s="352" customFormat="1">
      <c r="A76" s="493"/>
      <c r="B76" s="494" t="s">
        <v>1690</v>
      </c>
      <c r="E76" s="1206"/>
      <c r="F76" s="909"/>
    </row>
    <row r="77" spans="1:6" s="352" customFormat="1">
      <c r="A77" s="493"/>
      <c r="B77" s="494" t="s">
        <v>1691</v>
      </c>
      <c r="E77" s="1206"/>
      <c r="F77" s="909"/>
    </row>
    <row r="78" spans="1:6" s="352" customFormat="1">
      <c r="A78" s="493"/>
      <c r="B78" s="494" t="s">
        <v>1692</v>
      </c>
      <c r="C78" s="348" t="s">
        <v>29</v>
      </c>
      <c r="D78" s="344">
        <v>1</v>
      </c>
      <c r="E78" s="1336">
        <v>550</v>
      </c>
      <c r="F78" s="908">
        <f>D78*E78</f>
        <v>550</v>
      </c>
    </row>
    <row r="79" spans="1:6" s="352" customFormat="1">
      <c r="A79" s="344" t="s">
        <v>1429</v>
      </c>
      <c r="C79" s="344"/>
      <c r="D79" s="344"/>
      <c r="E79" s="1206"/>
      <c r="F79" s="909"/>
    </row>
    <row r="80" spans="1:6" s="352" customFormat="1">
      <c r="A80" s="344" t="s">
        <v>1429</v>
      </c>
      <c r="C80" s="344"/>
      <c r="D80" s="344"/>
      <c r="E80" s="1206"/>
      <c r="F80" s="909"/>
    </row>
    <row r="81" spans="1:6" s="352" customFormat="1">
      <c r="A81" s="362" t="s">
        <v>1695</v>
      </c>
      <c r="B81" s="492" t="s">
        <v>1696</v>
      </c>
      <c r="C81" s="344"/>
      <c r="D81" s="344"/>
      <c r="E81" s="1206"/>
      <c r="F81" s="909"/>
    </row>
    <row r="82" spans="1:6" s="352" customFormat="1">
      <c r="A82" s="496"/>
      <c r="B82" s="492"/>
      <c r="C82" s="344"/>
      <c r="D82" s="344"/>
      <c r="E82" s="1206"/>
      <c r="F82" s="909"/>
    </row>
    <row r="83" spans="1:6" s="352" customFormat="1">
      <c r="A83" s="497"/>
      <c r="B83" s="494" t="s">
        <v>1697</v>
      </c>
      <c r="C83" s="344"/>
      <c r="D83" s="344"/>
      <c r="E83" s="1206"/>
      <c r="F83" s="909"/>
    </row>
    <row r="84" spans="1:6" s="352" customFormat="1">
      <c r="A84" s="344" t="s">
        <v>1429</v>
      </c>
      <c r="C84" s="344"/>
      <c r="D84" s="344"/>
      <c r="E84" s="1206"/>
      <c r="F84" s="909"/>
    </row>
    <row r="85" spans="1:6" s="352" customFormat="1" ht="132">
      <c r="A85" s="497"/>
      <c r="B85" s="494" t="s">
        <v>1698</v>
      </c>
      <c r="C85" s="344" t="s">
        <v>29</v>
      </c>
      <c r="D85" s="344">
        <v>12</v>
      </c>
      <c r="E85" s="1336">
        <v>150</v>
      </c>
      <c r="F85" s="908">
        <f>D85*E85</f>
        <v>1800</v>
      </c>
    </row>
    <row r="86" spans="1:6" s="352" customFormat="1">
      <c r="A86" s="344" t="s">
        <v>1429</v>
      </c>
      <c r="C86" s="344"/>
      <c r="D86" s="344"/>
      <c r="E86" s="1206"/>
      <c r="F86" s="909"/>
    </row>
    <row r="87" spans="1:6" s="352" customFormat="1">
      <c r="A87" s="362" t="s">
        <v>1699</v>
      </c>
      <c r="B87" s="492" t="s">
        <v>1700</v>
      </c>
      <c r="C87" s="344"/>
      <c r="D87" s="344"/>
      <c r="E87" s="1206"/>
      <c r="F87" s="909"/>
    </row>
    <row r="88" spans="1:6" s="352" customFormat="1">
      <c r="A88" s="496"/>
      <c r="B88" s="492"/>
      <c r="C88" s="344"/>
      <c r="D88" s="344"/>
      <c r="E88" s="1206"/>
      <c r="F88" s="909"/>
    </row>
    <row r="89" spans="1:6" s="352" customFormat="1" ht="52.8">
      <c r="A89" s="498"/>
      <c r="B89" s="494" t="s">
        <v>1701</v>
      </c>
      <c r="C89" s="344"/>
      <c r="D89" s="344"/>
      <c r="E89" s="1206"/>
      <c r="F89" s="909"/>
    </row>
    <row r="90" spans="1:6" s="352" customFormat="1">
      <c r="A90" s="344"/>
      <c r="B90" s="494" t="s">
        <v>1702</v>
      </c>
      <c r="C90" s="344"/>
      <c r="D90" s="344"/>
      <c r="E90" s="1206"/>
      <c r="F90" s="909"/>
    </row>
    <row r="91" spans="1:6" s="352" customFormat="1">
      <c r="A91" s="344" t="s">
        <v>1429</v>
      </c>
      <c r="C91" s="344"/>
      <c r="D91" s="344"/>
      <c r="E91" s="1206"/>
      <c r="F91" s="909"/>
    </row>
    <row r="92" spans="1:6" s="352" customFormat="1">
      <c r="A92" s="497">
        <v>1</v>
      </c>
      <c r="B92" s="304"/>
      <c r="C92" s="344"/>
      <c r="D92" s="344"/>
      <c r="E92" s="1206"/>
      <c r="F92" s="909"/>
    </row>
    <row r="93" spans="1:6" s="352" customFormat="1">
      <c r="A93" s="497"/>
      <c r="B93" s="494" t="s">
        <v>1703</v>
      </c>
      <c r="C93" s="344" t="s">
        <v>29</v>
      </c>
      <c r="D93" s="344">
        <v>10</v>
      </c>
      <c r="E93" s="1336">
        <v>150</v>
      </c>
      <c r="F93" s="908">
        <f>D93*E93</f>
        <v>1500</v>
      </c>
    </row>
    <row r="94" spans="1:6" s="352" customFormat="1">
      <c r="A94" s="344" t="s">
        <v>1429</v>
      </c>
      <c r="C94" s="344"/>
      <c r="D94" s="344"/>
      <c r="E94" s="1206"/>
      <c r="F94" s="909"/>
    </row>
    <row r="95" spans="1:6" s="352" customFormat="1">
      <c r="A95" s="497">
        <v>2</v>
      </c>
      <c r="B95" s="304"/>
      <c r="C95" s="344"/>
      <c r="D95" s="344"/>
      <c r="E95" s="1206"/>
      <c r="F95" s="909"/>
    </row>
    <row r="96" spans="1:6" s="352" customFormat="1">
      <c r="A96" s="497"/>
      <c r="B96" s="494" t="s">
        <v>1704</v>
      </c>
      <c r="C96" s="344" t="s">
        <v>29</v>
      </c>
      <c r="D96" s="344">
        <v>1</v>
      </c>
      <c r="E96" s="1336">
        <v>200</v>
      </c>
      <c r="F96" s="908">
        <f>D96*E96</f>
        <v>200</v>
      </c>
    </row>
    <row r="97" spans="1:6" s="352" customFormat="1">
      <c r="A97" s="497"/>
      <c r="B97" s="494"/>
      <c r="C97" s="344"/>
      <c r="D97" s="344"/>
      <c r="E97" s="1206"/>
      <c r="F97" s="909"/>
    </row>
    <row r="98" spans="1:6" s="352" customFormat="1">
      <c r="A98" s="362" t="s">
        <v>1705</v>
      </c>
      <c r="B98" s="494" t="s">
        <v>1706</v>
      </c>
      <c r="C98" s="344"/>
      <c r="D98" s="344"/>
      <c r="E98" s="1206"/>
      <c r="F98" s="909"/>
    </row>
    <row r="99" spans="1:6" s="352" customFormat="1">
      <c r="A99" s="344" t="s">
        <v>1429</v>
      </c>
      <c r="C99" s="344"/>
      <c r="D99" s="344"/>
      <c r="E99" s="1206"/>
      <c r="F99" s="909"/>
    </row>
    <row r="100" spans="1:6" s="352" customFormat="1">
      <c r="A100" s="497"/>
      <c r="B100" s="304" t="s">
        <v>1707</v>
      </c>
      <c r="C100" s="344"/>
      <c r="D100" s="344"/>
      <c r="E100" s="1206"/>
      <c r="F100" s="909"/>
    </row>
    <row r="101" spans="1:6" s="352" customFormat="1" ht="66">
      <c r="A101" s="497"/>
      <c r="B101" s="494" t="s">
        <v>1708</v>
      </c>
      <c r="C101" s="344" t="s">
        <v>29</v>
      </c>
      <c r="D101" s="344">
        <v>1</v>
      </c>
      <c r="E101" s="1336">
        <v>500</v>
      </c>
      <c r="F101" s="908">
        <f>D101*E101</f>
        <v>500</v>
      </c>
    </row>
    <row r="102" spans="1:6" s="352" customFormat="1">
      <c r="A102" s="497"/>
      <c r="B102" s="494"/>
      <c r="C102" s="344"/>
      <c r="D102" s="344"/>
      <c r="E102" s="1206"/>
      <c r="F102" s="909"/>
    </row>
    <row r="103" spans="1:6" ht="15" customHeight="1">
      <c r="A103" s="499" t="s">
        <v>1709</v>
      </c>
      <c r="B103" s="500"/>
      <c r="C103" s="501"/>
      <c r="D103" s="435"/>
      <c r="E103" s="1208"/>
      <c r="F103" s="910"/>
    </row>
    <row r="104" spans="1:6" ht="224.4">
      <c r="A104" s="501"/>
      <c r="B104" s="502" t="s">
        <v>1710</v>
      </c>
      <c r="C104" s="501"/>
      <c r="D104" s="435"/>
      <c r="E104" s="1208"/>
      <c r="F104" s="910"/>
    </row>
    <row r="105" spans="1:6">
      <c r="A105" s="337" t="s">
        <v>1429</v>
      </c>
      <c r="B105" s="346"/>
      <c r="C105" s="337"/>
      <c r="D105" s="337"/>
      <c r="E105" s="750"/>
      <c r="F105" s="904"/>
    </row>
    <row r="106" spans="1:6">
      <c r="A106" s="465"/>
      <c r="B106" s="305" t="s">
        <v>1711</v>
      </c>
      <c r="C106" s="337" t="s">
        <v>692</v>
      </c>
      <c r="D106" s="337">
        <v>100</v>
      </c>
      <c r="E106" s="1336">
        <v>15</v>
      </c>
      <c r="F106" s="908">
        <f>D106*E106</f>
        <v>1500</v>
      </c>
    </row>
    <row r="107" spans="1:6">
      <c r="A107" s="465"/>
      <c r="B107" s="305" t="s">
        <v>1712</v>
      </c>
      <c r="C107" s="337" t="s">
        <v>692</v>
      </c>
      <c r="D107" s="337">
        <v>80</v>
      </c>
      <c r="E107" s="1332">
        <v>20</v>
      </c>
      <c r="F107" s="908">
        <f t="shared" ref="F107:F111" si="0">D107*E107</f>
        <v>1600</v>
      </c>
    </row>
    <row r="108" spans="1:6">
      <c r="A108" s="465"/>
      <c r="B108" s="305" t="s">
        <v>1713</v>
      </c>
      <c r="C108" s="337" t="s">
        <v>692</v>
      </c>
      <c r="D108" s="337">
        <v>150</v>
      </c>
      <c r="E108" s="1332">
        <v>25</v>
      </c>
      <c r="F108" s="908">
        <f t="shared" si="0"/>
        <v>3750</v>
      </c>
    </row>
    <row r="109" spans="1:6">
      <c r="A109" s="465"/>
      <c r="B109" s="305" t="s">
        <v>1714</v>
      </c>
      <c r="C109" s="337" t="s">
        <v>692</v>
      </c>
      <c r="D109" s="337">
        <v>70</v>
      </c>
      <c r="E109" s="1332">
        <v>30</v>
      </c>
      <c r="F109" s="908">
        <f t="shared" si="0"/>
        <v>2100</v>
      </c>
    </row>
    <row r="110" spans="1:6">
      <c r="A110" s="465"/>
      <c r="B110" s="305" t="s">
        <v>1715</v>
      </c>
      <c r="C110" s="337" t="s">
        <v>692</v>
      </c>
      <c r="D110" s="337">
        <v>50</v>
      </c>
      <c r="E110" s="1332">
        <v>35</v>
      </c>
      <c r="F110" s="908">
        <f t="shared" si="0"/>
        <v>1750</v>
      </c>
    </row>
    <row r="111" spans="1:6">
      <c r="A111" s="465"/>
      <c r="B111" s="305" t="s">
        <v>1716</v>
      </c>
      <c r="C111" s="337" t="s">
        <v>692</v>
      </c>
      <c r="D111" s="337">
        <v>40</v>
      </c>
      <c r="E111" s="1332">
        <v>40</v>
      </c>
      <c r="F111" s="908">
        <f t="shared" si="0"/>
        <v>1600</v>
      </c>
    </row>
    <row r="112" spans="1:6">
      <c r="A112" s="465"/>
      <c r="B112" s="305"/>
      <c r="C112" s="337"/>
      <c r="D112" s="337"/>
      <c r="E112" s="730"/>
      <c r="F112" s="905"/>
    </row>
    <row r="113" spans="1:6" s="352" customFormat="1">
      <c r="A113" s="501"/>
      <c r="B113" s="500" t="s">
        <v>1717</v>
      </c>
      <c r="C113" s="501"/>
      <c r="D113" s="435"/>
      <c r="E113" s="1208"/>
      <c r="F113" s="910"/>
    </row>
    <row r="114" spans="1:6" s="352" customFormat="1" ht="39.6">
      <c r="A114" s="501"/>
      <c r="B114" s="503" t="s">
        <v>1718</v>
      </c>
      <c r="C114" s="501"/>
      <c r="D114" s="435"/>
      <c r="E114" s="1208"/>
      <c r="F114" s="910"/>
    </row>
    <row r="115" spans="1:6" s="352" customFormat="1">
      <c r="A115" s="501"/>
      <c r="B115" s="503"/>
      <c r="C115" s="501"/>
      <c r="D115" s="435"/>
      <c r="E115" s="1208"/>
      <c r="F115" s="910"/>
    </row>
    <row r="116" spans="1:6">
      <c r="A116" s="496" t="s">
        <v>1709</v>
      </c>
      <c r="B116" s="305"/>
      <c r="C116" s="337"/>
      <c r="D116" s="337"/>
      <c r="E116" s="730"/>
      <c r="F116" s="905"/>
    </row>
    <row r="117" spans="1:6">
      <c r="A117" s="337"/>
      <c r="B117" s="305" t="s">
        <v>1719</v>
      </c>
      <c r="C117" s="337"/>
      <c r="D117" s="337"/>
      <c r="E117" s="750"/>
      <c r="F117" s="904"/>
    </row>
    <row r="118" spans="1:6">
      <c r="A118" s="337" t="s">
        <v>1429</v>
      </c>
      <c r="B118" s="346"/>
      <c r="C118" s="337"/>
      <c r="D118" s="337"/>
      <c r="E118" s="750"/>
      <c r="F118" s="904"/>
    </row>
    <row r="119" spans="1:6">
      <c r="A119" s="465"/>
      <c r="B119" s="305" t="s">
        <v>1720</v>
      </c>
      <c r="C119" s="337" t="s">
        <v>30</v>
      </c>
      <c r="D119" s="337">
        <v>11</v>
      </c>
      <c r="E119" s="1332">
        <v>150</v>
      </c>
      <c r="F119" s="908">
        <f t="shared" ref="F119" si="1">D119*E119</f>
        <v>1650</v>
      </c>
    </row>
    <row r="120" spans="1:6">
      <c r="A120" s="465"/>
      <c r="B120" s="305"/>
      <c r="C120" s="337"/>
      <c r="D120" s="337"/>
      <c r="E120" s="730"/>
      <c r="F120" s="905"/>
    </row>
    <row r="121" spans="1:6" s="352" customFormat="1">
      <c r="A121" s="499" t="s">
        <v>1721</v>
      </c>
      <c r="B121" s="503"/>
      <c r="C121" s="501"/>
      <c r="D121" s="435"/>
      <c r="E121" s="1208"/>
      <c r="F121" s="910"/>
    </row>
    <row r="122" spans="1:6" s="352" customFormat="1" ht="79.2">
      <c r="A122" s="501"/>
      <c r="B122" s="504" t="s">
        <v>1722</v>
      </c>
      <c r="C122" s="501"/>
      <c r="D122" s="435"/>
      <c r="E122" s="1208"/>
      <c r="F122" s="910"/>
    </row>
    <row r="123" spans="1:6" s="352" customFormat="1">
      <c r="A123" s="501"/>
      <c r="B123" s="503"/>
      <c r="C123" s="501"/>
      <c r="D123" s="435"/>
      <c r="E123" s="1208"/>
      <c r="F123" s="910"/>
    </row>
    <row r="124" spans="1:6" s="352" customFormat="1">
      <c r="A124" s="501"/>
      <c r="B124" s="443" t="s">
        <v>1723</v>
      </c>
      <c r="C124" s="501" t="s">
        <v>692</v>
      </c>
      <c r="D124" s="435">
        <v>120</v>
      </c>
      <c r="E124" s="1332">
        <v>15</v>
      </c>
      <c r="F124" s="908">
        <f t="shared" ref="F124" si="2">D124*E124</f>
        <v>1800</v>
      </c>
    </row>
    <row r="125" spans="1:6" s="352" customFormat="1">
      <c r="A125" s="362"/>
      <c r="B125" s="503"/>
      <c r="C125" s="484"/>
      <c r="D125" s="484"/>
      <c r="E125" s="1204"/>
      <c r="F125" s="911"/>
    </row>
    <row r="126" spans="1:6" s="352" customFormat="1">
      <c r="A126" s="499" t="s">
        <v>1724</v>
      </c>
      <c r="B126" s="503"/>
      <c r="C126" s="484"/>
      <c r="D126" s="484"/>
      <c r="E126" s="1204"/>
      <c r="F126" s="911"/>
    </row>
    <row r="127" spans="1:6" s="352" customFormat="1" ht="39.6">
      <c r="A127" s="362"/>
      <c r="B127" s="503" t="s">
        <v>1725</v>
      </c>
      <c r="C127" s="484"/>
      <c r="D127" s="484"/>
      <c r="E127" s="1204"/>
      <c r="F127" s="911"/>
    </row>
    <row r="128" spans="1:6" s="352" customFormat="1">
      <c r="A128" s="362"/>
      <c r="B128" s="503"/>
      <c r="C128" s="484" t="s">
        <v>27</v>
      </c>
      <c r="D128" s="484">
        <v>1</v>
      </c>
      <c r="E128" s="1332">
        <v>100</v>
      </c>
      <c r="F128" s="908">
        <f t="shared" ref="F128" si="3">D128*E128</f>
        <v>100</v>
      </c>
    </row>
    <row r="129" spans="1:6" s="352" customFormat="1">
      <c r="A129" s="362"/>
      <c r="B129" s="503"/>
      <c r="C129" s="484"/>
      <c r="D129" s="484"/>
      <c r="E129" s="1204"/>
      <c r="F129" s="485"/>
    </row>
    <row r="130" spans="1:6">
      <c r="A130" s="344"/>
      <c r="B130" s="505"/>
      <c r="C130" s="506"/>
      <c r="D130" s="506"/>
      <c r="E130" s="1204"/>
      <c r="F130" s="485"/>
    </row>
    <row r="131" spans="1:6" ht="26.4">
      <c r="A131" s="537" t="s">
        <v>1647</v>
      </c>
      <c r="B131" s="534" t="s">
        <v>1648</v>
      </c>
      <c r="C131" s="507"/>
      <c r="D131" s="507"/>
      <c r="E131" s="1209"/>
      <c r="F131" s="508"/>
    </row>
    <row r="132" spans="1:6">
      <c r="A132" s="509"/>
      <c r="B132" s="516"/>
      <c r="C132" s="510"/>
      <c r="D132" s="510"/>
      <c r="E132" s="1210"/>
      <c r="F132" s="511"/>
    </row>
    <row r="133" spans="1:6">
      <c r="A133" s="509"/>
      <c r="B133" s="538" t="s">
        <v>1726</v>
      </c>
      <c r="C133" s="510"/>
      <c r="D133" s="510"/>
      <c r="E133" s="1581">
        <f>SUM(F16:F128)</f>
        <v>42900</v>
      </c>
      <c r="F133" s="1582"/>
    </row>
    <row r="134" spans="1:6">
      <c r="A134" s="512"/>
      <c r="B134" s="539"/>
      <c r="C134" s="513"/>
      <c r="D134" s="513"/>
      <c r="E134" s="1211"/>
      <c r="F134" s="514"/>
    </row>
    <row r="135" spans="1:6" ht="16.5" customHeight="1">
      <c r="A135" s="362"/>
      <c r="E135" s="1204"/>
      <c r="F135" s="485"/>
    </row>
    <row r="136" spans="1:6" ht="16.5" customHeight="1">
      <c r="A136" s="362"/>
      <c r="E136" s="1204"/>
      <c r="F136" s="485"/>
    </row>
    <row r="137" spans="1:6" ht="26.4">
      <c r="A137" s="535" t="s">
        <v>1727</v>
      </c>
      <c r="B137" s="536" t="s">
        <v>1728</v>
      </c>
      <c r="C137" s="490"/>
      <c r="D137" s="490"/>
      <c r="E137" s="1205"/>
      <c r="F137" s="491"/>
    </row>
    <row r="138" spans="1:6">
      <c r="A138" s="362"/>
      <c r="B138" s="534"/>
      <c r="E138" s="1204"/>
      <c r="F138" s="485"/>
    </row>
    <row r="139" spans="1:6">
      <c r="A139" s="362" t="s">
        <v>1729</v>
      </c>
      <c r="B139" s="492"/>
      <c r="C139" s="337"/>
      <c r="D139" s="337"/>
      <c r="E139" s="750"/>
      <c r="F139" s="346"/>
    </row>
    <row r="140" spans="1:6" s="352" customFormat="1" ht="66">
      <c r="A140" s="493"/>
      <c r="B140" s="494" t="s">
        <v>1730</v>
      </c>
      <c r="E140" s="1206"/>
    </row>
    <row r="141" spans="1:6" s="352" customFormat="1" ht="105.6">
      <c r="B141" s="494" t="s">
        <v>1731</v>
      </c>
      <c r="E141" s="1206"/>
    </row>
    <row r="142" spans="1:6" s="352" customFormat="1" ht="132">
      <c r="B142" s="494" t="s">
        <v>1732</v>
      </c>
      <c r="E142" s="1206"/>
    </row>
    <row r="143" spans="1:6" s="352" customFormat="1" ht="79.2">
      <c r="B143" s="494" t="s">
        <v>1733</v>
      </c>
      <c r="E143" s="1206"/>
    </row>
    <row r="144" spans="1:6" s="352" customFormat="1">
      <c r="A144" s="352" t="s">
        <v>1429</v>
      </c>
      <c r="E144" s="1206"/>
    </row>
    <row r="145" spans="1:5" s="352" customFormat="1">
      <c r="A145" s="493"/>
      <c r="B145" s="304" t="s">
        <v>1662</v>
      </c>
      <c r="E145" s="1206"/>
    </row>
    <row r="146" spans="1:5" s="352" customFormat="1">
      <c r="A146" s="493"/>
      <c r="B146" s="494" t="s">
        <v>1734</v>
      </c>
      <c r="E146" s="1206"/>
    </row>
    <row r="147" spans="1:5" s="352" customFormat="1">
      <c r="A147" s="493"/>
      <c r="B147" s="494" t="s">
        <v>1735</v>
      </c>
      <c r="E147" s="1206"/>
    </row>
    <row r="148" spans="1:5" s="352" customFormat="1">
      <c r="A148" s="493"/>
      <c r="B148" s="494" t="s">
        <v>1736</v>
      </c>
      <c r="E148" s="1206"/>
    </row>
    <row r="149" spans="1:5" s="352" customFormat="1">
      <c r="A149" s="493"/>
      <c r="B149" s="494" t="s">
        <v>1737</v>
      </c>
      <c r="E149" s="1206"/>
    </row>
    <row r="150" spans="1:5" s="352" customFormat="1">
      <c r="A150" s="493"/>
      <c r="B150" s="494" t="s">
        <v>1738</v>
      </c>
      <c r="E150" s="1206"/>
    </row>
    <row r="151" spans="1:5" s="352" customFormat="1">
      <c r="A151" s="493"/>
      <c r="B151" s="494" t="s">
        <v>1739</v>
      </c>
      <c r="E151" s="1206"/>
    </row>
    <row r="152" spans="1:5" s="352" customFormat="1">
      <c r="A152" s="493"/>
      <c r="B152" s="494" t="s">
        <v>1740</v>
      </c>
      <c r="E152" s="1206"/>
    </row>
    <row r="153" spans="1:5" s="352" customFormat="1">
      <c r="A153" s="493"/>
      <c r="B153" s="494" t="s">
        <v>1741</v>
      </c>
      <c r="E153" s="1206"/>
    </row>
    <row r="154" spans="1:5" s="352" customFormat="1">
      <c r="A154" s="493"/>
      <c r="B154" s="494" t="s">
        <v>1742</v>
      </c>
      <c r="E154" s="1206"/>
    </row>
    <row r="155" spans="1:5" s="352" customFormat="1">
      <c r="A155" s="493"/>
      <c r="B155" s="494" t="s">
        <v>1743</v>
      </c>
      <c r="E155" s="1206"/>
    </row>
    <row r="156" spans="1:5" s="352" customFormat="1">
      <c r="A156" s="493"/>
      <c r="B156" s="494" t="s">
        <v>1744</v>
      </c>
      <c r="E156" s="1206"/>
    </row>
    <row r="157" spans="1:5" s="352" customFormat="1">
      <c r="A157" s="493"/>
      <c r="B157" s="494" t="s">
        <v>1745</v>
      </c>
      <c r="E157" s="1206"/>
    </row>
    <row r="158" spans="1:5" s="352" customFormat="1">
      <c r="A158" s="493"/>
      <c r="B158" s="494" t="s">
        <v>1746</v>
      </c>
      <c r="E158" s="1206"/>
    </row>
    <row r="159" spans="1:5" s="352" customFormat="1">
      <c r="A159" s="493"/>
      <c r="B159" s="494" t="s">
        <v>1747</v>
      </c>
      <c r="E159" s="1206"/>
    </row>
    <row r="160" spans="1:5" s="352" customFormat="1">
      <c r="A160" s="493"/>
      <c r="B160" s="494" t="s">
        <v>1748</v>
      </c>
      <c r="E160" s="1206"/>
    </row>
    <row r="161" spans="1:6" s="352" customFormat="1">
      <c r="A161" s="493"/>
      <c r="B161" s="494" t="s">
        <v>1749</v>
      </c>
      <c r="E161" s="1206"/>
    </row>
    <row r="162" spans="1:6" s="352" customFormat="1" ht="26.4">
      <c r="A162" s="493"/>
      <c r="B162" s="494" t="s">
        <v>1750</v>
      </c>
      <c r="E162" s="1206"/>
    </row>
    <row r="163" spans="1:6" s="352" customFormat="1">
      <c r="A163" s="493"/>
      <c r="B163" s="494" t="s">
        <v>1751</v>
      </c>
      <c r="E163" s="1206"/>
    </row>
    <row r="164" spans="1:6" s="352" customFormat="1">
      <c r="A164" s="493"/>
      <c r="B164" s="494" t="s">
        <v>1752</v>
      </c>
      <c r="E164" s="1206"/>
    </row>
    <row r="165" spans="1:6" s="352" customFormat="1">
      <c r="A165" s="493"/>
      <c r="B165" s="494" t="s">
        <v>1753</v>
      </c>
      <c r="E165" s="1206"/>
    </row>
    <row r="166" spans="1:6" s="352" customFormat="1">
      <c r="A166" s="493"/>
      <c r="B166" s="494" t="s">
        <v>1754</v>
      </c>
      <c r="E166" s="1206"/>
    </row>
    <row r="167" spans="1:6" s="352" customFormat="1">
      <c r="A167" s="493"/>
      <c r="B167" s="494" t="s">
        <v>1690</v>
      </c>
      <c r="E167" s="1206"/>
    </row>
    <row r="168" spans="1:6" s="352" customFormat="1">
      <c r="A168" s="493"/>
      <c r="B168" s="494" t="s">
        <v>1755</v>
      </c>
      <c r="E168" s="1206"/>
    </row>
    <row r="169" spans="1:6" s="352" customFormat="1">
      <c r="A169" s="493"/>
      <c r="B169" s="494" t="s">
        <v>1756</v>
      </c>
      <c r="E169" s="1206"/>
    </row>
    <row r="170" spans="1:6" s="352" customFormat="1">
      <c r="A170" s="493"/>
      <c r="B170" s="494" t="s">
        <v>1757</v>
      </c>
      <c r="E170" s="1206"/>
    </row>
    <row r="171" spans="1:6" s="352" customFormat="1" ht="26.4">
      <c r="A171" s="493"/>
      <c r="B171" s="494" t="s">
        <v>2255</v>
      </c>
      <c r="E171" s="1206"/>
    </row>
    <row r="172" spans="1:6" s="352" customFormat="1" ht="26.4">
      <c r="A172" s="493"/>
      <c r="B172" s="494" t="s">
        <v>1758</v>
      </c>
      <c r="E172" s="1206"/>
    </row>
    <row r="173" spans="1:6" s="352" customFormat="1" ht="26.4">
      <c r="A173" s="493"/>
      <c r="B173" s="494" t="s">
        <v>1759</v>
      </c>
      <c r="C173" s="344" t="s">
        <v>521</v>
      </c>
      <c r="D173" s="344">
        <v>1</v>
      </c>
      <c r="E173" s="1336">
        <v>8000</v>
      </c>
      <c r="F173" s="908">
        <f>D173*E173</f>
        <v>8000</v>
      </c>
    </row>
    <row r="174" spans="1:6" s="352" customFormat="1">
      <c r="A174" s="352" t="s">
        <v>1429</v>
      </c>
      <c r="E174" s="1206"/>
      <c r="F174" s="909"/>
    </row>
    <row r="175" spans="1:6" s="352" customFormat="1">
      <c r="A175" s="352" t="s">
        <v>1429</v>
      </c>
      <c r="E175" s="1206"/>
      <c r="F175" s="909"/>
    </row>
    <row r="176" spans="1:6" s="352" customFormat="1">
      <c r="A176" s="362" t="s">
        <v>1760</v>
      </c>
      <c r="B176" s="492"/>
      <c r="E176" s="1206"/>
      <c r="F176" s="909"/>
    </row>
    <row r="177" spans="1:6" s="352" customFormat="1">
      <c r="A177" s="493"/>
      <c r="B177" s="494" t="s">
        <v>1761</v>
      </c>
      <c r="E177" s="1206"/>
      <c r="F177" s="909"/>
    </row>
    <row r="178" spans="1:6" s="352" customFormat="1" ht="26.4">
      <c r="A178" s="493"/>
      <c r="B178" s="494" t="s">
        <v>1762</v>
      </c>
      <c r="E178" s="1206"/>
      <c r="F178" s="909"/>
    </row>
    <row r="179" spans="1:6" s="352" customFormat="1" ht="26.4">
      <c r="A179" s="493"/>
      <c r="B179" s="494" t="s">
        <v>1763</v>
      </c>
      <c r="C179" s="348" t="s">
        <v>521</v>
      </c>
      <c r="D179" s="344">
        <v>1</v>
      </c>
      <c r="E179" s="1336">
        <v>2000</v>
      </c>
      <c r="F179" s="908">
        <f>D179*E179</f>
        <v>2000</v>
      </c>
    </row>
    <row r="180" spans="1:6" s="352" customFormat="1">
      <c r="A180" s="352" t="s">
        <v>1429</v>
      </c>
      <c r="E180" s="1206"/>
      <c r="F180" s="909"/>
    </row>
    <row r="181" spans="1:6">
      <c r="A181" s="337"/>
      <c r="B181" s="515"/>
      <c r="C181" s="337"/>
      <c r="D181" s="337"/>
      <c r="E181" s="750"/>
      <c r="F181" s="904"/>
    </row>
    <row r="182" spans="1:6">
      <c r="A182" s="499" t="s">
        <v>1764</v>
      </c>
      <c r="B182" s="500"/>
      <c r="C182" s="501"/>
      <c r="D182" s="435"/>
      <c r="E182" s="1208"/>
      <c r="F182" s="910"/>
    </row>
    <row r="183" spans="1:6" ht="224.4">
      <c r="A183" s="501"/>
      <c r="B183" s="502" t="s">
        <v>1710</v>
      </c>
      <c r="C183" s="501"/>
      <c r="D183" s="435"/>
      <c r="E183" s="1208"/>
      <c r="F183" s="910"/>
    </row>
    <row r="184" spans="1:6">
      <c r="A184" s="337" t="s">
        <v>1429</v>
      </c>
      <c r="B184" s="346"/>
      <c r="C184" s="337"/>
      <c r="D184" s="337"/>
      <c r="E184" s="750"/>
      <c r="F184" s="904"/>
    </row>
    <row r="185" spans="1:6">
      <c r="A185" s="465"/>
      <c r="B185" s="305" t="s">
        <v>1711</v>
      </c>
      <c r="C185" s="337" t="s">
        <v>692</v>
      </c>
      <c r="D185" s="337">
        <v>15</v>
      </c>
      <c r="E185" s="1332">
        <v>15</v>
      </c>
      <c r="F185" s="908">
        <f t="shared" ref="F185:F186" si="4">D185*E185</f>
        <v>225</v>
      </c>
    </row>
    <row r="186" spans="1:6">
      <c r="A186" s="465"/>
      <c r="B186" s="305" t="s">
        <v>1714</v>
      </c>
      <c r="C186" s="337" t="s">
        <v>692</v>
      </c>
      <c r="D186" s="337">
        <v>15</v>
      </c>
      <c r="E186" s="1332">
        <v>20</v>
      </c>
      <c r="F186" s="908">
        <f t="shared" si="4"/>
        <v>300</v>
      </c>
    </row>
    <row r="187" spans="1:6">
      <c r="A187" s="465"/>
      <c r="B187" s="305"/>
      <c r="C187" s="337"/>
      <c r="D187" s="337"/>
      <c r="E187" s="730"/>
      <c r="F187" s="495"/>
    </row>
    <row r="188" spans="1:6" s="352" customFormat="1">
      <c r="A188" s="501"/>
      <c r="B188" s="500" t="s">
        <v>1717</v>
      </c>
      <c r="C188" s="501"/>
      <c r="D188" s="435"/>
      <c r="E188" s="1208"/>
      <c r="F188" s="434"/>
    </row>
    <row r="189" spans="1:6" s="352" customFormat="1" ht="39.6">
      <c r="A189" s="501"/>
      <c r="B189" s="503" t="s">
        <v>1765</v>
      </c>
      <c r="C189" s="501"/>
      <c r="D189" s="435"/>
      <c r="E189" s="1208"/>
      <c r="F189" s="434"/>
    </row>
    <row r="190" spans="1:6" s="352" customFormat="1">
      <c r="A190" s="362"/>
      <c r="B190" s="363"/>
      <c r="C190" s="484"/>
      <c r="D190" s="484"/>
      <c r="E190" s="1204"/>
      <c r="F190" s="485"/>
    </row>
    <row r="191" spans="1:6">
      <c r="A191" s="344"/>
      <c r="B191" s="505"/>
      <c r="C191" s="506"/>
      <c r="D191" s="506"/>
      <c r="E191" s="1204"/>
      <c r="F191" s="485"/>
    </row>
    <row r="192" spans="1:6" ht="26.4">
      <c r="A192" s="537" t="s">
        <v>1727</v>
      </c>
      <c r="B192" s="534" t="s">
        <v>1728</v>
      </c>
      <c r="C192" s="507"/>
      <c r="D192" s="507"/>
      <c r="E192" s="1209"/>
      <c r="F192" s="508"/>
    </row>
    <row r="193" spans="1:6">
      <c r="A193" s="509"/>
      <c r="B193" s="516"/>
      <c r="C193" s="510"/>
      <c r="D193" s="510"/>
      <c r="E193" s="1210"/>
      <c r="F193" s="511"/>
    </row>
    <row r="194" spans="1:6">
      <c r="A194" s="509"/>
      <c r="B194" s="538" t="s">
        <v>1726</v>
      </c>
      <c r="C194" s="510"/>
      <c r="D194" s="510"/>
      <c r="E194" s="1581">
        <f>SUM(F148:F186)</f>
        <v>10525</v>
      </c>
      <c r="F194" s="1582"/>
    </row>
    <row r="195" spans="1:6">
      <c r="A195" s="512"/>
      <c r="B195" s="539"/>
      <c r="C195" s="513"/>
      <c r="D195" s="513"/>
      <c r="E195" s="1211"/>
      <c r="F195" s="514"/>
    </row>
    <row r="196" spans="1:6">
      <c r="A196" s="362"/>
      <c r="E196" s="1204"/>
      <c r="F196" s="485"/>
    </row>
    <row r="197" spans="1:6">
      <c r="A197" s="344"/>
      <c r="B197" s="516"/>
      <c r="C197" s="517"/>
      <c r="D197" s="517"/>
      <c r="E197" s="1204"/>
      <c r="F197" s="485"/>
    </row>
    <row r="198" spans="1:6">
      <c r="A198" s="540" t="s">
        <v>1766</v>
      </c>
      <c r="B198" s="536" t="s">
        <v>1767</v>
      </c>
      <c r="C198" s="518"/>
      <c r="D198" s="518"/>
      <c r="E198" s="1212"/>
      <c r="F198" s="519"/>
    </row>
    <row r="200" spans="1:6">
      <c r="A200" s="484" t="s">
        <v>1768</v>
      </c>
      <c r="B200" s="520"/>
      <c r="C200" s="521"/>
      <c r="D200" s="521"/>
      <c r="E200" s="1213"/>
      <c r="F200" s="520"/>
    </row>
    <row r="201" spans="1:6" ht="66">
      <c r="A201" s="344"/>
      <c r="B201" s="363" t="s">
        <v>1769</v>
      </c>
      <c r="E201" s="1210"/>
      <c r="F201" s="522"/>
    </row>
    <row r="202" spans="1:6">
      <c r="C202" s="484" t="s">
        <v>27</v>
      </c>
      <c r="D202" s="484">
        <v>1</v>
      </c>
      <c r="E202" s="1337">
        <v>500</v>
      </c>
      <c r="F202" s="912">
        <f>D202*E202</f>
        <v>500</v>
      </c>
    </row>
    <row r="203" spans="1:6">
      <c r="F203" s="912"/>
    </row>
    <row r="204" spans="1:6">
      <c r="A204" s="484" t="s">
        <v>1770</v>
      </c>
      <c r="B204" s="524"/>
      <c r="E204" s="750"/>
      <c r="F204" s="904"/>
    </row>
    <row r="205" spans="1:6" ht="26.4">
      <c r="A205" s="525"/>
      <c r="B205" s="524" t="s">
        <v>1771</v>
      </c>
      <c r="C205" s="506"/>
      <c r="D205" s="506"/>
      <c r="E205" s="750"/>
      <c r="F205" s="904"/>
    </row>
    <row r="206" spans="1:6">
      <c r="A206" s="525"/>
      <c r="B206" s="524"/>
      <c r="C206" s="484" t="s">
        <v>27</v>
      </c>
      <c r="D206" s="484">
        <v>1</v>
      </c>
      <c r="E206" s="1337">
        <v>500</v>
      </c>
      <c r="F206" s="912">
        <f>D206*E206</f>
        <v>500</v>
      </c>
    </row>
    <row r="207" spans="1:6">
      <c r="A207" s="525"/>
      <c r="B207" s="524"/>
      <c r="F207" s="913"/>
    </row>
    <row r="208" spans="1:6">
      <c r="A208" s="484" t="s">
        <v>1772</v>
      </c>
      <c r="B208" s="524"/>
      <c r="F208" s="913"/>
    </row>
    <row r="209" spans="1:8" ht="39.6">
      <c r="A209" s="525"/>
      <c r="B209" s="526" t="s">
        <v>1773</v>
      </c>
      <c r="F209" s="913"/>
    </row>
    <row r="210" spans="1:8">
      <c r="A210" s="525"/>
      <c r="B210" s="524"/>
      <c r="C210" s="484" t="s">
        <v>27</v>
      </c>
      <c r="D210" s="484">
        <v>1</v>
      </c>
      <c r="E210" s="1337">
        <v>250</v>
      </c>
      <c r="F210" s="912">
        <f>D210*E210</f>
        <v>250</v>
      </c>
    </row>
    <row r="211" spans="1:8">
      <c r="A211" s="525"/>
      <c r="B211" s="524"/>
      <c r="F211" s="913"/>
    </row>
    <row r="212" spans="1:8">
      <c r="A212" s="484" t="s">
        <v>1774</v>
      </c>
      <c r="F212" s="913"/>
    </row>
    <row r="213" spans="1:8" ht="26.4">
      <c r="A213" s="527"/>
      <c r="B213" s="363" t="s">
        <v>1775</v>
      </c>
      <c r="F213" s="913"/>
    </row>
    <row r="214" spans="1:8">
      <c r="A214" s="527"/>
      <c r="B214" s="528"/>
      <c r="C214" s="484" t="s">
        <v>27</v>
      </c>
      <c r="D214" s="484">
        <v>1</v>
      </c>
      <c r="E214" s="1337">
        <v>200</v>
      </c>
      <c r="F214" s="912">
        <f>D214*E214</f>
        <v>200</v>
      </c>
    </row>
    <row r="215" spans="1:8">
      <c r="A215" s="527"/>
      <c r="B215" s="528"/>
      <c r="F215" s="913"/>
    </row>
    <row r="216" spans="1:8">
      <c r="A216" s="484" t="s">
        <v>1776</v>
      </c>
      <c r="D216" s="362"/>
      <c r="F216" s="913"/>
    </row>
    <row r="217" spans="1:8" s="352" customFormat="1" ht="52.8">
      <c r="A217" s="484"/>
      <c r="B217" s="363" t="s">
        <v>1778</v>
      </c>
      <c r="C217" s="484"/>
      <c r="D217" s="484"/>
      <c r="E217" s="1214"/>
      <c r="F217" s="909"/>
    </row>
    <row r="218" spans="1:8" s="352" customFormat="1" ht="26.4">
      <c r="A218" s="484"/>
      <c r="B218" s="363" t="s">
        <v>1779</v>
      </c>
      <c r="C218" s="484"/>
      <c r="D218" s="484"/>
      <c r="E218" s="1214"/>
      <c r="F218" s="909"/>
    </row>
    <row r="219" spans="1:8" s="352" customFormat="1" ht="26.4">
      <c r="A219" s="484"/>
      <c r="B219" s="363" t="s">
        <v>1780</v>
      </c>
      <c r="C219" s="484"/>
      <c r="D219" s="484"/>
      <c r="E219" s="1214"/>
      <c r="F219" s="909"/>
    </row>
    <row r="220" spans="1:8" s="352" customFormat="1">
      <c r="A220" s="484"/>
      <c r="B220" s="363" t="s">
        <v>1781</v>
      </c>
      <c r="C220" s="484"/>
      <c r="D220" s="484"/>
      <c r="E220" s="1214"/>
      <c r="F220" s="909"/>
    </row>
    <row r="221" spans="1:8" s="352" customFormat="1">
      <c r="A221" s="484"/>
      <c r="B221" s="353"/>
      <c r="C221" s="484" t="s">
        <v>27</v>
      </c>
      <c r="D221" s="484">
        <v>1</v>
      </c>
      <c r="E221" s="1337">
        <v>150</v>
      </c>
      <c r="F221" s="912">
        <f>D221*E221</f>
        <v>150</v>
      </c>
    </row>
    <row r="222" spans="1:8" s="352" customFormat="1">
      <c r="A222" s="484"/>
      <c r="B222" s="353"/>
      <c r="C222" s="484"/>
      <c r="D222" s="484"/>
      <c r="E222" s="1214"/>
      <c r="F222" s="913"/>
    </row>
    <row r="223" spans="1:8" s="352" customFormat="1">
      <c r="A223" s="530" t="s">
        <v>1777</v>
      </c>
      <c r="B223" s="304"/>
      <c r="C223" s="344"/>
      <c r="D223" s="344"/>
      <c r="E223" s="1206"/>
      <c r="F223" s="909"/>
      <c r="H223" s="531"/>
    </row>
    <row r="224" spans="1:8" s="352" customFormat="1" ht="79.2">
      <c r="A224" s="497"/>
      <c r="B224" s="494" t="s">
        <v>1783</v>
      </c>
      <c r="C224" s="344" t="s">
        <v>29</v>
      </c>
      <c r="D224" s="344">
        <v>2</v>
      </c>
      <c r="E224" s="1336">
        <v>500</v>
      </c>
      <c r="F224" s="908">
        <f>D224*E224</f>
        <v>1000</v>
      </c>
    </row>
    <row r="225" spans="1:8" s="352" customFormat="1">
      <c r="A225" s="344" t="s">
        <v>1429</v>
      </c>
      <c r="C225" s="344"/>
      <c r="D225" s="344"/>
      <c r="E225" s="1206"/>
      <c r="F225" s="909"/>
      <c r="H225" s="531"/>
    </row>
    <row r="226" spans="1:8" s="352" customFormat="1">
      <c r="A226" s="484" t="s">
        <v>1782</v>
      </c>
      <c r="B226" s="304"/>
      <c r="C226" s="344"/>
      <c r="D226" s="344"/>
      <c r="E226" s="1206"/>
      <c r="F226" s="909"/>
    </row>
    <row r="227" spans="1:8" s="352" customFormat="1" ht="39.6">
      <c r="A227" s="497"/>
      <c r="B227" s="494" t="s">
        <v>1785</v>
      </c>
      <c r="C227" s="344" t="s">
        <v>29</v>
      </c>
      <c r="D227" s="344">
        <v>1</v>
      </c>
      <c r="E227" s="1336">
        <v>100</v>
      </c>
      <c r="F227" s="908">
        <f>D227*E227</f>
        <v>100</v>
      </c>
    </row>
    <row r="228" spans="1:8" s="352" customFormat="1">
      <c r="A228" s="497"/>
      <c r="B228" s="494"/>
      <c r="C228" s="344"/>
      <c r="D228" s="344"/>
      <c r="E228" s="1207"/>
      <c r="F228" s="908"/>
    </row>
    <row r="229" spans="1:8">
      <c r="A229" s="530" t="s">
        <v>1784</v>
      </c>
      <c r="B229" s="524"/>
      <c r="C229" s="530"/>
      <c r="D229" s="530"/>
      <c r="F229" s="913"/>
    </row>
    <row r="230" spans="1:8" ht="66">
      <c r="A230" s="530"/>
      <c r="B230" s="524" t="s">
        <v>1787</v>
      </c>
      <c r="C230" s="337"/>
      <c r="D230" s="332"/>
      <c r="F230" s="914"/>
    </row>
    <row r="231" spans="1:8">
      <c r="A231" s="530"/>
      <c r="B231" s="524"/>
      <c r="C231" s="332" t="s">
        <v>27</v>
      </c>
      <c r="D231" s="332">
        <v>1</v>
      </c>
      <c r="E231" s="1337">
        <v>100</v>
      </c>
      <c r="F231" s="912">
        <f>D231*E231</f>
        <v>100</v>
      </c>
    </row>
    <row r="232" spans="1:8">
      <c r="A232" s="525"/>
      <c r="B232" s="526"/>
      <c r="C232" s="525"/>
      <c r="D232" s="525"/>
      <c r="E232" s="750"/>
      <c r="F232" s="904"/>
    </row>
    <row r="233" spans="1:8" ht="39.6">
      <c r="A233" s="484" t="s">
        <v>1786</v>
      </c>
      <c r="B233" s="335" t="s">
        <v>1788</v>
      </c>
      <c r="C233" s="525"/>
      <c r="D233" s="525"/>
      <c r="E233" s="750"/>
      <c r="F233" s="904"/>
      <c r="G233" s="531"/>
    </row>
    <row r="234" spans="1:8">
      <c r="A234" s="525"/>
      <c r="B234" s="526"/>
      <c r="C234" s="525" t="s">
        <v>27</v>
      </c>
      <c r="D234" s="525">
        <v>1</v>
      </c>
      <c r="E234" s="1338">
        <v>100</v>
      </c>
      <c r="F234" s="912">
        <f>D234*E234</f>
        <v>100</v>
      </c>
    </row>
    <row r="235" spans="1:8">
      <c r="A235" s="525"/>
      <c r="B235" s="526"/>
      <c r="C235" s="525"/>
      <c r="D235" s="525"/>
      <c r="E235" s="1216"/>
      <c r="F235" s="532"/>
    </row>
    <row r="236" spans="1:8">
      <c r="A236" s="344"/>
      <c r="B236" s="505"/>
      <c r="C236" s="506"/>
      <c r="D236" s="506"/>
      <c r="E236" s="1204"/>
      <c r="F236" s="485"/>
    </row>
    <row r="237" spans="1:8">
      <c r="A237" s="537" t="s">
        <v>1766</v>
      </c>
      <c r="B237" s="534" t="s">
        <v>1789</v>
      </c>
      <c r="C237" s="507"/>
      <c r="D237" s="507"/>
      <c r="E237" s="1209"/>
      <c r="F237" s="508"/>
    </row>
    <row r="238" spans="1:8">
      <c r="A238" s="509"/>
      <c r="B238" s="516"/>
      <c r="C238" s="510"/>
      <c r="D238" s="510"/>
      <c r="E238" s="1210"/>
      <c r="F238" s="511"/>
    </row>
    <row r="239" spans="1:8">
      <c r="A239" s="509"/>
      <c r="B239" s="538" t="s">
        <v>1726</v>
      </c>
      <c r="C239" s="510"/>
      <c r="D239" s="510"/>
      <c r="E239" s="1576">
        <f>SUM(F202:F234)</f>
        <v>2900</v>
      </c>
      <c r="F239" s="1577"/>
      <c r="H239" s="467"/>
    </row>
    <row r="240" spans="1:8">
      <c r="A240" s="512"/>
      <c r="B240" s="539"/>
      <c r="C240" s="513"/>
      <c r="D240" s="513"/>
      <c r="E240" s="1211"/>
      <c r="F240" s="514"/>
    </row>
    <row r="241" spans="1:6">
      <c r="A241" s="362"/>
      <c r="E241" s="1204"/>
      <c r="F241" s="485"/>
    </row>
    <row r="242" spans="1:6">
      <c r="A242" s="362"/>
      <c r="E242" s="1204"/>
      <c r="F242" s="485"/>
    </row>
    <row r="375" spans="1:6">
      <c r="A375" s="337"/>
      <c r="B375" s="346"/>
      <c r="C375" s="337"/>
      <c r="D375" s="337"/>
      <c r="E375" s="750"/>
      <c r="F375" s="346"/>
    </row>
  </sheetData>
  <sheetProtection algorithmName="SHA-512" hashValue="BnAySEo1LpMmoYyoBx8jDsfqGSCW1Ve45xWEZ8fjTEZ/ILfdTftoBp9Z+pD0tQnOHxEUXcs9l3pXGMFuRJAj/A==" saltValue="pZEPjup2uhPs6ThemJP4QA==" spinCount="100000" sheet="1" objects="1" scenarios="1"/>
  <mergeCells count="7">
    <mergeCell ref="E239:F239"/>
    <mergeCell ref="A1:F1"/>
    <mergeCell ref="B9:F9"/>
    <mergeCell ref="B10:E10"/>
    <mergeCell ref="B11:F11"/>
    <mergeCell ref="E133:F133"/>
    <mergeCell ref="E194:F194"/>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rowBreaks count="2" manualBreakCount="2">
    <brk id="80" max="7" man="1"/>
    <brk id="120" max="7"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1:IT168"/>
  <sheetViews>
    <sheetView view="pageBreakPreview" topLeftCell="B148" zoomScaleNormal="70" zoomScaleSheetLayoutView="100" workbookViewId="0">
      <selection activeCell="E161" sqref="E161"/>
    </sheetView>
  </sheetViews>
  <sheetFormatPr defaultColWidth="9.109375" defaultRowHeight="13.2"/>
  <cols>
    <col min="1" max="1" width="10.6640625" style="486" customWidth="1"/>
    <col min="2" max="2" width="40.6640625" style="363" customWidth="1"/>
    <col min="3" max="4" width="8.6640625" style="479" customWidth="1"/>
    <col min="5" max="5" width="11.6640625" style="1214" bestFit="1" customWidth="1"/>
    <col min="6" max="6" width="11.5546875" style="523" customWidth="1"/>
    <col min="7" max="7" width="11.6640625" style="346" bestFit="1" customWidth="1"/>
    <col min="8" max="8" width="12.44140625" style="346" bestFit="1" customWidth="1"/>
    <col min="9" max="16384" width="9.109375" style="346"/>
  </cols>
  <sheetData>
    <row r="1" spans="1:7" s="824" customFormat="1" ht="45" customHeight="1">
      <c r="A1" s="1585" t="s">
        <v>2047</v>
      </c>
      <c r="B1" s="1585"/>
      <c r="C1" s="1585"/>
      <c r="D1" s="1585"/>
      <c r="E1" s="1585"/>
      <c r="F1" s="1585"/>
    </row>
    <row r="2" spans="1:7" ht="12.6" customHeight="1" thickBot="1">
      <c r="A2" s="354"/>
      <c r="B2" s="354"/>
      <c r="C2" s="354"/>
      <c r="D2" s="354"/>
      <c r="E2" s="1243"/>
      <c r="F2" s="354"/>
    </row>
    <row r="3" spans="1:7" ht="40.200000000000003" thickBot="1">
      <c r="A3" s="355" t="s">
        <v>1790</v>
      </c>
      <c r="B3" s="356" t="s">
        <v>1791</v>
      </c>
      <c r="C3" s="357" t="s">
        <v>1792</v>
      </c>
      <c r="D3" s="356" t="s">
        <v>1793</v>
      </c>
      <c r="E3" s="1203" t="s">
        <v>1794</v>
      </c>
      <c r="F3" s="357" t="s">
        <v>1795</v>
      </c>
      <c r="G3" s="1189" t="s">
        <v>2523</v>
      </c>
    </row>
    <row r="4" spans="1:7" ht="14.4" thickTop="1" thickBot="1">
      <c r="A4" s="359">
        <v>1</v>
      </c>
      <c r="B4" s="360">
        <v>2</v>
      </c>
      <c r="C4" s="361">
        <v>3</v>
      </c>
      <c r="D4" s="361">
        <v>4</v>
      </c>
      <c r="E4" s="361">
        <v>5</v>
      </c>
      <c r="F4" s="361">
        <v>6</v>
      </c>
    </row>
    <row r="5" spans="1:7">
      <c r="A5" s="362"/>
      <c r="C5" s="364"/>
      <c r="D5" s="364"/>
      <c r="E5" s="1204"/>
      <c r="F5" s="365"/>
    </row>
    <row r="6" spans="1:7">
      <c r="A6" s="535" t="s">
        <v>421</v>
      </c>
      <c r="B6" s="601" t="s">
        <v>1796</v>
      </c>
      <c r="C6" s="490"/>
      <c r="D6" s="490"/>
      <c r="E6" s="1205"/>
      <c r="F6" s="544"/>
    </row>
    <row r="7" spans="1:7">
      <c r="A7" s="362"/>
      <c r="B7" s="534"/>
      <c r="C7" s="364"/>
      <c r="D7" s="364"/>
      <c r="E7" s="1204"/>
      <c r="F7" s="365"/>
    </row>
    <row r="8" spans="1:7" ht="28.5" customHeight="1">
      <c r="A8" s="362" t="s">
        <v>1717</v>
      </c>
      <c r="B8" s="1579" t="s">
        <v>1644</v>
      </c>
      <c r="C8" s="1579"/>
      <c r="D8" s="1579"/>
      <c r="E8" s="1579"/>
      <c r="F8" s="1579"/>
    </row>
    <row r="9" spans="1:7" ht="24.75" customHeight="1">
      <c r="B9" s="1580" t="s">
        <v>1797</v>
      </c>
      <c r="C9" s="1580"/>
      <c r="D9" s="1580"/>
      <c r="E9" s="1580"/>
      <c r="F9" s="1580"/>
    </row>
    <row r="10" spans="1:7">
      <c r="B10" s="1586" t="s">
        <v>1798</v>
      </c>
      <c r="C10" s="1586"/>
      <c r="D10" s="1586"/>
      <c r="E10" s="1586"/>
      <c r="F10" s="1586"/>
    </row>
    <row r="11" spans="1:7">
      <c r="A11" s="362"/>
      <c r="B11" s="534"/>
      <c r="C11" s="364"/>
      <c r="D11" s="364"/>
      <c r="E11" s="1204"/>
      <c r="F11" s="365"/>
    </row>
    <row r="12" spans="1:7">
      <c r="A12" s="535" t="s">
        <v>1799</v>
      </c>
      <c r="B12" s="536" t="s">
        <v>1553</v>
      </c>
      <c r="C12" s="543"/>
      <c r="D12" s="543"/>
      <c r="E12" s="1205"/>
      <c r="F12" s="544"/>
    </row>
    <row r="13" spans="1:7">
      <c r="A13" s="362"/>
      <c r="B13" s="534"/>
      <c r="C13" s="364"/>
      <c r="D13" s="364"/>
      <c r="E13" s="1204"/>
      <c r="F13" s="365"/>
    </row>
    <row r="14" spans="1:7">
      <c r="A14" s="484"/>
      <c r="B14" s="534" t="s">
        <v>1800</v>
      </c>
      <c r="C14" s="364"/>
      <c r="D14" s="364"/>
      <c r="E14" s="1204"/>
      <c r="F14" s="365"/>
    </row>
    <row r="15" spans="1:7" ht="46.5" customHeight="1">
      <c r="A15" s="362"/>
      <c r="B15" s="534" t="s">
        <v>1801</v>
      </c>
      <c r="C15" s="364"/>
      <c r="D15" s="364"/>
      <c r="E15" s="1204"/>
      <c r="F15" s="365"/>
    </row>
    <row r="16" spans="1:7" s="352" customFormat="1">
      <c r="A16" s="484" t="s">
        <v>1802</v>
      </c>
      <c r="B16" s="545"/>
      <c r="C16" s="484"/>
      <c r="D16" s="484"/>
      <c r="E16" s="1244"/>
      <c r="F16" s="546"/>
    </row>
    <row r="17" spans="1:6" s="352" customFormat="1" ht="39.6">
      <c r="A17" s="484"/>
      <c r="B17" s="524" t="s">
        <v>2256</v>
      </c>
      <c r="C17" s="484"/>
      <c r="D17" s="484"/>
      <c r="E17" s="1244"/>
      <c r="F17" s="546"/>
    </row>
    <row r="18" spans="1:6" s="352" customFormat="1" ht="39.6">
      <c r="A18" s="493"/>
      <c r="B18" s="494" t="s">
        <v>1803</v>
      </c>
      <c r="E18" s="1206"/>
      <c r="F18" s="529"/>
    </row>
    <row r="19" spans="1:6" s="352" customFormat="1" ht="39.6">
      <c r="A19" s="493"/>
      <c r="B19" s="494" t="s">
        <v>1804</v>
      </c>
      <c r="E19" s="1206"/>
      <c r="F19" s="529"/>
    </row>
    <row r="20" spans="1:6" s="352" customFormat="1" ht="26.4">
      <c r="A20" s="493"/>
      <c r="B20" s="494" t="s">
        <v>1805</v>
      </c>
      <c r="E20" s="1206"/>
      <c r="F20" s="529"/>
    </row>
    <row r="21" spans="1:6" s="352" customFormat="1">
      <c r="A21" s="493"/>
      <c r="B21" s="494" t="s">
        <v>1806</v>
      </c>
      <c r="E21" s="1206"/>
      <c r="F21" s="529"/>
    </row>
    <row r="22" spans="1:6" s="352" customFormat="1">
      <c r="A22" s="493"/>
      <c r="B22" s="494" t="s">
        <v>1807</v>
      </c>
      <c r="E22" s="1206"/>
      <c r="F22" s="529"/>
    </row>
    <row r="23" spans="1:6" s="352" customFormat="1">
      <c r="A23" s="493"/>
      <c r="B23" s="494" t="s">
        <v>1808</v>
      </c>
      <c r="E23" s="1206"/>
      <c r="F23" s="529"/>
    </row>
    <row r="24" spans="1:6" s="352" customFormat="1">
      <c r="A24" s="493"/>
      <c r="B24" s="494" t="s">
        <v>1809</v>
      </c>
      <c r="E24" s="1206"/>
      <c r="F24" s="529"/>
    </row>
    <row r="25" spans="1:6" s="352" customFormat="1">
      <c r="A25" s="493"/>
      <c r="B25" s="494" t="s">
        <v>1810</v>
      </c>
      <c r="E25" s="1206"/>
      <c r="F25" s="529"/>
    </row>
    <row r="26" spans="1:6" s="352" customFormat="1">
      <c r="A26" s="493"/>
      <c r="B26" s="494" t="s">
        <v>1811</v>
      </c>
      <c r="E26" s="1206"/>
      <c r="F26" s="529"/>
    </row>
    <row r="27" spans="1:6" s="352" customFormat="1">
      <c r="A27" s="493"/>
      <c r="B27" s="494" t="s">
        <v>1812</v>
      </c>
      <c r="E27" s="1206"/>
      <c r="F27" s="529"/>
    </row>
    <row r="28" spans="1:6" s="352" customFormat="1">
      <c r="A28" s="493"/>
      <c r="B28" s="494" t="s">
        <v>1813</v>
      </c>
      <c r="E28" s="1206"/>
      <c r="F28" s="529"/>
    </row>
    <row r="29" spans="1:6" s="352" customFormat="1">
      <c r="A29" s="493"/>
      <c r="B29" s="494" t="s">
        <v>1814</v>
      </c>
      <c r="E29" s="1206"/>
      <c r="F29" s="529"/>
    </row>
    <row r="30" spans="1:6" s="352" customFormat="1">
      <c r="A30" s="493"/>
      <c r="B30" s="494" t="s">
        <v>1815</v>
      </c>
      <c r="C30" s="344" t="s">
        <v>521</v>
      </c>
      <c r="D30" s="344">
        <v>2</v>
      </c>
      <c r="E30" s="1336">
        <v>800</v>
      </c>
      <c r="F30" s="908">
        <f>D30*E30</f>
        <v>1600</v>
      </c>
    </row>
    <row r="31" spans="1:6">
      <c r="A31" s="362"/>
      <c r="C31" s="364"/>
      <c r="D31" s="364"/>
      <c r="E31" s="1204"/>
      <c r="F31" s="911"/>
    </row>
    <row r="32" spans="1:6" s="352" customFormat="1">
      <c r="A32" s="484" t="s">
        <v>1816</v>
      </c>
      <c r="B32" s="545"/>
      <c r="C32" s="484"/>
      <c r="D32" s="484"/>
      <c r="E32" s="1244"/>
      <c r="F32" s="915"/>
    </row>
    <row r="33" spans="1:6" s="352" customFormat="1" ht="26.4">
      <c r="A33" s="484"/>
      <c r="B33" s="524" t="s">
        <v>1817</v>
      </c>
      <c r="C33" s="484"/>
      <c r="D33" s="484"/>
      <c r="E33" s="1244"/>
      <c r="F33" s="915"/>
    </row>
    <row r="34" spans="1:6" s="352" customFormat="1">
      <c r="A34" s="484"/>
      <c r="B34" s="524"/>
      <c r="C34" s="484"/>
      <c r="D34" s="484"/>
      <c r="E34" s="1244"/>
      <c r="F34" s="915"/>
    </row>
    <row r="35" spans="1:6" s="352" customFormat="1" ht="34.5" customHeight="1">
      <c r="A35" s="484"/>
      <c r="B35" s="524" t="s">
        <v>2261</v>
      </c>
      <c r="C35" s="364" t="s">
        <v>1818</v>
      </c>
      <c r="D35" s="364">
        <v>1</v>
      </c>
      <c r="E35" s="1336">
        <v>350</v>
      </c>
      <c r="F35" s="908">
        <f>D35*E35</f>
        <v>350</v>
      </c>
    </row>
    <row r="36" spans="1:6" s="352" customFormat="1">
      <c r="A36" s="484"/>
      <c r="B36" s="545"/>
      <c r="C36" s="484"/>
      <c r="D36" s="484"/>
      <c r="E36" s="1210"/>
      <c r="F36" s="916"/>
    </row>
    <row r="37" spans="1:6" s="352" customFormat="1">
      <c r="A37" s="484" t="s">
        <v>1819</v>
      </c>
      <c r="B37" s="524"/>
      <c r="C37" s="484"/>
      <c r="D37" s="484"/>
      <c r="E37" s="1210"/>
      <c r="F37" s="916"/>
    </row>
    <row r="38" spans="1:6" s="352" customFormat="1" ht="66">
      <c r="A38" s="479"/>
      <c r="B38" s="524" t="s">
        <v>1820</v>
      </c>
      <c r="C38" s="530"/>
      <c r="D38" s="530"/>
      <c r="E38" s="1210"/>
      <c r="F38" s="916"/>
    </row>
    <row r="39" spans="1:6" s="352" customFormat="1">
      <c r="A39" s="484"/>
      <c r="B39" s="524"/>
      <c r="C39" s="530"/>
      <c r="D39" s="530"/>
      <c r="E39" s="1210"/>
      <c r="F39" s="916"/>
    </row>
    <row r="40" spans="1:6" s="352" customFormat="1">
      <c r="A40" s="484"/>
      <c r="B40" s="524" t="s">
        <v>1821</v>
      </c>
      <c r="C40" s="530" t="s">
        <v>1818</v>
      </c>
      <c r="D40" s="530">
        <v>2</v>
      </c>
      <c r="E40" s="1336">
        <v>30</v>
      </c>
      <c r="F40" s="908">
        <f>D40*E40</f>
        <v>60</v>
      </c>
    </row>
    <row r="41" spans="1:6" s="352" customFormat="1">
      <c r="A41" s="484"/>
      <c r="B41" s="524" t="s">
        <v>1822</v>
      </c>
      <c r="C41" s="530" t="s">
        <v>1818</v>
      </c>
      <c r="D41" s="530">
        <v>2</v>
      </c>
      <c r="E41" s="1336">
        <v>50</v>
      </c>
      <c r="F41" s="908">
        <f>D41*E41</f>
        <v>100</v>
      </c>
    </row>
    <row r="42" spans="1:6">
      <c r="A42" s="484"/>
      <c r="B42" s="524"/>
      <c r="C42" s="530"/>
      <c r="D42" s="530"/>
      <c r="E42" s="1210"/>
      <c r="F42" s="916"/>
    </row>
    <row r="43" spans="1:6">
      <c r="A43" s="484" t="s">
        <v>1823</v>
      </c>
      <c r="C43" s="484"/>
      <c r="D43" s="484"/>
      <c r="E43" s="1210"/>
      <c r="F43" s="916"/>
    </row>
    <row r="44" spans="1:6" ht="27.75" customHeight="1">
      <c r="B44" s="547" t="s">
        <v>1824</v>
      </c>
      <c r="C44" s="484"/>
      <c r="D44" s="484"/>
      <c r="E44" s="1210"/>
      <c r="F44" s="916"/>
    </row>
    <row r="45" spans="1:6">
      <c r="A45" s="484"/>
      <c r="C45" s="484"/>
      <c r="D45" s="484"/>
      <c r="E45" s="1210"/>
      <c r="F45" s="916"/>
    </row>
    <row r="46" spans="1:6">
      <c r="A46" s="484"/>
      <c r="B46" s="363" t="s">
        <v>1821</v>
      </c>
      <c r="C46" s="484" t="s">
        <v>1818</v>
      </c>
      <c r="D46" s="484">
        <v>1</v>
      </c>
      <c r="E46" s="1336">
        <v>30</v>
      </c>
      <c r="F46" s="908">
        <f>D46*E46</f>
        <v>30</v>
      </c>
    </row>
    <row r="47" spans="1:6">
      <c r="A47" s="484"/>
      <c r="B47" s="363" t="s">
        <v>1822</v>
      </c>
      <c r="C47" s="484" t="s">
        <v>1818</v>
      </c>
      <c r="D47" s="484">
        <v>1</v>
      </c>
      <c r="E47" s="1336">
        <v>50</v>
      </c>
      <c r="F47" s="908">
        <f>D47*E47</f>
        <v>50</v>
      </c>
    </row>
    <row r="48" spans="1:6">
      <c r="A48" s="484"/>
      <c r="C48" s="484"/>
      <c r="D48" s="484"/>
      <c r="E48" s="1210"/>
      <c r="F48" s="916"/>
    </row>
    <row r="49" spans="1:6">
      <c r="A49" s="484" t="s">
        <v>1825</v>
      </c>
      <c r="C49" s="484"/>
      <c r="D49" s="484"/>
      <c r="E49" s="1210"/>
      <c r="F49" s="916"/>
    </row>
    <row r="50" spans="1:6" ht="52.8">
      <c r="A50" s="484"/>
      <c r="B50" s="548" t="s">
        <v>1826</v>
      </c>
      <c r="C50" s="484"/>
      <c r="D50" s="484"/>
      <c r="E50" s="1210"/>
      <c r="F50" s="916"/>
    </row>
    <row r="51" spans="1:6">
      <c r="A51" s="484"/>
      <c r="C51" s="484"/>
      <c r="D51" s="484"/>
      <c r="E51" s="1210"/>
      <c r="F51" s="916"/>
    </row>
    <row r="52" spans="1:6">
      <c r="A52" s="484"/>
      <c r="B52" s="363" t="s">
        <v>1822</v>
      </c>
      <c r="C52" s="484" t="s">
        <v>1818</v>
      </c>
      <c r="D52" s="484">
        <v>1</v>
      </c>
      <c r="E52" s="1336">
        <v>300</v>
      </c>
      <c r="F52" s="908">
        <f>D52*E52</f>
        <v>300</v>
      </c>
    </row>
    <row r="53" spans="1:6">
      <c r="A53" s="484"/>
      <c r="C53" s="484"/>
      <c r="D53" s="484"/>
      <c r="E53" s="1210"/>
      <c r="F53" s="916"/>
    </row>
    <row r="54" spans="1:6">
      <c r="A54" s="484" t="s">
        <v>1827</v>
      </c>
      <c r="C54" s="484"/>
      <c r="D54" s="484"/>
      <c r="E54" s="1210"/>
      <c r="F54" s="916"/>
    </row>
    <row r="55" spans="1:6" ht="52.8">
      <c r="A55" s="484"/>
      <c r="B55" s="548" t="s">
        <v>1828</v>
      </c>
      <c r="C55" s="484"/>
      <c r="D55" s="484"/>
      <c r="E55" s="1210"/>
      <c r="F55" s="916"/>
    </row>
    <row r="56" spans="1:6">
      <c r="A56" s="484"/>
      <c r="C56" s="484" t="s">
        <v>1818</v>
      </c>
      <c r="D56" s="484">
        <v>1</v>
      </c>
      <c r="E56" s="1336">
        <v>50</v>
      </c>
      <c r="F56" s="908">
        <f>D56*E56</f>
        <v>50</v>
      </c>
    </row>
    <row r="57" spans="1:6" ht="13.5" customHeight="1">
      <c r="A57" s="484"/>
      <c r="C57" s="484"/>
      <c r="D57" s="484"/>
      <c r="E57" s="1210"/>
      <c r="F57" s="916"/>
    </row>
    <row r="58" spans="1:6" ht="13.5" customHeight="1">
      <c r="A58" s="484" t="s">
        <v>1829</v>
      </c>
      <c r="C58" s="484"/>
      <c r="D58" s="484"/>
      <c r="E58" s="1210"/>
      <c r="F58" s="916"/>
    </row>
    <row r="59" spans="1:6" ht="26.4">
      <c r="A59" s="484"/>
      <c r="B59" s="548" t="s">
        <v>1830</v>
      </c>
      <c r="C59" s="484"/>
      <c r="D59" s="484"/>
      <c r="E59" s="1210"/>
      <c r="F59" s="916"/>
    </row>
    <row r="60" spans="1:6">
      <c r="A60" s="484"/>
      <c r="C60" s="484" t="s">
        <v>1818</v>
      </c>
      <c r="D60" s="484">
        <v>2</v>
      </c>
      <c r="E60" s="1336">
        <v>80</v>
      </c>
      <c r="F60" s="908">
        <f>D60*E60</f>
        <v>160</v>
      </c>
    </row>
    <row r="61" spans="1:6">
      <c r="A61" s="484"/>
      <c r="C61" s="484"/>
      <c r="D61" s="484"/>
      <c r="E61" s="1210"/>
      <c r="F61" s="916"/>
    </row>
    <row r="62" spans="1:6">
      <c r="A62" s="484" t="s">
        <v>1831</v>
      </c>
      <c r="C62" s="484"/>
      <c r="D62" s="484"/>
      <c r="E62" s="1210"/>
      <c r="F62" s="916"/>
    </row>
    <row r="63" spans="1:6">
      <c r="A63" s="484"/>
      <c r="B63" s="363" t="s">
        <v>1832</v>
      </c>
      <c r="C63" s="484"/>
      <c r="D63" s="484"/>
      <c r="E63" s="1210"/>
      <c r="F63" s="916"/>
    </row>
    <row r="64" spans="1:6">
      <c r="A64" s="484"/>
      <c r="C64" s="484"/>
      <c r="D64" s="484"/>
      <c r="E64" s="1210"/>
      <c r="F64" s="916"/>
    </row>
    <row r="65" spans="1:7">
      <c r="A65" s="484"/>
      <c r="B65" s="363" t="s">
        <v>1833</v>
      </c>
      <c r="C65" s="484" t="s">
        <v>1818</v>
      </c>
      <c r="D65" s="484">
        <v>2</v>
      </c>
      <c r="E65" s="1336">
        <v>30</v>
      </c>
      <c r="F65" s="908">
        <f>D65*E65</f>
        <v>60</v>
      </c>
    </row>
    <row r="66" spans="1:7">
      <c r="A66" s="484"/>
      <c r="C66" s="484"/>
      <c r="D66" s="484"/>
      <c r="E66" s="1210"/>
      <c r="F66" s="916"/>
    </row>
    <row r="67" spans="1:7">
      <c r="A67" s="484" t="s">
        <v>1834</v>
      </c>
      <c r="C67" s="484"/>
      <c r="D67" s="484"/>
      <c r="E67" s="1210"/>
      <c r="F67" s="916"/>
    </row>
    <row r="68" spans="1:7" ht="26.4">
      <c r="A68" s="484"/>
      <c r="B68" s="363" t="s">
        <v>1835</v>
      </c>
      <c r="C68" s="484"/>
      <c r="D68" s="484"/>
      <c r="E68" s="1210"/>
      <c r="F68" s="916"/>
    </row>
    <row r="69" spans="1:7">
      <c r="A69" s="484"/>
      <c r="C69" s="484"/>
      <c r="D69" s="484"/>
      <c r="E69" s="1210"/>
      <c r="F69" s="916"/>
    </row>
    <row r="70" spans="1:7">
      <c r="A70" s="484"/>
      <c r="B70" s="363" t="s">
        <v>1836</v>
      </c>
      <c r="C70" s="484" t="s">
        <v>1818</v>
      </c>
      <c r="D70" s="484">
        <v>2</v>
      </c>
      <c r="E70" s="1336">
        <v>50</v>
      </c>
      <c r="F70" s="908">
        <f>D70*E70</f>
        <v>100</v>
      </c>
    </row>
    <row r="71" spans="1:7">
      <c r="A71" s="484"/>
      <c r="C71" s="484"/>
      <c r="D71" s="484"/>
      <c r="E71" s="1207"/>
      <c r="F71" s="908"/>
    </row>
    <row r="72" spans="1:7">
      <c r="A72" s="484" t="s">
        <v>1837</v>
      </c>
      <c r="C72" s="484"/>
      <c r="D72" s="484"/>
      <c r="E72" s="1210"/>
      <c r="F72" s="916"/>
    </row>
    <row r="73" spans="1:7" s="551" customFormat="1" ht="105.6">
      <c r="A73" s="549"/>
      <c r="B73" s="550" t="s">
        <v>2257</v>
      </c>
      <c r="C73" s="549"/>
      <c r="D73" s="549"/>
      <c r="E73" s="1245"/>
      <c r="F73" s="917"/>
      <c r="G73" s="606"/>
    </row>
    <row r="74" spans="1:7" s="551" customFormat="1" ht="52.8">
      <c r="A74" s="549"/>
      <c r="B74" s="550" t="s">
        <v>1838</v>
      </c>
      <c r="C74" s="549"/>
      <c r="D74" s="549"/>
      <c r="E74" s="1245"/>
      <c r="F74" s="917"/>
      <c r="G74" s="606"/>
    </row>
    <row r="75" spans="1:7" s="551" customFormat="1" ht="105.6">
      <c r="A75" s="549"/>
      <c r="B75" s="550" t="s">
        <v>1839</v>
      </c>
      <c r="C75" s="549"/>
      <c r="D75" s="549"/>
      <c r="E75" s="1245"/>
      <c r="F75" s="917"/>
      <c r="G75" s="606"/>
    </row>
    <row r="76" spans="1:7" s="551" customFormat="1">
      <c r="A76" s="549"/>
      <c r="B76" s="552"/>
      <c r="C76" s="549"/>
      <c r="D76" s="549"/>
      <c r="E76" s="1246"/>
      <c r="F76" s="917"/>
      <c r="G76" s="606"/>
    </row>
    <row r="77" spans="1:7" s="551" customFormat="1">
      <c r="A77" s="549">
        <v>1</v>
      </c>
      <c r="B77" s="553" t="s">
        <v>1840</v>
      </c>
      <c r="C77" s="554" t="s">
        <v>692</v>
      </c>
      <c r="D77" s="554">
        <v>15</v>
      </c>
      <c r="E77" s="1339">
        <v>40</v>
      </c>
      <c r="F77" s="918">
        <f t="shared" ref="F77:F78" si="0">D77*E77</f>
        <v>600</v>
      </c>
      <c r="G77" s="606"/>
    </row>
    <row r="78" spans="1:7" s="551" customFormat="1">
      <c r="A78" s="549">
        <v>2</v>
      </c>
      <c r="B78" s="553" t="s">
        <v>1841</v>
      </c>
      <c r="C78" s="554" t="s">
        <v>692</v>
      </c>
      <c r="D78" s="554">
        <v>15</v>
      </c>
      <c r="E78" s="1339">
        <v>50</v>
      </c>
      <c r="F78" s="918">
        <f t="shared" si="0"/>
        <v>750</v>
      </c>
      <c r="G78" s="606"/>
    </row>
    <row r="79" spans="1:7" s="551" customFormat="1">
      <c r="A79" s="549"/>
      <c r="B79" s="553"/>
      <c r="C79" s="554"/>
      <c r="D79" s="554"/>
      <c r="E79" s="1247"/>
      <c r="F79" s="917"/>
      <c r="G79" s="606"/>
    </row>
    <row r="80" spans="1:7" s="551" customFormat="1" ht="52.8">
      <c r="A80" s="555"/>
      <c r="B80" s="556" t="s">
        <v>2258</v>
      </c>
      <c r="C80" s="557"/>
      <c r="D80" s="557"/>
      <c r="E80" s="1248"/>
      <c r="F80" s="919"/>
      <c r="G80" s="606"/>
    </row>
    <row r="81" spans="1:7" s="551" customFormat="1">
      <c r="A81" s="555"/>
      <c r="B81" s="556"/>
      <c r="C81" s="557"/>
      <c r="D81" s="557"/>
      <c r="E81" s="1248"/>
      <c r="F81" s="919"/>
      <c r="G81" s="606"/>
    </row>
    <row r="82" spans="1:7" s="559" customFormat="1">
      <c r="A82" s="558">
        <v>3</v>
      </c>
      <c r="C82" s="558"/>
      <c r="D82" s="558"/>
      <c r="E82" s="1249"/>
      <c r="F82" s="920"/>
      <c r="G82" s="607"/>
    </row>
    <row r="83" spans="1:7" s="551" customFormat="1" ht="111" customHeight="1">
      <c r="A83" s="560"/>
      <c r="B83" s="553" t="s">
        <v>1842</v>
      </c>
      <c r="C83" s="561"/>
      <c r="D83" s="561"/>
      <c r="E83" s="1250"/>
      <c r="F83" s="921"/>
      <c r="G83" s="606"/>
    </row>
    <row r="84" spans="1:7" s="551" customFormat="1">
      <c r="A84" s="560"/>
      <c r="B84" s="553"/>
      <c r="C84" s="561" t="s">
        <v>519</v>
      </c>
      <c r="D84" s="562">
        <v>10</v>
      </c>
      <c r="E84" s="1339">
        <v>50</v>
      </c>
      <c r="F84" s="918">
        <f>D84*E84</f>
        <v>500</v>
      </c>
      <c r="G84" s="606"/>
    </row>
    <row r="85" spans="1:7" s="551" customFormat="1">
      <c r="A85" s="563"/>
      <c r="B85" s="564"/>
      <c r="D85" s="565"/>
      <c r="E85" s="1251"/>
      <c r="F85" s="922"/>
      <c r="G85" s="606"/>
    </row>
    <row r="86" spans="1:7" s="551" customFormat="1">
      <c r="A86" s="560">
        <v>4</v>
      </c>
      <c r="B86" s="566"/>
      <c r="C86" s="561"/>
      <c r="D86" s="561"/>
      <c r="E86" s="1250"/>
      <c r="F86" s="921"/>
      <c r="G86" s="606"/>
    </row>
    <row r="87" spans="1:7" s="551" customFormat="1" ht="198">
      <c r="A87" s="560"/>
      <c r="B87" s="553" t="s">
        <v>1843</v>
      </c>
      <c r="D87" s="561"/>
      <c r="E87" s="1250"/>
      <c r="F87" s="921"/>
      <c r="G87" s="606"/>
    </row>
    <row r="88" spans="1:7" s="559" customFormat="1">
      <c r="A88" s="558"/>
      <c r="C88" s="558" t="s">
        <v>30</v>
      </c>
      <c r="D88" s="562">
        <v>50</v>
      </c>
      <c r="E88" s="1339">
        <v>7</v>
      </c>
      <c r="F88" s="918">
        <f>D88*E88</f>
        <v>350</v>
      </c>
      <c r="G88" s="606"/>
    </row>
    <row r="89" spans="1:7">
      <c r="A89" s="510" t="s">
        <v>1844</v>
      </c>
      <c r="B89" s="567"/>
      <c r="C89" s="520"/>
      <c r="D89" s="520"/>
      <c r="E89" s="1213"/>
      <c r="F89" s="923"/>
    </row>
    <row r="90" spans="1:7" ht="39.6">
      <c r="A90" s="510"/>
      <c r="B90" s="548" t="s">
        <v>1845</v>
      </c>
      <c r="C90" s="510"/>
      <c r="D90" s="510"/>
      <c r="E90" s="1213"/>
      <c r="F90" s="923"/>
    </row>
    <row r="91" spans="1:7">
      <c r="A91" s="569"/>
      <c r="B91" s="524"/>
      <c r="C91" s="510" t="s">
        <v>1818</v>
      </c>
      <c r="D91" s="570">
        <v>1</v>
      </c>
      <c r="E91" s="1339">
        <v>50</v>
      </c>
      <c r="F91" s="918">
        <f>D91*E91</f>
        <v>50</v>
      </c>
    </row>
    <row r="92" spans="1:7">
      <c r="A92" s="569"/>
      <c r="B92" s="524"/>
      <c r="C92" s="510"/>
      <c r="D92" s="570"/>
      <c r="E92" s="1252"/>
      <c r="F92" s="924"/>
    </row>
    <row r="93" spans="1:7" s="352" customFormat="1">
      <c r="A93" s="484" t="s">
        <v>1846</v>
      </c>
      <c r="B93" s="545"/>
      <c r="C93" s="484"/>
      <c r="D93" s="484"/>
      <c r="E93" s="1244"/>
      <c r="F93" s="915"/>
    </row>
    <row r="94" spans="1:7" s="352" customFormat="1" ht="79.2">
      <c r="A94" s="479"/>
      <c r="B94" s="524" t="s">
        <v>2259</v>
      </c>
      <c r="C94" s="530"/>
      <c r="D94" s="530"/>
      <c r="E94" s="1210"/>
      <c r="F94" s="916"/>
    </row>
    <row r="95" spans="1:7" s="352" customFormat="1">
      <c r="A95" s="484"/>
      <c r="B95" s="524"/>
      <c r="C95" s="530"/>
      <c r="D95" s="530"/>
      <c r="E95" s="1210"/>
      <c r="F95" s="916"/>
    </row>
    <row r="96" spans="1:7" s="352" customFormat="1">
      <c r="A96" s="484"/>
      <c r="B96" s="524" t="s">
        <v>1821</v>
      </c>
      <c r="C96" s="530" t="s">
        <v>1818</v>
      </c>
      <c r="D96" s="530">
        <v>2</v>
      </c>
      <c r="E96" s="1339">
        <v>20</v>
      </c>
      <c r="F96" s="918">
        <f t="shared" ref="F96:F97" si="1">D96*E96</f>
        <v>40</v>
      </c>
    </row>
    <row r="97" spans="1:6" s="352" customFormat="1">
      <c r="A97" s="484"/>
      <c r="B97" s="524" t="s">
        <v>1822</v>
      </c>
      <c r="C97" s="530" t="s">
        <v>1818</v>
      </c>
      <c r="D97" s="530">
        <v>2</v>
      </c>
      <c r="E97" s="1339">
        <v>30</v>
      </c>
      <c r="F97" s="918">
        <f t="shared" si="1"/>
        <v>60</v>
      </c>
    </row>
    <row r="98" spans="1:6">
      <c r="A98" s="484"/>
      <c r="B98" s="524"/>
      <c r="C98" s="530"/>
      <c r="D98" s="530"/>
      <c r="E98" s="1210"/>
      <c r="F98" s="916"/>
    </row>
    <row r="99" spans="1:6">
      <c r="A99" s="484" t="s">
        <v>1847</v>
      </c>
      <c r="C99" s="484"/>
      <c r="D99" s="484"/>
      <c r="E99" s="1210"/>
      <c r="F99" s="916"/>
    </row>
    <row r="100" spans="1:6" ht="180.75" customHeight="1">
      <c r="B100" s="547" t="s">
        <v>2260</v>
      </c>
      <c r="C100" s="484"/>
      <c r="D100" s="484"/>
      <c r="E100" s="1210"/>
      <c r="F100" s="916"/>
    </row>
    <row r="101" spans="1:6">
      <c r="A101" s="484"/>
      <c r="C101" s="484"/>
      <c r="D101" s="484"/>
      <c r="E101" s="1210"/>
      <c r="F101" s="916"/>
    </row>
    <row r="102" spans="1:6">
      <c r="A102" s="484"/>
      <c r="B102" s="363" t="s">
        <v>1821</v>
      </c>
      <c r="C102" s="484" t="s">
        <v>1818</v>
      </c>
      <c r="D102" s="484">
        <v>1</v>
      </c>
      <c r="E102" s="1339">
        <v>20</v>
      </c>
      <c r="F102" s="918">
        <f t="shared" ref="F102:F103" si="2">D102*E102</f>
        <v>20</v>
      </c>
    </row>
    <row r="103" spans="1:6">
      <c r="A103" s="484"/>
      <c r="B103" s="363" t="s">
        <v>1822</v>
      </c>
      <c r="C103" s="484" t="s">
        <v>1818</v>
      </c>
      <c r="D103" s="484">
        <v>1</v>
      </c>
      <c r="E103" s="1339">
        <v>30</v>
      </c>
      <c r="F103" s="918">
        <f t="shared" si="2"/>
        <v>30</v>
      </c>
    </row>
    <row r="104" spans="1:6">
      <c r="A104" s="484"/>
      <c r="C104" s="484"/>
      <c r="D104" s="484"/>
      <c r="E104" s="1210"/>
      <c r="F104" s="904"/>
    </row>
    <row r="105" spans="1:6">
      <c r="A105" s="484" t="s">
        <v>1848</v>
      </c>
      <c r="B105" s="567"/>
      <c r="C105" s="572"/>
      <c r="D105" s="572"/>
      <c r="E105" s="1213"/>
      <c r="F105" s="923"/>
    </row>
    <row r="106" spans="1:6" ht="106.95" customHeight="1">
      <c r="A106" s="510"/>
      <c r="B106" s="547" t="s">
        <v>1849</v>
      </c>
      <c r="C106" s="572"/>
      <c r="D106" s="572"/>
      <c r="E106" s="1213"/>
      <c r="F106" s="923"/>
    </row>
    <row r="107" spans="1:6">
      <c r="A107" s="510"/>
      <c r="B107" s="547" t="s">
        <v>1822</v>
      </c>
      <c r="C107" s="572" t="s">
        <v>1818</v>
      </c>
      <c r="D107" s="572">
        <v>1</v>
      </c>
      <c r="E107" s="1338">
        <v>200</v>
      </c>
      <c r="F107" s="925">
        <f>D107*E107</f>
        <v>200</v>
      </c>
    </row>
    <row r="108" spans="1:6">
      <c r="A108" s="510"/>
      <c r="B108" s="547"/>
      <c r="C108" s="572"/>
      <c r="D108" s="572"/>
      <c r="E108" s="1215"/>
      <c r="F108" s="573"/>
    </row>
    <row r="109" spans="1:6" s="401" customFormat="1">
      <c r="A109" s="484"/>
      <c r="B109" s="363"/>
      <c r="C109" s="484"/>
      <c r="D109" s="574"/>
      <c r="E109" s="1204"/>
      <c r="F109" s="365"/>
    </row>
    <row r="110" spans="1:6" s="401" customFormat="1">
      <c r="A110" s="602" t="s">
        <v>1799</v>
      </c>
      <c r="B110" s="603" t="s">
        <v>1553</v>
      </c>
      <c r="C110" s="541"/>
      <c r="D110" s="575"/>
      <c r="E110" s="1253"/>
      <c r="F110" s="576"/>
    </row>
    <row r="111" spans="1:6" s="401" customFormat="1">
      <c r="A111" s="577"/>
      <c r="B111" s="534"/>
      <c r="C111" s="479"/>
      <c r="D111" s="364"/>
      <c r="E111" s="1204"/>
      <c r="F111" s="578"/>
    </row>
    <row r="112" spans="1:6" s="401" customFormat="1" ht="14.25" customHeight="1">
      <c r="A112" s="579"/>
      <c r="B112" s="604" t="s">
        <v>1850</v>
      </c>
      <c r="C112" s="479"/>
      <c r="D112" s="364"/>
      <c r="E112" s="1587">
        <f>SUM(F20:F108)</f>
        <v>5460</v>
      </c>
      <c r="F112" s="1587"/>
    </row>
    <row r="113" spans="1:254" s="401" customFormat="1" ht="14.25" customHeight="1">
      <c r="A113" s="580"/>
      <c r="B113" s="605"/>
      <c r="C113" s="581"/>
      <c r="D113" s="582"/>
      <c r="E113" s="1254"/>
      <c r="F113" s="583"/>
    </row>
    <row r="114" spans="1:254" s="401" customFormat="1">
      <c r="A114" s="484"/>
      <c r="B114" s="363"/>
      <c r="C114" s="364"/>
      <c r="D114" s="364"/>
      <c r="E114" s="1255"/>
      <c r="F114" s="578"/>
    </row>
    <row r="115" spans="1:254">
      <c r="C115" s="584"/>
      <c r="D115" s="584"/>
    </row>
    <row r="116" spans="1:254" s="587" customFormat="1">
      <c r="A116" s="535" t="s">
        <v>1851</v>
      </c>
      <c r="B116" s="536" t="s">
        <v>1852</v>
      </c>
      <c r="C116" s="585"/>
      <c r="D116" s="585"/>
      <c r="E116" s="1256"/>
      <c r="F116" s="586"/>
      <c r="G116" s="346"/>
      <c r="H116" s="346"/>
      <c r="I116" s="346"/>
      <c r="J116" s="346"/>
      <c r="K116" s="346"/>
      <c r="L116" s="346"/>
      <c r="M116" s="346"/>
      <c r="N116" s="346"/>
      <c r="O116" s="346"/>
      <c r="P116" s="346"/>
      <c r="Q116" s="346"/>
      <c r="R116" s="346"/>
      <c r="S116" s="346"/>
      <c r="T116" s="346"/>
      <c r="U116" s="346"/>
      <c r="V116" s="346"/>
      <c r="W116" s="346"/>
      <c r="X116" s="346"/>
      <c r="Y116" s="346"/>
      <c r="Z116" s="346"/>
      <c r="AA116" s="346"/>
      <c r="AB116" s="346"/>
      <c r="AC116" s="346"/>
      <c r="AD116" s="346"/>
      <c r="AE116" s="346"/>
      <c r="AF116" s="346"/>
      <c r="AG116" s="346"/>
      <c r="AH116" s="346"/>
      <c r="AI116" s="346"/>
      <c r="AJ116" s="346"/>
      <c r="AK116" s="346"/>
      <c r="AL116" s="346"/>
      <c r="AM116" s="346"/>
      <c r="AN116" s="346"/>
      <c r="AO116" s="346"/>
      <c r="AP116" s="346"/>
      <c r="AQ116" s="346"/>
      <c r="AR116" s="346"/>
      <c r="AS116" s="346"/>
      <c r="AT116" s="346"/>
      <c r="AU116" s="346"/>
      <c r="AV116" s="346"/>
      <c r="AW116" s="346"/>
      <c r="AX116" s="346"/>
      <c r="AY116" s="346"/>
      <c r="AZ116" s="346"/>
      <c r="BA116" s="346"/>
      <c r="BB116" s="346"/>
      <c r="BC116" s="346"/>
      <c r="BD116" s="346"/>
      <c r="BE116" s="346"/>
      <c r="BF116" s="346"/>
      <c r="BG116" s="346"/>
      <c r="BH116" s="346"/>
      <c r="BI116" s="346"/>
      <c r="BJ116" s="346"/>
      <c r="BK116" s="346"/>
      <c r="BL116" s="346"/>
      <c r="BM116" s="346"/>
      <c r="BN116" s="346"/>
      <c r="BO116" s="346"/>
      <c r="BP116" s="346"/>
      <c r="BQ116" s="346"/>
      <c r="BR116" s="346"/>
      <c r="BS116" s="346"/>
      <c r="BT116" s="346"/>
      <c r="BU116" s="346"/>
      <c r="BV116" s="346"/>
      <c r="BW116" s="346"/>
      <c r="BX116" s="346"/>
      <c r="BY116" s="346"/>
      <c r="BZ116" s="346"/>
      <c r="CA116" s="346"/>
      <c r="CB116" s="346"/>
      <c r="CC116" s="346"/>
      <c r="CD116" s="346"/>
      <c r="CE116" s="346"/>
      <c r="CF116" s="346"/>
      <c r="CG116" s="346"/>
      <c r="CH116" s="346"/>
      <c r="CI116" s="346"/>
      <c r="CJ116" s="346"/>
      <c r="CK116" s="346"/>
      <c r="CL116" s="346"/>
      <c r="CM116" s="346"/>
      <c r="CN116" s="346"/>
      <c r="CO116" s="346"/>
      <c r="CP116" s="346"/>
      <c r="CQ116" s="346"/>
      <c r="CR116" s="346"/>
      <c r="CS116" s="346"/>
      <c r="CT116" s="346"/>
      <c r="CU116" s="346"/>
      <c r="CV116" s="346"/>
      <c r="CW116" s="346"/>
      <c r="CX116" s="346"/>
      <c r="CY116" s="346"/>
      <c r="CZ116" s="346"/>
      <c r="DA116" s="346"/>
      <c r="DB116" s="346"/>
      <c r="DC116" s="346"/>
      <c r="DD116" s="346"/>
      <c r="DE116" s="346"/>
      <c r="DF116" s="346"/>
      <c r="DG116" s="346"/>
      <c r="DH116" s="346"/>
      <c r="DI116" s="346"/>
      <c r="DJ116" s="346"/>
      <c r="DK116" s="346"/>
      <c r="DL116" s="346"/>
      <c r="DM116" s="346"/>
      <c r="DN116" s="346"/>
      <c r="DO116" s="346"/>
      <c r="DP116" s="346"/>
      <c r="DQ116" s="346"/>
      <c r="DR116" s="346"/>
      <c r="DS116" s="346"/>
      <c r="DT116" s="346"/>
      <c r="DU116" s="346"/>
      <c r="DV116" s="346"/>
      <c r="DW116" s="346"/>
      <c r="DX116" s="346"/>
      <c r="DY116" s="346"/>
      <c r="DZ116" s="346"/>
      <c r="EA116" s="346"/>
      <c r="EB116" s="346"/>
      <c r="EC116" s="346"/>
      <c r="ED116" s="346"/>
      <c r="EE116" s="346"/>
      <c r="EF116" s="346"/>
      <c r="EG116" s="346"/>
      <c r="EH116" s="346"/>
      <c r="EI116" s="346"/>
      <c r="EJ116" s="346"/>
      <c r="EK116" s="346"/>
      <c r="EL116" s="346"/>
      <c r="EM116" s="346"/>
      <c r="EN116" s="346"/>
      <c r="EO116" s="346"/>
      <c r="EP116" s="346"/>
      <c r="EQ116" s="346"/>
      <c r="ER116" s="346"/>
      <c r="ES116" s="346"/>
      <c r="ET116" s="346"/>
      <c r="EU116" s="346"/>
      <c r="EV116" s="346"/>
      <c r="EW116" s="346"/>
      <c r="EX116" s="346"/>
      <c r="EY116" s="346"/>
      <c r="EZ116" s="346"/>
      <c r="FA116" s="346"/>
      <c r="FB116" s="346"/>
      <c r="FC116" s="346"/>
      <c r="FD116" s="346"/>
      <c r="FE116" s="346"/>
      <c r="FF116" s="346"/>
      <c r="FG116" s="346"/>
      <c r="FH116" s="346"/>
      <c r="FI116" s="346"/>
      <c r="FJ116" s="346"/>
      <c r="FK116" s="346"/>
      <c r="FL116" s="346"/>
      <c r="FM116" s="346"/>
      <c r="FN116" s="346"/>
      <c r="FO116" s="346"/>
      <c r="FP116" s="346"/>
      <c r="FQ116" s="346"/>
      <c r="FR116" s="346"/>
      <c r="FS116" s="346"/>
      <c r="FT116" s="346"/>
      <c r="FU116" s="346"/>
      <c r="FV116" s="346"/>
      <c r="FW116" s="346"/>
      <c r="FX116" s="346"/>
      <c r="FY116" s="346"/>
      <c r="FZ116" s="346"/>
      <c r="GA116" s="346"/>
      <c r="GB116" s="346"/>
      <c r="GC116" s="346"/>
      <c r="GD116" s="346"/>
      <c r="GE116" s="346"/>
      <c r="GF116" s="346"/>
      <c r="GG116" s="346"/>
      <c r="GH116" s="346"/>
      <c r="GI116" s="346"/>
      <c r="GJ116" s="346"/>
      <c r="GK116" s="346"/>
      <c r="GL116" s="346"/>
      <c r="GM116" s="346"/>
      <c r="GN116" s="346"/>
      <c r="GO116" s="346"/>
      <c r="GP116" s="346"/>
      <c r="GQ116" s="346"/>
      <c r="GR116" s="346"/>
      <c r="GS116" s="346"/>
      <c r="GT116" s="346"/>
      <c r="GU116" s="346"/>
      <c r="GV116" s="346"/>
      <c r="GW116" s="346"/>
      <c r="GX116" s="346"/>
      <c r="GY116" s="346"/>
      <c r="GZ116" s="346"/>
      <c r="HA116" s="346"/>
      <c r="HB116" s="346"/>
      <c r="HC116" s="346"/>
      <c r="HD116" s="346"/>
      <c r="HE116" s="346"/>
      <c r="HF116" s="346"/>
      <c r="HG116" s="346"/>
      <c r="HH116" s="346"/>
      <c r="HI116" s="346"/>
      <c r="HJ116" s="346"/>
      <c r="HK116" s="346"/>
      <c r="HL116" s="346"/>
      <c r="HM116" s="346"/>
      <c r="HN116" s="346"/>
      <c r="HO116" s="346"/>
      <c r="HP116" s="346"/>
      <c r="HQ116" s="346"/>
      <c r="HR116" s="346"/>
      <c r="HS116" s="346"/>
      <c r="HT116" s="346"/>
      <c r="HU116" s="346"/>
      <c r="HV116" s="346"/>
      <c r="HW116" s="346"/>
      <c r="HX116" s="346"/>
      <c r="HY116" s="346"/>
      <c r="HZ116" s="346"/>
      <c r="IA116" s="346"/>
      <c r="IB116" s="346"/>
      <c r="IC116" s="346"/>
      <c r="ID116" s="346"/>
      <c r="IE116" s="346"/>
      <c r="IF116" s="346"/>
      <c r="IG116" s="346"/>
      <c r="IH116" s="346"/>
      <c r="II116" s="346"/>
      <c r="IJ116" s="346"/>
      <c r="IK116" s="346"/>
      <c r="IL116" s="346"/>
      <c r="IM116" s="346"/>
      <c r="IN116" s="346"/>
      <c r="IO116" s="346"/>
      <c r="IP116" s="346"/>
      <c r="IQ116" s="346"/>
      <c r="IR116" s="346"/>
      <c r="IS116" s="346"/>
      <c r="IT116" s="346"/>
    </row>
    <row r="117" spans="1:254">
      <c r="A117" s="362"/>
      <c r="B117" s="534"/>
      <c r="C117" s="525"/>
      <c r="D117" s="525"/>
      <c r="E117" s="1257"/>
      <c r="F117" s="588"/>
    </row>
    <row r="118" spans="1:254">
      <c r="A118" s="484" t="s">
        <v>1853</v>
      </c>
      <c r="B118" s="567"/>
      <c r="C118" s="521"/>
      <c r="D118" s="521"/>
      <c r="E118" s="1213"/>
      <c r="F118" s="568"/>
    </row>
    <row r="119" spans="1:254" ht="66">
      <c r="A119" s="497"/>
      <c r="B119" s="363" t="s">
        <v>1854</v>
      </c>
      <c r="C119" s="484"/>
      <c r="D119" s="484"/>
      <c r="E119" s="1210"/>
      <c r="F119" s="522"/>
      <c r="G119" s="1583"/>
    </row>
    <row r="120" spans="1:254">
      <c r="C120" s="484" t="s">
        <v>27</v>
      </c>
      <c r="D120" s="484">
        <v>1</v>
      </c>
      <c r="E120" s="1338">
        <v>500</v>
      </c>
      <c r="F120" s="912">
        <f>D120*E120</f>
        <v>500</v>
      </c>
      <c r="G120" s="1583"/>
    </row>
    <row r="121" spans="1:254">
      <c r="C121" s="484"/>
      <c r="D121" s="484"/>
      <c r="F121" s="913"/>
      <c r="G121" s="1583"/>
    </row>
    <row r="122" spans="1:254">
      <c r="A122" s="589" t="s">
        <v>1855</v>
      </c>
      <c r="B122" s="524"/>
      <c r="C122" s="484"/>
      <c r="D122" s="484"/>
      <c r="E122" s="1258"/>
      <c r="F122" s="926"/>
      <c r="G122" s="1583"/>
    </row>
    <row r="123" spans="1:254" ht="26.4">
      <c r="A123" s="484"/>
      <c r="B123" s="524" t="s">
        <v>1771</v>
      </c>
      <c r="C123" s="506"/>
      <c r="D123" s="506"/>
      <c r="E123" s="1204"/>
      <c r="F123" s="927"/>
      <c r="G123" s="1583"/>
    </row>
    <row r="124" spans="1:254">
      <c r="A124" s="484"/>
      <c r="B124" s="524"/>
      <c r="C124" s="484" t="s">
        <v>27</v>
      </c>
      <c r="D124" s="484">
        <v>1</v>
      </c>
      <c r="E124" s="1338">
        <v>500</v>
      </c>
      <c r="F124" s="912">
        <f>D124*E124</f>
        <v>500</v>
      </c>
      <c r="G124" s="1583"/>
    </row>
    <row r="125" spans="1:254">
      <c r="A125" s="484"/>
      <c r="B125" s="524"/>
      <c r="C125" s="484"/>
      <c r="D125" s="484"/>
      <c r="E125" s="1258"/>
      <c r="F125" s="926"/>
      <c r="G125" s="1583"/>
    </row>
    <row r="126" spans="1:254">
      <c r="A126" s="484" t="s">
        <v>1856</v>
      </c>
      <c r="B126" s="524"/>
      <c r="C126" s="484"/>
      <c r="D126" s="484"/>
      <c r="E126" s="1258"/>
      <c r="F126" s="926"/>
      <c r="G126" s="1583"/>
    </row>
    <row r="127" spans="1:254" ht="39.6">
      <c r="A127" s="484"/>
      <c r="B127" s="526" t="s">
        <v>1773</v>
      </c>
      <c r="C127" s="484"/>
      <c r="D127" s="484"/>
      <c r="E127" s="1258"/>
      <c r="F127" s="926"/>
      <c r="G127" s="1583"/>
    </row>
    <row r="128" spans="1:254">
      <c r="A128" s="484"/>
      <c r="B128" s="524"/>
      <c r="C128" s="484" t="s">
        <v>27</v>
      </c>
      <c r="D128" s="484">
        <v>1</v>
      </c>
      <c r="E128" s="1338">
        <v>250</v>
      </c>
      <c r="F128" s="912">
        <f>D128*E128</f>
        <v>250</v>
      </c>
      <c r="G128" s="1583"/>
    </row>
    <row r="129" spans="1:254" s="590" customFormat="1">
      <c r="A129" s="484"/>
      <c r="B129" s="524"/>
      <c r="C129" s="484"/>
      <c r="D129" s="484"/>
      <c r="E129" s="1258"/>
      <c r="F129" s="926"/>
      <c r="G129" s="1583"/>
      <c r="H129" s="346"/>
      <c r="I129" s="346"/>
      <c r="J129" s="346"/>
      <c r="K129" s="346"/>
      <c r="L129" s="346"/>
      <c r="M129" s="346"/>
      <c r="N129" s="346"/>
      <c r="O129" s="346"/>
      <c r="P129" s="346"/>
      <c r="Q129" s="346"/>
      <c r="R129" s="346"/>
      <c r="S129" s="346"/>
      <c r="T129" s="346"/>
      <c r="U129" s="346"/>
      <c r="V129" s="346"/>
      <c r="W129" s="346"/>
      <c r="X129" s="346"/>
      <c r="Y129" s="346"/>
      <c r="Z129" s="346"/>
      <c r="AA129" s="346"/>
      <c r="AB129" s="346"/>
      <c r="AC129" s="346"/>
      <c r="AD129" s="346"/>
      <c r="AE129" s="346"/>
      <c r="AF129" s="346"/>
      <c r="AG129" s="346"/>
      <c r="AH129" s="346"/>
      <c r="AI129" s="346"/>
      <c r="AJ129" s="346"/>
      <c r="AK129" s="346"/>
      <c r="AL129" s="346"/>
      <c r="AM129" s="346"/>
      <c r="AN129" s="346"/>
      <c r="AO129" s="346"/>
      <c r="AP129" s="346"/>
      <c r="AQ129" s="346"/>
      <c r="AR129" s="346"/>
      <c r="AS129" s="346"/>
      <c r="AT129" s="346"/>
      <c r="AU129" s="346"/>
      <c r="AV129" s="346"/>
      <c r="AW129" s="346"/>
      <c r="AX129" s="346"/>
      <c r="AY129" s="346"/>
      <c r="AZ129" s="346"/>
      <c r="BA129" s="346"/>
      <c r="BB129" s="346"/>
      <c r="BC129" s="346"/>
      <c r="BD129" s="346"/>
      <c r="BE129" s="346"/>
      <c r="BF129" s="346"/>
      <c r="BG129" s="346"/>
      <c r="BH129" s="346"/>
      <c r="BI129" s="346"/>
      <c r="BJ129" s="346"/>
      <c r="BK129" s="346"/>
      <c r="BL129" s="346"/>
      <c r="BM129" s="346"/>
      <c r="BN129" s="346"/>
      <c r="BO129" s="346"/>
      <c r="BP129" s="346"/>
      <c r="BQ129" s="346"/>
      <c r="BR129" s="346"/>
      <c r="BS129" s="346"/>
      <c r="BT129" s="346"/>
      <c r="BU129" s="346"/>
      <c r="BV129" s="346"/>
      <c r="BW129" s="346"/>
      <c r="BX129" s="346"/>
      <c r="BY129" s="346"/>
      <c r="BZ129" s="346"/>
      <c r="CA129" s="346"/>
      <c r="CB129" s="346"/>
      <c r="CC129" s="346"/>
      <c r="CD129" s="346"/>
      <c r="CE129" s="346"/>
      <c r="CF129" s="346"/>
      <c r="CG129" s="346"/>
      <c r="CH129" s="346"/>
      <c r="CI129" s="346"/>
      <c r="CJ129" s="346"/>
      <c r="CK129" s="346"/>
      <c r="CL129" s="346"/>
      <c r="CM129" s="346"/>
      <c r="CN129" s="346"/>
      <c r="CO129" s="346"/>
      <c r="CP129" s="346"/>
      <c r="CQ129" s="346"/>
      <c r="CR129" s="346"/>
      <c r="CS129" s="346"/>
      <c r="CT129" s="346"/>
      <c r="CU129" s="346"/>
      <c r="CV129" s="346"/>
      <c r="CW129" s="346"/>
      <c r="CX129" s="346"/>
      <c r="CY129" s="346"/>
      <c r="CZ129" s="346"/>
      <c r="DA129" s="346"/>
      <c r="DB129" s="346"/>
      <c r="DC129" s="346"/>
      <c r="DD129" s="346"/>
      <c r="DE129" s="346"/>
      <c r="DF129" s="346"/>
      <c r="DG129" s="346"/>
      <c r="DH129" s="346"/>
      <c r="DI129" s="346"/>
      <c r="DJ129" s="346"/>
      <c r="DK129" s="346"/>
      <c r="DL129" s="346"/>
      <c r="DM129" s="346"/>
      <c r="DN129" s="346"/>
      <c r="DO129" s="346"/>
      <c r="DP129" s="346"/>
      <c r="DQ129" s="346"/>
      <c r="DR129" s="346"/>
      <c r="DS129" s="346"/>
      <c r="DT129" s="346"/>
      <c r="DU129" s="346"/>
      <c r="DV129" s="346"/>
      <c r="DW129" s="346"/>
      <c r="DX129" s="346"/>
      <c r="DY129" s="346"/>
      <c r="DZ129" s="346"/>
      <c r="EA129" s="346"/>
      <c r="EB129" s="346"/>
      <c r="EC129" s="346"/>
      <c r="ED129" s="346"/>
      <c r="EE129" s="346"/>
      <c r="EF129" s="346"/>
      <c r="EG129" s="346"/>
      <c r="EH129" s="346"/>
      <c r="EI129" s="346"/>
      <c r="EJ129" s="346"/>
      <c r="EK129" s="346"/>
      <c r="EL129" s="346"/>
      <c r="EM129" s="346"/>
      <c r="EN129" s="346"/>
      <c r="EO129" s="346"/>
      <c r="EP129" s="346"/>
      <c r="EQ129" s="346"/>
      <c r="ER129" s="346"/>
      <c r="ES129" s="346"/>
      <c r="ET129" s="346"/>
      <c r="EU129" s="346"/>
      <c r="EV129" s="346"/>
      <c r="EW129" s="346"/>
      <c r="EX129" s="346"/>
      <c r="EY129" s="346"/>
      <c r="EZ129" s="346"/>
      <c r="FA129" s="346"/>
      <c r="FB129" s="346"/>
      <c r="FC129" s="346"/>
      <c r="FD129" s="346"/>
      <c r="FE129" s="346"/>
      <c r="FF129" s="346"/>
      <c r="FG129" s="346"/>
      <c r="FH129" s="346"/>
      <c r="FI129" s="346"/>
      <c r="FJ129" s="346"/>
      <c r="FK129" s="346"/>
      <c r="FL129" s="346"/>
      <c r="FM129" s="346"/>
      <c r="FN129" s="346"/>
      <c r="FO129" s="346"/>
      <c r="FP129" s="346"/>
      <c r="FQ129" s="346"/>
      <c r="FR129" s="346"/>
      <c r="FS129" s="346"/>
      <c r="FT129" s="346"/>
      <c r="FU129" s="346"/>
      <c r="FV129" s="346"/>
      <c r="FW129" s="346"/>
      <c r="FX129" s="346"/>
      <c r="FY129" s="346"/>
      <c r="FZ129" s="346"/>
      <c r="GA129" s="346"/>
      <c r="GB129" s="346"/>
      <c r="GC129" s="346"/>
      <c r="GD129" s="346"/>
      <c r="GE129" s="346"/>
      <c r="GF129" s="346"/>
      <c r="GG129" s="346"/>
      <c r="GH129" s="346"/>
      <c r="GI129" s="346"/>
      <c r="GJ129" s="346"/>
      <c r="GK129" s="346"/>
      <c r="GL129" s="346"/>
      <c r="GM129" s="346"/>
      <c r="GN129" s="346"/>
      <c r="GO129" s="346"/>
      <c r="GP129" s="346"/>
      <c r="GQ129" s="346"/>
      <c r="GR129" s="346"/>
      <c r="GS129" s="346"/>
      <c r="GT129" s="346"/>
      <c r="GU129" s="346"/>
      <c r="GV129" s="346"/>
      <c r="GW129" s="346"/>
      <c r="GX129" s="346"/>
      <c r="GY129" s="346"/>
      <c r="GZ129" s="346"/>
      <c r="HA129" s="346"/>
      <c r="HB129" s="346"/>
      <c r="HC129" s="346"/>
      <c r="HD129" s="346"/>
      <c r="HE129" s="346"/>
      <c r="HF129" s="346"/>
      <c r="HG129" s="346"/>
      <c r="HH129" s="346"/>
      <c r="HI129" s="346"/>
      <c r="HJ129" s="346"/>
      <c r="HK129" s="346"/>
      <c r="HL129" s="346"/>
      <c r="HM129" s="346"/>
      <c r="HN129" s="346"/>
      <c r="HO129" s="346"/>
      <c r="HP129" s="346"/>
      <c r="HQ129" s="346"/>
      <c r="HR129" s="346"/>
      <c r="HS129" s="346"/>
      <c r="HT129" s="346"/>
      <c r="HU129" s="346"/>
      <c r="HV129" s="346"/>
      <c r="HW129" s="346"/>
      <c r="HX129" s="346"/>
      <c r="HY129" s="346"/>
      <c r="HZ129" s="346"/>
      <c r="IA129" s="346"/>
      <c r="IB129" s="346"/>
      <c r="IC129" s="346"/>
      <c r="ID129" s="346"/>
      <c r="IE129" s="346"/>
      <c r="IF129" s="346"/>
      <c r="IG129" s="346"/>
      <c r="IH129" s="346"/>
      <c r="II129" s="346"/>
      <c r="IJ129" s="346"/>
      <c r="IK129" s="346"/>
      <c r="IL129" s="346"/>
      <c r="IM129" s="346"/>
      <c r="IN129" s="346"/>
      <c r="IO129" s="346"/>
      <c r="IP129" s="346"/>
      <c r="IQ129" s="346"/>
      <c r="IR129" s="346"/>
      <c r="IS129" s="346"/>
      <c r="IT129" s="346"/>
    </row>
    <row r="130" spans="1:254" s="590" customFormat="1">
      <c r="A130" s="527" t="s">
        <v>1857</v>
      </c>
      <c r="B130" s="363"/>
      <c r="C130" s="484"/>
      <c r="D130" s="484"/>
      <c r="E130" s="1214"/>
      <c r="F130" s="913"/>
      <c r="G130" s="1583"/>
      <c r="H130" s="346"/>
      <c r="I130" s="346"/>
      <c r="J130" s="346"/>
      <c r="K130" s="346"/>
      <c r="L130" s="346"/>
      <c r="M130" s="346"/>
      <c r="N130" s="346"/>
      <c r="O130" s="346"/>
      <c r="P130" s="346"/>
      <c r="Q130" s="346"/>
      <c r="R130" s="346"/>
      <c r="S130" s="346"/>
      <c r="T130" s="346"/>
      <c r="U130" s="346"/>
      <c r="V130" s="346"/>
      <c r="W130" s="346"/>
      <c r="X130" s="346"/>
      <c r="Y130" s="346"/>
      <c r="Z130" s="346"/>
      <c r="AA130" s="346"/>
      <c r="AB130" s="346"/>
      <c r="AC130" s="346"/>
      <c r="AD130" s="346"/>
      <c r="AE130" s="346"/>
      <c r="AF130" s="346"/>
      <c r="AG130" s="346"/>
      <c r="AH130" s="346"/>
      <c r="AI130" s="346"/>
      <c r="AJ130" s="346"/>
      <c r="AK130" s="346"/>
      <c r="AL130" s="346"/>
      <c r="AM130" s="346"/>
      <c r="AN130" s="346"/>
      <c r="AO130" s="346"/>
      <c r="AP130" s="346"/>
      <c r="AQ130" s="346"/>
      <c r="AR130" s="346"/>
      <c r="AS130" s="346"/>
      <c r="AT130" s="346"/>
      <c r="AU130" s="346"/>
      <c r="AV130" s="346"/>
      <c r="AW130" s="346"/>
      <c r="AX130" s="346"/>
      <c r="AY130" s="346"/>
      <c r="AZ130" s="346"/>
      <c r="BA130" s="346"/>
      <c r="BB130" s="346"/>
      <c r="BC130" s="346"/>
      <c r="BD130" s="346"/>
      <c r="BE130" s="346"/>
      <c r="BF130" s="346"/>
      <c r="BG130" s="346"/>
      <c r="BH130" s="346"/>
      <c r="BI130" s="346"/>
      <c r="BJ130" s="346"/>
      <c r="BK130" s="346"/>
      <c r="BL130" s="346"/>
      <c r="BM130" s="346"/>
      <c r="BN130" s="346"/>
      <c r="BO130" s="346"/>
      <c r="BP130" s="346"/>
      <c r="BQ130" s="346"/>
      <c r="BR130" s="346"/>
      <c r="BS130" s="346"/>
      <c r="BT130" s="346"/>
      <c r="BU130" s="346"/>
      <c r="BV130" s="346"/>
      <c r="BW130" s="346"/>
      <c r="BX130" s="346"/>
      <c r="BY130" s="346"/>
      <c r="BZ130" s="346"/>
      <c r="CA130" s="346"/>
      <c r="CB130" s="346"/>
      <c r="CC130" s="346"/>
      <c r="CD130" s="346"/>
      <c r="CE130" s="346"/>
      <c r="CF130" s="346"/>
      <c r="CG130" s="346"/>
      <c r="CH130" s="346"/>
      <c r="CI130" s="346"/>
      <c r="CJ130" s="346"/>
      <c r="CK130" s="346"/>
      <c r="CL130" s="346"/>
      <c r="CM130" s="346"/>
      <c r="CN130" s="346"/>
      <c r="CO130" s="346"/>
      <c r="CP130" s="346"/>
      <c r="CQ130" s="346"/>
      <c r="CR130" s="346"/>
      <c r="CS130" s="346"/>
      <c r="CT130" s="346"/>
      <c r="CU130" s="346"/>
      <c r="CV130" s="346"/>
      <c r="CW130" s="346"/>
      <c r="CX130" s="346"/>
      <c r="CY130" s="346"/>
      <c r="CZ130" s="346"/>
      <c r="DA130" s="346"/>
      <c r="DB130" s="346"/>
      <c r="DC130" s="346"/>
      <c r="DD130" s="346"/>
      <c r="DE130" s="346"/>
      <c r="DF130" s="346"/>
      <c r="DG130" s="346"/>
      <c r="DH130" s="346"/>
      <c r="DI130" s="346"/>
      <c r="DJ130" s="346"/>
      <c r="DK130" s="346"/>
      <c r="DL130" s="346"/>
      <c r="DM130" s="346"/>
      <c r="DN130" s="346"/>
      <c r="DO130" s="346"/>
      <c r="DP130" s="346"/>
      <c r="DQ130" s="346"/>
      <c r="DR130" s="346"/>
      <c r="DS130" s="346"/>
      <c r="DT130" s="346"/>
      <c r="DU130" s="346"/>
      <c r="DV130" s="346"/>
      <c r="DW130" s="346"/>
      <c r="DX130" s="346"/>
      <c r="DY130" s="346"/>
      <c r="DZ130" s="346"/>
      <c r="EA130" s="346"/>
      <c r="EB130" s="346"/>
      <c r="EC130" s="346"/>
      <c r="ED130" s="346"/>
      <c r="EE130" s="346"/>
      <c r="EF130" s="346"/>
      <c r="EG130" s="346"/>
      <c r="EH130" s="346"/>
      <c r="EI130" s="346"/>
      <c r="EJ130" s="346"/>
      <c r="EK130" s="346"/>
      <c r="EL130" s="346"/>
      <c r="EM130" s="346"/>
      <c r="EN130" s="346"/>
      <c r="EO130" s="346"/>
      <c r="EP130" s="346"/>
      <c r="EQ130" s="346"/>
      <c r="ER130" s="346"/>
      <c r="ES130" s="346"/>
      <c r="ET130" s="346"/>
      <c r="EU130" s="346"/>
      <c r="EV130" s="346"/>
      <c r="EW130" s="346"/>
      <c r="EX130" s="346"/>
      <c r="EY130" s="346"/>
      <c r="EZ130" s="346"/>
      <c r="FA130" s="346"/>
      <c r="FB130" s="346"/>
      <c r="FC130" s="346"/>
      <c r="FD130" s="346"/>
      <c r="FE130" s="346"/>
      <c r="FF130" s="346"/>
      <c r="FG130" s="346"/>
      <c r="FH130" s="346"/>
      <c r="FI130" s="346"/>
      <c r="FJ130" s="346"/>
      <c r="FK130" s="346"/>
      <c r="FL130" s="346"/>
      <c r="FM130" s="346"/>
      <c r="FN130" s="346"/>
      <c r="FO130" s="346"/>
      <c r="FP130" s="346"/>
      <c r="FQ130" s="346"/>
      <c r="FR130" s="346"/>
      <c r="FS130" s="346"/>
      <c r="FT130" s="346"/>
      <c r="FU130" s="346"/>
      <c r="FV130" s="346"/>
      <c r="FW130" s="346"/>
      <c r="FX130" s="346"/>
      <c r="FY130" s="346"/>
      <c r="FZ130" s="346"/>
      <c r="GA130" s="346"/>
      <c r="GB130" s="346"/>
      <c r="GC130" s="346"/>
      <c r="GD130" s="346"/>
      <c r="GE130" s="346"/>
      <c r="GF130" s="346"/>
      <c r="GG130" s="346"/>
      <c r="GH130" s="346"/>
      <c r="GI130" s="346"/>
      <c r="GJ130" s="346"/>
      <c r="GK130" s="346"/>
      <c r="GL130" s="346"/>
      <c r="GM130" s="346"/>
      <c r="GN130" s="346"/>
      <c r="GO130" s="346"/>
      <c r="GP130" s="346"/>
      <c r="GQ130" s="346"/>
      <c r="GR130" s="346"/>
      <c r="GS130" s="346"/>
      <c r="GT130" s="346"/>
      <c r="GU130" s="346"/>
      <c r="GV130" s="346"/>
      <c r="GW130" s="346"/>
      <c r="GX130" s="346"/>
      <c r="GY130" s="346"/>
      <c r="GZ130" s="346"/>
      <c r="HA130" s="346"/>
      <c r="HB130" s="346"/>
      <c r="HC130" s="346"/>
      <c r="HD130" s="346"/>
      <c r="HE130" s="346"/>
      <c r="HF130" s="346"/>
      <c r="HG130" s="346"/>
      <c r="HH130" s="346"/>
      <c r="HI130" s="346"/>
      <c r="HJ130" s="346"/>
      <c r="HK130" s="346"/>
      <c r="HL130" s="346"/>
      <c r="HM130" s="346"/>
      <c r="HN130" s="346"/>
      <c r="HO130" s="346"/>
      <c r="HP130" s="346"/>
      <c r="HQ130" s="346"/>
      <c r="HR130" s="346"/>
      <c r="HS130" s="346"/>
      <c r="HT130" s="346"/>
      <c r="HU130" s="346"/>
      <c r="HV130" s="346"/>
      <c r="HW130" s="346"/>
      <c r="HX130" s="346"/>
      <c r="HY130" s="346"/>
      <c r="HZ130" s="346"/>
      <c r="IA130" s="346"/>
      <c r="IB130" s="346"/>
      <c r="IC130" s="346"/>
      <c r="ID130" s="346"/>
      <c r="IE130" s="346"/>
      <c r="IF130" s="346"/>
      <c r="IG130" s="346"/>
      <c r="IH130" s="346"/>
      <c r="II130" s="346"/>
      <c r="IJ130" s="346"/>
      <c r="IK130" s="346"/>
      <c r="IL130" s="346"/>
      <c r="IM130" s="346"/>
      <c r="IN130" s="346"/>
      <c r="IO130" s="346"/>
      <c r="IP130" s="346"/>
      <c r="IQ130" s="346"/>
      <c r="IR130" s="346"/>
      <c r="IS130" s="346"/>
      <c r="IT130" s="346"/>
    </row>
    <row r="131" spans="1:254" s="590" customFormat="1" ht="26.4">
      <c r="A131" s="527"/>
      <c r="B131" s="363" t="s">
        <v>1775</v>
      </c>
      <c r="C131" s="484"/>
      <c r="D131" s="484"/>
      <c r="E131" s="1214"/>
      <c r="F131" s="913"/>
      <c r="G131" s="1583"/>
      <c r="H131" s="346"/>
      <c r="I131" s="346"/>
      <c r="J131" s="346"/>
      <c r="K131" s="346"/>
      <c r="L131" s="346"/>
      <c r="M131" s="346"/>
      <c r="N131" s="346"/>
      <c r="O131" s="346"/>
      <c r="P131" s="346"/>
      <c r="Q131" s="346"/>
      <c r="R131" s="346"/>
      <c r="S131" s="346"/>
      <c r="T131" s="346"/>
      <c r="U131" s="346"/>
      <c r="V131" s="346"/>
      <c r="W131" s="346"/>
      <c r="X131" s="346"/>
      <c r="Y131" s="346"/>
      <c r="Z131" s="346"/>
      <c r="AA131" s="346"/>
      <c r="AB131" s="346"/>
      <c r="AC131" s="346"/>
      <c r="AD131" s="346"/>
      <c r="AE131" s="346"/>
      <c r="AF131" s="346"/>
      <c r="AG131" s="346"/>
      <c r="AH131" s="346"/>
      <c r="AI131" s="346"/>
      <c r="AJ131" s="346"/>
      <c r="AK131" s="346"/>
      <c r="AL131" s="346"/>
      <c r="AM131" s="346"/>
      <c r="AN131" s="346"/>
      <c r="AO131" s="346"/>
      <c r="AP131" s="346"/>
      <c r="AQ131" s="346"/>
      <c r="AR131" s="346"/>
      <c r="AS131" s="346"/>
      <c r="AT131" s="346"/>
      <c r="AU131" s="346"/>
      <c r="AV131" s="346"/>
      <c r="AW131" s="346"/>
      <c r="AX131" s="346"/>
      <c r="AY131" s="346"/>
      <c r="AZ131" s="346"/>
      <c r="BA131" s="346"/>
      <c r="BB131" s="346"/>
      <c r="BC131" s="346"/>
      <c r="BD131" s="346"/>
      <c r="BE131" s="346"/>
      <c r="BF131" s="346"/>
      <c r="BG131" s="346"/>
      <c r="BH131" s="346"/>
      <c r="BI131" s="346"/>
      <c r="BJ131" s="346"/>
      <c r="BK131" s="346"/>
      <c r="BL131" s="346"/>
      <c r="BM131" s="346"/>
      <c r="BN131" s="346"/>
      <c r="BO131" s="346"/>
      <c r="BP131" s="346"/>
      <c r="BQ131" s="346"/>
      <c r="BR131" s="346"/>
      <c r="BS131" s="346"/>
      <c r="BT131" s="346"/>
      <c r="BU131" s="346"/>
      <c r="BV131" s="346"/>
      <c r="BW131" s="346"/>
      <c r="BX131" s="346"/>
      <c r="BY131" s="346"/>
      <c r="BZ131" s="346"/>
      <c r="CA131" s="346"/>
      <c r="CB131" s="346"/>
      <c r="CC131" s="346"/>
      <c r="CD131" s="346"/>
      <c r="CE131" s="346"/>
      <c r="CF131" s="346"/>
      <c r="CG131" s="346"/>
      <c r="CH131" s="346"/>
      <c r="CI131" s="346"/>
      <c r="CJ131" s="346"/>
      <c r="CK131" s="346"/>
      <c r="CL131" s="346"/>
      <c r="CM131" s="346"/>
      <c r="CN131" s="346"/>
      <c r="CO131" s="346"/>
      <c r="CP131" s="346"/>
      <c r="CQ131" s="346"/>
      <c r="CR131" s="346"/>
      <c r="CS131" s="346"/>
      <c r="CT131" s="346"/>
      <c r="CU131" s="346"/>
      <c r="CV131" s="346"/>
      <c r="CW131" s="346"/>
      <c r="CX131" s="346"/>
      <c r="CY131" s="346"/>
      <c r="CZ131" s="346"/>
      <c r="DA131" s="346"/>
      <c r="DB131" s="346"/>
      <c r="DC131" s="346"/>
      <c r="DD131" s="346"/>
      <c r="DE131" s="346"/>
      <c r="DF131" s="346"/>
      <c r="DG131" s="346"/>
      <c r="DH131" s="346"/>
      <c r="DI131" s="346"/>
      <c r="DJ131" s="346"/>
      <c r="DK131" s="346"/>
      <c r="DL131" s="346"/>
      <c r="DM131" s="346"/>
      <c r="DN131" s="346"/>
      <c r="DO131" s="346"/>
      <c r="DP131" s="346"/>
      <c r="DQ131" s="346"/>
      <c r="DR131" s="346"/>
      <c r="DS131" s="346"/>
      <c r="DT131" s="346"/>
      <c r="DU131" s="346"/>
      <c r="DV131" s="346"/>
      <c r="DW131" s="346"/>
      <c r="DX131" s="346"/>
      <c r="DY131" s="346"/>
      <c r="DZ131" s="346"/>
      <c r="EA131" s="346"/>
      <c r="EB131" s="346"/>
      <c r="EC131" s="346"/>
      <c r="ED131" s="346"/>
      <c r="EE131" s="346"/>
      <c r="EF131" s="346"/>
      <c r="EG131" s="346"/>
      <c r="EH131" s="346"/>
      <c r="EI131" s="346"/>
      <c r="EJ131" s="346"/>
      <c r="EK131" s="346"/>
      <c r="EL131" s="346"/>
      <c r="EM131" s="346"/>
      <c r="EN131" s="346"/>
      <c r="EO131" s="346"/>
      <c r="EP131" s="346"/>
      <c r="EQ131" s="346"/>
      <c r="ER131" s="346"/>
      <c r="ES131" s="346"/>
      <c r="ET131" s="346"/>
      <c r="EU131" s="346"/>
      <c r="EV131" s="346"/>
      <c r="EW131" s="346"/>
      <c r="EX131" s="346"/>
      <c r="EY131" s="346"/>
      <c r="EZ131" s="346"/>
      <c r="FA131" s="346"/>
      <c r="FB131" s="346"/>
      <c r="FC131" s="346"/>
      <c r="FD131" s="346"/>
      <c r="FE131" s="346"/>
      <c r="FF131" s="346"/>
      <c r="FG131" s="346"/>
      <c r="FH131" s="346"/>
      <c r="FI131" s="346"/>
      <c r="FJ131" s="346"/>
      <c r="FK131" s="346"/>
      <c r="FL131" s="346"/>
      <c r="FM131" s="346"/>
      <c r="FN131" s="346"/>
      <c r="FO131" s="346"/>
      <c r="FP131" s="346"/>
      <c r="FQ131" s="346"/>
      <c r="FR131" s="346"/>
      <c r="FS131" s="346"/>
      <c r="FT131" s="346"/>
      <c r="FU131" s="346"/>
      <c r="FV131" s="346"/>
      <c r="FW131" s="346"/>
      <c r="FX131" s="346"/>
      <c r="FY131" s="346"/>
      <c r="FZ131" s="346"/>
      <c r="GA131" s="346"/>
      <c r="GB131" s="346"/>
      <c r="GC131" s="346"/>
      <c r="GD131" s="346"/>
      <c r="GE131" s="346"/>
      <c r="GF131" s="346"/>
      <c r="GG131" s="346"/>
      <c r="GH131" s="346"/>
      <c r="GI131" s="346"/>
      <c r="GJ131" s="346"/>
      <c r="GK131" s="346"/>
      <c r="GL131" s="346"/>
      <c r="GM131" s="346"/>
      <c r="GN131" s="346"/>
      <c r="GO131" s="346"/>
      <c r="GP131" s="346"/>
      <c r="GQ131" s="346"/>
      <c r="GR131" s="346"/>
      <c r="GS131" s="346"/>
      <c r="GT131" s="346"/>
      <c r="GU131" s="346"/>
      <c r="GV131" s="346"/>
      <c r="GW131" s="346"/>
      <c r="GX131" s="346"/>
      <c r="GY131" s="346"/>
      <c r="GZ131" s="346"/>
      <c r="HA131" s="346"/>
      <c r="HB131" s="346"/>
      <c r="HC131" s="346"/>
      <c r="HD131" s="346"/>
      <c r="HE131" s="346"/>
      <c r="HF131" s="346"/>
      <c r="HG131" s="346"/>
      <c r="HH131" s="346"/>
      <c r="HI131" s="346"/>
      <c r="HJ131" s="346"/>
      <c r="HK131" s="346"/>
      <c r="HL131" s="346"/>
      <c r="HM131" s="346"/>
      <c r="HN131" s="346"/>
      <c r="HO131" s="346"/>
      <c r="HP131" s="346"/>
      <c r="HQ131" s="346"/>
      <c r="HR131" s="346"/>
      <c r="HS131" s="346"/>
      <c r="HT131" s="346"/>
      <c r="HU131" s="346"/>
      <c r="HV131" s="346"/>
      <c r="HW131" s="346"/>
      <c r="HX131" s="346"/>
      <c r="HY131" s="346"/>
      <c r="HZ131" s="346"/>
      <c r="IA131" s="346"/>
      <c r="IB131" s="346"/>
      <c r="IC131" s="346"/>
      <c r="ID131" s="346"/>
      <c r="IE131" s="346"/>
      <c r="IF131" s="346"/>
      <c r="IG131" s="346"/>
      <c r="IH131" s="346"/>
      <c r="II131" s="346"/>
      <c r="IJ131" s="346"/>
      <c r="IK131" s="346"/>
      <c r="IL131" s="346"/>
      <c r="IM131" s="346"/>
      <c r="IN131" s="346"/>
      <c r="IO131" s="346"/>
      <c r="IP131" s="346"/>
      <c r="IQ131" s="346"/>
      <c r="IR131" s="346"/>
      <c r="IS131" s="346"/>
      <c r="IT131" s="346"/>
    </row>
    <row r="132" spans="1:254">
      <c r="A132" s="527"/>
      <c r="B132" s="528"/>
      <c r="C132" s="484" t="s">
        <v>27</v>
      </c>
      <c r="D132" s="484">
        <v>1</v>
      </c>
      <c r="E132" s="1338">
        <v>200</v>
      </c>
      <c r="F132" s="912">
        <f>D132*E132</f>
        <v>200</v>
      </c>
      <c r="G132" s="1583"/>
    </row>
    <row r="133" spans="1:254" s="590" customFormat="1">
      <c r="A133" s="527"/>
      <c r="B133" s="528"/>
      <c r="C133" s="484"/>
      <c r="D133" s="484"/>
      <c r="E133" s="1214"/>
      <c r="F133" s="927"/>
      <c r="G133" s="1583"/>
      <c r="H133" s="346"/>
      <c r="I133" s="346"/>
      <c r="J133" s="346"/>
      <c r="K133" s="346"/>
      <c r="L133" s="346"/>
      <c r="M133" s="346"/>
      <c r="N133" s="346"/>
      <c r="O133" s="346"/>
      <c r="P133" s="346"/>
      <c r="Q133" s="346"/>
      <c r="R133" s="346"/>
      <c r="S133" s="346"/>
      <c r="T133" s="346"/>
      <c r="U133" s="346"/>
      <c r="V133" s="346"/>
      <c r="W133" s="346"/>
      <c r="X133" s="346"/>
      <c r="Y133" s="346"/>
      <c r="Z133" s="346"/>
      <c r="AA133" s="346"/>
      <c r="AB133" s="346"/>
      <c r="AC133" s="346"/>
      <c r="AD133" s="346"/>
      <c r="AE133" s="346"/>
      <c r="AF133" s="346"/>
      <c r="AG133" s="346"/>
      <c r="AH133" s="346"/>
      <c r="AI133" s="346"/>
      <c r="AJ133" s="346"/>
      <c r="AK133" s="346"/>
      <c r="AL133" s="346"/>
      <c r="AM133" s="346"/>
      <c r="AN133" s="346"/>
      <c r="AO133" s="346"/>
      <c r="AP133" s="346"/>
      <c r="AQ133" s="346"/>
      <c r="AR133" s="346"/>
      <c r="AS133" s="346"/>
      <c r="AT133" s="346"/>
      <c r="AU133" s="346"/>
      <c r="AV133" s="346"/>
      <c r="AW133" s="346"/>
      <c r="AX133" s="346"/>
      <c r="AY133" s="346"/>
      <c r="AZ133" s="346"/>
      <c r="BA133" s="346"/>
      <c r="BB133" s="346"/>
      <c r="BC133" s="346"/>
      <c r="BD133" s="346"/>
      <c r="BE133" s="346"/>
      <c r="BF133" s="346"/>
      <c r="BG133" s="346"/>
      <c r="BH133" s="346"/>
      <c r="BI133" s="346"/>
      <c r="BJ133" s="346"/>
      <c r="BK133" s="346"/>
      <c r="BL133" s="346"/>
      <c r="BM133" s="346"/>
      <c r="BN133" s="346"/>
      <c r="BO133" s="346"/>
      <c r="BP133" s="346"/>
      <c r="BQ133" s="346"/>
      <c r="BR133" s="346"/>
      <c r="BS133" s="346"/>
      <c r="BT133" s="346"/>
      <c r="BU133" s="346"/>
      <c r="BV133" s="346"/>
      <c r="BW133" s="346"/>
      <c r="BX133" s="346"/>
      <c r="BY133" s="346"/>
      <c r="BZ133" s="346"/>
      <c r="CA133" s="346"/>
      <c r="CB133" s="346"/>
      <c r="CC133" s="346"/>
      <c r="CD133" s="346"/>
      <c r="CE133" s="346"/>
      <c r="CF133" s="346"/>
      <c r="CG133" s="346"/>
      <c r="CH133" s="346"/>
      <c r="CI133" s="346"/>
      <c r="CJ133" s="346"/>
      <c r="CK133" s="346"/>
      <c r="CL133" s="346"/>
      <c r="CM133" s="346"/>
      <c r="CN133" s="346"/>
      <c r="CO133" s="346"/>
      <c r="CP133" s="346"/>
      <c r="CQ133" s="346"/>
      <c r="CR133" s="346"/>
      <c r="CS133" s="346"/>
      <c r="CT133" s="346"/>
      <c r="CU133" s="346"/>
      <c r="CV133" s="346"/>
      <c r="CW133" s="346"/>
      <c r="CX133" s="346"/>
      <c r="CY133" s="346"/>
      <c r="CZ133" s="346"/>
      <c r="DA133" s="346"/>
      <c r="DB133" s="346"/>
      <c r="DC133" s="346"/>
      <c r="DD133" s="346"/>
      <c r="DE133" s="346"/>
      <c r="DF133" s="346"/>
      <c r="DG133" s="346"/>
      <c r="DH133" s="346"/>
      <c r="DI133" s="346"/>
      <c r="DJ133" s="346"/>
      <c r="DK133" s="346"/>
      <c r="DL133" s="346"/>
      <c r="DM133" s="346"/>
      <c r="DN133" s="346"/>
      <c r="DO133" s="346"/>
      <c r="DP133" s="346"/>
      <c r="DQ133" s="346"/>
      <c r="DR133" s="346"/>
      <c r="DS133" s="346"/>
      <c r="DT133" s="346"/>
      <c r="DU133" s="346"/>
      <c r="DV133" s="346"/>
      <c r="DW133" s="346"/>
      <c r="DX133" s="346"/>
      <c r="DY133" s="346"/>
      <c r="DZ133" s="346"/>
      <c r="EA133" s="346"/>
      <c r="EB133" s="346"/>
      <c r="EC133" s="346"/>
      <c r="ED133" s="346"/>
      <c r="EE133" s="346"/>
      <c r="EF133" s="346"/>
      <c r="EG133" s="346"/>
      <c r="EH133" s="346"/>
      <c r="EI133" s="346"/>
      <c r="EJ133" s="346"/>
      <c r="EK133" s="346"/>
      <c r="EL133" s="346"/>
      <c r="EM133" s="346"/>
      <c r="EN133" s="346"/>
      <c r="EO133" s="346"/>
      <c r="EP133" s="346"/>
      <c r="EQ133" s="346"/>
      <c r="ER133" s="346"/>
      <c r="ES133" s="346"/>
      <c r="ET133" s="346"/>
      <c r="EU133" s="346"/>
      <c r="EV133" s="346"/>
      <c r="EW133" s="346"/>
      <c r="EX133" s="346"/>
      <c r="EY133" s="346"/>
      <c r="EZ133" s="346"/>
      <c r="FA133" s="346"/>
      <c r="FB133" s="346"/>
      <c r="FC133" s="346"/>
      <c r="FD133" s="346"/>
      <c r="FE133" s="346"/>
      <c r="FF133" s="346"/>
      <c r="FG133" s="346"/>
      <c r="FH133" s="346"/>
      <c r="FI133" s="346"/>
      <c r="FJ133" s="346"/>
      <c r="FK133" s="346"/>
      <c r="FL133" s="346"/>
      <c r="FM133" s="346"/>
      <c r="FN133" s="346"/>
      <c r="FO133" s="346"/>
      <c r="FP133" s="346"/>
      <c r="FQ133" s="346"/>
      <c r="FR133" s="346"/>
      <c r="FS133" s="346"/>
      <c r="FT133" s="346"/>
      <c r="FU133" s="346"/>
      <c r="FV133" s="346"/>
      <c r="FW133" s="346"/>
      <c r="FX133" s="346"/>
      <c r="FY133" s="346"/>
      <c r="FZ133" s="346"/>
      <c r="GA133" s="346"/>
      <c r="GB133" s="346"/>
      <c r="GC133" s="346"/>
      <c r="GD133" s="346"/>
      <c r="GE133" s="346"/>
      <c r="GF133" s="346"/>
      <c r="GG133" s="346"/>
      <c r="GH133" s="346"/>
      <c r="GI133" s="346"/>
      <c r="GJ133" s="346"/>
      <c r="GK133" s="346"/>
      <c r="GL133" s="346"/>
      <c r="GM133" s="346"/>
      <c r="GN133" s="346"/>
      <c r="GO133" s="346"/>
      <c r="GP133" s="346"/>
      <c r="GQ133" s="346"/>
      <c r="GR133" s="346"/>
      <c r="GS133" s="346"/>
      <c r="GT133" s="346"/>
      <c r="GU133" s="346"/>
      <c r="GV133" s="346"/>
      <c r="GW133" s="346"/>
      <c r="GX133" s="346"/>
      <c r="GY133" s="346"/>
      <c r="GZ133" s="346"/>
      <c r="HA133" s="346"/>
      <c r="HB133" s="346"/>
      <c r="HC133" s="346"/>
      <c r="HD133" s="346"/>
      <c r="HE133" s="346"/>
      <c r="HF133" s="346"/>
      <c r="HG133" s="346"/>
      <c r="HH133" s="346"/>
      <c r="HI133" s="346"/>
      <c r="HJ133" s="346"/>
      <c r="HK133" s="346"/>
      <c r="HL133" s="346"/>
      <c r="HM133" s="346"/>
      <c r="HN133" s="346"/>
      <c r="HO133" s="346"/>
      <c r="HP133" s="346"/>
      <c r="HQ133" s="346"/>
      <c r="HR133" s="346"/>
      <c r="HS133" s="346"/>
      <c r="HT133" s="346"/>
      <c r="HU133" s="346"/>
      <c r="HV133" s="346"/>
      <c r="HW133" s="346"/>
      <c r="HX133" s="346"/>
      <c r="HY133" s="346"/>
      <c r="HZ133" s="346"/>
      <c r="IA133" s="346"/>
      <c r="IB133" s="346"/>
      <c r="IC133" s="346"/>
      <c r="ID133" s="346"/>
      <c r="IE133" s="346"/>
      <c r="IF133" s="346"/>
      <c r="IG133" s="346"/>
      <c r="IH133" s="346"/>
      <c r="II133" s="346"/>
      <c r="IJ133" s="346"/>
      <c r="IK133" s="346"/>
      <c r="IL133" s="346"/>
      <c r="IM133" s="346"/>
      <c r="IN133" s="346"/>
      <c r="IO133" s="346"/>
      <c r="IP133" s="346"/>
      <c r="IQ133" s="346"/>
      <c r="IR133" s="346"/>
      <c r="IS133" s="346"/>
      <c r="IT133" s="346"/>
    </row>
    <row r="134" spans="1:254">
      <c r="A134" s="527" t="s">
        <v>1858</v>
      </c>
      <c r="C134" s="484"/>
      <c r="D134" s="362"/>
      <c r="E134" s="1259"/>
      <c r="F134" s="928"/>
      <c r="G134" s="1583"/>
    </row>
    <row r="135" spans="1:254" ht="66">
      <c r="A135" s="510"/>
      <c r="B135" s="516" t="s">
        <v>1787</v>
      </c>
      <c r="C135" s="344"/>
      <c r="D135" s="592"/>
      <c r="E135" s="1210"/>
      <c r="F135" s="916"/>
      <c r="G135" s="1583"/>
      <c r="H135" s="590"/>
      <c r="I135" s="590"/>
      <c r="J135" s="590"/>
      <c r="K135" s="590"/>
      <c r="L135" s="590"/>
      <c r="M135" s="590"/>
      <c r="N135" s="590"/>
      <c r="O135" s="590"/>
      <c r="P135" s="590"/>
      <c r="Q135" s="590"/>
      <c r="R135" s="590"/>
      <c r="S135" s="590"/>
      <c r="T135" s="590"/>
      <c r="U135" s="590"/>
      <c r="V135" s="590"/>
      <c r="W135" s="590"/>
      <c r="X135" s="590"/>
      <c r="Y135" s="590"/>
      <c r="Z135" s="590"/>
      <c r="AA135" s="590"/>
      <c r="AB135" s="590"/>
      <c r="AC135" s="590"/>
      <c r="AD135" s="590"/>
      <c r="AE135" s="590"/>
      <c r="AF135" s="590"/>
      <c r="AG135" s="590"/>
      <c r="AH135" s="590"/>
      <c r="AI135" s="590"/>
      <c r="AJ135" s="590"/>
      <c r="AK135" s="590"/>
      <c r="AL135" s="590"/>
      <c r="AM135" s="590"/>
      <c r="AN135" s="590"/>
      <c r="AO135" s="590"/>
      <c r="AP135" s="590"/>
      <c r="AQ135" s="590"/>
      <c r="AR135" s="590"/>
      <c r="AS135" s="590"/>
      <c r="AT135" s="590"/>
      <c r="AU135" s="590"/>
      <c r="AV135" s="590"/>
      <c r="AW135" s="590"/>
      <c r="AX135" s="590"/>
      <c r="AY135" s="590"/>
      <c r="AZ135" s="590"/>
      <c r="BA135" s="590"/>
      <c r="BB135" s="590"/>
      <c r="BC135" s="590"/>
      <c r="BD135" s="590"/>
      <c r="BE135" s="590"/>
      <c r="BF135" s="590"/>
      <c r="BG135" s="590"/>
      <c r="BH135" s="590"/>
      <c r="BI135" s="590"/>
      <c r="BJ135" s="590"/>
      <c r="BK135" s="590"/>
      <c r="BL135" s="590"/>
      <c r="BM135" s="590"/>
      <c r="BN135" s="590"/>
      <c r="BO135" s="590"/>
      <c r="BP135" s="590"/>
      <c r="BQ135" s="590"/>
      <c r="BR135" s="590"/>
      <c r="BS135" s="590"/>
      <c r="BT135" s="590"/>
      <c r="BU135" s="590"/>
      <c r="BV135" s="590"/>
      <c r="BW135" s="590"/>
      <c r="BX135" s="590"/>
      <c r="BY135" s="590"/>
      <c r="BZ135" s="590"/>
      <c r="CA135" s="590"/>
      <c r="CB135" s="590"/>
      <c r="CC135" s="590"/>
      <c r="CD135" s="590"/>
      <c r="CE135" s="590"/>
      <c r="CF135" s="590"/>
      <c r="CG135" s="590"/>
      <c r="CH135" s="590"/>
      <c r="CI135" s="590"/>
      <c r="CJ135" s="590"/>
      <c r="CK135" s="590"/>
      <c r="CL135" s="590"/>
      <c r="CM135" s="590"/>
      <c r="CN135" s="590"/>
      <c r="CO135" s="590"/>
      <c r="CP135" s="590"/>
      <c r="CQ135" s="590"/>
      <c r="CR135" s="590"/>
      <c r="CS135" s="590"/>
      <c r="CT135" s="590"/>
      <c r="CU135" s="590"/>
      <c r="CV135" s="590"/>
      <c r="CW135" s="590"/>
      <c r="CX135" s="590"/>
      <c r="CY135" s="590"/>
      <c r="CZ135" s="590"/>
      <c r="DA135" s="590"/>
      <c r="DB135" s="590"/>
      <c r="DC135" s="590"/>
      <c r="DD135" s="590"/>
      <c r="DE135" s="590"/>
      <c r="DF135" s="590"/>
      <c r="DG135" s="590"/>
      <c r="DH135" s="590"/>
      <c r="DI135" s="590"/>
      <c r="DJ135" s="590"/>
      <c r="DK135" s="590"/>
      <c r="DL135" s="590"/>
      <c r="DM135" s="590"/>
      <c r="DN135" s="590"/>
      <c r="DO135" s="590"/>
      <c r="DP135" s="590"/>
      <c r="DQ135" s="590"/>
      <c r="DR135" s="590"/>
      <c r="DS135" s="590"/>
      <c r="DT135" s="590"/>
      <c r="DU135" s="590"/>
      <c r="DV135" s="590"/>
      <c r="DW135" s="590"/>
      <c r="DX135" s="590"/>
      <c r="DY135" s="590"/>
      <c r="DZ135" s="590"/>
      <c r="EA135" s="590"/>
      <c r="EB135" s="590"/>
      <c r="EC135" s="590"/>
      <c r="ED135" s="590"/>
      <c r="EE135" s="590"/>
      <c r="EF135" s="590"/>
      <c r="EG135" s="590"/>
      <c r="EH135" s="590"/>
      <c r="EI135" s="590"/>
      <c r="EJ135" s="590"/>
      <c r="EK135" s="590"/>
      <c r="EL135" s="590"/>
      <c r="EM135" s="590"/>
      <c r="EN135" s="590"/>
      <c r="EO135" s="590"/>
      <c r="EP135" s="590"/>
      <c r="EQ135" s="590"/>
      <c r="ER135" s="590"/>
      <c r="ES135" s="590"/>
      <c r="ET135" s="590"/>
      <c r="EU135" s="590"/>
      <c r="EV135" s="590"/>
      <c r="EW135" s="590"/>
      <c r="EX135" s="590"/>
      <c r="EY135" s="590"/>
      <c r="EZ135" s="590"/>
      <c r="FA135" s="590"/>
      <c r="FB135" s="590"/>
      <c r="FC135" s="590"/>
      <c r="FD135" s="590"/>
      <c r="FE135" s="590"/>
      <c r="FF135" s="590"/>
      <c r="FG135" s="590"/>
      <c r="FH135" s="590"/>
      <c r="FI135" s="590"/>
      <c r="FJ135" s="590"/>
      <c r="FK135" s="590"/>
      <c r="FL135" s="590"/>
      <c r="FM135" s="590"/>
      <c r="FN135" s="590"/>
      <c r="FO135" s="590"/>
      <c r="FP135" s="590"/>
      <c r="FQ135" s="590"/>
      <c r="FR135" s="590"/>
      <c r="FS135" s="590"/>
      <c r="FT135" s="590"/>
      <c r="FU135" s="590"/>
      <c r="FV135" s="590"/>
      <c r="FW135" s="590"/>
      <c r="FX135" s="590"/>
      <c r="FY135" s="590"/>
      <c r="FZ135" s="590"/>
      <c r="GA135" s="590"/>
      <c r="GB135" s="590"/>
      <c r="GC135" s="590"/>
      <c r="GD135" s="590"/>
      <c r="GE135" s="590"/>
      <c r="GF135" s="590"/>
      <c r="GG135" s="590"/>
      <c r="GH135" s="590"/>
      <c r="GI135" s="590"/>
      <c r="GJ135" s="590"/>
      <c r="GK135" s="590"/>
      <c r="GL135" s="590"/>
      <c r="GM135" s="590"/>
      <c r="GN135" s="590"/>
      <c r="GO135" s="590"/>
      <c r="GP135" s="590"/>
      <c r="GQ135" s="590"/>
      <c r="GR135" s="590"/>
      <c r="GS135" s="590"/>
      <c r="GT135" s="590"/>
      <c r="GU135" s="590"/>
      <c r="GV135" s="590"/>
      <c r="GW135" s="590"/>
      <c r="GX135" s="590"/>
      <c r="GY135" s="590"/>
      <c r="GZ135" s="590"/>
      <c r="HA135" s="590"/>
      <c r="HB135" s="590"/>
      <c r="HC135" s="590"/>
      <c r="HD135" s="590"/>
      <c r="HE135" s="590"/>
      <c r="HF135" s="590"/>
      <c r="HG135" s="590"/>
      <c r="HH135" s="590"/>
      <c r="HI135" s="590"/>
      <c r="HJ135" s="590"/>
      <c r="HK135" s="590"/>
      <c r="HL135" s="590"/>
      <c r="HM135" s="590"/>
      <c r="HN135" s="590"/>
      <c r="HO135" s="590"/>
      <c r="HP135" s="590"/>
      <c r="HQ135" s="590"/>
      <c r="HR135" s="590"/>
      <c r="HS135" s="590"/>
      <c r="HT135" s="590"/>
      <c r="HU135" s="590"/>
      <c r="HV135" s="590"/>
      <c r="HW135" s="590"/>
      <c r="HX135" s="590"/>
      <c r="HY135" s="590"/>
      <c r="HZ135" s="590"/>
      <c r="IA135" s="590"/>
      <c r="IB135" s="590"/>
      <c r="IC135" s="590"/>
      <c r="ID135" s="590"/>
      <c r="IE135" s="590"/>
      <c r="IF135" s="590"/>
      <c r="IG135" s="590"/>
      <c r="IH135" s="590"/>
      <c r="II135" s="590"/>
      <c r="IJ135" s="590"/>
      <c r="IK135" s="590"/>
      <c r="IL135" s="590"/>
      <c r="IM135" s="590"/>
      <c r="IN135" s="590"/>
      <c r="IO135" s="590"/>
      <c r="IP135" s="590"/>
      <c r="IQ135" s="590"/>
      <c r="IR135" s="590"/>
      <c r="IS135" s="590"/>
      <c r="IT135" s="590"/>
    </row>
    <row r="136" spans="1:254">
      <c r="A136" s="510"/>
      <c r="B136" s="516"/>
      <c r="C136" s="592" t="s">
        <v>27</v>
      </c>
      <c r="D136" s="592">
        <v>1</v>
      </c>
      <c r="E136" s="1338">
        <v>500</v>
      </c>
      <c r="F136" s="912">
        <f>D136*E136</f>
        <v>500</v>
      </c>
      <c r="G136" s="1583"/>
      <c r="H136" s="590"/>
      <c r="I136" s="590"/>
      <c r="J136" s="590"/>
      <c r="K136" s="590"/>
      <c r="L136" s="590"/>
      <c r="M136" s="590"/>
      <c r="N136" s="590"/>
      <c r="O136" s="590"/>
      <c r="P136" s="590"/>
      <c r="Q136" s="590"/>
      <c r="R136" s="590"/>
      <c r="S136" s="590"/>
      <c r="T136" s="590"/>
      <c r="U136" s="590"/>
      <c r="V136" s="590"/>
      <c r="W136" s="590"/>
      <c r="X136" s="590"/>
      <c r="Y136" s="590"/>
      <c r="Z136" s="590"/>
      <c r="AA136" s="590"/>
      <c r="AB136" s="590"/>
      <c r="AC136" s="590"/>
      <c r="AD136" s="590"/>
      <c r="AE136" s="590"/>
      <c r="AF136" s="590"/>
      <c r="AG136" s="590"/>
      <c r="AH136" s="590"/>
      <c r="AI136" s="590"/>
      <c r="AJ136" s="590"/>
      <c r="AK136" s="590"/>
      <c r="AL136" s="590"/>
      <c r="AM136" s="590"/>
      <c r="AN136" s="590"/>
      <c r="AO136" s="590"/>
      <c r="AP136" s="590"/>
      <c r="AQ136" s="590"/>
      <c r="AR136" s="590"/>
      <c r="AS136" s="590"/>
      <c r="AT136" s="590"/>
      <c r="AU136" s="590"/>
      <c r="AV136" s="590"/>
      <c r="AW136" s="590"/>
      <c r="AX136" s="590"/>
      <c r="AY136" s="590"/>
      <c r="AZ136" s="590"/>
      <c r="BA136" s="590"/>
      <c r="BB136" s="590"/>
      <c r="BC136" s="590"/>
      <c r="BD136" s="590"/>
      <c r="BE136" s="590"/>
      <c r="BF136" s="590"/>
      <c r="BG136" s="590"/>
      <c r="BH136" s="590"/>
      <c r="BI136" s="590"/>
      <c r="BJ136" s="590"/>
      <c r="BK136" s="590"/>
      <c r="BL136" s="590"/>
      <c r="BM136" s="590"/>
      <c r="BN136" s="590"/>
      <c r="BO136" s="590"/>
      <c r="BP136" s="590"/>
      <c r="BQ136" s="590"/>
      <c r="BR136" s="590"/>
      <c r="BS136" s="590"/>
      <c r="BT136" s="590"/>
      <c r="BU136" s="590"/>
      <c r="BV136" s="590"/>
      <c r="BW136" s="590"/>
      <c r="BX136" s="590"/>
      <c r="BY136" s="590"/>
      <c r="BZ136" s="590"/>
      <c r="CA136" s="590"/>
      <c r="CB136" s="590"/>
      <c r="CC136" s="590"/>
      <c r="CD136" s="590"/>
      <c r="CE136" s="590"/>
      <c r="CF136" s="590"/>
      <c r="CG136" s="590"/>
      <c r="CH136" s="590"/>
      <c r="CI136" s="590"/>
      <c r="CJ136" s="590"/>
      <c r="CK136" s="590"/>
      <c r="CL136" s="590"/>
      <c r="CM136" s="590"/>
      <c r="CN136" s="590"/>
      <c r="CO136" s="590"/>
      <c r="CP136" s="590"/>
      <c r="CQ136" s="590"/>
      <c r="CR136" s="590"/>
      <c r="CS136" s="590"/>
      <c r="CT136" s="590"/>
      <c r="CU136" s="590"/>
      <c r="CV136" s="590"/>
      <c r="CW136" s="590"/>
      <c r="CX136" s="590"/>
      <c r="CY136" s="590"/>
      <c r="CZ136" s="590"/>
      <c r="DA136" s="590"/>
      <c r="DB136" s="590"/>
      <c r="DC136" s="590"/>
      <c r="DD136" s="590"/>
      <c r="DE136" s="590"/>
      <c r="DF136" s="590"/>
      <c r="DG136" s="590"/>
      <c r="DH136" s="590"/>
      <c r="DI136" s="590"/>
      <c r="DJ136" s="590"/>
      <c r="DK136" s="590"/>
      <c r="DL136" s="590"/>
      <c r="DM136" s="590"/>
      <c r="DN136" s="590"/>
      <c r="DO136" s="590"/>
      <c r="DP136" s="590"/>
      <c r="DQ136" s="590"/>
      <c r="DR136" s="590"/>
      <c r="DS136" s="590"/>
      <c r="DT136" s="590"/>
      <c r="DU136" s="590"/>
      <c r="DV136" s="590"/>
      <c r="DW136" s="590"/>
      <c r="DX136" s="590"/>
      <c r="DY136" s="590"/>
      <c r="DZ136" s="590"/>
      <c r="EA136" s="590"/>
      <c r="EB136" s="590"/>
      <c r="EC136" s="590"/>
      <c r="ED136" s="590"/>
      <c r="EE136" s="590"/>
      <c r="EF136" s="590"/>
      <c r="EG136" s="590"/>
      <c r="EH136" s="590"/>
      <c r="EI136" s="590"/>
      <c r="EJ136" s="590"/>
      <c r="EK136" s="590"/>
      <c r="EL136" s="590"/>
      <c r="EM136" s="590"/>
      <c r="EN136" s="590"/>
      <c r="EO136" s="590"/>
      <c r="EP136" s="590"/>
      <c r="EQ136" s="590"/>
      <c r="ER136" s="590"/>
      <c r="ES136" s="590"/>
      <c r="ET136" s="590"/>
      <c r="EU136" s="590"/>
      <c r="EV136" s="590"/>
      <c r="EW136" s="590"/>
      <c r="EX136" s="590"/>
      <c r="EY136" s="590"/>
      <c r="EZ136" s="590"/>
      <c r="FA136" s="590"/>
      <c r="FB136" s="590"/>
      <c r="FC136" s="590"/>
      <c r="FD136" s="590"/>
      <c r="FE136" s="590"/>
      <c r="FF136" s="590"/>
      <c r="FG136" s="590"/>
      <c r="FH136" s="590"/>
      <c r="FI136" s="590"/>
      <c r="FJ136" s="590"/>
      <c r="FK136" s="590"/>
      <c r="FL136" s="590"/>
      <c r="FM136" s="590"/>
      <c r="FN136" s="590"/>
      <c r="FO136" s="590"/>
      <c r="FP136" s="590"/>
      <c r="FQ136" s="590"/>
      <c r="FR136" s="590"/>
      <c r="FS136" s="590"/>
      <c r="FT136" s="590"/>
      <c r="FU136" s="590"/>
      <c r="FV136" s="590"/>
      <c r="FW136" s="590"/>
      <c r="FX136" s="590"/>
      <c r="FY136" s="590"/>
      <c r="FZ136" s="590"/>
      <c r="GA136" s="590"/>
      <c r="GB136" s="590"/>
      <c r="GC136" s="590"/>
      <c r="GD136" s="590"/>
      <c r="GE136" s="590"/>
      <c r="GF136" s="590"/>
      <c r="GG136" s="590"/>
      <c r="GH136" s="590"/>
      <c r="GI136" s="590"/>
      <c r="GJ136" s="590"/>
      <c r="GK136" s="590"/>
      <c r="GL136" s="590"/>
      <c r="GM136" s="590"/>
      <c r="GN136" s="590"/>
      <c r="GO136" s="590"/>
      <c r="GP136" s="590"/>
      <c r="GQ136" s="590"/>
      <c r="GR136" s="590"/>
      <c r="GS136" s="590"/>
      <c r="GT136" s="590"/>
      <c r="GU136" s="590"/>
      <c r="GV136" s="590"/>
      <c r="GW136" s="590"/>
      <c r="GX136" s="590"/>
      <c r="GY136" s="590"/>
      <c r="GZ136" s="590"/>
      <c r="HA136" s="590"/>
      <c r="HB136" s="590"/>
      <c r="HC136" s="590"/>
      <c r="HD136" s="590"/>
      <c r="HE136" s="590"/>
      <c r="HF136" s="590"/>
      <c r="HG136" s="590"/>
      <c r="HH136" s="590"/>
      <c r="HI136" s="590"/>
      <c r="HJ136" s="590"/>
      <c r="HK136" s="590"/>
      <c r="HL136" s="590"/>
      <c r="HM136" s="590"/>
      <c r="HN136" s="590"/>
      <c r="HO136" s="590"/>
      <c r="HP136" s="590"/>
      <c r="HQ136" s="590"/>
      <c r="HR136" s="590"/>
      <c r="HS136" s="590"/>
      <c r="HT136" s="590"/>
      <c r="HU136" s="590"/>
      <c r="HV136" s="590"/>
      <c r="HW136" s="590"/>
      <c r="HX136" s="590"/>
      <c r="HY136" s="590"/>
      <c r="HZ136" s="590"/>
      <c r="IA136" s="590"/>
      <c r="IB136" s="590"/>
      <c r="IC136" s="590"/>
      <c r="ID136" s="590"/>
      <c r="IE136" s="590"/>
      <c r="IF136" s="590"/>
      <c r="IG136" s="590"/>
      <c r="IH136" s="590"/>
      <c r="II136" s="590"/>
      <c r="IJ136" s="590"/>
      <c r="IK136" s="590"/>
      <c r="IL136" s="590"/>
      <c r="IM136" s="590"/>
      <c r="IN136" s="590"/>
      <c r="IO136" s="590"/>
      <c r="IP136" s="590"/>
      <c r="IQ136" s="590"/>
      <c r="IR136" s="590"/>
      <c r="IS136" s="590"/>
      <c r="IT136" s="590"/>
    </row>
    <row r="137" spans="1:254">
      <c r="A137" s="510"/>
      <c r="B137" s="516"/>
      <c r="C137" s="572"/>
      <c r="D137" s="572"/>
      <c r="E137" s="1260"/>
      <c r="F137" s="929"/>
      <c r="G137" s="1583"/>
      <c r="H137" s="590"/>
      <c r="I137" s="590"/>
      <c r="J137" s="590"/>
      <c r="K137" s="590"/>
      <c r="L137" s="590"/>
      <c r="M137" s="590"/>
      <c r="N137" s="590"/>
      <c r="O137" s="590"/>
      <c r="P137" s="590"/>
      <c r="Q137" s="590"/>
      <c r="R137" s="590"/>
      <c r="S137" s="590"/>
      <c r="T137" s="590"/>
      <c r="U137" s="590"/>
      <c r="V137" s="590"/>
      <c r="W137" s="590"/>
      <c r="X137" s="590"/>
      <c r="Y137" s="590"/>
      <c r="Z137" s="590"/>
      <c r="AA137" s="590"/>
      <c r="AB137" s="590"/>
      <c r="AC137" s="590"/>
      <c r="AD137" s="590"/>
      <c r="AE137" s="590"/>
      <c r="AF137" s="590"/>
      <c r="AG137" s="590"/>
      <c r="AH137" s="590"/>
      <c r="AI137" s="590"/>
      <c r="AJ137" s="590"/>
      <c r="AK137" s="590"/>
      <c r="AL137" s="590"/>
      <c r="AM137" s="590"/>
      <c r="AN137" s="590"/>
      <c r="AO137" s="590"/>
      <c r="AP137" s="590"/>
      <c r="AQ137" s="590"/>
      <c r="AR137" s="590"/>
      <c r="AS137" s="590"/>
      <c r="AT137" s="590"/>
      <c r="AU137" s="590"/>
      <c r="AV137" s="590"/>
      <c r="AW137" s="590"/>
      <c r="AX137" s="590"/>
      <c r="AY137" s="590"/>
      <c r="AZ137" s="590"/>
      <c r="BA137" s="590"/>
      <c r="BB137" s="590"/>
      <c r="BC137" s="590"/>
      <c r="BD137" s="590"/>
      <c r="BE137" s="590"/>
      <c r="BF137" s="590"/>
      <c r="BG137" s="590"/>
      <c r="BH137" s="590"/>
      <c r="BI137" s="590"/>
      <c r="BJ137" s="590"/>
      <c r="BK137" s="590"/>
      <c r="BL137" s="590"/>
      <c r="BM137" s="590"/>
      <c r="BN137" s="590"/>
      <c r="BO137" s="590"/>
      <c r="BP137" s="590"/>
      <c r="BQ137" s="590"/>
      <c r="BR137" s="590"/>
      <c r="BS137" s="590"/>
      <c r="BT137" s="590"/>
      <c r="BU137" s="590"/>
      <c r="BV137" s="590"/>
      <c r="BW137" s="590"/>
      <c r="BX137" s="590"/>
      <c r="BY137" s="590"/>
      <c r="BZ137" s="590"/>
      <c r="CA137" s="590"/>
      <c r="CB137" s="590"/>
      <c r="CC137" s="590"/>
      <c r="CD137" s="590"/>
      <c r="CE137" s="590"/>
      <c r="CF137" s="590"/>
      <c r="CG137" s="590"/>
      <c r="CH137" s="590"/>
      <c r="CI137" s="590"/>
      <c r="CJ137" s="590"/>
      <c r="CK137" s="590"/>
      <c r="CL137" s="590"/>
      <c r="CM137" s="590"/>
      <c r="CN137" s="590"/>
      <c r="CO137" s="590"/>
      <c r="CP137" s="590"/>
      <c r="CQ137" s="590"/>
      <c r="CR137" s="590"/>
      <c r="CS137" s="590"/>
      <c r="CT137" s="590"/>
      <c r="CU137" s="590"/>
      <c r="CV137" s="590"/>
      <c r="CW137" s="590"/>
      <c r="CX137" s="590"/>
      <c r="CY137" s="590"/>
      <c r="CZ137" s="590"/>
      <c r="DA137" s="590"/>
      <c r="DB137" s="590"/>
      <c r="DC137" s="590"/>
      <c r="DD137" s="590"/>
      <c r="DE137" s="590"/>
      <c r="DF137" s="590"/>
      <c r="DG137" s="590"/>
      <c r="DH137" s="590"/>
      <c r="DI137" s="590"/>
      <c r="DJ137" s="590"/>
      <c r="DK137" s="590"/>
      <c r="DL137" s="590"/>
      <c r="DM137" s="590"/>
      <c r="DN137" s="590"/>
      <c r="DO137" s="590"/>
      <c r="DP137" s="590"/>
      <c r="DQ137" s="590"/>
      <c r="DR137" s="590"/>
      <c r="DS137" s="590"/>
      <c r="DT137" s="590"/>
      <c r="DU137" s="590"/>
      <c r="DV137" s="590"/>
      <c r="DW137" s="590"/>
      <c r="DX137" s="590"/>
      <c r="DY137" s="590"/>
      <c r="DZ137" s="590"/>
      <c r="EA137" s="590"/>
      <c r="EB137" s="590"/>
      <c r="EC137" s="590"/>
      <c r="ED137" s="590"/>
      <c r="EE137" s="590"/>
      <c r="EF137" s="590"/>
      <c r="EG137" s="590"/>
      <c r="EH137" s="590"/>
      <c r="EI137" s="590"/>
      <c r="EJ137" s="590"/>
      <c r="EK137" s="590"/>
      <c r="EL137" s="590"/>
      <c r="EM137" s="590"/>
      <c r="EN137" s="590"/>
      <c r="EO137" s="590"/>
      <c r="EP137" s="590"/>
      <c r="EQ137" s="590"/>
      <c r="ER137" s="590"/>
      <c r="ES137" s="590"/>
      <c r="ET137" s="590"/>
      <c r="EU137" s="590"/>
      <c r="EV137" s="590"/>
      <c r="EW137" s="590"/>
      <c r="EX137" s="590"/>
      <c r="EY137" s="590"/>
      <c r="EZ137" s="590"/>
      <c r="FA137" s="590"/>
      <c r="FB137" s="590"/>
      <c r="FC137" s="590"/>
      <c r="FD137" s="590"/>
      <c r="FE137" s="590"/>
      <c r="FF137" s="590"/>
      <c r="FG137" s="590"/>
      <c r="FH137" s="590"/>
      <c r="FI137" s="590"/>
      <c r="FJ137" s="590"/>
      <c r="FK137" s="590"/>
      <c r="FL137" s="590"/>
      <c r="FM137" s="590"/>
      <c r="FN137" s="590"/>
      <c r="FO137" s="590"/>
      <c r="FP137" s="590"/>
      <c r="FQ137" s="590"/>
      <c r="FR137" s="590"/>
      <c r="FS137" s="590"/>
      <c r="FT137" s="590"/>
      <c r="FU137" s="590"/>
      <c r="FV137" s="590"/>
      <c r="FW137" s="590"/>
      <c r="FX137" s="590"/>
      <c r="FY137" s="590"/>
      <c r="FZ137" s="590"/>
      <c r="GA137" s="590"/>
      <c r="GB137" s="590"/>
      <c r="GC137" s="590"/>
      <c r="GD137" s="590"/>
      <c r="GE137" s="590"/>
      <c r="GF137" s="590"/>
      <c r="GG137" s="590"/>
      <c r="GH137" s="590"/>
      <c r="GI137" s="590"/>
      <c r="GJ137" s="590"/>
      <c r="GK137" s="590"/>
      <c r="GL137" s="590"/>
      <c r="GM137" s="590"/>
      <c r="GN137" s="590"/>
      <c r="GO137" s="590"/>
      <c r="GP137" s="590"/>
      <c r="GQ137" s="590"/>
      <c r="GR137" s="590"/>
      <c r="GS137" s="590"/>
      <c r="GT137" s="590"/>
      <c r="GU137" s="590"/>
      <c r="GV137" s="590"/>
      <c r="GW137" s="590"/>
      <c r="GX137" s="590"/>
      <c r="GY137" s="590"/>
      <c r="GZ137" s="590"/>
      <c r="HA137" s="590"/>
      <c r="HB137" s="590"/>
      <c r="HC137" s="590"/>
      <c r="HD137" s="590"/>
      <c r="HE137" s="590"/>
      <c r="HF137" s="590"/>
      <c r="HG137" s="590"/>
      <c r="HH137" s="590"/>
      <c r="HI137" s="590"/>
      <c r="HJ137" s="590"/>
      <c r="HK137" s="590"/>
      <c r="HL137" s="590"/>
      <c r="HM137" s="590"/>
      <c r="HN137" s="590"/>
      <c r="HO137" s="590"/>
      <c r="HP137" s="590"/>
      <c r="HQ137" s="590"/>
      <c r="HR137" s="590"/>
      <c r="HS137" s="590"/>
      <c r="HT137" s="590"/>
      <c r="HU137" s="590"/>
      <c r="HV137" s="590"/>
      <c r="HW137" s="590"/>
      <c r="HX137" s="590"/>
      <c r="HY137" s="590"/>
      <c r="HZ137" s="590"/>
      <c r="IA137" s="590"/>
      <c r="IB137" s="590"/>
      <c r="IC137" s="590"/>
      <c r="ID137" s="590"/>
      <c r="IE137" s="590"/>
      <c r="IF137" s="590"/>
      <c r="IG137" s="590"/>
      <c r="IH137" s="590"/>
      <c r="II137" s="590"/>
      <c r="IJ137" s="590"/>
      <c r="IK137" s="590"/>
      <c r="IL137" s="590"/>
      <c r="IM137" s="590"/>
      <c r="IN137" s="590"/>
      <c r="IO137" s="590"/>
      <c r="IP137" s="590"/>
      <c r="IQ137" s="590"/>
      <c r="IR137" s="590"/>
      <c r="IS137" s="590"/>
      <c r="IT137" s="590"/>
    </row>
    <row r="138" spans="1:254">
      <c r="A138" s="510" t="s">
        <v>1859</v>
      </c>
      <c r="B138" s="516"/>
      <c r="C138" s="510"/>
      <c r="D138" s="510"/>
      <c r="E138" s="1210"/>
      <c r="F138" s="916"/>
      <c r="G138" s="1583"/>
    </row>
    <row r="139" spans="1:254" ht="39.6">
      <c r="A139" s="510"/>
      <c r="B139" s="516" t="s">
        <v>1861</v>
      </c>
      <c r="C139" s="510"/>
      <c r="D139" s="510"/>
      <c r="E139" s="1210"/>
      <c r="F139" s="916"/>
      <c r="G139" s="1583"/>
    </row>
    <row r="140" spans="1:254">
      <c r="A140" s="510"/>
      <c r="B140" s="516"/>
      <c r="C140" s="510" t="s">
        <v>27</v>
      </c>
      <c r="D140" s="510">
        <v>1</v>
      </c>
      <c r="E140" s="1338">
        <v>150</v>
      </c>
      <c r="F140" s="912">
        <f>D140*E140</f>
        <v>150</v>
      </c>
      <c r="G140" s="1583"/>
    </row>
    <row r="141" spans="1:254">
      <c r="A141" s="510"/>
      <c r="B141" s="516"/>
      <c r="C141" s="510" t="s">
        <v>140</v>
      </c>
      <c r="D141" s="510"/>
      <c r="E141" s="1210"/>
      <c r="F141" s="916"/>
      <c r="G141" s="1583"/>
    </row>
    <row r="142" spans="1:254">
      <c r="A142" s="510" t="s">
        <v>1860</v>
      </c>
      <c r="B142" s="516"/>
      <c r="C142" s="510"/>
      <c r="D142" s="510"/>
      <c r="E142" s="1210"/>
      <c r="F142" s="916"/>
      <c r="G142" s="1583"/>
    </row>
    <row r="143" spans="1:254" ht="66">
      <c r="A143" s="510"/>
      <c r="B143" s="524" t="s">
        <v>1863</v>
      </c>
      <c r="C143" s="510"/>
      <c r="D143" s="510"/>
      <c r="E143" s="1210"/>
      <c r="F143" s="916"/>
      <c r="G143" s="1583"/>
    </row>
    <row r="144" spans="1:254">
      <c r="A144" s="510"/>
      <c r="B144" s="516"/>
      <c r="C144" s="510" t="s">
        <v>27</v>
      </c>
      <c r="D144" s="510">
        <v>1</v>
      </c>
      <c r="E144" s="1338">
        <v>150</v>
      </c>
      <c r="F144" s="912">
        <f>D144*E144</f>
        <v>150</v>
      </c>
      <c r="G144" s="1583"/>
    </row>
    <row r="145" spans="1:9">
      <c r="F145" s="913"/>
      <c r="G145" s="1583"/>
    </row>
    <row r="146" spans="1:9" ht="66">
      <c r="A146" s="484" t="s">
        <v>1862</v>
      </c>
      <c r="B146" s="363" t="s">
        <v>1865</v>
      </c>
      <c r="C146" s="364"/>
      <c r="D146" s="364"/>
      <c r="E146" s="1210"/>
      <c r="F146" s="916"/>
      <c r="G146" s="1583"/>
    </row>
    <row r="147" spans="1:9">
      <c r="A147" s="484"/>
      <c r="C147" s="364" t="s">
        <v>27</v>
      </c>
      <c r="D147" s="364">
        <v>1</v>
      </c>
      <c r="E147" s="1338">
        <v>500</v>
      </c>
      <c r="F147" s="912">
        <f>D147*E147</f>
        <v>500</v>
      </c>
      <c r="G147" s="1583"/>
    </row>
    <row r="148" spans="1:9" ht="52.8">
      <c r="A148" s="484"/>
      <c r="B148" s="363" t="s">
        <v>1866</v>
      </c>
      <c r="C148" s="364"/>
      <c r="D148" s="364"/>
      <c r="F148" s="913"/>
      <c r="G148" s="1583"/>
    </row>
    <row r="149" spans="1:9">
      <c r="A149" s="484"/>
      <c r="C149" s="364"/>
      <c r="D149" s="364"/>
      <c r="F149" s="913"/>
      <c r="G149" s="1583"/>
    </row>
    <row r="150" spans="1:9">
      <c r="A150" s="594" t="s">
        <v>1864</v>
      </c>
      <c r="B150" s="516"/>
      <c r="C150" s="336"/>
      <c r="D150" s="336"/>
      <c r="F150" s="913"/>
    </row>
    <row r="151" spans="1:9" ht="39.6">
      <c r="A151" s="497"/>
      <c r="B151" s="335" t="s">
        <v>1788</v>
      </c>
      <c r="C151" s="336"/>
      <c r="D151" s="336"/>
      <c r="F151" s="913"/>
    </row>
    <row r="152" spans="1:9">
      <c r="A152" s="497"/>
      <c r="B152" s="516"/>
      <c r="C152" s="313" t="s">
        <v>27</v>
      </c>
      <c r="D152" s="313">
        <v>1</v>
      </c>
      <c r="E152" s="1338">
        <v>200</v>
      </c>
      <c r="F152" s="912">
        <f>D152*E152</f>
        <v>200</v>
      </c>
    </row>
    <row r="153" spans="1:9">
      <c r="A153" s="497"/>
      <c r="B153" s="516"/>
      <c r="C153" s="313"/>
      <c r="D153" s="313"/>
      <c r="E153" s="1215"/>
      <c r="F153" s="912"/>
    </row>
    <row r="154" spans="1:9">
      <c r="A154" s="484" t="s">
        <v>1867</v>
      </c>
      <c r="B154" s="526"/>
      <c r="C154" s="525"/>
      <c r="D154" s="525"/>
      <c r="E154" s="750"/>
      <c r="F154" s="904"/>
    </row>
    <row r="155" spans="1:9">
      <c r="A155" s="484"/>
      <c r="B155" s="335" t="s">
        <v>1869</v>
      </c>
      <c r="C155" s="525"/>
      <c r="D155" s="525"/>
      <c r="E155" s="750"/>
      <c r="F155" s="904"/>
      <c r="G155" s="531"/>
    </row>
    <row r="156" spans="1:9">
      <c r="A156" s="525"/>
      <c r="B156" s="526"/>
      <c r="C156" s="525" t="s">
        <v>27</v>
      </c>
      <c r="D156" s="525">
        <v>1</v>
      </c>
      <c r="E156" s="1338">
        <v>300</v>
      </c>
      <c r="F156" s="912">
        <f>D156*E156</f>
        <v>300</v>
      </c>
    </row>
    <row r="157" spans="1:9">
      <c r="A157" s="484"/>
      <c r="C157" s="364"/>
      <c r="D157" s="364"/>
      <c r="F157" s="913"/>
      <c r="G157" s="397"/>
      <c r="H157" s="397"/>
      <c r="I157" s="397"/>
    </row>
    <row r="158" spans="1:9">
      <c r="A158" s="484" t="s">
        <v>1868</v>
      </c>
      <c r="B158" s="526"/>
      <c r="C158" s="525"/>
      <c r="D158" s="525"/>
      <c r="E158" s="750"/>
      <c r="F158" s="904"/>
    </row>
    <row r="159" spans="1:9" ht="26.4">
      <c r="A159" s="484"/>
      <c r="B159" s="335" t="s">
        <v>1870</v>
      </c>
      <c r="C159" s="525"/>
      <c r="D159" s="525"/>
      <c r="E159" s="750"/>
      <c r="F159" s="904"/>
      <c r="G159" s="531"/>
    </row>
    <row r="160" spans="1:9">
      <c r="A160" s="525"/>
      <c r="B160" s="526"/>
      <c r="C160" s="525" t="s">
        <v>27</v>
      </c>
      <c r="D160" s="525">
        <v>1</v>
      </c>
      <c r="E160" s="1338">
        <v>1000</v>
      </c>
      <c r="F160" s="912">
        <f>D160*E160</f>
        <v>1000</v>
      </c>
    </row>
    <row r="161" spans="1:254">
      <c r="A161" s="525"/>
      <c r="B161" s="526"/>
      <c r="C161" s="525"/>
      <c r="D161" s="525"/>
      <c r="E161" s="1216"/>
      <c r="F161" s="595"/>
    </row>
    <row r="162" spans="1:254">
      <c r="C162" s="584"/>
      <c r="D162" s="584"/>
      <c r="E162" s="1261"/>
      <c r="F162" s="596"/>
      <c r="J162" s="352"/>
      <c r="K162" s="352"/>
      <c r="L162" s="352"/>
      <c r="M162" s="352"/>
      <c r="N162" s="352"/>
      <c r="O162" s="352"/>
      <c r="P162" s="352"/>
      <c r="Q162" s="352"/>
      <c r="R162" s="352"/>
      <c r="S162" s="352"/>
      <c r="T162" s="352"/>
      <c r="U162" s="352"/>
      <c r="V162" s="352"/>
      <c r="W162" s="352"/>
      <c r="X162" s="352"/>
      <c r="Y162" s="352"/>
      <c r="Z162" s="352"/>
      <c r="AA162" s="352"/>
      <c r="AB162" s="352"/>
      <c r="AC162" s="352"/>
      <c r="AD162" s="352"/>
      <c r="AE162" s="352"/>
      <c r="AF162" s="352"/>
      <c r="AG162" s="352"/>
      <c r="AH162" s="352"/>
      <c r="AI162" s="352"/>
      <c r="AJ162" s="352"/>
      <c r="AK162" s="352"/>
      <c r="AL162" s="352"/>
      <c r="AM162" s="352"/>
      <c r="AN162" s="352"/>
      <c r="AO162" s="352"/>
      <c r="AP162" s="352"/>
      <c r="AQ162" s="352"/>
      <c r="AR162" s="352"/>
      <c r="AS162" s="352"/>
      <c r="AT162" s="352"/>
      <c r="AU162" s="352"/>
      <c r="AV162" s="352"/>
      <c r="AW162" s="352"/>
      <c r="AX162" s="352"/>
      <c r="AY162" s="352"/>
      <c r="AZ162" s="352"/>
      <c r="BA162" s="352"/>
      <c r="BB162" s="352"/>
      <c r="BC162" s="352"/>
      <c r="BD162" s="352"/>
      <c r="BE162" s="352"/>
      <c r="BF162" s="352"/>
      <c r="BG162" s="352"/>
      <c r="BH162" s="352"/>
      <c r="BI162" s="352"/>
      <c r="BJ162" s="352"/>
      <c r="BK162" s="352"/>
      <c r="BL162" s="352"/>
      <c r="BM162" s="352"/>
      <c r="BN162" s="352"/>
      <c r="BO162" s="352"/>
      <c r="BP162" s="352"/>
      <c r="BQ162" s="352"/>
      <c r="BR162" s="352"/>
      <c r="BS162" s="352"/>
      <c r="BT162" s="352"/>
      <c r="BU162" s="352"/>
      <c r="BV162" s="352"/>
      <c r="BW162" s="352"/>
      <c r="BX162" s="352"/>
      <c r="BY162" s="352"/>
      <c r="BZ162" s="352"/>
      <c r="CA162" s="352"/>
      <c r="CB162" s="352"/>
      <c r="CC162" s="352"/>
      <c r="CD162" s="352"/>
      <c r="CE162" s="352"/>
      <c r="CF162" s="352"/>
      <c r="CG162" s="352"/>
      <c r="CH162" s="352"/>
      <c r="CI162" s="352"/>
      <c r="CJ162" s="352"/>
      <c r="CK162" s="352"/>
      <c r="CL162" s="352"/>
      <c r="CM162" s="352"/>
      <c r="CN162" s="352"/>
      <c r="CO162" s="352"/>
      <c r="CP162" s="352"/>
      <c r="CQ162" s="352"/>
      <c r="CR162" s="352"/>
      <c r="CS162" s="352"/>
      <c r="CT162" s="352"/>
      <c r="CU162" s="352"/>
      <c r="CV162" s="352"/>
      <c r="CW162" s="352"/>
      <c r="CX162" s="352"/>
      <c r="CY162" s="352"/>
      <c r="CZ162" s="352"/>
      <c r="DA162" s="352"/>
      <c r="DB162" s="352"/>
      <c r="DC162" s="352"/>
      <c r="DD162" s="352"/>
      <c r="DE162" s="352"/>
      <c r="DF162" s="352"/>
      <c r="DG162" s="352"/>
      <c r="DH162" s="352"/>
      <c r="DI162" s="352"/>
      <c r="DJ162" s="352"/>
      <c r="DK162" s="352"/>
      <c r="DL162" s="352"/>
      <c r="DM162" s="352"/>
      <c r="DN162" s="352"/>
      <c r="DO162" s="352"/>
      <c r="DP162" s="352"/>
      <c r="DQ162" s="352"/>
      <c r="DR162" s="352"/>
      <c r="DS162" s="352"/>
      <c r="DT162" s="352"/>
      <c r="DU162" s="352"/>
      <c r="DV162" s="352"/>
      <c r="DW162" s="352"/>
      <c r="DX162" s="352"/>
      <c r="DY162" s="352"/>
      <c r="DZ162" s="352"/>
      <c r="EA162" s="352"/>
      <c r="EB162" s="352"/>
      <c r="EC162" s="352"/>
      <c r="ED162" s="352"/>
      <c r="EE162" s="352"/>
      <c r="EF162" s="352"/>
      <c r="EG162" s="352"/>
      <c r="EH162" s="352"/>
      <c r="EI162" s="352"/>
      <c r="EJ162" s="352"/>
      <c r="EK162" s="352"/>
      <c r="EL162" s="352"/>
      <c r="EM162" s="352"/>
      <c r="EN162" s="352"/>
      <c r="EO162" s="352"/>
      <c r="EP162" s="352"/>
      <c r="EQ162" s="352"/>
      <c r="ER162" s="352"/>
      <c r="ES162" s="352"/>
      <c r="ET162" s="352"/>
      <c r="EU162" s="352"/>
      <c r="EV162" s="352"/>
      <c r="EW162" s="352"/>
      <c r="EX162" s="352"/>
      <c r="EY162" s="352"/>
      <c r="EZ162" s="352"/>
      <c r="FA162" s="352"/>
      <c r="FB162" s="352"/>
      <c r="FC162" s="352"/>
      <c r="FD162" s="352"/>
      <c r="FE162" s="352"/>
      <c r="FF162" s="352"/>
      <c r="FG162" s="352"/>
      <c r="FH162" s="352"/>
      <c r="FI162" s="352"/>
      <c r="FJ162" s="352"/>
      <c r="FK162" s="352"/>
      <c r="FL162" s="352"/>
      <c r="FM162" s="352"/>
      <c r="FN162" s="352"/>
      <c r="FO162" s="352"/>
      <c r="FP162" s="352"/>
      <c r="FQ162" s="352"/>
      <c r="FR162" s="352"/>
      <c r="FS162" s="352"/>
      <c r="FT162" s="352"/>
      <c r="FU162" s="352"/>
      <c r="FV162" s="352"/>
      <c r="FW162" s="352"/>
      <c r="FX162" s="352"/>
      <c r="FY162" s="352"/>
      <c r="FZ162" s="352"/>
      <c r="GA162" s="352"/>
      <c r="GB162" s="352"/>
      <c r="GC162" s="352"/>
      <c r="GD162" s="352"/>
      <c r="GE162" s="352"/>
      <c r="GF162" s="352"/>
      <c r="GG162" s="352"/>
      <c r="GH162" s="352"/>
      <c r="GI162" s="352"/>
      <c r="GJ162" s="352"/>
      <c r="GK162" s="352"/>
      <c r="GL162" s="352"/>
      <c r="GM162" s="352"/>
      <c r="GN162" s="352"/>
      <c r="GO162" s="352"/>
      <c r="GP162" s="352"/>
      <c r="GQ162" s="352"/>
      <c r="GR162" s="352"/>
      <c r="GS162" s="352"/>
      <c r="GT162" s="352"/>
      <c r="GU162" s="352"/>
      <c r="GV162" s="352"/>
      <c r="GW162" s="352"/>
      <c r="GX162" s="352"/>
      <c r="GY162" s="352"/>
      <c r="GZ162" s="352"/>
      <c r="HA162" s="352"/>
      <c r="HB162" s="352"/>
      <c r="HC162" s="352"/>
      <c r="HD162" s="352"/>
      <c r="HE162" s="352"/>
      <c r="HF162" s="352"/>
      <c r="HG162" s="352"/>
      <c r="HH162" s="352"/>
      <c r="HI162" s="352"/>
      <c r="HJ162" s="352"/>
      <c r="HK162" s="352"/>
      <c r="HL162" s="352"/>
      <c r="HM162" s="352"/>
      <c r="HN162" s="352"/>
      <c r="HO162" s="352"/>
      <c r="HP162" s="352"/>
      <c r="HQ162" s="352"/>
      <c r="HR162" s="352"/>
      <c r="HS162" s="352"/>
      <c r="HT162" s="352"/>
      <c r="HU162" s="352"/>
      <c r="HV162" s="352"/>
      <c r="HW162" s="352"/>
      <c r="HX162" s="352"/>
      <c r="HY162" s="352"/>
      <c r="HZ162" s="352"/>
      <c r="IA162" s="352"/>
      <c r="IB162" s="352"/>
      <c r="IC162" s="352"/>
      <c r="ID162" s="352"/>
      <c r="IE162" s="352"/>
      <c r="IF162" s="352"/>
      <c r="IG162" s="352"/>
      <c r="IH162" s="352"/>
      <c r="II162" s="352"/>
      <c r="IJ162" s="352"/>
      <c r="IK162" s="352"/>
      <c r="IL162" s="352"/>
      <c r="IM162" s="352"/>
      <c r="IN162" s="352"/>
      <c r="IO162" s="352"/>
      <c r="IP162" s="352"/>
      <c r="IQ162" s="352"/>
      <c r="IR162" s="352"/>
      <c r="IS162" s="352"/>
      <c r="IT162" s="352"/>
    </row>
    <row r="163" spans="1:254" s="397" customFormat="1" ht="15" customHeight="1">
      <c r="A163" s="602" t="s">
        <v>1871</v>
      </c>
      <c r="B163" s="823" t="s">
        <v>1872</v>
      </c>
      <c r="C163" s="597"/>
      <c r="D163" s="597"/>
      <c r="E163" s="1214"/>
      <c r="F163" s="523"/>
      <c r="G163" s="346"/>
      <c r="H163" s="346"/>
      <c r="I163" s="346"/>
      <c r="J163" s="352"/>
      <c r="K163" s="352"/>
      <c r="L163" s="352"/>
      <c r="M163" s="352"/>
      <c r="N163" s="352"/>
      <c r="O163" s="352"/>
      <c r="P163" s="352"/>
      <c r="Q163" s="352"/>
      <c r="R163" s="352"/>
      <c r="S163" s="352"/>
      <c r="T163" s="352"/>
      <c r="U163" s="352"/>
      <c r="V163" s="352"/>
      <c r="W163" s="352"/>
      <c r="X163" s="352"/>
      <c r="Y163" s="352"/>
      <c r="Z163" s="352"/>
      <c r="AA163" s="352"/>
      <c r="AB163" s="352"/>
      <c r="AC163" s="352"/>
      <c r="AD163" s="352"/>
      <c r="AE163" s="352"/>
      <c r="AF163" s="352"/>
      <c r="AG163" s="352"/>
      <c r="AH163" s="352"/>
      <c r="AI163" s="352"/>
      <c r="AJ163" s="352"/>
      <c r="AK163" s="352"/>
      <c r="AL163" s="352"/>
      <c r="AM163" s="352"/>
      <c r="AN163" s="352"/>
      <c r="AO163" s="352"/>
      <c r="AP163" s="352"/>
      <c r="AQ163" s="352"/>
      <c r="AR163" s="352"/>
      <c r="AS163" s="352"/>
      <c r="AT163" s="352"/>
      <c r="AU163" s="352"/>
      <c r="AV163" s="352"/>
      <c r="AW163" s="352"/>
      <c r="AX163" s="352"/>
      <c r="AY163" s="352"/>
      <c r="AZ163" s="352"/>
      <c r="BA163" s="352"/>
      <c r="BB163" s="352"/>
      <c r="BC163" s="352"/>
      <c r="BD163" s="352"/>
      <c r="BE163" s="352"/>
      <c r="BF163" s="352"/>
      <c r="BG163" s="352"/>
      <c r="BH163" s="352"/>
      <c r="BI163" s="352"/>
      <c r="BJ163" s="352"/>
      <c r="BK163" s="352"/>
      <c r="BL163" s="352"/>
      <c r="BM163" s="352"/>
      <c r="BN163" s="352"/>
      <c r="BO163" s="352"/>
      <c r="BP163" s="352"/>
      <c r="BQ163" s="352"/>
      <c r="BR163" s="352"/>
      <c r="BS163" s="352"/>
      <c r="BT163" s="352"/>
      <c r="BU163" s="352"/>
      <c r="BV163" s="352"/>
      <c r="BW163" s="352"/>
      <c r="BX163" s="352"/>
      <c r="BY163" s="352"/>
      <c r="BZ163" s="352"/>
      <c r="CA163" s="352"/>
      <c r="CB163" s="352"/>
      <c r="CC163" s="352"/>
      <c r="CD163" s="352"/>
      <c r="CE163" s="352"/>
      <c r="CF163" s="352"/>
      <c r="CG163" s="352"/>
      <c r="CH163" s="352"/>
      <c r="CI163" s="352"/>
      <c r="CJ163" s="352"/>
      <c r="CK163" s="352"/>
      <c r="CL163" s="352"/>
      <c r="CM163" s="352"/>
      <c r="CN163" s="352"/>
      <c r="CO163" s="352"/>
      <c r="CP163" s="352"/>
      <c r="CQ163" s="352"/>
      <c r="CR163" s="352"/>
      <c r="CS163" s="352"/>
      <c r="CT163" s="352"/>
      <c r="CU163" s="352"/>
      <c r="CV163" s="352"/>
      <c r="CW163" s="352"/>
      <c r="CX163" s="352"/>
      <c r="CY163" s="352"/>
      <c r="CZ163" s="352"/>
      <c r="DA163" s="352"/>
      <c r="DB163" s="352"/>
      <c r="DC163" s="352"/>
      <c r="DD163" s="352"/>
      <c r="DE163" s="352"/>
      <c r="DF163" s="352"/>
      <c r="DG163" s="352"/>
      <c r="DH163" s="352"/>
      <c r="DI163" s="352"/>
      <c r="DJ163" s="352"/>
      <c r="DK163" s="352"/>
      <c r="DL163" s="352"/>
      <c r="DM163" s="352"/>
      <c r="DN163" s="352"/>
      <c r="DO163" s="352"/>
      <c r="DP163" s="352"/>
      <c r="DQ163" s="352"/>
      <c r="DR163" s="352"/>
      <c r="DS163" s="352"/>
      <c r="DT163" s="352"/>
      <c r="DU163" s="352"/>
      <c r="DV163" s="352"/>
      <c r="DW163" s="352"/>
      <c r="DX163" s="352"/>
      <c r="DY163" s="352"/>
      <c r="DZ163" s="352"/>
      <c r="EA163" s="352"/>
      <c r="EB163" s="352"/>
      <c r="EC163" s="352"/>
      <c r="ED163" s="352"/>
      <c r="EE163" s="352"/>
      <c r="EF163" s="352"/>
      <c r="EG163" s="352"/>
      <c r="EH163" s="352"/>
      <c r="EI163" s="352"/>
      <c r="EJ163" s="352"/>
      <c r="EK163" s="352"/>
      <c r="EL163" s="352"/>
      <c r="EM163" s="352"/>
      <c r="EN163" s="352"/>
      <c r="EO163" s="352"/>
      <c r="EP163" s="352"/>
      <c r="EQ163" s="352"/>
      <c r="ER163" s="352"/>
      <c r="ES163" s="352"/>
      <c r="ET163" s="352"/>
      <c r="EU163" s="352"/>
      <c r="EV163" s="352"/>
      <c r="EW163" s="352"/>
      <c r="EX163" s="352"/>
      <c r="EY163" s="352"/>
      <c r="EZ163" s="352"/>
      <c r="FA163" s="352"/>
      <c r="FB163" s="352"/>
      <c r="FC163" s="352"/>
      <c r="FD163" s="352"/>
      <c r="FE163" s="352"/>
      <c r="FF163" s="352"/>
      <c r="FG163" s="352"/>
      <c r="FH163" s="352"/>
      <c r="FI163" s="352"/>
      <c r="FJ163" s="352"/>
      <c r="FK163" s="352"/>
      <c r="FL163" s="352"/>
      <c r="FM163" s="352"/>
      <c r="FN163" s="352"/>
      <c r="FO163" s="352"/>
      <c r="FP163" s="352"/>
      <c r="FQ163" s="352"/>
      <c r="FR163" s="352"/>
      <c r="FS163" s="352"/>
      <c r="FT163" s="352"/>
      <c r="FU163" s="352"/>
      <c r="FV163" s="352"/>
      <c r="FW163" s="352"/>
      <c r="FX163" s="352"/>
      <c r="FY163" s="352"/>
      <c r="FZ163" s="352"/>
      <c r="GA163" s="352"/>
      <c r="GB163" s="352"/>
      <c r="GC163" s="352"/>
      <c r="GD163" s="352"/>
      <c r="GE163" s="352"/>
      <c r="GF163" s="352"/>
      <c r="GG163" s="352"/>
      <c r="GH163" s="352"/>
      <c r="GI163" s="352"/>
      <c r="GJ163" s="352"/>
      <c r="GK163" s="352"/>
      <c r="GL163" s="352"/>
      <c r="GM163" s="352"/>
      <c r="GN163" s="352"/>
      <c r="GO163" s="352"/>
      <c r="GP163" s="352"/>
      <c r="GQ163" s="352"/>
      <c r="GR163" s="352"/>
      <c r="GS163" s="352"/>
      <c r="GT163" s="352"/>
      <c r="GU163" s="352"/>
      <c r="GV163" s="352"/>
      <c r="GW163" s="352"/>
      <c r="GX163" s="352"/>
      <c r="GY163" s="352"/>
      <c r="GZ163" s="352"/>
      <c r="HA163" s="352"/>
      <c r="HB163" s="352"/>
      <c r="HC163" s="352"/>
      <c r="HD163" s="352"/>
      <c r="HE163" s="352"/>
      <c r="HF163" s="352"/>
      <c r="HG163" s="352"/>
      <c r="HH163" s="352"/>
      <c r="HI163" s="352"/>
      <c r="HJ163" s="352"/>
      <c r="HK163" s="352"/>
      <c r="HL163" s="352"/>
      <c r="HM163" s="352"/>
      <c r="HN163" s="352"/>
      <c r="HO163" s="352"/>
      <c r="HP163" s="352"/>
      <c r="HQ163" s="352"/>
      <c r="HR163" s="352"/>
      <c r="HS163" s="352"/>
      <c r="HT163" s="352"/>
      <c r="HU163" s="352"/>
      <c r="HV163" s="352"/>
      <c r="HW163" s="352"/>
      <c r="HX163" s="352"/>
      <c r="HY163" s="352"/>
      <c r="HZ163" s="352"/>
      <c r="IA163" s="352"/>
      <c r="IB163" s="352"/>
      <c r="IC163" s="352"/>
      <c r="ID163" s="352"/>
      <c r="IE163" s="352"/>
      <c r="IF163" s="352"/>
      <c r="IG163" s="352"/>
      <c r="IH163" s="352"/>
      <c r="II163" s="352"/>
      <c r="IJ163" s="352"/>
      <c r="IK163" s="352"/>
      <c r="IL163" s="352"/>
      <c r="IM163" s="352"/>
      <c r="IN163" s="352"/>
      <c r="IO163" s="352"/>
      <c r="IP163" s="352"/>
      <c r="IQ163" s="352"/>
      <c r="IR163" s="352"/>
      <c r="IS163" s="352"/>
      <c r="IT163" s="352"/>
    </row>
    <row r="164" spans="1:254">
      <c r="A164" s="577"/>
      <c r="B164" s="534"/>
      <c r="C164" s="525"/>
      <c r="D164" s="525"/>
    </row>
    <row r="165" spans="1:254">
      <c r="A165" s="577"/>
      <c r="B165" s="604" t="s">
        <v>1873</v>
      </c>
      <c r="C165" s="525"/>
      <c r="D165" s="525"/>
      <c r="E165" s="1584">
        <f>SUM(F119:F160)</f>
        <v>4250</v>
      </c>
      <c r="F165" s="1584"/>
      <c r="G165" s="608"/>
      <c r="H165" s="608"/>
    </row>
    <row r="166" spans="1:254">
      <c r="A166" s="598"/>
      <c r="B166" s="599"/>
      <c r="C166" s="600"/>
      <c r="D166" s="600"/>
      <c r="E166" s="1261"/>
      <c r="F166" s="596"/>
      <c r="G166" s="397"/>
      <c r="H166" s="397"/>
      <c r="I166" s="397"/>
      <c r="J166" s="397"/>
      <c r="K166" s="397"/>
      <c r="L166" s="397"/>
      <c r="M166" s="397"/>
      <c r="N166" s="397"/>
      <c r="O166" s="397"/>
      <c r="P166" s="397"/>
      <c r="Q166" s="397"/>
      <c r="R166" s="397"/>
      <c r="S166" s="397"/>
      <c r="T166" s="397"/>
      <c r="U166" s="397"/>
      <c r="V166" s="397"/>
      <c r="W166" s="397"/>
      <c r="X166" s="397"/>
      <c r="Y166" s="397"/>
      <c r="Z166" s="397"/>
      <c r="AA166" s="397"/>
      <c r="AB166" s="397"/>
      <c r="AC166" s="397"/>
      <c r="AD166" s="397"/>
      <c r="AE166" s="397"/>
      <c r="AF166" s="397"/>
      <c r="AG166" s="397"/>
      <c r="AH166" s="397"/>
      <c r="AI166" s="397"/>
      <c r="AJ166" s="397"/>
      <c r="AK166" s="397"/>
      <c r="AL166" s="397"/>
      <c r="AM166" s="397"/>
      <c r="AN166" s="397"/>
      <c r="AO166" s="397"/>
      <c r="AP166" s="397"/>
      <c r="AQ166" s="397"/>
      <c r="AR166" s="397"/>
      <c r="AS166" s="397"/>
      <c r="AT166" s="397"/>
      <c r="AU166" s="397"/>
      <c r="AV166" s="397"/>
      <c r="AW166" s="397"/>
      <c r="AX166" s="397"/>
      <c r="AY166" s="397"/>
      <c r="AZ166" s="397"/>
      <c r="BA166" s="397"/>
      <c r="BB166" s="397"/>
      <c r="BC166" s="397"/>
      <c r="BD166" s="397"/>
      <c r="BE166" s="397"/>
      <c r="BF166" s="397"/>
      <c r="BG166" s="397"/>
      <c r="BH166" s="397"/>
      <c r="BI166" s="397"/>
      <c r="BJ166" s="397"/>
      <c r="BK166" s="397"/>
      <c r="BL166" s="397"/>
      <c r="BM166" s="397"/>
      <c r="BN166" s="397"/>
      <c r="BO166" s="397"/>
      <c r="BP166" s="397"/>
      <c r="BQ166" s="397"/>
      <c r="BR166" s="397"/>
      <c r="BS166" s="397"/>
      <c r="BT166" s="397"/>
      <c r="BU166" s="397"/>
      <c r="BV166" s="397"/>
      <c r="BW166" s="397"/>
      <c r="BX166" s="397"/>
      <c r="BY166" s="397"/>
      <c r="BZ166" s="397"/>
      <c r="CA166" s="397"/>
      <c r="CB166" s="397"/>
      <c r="CC166" s="397"/>
      <c r="CD166" s="397"/>
      <c r="CE166" s="397"/>
      <c r="CF166" s="397"/>
      <c r="CG166" s="397"/>
      <c r="CH166" s="397"/>
      <c r="CI166" s="397"/>
      <c r="CJ166" s="397"/>
      <c r="CK166" s="397"/>
      <c r="CL166" s="397"/>
      <c r="CM166" s="397"/>
      <c r="CN166" s="397"/>
      <c r="CO166" s="397"/>
      <c r="CP166" s="397"/>
      <c r="CQ166" s="397"/>
      <c r="CR166" s="397"/>
      <c r="CS166" s="397"/>
      <c r="CT166" s="397"/>
      <c r="CU166" s="397"/>
      <c r="CV166" s="397"/>
      <c r="CW166" s="397"/>
      <c r="CX166" s="397"/>
      <c r="CY166" s="397"/>
      <c r="CZ166" s="397"/>
      <c r="DA166" s="397"/>
      <c r="DB166" s="397"/>
      <c r="DC166" s="397"/>
      <c r="DD166" s="397"/>
      <c r="DE166" s="397"/>
      <c r="DF166" s="397"/>
      <c r="DG166" s="397"/>
      <c r="DH166" s="397"/>
      <c r="DI166" s="397"/>
      <c r="DJ166" s="397"/>
      <c r="DK166" s="397"/>
      <c r="DL166" s="397"/>
      <c r="DM166" s="397"/>
      <c r="DN166" s="397"/>
      <c r="DO166" s="397"/>
      <c r="DP166" s="397"/>
      <c r="DQ166" s="397"/>
      <c r="DR166" s="397"/>
      <c r="DS166" s="397"/>
      <c r="DT166" s="397"/>
      <c r="DU166" s="397"/>
      <c r="DV166" s="397"/>
      <c r="DW166" s="397"/>
      <c r="DX166" s="397"/>
      <c r="DY166" s="397"/>
      <c r="DZ166" s="397"/>
      <c r="EA166" s="397"/>
      <c r="EB166" s="397"/>
      <c r="EC166" s="397"/>
      <c r="ED166" s="397"/>
      <c r="EE166" s="397"/>
      <c r="EF166" s="397"/>
      <c r="EG166" s="397"/>
      <c r="EH166" s="397"/>
      <c r="EI166" s="397"/>
      <c r="EJ166" s="397"/>
      <c r="EK166" s="397"/>
      <c r="EL166" s="397"/>
      <c r="EM166" s="397"/>
      <c r="EN166" s="397"/>
      <c r="EO166" s="397"/>
      <c r="EP166" s="397"/>
      <c r="EQ166" s="397"/>
      <c r="ER166" s="397"/>
      <c r="ES166" s="397"/>
      <c r="ET166" s="397"/>
      <c r="EU166" s="397"/>
      <c r="EV166" s="397"/>
      <c r="EW166" s="397"/>
      <c r="EX166" s="397"/>
      <c r="EY166" s="397"/>
      <c r="EZ166" s="397"/>
      <c r="FA166" s="397"/>
      <c r="FB166" s="397"/>
      <c r="FC166" s="397"/>
      <c r="FD166" s="397"/>
      <c r="FE166" s="397"/>
      <c r="FF166" s="397"/>
      <c r="FG166" s="397"/>
      <c r="FH166" s="397"/>
      <c r="FI166" s="397"/>
      <c r="FJ166" s="397"/>
      <c r="FK166" s="397"/>
      <c r="FL166" s="397"/>
      <c r="FM166" s="397"/>
      <c r="FN166" s="397"/>
      <c r="FO166" s="397"/>
      <c r="FP166" s="397"/>
      <c r="FQ166" s="397"/>
      <c r="FR166" s="397"/>
      <c r="FS166" s="397"/>
      <c r="FT166" s="397"/>
      <c r="FU166" s="397"/>
      <c r="FV166" s="397"/>
      <c r="FW166" s="397"/>
      <c r="FX166" s="397"/>
      <c r="FY166" s="397"/>
      <c r="FZ166" s="397"/>
      <c r="GA166" s="397"/>
      <c r="GB166" s="397"/>
      <c r="GC166" s="397"/>
      <c r="GD166" s="397"/>
      <c r="GE166" s="397"/>
      <c r="GF166" s="397"/>
      <c r="GG166" s="397"/>
      <c r="GH166" s="397"/>
      <c r="GI166" s="397"/>
      <c r="GJ166" s="397"/>
      <c r="GK166" s="397"/>
      <c r="GL166" s="397"/>
      <c r="GM166" s="397"/>
      <c r="GN166" s="397"/>
      <c r="GO166" s="397"/>
      <c r="GP166" s="397"/>
      <c r="GQ166" s="397"/>
      <c r="GR166" s="397"/>
      <c r="GS166" s="397"/>
      <c r="GT166" s="397"/>
      <c r="GU166" s="397"/>
      <c r="GV166" s="397"/>
      <c r="GW166" s="397"/>
      <c r="GX166" s="397"/>
      <c r="GY166" s="397"/>
      <c r="GZ166" s="397"/>
      <c r="HA166" s="397"/>
      <c r="HB166" s="397"/>
      <c r="HC166" s="397"/>
      <c r="HD166" s="397"/>
      <c r="HE166" s="397"/>
      <c r="HF166" s="397"/>
      <c r="HG166" s="397"/>
      <c r="HH166" s="397"/>
      <c r="HI166" s="397"/>
      <c r="HJ166" s="397"/>
      <c r="HK166" s="397"/>
      <c r="HL166" s="397"/>
      <c r="HM166" s="397"/>
      <c r="HN166" s="397"/>
      <c r="HO166" s="397"/>
      <c r="HP166" s="397"/>
      <c r="HQ166" s="397"/>
      <c r="HR166" s="397"/>
      <c r="HS166" s="397"/>
      <c r="HT166" s="397"/>
      <c r="HU166" s="397"/>
      <c r="HV166" s="397"/>
      <c r="HW166" s="397"/>
      <c r="HX166" s="397"/>
      <c r="HY166" s="397"/>
      <c r="HZ166" s="397"/>
      <c r="IA166" s="397"/>
      <c r="IB166" s="397"/>
      <c r="IC166" s="397"/>
      <c r="ID166" s="397"/>
      <c r="IE166" s="397"/>
      <c r="IF166" s="397"/>
      <c r="IG166" s="397"/>
      <c r="IH166" s="397"/>
      <c r="II166" s="397"/>
      <c r="IJ166" s="397"/>
      <c r="IK166" s="397"/>
      <c r="IL166" s="397"/>
      <c r="IM166" s="397"/>
      <c r="IN166" s="397"/>
      <c r="IO166" s="397"/>
      <c r="IP166" s="397"/>
      <c r="IQ166" s="397"/>
      <c r="IR166" s="397"/>
      <c r="IS166" s="397"/>
      <c r="IT166" s="397"/>
    </row>
    <row r="167" spans="1:254">
      <c r="C167" s="584"/>
      <c r="D167" s="584"/>
    </row>
    <row r="168" spans="1:254" s="397" customFormat="1" ht="15" customHeight="1">
      <c r="A168" s="486"/>
      <c r="B168" s="363"/>
      <c r="C168" s="584"/>
      <c r="D168" s="584"/>
      <c r="E168" s="1214"/>
      <c r="F168" s="523"/>
      <c r="G168" s="346"/>
      <c r="H168" s="346"/>
      <c r="I168" s="346"/>
      <c r="J168" s="346"/>
      <c r="K168" s="346"/>
      <c r="L168" s="346"/>
      <c r="M168" s="346"/>
      <c r="N168" s="346"/>
      <c r="O168" s="346"/>
      <c r="P168" s="346"/>
      <c r="Q168" s="346"/>
      <c r="R168" s="346"/>
      <c r="S168" s="346"/>
      <c r="T168" s="346"/>
      <c r="U168" s="346"/>
      <c r="V168" s="346"/>
      <c r="W168" s="346"/>
      <c r="X168" s="346"/>
      <c r="Y168" s="346"/>
      <c r="Z168" s="346"/>
      <c r="AA168" s="346"/>
      <c r="AB168" s="346"/>
      <c r="AC168" s="346"/>
      <c r="AD168" s="346"/>
      <c r="AE168" s="346"/>
      <c r="AF168" s="346"/>
      <c r="AG168" s="346"/>
      <c r="AH168" s="346"/>
      <c r="AI168" s="346"/>
      <c r="AJ168" s="346"/>
      <c r="AK168" s="346"/>
      <c r="AL168" s="346"/>
      <c r="AM168" s="346"/>
      <c r="AN168" s="346"/>
      <c r="AO168" s="346"/>
      <c r="AP168" s="346"/>
      <c r="AQ168" s="346"/>
      <c r="AR168" s="346"/>
      <c r="AS168" s="346"/>
      <c r="AT168" s="346"/>
      <c r="AU168" s="346"/>
      <c r="AV168" s="346"/>
      <c r="AW168" s="346"/>
      <c r="AX168" s="346"/>
      <c r="AY168" s="346"/>
      <c r="AZ168" s="346"/>
      <c r="BA168" s="346"/>
      <c r="BB168" s="346"/>
      <c r="BC168" s="346"/>
      <c r="BD168" s="346"/>
      <c r="BE168" s="346"/>
      <c r="BF168" s="346"/>
      <c r="BG168" s="346"/>
      <c r="BH168" s="346"/>
      <c r="BI168" s="346"/>
      <c r="BJ168" s="346"/>
      <c r="BK168" s="346"/>
      <c r="BL168" s="346"/>
      <c r="BM168" s="346"/>
      <c r="BN168" s="346"/>
      <c r="BO168" s="346"/>
      <c r="BP168" s="346"/>
      <c r="BQ168" s="346"/>
      <c r="BR168" s="346"/>
      <c r="BS168" s="346"/>
      <c r="BT168" s="346"/>
      <c r="BU168" s="346"/>
      <c r="BV168" s="346"/>
      <c r="BW168" s="346"/>
      <c r="BX168" s="346"/>
      <c r="BY168" s="346"/>
      <c r="BZ168" s="346"/>
      <c r="CA168" s="346"/>
      <c r="CB168" s="346"/>
      <c r="CC168" s="346"/>
      <c r="CD168" s="346"/>
      <c r="CE168" s="346"/>
      <c r="CF168" s="346"/>
      <c r="CG168" s="346"/>
      <c r="CH168" s="346"/>
      <c r="CI168" s="346"/>
      <c r="CJ168" s="346"/>
      <c r="CK168" s="346"/>
      <c r="CL168" s="346"/>
      <c r="CM168" s="346"/>
      <c r="CN168" s="346"/>
      <c r="CO168" s="346"/>
      <c r="CP168" s="346"/>
      <c r="CQ168" s="346"/>
      <c r="CR168" s="346"/>
      <c r="CS168" s="346"/>
      <c r="CT168" s="346"/>
      <c r="CU168" s="346"/>
      <c r="CV168" s="346"/>
      <c r="CW168" s="346"/>
      <c r="CX168" s="346"/>
      <c r="CY168" s="346"/>
      <c r="CZ168" s="346"/>
      <c r="DA168" s="346"/>
      <c r="DB168" s="346"/>
      <c r="DC168" s="346"/>
      <c r="DD168" s="346"/>
      <c r="DE168" s="346"/>
      <c r="DF168" s="346"/>
      <c r="DG168" s="346"/>
      <c r="DH168" s="346"/>
      <c r="DI168" s="346"/>
      <c r="DJ168" s="346"/>
      <c r="DK168" s="346"/>
      <c r="DL168" s="346"/>
      <c r="DM168" s="346"/>
      <c r="DN168" s="346"/>
      <c r="DO168" s="346"/>
      <c r="DP168" s="346"/>
      <c r="DQ168" s="346"/>
      <c r="DR168" s="346"/>
      <c r="DS168" s="346"/>
      <c r="DT168" s="346"/>
      <c r="DU168" s="346"/>
      <c r="DV168" s="346"/>
      <c r="DW168" s="346"/>
      <c r="DX168" s="346"/>
      <c r="DY168" s="346"/>
      <c r="DZ168" s="346"/>
      <c r="EA168" s="346"/>
      <c r="EB168" s="346"/>
      <c r="EC168" s="346"/>
      <c r="ED168" s="346"/>
      <c r="EE168" s="346"/>
      <c r="EF168" s="346"/>
      <c r="EG168" s="346"/>
      <c r="EH168" s="346"/>
      <c r="EI168" s="346"/>
      <c r="EJ168" s="346"/>
      <c r="EK168" s="346"/>
      <c r="EL168" s="346"/>
      <c r="EM168" s="346"/>
      <c r="EN168" s="346"/>
      <c r="EO168" s="346"/>
      <c r="EP168" s="346"/>
      <c r="EQ168" s="346"/>
      <c r="ER168" s="346"/>
      <c r="ES168" s="346"/>
      <c r="ET168" s="346"/>
      <c r="EU168" s="346"/>
      <c r="EV168" s="346"/>
      <c r="EW168" s="346"/>
      <c r="EX168" s="346"/>
      <c r="EY168" s="346"/>
      <c r="EZ168" s="346"/>
      <c r="FA168" s="346"/>
      <c r="FB168" s="346"/>
      <c r="FC168" s="346"/>
      <c r="FD168" s="346"/>
      <c r="FE168" s="346"/>
      <c r="FF168" s="346"/>
      <c r="FG168" s="346"/>
      <c r="FH168" s="346"/>
      <c r="FI168" s="346"/>
      <c r="FJ168" s="346"/>
      <c r="FK168" s="346"/>
      <c r="FL168" s="346"/>
      <c r="FM168" s="346"/>
      <c r="FN168" s="346"/>
      <c r="FO168" s="346"/>
      <c r="FP168" s="346"/>
      <c r="FQ168" s="346"/>
      <c r="FR168" s="346"/>
      <c r="FS168" s="346"/>
      <c r="FT168" s="346"/>
      <c r="FU168" s="346"/>
      <c r="FV168" s="346"/>
      <c r="FW168" s="346"/>
      <c r="FX168" s="346"/>
      <c r="FY168" s="346"/>
      <c r="FZ168" s="346"/>
      <c r="GA168" s="346"/>
      <c r="GB168" s="346"/>
      <c r="GC168" s="346"/>
      <c r="GD168" s="346"/>
      <c r="GE168" s="346"/>
      <c r="GF168" s="346"/>
      <c r="GG168" s="346"/>
      <c r="GH168" s="346"/>
      <c r="GI168" s="346"/>
      <c r="GJ168" s="346"/>
      <c r="GK168" s="346"/>
      <c r="GL168" s="346"/>
      <c r="GM168" s="346"/>
      <c r="GN168" s="346"/>
      <c r="GO168" s="346"/>
      <c r="GP168" s="346"/>
      <c r="GQ168" s="346"/>
      <c r="GR168" s="346"/>
      <c r="GS168" s="346"/>
      <c r="GT168" s="346"/>
      <c r="GU168" s="346"/>
      <c r="GV168" s="346"/>
      <c r="GW168" s="346"/>
      <c r="GX168" s="346"/>
      <c r="GY168" s="346"/>
      <c r="GZ168" s="346"/>
      <c r="HA168" s="346"/>
      <c r="HB168" s="346"/>
      <c r="HC168" s="346"/>
      <c r="HD168" s="346"/>
      <c r="HE168" s="346"/>
      <c r="HF168" s="346"/>
      <c r="HG168" s="346"/>
      <c r="HH168" s="346"/>
      <c r="HI168" s="346"/>
      <c r="HJ168" s="346"/>
      <c r="HK168" s="346"/>
      <c r="HL168" s="346"/>
      <c r="HM168" s="346"/>
      <c r="HN168" s="346"/>
      <c r="HO168" s="346"/>
      <c r="HP168" s="346"/>
      <c r="HQ168" s="346"/>
      <c r="HR168" s="346"/>
      <c r="HS168" s="346"/>
      <c r="HT168" s="346"/>
      <c r="HU168" s="346"/>
      <c r="HV168" s="346"/>
      <c r="HW168" s="346"/>
      <c r="HX168" s="346"/>
      <c r="HY168" s="346"/>
      <c r="HZ168" s="346"/>
      <c r="IA168" s="346"/>
      <c r="IB168" s="346"/>
      <c r="IC168" s="346"/>
      <c r="ID168" s="346"/>
      <c r="IE168" s="346"/>
      <c r="IF168" s="346"/>
      <c r="IG168" s="346"/>
      <c r="IH168" s="346"/>
      <c r="II168" s="346"/>
      <c r="IJ168" s="346"/>
      <c r="IK168" s="346"/>
      <c r="IL168" s="346"/>
      <c r="IM168" s="346"/>
      <c r="IN168" s="346"/>
      <c r="IO168" s="346"/>
      <c r="IP168" s="346"/>
      <c r="IQ168" s="346"/>
      <c r="IR168" s="346"/>
      <c r="IS168" s="346"/>
      <c r="IT168" s="346"/>
    </row>
  </sheetData>
  <sheetProtection algorithmName="SHA-512" hashValue="Na3MqDGikFrAUFkUVdecl21NSvsCdx2ukBSQU+cSowqmhPeqM0St8yFGsxsW8mpTe7s3g4ZAEIpsrbj2T+Stiw==" saltValue="vSAPyWiEhvunXLa8UtESNQ==" spinCount="100000" sheet="1" objects="1" scenarios="1"/>
  <mergeCells count="7">
    <mergeCell ref="G119:G149"/>
    <mergeCell ref="E165:F165"/>
    <mergeCell ref="A1:F1"/>
    <mergeCell ref="B8:F8"/>
    <mergeCell ref="B9:F9"/>
    <mergeCell ref="B10:F10"/>
    <mergeCell ref="E112:F112"/>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rowBreaks count="2" manualBreakCount="2">
    <brk id="53" max="7" man="1"/>
    <brk id="85" max="7"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IT148"/>
  <sheetViews>
    <sheetView topLeftCell="A124" zoomScaleNormal="100" zoomScaleSheetLayoutView="115" workbookViewId="0">
      <selection activeCell="E136" sqref="E136"/>
    </sheetView>
  </sheetViews>
  <sheetFormatPr defaultColWidth="9.109375" defaultRowHeight="13.2"/>
  <cols>
    <col min="1" max="1" width="9.33203125" style="465" bestFit="1" customWidth="1"/>
    <col min="2" max="2" width="45.6640625" style="346" customWidth="1"/>
    <col min="3" max="3" width="9.33203125" style="337" bestFit="1" customWidth="1"/>
    <col min="4" max="4" width="7.33203125" style="337" customWidth="1"/>
    <col min="5" max="5" width="11.109375" style="750" bestFit="1" customWidth="1"/>
    <col min="6" max="6" width="11.109375" style="466" bestFit="1" customWidth="1"/>
    <col min="7" max="7" width="9.109375" style="346"/>
    <col min="8" max="8" width="11.6640625" style="346" bestFit="1" customWidth="1"/>
    <col min="9" max="9" width="9.6640625" style="346" bestFit="1" customWidth="1"/>
    <col min="10" max="16384" width="9.109375" style="346"/>
  </cols>
  <sheetData>
    <row r="1" spans="1:7" s="542" customFormat="1" ht="45" customHeight="1">
      <c r="A1" s="1588" t="s">
        <v>2047</v>
      </c>
      <c r="B1" s="1588"/>
      <c r="C1" s="1588"/>
      <c r="D1" s="1588"/>
      <c r="E1" s="1588"/>
      <c r="F1" s="1588"/>
    </row>
    <row r="2" spans="1:7" s="254" customFormat="1" ht="12.6" customHeight="1" thickBot="1">
      <c r="A2" s="291"/>
      <c r="B2" s="291"/>
      <c r="C2" s="291"/>
      <c r="D2" s="291"/>
      <c r="E2" s="1217"/>
      <c r="F2" s="291"/>
    </row>
    <row r="3" spans="1:7" ht="40.200000000000003" thickBot="1">
      <c r="A3" s="355" t="s">
        <v>1790</v>
      </c>
      <c r="B3" s="356" t="s">
        <v>1791</v>
      </c>
      <c r="C3" s="357" t="s">
        <v>1792</v>
      </c>
      <c r="D3" s="357" t="s">
        <v>1793</v>
      </c>
      <c r="E3" s="1203" t="s">
        <v>1794</v>
      </c>
      <c r="F3" s="358" t="s">
        <v>1795</v>
      </c>
      <c r="G3" s="1189" t="s">
        <v>2523</v>
      </c>
    </row>
    <row r="4" spans="1:7" ht="14.4" thickTop="1" thickBot="1">
      <c r="A4" s="359">
        <v>1</v>
      </c>
      <c r="B4" s="360">
        <v>2</v>
      </c>
      <c r="C4" s="361">
        <v>3</v>
      </c>
      <c r="D4" s="361">
        <v>4</v>
      </c>
      <c r="E4" s="361">
        <v>5</v>
      </c>
      <c r="F4" s="361">
        <v>6</v>
      </c>
    </row>
    <row r="5" spans="1:7">
      <c r="A5" s="362"/>
      <c r="B5" s="363"/>
      <c r="C5" s="364"/>
      <c r="D5" s="364"/>
      <c r="E5" s="1204"/>
      <c r="F5" s="365"/>
    </row>
    <row r="6" spans="1:7">
      <c r="A6" s="625" t="s">
        <v>434</v>
      </c>
      <c r="B6" s="626" t="s">
        <v>1874</v>
      </c>
      <c r="C6" s="627"/>
      <c r="D6" s="627"/>
      <c r="E6" s="1218"/>
      <c r="F6" s="628"/>
    </row>
    <row r="8" spans="1:7" ht="28.5" customHeight="1">
      <c r="A8" s="366"/>
      <c r="B8" s="1579" t="s">
        <v>1644</v>
      </c>
      <c r="C8" s="1579"/>
      <c r="D8" s="1579"/>
      <c r="E8" s="1579"/>
      <c r="F8" s="1579"/>
    </row>
    <row r="9" spans="1:7">
      <c r="A9" s="367"/>
      <c r="B9" s="1579" t="s">
        <v>1645</v>
      </c>
      <c r="C9" s="1579"/>
      <c r="D9" s="1579"/>
      <c r="E9" s="1579"/>
      <c r="F9" s="368"/>
    </row>
    <row r="10" spans="1:7" ht="30" customHeight="1">
      <c r="A10" s="367"/>
      <c r="B10" s="1580" t="s">
        <v>1646</v>
      </c>
      <c r="C10" s="1580"/>
      <c r="D10" s="1580"/>
      <c r="E10" s="1580"/>
      <c r="F10" s="1580"/>
    </row>
    <row r="12" spans="1:7" s="370" customFormat="1" ht="15" customHeight="1">
      <c r="A12" s="609" t="s">
        <v>1875</v>
      </c>
      <c r="B12" s="610" t="s">
        <v>1876</v>
      </c>
      <c r="C12" s="611"/>
      <c r="D12" s="611"/>
      <c r="E12" s="1219"/>
      <c r="F12" s="612"/>
      <c r="G12" s="369"/>
    </row>
    <row r="13" spans="1:7" s="370" customFormat="1" ht="15" customHeight="1">
      <c r="A13" s="371"/>
      <c r="B13" s="372"/>
      <c r="C13" s="373"/>
      <c r="D13" s="373"/>
      <c r="E13" s="1220"/>
      <c r="F13" s="374"/>
      <c r="G13" s="369"/>
    </row>
    <row r="14" spans="1:7" s="370" customFormat="1" ht="15" customHeight="1">
      <c r="A14" s="371"/>
      <c r="B14" s="375" t="s">
        <v>1717</v>
      </c>
      <c r="C14" s="373"/>
      <c r="D14" s="373"/>
      <c r="E14" s="1220"/>
      <c r="F14" s="374"/>
      <c r="G14" s="369"/>
    </row>
    <row r="15" spans="1:7" s="370" customFormat="1" ht="28.5" customHeight="1">
      <c r="A15" s="376"/>
      <c r="B15" s="1589" t="s">
        <v>1877</v>
      </c>
      <c r="C15" s="1589"/>
      <c r="D15" s="1589"/>
      <c r="E15" s="1589"/>
      <c r="F15" s="1589"/>
      <c r="G15" s="369"/>
    </row>
    <row r="16" spans="1:7" s="370" customFormat="1">
      <c r="A16" s="376"/>
      <c r="B16" s="377" t="s">
        <v>1878</v>
      </c>
      <c r="C16" s="376"/>
      <c r="D16" s="376"/>
      <c r="E16" s="1221"/>
      <c r="F16" s="378"/>
      <c r="G16" s="369"/>
    </row>
    <row r="17" spans="1:8" s="381" customFormat="1">
      <c r="A17" s="376"/>
      <c r="B17" s="377"/>
      <c r="C17" s="376"/>
      <c r="D17" s="376"/>
      <c r="E17" s="1221"/>
      <c r="F17" s="378"/>
      <c r="G17" s="379"/>
      <c r="H17" s="380"/>
    </row>
    <row r="18" spans="1:8" s="381" customFormat="1">
      <c r="A18" s="382" t="s">
        <v>1879</v>
      </c>
      <c r="B18" s="377"/>
      <c r="C18" s="376"/>
      <c r="D18" s="376"/>
      <c r="E18" s="1221"/>
      <c r="F18" s="378"/>
      <c r="G18" s="379"/>
    </row>
    <row r="19" spans="1:8" s="387" customFormat="1" ht="330">
      <c r="A19" s="383"/>
      <c r="B19" s="384" t="s">
        <v>2253</v>
      </c>
      <c r="C19" s="383"/>
      <c r="D19" s="383"/>
      <c r="E19" s="1222"/>
      <c r="F19" s="385"/>
      <c r="G19" s="386"/>
    </row>
    <row r="20" spans="1:8" s="387" customFormat="1">
      <c r="A20" s="383"/>
      <c r="B20" s="384"/>
      <c r="C20" s="383"/>
      <c r="D20" s="383"/>
      <c r="E20" s="1222"/>
      <c r="F20" s="385"/>
      <c r="G20" s="386"/>
    </row>
    <row r="21" spans="1:8" s="381" customFormat="1" ht="39.6">
      <c r="A21" s="382">
        <v>0</v>
      </c>
      <c r="B21" s="388" t="s">
        <v>1880</v>
      </c>
      <c r="C21" s="389" t="s">
        <v>1818</v>
      </c>
      <c r="D21" s="390">
        <v>4</v>
      </c>
      <c r="E21" s="1338">
        <v>150</v>
      </c>
      <c r="F21" s="912">
        <f>D21*E21</f>
        <v>600</v>
      </c>
      <c r="G21" s="379"/>
    </row>
    <row r="22" spans="1:8" s="381" customFormat="1">
      <c r="A22" s="382"/>
      <c r="B22" s="388"/>
      <c r="C22" s="389"/>
      <c r="D22" s="390"/>
      <c r="E22" s="1221"/>
      <c r="F22" s="930"/>
      <c r="G22" s="379"/>
    </row>
    <row r="23" spans="1:8" s="397" customFormat="1">
      <c r="A23" s="391"/>
      <c r="B23" s="392" t="s">
        <v>1881</v>
      </c>
      <c r="C23" s="393"/>
      <c r="D23" s="394"/>
      <c r="E23" s="1223"/>
      <c r="F23" s="931"/>
      <c r="G23" s="396"/>
    </row>
    <row r="24" spans="1:8" s="401" customFormat="1">
      <c r="A24" s="398" t="s">
        <v>1882</v>
      </c>
      <c r="B24" s="399" t="s">
        <v>1883</v>
      </c>
      <c r="C24" s="398" t="s">
        <v>692</v>
      </c>
      <c r="D24" s="400">
        <v>35</v>
      </c>
      <c r="E24" s="1338">
        <v>30</v>
      </c>
      <c r="F24" s="912">
        <f>D24*E24</f>
        <v>1050</v>
      </c>
    </row>
    <row r="25" spans="1:8" s="401" customFormat="1">
      <c r="A25" s="398" t="s">
        <v>1884</v>
      </c>
      <c r="B25" s="399" t="s">
        <v>1885</v>
      </c>
      <c r="C25" s="398" t="s">
        <v>692</v>
      </c>
      <c r="D25" s="400">
        <v>10</v>
      </c>
      <c r="E25" s="1338">
        <v>40</v>
      </c>
      <c r="F25" s="912">
        <f>D25*E25</f>
        <v>400</v>
      </c>
    </row>
    <row r="26" spans="1:8" s="401" customFormat="1">
      <c r="A26" s="398" t="s">
        <v>1380</v>
      </c>
      <c r="B26" s="399" t="s">
        <v>1886</v>
      </c>
      <c r="C26" s="398" t="s">
        <v>692</v>
      </c>
      <c r="D26" s="400">
        <v>40</v>
      </c>
      <c r="E26" s="1338">
        <v>25</v>
      </c>
      <c r="F26" s="912">
        <f>D26*E26</f>
        <v>1000</v>
      </c>
    </row>
    <row r="27" spans="1:8" s="401" customFormat="1">
      <c r="A27" s="398" t="s">
        <v>1887</v>
      </c>
      <c r="B27" s="399" t="s">
        <v>1888</v>
      </c>
      <c r="C27" s="398" t="s">
        <v>692</v>
      </c>
      <c r="D27" s="400">
        <v>90</v>
      </c>
      <c r="E27" s="1338">
        <v>20</v>
      </c>
      <c r="F27" s="912">
        <f>D27*E27</f>
        <v>1800</v>
      </c>
    </row>
    <row r="28" spans="1:8" s="401" customFormat="1">
      <c r="A28" s="398" t="s">
        <v>1889</v>
      </c>
      <c r="B28" s="399" t="s">
        <v>1890</v>
      </c>
      <c r="C28" s="398" t="s">
        <v>692</v>
      </c>
      <c r="D28" s="400">
        <v>40</v>
      </c>
      <c r="E28" s="1338">
        <v>22</v>
      </c>
      <c r="F28" s="912">
        <f>D28*E28</f>
        <v>880</v>
      </c>
    </row>
    <row r="29" spans="1:8" s="397" customFormat="1">
      <c r="A29" s="391"/>
      <c r="B29" s="393"/>
      <c r="C29" s="391"/>
      <c r="D29" s="402"/>
      <c r="E29" s="1223"/>
      <c r="F29" s="395"/>
      <c r="G29" s="396"/>
    </row>
    <row r="30" spans="1:8" s="408" customFormat="1">
      <c r="A30" s="403"/>
      <c r="B30" s="404"/>
      <c r="C30" s="405"/>
      <c r="D30" s="406"/>
      <c r="E30" s="1224"/>
      <c r="F30" s="407"/>
      <c r="G30" s="404"/>
    </row>
    <row r="31" spans="1:8" s="381" customFormat="1">
      <c r="A31" s="409"/>
      <c r="B31" s="410"/>
      <c r="C31" s="411"/>
      <c r="D31" s="409"/>
      <c r="E31" s="1225"/>
      <c r="F31" s="412"/>
      <c r="G31" s="379"/>
    </row>
    <row r="32" spans="1:8" s="381" customFormat="1" ht="15" customHeight="1">
      <c r="A32" s="470" t="s">
        <v>1875</v>
      </c>
      <c r="B32" s="629" t="s">
        <v>1876</v>
      </c>
      <c r="C32" s="630"/>
      <c r="D32" s="613"/>
      <c r="E32" s="1226"/>
      <c r="F32" s="413"/>
      <c r="G32" s="379"/>
    </row>
    <row r="33" spans="1:254" s="381" customFormat="1" ht="15" customHeight="1">
      <c r="A33" s="414"/>
      <c r="B33" s="377"/>
      <c r="C33" s="382"/>
      <c r="D33" s="382"/>
      <c r="E33" s="1227"/>
      <c r="F33" s="416"/>
      <c r="G33" s="379"/>
    </row>
    <row r="34" spans="1:254" s="381" customFormat="1" ht="15.6" customHeight="1">
      <c r="A34" s="414"/>
      <c r="B34" s="471" t="s">
        <v>425</v>
      </c>
      <c r="C34" s="382"/>
      <c r="D34" s="382"/>
      <c r="E34" s="1590">
        <f>SUM(F18:F30)</f>
        <v>5730</v>
      </c>
      <c r="F34" s="1591"/>
      <c r="G34" s="379"/>
    </row>
    <row r="35" spans="1:254" s="381" customFormat="1">
      <c r="A35" s="417"/>
      <c r="B35" s="472"/>
      <c r="C35" s="418"/>
      <c r="D35" s="418"/>
      <c r="E35" s="1228"/>
      <c r="F35" s="419"/>
      <c r="G35" s="379"/>
    </row>
    <row r="36" spans="1:254" s="381" customFormat="1">
      <c r="A36" s="420"/>
      <c r="B36" s="421"/>
      <c r="C36" s="422"/>
      <c r="D36" s="422"/>
      <c r="E36" s="1220"/>
      <c r="F36" s="374"/>
      <c r="G36" s="379"/>
    </row>
    <row r="37" spans="1:254" s="381" customFormat="1" ht="15" customHeight="1">
      <c r="A37" s="376"/>
      <c r="B37" s="473"/>
      <c r="C37" s="423"/>
      <c r="D37" s="423"/>
      <c r="E37" s="1227"/>
      <c r="F37" s="415"/>
      <c r="G37" s="379"/>
    </row>
    <row r="38" spans="1:254" s="381" customFormat="1" ht="15" customHeight="1">
      <c r="A38" s="614" t="s">
        <v>1891</v>
      </c>
      <c r="B38" s="610" t="s">
        <v>1892</v>
      </c>
      <c r="C38" s="611"/>
      <c r="D38" s="611"/>
      <c r="E38" s="1219"/>
      <c r="F38" s="612"/>
      <c r="G38" s="379"/>
    </row>
    <row r="39" spans="1:254" s="381" customFormat="1">
      <c r="A39" s="424"/>
      <c r="B39" s="372"/>
      <c r="C39" s="423"/>
      <c r="D39" s="423"/>
      <c r="E39" s="1229"/>
      <c r="F39" s="425"/>
      <c r="G39" s="379"/>
    </row>
    <row r="40" spans="1:254" s="370" customFormat="1" ht="15" customHeight="1">
      <c r="A40" s="371"/>
      <c r="B40" s="375" t="s">
        <v>1717</v>
      </c>
      <c r="C40" s="373"/>
      <c r="D40" s="373"/>
      <c r="E40" s="1220"/>
      <c r="F40" s="374"/>
      <c r="G40" s="369"/>
    </row>
    <row r="41" spans="1:254" s="426" customFormat="1" ht="31.5" customHeight="1">
      <c r="A41" s="376"/>
      <c r="B41" s="1589" t="s">
        <v>1893</v>
      </c>
      <c r="C41" s="1589"/>
      <c r="D41" s="1589"/>
      <c r="E41" s="1589"/>
      <c r="F41" s="1589"/>
      <c r="G41" s="379"/>
      <c r="H41" s="381"/>
      <c r="I41" s="381"/>
      <c r="J41" s="381"/>
      <c r="K41" s="381"/>
      <c r="L41" s="381"/>
      <c r="M41" s="381"/>
      <c r="N41" s="381"/>
      <c r="O41" s="381"/>
      <c r="P41" s="381"/>
      <c r="Q41" s="381"/>
      <c r="R41" s="381"/>
      <c r="S41" s="381"/>
      <c r="T41" s="381"/>
      <c r="U41" s="381"/>
      <c r="V41" s="381"/>
      <c r="W41" s="381"/>
      <c r="X41" s="381"/>
      <c r="Y41" s="381"/>
      <c r="Z41" s="381"/>
      <c r="AA41" s="381"/>
      <c r="AB41" s="381"/>
      <c r="AC41" s="381"/>
      <c r="AD41" s="381"/>
      <c r="AE41" s="381"/>
      <c r="AF41" s="381"/>
      <c r="AG41" s="381"/>
      <c r="AH41" s="381"/>
      <c r="AI41" s="381"/>
      <c r="AJ41" s="381"/>
      <c r="AK41" s="381"/>
      <c r="AL41" s="381"/>
      <c r="AM41" s="381"/>
      <c r="AN41" s="381"/>
      <c r="AO41" s="381"/>
      <c r="AP41" s="381"/>
      <c r="AQ41" s="381"/>
      <c r="AR41" s="381"/>
      <c r="AS41" s="381"/>
      <c r="AT41" s="381"/>
      <c r="AU41" s="381"/>
      <c r="AV41" s="381"/>
      <c r="AW41" s="381"/>
      <c r="AX41" s="381"/>
      <c r="AY41" s="381"/>
      <c r="AZ41" s="381"/>
      <c r="BA41" s="381"/>
      <c r="BB41" s="381"/>
      <c r="BC41" s="381"/>
      <c r="BD41" s="381"/>
      <c r="BE41" s="381"/>
      <c r="BF41" s="381"/>
      <c r="BG41" s="381"/>
      <c r="BH41" s="381"/>
      <c r="BI41" s="381"/>
      <c r="BJ41" s="381"/>
      <c r="BK41" s="381"/>
      <c r="BL41" s="381"/>
      <c r="BM41" s="381"/>
      <c r="BN41" s="381"/>
      <c r="BO41" s="381"/>
      <c r="BP41" s="381"/>
      <c r="BQ41" s="381"/>
      <c r="BR41" s="381"/>
      <c r="BS41" s="381"/>
      <c r="BT41" s="381"/>
      <c r="BU41" s="381"/>
      <c r="BV41" s="381"/>
      <c r="BW41" s="381"/>
      <c r="BX41" s="381"/>
      <c r="BY41" s="381"/>
      <c r="BZ41" s="381"/>
      <c r="CA41" s="381"/>
      <c r="CB41" s="381"/>
      <c r="CC41" s="381"/>
      <c r="CD41" s="381"/>
      <c r="CE41" s="381"/>
      <c r="CF41" s="381"/>
      <c r="CG41" s="381"/>
      <c r="CH41" s="381"/>
      <c r="CI41" s="381"/>
      <c r="CJ41" s="381"/>
      <c r="CK41" s="381"/>
      <c r="CL41" s="381"/>
      <c r="CM41" s="381"/>
      <c r="CN41" s="381"/>
      <c r="CO41" s="381"/>
      <c r="CP41" s="381"/>
      <c r="CQ41" s="381"/>
      <c r="CR41" s="381"/>
      <c r="CS41" s="381"/>
      <c r="CT41" s="381"/>
      <c r="CU41" s="381"/>
      <c r="CV41" s="381"/>
      <c r="CW41" s="381"/>
      <c r="CX41" s="381"/>
      <c r="CY41" s="381"/>
      <c r="CZ41" s="381"/>
      <c r="DA41" s="381"/>
      <c r="DB41" s="381"/>
      <c r="DC41" s="381"/>
      <c r="DD41" s="381"/>
      <c r="DE41" s="381"/>
      <c r="DF41" s="381"/>
      <c r="DG41" s="381"/>
      <c r="DH41" s="381"/>
      <c r="DI41" s="381"/>
      <c r="DJ41" s="381"/>
      <c r="DK41" s="381"/>
      <c r="DL41" s="381"/>
      <c r="DM41" s="381"/>
      <c r="DN41" s="381"/>
      <c r="DO41" s="381"/>
      <c r="DP41" s="381"/>
      <c r="DQ41" s="381"/>
      <c r="DR41" s="381"/>
      <c r="DS41" s="381"/>
      <c r="DT41" s="381"/>
      <c r="DU41" s="381"/>
      <c r="DV41" s="381"/>
      <c r="DW41" s="381"/>
      <c r="DX41" s="381"/>
      <c r="DY41" s="381"/>
      <c r="DZ41" s="381"/>
      <c r="EA41" s="381"/>
      <c r="EB41" s="381"/>
      <c r="EC41" s="381"/>
      <c r="ED41" s="381"/>
      <c r="EE41" s="381"/>
      <c r="EF41" s="381"/>
      <c r="EG41" s="381"/>
      <c r="EH41" s="381"/>
      <c r="EI41" s="381"/>
      <c r="EJ41" s="381"/>
      <c r="EK41" s="381"/>
      <c r="EL41" s="381"/>
      <c r="EM41" s="381"/>
      <c r="EN41" s="381"/>
      <c r="EO41" s="381"/>
      <c r="EP41" s="381"/>
      <c r="EQ41" s="381"/>
      <c r="ER41" s="381"/>
      <c r="ES41" s="381"/>
      <c r="ET41" s="381"/>
      <c r="EU41" s="381"/>
      <c r="EV41" s="381"/>
      <c r="EW41" s="381"/>
      <c r="EX41" s="381"/>
      <c r="EY41" s="381"/>
      <c r="EZ41" s="381"/>
      <c r="FA41" s="381"/>
      <c r="FB41" s="381"/>
      <c r="FC41" s="381"/>
      <c r="FD41" s="381"/>
      <c r="FE41" s="381"/>
      <c r="FF41" s="381"/>
      <c r="FG41" s="381"/>
      <c r="FH41" s="381"/>
      <c r="FI41" s="381"/>
      <c r="FJ41" s="381"/>
      <c r="FK41" s="381"/>
      <c r="FL41" s="381"/>
      <c r="FM41" s="381"/>
      <c r="FN41" s="381"/>
      <c r="FO41" s="381"/>
      <c r="FP41" s="381"/>
      <c r="FQ41" s="381"/>
      <c r="FR41" s="381"/>
      <c r="FS41" s="381"/>
      <c r="FT41" s="381"/>
      <c r="FU41" s="381"/>
      <c r="FV41" s="381"/>
      <c r="FW41" s="381"/>
      <c r="FX41" s="381"/>
      <c r="FY41" s="381"/>
      <c r="FZ41" s="381"/>
      <c r="GA41" s="381"/>
      <c r="GB41" s="381"/>
      <c r="GC41" s="381"/>
      <c r="GD41" s="381"/>
      <c r="GE41" s="381"/>
      <c r="GF41" s="381"/>
      <c r="GG41" s="381"/>
      <c r="GH41" s="381"/>
      <c r="GI41" s="381"/>
      <c r="GJ41" s="381"/>
      <c r="GK41" s="381"/>
      <c r="GL41" s="381"/>
      <c r="GM41" s="381"/>
      <c r="GN41" s="381"/>
      <c r="GO41" s="381"/>
      <c r="GP41" s="381"/>
      <c r="GQ41" s="381"/>
      <c r="GR41" s="381"/>
      <c r="GS41" s="381"/>
      <c r="GT41" s="381"/>
      <c r="GU41" s="381"/>
      <c r="GV41" s="381"/>
      <c r="GW41" s="381"/>
      <c r="GX41" s="381"/>
      <c r="GY41" s="381"/>
      <c r="GZ41" s="381"/>
      <c r="HA41" s="381"/>
      <c r="HB41" s="381"/>
      <c r="HC41" s="381"/>
      <c r="HD41" s="381"/>
      <c r="HE41" s="381"/>
      <c r="HF41" s="381"/>
      <c r="HG41" s="381"/>
      <c r="HH41" s="381"/>
      <c r="HI41" s="381"/>
      <c r="HJ41" s="381"/>
      <c r="HK41" s="381"/>
      <c r="HL41" s="381"/>
      <c r="HM41" s="381"/>
      <c r="HN41" s="381"/>
      <c r="HO41" s="381"/>
      <c r="HP41" s="381"/>
      <c r="HQ41" s="381"/>
      <c r="HR41" s="381"/>
      <c r="HS41" s="381"/>
      <c r="HT41" s="381"/>
      <c r="HU41" s="381"/>
      <c r="HV41" s="381"/>
      <c r="HW41" s="381"/>
      <c r="HX41" s="381"/>
      <c r="HY41" s="381"/>
      <c r="HZ41" s="381"/>
      <c r="IA41" s="381"/>
      <c r="IB41" s="381"/>
      <c r="IC41" s="381"/>
      <c r="ID41" s="381"/>
      <c r="IE41" s="381"/>
      <c r="IF41" s="381"/>
      <c r="IG41" s="381"/>
      <c r="IH41" s="381"/>
      <c r="II41" s="381"/>
      <c r="IJ41" s="381"/>
      <c r="IK41" s="381"/>
      <c r="IL41" s="381"/>
      <c r="IM41" s="381"/>
      <c r="IN41" s="381"/>
      <c r="IO41" s="381"/>
      <c r="IP41" s="381"/>
      <c r="IQ41" s="381"/>
      <c r="IR41" s="381"/>
      <c r="IS41" s="381"/>
      <c r="IT41" s="381"/>
    </row>
    <row r="42" spans="1:254" s="426" customFormat="1">
      <c r="A42" s="382"/>
      <c r="B42" s="372"/>
      <c r="C42" s="427"/>
      <c r="D42" s="427"/>
      <c r="E42" s="1227"/>
      <c r="F42" s="415"/>
      <c r="G42" s="379"/>
      <c r="H42" s="381"/>
      <c r="I42" s="381"/>
      <c r="J42" s="381"/>
      <c r="K42" s="381"/>
      <c r="L42" s="381"/>
      <c r="M42" s="381"/>
      <c r="N42" s="381"/>
      <c r="O42" s="381"/>
      <c r="P42" s="381"/>
      <c r="Q42" s="381"/>
      <c r="R42" s="381"/>
      <c r="S42" s="381"/>
      <c r="T42" s="381"/>
      <c r="U42" s="381"/>
      <c r="V42" s="381"/>
      <c r="W42" s="381"/>
      <c r="X42" s="381"/>
      <c r="Y42" s="381"/>
      <c r="Z42" s="381"/>
      <c r="AA42" s="381"/>
      <c r="AB42" s="381"/>
      <c r="AC42" s="381"/>
      <c r="AD42" s="381"/>
      <c r="AE42" s="381"/>
      <c r="AF42" s="381"/>
      <c r="AG42" s="381"/>
      <c r="AH42" s="381"/>
      <c r="AI42" s="381"/>
      <c r="AJ42" s="381"/>
      <c r="AK42" s="381"/>
      <c r="AL42" s="381"/>
      <c r="AM42" s="381"/>
      <c r="AN42" s="381"/>
      <c r="AO42" s="381"/>
      <c r="AP42" s="381"/>
      <c r="AQ42" s="381"/>
      <c r="AR42" s="381"/>
      <c r="AS42" s="381"/>
      <c r="AT42" s="381"/>
      <c r="AU42" s="381"/>
      <c r="AV42" s="381"/>
      <c r="AW42" s="381"/>
      <c r="AX42" s="381"/>
      <c r="AY42" s="381"/>
      <c r="AZ42" s="381"/>
      <c r="BA42" s="381"/>
      <c r="BB42" s="381"/>
      <c r="BC42" s="381"/>
      <c r="BD42" s="381"/>
      <c r="BE42" s="381"/>
      <c r="BF42" s="381"/>
      <c r="BG42" s="381"/>
      <c r="BH42" s="381"/>
      <c r="BI42" s="381"/>
      <c r="BJ42" s="381"/>
      <c r="BK42" s="381"/>
      <c r="BL42" s="381"/>
      <c r="BM42" s="381"/>
      <c r="BN42" s="381"/>
      <c r="BO42" s="381"/>
      <c r="BP42" s="381"/>
      <c r="BQ42" s="381"/>
      <c r="BR42" s="381"/>
      <c r="BS42" s="381"/>
      <c r="BT42" s="381"/>
      <c r="BU42" s="381"/>
      <c r="BV42" s="381"/>
      <c r="BW42" s="381"/>
      <c r="BX42" s="381"/>
      <c r="BY42" s="381"/>
      <c r="BZ42" s="381"/>
      <c r="CA42" s="381"/>
      <c r="CB42" s="381"/>
      <c r="CC42" s="381"/>
      <c r="CD42" s="381"/>
      <c r="CE42" s="381"/>
      <c r="CF42" s="381"/>
      <c r="CG42" s="381"/>
      <c r="CH42" s="381"/>
      <c r="CI42" s="381"/>
      <c r="CJ42" s="381"/>
      <c r="CK42" s="381"/>
      <c r="CL42" s="381"/>
      <c r="CM42" s="381"/>
      <c r="CN42" s="381"/>
      <c r="CO42" s="381"/>
      <c r="CP42" s="381"/>
      <c r="CQ42" s="381"/>
      <c r="CR42" s="381"/>
      <c r="CS42" s="381"/>
      <c r="CT42" s="381"/>
      <c r="CU42" s="381"/>
      <c r="CV42" s="381"/>
      <c r="CW42" s="381"/>
      <c r="CX42" s="381"/>
      <c r="CY42" s="381"/>
      <c r="CZ42" s="381"/>
      <c r="DA42" s="381"/>
      <c r="DB42" s="381"/>
      <c r="DC42" s="381"/>
      <c r="DD42" s="381"/>
      <c r="DE42" s="381"/>
      <c r="DF42" s="381"/>
      <c r="DG42" s="381"/>
      <c r="DH42" s="381"/>
      <c r="DI42" s="381"/>
      <c r="DJ42" s="381"/>
      <c r="DK42" s="381"/>
      <c r="DL42" s="381"/>
      <c r="DM42" s="381"/>
      <c r="DN42" s="381"/>
      <c r="DO42" s="381"/>
      <c r="DP42" s="381"/>
      <c r="DQ42" s="381"/>
      <c r="DR42" s="381"/>
      <c r="DS42" s="381"/>
      <c r="DT42" s="381"/>
      <c r="DU42" s="381"/>
      <c r="DV42" s="381"/>
      <c r="DW42" s="381"/>
      <c r="DX42" s="381"/>
      <c r="DY42" s="381"/>
      <c r="DZ42" s="381"/>
      <c r="EA42" s="381"/>
      <c r="EB42" s="381"/>
      <c r="EC42" s="381"/>
      <c r="ED42" s="381"/>
      <c r="EE42" s="381"/>
      <c r="EF42" s="381"/>
      <c r="EG42" s="381"/>
      <c r="EH42" s="381"/>
      <c r="EI42" s="381"/>
      <c r="EJ42" s="381"/>
      <c r="EK42" s="381"/>
      <c r="EL42" s="381"/>
      <c r="EM42" s="381"/>
      <c r="EN42" s="381"/>
      <c r="EO42" s="381"/>
      <c r="EP42" s="381"/>
      <c r="EQ42" s="381"/>
      <c r="ER42" s="381"/>
      <c r="ES42" s="381"/>
      <c r="ET42" s="381"/>
      <c r="EU42" s="381"/>
      <c r="EV42" s="381"/>
      <c r="EW42" s="381"/>
      <c r="EX42" s="381"/>
      <c r="EY42" s="381"/>
      <c r="EZ42" s="381"/>
      <c r="FA42" s="381"/>
      <c r="FB42" s="381"/>
      <c r="FC42" s="381"/>
      <c r="FD42" s="381"/>
      <c r="FE42" s="381"/>
      <c r="FF42" s="381"/>
      <c r="FG42" s="381"/>
      <c r="FH42" s="381"/>
      <c r="FI42" s="381"/>
      <c r="FJ42" s="381"/>
      <c r="FK42" s="381"/>
      <c r="FL42" s="381"/>
      <c r="FM42" s="381"/>
      <c r="FN42" s="381"/>
      <c r="FO42" s="381"/>
      <c r="FP42" s="381"/>
      <c r="FQ42" s="381"/>
      <c r="FR42" s="381"/>
      <c r="FS42" s="381"/>
      <c r="FT42" s="381"/>
      <c r="FU42" s="381"/>
      <c r="FV42" s="381"/>
      <c r="FW42" s="381"/>
      <c r="FX42" s="381"/>
      <c r="FY42" s="381"/>
      <c r="FZ42" s="381"/>
      <c r="GA42" s="381"/>
      <c r="GB42" s="381"/>
      <c r="GC42" s="381"/>
      <c r="GD42" s="381"/>
      <c r="GE42" s="381"/>
      <c r="GF42" s="381"/>
      <c r="GG42" s="381"/>
      <c r="GH42" s="381"/>
      <c r="GI42" s="381"/>
      <c r="GJ42" s="381"/>
      <c r="GK42" s="381"/>
      <c r="GL42" s="381"/>
      <c r="GM42" s="381"/>
      <c r="GN42" s="381"/>
      <c r="GO42" s="381"/>
      <c r="GP42" s="381"/>
      <c r="GQ42" s="381"/>
      <c r="GR42" s="381"/>
      <c r="GS42" s="381"/>
      <c r="GT42" s="381"/>
      <c r="GU42" s="381"/>
      <c r="GV42" s="381"/>
      <c r="GW42" s="381"/>
      <c r="GX42" s="381"/>
      <c r="GY42" s="381"/>
      <c r="GZ42" s="381"/>
      <c r="HA42" s="381"/>
      <c r="HB42" s="381"/>
      <c r="HC42" s="381"/>
      <c r="HD42" s="381"/>
      <c r="HE42" s="381"/>
      <c r="HF42" s="381"/>
      <c r="HG42" s="381"/>
      <c r="HH42" s="381"/>
      <c r="HI42" s="381"/>
      <c r="HJ42" s="381"/>
      <c r="HK42" s="381"/>
      <c r="HL42" s="381"/>
      <c r="HM42" s="381"/>
      <c r="HN42" s="381"/>
      <c r="HO42" s="381"/>
      <c r="HP42" s="381"/>
      <c r="HQ42" s="381"/>
      <c r="HR42" s="381"/>
      <c r="HS42" s="381"/>
      <c r="HT42" s="381"/>
      <c r="HU42" s="381"/>
      <c r="HV42" s="381"/>
      <c r="HW42" s="381"/>
      <c r="HX42" s="381"/>
      <c r="HY42" s="381"/>
      <c r="HZ42" s="381"/>
      <c r="IA42" s="381"/>
      <c r="IB42" s="381"/>
      <c r="IC42" s="381"/>
      <c r="ID42" s="381"/>
      <c r="IE42" s="381"/>
      <c r="IF42" s="381"/>
      <c r="IG42" s="381"/>
      <c r="IH42" s="381"/>
      <c r="II42" s="381"/>
      <c r="IJ42" s="381"/>
      <c r="IK42" s="381"/>
      <c r="IL42" s="381"/>
      <c r="IM42" s="381"/>
      <c r="IN42" s="381"/>
      <c r="IO42" s="381"/>
      <c r="IP42" s="381"/>
      <c r="IQ42" s="381"/>
      <c r="IR42" s="381"/>
      <c r="IS42" s="381"/>
      <c r="IT42" s="381"/>
    </row>
    <row r="43" spans="1:254" s="426" customFormat="1">
      <c r="A43" s="428" t="s">
        <v>1894</v>
      </c>
      <c r="B43" s="372"/>
      <c r="C43" s="427"/>
      <c r="D43" s="427"/>
      <c r="E43" s="1230"/>
      <c r="F43" s="415"/>
      <c r="G43" s="379"/>
      <c r="H43" s="381"/>
      <c r="I43" s="381"/>
      <c r="J43" s="381"/>
      <c r="K43" s="381"/>
      <c r="L43" s="381"/>
      <c r="M43" s="381"/>
      <c r="N43" s="381"/>
      <c r="O43" s="381"/>
      <c r="P43" s="381"/>
      <c r="Q43" s="381"/>
      <c r="R43" s="381"/>
      <c r="S43" s="381"/>
      <c r="T43" s="381"/>
      <c r="U43" s="381"/>
      <c r="V43" s="381"/>
      <c r="W43" s="381"/>
      <c r="X43" s="381"/>
      <c r="Y43" s="381"/>
      <c r="Z43" s="381"/>
      <c r="AA43" s="381"/>
      <c r="AB43" s="381"/>
      <c r="AC43" s="381"/>
      <c r="AD43" s="381"/>
      <c r="AE43" s="381"/>
      <c r="AF43" s="381"/>
      <c r="AG43" s="381"/>
      <c r="AH43" s="381"/>
      <c r="AI43" s="381"/>
      <c r="AJ43" s="381"/>
      <c r="AK43" s="381"/>
      <c r="AL43" s="381"/>
      <c r="AM43" s="381"/>
      <c r="AN43" s="381"/>
      <c r="AO43" s="381"/>
      <c r="AP43" s="381"/>
      <c r="AQ43" s="381"/>
      <c r="AR43" s="381"/>
      <c r="AS43" s="381"/>
      <c r="AT43" s="381"/>
      <c r="AU43" s="381"/>
      <c r="AV43" s="381"/>
      <c r="AW43" s="381"/>
      <c r="AX43" s="381"/>
      <c r="AY43" s="381"/>
      <c r="AZ43" s="381"/>
      <c r="BA43" s="381"/>
      <c r="BB43" s="381"/>
      <c r="BC43" s="381"/>
      <c r="BD43" s="381"/>
      <c r="BE43" s="381"/>
      <c r="BF43" s="381"/>
      <c r="BG43" s="381"/>
      <c r="BH43" s="381"/>
      <c r="BI43" s="381"/>
      <c r="BJ43" s="381"/>
      <c r="BK43" s="381"/>
      <c r="BL43" s="381"/>
      <c r="BM43" s="381"/>
      <c r="BN43" s="381"/>
      <c r="BO43" s="381"/>
      <c r="BP43" s="381"/>
      <c r="BQ43" s="381"/>
      <c r="BR43" s="381"/>
      <c r="BS43" s="381"/>
      <c r="BT43" s="381"/>
      <c r="BU43" s="381"/>
      <c r="BV43" s="381"/>
      <c r="BW43" s="381"/>
      <c r="BX43" s="381"/>
      <c r="BY43" s="381"/>
      <c r="BZ43" s="381"/>
      <c r="CA43" s="381"/>
      <c r="CB43" s="381"/>
      <c r="CC43" s="381"/>
      <c r="CD43" s="381"/>
      <c r="CE43" s="381"/>
      <c r="CF43" s="381"/>
      <c r="CG43" s="381"/>
      <c r="CH43" s="381"/>
      <c r="CI43" s="381"/>
      <c r="CJ43" s="381"/>
      <c r="CK43" s="381"/>
      <c r="CL43" s="381"/>
      <c r="CM43" s="381"/>
      <c r="CN43" s="381"/>
      <c r="CO43" s="381"/>
      <c r="CP43" s="381"/>
      <c r="CQ43" s="381"/>
      <c r="CR43" s="381"/>
      <c r="CS43" s="381"/>
      <c r="CT43" s="381"/>
      <c r="CU43" s="381"/>
      <c r="CV43" s="381"/>
      <c r="CW43" s="381"/>
      <c r="CX43" s="381"/>
      <c r="CY43" s="381"/>
      <c r="CZ43" s="381"/>
      <c r="DA43" s="381"/>
      <c r="DB43" s="381"/>
      <c r="DC43" s="381"/>
      <c r="DD43" s="381"/>
      <c r="DE43" s="381"/>
      <c r="DF43" s="381"/>
      <c r="DG43" s="381"/>
      <c r="DH43" s="381"/>
      <c r="DI43" s="381"/>
      <c r="DJ43" s="381"/>
      <c r="DK43" s="381"/>
      <c r="DL43" s="381"/>
      <c r="DM43" s="381"/>
      <c r="DN43" s="381"/>
      <c r="DO43" s="381"/>
      <c r="DP43" s="381"/>
      <c r="DQ43" s="381"/>
      <c r="DR43" s="381"/>
      <c r="DS43" s="381"/>
      <c r="DT43" s="381"/>
      <c r="DU43" s="381"/>
      <c r="DV43" s="381"/>
      <c r="DW43" s="381"/>
      <c r="DX43" s="381"/>
      <c r="DY43" s="381"/>
      <c r="DZ43" s="381"/>
      <c r="EA43" s="381"/>
      <c r="EB43" s="381"/>
      <c r="EC43" s="381"/>
      <c r="ED43" s="381"/>
      <c r="EE43" s="381"/>
      <c r="EF43" s="381"/>
      <c r="EG43" s="381"/>
      <c r="EH43" s="381"/>
      <c r="EI43" s="381"/>
      <c r="EJ43" s="381"/>
      <c r="EK43" s="381"/>
      <c r="EL43" s="381"/>
      <c r="EM43" s="381"/>
      <c r="EN43" s="381"/>
      <c r="EO43" s="381"/>
      <c r="EP43" s="381"/>
      <c r="EQ43" s="381"/>
      <c r="ER43" s="381"/>
      <c r="ES43" s="381"/>
      <c r="ET43" s="381"/>
      <c r="EU43" s="381"/>
      <c r="EV43" s="381"/>
      <c r="EW43" s="381"/>
      <c r="EX43" s="381"/>
      <c r="EY43" s="381"/>
      <c r="EZ43" s="381"/>
      <c r="FA43" s="381"/>
      <c r="FB43" s="381"/>
      <c r="FC43" s="381"/>
      <c r="FD43" s="381"/>
      <c r="FE43" s="381"/>
      <c r="FF43" s="381"/>
      <c r="FG43" s="381"/>
      <c r="FH43" s="381"/>
      <c r="FI43" s="381"/>
      <c r="FJ43" s="381"/>
      <c r="FK43" s="381"/>
      <c r="FL43" s="381"/>
      <c r="FM43" s="381"/>
      <c r="FN43" s="381"/>
      <c r="FO43" s="381"/>
      <c r="FP43" s="381"/>
      <c r="FQ43" s="381"/>
      <c r="FR43" s="381"/>
      <c r="FS43" s="381"/>
      <c r="FT43" s="381"/>
      <c r="FU43" s="381"/>
      <c r="FV43" s="381"/>
      <c r="FW43" s="381"/>
      <c r="FX43" s="381"/>
      <c r="FY43" s="381"/>
      <c r="FZ43" s="381"/>
      <c r="GA43" s="381"/>
      <c r="GB43" s="381"/>
      <c r="GC43" s="381"/>
      <c r="GD43" s="381"/>
      <c r="GE43" s="381"/>
      <c r="GF43" s="381"/>
      <c r="GG43" s="381"/>
      <c r="GH43" s="381"/>
      <c r="GI43" s="381"/>
      <c r="GJ43" s="381"/>
      <c r="GK43" s="381"/>
      <c r="GL43" s="381"/>
      <c r="GM43" s="381"/>
      <c r="GN43" s="381"/>
      <c r="GO43" s="381"/>
      <c r="GP43" s="381"/>
      <c r="GQ43" s="381"/>
      <c r="GR43" s="381"/>
      <c r="GS43" s="381"/>
      <c r="GT43" s="381"/>
      <c r="GU43" s="381"/>
      <c r="GV43" s="381"/>
      <c r="GW43" s="381"/>
      <c r="GX43" s="381"/>
      <c r="GY43" s="381"/>
      <c r="GZ43" s="381"/>
      <c r="HA43" s="381"/>
      <c r="HB43" s="381"/>
      <c r="HC43" s="381"/>
      <c r="HD43" s="381"/>
      <c r="HE43" s="381"/>
      <c r="HF43" s="381"/>
      <c r="HG43" s="381"/>
      <c r="HH43" s="381"/>
      <c r="HI43" s="381"/>
      <c r="HJ43" s="381"/>
      <c r="HK43" s="381"/>
      <c r="HL43" s="381"/>
      <c r="HM43" s="381"/>
      <c r="HN43" s="381"/>
      <c r="HO43" s="381"/>
      <c r="HP43" s="381"/>
      <c r="HQ43" s="381"/>
      <c r="HR43" s="381"/>
      <c r="HS43" s="381"/>
      <c r="HT43" s="381"/>
      <c r="HU43" s="381"/>
      <c r="HV43" s="381"/>
      <c r="HW43" s="381"/>
      <c r="HX43" s="381"/>
      <c r="HY43" s="381"/>
      <c r="HZ43" s="381"/>
      <c r="IA43" s="381"/>
      <c r="IB43" s="381"/>
      <c r="IC43" s="381"/>
      <c r="ID43" s="381"/>
      <c r="IE43" s="381"/>
      <c r="IF43" s="381"/>
      <c r="IG43" s="381"/>
      <c r="IH43" s="381"/>
      <c r="II43" s="381"/>
      <c r="IJ43" s="381"/>
      <c r="IK43" s="381"/>
      <c r="IL43" s="381"/>
      <c r="IM43" s="381"/>
      <c r="IN43" s="381"/>
      <c r="IO43" s="381"/>
      <c r="IP43" s="381"/>
      <c r="IQ43" s="381"/>
      <c r="IR43" s="381"/>
      <c r="IS43" s="381"/>
      <c r="IT43" s="381"/>
    </row>
    <row r="44" spans="1:254" s="426" customFormat="1" ht="52.8">
      <c r="A44" s="382"/>
      <c r="B44" s="421" t="s">
        <v>1895</v>
      </c>
      <c r="C44" s="427"/>
      <c r="D44" s="427"/>
      <c r="E44" s="1230"/>
      <c r="F44" s="415"/>
      <c r="G44" s="379"/>
      <c r="H44" s="381"/>
      <c r="I44" s="381"/>
      <c r="J44" s="381"/>
      <c r="K44" s="381"/>
      <c r="L44" s="381"/>
      <c r="M44" s="381"/>
      <c r="N44" s="381"/>
      <c r="O44" s="381"/>
      <c r="P44" s="381"/>
      <c r="Q44" s="381"/>
      <c r="R44" s="381"/>
      <c r="S44" s="381"/>
      <c r="T44" s="381"/>
      <c r="U44" s="381"/>
      <c r="V44" s="381"/>
      <c r="W44" s="381"/>
      <c r="X44" s="381"/>
      <c r="Y44" s="381"/>
      <c r="Z44" s="381"/>
      <c r="AA44" s="381"/>
      <c r="AB44" s="381"/>
      <c r="AC44" s="381"/>
      <c r="AD44" s="381"/>
      <c r="AE44" s="381"/>
      <c r="AF44" s="381"/>
      <c r="AG44" s="381"/>
      <c r="AH44" s="381"/>
      <c r="AI44" s="381"/>
      <c r="AJ44" s="381"/>
      <c r="AK44" s="381"/>
      <c r="AL44" s="381"/>
      <c r="AM44" s="381"/>
      <c r="AN44" s="381"/>
      <c r="AO44" s="381"/>
      <c r="AP44" s="381"/>
      <c r="AQ44" s="381"/>
      <c r="AR44" s="381"/>
      <c r="AS44" s="381"/>
      <c r="AT44" s="381"/>
      <c r="AU44" s="381"/>
      <c r="AV44" s="381"/>
      <c r="AW44" s="381"/>
      <c r="AX44" s="381"/>
      <c r="AY44" s="381"/>
      <c r="AZ44" s="381"/>
      <c r="BA44" s="381"/>
      <c r="BB44" s="381"/>
      <c r="BC44" s="381"/>
      <c r="BD44" s="381"/>
      <c r="BE44" s="381"/>
      <c r="BF44" s="381"/>
      <c r="BG44" s="381"/>
      <c r="BH44" s="381"/>
      <c r="BI44" s="381"/>
      <c r="BJ44" s="381"/>
      <c r="BK44" s="381"/>
      <c r="BL44" s="381"/>
      <c r="BM44" s="381"/>
      <c r="BN44" s="381"/>
      <c r="BO44" s="381"/>
      <c r="BP44" s="381"/>
      <c r="BQ44" s="381"/>
      <c r="BR44" s="381"/>
      <c r="BS44" s="381"/>
      <c r="BT44" s="381"/>
      <c r="BU44" s="381"/>
      <c r="BV44" s="381"/>
      <c r="BW44" s="381"/>
      <c r="BX44" s="381"/>
      <c r="BY44" s="381"/>
      <c r="BZ44" s="381"/>
      <c r="CA44" s="381"/>
      <c r="CB44" s="381"/>
      <c r="CC44" s="381"/>
      <c r="CD44" s="381"/>
      <c r="CE44" s="381"/>
      <c r="CF44" s="381"/>
      <c r="CG44" s="381"/>
      <c r="CH44" s="381"/>
      <c r="CI44" s="381"/>
      <c r="CJ44" s="381"/>
      <c r="CK44" s="381"/>
      <c r="CL44" s="381"/>
      <c r="CM44" s="381"/>
      <c r="CN44" s="381"/>
      <c r="CO44" s="381"/>
      <c r="CP44" s="381"/>
      <c r="CQ44" s="381"/>
      <c r="CR44" s="381"/>
      <c r="CS44" s="381"/>
      <c r="CT44" s="381"/>
      <c r="CU44" s="381"/>
      <c r="CV44" s="381"/>
      <c r="CW44" s="381"/>
      <c r="CX44" s="381"/>
      <c r="CY44" s="381"/>
      <c r="CZ44" s="381"/>
      <c r="DA44" s="381"/>
      <c r="DB44" s="381"/>
      <c r="DC44" s="381"/>
      <c r="DD44" s="381"/>
      <c r="DE44" s="381"/>
      <c r="DF44" s="381"/>
      <c r="DG44" s="381"/>
      <c r="DH44" s="381"/>
      <c r="DI44" s="381"/>
      <c r="DJ44" s="381"/>
      <c r="DK44" s="381"/>
      <c r="DL44" s="381"/>
      <c r="DM44" s="381"/>
      <c r="DN44" s="381"/>
      <c r="DO44" s="381"/>
      <c r="DP44" s="381"/>
      <c r="DQ44" s="381"/>
      <c r="DR44" s="381"/>
      <c r="DS44" s="381"/>
      <c r="DT44" s="381"/>
      <c r="DU44" s="381"/>
      <c r="DV44" s="381"/>
      <c r="DW44" s="381"/>
      <c r="DX44" s="381"/>
      <c r="DY44" s="381"/>
      <c r="DZ44" s="381"/>
      <c r="EA44" s="381"/>
      <c r="EB44" s="381"/>
      <c r="EC44" s="381"/>
      <c r="ED44" s="381"/>
      <c r="EE44" s="381"/>
      <c r="EF44" s="381"/>
      <c r="EG44" s="381"/>
      <c r="EH44" s="381"/>
      <c r="EI44" s="381"/>
      <c r="EJ44" s="381"/>
      <c r="EK44" s="381"/>
      <c r="EL44" s="381"/>
      <c r="EM44" s="381"/>
      <c r="EN44" s="381"/>
      <c r="EO44" s="381"/>
      <c r="EP44" s="381"/>
      <c r="EQ44" s="381"/>
      <c r="ER44" s="381"/>
      <c r="ES44" s="381"/>
      <c r="ET44" s="381"/>
      <c r="EU44" s="381"/>
      <c r="EV44" s="381"/>
      <c r="EW44" s="381"/>
      <c r="EX44" s="381"/>
      <c r="EY44" s="381"/>
      <c r="EZ44" s="381"/>
      <c r="FA44" s="381"/>
      <c r="FB44" s="381"/>
      <c r="FC44" s="381"/>
      <c r="FD44" s="381"/>
      <c r="FE44" s="381"/>
      <c r="FF44" s="381"/>
      <c r="FG44" s="381"/>
      <c r="FH44" s="381"/>
      <c r="FI44" s="381"/>
      <c r="FJ44" s="381"/>
      <c r="FK44" s="381"/>
      <c r="FL44" s="381"/>
      <c r="FM44" s="381"/>
      <c r="FN44" s="381"/>
      <c r="FO44" s="381"/>
      <c r="FP44" s="381"/>
      <c r="FQ44" s="381"/>
      <c r="FR44" s="381"/>
      <c r="FS44" s="381"/>
      <c r="FT44" s="381"/>
      <c r="FU44" s="381"/>
      <c r="FV44" s="381"/>
      <c r="FW44" s="381"/>
      <c r="FX44" s="381"/>
      <c r="FY44" s="381"/>
      <c r="FZ44" s="381"/>
      <c r="GA44" s="381"/>
      <c r="GB44" s="381"/>
      <c r="GC44" s="381"/>
      <c r="GD44" s="381"/>
      <c r="GE44" s="381"/>
      <c r="GF44" s="381"/>
      <c r="GG44" s="381"/>
      <c r="GH44" s="381"/>
      <c r="GI44" s="381"/>
      <c r="GJ44" s="381"/>
      <c r="GK44" s="381"/>
      <c r="GL44" s="381"/>
      <c r="GM44" s="381"/>
      <c r="GN44" s="381"/>
      <c r="GO44" s="381"/>
      <c r="GP44" s="381"/>
      <c r="GQ44" s="381"/>
      <c r="GR44" s="381"/>
      <c r="GS44" s="381"/>
      <c r="GT44" s="381"/>
      <c r="GU44" s="381"/>
      <c r="GV44" s="381"/>
      <c r="GW44" s="381"/>
      <c r="GX44" s="381"/>
      <c r="GY44" s="381"/>
      <c r="GZ44" s="381"/>
      <c r="HA44" s="381"/>
      <c r="HB44" s="381"/>
      <c r="HC44" s="381"/>
      <c r="HD44" s="381"/>
      <c r="HE44" s="381"/>
      <c r="HF44" s="381"/>
      <c r="HG44" s="381"/>
      <c r="HH44" s="381"/>
      <c r="HI44" s="381"/>
      <c r="HJ44" s="381"/>
      <c r="HK44" s="381"/>
      <c r="HL44" s="381"/>
      <c r="HM44" s="381"/>
      <c r="HN44" s="381"/>
      <c r="HO44" s="381"/>
      <c r="HP44" s="381"/>
      <c r="HQ44" s="381"/>
      <c r="HR44" s="381"/>
      <c r="HS44" s="381"/>
      <c r="HT44" s="381"/>
      <c r="HU44" s="381"/>
      <c r="HV44" s="381"/>
      <c r="HW44" s="381"/>
      <c r="HX44" s="381"/>
      <c r="HY44" s="381"/>
      <c r="HZ44" s="381"/>
      <c r="IA44" s="381"/>
      <c r="IB44" s="381"/>
      <c r="IC44" s="381"/>
      <c r="ID44" s="381"/>
      <c r="IE44" s="381"/>
      <c r="IF44" s="381"/>
      <c r="IG44" s="381"/>
      <c r="IH44" s="381"/>
      <c r="II44" s="381"/>
      <c r="IJ44" s="381"/>
      <c r="IK44" s="381"/>
      <c r="IL44" s="381"/>
      <c r="IM44" s="381"/>
      <c r="IN44" s="381"/>
      <c r="IO44" s="381"/>
      <c r="IP44" s="381"/>
      <c r="IQ44" s="381"/>
      <c r="IR44" s="381"/>
      <c r="IS44" s="381"/>
      <c r="IT44" s="381"/>
    </row>
    <row r="45" spans="1:254" s="426" customFormat="1" ht="303.60000000000002">
      <c r="A45" s="382"/>
      <c r="B45" s="421" t="s">
        <v>2262</v>
      </c>
      <c r="C45" s="427"/>
      <c r="D45" s="427"/>
      <c r="E45" s="1230"/>
      <c r="F45" s="415"/>
      <c r="G45" s="379"/>
      <c r="H45" s="381"/>
      <c r="I45" s="381"/>
      <c r="J45" s="381"/>
      <c r="K45" s="381"/>
      <c r="L45" s="381"/>
      <c r="M45" s="381"/>
      <c r="N45" s="381"/>
      <c r="O45" s="381"/>
      <c r="P45" s="381"/>
      <c r="Q45" s="381"/>
      <c r="R45" s="381"/>
      <c r="S45" s="381"/>
      <c r="T45" s="381"/>
      <c r="U45" s="381"/>
      <c r="V45" s="381"/>
      <c r="W45" s="381"/>
      <c r="X45" s="381"/>
      <c r="Y45" s="381"/>
      <c r="Z45" s="381"/>
      <c r="AA45" s="381"/>
      <c r="AB45" s="381"/>
      <c r="AC45" s="381"/>
      <c r="AD45" s="381"/>
      <c r="AE45" s="381"/>
      <c r="AF45" s="381"/>
      <c r="AG45" s="381"/>
      <c r="AH45" s="381"/>
      <c r="AI45" s="381"/>
      <c r="AJ45" s="381"/>
      <c r="AK45" s="381"/>
      <c r="AL45" s="381"/>
      <c r="AM45" s="381"/>
      <c r="AN45" s="381"/>
      <c r="AO45" s="381"/>
      <c r="AP45" s="381"/>
      <c r="AQ45" s="381"/>
      <c r="AR45" s="381"/>
      <c r="AS45" s="381"/>
      <c r="AT45" s="381"/>
      <c r="AU45" s="381"/>
      <c r="AV45" s="381"/>
      <c r="AW45" s="381"/>
      <c r="AX45" s="381"/>
      <c r="AY45" s="381"/>
      <c r="AZ45" s="381"/>
      <c r="BA45" s="381"/>
      <c r="BB45" s="381"/>
      <c r="BC45" s="381"/>
      <c r="BD45" s="381"/>
      <c r="BE45" s="381"/>
      <c r="BF45" s="381"/>
      <c r="BG45" s="381"/>
      <c r="BH45" s="381"/>
      <c r="BI45" s="381"/>
      <c r="BJ45" s="381"/>
      <c r="BK45" s="381"/>
      <c r="BL45" s="381"/>
      <c r="BM45" s="381"/>
      <c r="BN45" s="381"/>
      <c r="BO45" s="381"/>
      <c r="BP45" s="381"/>
      <c r="BQ45" s="381"/>
      <c r="BR45" s="381"/>
      <c r="BS45" s="381"/>
      <c r="BT45" s="381"/>
      <c r="BU45" s="381"/>
      <c r="BV45" s="381"/>
      <c r="BW45" s="381"/>
      <c r="BX45" s="381"/>
      <c r="BY45" s="381"/>
      <c r="BZ45" s="381"/>
      <c r="CA45" s="381"/>
      <c r="CB45" s="381"/>
      <c r="CC45" s="381"/>
      <c r="CD45" s="381"/>
      <c r="CE45" s="381"/>
      <c r="CF45" s="381"/>
      <c r="CG45" s="381"/>
      <c r="CH45" s="381"/>
      <c r="CI45" s="381"/>
      <c r="CJ45" s="381"/>
      <c r="CK45" s="381"/>
      <c r="CL45" s="381"/>
      <c r="CM45" s="381"/>
      <c r="CN45" s="381"/>
      <c r="CO45" s="381"/>
      <c r="CP45" s="381"/>
      <c r="CQ45" s="381"/>
      <c r="CR45" s="381"/>
      <c r="CS45" s="381"/>
      <c r="CT45" s="381"/>
      <c r="CU45" s="381"/>
      <c r="CV45" s="381"/>
      <c r="CW45" s="381"/>
      <c r="CX45" s="381"/>
      <c r="CY45" s="381"/>
      <c r="CZ45" s="381"/>
      <c r="DA45" s="381"/>
      <c r="DB45" s="381"/>
      <c r="DC45" s="381"/>
      <c r="DD45" s="381"/>
      <c r="DE45" s="381"/>
      <c r="DF45" s="381"/>
      <c r="DG45" s="381"/>
      <c r="DH45" s="381"/>
      <c r="DI45" s="381"/>
      <c r="DJ45" s="381"/>
      <c r="DK45" s="381"/>
      <c r="DL45" s="381"/>
      <c r="DM45" s="381"/>
      <c r="DN45" s="381"/>
      <c r="DO45" s="381"/>
      <c r="DP45" s="381"/>
      <c r="DQ45" s="381"/>
      <c r="DR45" s="381"/>
      <c r="DS45" s="381"/>
      <c r="DT45" s="381"/>
      <c r="DU45" s="381"/>
      <c r="DV45" s="381"/>
      <c r="DW45" s="381"/>
      <c r="DX45" s="381"/>
      <c r="DY45" s="381"/>
      <c r="DZ45" s="381"/>
      <c r="EA45" s="381"/>
      <c r="EB45" s="381"/>
      <c r="EC45" s="381"/>
      <c r="ED45" s="381"/>
      <c r="EE45" s="381"/>
      <c r="EF45" s="381"/>
      <c r="EG45" s="381"/>
      <c r="EH45" s="381"/>
      <c r="EI45" s="381"/>
      <c r="EJ45" s="381"/>
      <c r="EK45" s="381"/>
      <c r="EL45" s="381"/>
      <c r="EM45" s="381"/>
      <c r="EN45" s="381"/>
      <c r="EO45" s="381"/>
      <c r="EP45" s="381"/>
      <c r="EQ45" s="381"/>
      <c r="ER45" s="381"/>
      <c r="ES45" s="381"/>
      <c r="ET45" s="381"/>
      <c r="EU45" s="381"/>
      <c r="EV45" s="381"/>
      <c r="EW45" s="381"/>
      <c r="EX45" s="381"/>
      <c r="EY45" s="381"/>
      <c r="EZ45" s="381"/>
      <c r="FA45" s="381"/>
      <c r="FB45" s="381"/>
      <c r="FC45" s="381"/>
      <c r="FD45" s="381"/>
      <c r="FE45" s="381"/>
      <c r="FF45" s="381"/>
      <c r="FG45" s="381"/>
      <c r="FH45" s="381"/>
      <c r="FI45" s="381"/>
      <c r="FJ45" s="381"/>
      <c r="FK45" s="381"/>
      <c r="FL45" s="381"/>
      <c r="FM45" s="381"/>
      <c r="FN45" s="381"/>
      <c r="FO45" s="381"/>
      <c r="FP45" s="381"/>
      <c r="FQ45" s="381"/>
      <c r="FR45" s="381"/>
      <c r="FS45" s="381"/>
      <c r="FT45" s="381"/>
      <c r="FU45" s="381"/>
      <c r="FV45" s="381"/>
      <c r="FW45" s="381"/>
      <c r="FX45" s="381"/>
      <c r="FY45" s="381"/>
      <c r="FZ45" s="381"/>
      <c r="GA45" s="381"/>
      <c r="GB45" s="381"/>
      <c r="GC45" s="381"/>
      <c r="GD45" s="381"/>
      <c r="GE45" s="381"/>
      <c r="GF45" s="381"/>
      <c r="GG45" s="381"/>
      <c r="GH45" s="381"/>
      <c r="GI45" s="381"/>
      <c r="GJ45" s="381"/>
      <c r="GK45" s="381"/>
      <c r="GL45" s="381"/>
      <c r="GM45" s="381"/>
      <c r="GN45" s="381"/>
      <c r="GO45" s="381"/>
      <c r="GP45" s="381"/>
      <c r="GQ45" s="381"/>
      <c r="GR45" s="381"/>
      <c r="GS45" s="381"/>
      <c r="GT45" s="381"/>
      <c r="GU45" s="381"/>
      <c r="GV45" s="381"/>
      <c r="GW45" s="381"/>
      <c r="GX45" s="381"/>
      <c r="GY45" s="381"/>
      <c r="GZ45" s="381"/>
      <c r="HA45" s="381"/>
      <c r="HB45" s="381"/>
      <c r="HC45" s="381"/>
      <c r="HD45" s="381"/>
      <c r="HE45" s="381"/>
      <c r="HF45" s="381"/>
      <c r="HG45" s="381"/>
      <c r="HH45" s="381"/>
      <c r="HI45" s="381"/>
      <c r="HJ45" s="381"/>
      <c r="HK45" s="381"/>
      <c r="HL45" s="381"/>
      <c r="HM45" s="381"/>
      <c r="HN45" s="381"/>
      <c r="HO45" s="381"/>
      <c r="HP45" s="381"/>
      <c r="HQ45" s="381"/>
      <c r="HR45" s="381"/>
      <c r="HS45" s="381"/>
      <c r="HT45" s="381"/>
      <c r="HU45" s="381"/>
      <c r="HV45" s="381"/>
      <c r="HW45" s="381"/>
      <c r="HX45" s="381"/>
      <c r="HY45" s="381"/>
      <c r="HZ45" s="381"/>
      <c r="IA45" s="381"/>
      <c r="IB45" s="381"/>
      <c r="IC45" s="381"/>
      <c r="ID45" s="381"/>
      <c r="IE45" s="381"/>
      <c r="IF45" s="381"/>
      <c r="IG45" s="381"/>
      <c r="IH45" s="381"/>
      <c r="II45" s="381"/>
      <c r="IJ45" s="381"/>
      <c r="IK45" s="381"/>
      <c r="IL45" s="381"/>
      <c r="IM45" s="381"/>
      <c r="IN45" s="381"/>
      <c r="IO45" s="381"/>
      <c r="IP45" s="381"/>
      <c r="IQ45" s="381"/>
      <c r="IR45" s="381"/>
      <c r="IS45" s="381"/>
      <c r="IT45" s="381"/>
    </row>
    <row r="46" spans="1:254" s="426" customFormat="1" ht="66">
      <c r="A46" s="382"/>
      <c r="B46" s="372" t="s">
        <v>1896</v>
      </c>
      <c r="C46" s="427"/>
      <c r="D46" s="427"/>
      <c r="E46" s="1230"/>
      <c r="F46" s="415"/>
      <c r="G46" s="379"/>
      <c r="H46" s="381"/>
      <c r="I46" s="381"/>
      <c r="J46" s="381"/>
      <c r="K46" s="381"/>
      <c r="L46" s="381"/>
      <c r="M46" s="381"/>
      <c r="N46" s="381"/>
      <c r="O46" s="381"/>
      <c r="P46" s="381"/>
      <c r="Q46" s="381"/>
      <c r="R46" s="381"/>
      <c r="S46" s="381"/>
      <c r="T46" s="381"/>
      <c r="U46" s="381"/>
      <c r="V46" s="381"/>
      <c r="W46" s="381"/>
      <c r="X46" s="381"/>
      <c r="Y46" s="381"/>
      <c r="Z46" s="381"/>
      <c r="AA46" s="381"/>
      <c r="AB46" s="381"/>
      <c r="AC46" s="381"/>
      <c r="AD46" s="381"/>
      <c r="AE46" s="381"/>
      <c r="AF46" s="381"/>
      <c r="AG46" s="381"/>
      <c r="AH46" s="381"/>
      <c r="AI46" s="381"/>
      <c r="AJ46" s="381"/>
      <c r="AK46" s="381"/>
      <c r="AL46" s="381"/>
      <c r="AM46" s="381"/>
      <c r="AN46" s="381"/>
      <c r="AO46" s="381"/>
      <c r="AP46" s="381"/>
      <c r="AQ46" s="381"/>
      <c r="AR46" s="381"/>
      <c r="AS46" s="381"/>
      <c r="AT46" s="381"/>
      <c r="AU46" s="381"/>
      <c r="AV46" s="381"/>
      <c r="AW46" s="381"/>
      <c r="AX46" s="381"/>
      <c r="AY46" s="381"/>
      <c r="AZ46" s="381"/>
      <c r="BA46" s="381"/>
      <c r="BB46" s="381"/>
      <c r="BC46" s="381"/>
      <c r="BD46" s="381"/>
      <c r="BE46" s="381"/>
      <c r="BF46" s="381"/>
      <c r="BG46" s="381"/>
      <c r="BH46" s="381"/>
      <c r="BI46" s="381"/>
      <c r="BJ46" s="381"/>
      <c r="BK46" s="381"/>
      <c r="BL46" s="381"/>
      <c r="BM46" s="381"/>
      <c r="BN46" s="381"/>
      <c r="BO46" s="381"/>
      <c r="BP46" s="381"/>
      <c r="BQ46" s="381"/>
      <c r="BR46" s="381"/>
      <c r="BS46" s="381"/>
      <c r="BT46" s="381"/>
      <c r="BU46" s="381"/>
      <c r="BV46" s="381"/>
      <c r="BW46" s="381"/>
      <c r="BX46" s="381"/>
      <c r="BY46" s="381"/>
      <c r="BZ46" s="381"/>
      <c r="CA46" s="381"/>
      <c r="CB46" s="381"/>
      <c r="CC46" s="381"/>
      <c r="CD46" s="381"/>
      <c r="CE46" s="381"/>
      <c r="CF46" s="381"/>
      <c r="CG46" s="381"/>
      <c r="CH46" s="381"/>
      <c r="CI46" s="381"/>
      <c r="CJ46" s="381"/>
      <c r="CK46" s="381"/>
      <c r="CL46" s="381"/>
      <c r="CM46" s="381"/>
      <c r="CN46" s="381"/>
      <c r="CO46" s="381"/>
      <c r="CP46" s="381"/>
      <c r="CQ46" s="381"/>
      <c r="CR46" s="381"/>
      <c r="CS46" s="381"/>
      <c r="CT46" s="381"/>
      <c r="CU46" s="381"/>
      <c r="CV46" s="381"/>
      <c r="CW46" s="381"/>
      <c r="CX46" s="381"/>
      <c r="CY46" s="381"/>
      <c r="CZ46" s="381"/>
      <c r="DA46" s="381"/>
      <c r="DB46" s="381"/>
      <c r="DC46" s="381"/>
      <c r="DD46" s="381"/>
      <c r="DE46" s="381"/>
      <c r="DF46" s="381"/>
      <c r="DG46" s="381"/>
      <c r="DH46" s="381"/>
      <c r="DI46" s="381"/>
      <c r="DJ46" s="381"/>
      <c r="DK46" s="381"/>
      <c r="DL46" s="381"/>
      <c r="DM46" s="381"/>
      <c r="DN46" s="381"/>
      <c r="DO46" s="381"/>
      <c r="DP46" s="381"/>
      <c r="DQ46" s="381"/>
      <c r="DR46" s="381"/>
      <c r="DS46" s="381"/>
      <c r="DT46" s="381"/>
      <c r="DU46" s="381"/>
      <c r="DV46" s="381"/>
      <c r="DW46" s="381"/>
      <c r="DX46" s="381"/>
      <c r="DY46" s="381"/>
      <c r="DZ46" s="381"/>
      <c r="EA46" s="381"/>
      <c r="EB46" s="381"/>
      <c r="EC46" s="381"/>
      <c r="ED46" s="381"/>
      <c r="EE46" s="381"/>
      <c r="EF46" s="381"/>
      <c r="EG46" s="381"/>
      <c r="EH46" s="381"/>
      <c r="EI46" s="381"/>
      <c r="EJ46" s="381"/>
      <c r="EK46" s="381"/>
      <c r="EL46" s="381"/>
      <c r="EM46" s="381"/>
      <c r="EN46" s="381"/>
      <c r="EO46" s="381"/>
      <c r="EP46" s="381"/>
      <c r="EQ46" s="381"/>
      <c r="ER46" s="381"/>
      <c r="ES46" s="381"/>
      <c r="ET46" s="381"/>
      <c r="EU46" s="381"/>
      <c r="EV46" s="381"/>
      <c r="EW46" s="381"/>
      <c r="EX46" s="381"/>
      <c r="EY46" s="381"/>
      <c r="EZ46" s="381"/>
      <c r="FA46" s="381"/>
      <c r="FB46" s="381"/>
      <c r="FC46" s="381"/>
      <c r="FD46" s="381"/>
      <c r="FE46" s="381"/>
      <c r="FF46" s="381"/>
      <c r="FG46" s="381"/>
      <c r="FH46" s="381"/>
      <c r="FI46" s="381"/>
      <c r="FJ46" s="381"/>
      <c r="FK46" s="381"/>
      <c r="FL46" s="381"/>
      <c r="FM46" s="381"/>
      <c r="FN46" s="381"/>
      <c r="FO46" s="381"/>
      <c r="FP46" s="381"/>
      <c r="FQ46" s="381"/>
      <c r="FR46" s="381"/>
      <c r="FS46" s="381"/>
      <c r="FT46" s="381"/>
      <c r="FU46" s="381"/>
      <c r="FV46" s="381"/>
      <c r="FW46" s="381"/>
      <c r="FX46" s="381"/>
      <c r="FY46" s="381"/>
      <c r="FZ46" s="381"/>
      <c r="GA46" s="381"/>
      <c r="GB46" s="381"/>
      <c r="GC46" s="381"/>
      <c r="GD46" s="381"/>
      <c r="GE46" s="381"/>
      <c r="GF46" s="381"/>
      <c r="GG46" s="381"/>
      <c r="GH46" s="381"/>
      <c r="GI46" s="381"/>
      <c r="GJ46" s="381"/>
      <c r="GK46" s="381"/>
      <c r="GL46" s="381"/>
      <c r="GM46" s="381"/>
      <c r="GN46" s="381"/>
      <c r="GO46" s="381"/>
      <c r="GP46" s="381"/>
      <c r="GQ46" s="381"/>
      <c r="GR46" s="381"/>
      <c r="GS46" s="381"/>
      <c r="GT46" s="381"/>
      <c r="GU46" s="381"/>
      <c r="GV46" s="381"/>
      <c r="GW46" s="381"/>
      <c r="GX46" s="381"/>
      <c r="GY46" s="381"/>
      <c r="GZ46" s="381"/>
      <c r="HA46" s="381"/>
      <c r="HB46" s="381"/>
      <c r="HC46" s="381"/>
      <c r="HD46" s="381"/>
      <c r="HE46" s="381"/>
      <c r="HF46" s="381"/>
      <c r="HG46" s="381"/>
      <c r="HH46" s="381"/>
      <c r="HI46" s="381"/>
      <c r="HJ46" s="381"/>
      <c r="HK46" s="381"/>
      <c r="HL46" s="381"/>
      <c r="HM46" s="381"/>
      <c r="HN46" s="381"/>
      <c r="HO46" s="381"/>
      <c r="HP46" s="381"/>
      <c r="HQ46" s="381"/>
      <c r="HR46" s="381"/>
      <c r="HS46" s="381"/>
      <c r="HT46" s="381"/>
      <c r="HU46" s="381"/>
      <c r="HV46" s="381"/>
      <c r="HW46" s="381"/>
      <c r="HX46" s="381"/>
      <c r="HY46" s="381"/>
      <c r="HZ46" s="381"/>
      <c r="IA46" s="381"/>
      <c r="IB46" s="381"/>
      <c r="IC46" s="381"/>
      <c r="ID46" s="381"/>
      <c r="IE46" s="381"/>
      <c r="IF46" s="381"/>
      <c r="IG46" s="381"/>
      <c r="IH46" s="381"/>
      <c r="II46" s="381"/>
      <c r="IJ46" s="381"/>
      <c r="IK46" s="381"/>
      <c r="IL46" s="381"/>
      <c r="IM46" s="381"/>
      <c r="IN46" s="381"/>
      <c r="IO46" s="381"/>
      <c r="IP46" s="381"/>
      <c r="IQ46" s="381"/>
      <c r="IR46" s="381"/>
      <c r="IS46" s="381"/>
      <c r="IT46" s="381"/>
    </row>
    <row r="47" spans="1:254" s="426" customFormat="1">
      <c r="A47" s="382"/>
      <c r="B47" s="372"/>
      <c r="C47" s="427"/>
      <c r="D47" s="427"/>
      <c r="E47" s="1230"/>
      <c r="F47" s="415"/>
      <c r="G47" s="379"/>
      <c r="H47" s="381"/>
      <c r="I47" s="381"/>
      <c r="J47" s="381"/>
      <c r="K47" s="381"/>
      <c r="L47" s="381"/>
      <c r="M47" s="381"/>
      <c r="N47" s="381"/>
      <c r="O47" s="381"/>
      <c r="P47" s="381"/>
      <c r="Q47" s="381"/>
      <c r="R47" s="381"/>
      <c r="S47" s="381"/>
      <c r="T47" s="381"/>
      <c r="U47" s="381"/>
      <c r="V47" s="381"/>
      <c r="W47" s="381"/>
      <c r="X47" s="381"/>
      <c r="Y47" s="381"/>
      <c r="Z47" s="381"/>
      <c r="AA47" s="381"/>
      <c r="AB47" s="381"/>
      <c r="AC47" s="381"/>
      <c r="AD47" s="381"/>
      <c r="AE47" s="381"/>
      <c r="AF47" s="381"/>
      <c r="AG47" s="381"/>
      <c r="AH47" s="381"/>
      <c r="AI47" s="381"/>
      <c r="AJ47" s="381"/>
      <c r="AK47" s="381"/>
      <c r="AL47" s="381"/>
      <c r="AM47" s="381"/>
      <c r="AN47" s="381"/>
      <c r="AO47" s="381"/>
      <c r="AP47" s="381"/>
      <c r="AQ47" s="381"/>
      <c r="AR47" s="381"/>
      <c r="AS47" s="381"/>
      <c r="AT47" s="381"/>
      <c r="AU47" s="381"/>
      <c r="AV47" s="381"/>
      <c r="AW47" s="381"/>
      <c r="AX47" s="381"/>
      <c r="AY47" s="381"/>
      <c r="AZ47" s="381"/>
      <c r="BA47" s="381"/>
      <c r="BB47" s="381"/>
      <c r="BC47" s="381"/>
      <c r="BD47" s="381"/>
      <c r="BE47" s="381"/>
      <c r="BF47" s="381"/>
      <c r="BG47" s="381"/>
      <c r="BH47" s="381"/>
      <c r="BI47" s="381"/>
      <c r="BJ47" s="381"/>
      <c r="BK47" s="381"/>
      <c r="BL47" s="381"/>
      <c r="BM47" s="381"/>
      <c r="BN47" s="381"/>
      <c r="BO47" s="381"/>
      <c r="BP47" s="381"/>
      <c r="BQ47" s="381"/>
      <c r="BR47" s="381"/>
      <c r="BS47" s="381"/>
      <c r="BT47" s="381"/>
      <c r="BU47" s="381"/>
      <c r="BV47" s="381"/>
      <c r="BW47" s="381"/>
      <c r="BX47" s="381"/>
      <c r="BY47" s="381"/>
      <c r="BZ47" s="381"/>
      <c r="CA47" s="381"/>
      <c r="CB47" s="381"/>
      <c r="CC47" s="381"/>
      <c r="CD47" s="381"/>
      <c r="CE47" s="381"/>
      <c r="CF47" s="381"/>
      <c r="CG47" s="381"/>
      <c r="CH47" s="381"/>
      <c r="CI47" s="381"/>
      <c r="CJ47" s="381"/>
      <c r="CK47" s="381"/>
      <c r="CL47" s="381"/>
      <c r="CM47" s="381"/>
      <c r="CN47" s="381"/>
      <c r="CO47" s="381"/>
      <c r="CP47" s="381"/>
      <c r="CQ47" s="381"/>
      <c r="CR47" s="381"/>
      <c r="CS47" s="381"/>
      <c r="CT47" s="381"/>
      <c r="CU47" s="381"/>
      <c r="CV47" s="381"/>
      <c r="CW47" s="381"/>
      <c r="CX47" s="381"/>
      <c r="CY47" s="381"/>
      <c r="CZ47" s="381"/>
      <c r="DA47" s="381"/>
      <c r="DB47" s="381"/>
      <c r="DC47" s="381"/>
      <c r="DD47" s="381"/>
      <c r="DE47" s="381"/>
      <c r="DF47" s="381"/>
      <c r="DG47" s="381"/>
      <c r="DH47" s="381"/>
      <c r="DI47" s="381"/>
      <c r="DJ47" s="381"/>
      <c r="DK47" s="381"/>
      <c r="DL47" s="381"/>
      <c r="DM47" s="381"/>
      <c r="DN47" s="381"/>
      <c r="DO47" s="381"/>
      <c r="DP47" s="381"/>
      <c r="DQ47" s="381"/>
      <c r="DR47" s="381"/>
      <c r="DS47" s="381"/>
      <c r="DT47" s="381"/>
      <c r="DU47" s="381"/>
      <c r="DV47" s="381"/>
      <c r="DW47" s="381"/>
      <c r="DX47" s="381"/>
      <c r="DY47" s="381"/>
      <c r="DZ47" s="381"/>
      <c r="EA47" s="381"/>
      <c r="EB47" s="381"/>
      <c r="EC47" s="381"/>
      <c r="ED47" s="381"/>
      <c r="EE47" s="381"/>
      <c r="EF47" s="381"/>
      <c r="EG47" s="381"/>
      <c r="EH47" s="381"/>
      <c r="EI47" s="381"/>
      <c r="EJ47" s="381"/>
      <c r="EK47" s="381"/>
      <c r="EL47" s="381"/>
      <c r="EM47" s="381"/>
      <c r="EN47" s="381"/>
      <c r="EO47" s="381"/>
      <c r="EP47" s="381"/>
      <c r="EQ47" s="381"/>
      <c r="ER47" s="381"/>
      <c r="ES47" s="381"/>
      <c r="ET47" s="381"/>
      <c r="EU47" s="381"/>
      <c r="EV47" s="381"/>
      <c r="EW47" s="381"/>
      <c r="EX47" s="381"/>
      <c r="EY47" s="381"/>
      <c r="EZ47" s="381"/>
      <c r="FA47" s="381"/>
      <c r="FB47" s="381"/>
      <c r="FC47" s="381"/>
      <c r="FD47" s="381"/>
      <c r="FE47" s="381"/>
      <c r="FF47" s="381"/>
      <c r="FG47" s="381"/>
      <c r="FH47" s="381"/>
      <c r="FI47" s="381"/>
      <c r="FJ47" s="381"/>
      <c r="FK47" s="381"/>
      <c r="FL47" s="381"/>
      <c r="FM47" s="381"/>
      <c r="FN47" s="381"/>
      <c r="FO47" s="381"/>
      <c r="FP47" s="381"/>
      <c r="FQ47" s="381"/>
      <c r="FR47" s="381"/>
      <c r="FS47" s="381"/>
      <c r="FT47" s="381"/>
      <c r="FU47" s="381"/>
      <c r="FV47" s="381"/>
      <c r="FW47" s="381"/>
      <c r="FX47" s="381"/>
      <c r="FY47" s="381"/>
      <c r="FZ47" s="381"/>
      <c r="GA47" s="381"/>
      <c r="GB47" s="381"/>
      <c r="GC47" s="381"/>
      <c r="GD47" s="381"/>
      <c r="GE47" s="381"/>
      <c r="GF47" s="381"/>
      <c r="GG47" s="381"/>
      <c r="GH47" s="381"/>
      <c r="GI47" s="381"/>
      <c r="GJ47" s="381"/>
      <c r="GK47" s="381"/>
      <c r="GL47" s="381"/>
      <c r="GM47" s="381"/>
      <c r="GN47" s="381"/>
      <c r="GO47" s="381"/>
      <c r="GP47" s="381"/>
      <c r="GQ47" s="381"/>
      <c r="GR47" s="381"/>
      <c r="GS47" s="381"/>
      <c r="GT47" s="381"/>
      <c r="GU47" s="381"/>
      <c r="GV47" s="381"/>
      <c r="GW47" s="381"/>
      <c r="GX47" s="381"/>
      <c r="GY47" s="381"/>
      <c r="GZ47" s="381"/>
      <c r="HA47" s="381"/>
      <c r="HB47" s="381"/>
      <c r="HC47" s="381"/>
      <c r="HD47" s="381"/>
      <c r="HE47" s="381"/>
      <c r="HF47" s="381"/>
      <c r="HG47" s="381"/>
      <c r="HH47" s="381"/>
      <c r="HI47" s="381"/>
      <c r="HJ47" s="381"/>
      <c r="HK47" s="381"/>
      <c r="HL47" s="381"/>
      <c r="HM47" s="381"/>
      <c r="HN47" s="381"/>
      <c r="HO47" s="381"/>
      <c r="HP47" s="381"/>
      <c r="HQ47" s="381"/>
      <c r="HR47" s="381"/>
      <c r="HS47" s="381"/>
      <c r="HT47" s="381"/>
      <c r="HU47" s="381"/>
      <c r="HV47" s="381"/>
      <c r="HW47" s="381"/>
      <c r="HX47" s="381"/>
      <c r="HY47" s="381"/>
      <c r="HZ47" s="381"/>
      <c r="IA47" s="381"/>
      <c r="IB47" s="381"/>
      <c r="IC47" s="381"/>
      <c r="ID47" s="381"/>
      <c r="IE47" s="381"/>
      <c r="IF47" s="381"/>
      <c r="IG47" s="381"/>
      <c r="IH47" s="381"/>
      <c r="II47" s="381"/>
      <c r="IJ47" s="381"/>
      <c r="IK47" s="381"/>
      <c r="IL47" s="381"/>
      <c r="IM47" s="381"/>
      <c r="IN47" s="381"/>
      <c r="IO47" s="381"/>
      <c r="IP47" s="381"/>
      <c r="IQ47" s="381"/>
      <c r="IR47" s="381"/>
      <c r="IS47" s="381"/>
      <c r="IT47" s="381"/>
    </row>
    <row r="48" spans="1:254" s="426" customFormat="1">
      <c r="A48" s="382"/>
      <c r="B48" s="372" t="s">
        <v>1897</v>
      </c>
      <c r="C48" s="427"/>
      <c r="D48" s="427"/>
      <c r="E48" s="1230"/>
      <c r="F48" s="415"/>
      <c r="G48" s="379"/>
      <c r="H48" s="381"/>
      <c r="I48" s="381"/>
      <c r="J48" s="381"/>
      <c r="K48" s="381"/>
      <c r="L48" s="381"/>
      <c r="M48" s="381"/>
      <c r="N48" s="381"/>
      <c r="O48" s="381"/>
      <c r="P48" s="381"/>
      <c r="Q48" s="381"/>
      <c r="R48" s="381"/>
      <c r="S48" s="381"/>
      <c r="T48" s="381"/>
      <c r="U48" s="381"/>
      <c r="V48" s="381"/>
      <c r="W48" s="381"/>
      <c r="X48" s="381"/>
      <c r="Y48" s="381"/>
      <c r="Z48" s="381"/>
      <c r="AA48" s="381"/>
      <c r="AB48" s="381"/>
      <c r="AC48" s="381"/>
      <c r="AD48" s="381"/>
      <c r="AE48" s="381"/>
      <c r="AF48" s="381"/>
      <c r="AG48" s="381"/>
      <c r="AH48" s="381"/>
      <c r="AI48" s="381"/>
      <c r="AJ48" s="381"/>
      <c r="AK48" s="381"/>
      <c r="AL48" s="381"/>
      <c r="AM48" s="381"/>
      <c r="AN48" s="381"/>
      <c r="AO48" s="381"/>
      <c r="AP48" s="381"/>
      <c r="AQ48" s="381"/>
      <c r="AR48" s="381"/>
      <c r="AS48" s="381"/>
      <c r="AT48" s="381"/>
      <c r="AU48" s="381"/>
      <c r="AV48" s="381"/>
      <c r="AW48" s="381"/>
      <c r="AX48" s="381"/>
      <c r="AY48" s="381"/>
      <c r="AZ48" s="381"/>
      <c r="BA48" s="381"/>
      <c r="BB48" s="381"/>
      <c r="BC48" s="381"/>
      <c r="BD48" s="381"/>
      <c r="BE48" s="381"/>
      <c r="BF48" s="381"/>
      <c r="BG48" s="381"/>
      <c r="BH48" s="381"/>
      <c r="BI48" s="381"/>
      <c r="BJ48" s="381"/>
      <c r="BK48" s="381"/>
      <c r="BL48" s="381"/>
      <c r="BM48" s="381"/>
      <c r="BN48" s="381"/>
      <c r="BO48" s="381"/>
      <c r="BP48" s="381"/>
      <c r="BQ48" s="381"/>
      <c r="BR48" s="381"/>
      <c r="BS48" s="381"/>
      <c r="BT48" s="381"/>
      <c r="BU48" s="381"/>
      <c r="BV48" s="381"/>
      <c r="BW48" s="381"/>
      <c r="BX48" s="381"/>
      <c r="BY48" s="381"/>
      <c r="BZ48" s="381"/>
      <c r="CA48" s="381"/>
      <c r="CB48" s="381"/>
      <c r="CC48" s="381"/>
      <c r="CD48" s="381"/>
      <c r="CE48" s="381"/>
      <c r="CF48" s="381"/>
      <c r="CG48" s="381"/>
      <c r="CH48" s="381"/>
      <c r="CI48" s="381"/>
      <c r="CJ48" s="381"/>
      <c r="CK48" s="381"/>
      <c r="CL48" s="381"/>
      <c r="CM48" s="381"/>
      <c r="CN48" s="381"/>
      <c r="CO48" s="381"/>
      <c r="CP48" s="381"/>
      <c r="CQ48" s="381"/>
      <c r="CR48" s="381"/>
      <c r="CS48" s="381"/>
      <c r="CT48" s="381"/>
      <c r="CU48" s="381"/>
      <c r="CV48" s="381"/>
      <c r="CW48" s="381"/>
      <c r="CX48" s="381"/>
      <c r="CY48" s="381"/>
      <c r="CZ48" s="381"/>
      <c r="DA48" s="381"/>
      <c r="DB48" s="381"/>
      <c r="DC48" s="381"/>
      <c r="DD48" s="381"/>
      <c r="DE48" s="381"/>
      <c r="DF48" s="381"/>
      <c r="DG48" s="381"/>
      <c r="DH48" s="381"/>
      <c r="DI48" s="381"/>
      <c r="DJ48" s="381"/>
      <c r="DK48" s="381"/>
      <c r="DL48" s="381"/>
      <c r="DM48" s="381"/>
      <c r="DN48" s="381"/>
      <c r="DO48" s="381"/>
      <c r="DP48" s="381"/>
      <c r="DQ48" s="381"/>
      <c r="DR48" s="381"/>
      <c r="DS48" s="381"/>
      <c r="DT48" s="381"/>
      <c r="DU48" s="381"/>
      <c r="DV48" s="381"/>
      <c r="DW48" s="381"/>
      <c r="DX48" s="381"/>
      <c r="DY48" s="381"/>
      <c r="DZ48" s="381"/>
      <c r="EA48" s="381"/>
      <c r="EB48" s="381"/>
      <c r="EC48" s="381"/>
      <c r="ED48" s="381"/>
      <c r="EE48" s="381"/>
      <c r="EF48" s="381"/>
      <c r="EG48" s="381"/>
      <c r="EH48" s="381"/>
      <c r="EI48" s="381"/>
      <c r="EJ48" s="381"/>
      <c r="EK48" s="381"/>
      <c r="EL48" s="381"/>
      <c r="EM48" s="381"/>
      <c r="EN48" s="381"/>
      <c r="EO48" s="381"/>
      <c r="EP48" s="381"/>
      <c r="EQ48" s="381"/>
      <c r="ER48" s="381"/>
      <c r="ES48" s="381"/>
      <c r="ET48" s="381"/>
      <c r="EU48" s="381"/>
      <c r="EV48" s="381"/>
      <c r="EW48" s="381"/>
      <c r="EX48" s="381"/>
      <c r="EY48" s="381"/>
      <c r="EZ48" s="381"/>
      <c r="FA48" s="381"/>
      <c r="FB48" s="381"/>
      <c r="FC48" s="381"/>
      <c r="FD48" s="381"/>
      <c r="FE48" s="381"/>
      <c r="FF48" s="381"/>
      <c r="FG48" s="381"/>
      <c r="FH48" s="381"/>
      <c r="FI48" s="381"/>
      <c r="FJ48" s="381"/>
      <c r="FK48" s="381"/>
      <c r="FL48" s="381"/>
      <c r="FM48" s="381"/>
      <c r="FN48" s="381"/>
      <c r="FO48" s="381"/>
      <c r="FP48" s="381"/>
      <c r="FQ48" s="381"/>
      <c r="FR48" s="381"/>
      <c r="FS48" s="381"/>
      <c r="FT48" s="381"/>
      <c r="FU48" s="381"/>
      <c r="FV48" s="381"/>
      <c r="FW48" s="381"/>
      <c r="FX48" s="381"/>
      <c r="FY48" s="381"/>
      <c r="FZ48" s="381"/>
      <c r="GA48" s="381"/>
      <c r="GB48" s="381"/>
      <c r="GC48" s="381"/>
      <c r="GD48" s="381"/>
      <c r="GE48" s="381"/>
      <c r="GF48" s="381"/>
      <c r="GG48" s="381"/>
      <c r="GH48" s="381"/>
      <c r="GI48" s="381"/>
      <c r="GJ48" s="381"/>
      <c r="GK48" s="381"/>
      <c r="GL48" s="381"/>
      <c r="GM48" s="381"/>
      <c r="GN48" s="381"/>
      <c r="GO48" s="381"/>
      <c r="GP48" s="381"/>
      <c r="GQ48" s="381"/>
      <c r="GR48" s="381"/>
      <c r="GS48" s="381"/>
      <c r="GT48" s="381"/>
      <c r="GU48" s="381"/>
      <c r="GV48" s="381"/>
      <c r="GW48" s="381"/>
      <c r="GX48" s="381"/>
      <c r="GY48" s="381"/>
      <c r="GZ48" s="381"/>
      <c r="HA48" s="381"/>
      <c r="HB48" s="381"/>
      <c r="HC48" s="381"/>
      <c r="HD48" s="381"/>
      <c r="HE48" s="381"/>
      <c r="HF48" s="381"/>
      <c r="HG48" s="381"/>
      <c r="HH48" s="381"/>
      <c r="HI48" s="381"/>
      <c r="HJ48" s="381"/>
      <c r="HK48" s="381"/>
      <c r="HL48" s="381"/>
      <c r="HM48" s="381"/>
      <c r="HN48" s="381"/>
      <c r="HO48" s="381"/>
      <c r="HP48" s="381"/>
      <c r="HQ48" s="381"/>
      <c r="HR48" s="381"/>
      <c r="HS48" s="381"/>
      <c r="HT48" s="381"/>
      <c r="HU48" s="381"/>
      <c r="HV48" s="381"/>
      <c r="HW48" s="381"/>
      <c r="HX48" s="381"/>
      <c r="HY48" s="381"/>
      <c r="HZ48" s="381"/>
      <c r="IA48" s="381"/>
      <c r="IB48" s="381"/>
      <c r="IC48" s="381"/>
      <c r="ID48" s="381"/>
      <c r="IE48" s="381"/>
      <c r="IF48" s="381"/>
      <c r="IG48" s="381"/>
      <c r="IH48" s="381"/>
      <c r="II48" s="381"/>
      <c r="IJ48" s="381"/>
      <c r="IK48" s="381"/>
      <c r="IL48" s="381"/>
      <c r="IM48" s="381"/>
      <c r="IN48" s="381"/>
      <c r="IO48" s="381"/>
      <c r="IP48" s="381"/>
      <c r="IQ48" s="381"/>
      <c r="IR48" s="381"/>
      <c r="IS48" s="381"/>
      <c r="IT48" s="381"/>
    </row>
    <row r="49" spans="1:254" s="426" customFormat="1" ht="26.4">
      <c r="A49" s="382"/>
      <c r="B49" s="372" t="s">
        <v>2263</v>
      </c>
      <c r="C49" s="427"/>
      <c r="D49" s="427"/>
      <c r="E49" s="1230"/>
      <c r="F49" s="415"/>
      <c r="G49" s="379"/>
      <c r="H49" s="381"/>
      <c r="I49" s="381"/>
      <c r="J49" s="381"/>
      <c r="K49" s="381"/>
      <c r="L49" s="381"/>
      <c r="M49" s="381"/>
      <c r="N49" s="381"/>
      <c r="O49" s="381"/>
      <c r="P49" s="381"/>
      <c r="Q49" s="381"/>
      <c r="R49" s="381"/>
      <c r="S49" s="381"/>
      <c r="T49" s="381"/>
      <c r="U49" s="381"/>
      <c r="V49" s="381"/>
      <c r="W49" s="381"/>
      <c r="X49" s="381"/>
      <c r="Y49" s="381"/>
      <c r="Z49" s="381"/>
      <c r="AA49" s="381"/>
      <c r="AB49" s="381"/>
      <c r="AC49" s="381"/>
      <c r="AD49" s="381"/>
      <c r="AE49" s="381"/>
      <c r="AF49" s="381"/>
      <c r="AG49" s="381"/>
      <c r="AH49" s="381"/>
      <c r="AI49" s="381"/>
      <c r="AJ49" s="381"/>
      <c r="AK49" s="381"/>
      <c r="AL49" s="381"/>
      <c r="AM49" s="381"/>
      <c r="AN49" s="381"/>
      <c r="AO49" s="381"/>
      <c r="AP49" s="381"/>
      <c r="AQ49" s="381"/>
      <c r="AR49" s="381"/>
      <c r="AS49" s="381"/>
      <c r="AT49" s="381"/>
      <c r="AU49" s="381"/>
      <c r="AV49" s="381"/>
      <c r="AW49" s="381"/>
      <c r="AX49" s="381"/>
      <c r="AY49" s="381"/>
      <c r="AZ49" s="381"/>
      <c r="BA49" s="381"/>
      <c r="BB49" s="381"/>
      <c r="BC49" s="381"/>
      <c r="BD49" s="381"/>
      <c r="BE49" s="381"/>
      <c r="BF49" s="381"/>
      <c r="BG49" s="381"/>
      <c r="BH49" s="381"/>
      <c r="BI49" s="381"/>
      <c r="BJ49" s="381"/>
      <c r="BK49" s="381"/>
      <c r="BL49" s="381"/>
      <c r="BM49" s="381"/>
      <c r="BN49" s="381"/>
      <c r="BO49" s="381"/>
      <c r="BP49" s="381"/>
      <c r="BQ49" s="381"/>
      <c r="BR49" s="381"/>
      <c r="BS49" s="381"/>
      <c r="BT49" s="381"/>
      <c r="BU49" s="381"/>
      <c r="BV49" s="381"/>
      <c r="BW49" s="381"/>
      <c r="BX49" s="381"/>
      <c r="BY49" s="381"/>
      <c r="BZ49" s="381"/>
      <c r="CA49" s="381"/>
      <c r="CB49" s="381"/>
      <c r="CC49" s="381"/>
      <c r="CD49" s="381"/>
      <c r="CE49" s="381"/>
      <c r="CF49" s="381"/>
      <c r="CG49" s="381"/>
      <c r="CH49" s="381"/>
      <c r="CI49" s="381"/>
      <c r="CJ49" s="381"/>
      <c r="CK49" s="381"/>
      <c r="CL49" s="381"/>
      <c r="CM49" s="381"/>
      <c r="CN49" s="381"/>
      <c r="CO49" s="381"/>
      <c r="CP49" s="381"/>
      <c r="CQ49" s="381"/>
      <c r="CR49" s="381"/>
      <c r="CS49" s="381"/>
      <c r="CT49" s="381"/>
      <c r="CU49" s="381"/>
      <c r="CV49" s="381"/>
      <c r="CW49" s="381"/>
      <c r="CX49" s="381"/>
      <c r="CY49" s="381"/>
      <c r="CZ49" s="381"/>
      <c r="DA49" s="381"/>
      <c r="DB49" s="381"/>
      <c r="DC49" s="381"/>
      <c r="DD49" s="381"/>
      <c r="DE49" s="381"/>
      <c r="DF49" s="381"/>
      <c r="DG49" s="381"/>
      <c r="DH49" s="381"/>
      <c r="DI49" s="381"/>
      <c r="DJ49" s="381"/>
      <c r="DK49" s="381"/>
      <c r="DL49" s="381"/>
      <c r="DM49" s="381"/>
      <c r="DN49" s="381"/>
      <c r="DO49" s="381"/>
      <c r="DP49" s="381"/>
      <c r="DQ49" s="381"/>
      <c r="DR49" s="381"/>
      <c r="DS49" s="381"/>
      <c r="DT49" s="381"/>
      <c r="DU49" s="381"/>
      <c r="DV49" s="381"/>
      <c r="DW49" s="381"/>
      <c r="DX49" s="381"/>
      <c r="DY49" s="381"/>
      <c r="DZ49" s="381"/>
      <c r="EA49" s="381"/>
      <c r="EB49" s="381"/>
      <c r="EC49" s="381"/>
      <c r="ED49" s="381"/>
      <c r="EE49" s="381"/>
      <c r="EF49" s="381"/>
      <c r="EG49" s="381"/>
      <c r="EH49" s="381"/>
      <c r="EI49" s="381"/>
      <c r="EJ49" s="381"/>
      <c r="EK49" s="381"/>
      <c r="EL49" s="381"/>
      <c r="EM49" s="381"/>
      <c r="EN49" s="381"/>
      <c r="EO49" s="381"/>
      <c r="EP49" s="381"/>
      <c r="EQ49" s="381"/>
      <c r="ER49" s="381"/>
      <c r="ES49" s="381"/>
      <c r="ET49" s="381"/>
      <c r="EU49" s="381"/>
      <c r="EV49" s="381"/>
      <c r="EW49" s="381"/>
      <c r="EX49" s="381"/>
      <c r="EY49" s="381"/>
      <c r="EZ49" s="381"/>
      <c r="FA49" s="381"/>
      <c r="FB49" s="381"/>
      <c r="FC49" s="381"/>
      <c r="FD49" s="381"/>
      <c r="FE49" s="381"/>
      <c r="FF49" s="381"/>
      <c r="FG49" s="381"/>
      <c r="FH49" s="381"/>
      <c r="FI49" s="381"/>
      <c r="FJ49" s="381"/>
      <c r="FK49" s="381"/>
      <c r="FL49" s="381"/>
      <c r="FM49" s="381"/>
      <c r="FN49" s="381"/>
      <c r="FO49" s="381"/>
      <c r="FP49" s="381"/>
      <c r="FQ49" s="381"/>
      <c r="FR49" s="381"/>
      <c r="FS49" s="381"/>
      <c r="FT49" s="381"/>
      <c r="FU49" s="381"/>
      <c r="FV49" s="381"/>
      <c r="FW49" s="381"/>
      <c r="FX49" s="381"/>
      <c r="FY49" s="381"/>
      <c r="FZ49" s="381"/>
      <c r="GA49" s="381"/>
      <c r="GB49" s="381"/>
      <c r="GC49" s="381"/>
      <c r="GD49" s="381"/>
      <c r="GE49" s="381"/>
      <c r="GF49" s="381"/>
      <c r="GG49" s="381"/>
      <c r="GH49" s="381"/>
      <c r="GI49" s="381"/>
      <c r="GJ49" s="381"/>
      <c r="GK49" s="381"/>
      <c r="GL49" s="381"/>
      <c r="GM49" s="381"/>
      <c r="GN49" s="381"/>
      <c r="GO49" s="381"/>
      <c r="GP49" s="381"/>
      <c r="GQ49" s="381"/>
      <c r="GR49" s="381"/>
      <c r="GS49" s="381"/>
      <c r="GT49" s="381"/>
      <c r="GU49" s="381"/>
      <c r="GV49" s="381"/>
      <c r="GW49" s="381"/>
      <c r="GX49" s="381"/>
      <c r="GY49" s="381"/>
      <c r="GZ49" s="381"/>
      <c r="HA49" s="381"/>
      <c r="HB49" s="381"/>
      <c r="HC49" s="381"/>
      <c r="HD49" s="381"/>
      <c r="HE49" s="381"/>
      <c r="HF49" s="381"/>
      <c r="HG49" s="381"/>
      <c r="HH49" s="381"/>
      <c r="HI49" s="381"/>
      <c r="HJ49" s="381"/>
      <c r="HK49" s="381"/>
      <c r="HL49" s="381"/>
      <c r="HM49" s="381"/>
      <c r="HN49" s="381"/>
      <c r="HO49" s="381"/>
      <c r="HP49" s="381"/>
      <c r="HQ49" s="381"/>
      <c r="HR49" s="381"/>
      <c r="HS49" s="381"/>
      <c r="HT49" s="381"/>
      <c r="HU49" s="381"/>
      <c r="HV49" s="381"/>
      <c r="HW49" s="381"/>
      <c r="HX49" s="381"/>
      <c r="HY49" s="381"/>
      <c r="HZ49" s="381"/>
      <c r="IA49" s="381"/>
      <c r="IB49" s="381"/>
      <c r="IC49" s="381"/>
      <c r="ID49" s="381"/>
      <c r="IE49" s="381"/>
      <c r="IF49" s="381"/>
      <c r="IG49" s="381"/>
      <c r="IH49" s="381"/>
      <c r="II49" s="381"/>
      <c r="IJ49" s="381"/>
      <c r="IK49" s="381"/>
      <c r="IL49" s="381"/>
      <c r="IM49" s="381"/>
      <c r="IN49" s="381"/>
      <c r="IO49" s="381"/>
      <c r="IP49" s="381"/>
      <c r="IQ49" s="381"/>
      <c r="IR49" s="381"/>
      <c r="IS49" s="381"/>
      <c r="IT49" s="381"/>
    </row>
    <row r="50" spans="1:254" s="426" customFormat="1">
      <c r="A50" s="382"/>
      <c r="B50" s="372"/>
      <c r="C50" s="427"/>
      <c r="D50" s="427"/>
      <c r="E50" s="1230"/>
      <c r="F50" s="415"/>
      <c r="G50" s="369"/>
    </row>
    <row r="51" spans="1:254" s="381" customFormat="1" ht="39.6">
      <c r="A51" s="420"/>
      <c r="B51" s="421" t="s">
        <v>1898</v>
      </c>
      <c r="C51" s="420"/>
      <c r="D51" s="420"/>
      <c r="E51" s="1231"/>
      <c r="F51" s="429"/>
      <c r="G51" s="369"/>
      <c r="H51" s="426"/>
      <c r="I51" s="426"/>
      <c r="J51" s="426"/>
      <c r="K51" s="426"/>
      <c r="L51" s="426"/>
      <c r="M51" s="426"/>
      <c r="N51" s="426"/>
      <c r="O51" s="426"/>
      <c r="P51" s="426"/>
      <c r="Q51" s="426"/>
      <c r="R51" s="426"/>
      <c r="S51" s="426"/>
      <c r="T51" s="426"/>
      <c r="U51" s="426"/>
      <c r="V51" s="426"/>
      <c r="W51" s="426"/>
      <c r="X51" s="426"/>
      <c r="Y51" s="426"/>
      <c r="Z51" s="426"/>
      <c r="AA51" s="426"/>
      <c r="AB51" s="426"/>
      <c r="AC51" s="426"/>
      <c r="AD51" s="426"/>
      <c r="AE51" s="426"/>
      <c r="AF51" s="426"/>
      <c r="AG51" s="426"/>
      <c r="AH51" s="426"/>
      <c r="AI51" s="426"/>
      <c r="AJ51" s="426"/>
      <c r="AK51" s="426"/>
      <c r="AL51" s="426"/>
      <c r="AM51" s="426"/>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6"/>
      <c r="BK51" s="426"/>
      <c r="BL51" s="426"/>
      <c r="BM51" s="426"/>
      <c r="BN51" s="426"/>
      <c r="BO51" s="426"/>
      <c r="BP51" s="426"/>
      <c r="BQ51" s="426"/>
      <c r="BR51" s="426"/>
      <c r="BS51" s="426"/>
      <c r="BT51" s="426"/>
      <c r="BU51" s="426"/>
      <c r="BV51" s="426"/>
      <c r="BW51" s="426"/>
      <c r="BX51" s="426"/>
      <c r="BY51" s="426"/>
      <c r="BZ51" s="426"/>
      <c r="CA51" s="426"/>
      <c r="CB51" s="426"/>
      <c r="CC51" s="426"/>
      <c r="CD51" s="426"/>
      <c r="CE51" s="426"/>
      <c r="CF51" s="426"/>
      <c r="CG51" s="426"/>
      <c r="CH51" s="426"/>
      <c r="CI51" s="426"/>
      <c r="CJ51" s="426"/>
      <c r="CK51" s="426"/>
      <c r="CL51" s="426"/>
      <c r="CM51" s="426"/>
      <c r="CN51" s="426"/>
      <c r="CO51" s="426"/>
      <c r="CP51" s="426"/>
      <c r="CQ51" s="426"/>
      <c r="CR51" s="426"/>
      <c r="CS51" s="426"/>
      <c r="CT51" s="426"/>
      <c r="CU51" s="426"/>
      <c r="CV51" s="426"/>
      <c r="CW51" s="426"/>
      <c r="CX51" s="426"/>
      <c r="CY51" s="426"/>
      <c r="CZ51" s="426"/>
      <c r="DA51" s="426"/>
      <c r="DB51" s="426"/>
      <c r="DC51" s="426"/>
      <c r="DD51" s="426"/>
      <c r="DE51" s="426"/>
      <c r="DF51" s="426"/>
      <c r="DG51" s="426"/>
      <c r="DH51" s="426"/>
      <c r="DI51" s="426"/>
      <c r="DJ51" s="426"/>
      <c r="DK51" s="426"/>
      <c r="DL51" s="426"/>
      <c r="DM51" s="426"/>
      <c r="DN51" s="426"/>
      <c r="DO51" s="426"/>
      <c r="DP51" s="426"/>
      <c r="DQ51" s="426"/>
      <c r="DR51" s="426"/>
      <c r="DS51" s="426"/>
      <c r="DT51" s="426"/>
      <c r="DU51" s="426"/>
      <c r="DV51" s="426"/>
      <c r="DW51" s="426"/>
      <c r="DX51" s="426"/>
      <c r="DY51" s="426"/>
      <c r="DZ51" s="426"/>
      <c r="EA51" s="426"/>
      <c r="EB51" s="426"/>
      <c r="EC51" s="426"/>
      <c r="ED51" s="426"/>
      <c r="EE51" s="426"/>
      <c r="EF51" s="426"/>
      <c r="EG51" s="426"/>
      <c r="EH51" s="426"/>
      <c r="EI51" s="426"/>
      <c r="EJ51" s="426"/>
      <c r="EK51" s="426"/>
      <c r="EL51" s="426"/>
      <c r="EM51" s="426"/>
      <c r="EN51" s="426"/>
      <c r="EO51" s="426"/>
      <c r="EP51" s="426"/>
      <c r="EQ51" s="426"/>
      <c r="ER51" s="426"/>
      <c r="ES51" s="426"/>
      <c r="ET51" s="426"/>
      <c r="EU51" s="426"/>
      <c r="EV51" s="426"/>
      <c r="EW51" s="426"/>
      <c r="EX51" s="426"/>
      <c r="EY51" s="426"/>
      <c r="EZ51" s="426"/>
      <c r="FA51" s="426"/>
      <c r="FB51" s="426"/>
      <c r="FC51" s="426"/>
      <c r="FD51" s="426"/>
      <c r="FE51" s="426"/>
      <c r="FF51" s="426"/>
      <c r="FG51" s="426"/>
      <c r="FH51" s="426"/>
      <c r="FI51" s="426"/>
      <c r="FJ51" s="426"/>
      <c r="FK51" s="426"/>
      <c r="FL51" s="426"/>
      <c r="FM51" s="426"/>
      <c r="FN51" s="426"/>
      <c r="FO51" s="426"/>
      <c r="FP51" s="426"/>
      <c r="FQ51" s="426"/>
      <c r="FR51" s="426"/>
      <c r="FS51" s="426"/>
      <c r="FT51" s="426"/>
      <c r="FU51" s="426"/>
      <c r="FV51" s="426"/>
      <c r="FW51" s="426"/>
      <c r="FX51" s="426"/>
      <c r="FY51" s="426"/>
      <c r="FZ51" s="426"/>
      <c r="GA51" s="426"/>
      <c r="GB51" s="426"/>
      <c r="GC51" s="426"/>
      <c r="GD51" s="426"/>
      <c r="GE51" s="426"/>
      <c r="GF51" s="426"/>
      <c r="GG51" s="426"/>
      <c r="GH51" s="426"/>
      <c r="GI51" s="426"/>
      <c r="GJ51" s="426"/>
      <c r="GK51" s="426"/>
      <c r="GL51" s="426"/>
      <c r="GM51" s="426"/>
      <c r="GN51" s="426"/>
      <c r="GO51" s="426"/>
      <c r="GP51" s="426"/>
      <c r="GQ51" s="426"/>
      <c r="GR51" s="426"/>
      <c r="GS51" s="426"/>
      <c r="GT51" s="426"/>
      <c r="GU51" s="426"/>
      <c r="GV51" s="426"/>
      <c r="GW51" s="426"/>
      <c r="GX51" s="426"/>
      <c r="GY51" s="426"/>
      <c r="GZ51" s="426"/>
      <c r="HA51" s="426"/>
      <c r="HB51" s="426"/>
      <c r="HC51" s="426"/>
      <c r="HD51" s="426"/>
      <c r="HE51" s="426"/>
      <c r="HF51" s="426"/>
      <c r="HG51" s="426"/>
      <c r="HH51" s="426"/>
      <c r="HI51" s="426"/>
      <c r="HJ51" s="426"/>
      <c r="HK51" s="426"/>
      <c r="HL51" s="426"/>
      <c r="HM51" s="426"/>
      <c r="HN51" s="426"/>
      <c r="HO51" s="426"/>
      <c r="HP51" s="426"/>
      <c r="HQ51" s="426"/>
      <c r="HR51" s="426"/>
      <c r="HS51" s="426"/>
      <c r="HT51" s="426"/>
      <c r="HU51" s="426"/>
      <c r="HV51" s="426"/>
      <c r="HW51" s="426"/>
      <c r="HX51" s="426"/>
      <c r="HY51" s="426"/>
      <c r="HZ51" s="426"/>
      <c r="IA51" s="426"/>
      <c r="IB51" s="426"/>
      <c r="IC51" s="426"/>
      <c r="ID51" s="426"/>
      <c r="IE51" s="426"/>
      <c r="IF51" s="426"/>
      <c r="IG51" s="426"/>
      <c r="IH51" s="426"/>
      <c r="II51" s="426"/>
      <c r="IJ51" s="426"/>
      <c r="IK51" s="426"/>
      <c r="IL51" s="426"/>
      <c r="IM51" s="426"/>
      <c r="IN51" s="426"/>
      <c r="IO51" s="426"/>
      <c r="IP51" s="426"/>
      <c r="IQ51" s="426"/>
      <c r="IR51" s="426"/>
      <c r="IS51" s="426"/>
      <c r="IT51" s="426"/>
    </row>
    <row r="52" spans="1:254" s="381" customFormat="1" ht="14.25" customHeight="1">
      <c r="A52" s="420"/>
      <c r="B52" s="421"/>
      <c r="C52" s="420"/>
      <c r="D52" s="420"/>
      <c r="E52" s="1231"/>
      <c r="F52" s="429"/>
      <c r="G52" s="369"/>
      <c r="H52" s="426"/>
      <c r="I52" s="426"/>
      <c r="J52" s="426"/>
      <c r="K52" s="426"/>
      <c r="L52" s="426"/>
      <c r="M52" s="426"/>
      <c r="N52" s="426"/>
      <c r="O52" s="426"/>
      <c r="P52" s="426"/>
      <c r="Q52" s="426"/>
      <c r="R52" s="426"/>
      <c r="S52" s="426"/>
      <c r="T52" s="426"/>
      <c r="U52" s="426"/>
      <c r="V52" s="426"/>
      <c r="W52" s="426"/>
      <c r="X52" s="426"/>
      <c r="Y52" s="426"/>
      <c r="Z52" s="426"/>
      <c r="AA52" s="426"/>
      <c r="AB52" s="426"/>
      <c r="AC52" s="426"/>
      <c r="AD52" s="426"/>
      <c r="AE52" s="426"/>
      <c r="AF52" s="426"/>
      <c r="AG52" s="426"/>
      <c r="AH52" s="426"/>
      <c r="AI52" s="426"/>
      <c r="AJ52" s="426"/>
      <c r="AK52" s="426"/>
      <c r="AL52" s="426"/>
      <c r="AM52" s="426"/>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6"/>
      <c r="BK52" s="426"/>
      <c r="BL52" s="426"/>
      <c r="BM52" s="426"/>
      <c r="BN52" s="426"/>
      <c r="BO52" s="426"/>
      <c r="BP52" s="426"/>
      <c r="BQ52" s="426"/>
      <c r="BR52" s="426"/>
      <c r="BS52" s="426"/>
      <c r="BT52" s="426"/>
      <c r="BU52" s="426"/>
      <c r="BV52" s="426"/>
      <c r="BW52" s="426"/>
      <c r="BX52" s="426"/>
      <c r="BY52" s="426"/>
      <c r="BZ52" s="426"/>
      <c r="CA52" s="426"/>
      <c r="CB52" s="426"/>
      <c r="CC52" s="426"/>
      <c r="CD52" s="426"/>
      <c r="CE52" s="426"/>
      <c r="CF52" s="426"/>
      <c r="CG52" s="426"/>
      <c r="CH52" s="426"/>
      <c r="CI52" s="426"/>
      <c r="CJ52" s="426"/>
      <c r="CK52" s="426"/>
      <c r="CL52" s="426"/>
      <c r="CM52" s="426"/>
      <c r="CN52" s="426"/>
      <c r="CO52" s="426"/>
      <c r="CP52" s="426"/>
      <c r="CQ52" s="426"/>
      <c r="CR52" s="426"/>
      <c r="CS52" s="426"/>
      <c r="CT52" s="426"/>
      <c r="CU52" s="426"/>
      <c r="CV52" s="426"/>
      <c r="CW52" s="426"/>
      <c r="CX52" s="426"/>
      <c r="CY52" s="426"/>
      <c r="CZ52" s="426"/>
      <c r="DA52" s="426"/>
      <c r="DB52" s="426"/>
      <c r="DC52" s="426"/>
      <c r="DD52" s="426"/>
      <c r="DE52" s="426"/>
      <c r="DF52" s="426"/>
      <c r="DG52" s="426"/>
      <c r="DH52" s="426"/>
      <c r="DI52" s="426"/>
      <c r="DJ52" s="426"/>
      <c r="DK52" s="426"/>
      <c r="DL52" s="426"/>
      <c r="DM52" s="426"/>
      <c r="DN52" s="426"/>
      <c r="DO52" s="426"/>
      <c r="DP52" s="426"/>
      <c r="DQ52" s="426"/>
      <c r="DR52" s="426"/>
      <c r="DS52" s="426"/>
      <c r="DT52" s="426"/>
      <c r="DU52" s="426"/>
      <c r="DV52" s="426"/>
      <c r="DW52" s="426"/>
      <c r="DX52" s="426"/>
      <c r="DY52" s="426"/>
      <c r="DZ52" s="426"/>
      <c r="EA52" s="426"/>
      <c r="EB52" s="426"/>
      <c r="EC52" s="426"/>
      <c r="ED52" s="426"/>
      <c r="EE52" s="426"/>
      <c r="EF52" s="426"/>
      <c r="EG52" s="426"/>
      <c r="EH52" s="426"/>
      <c r="EI52" s="426"/>
      <c r="EJ52" s="426"/>
      <c r="EK52" s="426"/>
      <c r="EL52" s="426"/>
      <c r="EM52" s="426"/>
      <c r="EN52" s="426"/>
      <c r="EO52" s="426"/>
      <c r="EP52" s="426"/>
      <c r="EQ52" s="426"/>
      <c r="ER52" s="426"/>
      <c r="ES52" s="426"/>
      <c r="ET52" s="426"/>
      <c r="EU52" s="426"/>
      <c r="EV52" s="426"/>
      <c r="EW52" s="426"/>
      <c r="EX52" s="426"/>
      <c r="EY52" s="426"/>
      <c r="EZ52" s="426"/>
      <c r="FA52" s="426"/>
      <c r="FB52" s="426"/>
      <c r="FC52" s="426"/>
      <c r="FD52" s="426"/>
      <c r="FE52" s="426"/>
      <c r="FF52" s="426"/>
      <c r="FG52" s="426"/>
      <c r="FH52" s="426"/>
      <c r="FI52" s="426"/>
      <c r="FJ52" s="426"/>
      <c r="FK52" s="426"/>
      <c r="FL52" s="426"/>
      <c r="FM52" s="426"/>
      <c r="FN52" s="426"/>
      <c r="FO52" s="426"/>
      <c r="FP52" s="426"/>
      <c r="FQ52" s="426"/>
      <c r="FR52" s="426"/>
      <c r="FS52" s="426"/>
      <c r="FT52" s="426"/>
      <c r="FU52" s="426"/>
      <c r="FV52" s="426"/>
      <c r="FW52" s="426"/>
      <c r="FX52" s="426"/>
      <c r="FY52" s="426"/>
      <c r="FZ52" s="426"/>
      <c r="GA52" s="426"/>
      <c r="GB52" s="426"/>
      <c r="GC52" s="426"/>
      <c r="GD52" s="426"/>
      <c r="GE52" s="426"/>
      <c r="GF52" s="426"/>
      <c r="GG52" s="426"/>
      <c r="GH52" s="426"/>
      <c r="GI52" s="426"/>
      <c r="GJ52" s="426"/>
      <c r="GK52" s="426"/>
      <c r="GL52" s="426"/>
      <c r="GM52" s="426"/>
      <c r="GN52" s="426"/>
      <c r="GO52" s="426"/>
      <c r="GP52" s="426"/>
      <c r="GQ52" s="426"/>
      <c r="GR52" s="426"/>
      <c r="GS52" s="426"/>
      <c r="GT52" s="426"/>
      <c r="GU52" s="426"/>
      <c r="GV52" s="426"/>
      <c r="GW52" s="426"/>
      <c r="GX52" s="426"/>
      <c r="GY52" s="426"/>
      <c r="GZ52" s="426"/>
      <c r="HA52" s="426"/>
      <c r="HB52" s="426"/>
      <c r="HC52" s="426"/>
      <c r="HD52" s="426"/>
      <c r="HE52" s="426"/>
      <c r="HF52" s="426"/>
      <c r="HG52" s="426"/>
      <c r="HH52" s="426"/>
      <c r="HI52" s="426"/>
      <c r="HJ52" s="426"/>
      <c r="HK52" s="426"/>
      <c r="HL52" s="426"/>
      <c r="HM52" s="426"/>
      <c r="HN52" s="426"/>
      <c r="HO52" s="426"/>
      <c r="HP52" s="426"/>
      <c r="HQ52" s="426"/>
      <c r="HR52" s="426"/>
      <c r="HS52" s="426"/>
      <c r="HT52" s="426"/>
      <c r="HU52" s="426"/>
      <c r="HV52" s="426"/>
      <c r="HW52" s="426"/>
      <c r="HX52" s="426"/>
      <c r="HY52" s="426"/>
      <c r="HZ52" s="426"/>
      <c r="IA52" s="426"/>
      <c r="IB52" s="426"/>
      <c r="IC52" s="426"/>
      <c r="ID52" s="426"/>
      <c r="IE52" s="426"/>
      <c r="IF52" s="426"/>
      <c r="IG52" s="426"/>
      <c r="IH52" s="426"/>
      <c r="II52" s="426"/>
      <c r="IJ52" s="426"/>
      <c r="IK52" s="426"/>
      <c r="IL52" s="426"/>
      <c r="IM52" s="426"/>
      <c r="IN52" s="426"/>
      <c r="IO52" s="426"/>
      <c r="IP52" s="426"/>
      <c r="IQ52" s="426"/>
      <c r="IR52" s="426"/>
      <c r="IS52" s="426"/>
      <c r="IT52" s="426"/>
    </row>
    <row r="53" spans="1:254" s="381" customFormat="1" ht="14.25" customHeight="1">
      <c r="A53" s="420"/>
      <c r="B53" s="421" t="s">
        <v>1897</v>
      </c>
      <c r="C53" s="420"/>
      <c r="D53" s="420"/>
      <c r="E53" s="1231"/>
      <c r="F53" s="429"/>
      <c r="G53" s="369"/>
      <c r="H53" s="426"/>
      <c r="I53" s="426"/>
      <c r="J53" s="426"/>
      <c r="K53" s="426"/>
      <c r="L53" s="426"/>
      <c r="M53" s="426"/>
      <c r="N53" s="426"/>
      <c r="O53" s="426"/>
      <c r="P53" s="426"/>
      <c r="Q53" s="426"/>
      <c r="R53" s="426"/>
      <c r="S53" s="426"/>
      <c r="T53" s="426"/>
      <c r="U53" s="426"/>
      <c r="V53" s="426"/>
      <c r="W53" s="426"/>
      <c r="X53" s="426"/>
      <c r="Y53" s="426"/>
      <c r="Z53" s="426"/>
      <c r="AA53" s="426"/>
      <c r="AB53" s="426"/>
      <c r="AC53" s="426"/>
      <c r="AD53" s="426"/>
      <c r="AE53" s="426"/>
      <c r="AF53" s="426"/>
      <c r="AG53" s="426"/>
      <c r="AH53" s="426"/>
      <c r="AI53" s="426"/>
      <c r="AJ53" s="426"/>
      <c r="AK53" s="426"/>
      <c r="AL53" s="426"/>
      <c r="AM53" s="426"/>
      <c r="AN53" s="426"/>
      <c r="AO53" s="426"/>
      <c r="AP53" s="426"/>
      <c r="AQ53" s="426"/>
      <c r="AR53" s="426"/>
      <c r="AS53" s="426"/>
      <c r="AT53" s="426"/>
      <c r="AU53" s="426"/>
      <c r="AV53" s="426"/>
      <c r="AW53" s="426"/>
      <c r="AX53" s="426"/>
      <c r="AY53" s="426"/>
      <c r="AZ53" s="426"/>
      <c r="BA53" s="426"/>
      <c r="BB53" s="426"/>
      <c r="BC53" s="426"/>
      <c r="BD53" s="426"/>
      <c r="BE53" s="426"/>
      <c r="BF53" s="426"/>
      <c r="BG53" s="426"/>
      <c r="BH53" s="426"/>
      <c r="BI53" s="426"/>
      <c r="BJ53" s="426"/>
      <c r="BK53" s="426"/>
      <c r="BL53" s="426"/>
      <c r="BM53" s="426"/>
      <c r="BN53" s="426"/>
      <c r="BO53" s="426"/>
      <c r="BP53" s="426"/>
      <c r="BQ53" s="426"/>
      <c r="BR53" s="426"/>
      <c r="BS53" s="426"/>
      <c r="BT53" s="426"/>
      <c r="BU53" s="426"/>
      <c r="BV53" s="426"/>
      <c r="BW53" s="426"/>
      <c r="BX53" s="426"/>
      <c r="BY53" s="426"/>
      <c r="BZ53" s="426"/>
      <c r="CA53" s="426"/>
      <c r="CB53" s="426"/>
      <c r="CC53" s="426"/>
      <c r="CD53" s="426"/>
      <c r="CE53" s="426"/>
      <c r="CF53" s="426"/>
      <c r="CG53" s="426"/>
      <c r="CH53" s="426"/>
      <c r="CI53" s="426"/>
      <c r="CJ53" s="426"/>
      <c r="CK53" s="426"/>
      <c r="CL53" s="426"/>
      <c r="CM53" s="426"/>
      <c r="CN53" s="426"/>
      <c r="CO53" s="426"/>
      <c r="CP53" s="426"/>
      <c r="CQ53" s="426"/>
      <c r="CR53" s="426"/>
      <c r="CS53" s="426"/>
      <c r="CT53" s="426"/>
      <c r="CU53" s="426"/>
      <c r="CV53" s="426"/>
      <c r="CW53" s="426"/>
      <c r="CX53" s="426"/>
      <c r="CY53" s="426"/>
      <c r="CZ53" s="426"/>
      <c r="DA53" s="426"/>
      <c r="DB53" s="426"/>
      <c r="DC53" s="426"/>
      <c r="DD53" s="426"/>
      <c r="DE53" s="426"/>
      <c r="DF53" s="426"/>
      <c r="DG53" s="426"/>
      <c r="DH53" s="426"/>
      <c r="DI53" s="426"/>
      <c r="DJ53" s="426"/>
      <c r="DK53" s="426"/>
      <c r="DL53" s="426"/>
      <c r="DM53" s="426"/>
      <c r="DN53" s="426"/>
      <c r="DO53" s="426"/>
      <c r="DP53" s="426"/>
      <c r="DQ53" s="426"/>
      <c r="DR53" s="426"/>
      <c r="DS53" s="426"/>
      <c r="DT53" s="426"/>
      <c r="DU53" s="426"/>
      <c r="DV53" s="426"/>
      <c r="DW53" s="426"/>
      <c r="DX53" s="426"/>
      <c r="DY53" s="426"/>
      <c r="DZ53" s="426"/>
      <c r="EA53" s="426"/>
      <c r="EB53" s="426"/>
      <c r="EC53" s="426"/>
      <c r="ED53" s="426"/>
      <c r="EE53" s="426"/>
      <c r="EF53" s="426"/>
      <c r="EG53" s="426"/>
      <c r="EH53" s="426"/>
      <c r="EI53" s="426"/>
      <c r="EJ53" s="426"/>
      <c r="EK53" s="426"/>
      <c r="EL53" s="426"/>
      <c r="EM53" s="426"/>
      <c r="EN53" s="426"/>
      <c r="EO53" s="426"/>
      <c r="EP53" s="426"/>
      <c r="EQ53" s="426"/>
      <c r="ER53" s="426"/>
      <c r="ES53" s="426"/>
      <c r="ET53" s="426"/>
      <c r="EU53" s="426"/>
      <c r="EV53" s="426"/>
      <c r="EW53" s="426"/>
      <c r="EX53" s="426"/>
      <c r="EY53" s="426"/>
      <c r="EZ53" s="426"/>
      <c r="FA53" s="426"/>
      <c r="FB53" s="426"/>
      <c r="FC53" s="426"/>
      <c r="FD53" s="426"/>
      <c r="FE53" s="426"/>
      <c r="FF53" s="426"/>
      <c r="FG53" s="426"/>
      <c r="FH53" s="426"/>
      <c r="FI53" s="426"/>
      <c r="FJ53" s="426"/>
      <c r="FK53" s="426"/>
      <c r="FL53" s="426"/>
      <c r="FM53" s="426"/>
      <c r="FN53" s="426"/>
      <c r="FO53" s="426"/>
      <c r="FP53" s="426"/>
      <c r="FQ53" s="426"/>
      <c r="FR53" s="426"/>
      <c r="FS53" s="426"/>
      <c r="FT53" s="426"/>
      <c r="FU53" s="426"/>
      <c r="FV53" s="426"/>
      <c r="FW53" s="426"/>
      <c r="FX53" s="426"/>
      <c r="FY53" s="426"/>
      <c r="FZ53" s="426"/>
      <c r="GA53" s="426"/>
      <c r="GB53" s="426"/>
      <c r="GC53" s="426"/>
      <c r="GD53" s="426"/>
      <c r="GE53" s="426"/>
      <c r="GF53" s="426"/>
      <c r="GG53" s="426"/>
      <c r="GH53" s="426"/>
      <c r="GI53" s="426"/>
      <c r="GJ53" s="426"/>
      <c r="GK53" s="426"/>
      <c r="GL53" s="426"/>
      <c r="GM53" s="426"/>
      <c r="GN53" s="426"/>
      <c r="GO53" s="426"/>
      <c r="GP53" s="426"/>
      <c r="GQ53" s="426"/>
      <c r="GR53" s="426"/>
      <c r="GS53" s="426"/>
      <c r="GT53" s="426"/>
      <c r="GU53" s="426"/>
      <c r="GV53" s="426"/>
      <c r="GW53" s="426"/>
      <c r="GX53" s="426"/>
      <c r="GY53" s="426"/>
      <c r="GZ53" s="426"/>
      <c r="HA53" s="426"/>
      <c r="HB53" s="426"/>
      <c r="HC53" s="426"/>
      <c r="HD53" s="426"/>
      <c r="HE53" s="426"/>
      <c r="HF53" s="426"/>
      <c r="HG53" s="426"/>
      <c r="HH53" s="426"/>
      <c r="HI53" s="426"/>
      <c r="HJ53" s="426"/>
      <c r="HK53" s="426"/>
      <c r="HL53" s="426"/>
      <c r="HM53" s="426"/>
      <c r="HN53" s="426"/>
      <c r="HO53" s="426"/>
      <c r="HP53" s="426"/>
      <c r="HQ53" s="426"/>
      <c r="HR53" s="426"/>
      <c r="HS53" s="426"/>
      <c r="HT53" s="426"/>
      <c r="HU53" s="426"/>
      <c r="HV53" s="426"/>
      <c r="HW53" s="426"/>
      <c r="HX53" s="426"/>
      <c r="HY53" s="426"/>
      <c r="HZ53" s="426"/>
      <c r="IA53" s="426"/>
      <c r="IB53" s="426"/>
      <c r="IC53" s="426"/>
      <c r="ID53" s="426"/>
      <c r="IE53" s="426"/>
      <c r="IF53" s="426"/>
      <c r="IG53" s="426"/>
      <c r="IH53" s="426"/>
      <c r="II53" s="426"/>
      <c r="IJ53" s="426"/>
      <c r="IK53" s="426"/>
      <c r="IL53" s="426"/>
      <c r="IM53" s="426"/>
      <c r="IN53" s="426"/>
      <c r="IO53" s="426"/>
      <c r="IP53" s="426"/>
      <c r="IQ53" s="426"/>
      <c r="IR53" s="426"/>
      <c r="IS53" s="426"/>
      <c r="IT53" s="426"/>
    </row>
    <row r="54" spans="1:254" s="426" customFormat="1">
      <c r="A54" s="420"/>
      <c r="B54" s="421"/>
      <c r="C54" s="420"/>
      <c r="D54" s="420"/>
      <c r="E54" s="1231"/>
      <c r="F54" s="429"/>
      <c r="G54" s="369"/>
    </row>
    <row r="55" spans="1:254" s="426" customFormat="1" ht="26.4">
      <c r="A55" s="420"/>
      <c r="B55" s="421" t="s">
        <v>2264</v>
      </c>
      <c r="C55" s="420"/>
      <c r="D55" s="420"/>
      <c r="E55" s="1231"/>
      <c r="F55" s="429"/>
      <c r="G55" s="369"/>
    </row>
    <row r="56" spans="1:254" s="426" customFormat="1" ht="39.6">
      <c r="A56" s="420"/>
      <c r="B56" s="421" t="s">
        <v>2265</v>
      </c>
      <c r="C56" s="420"/>
      <c r="D56" s="420"/>
      <c r="E56" s="1231"/>
      <c r="F56" s="429"/>
      <c r="G56" s="369"/>
    </row>
    <row r="57" spans="1:254" s="426" customFormat="1" ht="26.4">
      <c r="A57" s="420"/>
      <c r="B57" s="421" t="s">
        <v>2263</v>
      </c>
      <c r="C57" s="420"/>
      <c r="D57" s="420"/>
      <c r="E57" s="1231"/>
      <c r="F57" s="429"/>
      <c r="G57" s="369"/>
    </row>
    <row r="58" spans="1:254" s="426" customFormat="1" ht="14.25" customHeight="1">
      <c r="A58" s="420"/>
      <c r="B58" s="421"/>
      <c r="C58" s="420"/>
      <c r="D58" s="420"/>
      <c r="E58" s="1231"/>
      <c r="F58" s="429"/>
      <c r="G58" s="369"/>
    </row>
    <row r="59" spans="1:254" s="408" customFormat="1" ht="14.25" customHeight="1">
      <c r="A59" s="430"/>
      <c r="B59" s="431" t="s">
        <v>1899</v>
      </c>
      <c r="C59" s="432"/>
      <c r="D59" s="406"/>
      <c r="E59" s="1224"/>
      <c r="F59" s="407"/>
      <c r="G59" s="404"/>
    </row>
    <row r="60" spans="1:254" s="401" customFormat="1" ht="12.6" customHeight="1">
      <c r="A60" s="433" t="s">
        <v>1441</v>
      </c>
      <c r="B60" s="399" t="s">
        <v>1900</v>
      </c>
      <c r="C60" s="434" t="s">
        <v>1818</v>
      </c>
      <c r="D60" s="435">
        <v>5</v>
      </c>
      <c r="E60" s="1338">
        <v>200</v>
      </c>
      <c r="F60" s="912">
        <f t="shared" ref="F60:F65" si="0">D60*E60</f>
        <v>1000</v>
      </c>
    </row>
    <row r="61" spans="1:254" s="401" customFormat="1" ht="12.6" customHeight="1">
      <c r="A61" s="433" t="s">
        <v>1882</v>
      </c>
      <c r="B61" s="399" t="s">
        <v>1901</v>
      </c>
      <c r="C61" s="434" t="s">
        <v>1818</v>
      </c>
      <c r="D61" s="435">
        <v>2</v>
      </c>
      <c r="E61" s="1338">
        <v>300</v>
      </c>
      <c r="F61" s="912">
        <f t="shared" si="0"/>
        <v>600</v>
      </c>
    </row>
    <row r="62" spans="1:254" s="401" customFormat="1" ht="12.6" customHeight="1">
      <c r="A62" s="433" t="s">
        <v>1884</v>
      </c>
      <c r="B62" s="399" t="s">
        <v>1902</v>
      </c>
      <c r="C62" s="434" t="s">
        <v>1818</v>
      </c>
      <c r="D62" s="435">
        <v>3</v>
      </c>
      <c r="E62" s="1338">
        <v>250</v>
      </c>
      <c r="F62" s="912">
        <f t="shared" si="0"/>
        <v>750</v>
      </c>
    </row>
    <row r="63" spans="1:254" s="401" customFormat="1" ht="12.6" customHeight="1">
      <c r="A63" s="433">
        <v>4</v>
      </c>
      <c r="B63" s="399" t="s">
        <v>1903</v>
      </c>
      <c r="C63" s="434" t="s">
        <v>1818</v>
      </c>
      <c r="D63" s="435">
        <v>1</v>
      </c>
      <c r="E63" s="1338">
        <v>300</v>
      </c>
      <c r="F63" s="912">
        <f t="shared" si="0"/>
        <v>300</v>
      </c>
    </row>
    <row r="64" spans="1:254" s="401" customFormat="1" ht="12.6" customHeight="1">
      <c r="A64" s="433">
        <v>5</v>
      </c>
      <c r="B64" s="399" t="s">
        <v>1904</v>
      </c>
      <c r="C64" s="434" t="s">
        <v>1818</v>
      </c>
      <c r="D64" s="435">
        <v>3</v>
      </c>
      <c r="E64" s="1338">
        <v>350</v>
      </c>
      <c r="F64" s="912">
        <f t="shared" si="0"/>
        <v>1050</v>
      </c>
    </row>
    <row r="65" spans="1:254" s="401" customFormat="1" ht="12.6" customHeight="1">
      <c r="A65" s="433">
        <v>5</v>
      </c>
      <c r="B65" s="399" t="s">
        <v>1905</v>
      </c>
      <c r="C65" s="434" t="s">
        <v>1818</v>
      </c>
      <c r="D65" s="435">
        <v>3</v>
      </c>
      <c r="E65" s="1338">
        <v>350</v>
      </c>
      <c r="F65" s="912">
        <f t="shared" si="0"/>
        <v>1050</v>
      </c>
    </row>
    <row r="66" spans="1:254" s="401" customFormat="1" ht="12.6" customHeight="1">
      <c r="A66" s="433"/>
      <c r="B66" s="399"/>
      <c r="D66" s="436"/>
      <c r="E66" s="1232"/>
      <c r="F66" s="932"/>
    </row>
    <row r="67" spans="1:254" s="397" customFormat="1" ht="14.25" customHeight="1">
      <c r="A67" s="437"/>
      <c r="B67" s="393"/>
      <c r="C67" s="437"/>
      <c r="D67" s="402"/>
      <c r="E67" s="1223"/>
      <c r="F67" s="931"/>
      <c r="G67" s="396"/>
    </row>
    <row r="68" spans="1:254" s="442" customFormat="1" ht="13.5" customHeight="1">
      <c r="A68" s="438"/>
      <c r="B68" s="439" t="s">
        <v>1906</v>
      </c>
      <c r="C68" s="440"/>
      <c r="D68" s="441"/>
      <c r="E68" s="1233"/>
      <c r="F68" s="933"/>
      <c r="G68" s="369"/>
      <c r="H68" s="426"/>
      <c r="I68" s="426"/>
      <c r="J68" s="426"/>
      <c r="K68" s="426"/>
      <c r="L68" s="426"/>
      <c r="M68" s="426"/>
      <c r="N68" s="426"/>
      <c r="O68" s="426"/>
      <c r="P68" s="426"/>
      <c r="Q68" s="426"/>
      <c r="R68" s="426"/>
      <c r="S68" s="426"/>
      <c r="T68" s="426"/>
      <c r="U68" s="426"/>
      <c r="V68" s="426"/>
      <c r="W68" s="426"/>
      <c r="X68" s="426"/>
      <c r="Y68" s="426"/>
      <c r="Z68" s="426"/>
      <c r="AA68" s="426"/>
      <c r="AB68" s="426"/>
      <c r="AC68" s="426"/>
      <c r="AD68" s="426"/>
      <c r="AE68" s="426"/>
      <c r="AF68" s="426"/>
      <c r="AG68" s="426"/>
      <c r="AH68" s="426"/>
      <c r="AI68" s="426"/>
      <c r="AJ68" s="426"/>
      <c r="AK68" s="426"/>
      <c r="AL68" s="426"/>
      <c r="AM68" s="426"/>
      <c r="AN68" s="426"/>
      <c r="AO68" s="426"/>
      <c r="AP68" s="426"/>
      <c r="AQ68" s="426"/>
      <c r="AR68" s="426"/>
      <c r="AS68" s="426"/>
      <c r="AT68" s="426"/>
      <c r="AU68" s="426"/>
      <c r="AV68" s="426"/>
      <c r="AW68" s="426"/>
      <c r="AX68" s="426"/>
      <c r="AY68" s="426"/>
      <c r="AZ68" s="426"/>
      <c r="BA68" s="426"/>
      <c r="BB68" s="426"/>
      <c r="BC68" s="426"/>
      <c r="BD68" s="426"/>
      <c r="BE68" s="426"/>
      <c r="BF68" s="426"/>
      <c r="BG68" s="426"/>
      <c r="BH68" s="426"/>
      <c r="BI68" s="426"/>
      <c r="BJ68" s="426"/>
      <c r="BK68" s="426"/>
      <c r="BL68" s="426"/>
      <c r="BM68" s="426"/>
      <c r="BN68" s="426"/>
      <c r="BO68" s="426"/>
      <c r="BP68" s="426"/>
      <c r="BQ68" s="426"/>
      <c r="BR68" s="426"/>
      <c r="BS68" s="426"/>
      <c r="BT68" s="426"/>
      <c r="BU68" s="426"/>
      <c r="BV68" s="426"/>
      <c r="BW68" s="426"/>
      <c r="BX68" s="426"/>
      <c r="BY68" s="426"/>
      <c r="BZ68" s="426"/>
      <c r="CA68" s="426"/>
      <c r="CB68" s="426"/>
      <c r="CC68" s="426"/>
      <c r="CD68" s="426"/>
      <c r="CE68" s="426"/>
      <c r="CF68" s="426"/>
      <c r="CG68" s="426"/>
      <c r="CH68" s="426"/>
      <c r="CI68" s="426"/>
      <c r="CJ68" s="426"/>
      <c r="CK68" s="426"/>
      <c r="CL68" s="426"/>
      <c r="CM68" s="426"/>
      <c r="CN68" s="426"/>
      <c r="CO68" s="426"/>
      <c r="CP68" s="426"/>
      <c r="CQ68" s="426"/>
      <c r="CR68" s="426"/>
      <c r="CS68" s="426"/>
      <c r="CT68" s="426"/>
      <c r="CU68" s="426"/>
      <c r="CV68" s="426"/>
      <c r="CW68" s="426"/>
      <c r="CX68" s="426"/>
      <c r="CY68" s="426"/>
      <c r="CZ68" s="426"/>
      <c r="DA68" s="426"/>
      <c r="DB68" s="426"/>
      <c r="DC68" s="426"/>
      <c r="DD68" s="426"/>
      <c r="DE68" s="426"/>
      <c r="DF68" s="426"/>
      <c r="DG68" s="426"/>
      <c r="DH68" s="426"/>
      <c r="DI68" s="426"/>
      <c r="DJ68" s="426"/>
      <c r="DK68" s="426"/>
      <c r="DL68" s="426"/>
      <c r="DM68" s="426"/>
      <c r="DN68" s="426"/>
      <c r="DO68" s="426"/>
      <c r="DP68" s="426"/>
      <c r="DQ68" s="426"/>
      <c r="DR68" s="426"/>
      <c r="DS68" s="426"/>
      <c r="DT68" s="426"/>
      <c r="DU68" s="426"/>
      <c r="DV68" s="426"/>
      <c r="DW68" s="426"/>
      <c r="DX68" s="426"/>
      <c r="DY68" s="426"/>
      <c r="DZ68" s="426"/>
      <c r="EA68" s="426"/>
      <c r="EB68" s="426"/>
      <c r="EC68" s="426"/>
      <c r="ED68" s="426"/>
      <c r="EE68" s="426"/>
      <c r="EF68" s="426"/>
      <c r="EG68" s="426"/>
      <c r="EH68" s="426"/>
      <c r="EI68" s="426"/>
      <c r="EJ68" s="426"/>
      <c r="EK68" s="426"/>
      <c r="EL68" s="426"/>
      <c r="EM68" s="426"/>
      <c r="EN68" s="426"/>
      <c r="EO68" s="426"/>
      <c r="EP68" s="426"/>
      <c r="EQ68" s="426"/>
      <c r="ER68" s="426"/>
      <c r="ES68" s="426"/>
      <c r="ET68" s="426"/>
      <c r="EU68" s="426"/>
      <c r="EV68" s="426"/>
      <c r="EW68" s="426"/>
      <c r="EX68" s="426"/>
      <c r="EY68" s="426"/>
      <c r="EZ68" s="426"/>
      <c r="FA68" s="426"/>
      <c r="FB68" s="426"/>
      <c r="FC68" s="426"/>
      <c r="FD68" s="426"/>
      <c r="FE68" s="426"/>
      <c r="FF68" s="426"/>
      <c r="FG68" s="426"/>
      <c r="FH68" s="426"/>
      <c r="FI68" s="426"/>
      <c r="FJ68" s="426"/>
      <c r="FK68" s="426"/>
      <c r="FL68" s="426"/>
      <c r="FM68" s="426"/>
      <c r="FN68" s="426"/>
      <c r="FO68" s="426"/>
      <c r="FP68" s="426"/>
      <c r="FQ68" s="426"/>
      <c r="FR68" s="426"/>
      <c r="FS68" s="426"/>
      <c r="FT68" s="426"/>
      <c r="FU68" s="426"/>
      <c r="FV68" s="426"/>
      <c r="FW68" s="426"/>
      <c r="FX68" s="426"/>
      <c r="FY68" s="426"/>
      <c r="FZ68" s="426"/>
      <c r="GA68" s="426"/>
      <c r="GB68" s="426"/>
      <c r="GC68" s="426"/>
      <c r="GD68" s="426"/>
      <c r="GE68" s="426"/>
      <c r="GF68" s="426"/>
      <c r="GG68" s="426"/>
      <c r="GH68" s="426"/>
      <c r="GI68" s="426"/>
      <c r="GJ68" s="426"/>
      <c r="GK68" s="426"/>
      <c r="GL68" s="426"/>
      <c r="GM68" s="426"/>
      <c r="GN68" s="426"/>
      <c r="GO68" s="426"/>
      <c r="GP68" s="426"/>
      <c r="GQ68" s="426"/>
      <c r="GR68" s="426"/>
      <c r="GS68" s="426"/>
      <c r="GT68" s="426"/>
      <c r="GU68" s="426"/>
      <c r="GV68" s="426"/>
      <c r="GW68" s="426"/>
      <c r="GX68" s="426"/>
      <c r="GY68" s="426"/>
      <c r="GZ68" s="426"/>
      <c r="HA68" s="426"/>
      <c r="HB68" s="426"/>
      <c r="HC68" s="426"/>
      <c r="HD68" s="426"/>
      <c r="HE68" s="426"/>
      <c r="HF68" s="426"/>
      <c r="HG68" s="426"/>
      <c r="HH68" s="426"/>
      <c r="HI68" s="426"/>
      <c r="HJ68" s="426"/>
      <c r="HK68" s="426"/>
      <c r="HL68" s="426"/>
      <c r="HM68" s="426"/>
      <c r="HN68" s="426"/>
      <c r="HO68" s="426"/>
      <c r="HP68" s="426"/>
      <c r="HQ68" s="426"/>
      <c r="HR68" s="426"/>
      <c r="HS68" s="426"/>
      <c r="HT68" s="426"/>
      <c r="HU68" s="426"/>
      <c r="HV68" s="426"/>
      <c r="HW68" s="426"/>
      <c r="HX68" s="426"/>
      <c r="HY68" s="426"/>
      <c r="HZ68" s="426"/>
      <c r="IA68" s="426"/>
      <c r="IB68" s="426"/>
      <c r="IC68" s="426"/>
      <c r="ID68" s="426"/>
      <c r="IE68" s="426"/>
      <c r="IF68" s="426"/>
      <c r="IG68" s="426"/>
      <c r="IH68" s="426"/>
      <c r="II68" s="426"/>
      <c r="IJ68" s="426"/>
      <c r="IK68" s="426"/>
      <c r="IL68" s="426"/>
      <c r="IM68" s="426"/>
      <c r="IN68" s="426"/>
      <c r="IO68" s="426"/>
      <c r="IP68" s="426"/>
      <c r="IQ68" s="426"/>
      <c r="IR68" s="426"/>
      <c r="IS68" s="426"/>
      <c r="IT68" s="426"/>
    </row>
    <row r="69" spans="1:254" s="442" customFormat="1" ht="79.2">
      <c r="A69" s="438" t="s">
        <v>1907</v>
      </c>
      <c r="B69" s="443" t="s">
        <v>1908</v>
      </c>
      <c r="C69" s="444" t="s">
        <v>1818</v>
      </c>
      <c r="D69" s="445">
        <f>SUM(D60:D65)</f>
        <v>17</v>
      </c>
      <c r="E69" s="1338">
        <v>50</v>
      </c>
      <c r="F69" s="912">
        <f>D69*E69</f>
        <v>850</v>
      </c>
      <c r="G69" s="369"/>
      <c r="H69" s="426"/>
      <c r="I69" s="426"/>
      <c r="J69" s="426"/>
      <c r="K69" s="426"/>
      <c r="L69" s="426"/>
      <c r="M69" s="426"/>
      <c r="N69" s="426"/>
      <c r="O69" s="426"/>
      <c r="P69" s="426"/>
      <c r="Q69" s="426"/>
      <c r="R69" s="426"/>
      <c r="S69" s="426"/>
      <c r="T69" s="426"/>
      <c r="U69" s="426"/>
      <c r="V69" s="426"/>
      <c r="W69" s="426"/>
      <c r="X69" s="426"/>
      <c r="Y69" s="426"/>
      <c r="Z69" s="426"/>
      <c r="AA69" s="426"/>
      <c r="AB69" s="426"/>
      <c r="AC69" s="426"/>
      <c r="AD69" s="426"/>
      <c r="AE69" s="426"/>
      <c r="AF69" s="426"/>
      <c r="AG69" s="426"/>
      <c r="AH69" s="426"/>
      <c r="AI69" s="426"/>
      <c r="AJ69" s="426"/>
      <c r="AK69" s="426"/>
      <c r="AL69" s="426"/>
      <c r="AM69" s="426"/>
      <c r="AN69" s="426"/>
      <c r="AO69" s="426"/>
      <c r="AP69" s="426"/>
      <c r="AQ69" s="426"/>
      <c r="AR69" s="426"/>
      <c r="AS69" s="426"/>
      <c r="AT69" s="426"/>
      <c r="AU69" s="426"/>
      <c r="AV69" s="426"/>
      <c r="AW69" s="426"/>
      <c r="AX69" s="426"/>
      <c r="AY69" s="426"/>
      <c r="AZ69" s="426"/>
      <c r="BA69" s="426"/>
      <c r="BB69" s="426"/>
      <c r="BC69" s="426"/>
      <c r="BD69" s="426"/>
      <c r="BE69" s="426"/>
      <c r="BF69" s="426"/>
      <c r="BG69" s="426"/>
      <c r="BH69" s="426"/>
      <c r="BI69" s="426"/>
      <c r="BJ69" s="426"/>
      <c r="BK69" s="426"/>
      <c r="BL69" s="426"/>
      <c r="BM69" s="426"/>
      <c r="BN69" s="426"/>
      <c r="BO69" s="426"/>
      <c r="BP69" s="426"/>
      <c r="BQ69" s="426"/>
      <c r="BR69" s="426"/>
      <c r="BS69" s="426"/>
      <c r="BT69" s="426"/>
      <c r="BU69" s="426"/>
      <c r="BV69" s="426"/>
      <c r="BW69" s="426"/>
      <c r="BX69" s="426"/>
      <c r="BY69" s="426"/>
      <c r="BZ69" s="426"/>
      <c r="CA69" s="426"/>
      <c r="CB69" s="426"/>
      <c r="CC69" s="426"/>
      <c r="CD69" s="426"/>
      <c r="CE69" s="426"/>
      <c r="CF69" s="426"/>
      <c r="CG69" s="426"/>
      <c r="CH69" s="426"/>
      <c r="CI69" s="426"/>
      <c r="CJ69" s="426"/>
      <c r="CK69" s="426"/>
      <c r="CL69" s="426"/>
      <c r="CM69" s="426"/>
      <c r="CN69" s="426"/>
      <c r="CO69" s="426"/>
      <c r="CP69" s="426"/>
      <c r="CQ69" s="426"/>
      <c r="CR69" s="426"/>
      <c r="CS69" s="426"/>
      <c r="CT69" s="426"/>
      <c r="CU69" s="426"/>
      <c r="CV69" s="426"/>
      <c r="CW69" s="426"/>
      <c r="CX69" s="426"/>
      <c r="CY69" s="426"/>
      <c r="CZ69" s="426"/>
      <c r="DA69" s="426"/>
      <c r="DB69" s="426"/>
      <c r="DC69" s="426"/>
      <c r="DD69" s="426"/>
      <c r="DE69" s="426"/>
      <c r="DF69" s="426"/>
      <c r="DG69" s="426"/>
      <c r="DH69" s="426"/>
      <c r="DI69" s="426"/>
      <c r="DJ69" s="426"/>
      <c r="DK69" s="426"/>
      <c r="DL69" s="426"/>
      <c r="DM69" s="426"/>
      <c r="DN69" s="426"/>
      <c r="DO69" s="426"/>
      <c r="DP69" s="426"/>
      <c r="DQ69" s="426"/>
      <c r="DR69" s="426"/>
      <c r="DS69" s="426"/>
      <c r="DT69" s="426"/>
      <c r="DU69" s="426"/>
      <c r="DV69" s="426"/>
      <c r="DW69" s="426"/>
      <c r="DX69" s="426"/>
      <c r="DY69" s="426"/>
      <c r="DZ69" s="426"/>
      <c r="EA69" s="426"/>
      <c r="EB69" s="426"/>
      <c r="EC69" s="426"/>
      <c r="ED69" s="426"/>
      <c r="EE69" s="426"/>
      <c r="EF69" s="426"/>
      <c r="EG69" s="426"/>
      <c r="EH69" s="426"/>
      <c r="EI69" s="426"/>
      <c r="EJ69" s="426"/>
      <c r="EK69" s="426"/>
      <c r="EL69" s="426"/>
      <c r="EM69" s="426"/>
      <c r="EN69" s="426"/>
      <c r="EO69" s="426"/>
      <c r="EP69" s="426"/>
      <c r="EQ69" s="426"/>
      <c r="ER69" s="426"/>
      <c r="ES69" s="426"/>
      <c r="ET69" s="426"/>
      <c r="EU69" s="426"/>
      <c r="EV69" s="426"/>
      <c r="EW69" s="426"/>
      <c r="EX69" s="426"/>
      <c r="EY69" s="426"/>
      <c r="EZ69" s="426"/>
      <c r="FA69" s="426"/>
      <c r="FB69" s="426"/>
      <c r="FC69" s="426"/>
      <c r="FD69" s="426"/>
      <c r="FE69" s="426"/>
      <c r="FF69" s="426"/>
      <c r="FG69" s="426"/>
      <c r="FH69" s="426"/>
      <c r="FI69" s="426"/>
      <c r="FJ69" s="426"/>
      <c r="FK69" s="426"/>
      <c r="FL69" s="426"/>
      <c r="FM69" s="426"/>
      <c r="FN69" s="426"/>
      <c r="FO69" s="426"/>
      <c r="FP69" s="426"/>
      <c r="FQ69" s="426"/>
      <c r="FR69" s="426"/>
      <c r="FS69" s="426"/>
      <c r="FT69" s="426"/>
      <c r="FU69" s="426"/>
      <c r="FV69" s="426"/>
      <c r="FW69" s="426"/>
      <c r="FX69" s="426"/>
      <c r="FY69" s="426"/>
      <c r="FZ69" s="426"/>
      <c r="GA69" s="426"/>
      <c r="GB69" s="426"/>
      <c r="GC69" s="426"/>
      <c r="GD69" s="426"/>
      <c r="GE69" s="426"/>
      <c r="GF69" s="426"/>
      <c r="GG69" s="426"/>
      <c r="GH69" s="426"/>
      <c r="GI69" s="426"/>
      <c r="GJ69" s="426"/>
      <c r="GK69" s="426"/>
      <c r="GL69" s="426"/>
      <c r="GM69" s="426"/>
      <c r="GN69" s="426"/>
      <c r="GO69" s="426"/>
      <c r="GP69" s="426"/>
      <c r="GQ69" s="426"/>
      <c r="GR69" s="426"/>
      <c r="GS69" s="426"/>
      <c r="GT69" s="426"/>
      <c r="GU69" s="426"/>
      <c r="GV69" s="426"/>
      <c r="GW69" s="426"/>
      <c r="GX69" s="426"/>
      <c r="GY69" s="426"/>
      <c r="GZ69" s="426"/>
      <c r="HA69" s="426"/>
      <c r="HB69" s="426"/>
      <c r="HC69" s="426"/>
      <c r="HD69" s="426"/>
      <c r="HE69" s="426"/>
      <c r="HF69" s="426"/>
      <c r="HG69" s="426"/>
      <c r="HH69" s="426"/>
      <c r="HI69" s="426"/>
      <c r="HJ69" s="426"/>
      <c r="HK69" s="426"/>
      <c r="HL69" s="426"/>
      <c r="HM69" s="426"/>
      <c r="HN69" s="426"/>
      <c r="HO69" s="426"/>
      <c r="HP69" s="426"/>
      <c r="HQ69" s="426"/>
      <c r="HR69" s="426"/>
      <c r="HS69" s="426"/>
      <c r="HT69" s="426"/>
      <c r="HU69" s="426"/>
      <c r="HV69" s="426"/>
      <c r="HW69" s="426"/>
      <c r="HX69" s="426"/>
      <c r="HY69" s="426"/>
      <c r="HZ69" s="426"/>
      <c r="IA69" s="426"/>
      <c r="IB69" s="426"/>
      <c r="IC69" s="426"/>
      <c r="ID69" s="426"/>
      <c r="IE69" s="426"/>
      <c r="IF69" s="426"/>
      <c r="IG69" s="426"/>
      <c r="IH69" s="426"/>
      <c r="II69" s="426"/>
      <c r="IJ69" s="426"/>
      <c r="IK69" s="426"/>
      <c r="IL69" s="426"/>
      <c r="IM69" s="426"/>
      <c r="IN69" s="426"/>
      <c r="IO69" s="426"/>
      <c r="IP69" s="426"/>
      <c r="IQ69" s="426"/>
      <c r="IR69" s="426"/>
      <c r="IS69" s="426"/>
      <c r="IT69" s="426"/>
    </row>
    <row r="70" spans="1:254" s="426" customFormat="1">
      <c r="A70" s="382"/>
      <c r="B70" s="443"/>
      <c r="C70" s="427"/>
      <c r="D70" s="427"/>
      <c r="E70" s="1230"/>
      <c r="F70" s="934"/>
      <c r="G70" s="369"/>
    </row>
    <row r="71" spans="1:254" s="426" customFormat="1">
      <c r="A71" s="382" t="s">
        <v>1909</v>
      </c>
      <c r="B71" s="372"/>
      <c r="C71" s="382"/>
      <c r="D71" s="382"/>
      <c r="E71" s="1227"/>
      <c r="F71" s="934"/>
      <c r="G71" s="369"/>
    </row>
    <row r="72" spans="1:254" s="426" customFormat="1" ht="26.4">
      <c r="A72" s="382"/>
      <c r="B72" s="372" t="s">
        <v>1910</v>
      </c>
      <c r="C72" s="382"/>
      <c r="D72" s="382"/>
      <c r="E72" s="1227"/>
      <c r="F72" s="934"/>
      <c r="G72" s="369"/>
    </row>
    <row r="73" spans="1:254" s="426" customFormat="1" ht="16.5" customHeight="1">
      <c r="A73" s="382"/>
      <c r="B73" s="372"/>
      <c r="C73" s="382"/>
      <c r="D73" s="382"/>
      <c r="E73" s="1227"/>
      <c r="F73" s="934"/>
      <c r="G73" s="369"/>
    </row>
    <row r="74" spans="1:254" s="381" customFormat="1">
      <c r="A74" s="382"/>
      <c r="B74" s="372" t="s">
        <v>1911</v>
      </c>
      <c r="C74" s="382" t="s">
        <v>1818</v>
      </c>
      <c r="D74" s="441">
        <f>D69</f>
        <v>17</v>
      </c>
      <c r="E74" s="1338">
        <v>50</v>
      </c>
      <c r="F74" s="912">
        <f>D74*E74</f>
        <v>850</v>
      </c>
      <c r="G74" s="369"/>
      <c r="H74" s="426"/>
      <c r="I74" s="426"/>
      <c r="J74" s="426"/>
      <c r="K74" s="426"/>
      <c r="L74" s="426"/>
      <c r="M74" s="426"/>
      <c r="N74" s="426"/>
      <c r="O74" s="426"/>
      <c r="P74" s="426"/>
      <c r="Q74" s="426"/>
      <c r="R74" s="426"/>
      <c r="S74" s="426"/>
      <c r="T74" s="426"/>
      <c r="U74" s="426"/>
      <c r="V74" s="426"/>
      <c r="W74" s="426"/>
      <c r="X74" s="426"/>
      <c r="Y74" s="426"/>
      <c r="Z74" s="426"/>
      <c r="AA74" s="426"/>
      <c r="AB74" s="426"/>
      <c r="AC74" s="426"/>
      <c r="AD74" s="426"/>
      <c r="AE74" s="426"/>
      <c r="AF74" s="426"/>
      <c r="AG74" s="426"/>
      <c r="AH74" s="426"/>
      <c r="AI74" s="426"/>
      <c r="AJ74" s="426"/>
      <c r="AK74" s="426"/>
      <c r="AL74" s="426"/>
      <c r="AM74" s="426"/>
      <c r="AN74" s="426"/>
      <c r="AO74" s="426"/>
      <c r="AP74" s="426"/>
      <c r="AQ74" s="426"/>
      <c r="AR74" s="426"/>
      <c r="AS74" s="426"/>
      <c r="AT74" s="426"/>
      <c r="AU74" s="426"/>
      <c r="AV74" s="426"/>
      <c r="AW74" s="426"/>
      <c r="AX74" s="426"/>
      <c r="AY74" s="426"/>
      <c r="AZ74" s="426"/>
      <c r="BA74" s="426"/>
      <c r="BB74" s="426"/>
      <c r="BC74" s="426"/>
      <c r="BD74" s="426"/>
      <c r="BE74" s="426"/>
      <c r="BF74" s="426"/>
      <c r="BG74" s="426"/>
      <c r="BH74" s="426"/>
      <c r="BI74" s="426"/>
      <c r="BJ74" s="426"/>
      <c r="BK74" s="426"/>
      <c r="BL74" s="426"/>
      <c r="BM74" s="426"/>
      <c r="BN74" s="426"/>
      <c r="BO74" s="426"/>
      <c r="BP74" s="426"/>
      <c r="BQ74" s="426"/>
      <c r="BR74" s="426"/>
      <c r="BS74" s="426"/>
      <c r="BT74" s="426"/>
      <c r="BU74" s="426"/>
      <c r="BV74" s="426"/>
      <c r="BW74" s="426"/>
      <c r="BX74" s="426"/>
      <c r="BY74" s="426"/>
      <c r="BZ74" s="426"/>
      <c r="CA74" s="426"/>
      <c r="CB74" s="426"/>
      <c r="CC74" s="426"/>
      <c r="CD74" s="426"/>
      <c r="CE74" s="426"/>
      <c r="CF74" s="426"/>
      <c r="CG74" s="426"/>
      <c r="CH74" s="426"/>
      <c r="CI74" s="426"/>
      <c r="CJ74" s="426"/>
      <c r="CK74" s="426"/>
      <c r="CL74" s="426"/>
      <c r="CM74" s="426"/>
      <c r="CN74" s="426"/>
      <c r="CO74" s="426"/>
      <c r="CP74" s="426"/>
      <c r="CQ74" s="426"/>
      <c r="CR74" s="426"/>
      <c r="CS74" s="426"/>
      <c r="CT74" s="426"/>
      <c r="CU74" s="426"/>
      <c r="CV74" s="426"/>
      <c r="CW74" s="426"/>
      <c r="CX74" s="426"/>
      <c r="CY74" s="426"/>
      <c r="CZ74" s="426"/>
      <c r="DA74" s="426"/>
      <c r="DB74" s="426"/>
      <c r="DC74" s="426"/>
      <c r="DD74" s="426"/>
      <c r="DE74" s="426"/>
      <c r="DF74" s="426"/>
      <c r="DG74" s="426"/>
      <c r="DH74" s="426"/>
      <c r="DI74" s="426"/>
      <c r="DJ74" s="426"/>
      <c r="DK74" s="426"/>
      <c r="DL74" s="426"/>
      <c r="DM74" s="426"/>
      <c r="DN74" s="426"/>
      <c r="DO74" s="426"/>
      <c r="DP74" s="426"/>
      <c r="DQ74" s="426"/>
      <c r="DR74" s="426"/>
      <c r="DS74" s="426"/>
      <c r="DT74" s="426"/>
      <c r="DU74" s="426"/>
      <c r="DV74" s="426"/>
      <c r="DW74" s="426"/>
      <c r="DX74" s="426"/>
      <c r="DY74" s="426"/>
      <c r="DZ74" s="426"/>
      <c r="EA74" s="426"/>
      <c r="EB74" s="426"/>
      <c r="EC74" s="426"/>
      <c r="ED74" s="426"/>
      <c r="EE74" s="426"/>
      <c r="EF74" s="426"/>
      <c r="EG74" s="426"/>
      <c r="EH74" s="426"/>
      <c r="EI74" s="426"/>
      <c r="EJ74" s="426"/>
      <c r="EK74" s="426"/>
      <c r="EL74" s="426"/>
      <c r="EM74" s="426"/>
      <c r="EN74" s="426"/>
      <c r="EO74" s="426"/>
      <c r="EP74" s="426"/>
      <c r="EQ74" s="426"/>
      <c r="ER74" s="426"/>
      <c r="ES74" s="426"/>
      <c r="ET74" s="426"/>
      <c r="EU74" s="426"/>
      <c r="EV74" s="426"/>
      <c r="EW74" s="426"/>
      <c r="EX74" s="426"/>
      <c r="EY74" s="426"/>
      <c r="EZ74" s="426"/>
      <c r="FA74" s="426"/>
      <c r="FB74" s="426"/>
      <c r="FC74" s="426"/>
      <c r="FD74" s="426"/>
      <c r="FE74" s="426"/>
      <c r="FF74" s="426"/>
      <c r="FG74" s="426"/>
      <c r="FH74" s="426"/>
      <c r="FI74" s="426"/>
      <c r="FJ74" s="426"/>
      <c r="FK74" s="426"/>
      <c r="FL74" s="426"/>
      <c r="FM74" s="426"/>
      <c r="FN74" s="426"/>
      <c r="FO74" s="426"/>
      <c r="FP74" s="426"/>
      <c r="FQ74" s="426"/>
      <c r="FR74" s="426"/>
      <c r="FS74" s="426"/>
      <c r="FT74" s="426"/>
      <c r="FU74" s="426"/>
      <c r="FV74" s="426"/>
      <c r="FW74" s="426"/>
      <c r="FX74" s="426"/>
      <c r="FY74" s="426"/>
      <c r="FZ74" s="426"/>
      <c r="GA74" s="426"/>
      <c r="GB74" s="426"/>
      <c r="GC74" s="426"/>
      <c r="GD74" s="426"/>
      <c r="GE74" s="426"/>
      <c r="GF74" s="426"/>
      <c r="GG74" s="426"/>
      <c r="GH74" s="426"/>
      <c r="GI74" s="426"/>
      <c r="GJ74" s="426"/>
      <c r="GK74" s="426"/>
      <c r="GL74" s="426"/>
      <c r="GM74" s="426"/>
      <c r="GN74" s="426"/>
      <c r="GO74" s="426"/>
      <c r="GP74" s="426"/>
      <c r="GQ74" s="426"/>
      <c r="GR74" s="426"/>
      <c r="GS74" s="426"/>
      <c r="GT74" s="426"/>
      <c r="GU74" s="426"/>
      <c r="GV74" s="426"/>
      <c r="GW74" s="426"/>
      <c r="GX74" s="426"/>
      <c r="GY74" s="426"/>
      <c r="GZ74" s="426"/>
      <c r="HA74" s="426"/>
      <c r="HB74" s="426"/>
      <c r="HC74" s="426"/>
      <c r="HD74" s="426"/>
      <c r="HE74" s="426"/>
      <c r="HF74" s="426"/>
      <c r="HG74" s="426"/>
      <c r="HH74" s="426"/>
      <c r="HI74" s="426"/>
      <c r="HJ74" s="426"/>
      <c r="HK74" s="426"/>
      <c r="HL74" s="426"/>
      <c r="HM74" s="426"/>
      <c r="HN74" s="426"/>
      <c r="HO74" s="426"/>
      <c r="HP74" s="426"/>
      <c r="HQ74" s="426"/>
      <c r="HR74" s="426"/>
      <c r="HS74" s="426"/>
      <c r="HT74" s="426"/>
      <c r="HU74" s="426"/>
      <c r="HV74" s="426"/>
      <c r="HW74" s="426"/>
      <c r="HX74" s="426"/>
      <c r="HY74" s="426"/>
      <c r="HZ74" s="426"/>
      <c r="IA74" s="426"/>
      <c r="IB74" s="426"/>
      <c r="IC74" s="426"/>
      <c r="ID74" s="426"/>
      <c r="IE74" s="426"/>
      <c r="IF74" s="426"/>
      <c r="IG74" s="426"/>
      <c r="IH74" s="426"/>
      <c r="II74" s="426"/>
      <c r="IJ74" s="426"/>
      <c r="IK74" s="426"/>
      <c r="IL74" s="426"/>
      <c r="IM74" s="426"/>
      <c r="IN74" s="426"/>
      <c r="IO74" s="426"/>
      <c r="IP74" s="426"/>
      <c r="IQ74" s="426"/>
      <c r="IR74" s="426"/>
      <c r="IS74" s="426"/>
      <c r="IT74" s="426"/>
    </row>
    <row r="75" spans="1:254" s="381" customFormat="1" ht="15.75" customHeight="1">
      <c r="A75" s="382"/>
      <c r="B75" s="372"/>
      <c r="C75" s="382"/>
      <c r="D75" s="382"/>
      <c r="E75" s="1227"/>
      <c r="F75" s="934"/>
      <c r="G75" s="369"/>
      <c r="H75" s="426"/>
      <c r="I75" s="426"/>
      <c r="J75" s="426"/>
      <c r="K75" s="426"/>
      <c r="L75" s="426"/>
      <c r="M75" s="426"/>
      <c r="N75" s="426"/>
      <c r="O75" s="426"/>
      <c r="P75" s="426"/>
      <c r="Q75" s="426"/>
      <c r="R75" s="426"/>
      <c r="S75" s="426"/>
      <c r="T75" s="426"/>
      <c r="U75" s="426"/>
      <c r="V75" s="426"/>
      <c r="W75" s="426"/>
      <c r="X75" s="426"/>
      <c r="Y75" s="426"/>
      <c r="Z75" s="426"/>
      <c r="AA75" s="426"/>
      <c r="AB75" s="426"/>
      <c r="AC75" s="426"/>
      <c r="AD75" s="426"/>
      <c r="AE75" s="426"/>
      <c r="AF75" s="426"/>
      <c r="AG75" s="426"/>
      <c r="AH75" s="426"/>
      <c r="AI75" s="426"/>
      <c r="AJ75" s="426"/>
      <c r="AK75" s="426"/>
      <c r="AL75" s="426"/>
      <c r="AM75" s="426"/>
      <c r="AN75" s="426"/>
      <c r="AO75" s="426"/>
      <c r="AP75" s="426"/>
      <c r="AQ75" s="426"/>
      <c r="AR75" s="426"/>
      <c r="AS75" s="426"/>
      <c r="AT75" s="426"/>
      <c r="AU75" s="426"/>
      <c r="AV75" s="426"/>
      <c r="AW75" s="426"/>
      <c r="AX75" s="426"/>
      <c r="AY75" s="426"/>
      <c r="AZ75" s="426"/>
      <c r="BA75" s="426"/>
      <c r="BB75" s="426"/>
      <c r="BC75" s="426"/>
      <c r="BD75" s="426"/>
      <c r="BE75" s="426"/>
      <c r="BF75" s="426"/>
      <c r="BG75" s="426"/>
      <c r="BH75" s="426"/>
      <c r="BI75" s="426"/>
      <c r="BJ75" s="426"/>
      <c r="BK75" s="426"/>
      <c r="BL75" s="426"/>
      <c r="BM75" s="426"/>
      <c r="BN75" s="426"/>
      <c r="BO75" s="426"/>
      <c r="BP75" s="426"/>
      <c r="BQ75" s="426"/>
      <c r="BR75" s="426"/>
      <c r="BS75" s="426"/>
      <c r="BT75" s="426"/>
      <c r="BU75" s="426"/>
      <c r="BV75" s="426"/>
      <c r="BW75" s="426"/>
      <c r="BX75" s="426"/>
      <c r="BY75" s="426"/>
      <c r="BZ75" s="426"/>
      <c r="CA75" s="426"/>
      <c r="CB75" s="426"/>
      <c r="CC75" s="426"/>
      <c r="CD75" s="426"/>
      <c r="CE75" s="426"/>
      <c r="CF75" s="426"/>
      <c r="CG75" s="426"/>
      <c r="CH75" s="426"/>
      <c r="CI75" s="426"/>
      <c r="CJ75" s="426"/>
      <c r="CK75" s="426"/>
      <c r="CL75" s="426"/>
      <c r="CM75" s="426"/>
      <c r="CN75" s="426"/>
      <c r="CO75" s="426"/>
      <c r="CP75" s="426"/>
      <c r="CQ75" s="426"/>
      <c r="CR75" s="426"/>
      <c r="CS75" s="426"/>
      <c r="CT75" s="426"/>
      <c r="CU75" s="426"/>
      <c r="CV75" s="426"/>
      <c r="CW75" s="426"/>
      <c r="CX75" s="426"/>
      <c r="CY75" s="426"/>
      <c r="CZ75" s="426"/>
      <c r="DA75" s="426"/>
      <c r="DB75" s="426"/>
      <c r="DC75" s="426"/>
      <c r="DD75" s="426"/>
      <c r="DE75" s="426"/>
      <c r="DF75" s="426"/>
      <c r="DG75" s="426"/>
      <c r="DH75" s="426"/>
      <c r="DI75" s="426"/>
      <c r="DJ75" s="426"/>
      <c r="DK75" s="426"/>
      <c r="DL75" s="426"/>
      <c r="DM75" s="426"/>
      <c r="DN75" s="426"/>
      <c r="DO75" s="426"/>
      <c r="DP75" s="426"/>
      <c r="DQ75" s="426"/>
      <c r="DR75" s="426"/>
      <c r="DS75" s="426"/>
      <c r="DT75" s="426"/>
      <c r="DU75" s="426"/>
      <c r="DV75" s="426"/>
      <c r="DW75" s="426"/>
      <c r="DX75" s="426"/>
      <c r="DY75" s="426"/>
      <c r="DZ75" s="426"/>
      <c r="EA75" s="426"/>
      <c r="EB75" s="426"/>
      <c r="EC75" s="426"/>
      <c r="ED75" s="426"/>
      <c r="EE75" s="426"/>
      <c r="EF75" s="426"/>
      <c r="EG75" s="426"/>
      <c r="EH75" s="426"/>
      <c r="EI75" s="426"/>
      <c r="EJ75" s="426"/>
      <c r="EK75" s="426"/>
      <c r="EL75" s="426"/>
      <c r="EM75" s="426"/>
      <c r="EN75" s="426"/>
      <c r="EO75" s="426"/>
      <c r="EP75" s="426"/>
      <c r="EQ75" s="426"/>
      <c r="ER75" s="426"/>
      <c r="ES75" s="426"/>
      <c r="ET75" s="426"/>
      <c r="EU75" s="426"/>
      <c r="EV75" s="426"/>
      <c r="EW75" s="426"/>
      <c r="EX75" s="426"/>
      <c r="EY75" s="426"/>
      <c r="EZ75" s="426"/>
      <c r="FA75" s="426"/>
      <c r="FB75" s="426"/>
      <c r="FC75" s="426"/>
      <c r="FD75" s="426"/>
      <c r="FE75" s="426"/>
      <c r="FF75" s="426"/>
      <c r="FG75" s="426"/>
      <c r="FH75" s="426"/>
      <c r="FI75" s="426"/>
      <c r="FJ75" s="426"/>
      <c r="FK75" s="426"/>
      <c r="FL75" s="426"/>
      <c r="FM75" s="426"/>
      <c r="FN75" s="426"/>
      <c r="FO75" s="426"/>
      <c r="FP75" s="426"/>
      <c r="FQ75" s="426"/>
      <c r="FR75" s="426"/>
      <c r="FS75" s="426"/>
      <c r="FT75" s="426"/>
      <c r="FU75" s="426"/>
      <c r="FV75" s="426"/>
      <c r="FW75" s="426"/>
      <c r="FX75" s="426"/>
      <c r="FY75" s="426"/>
      <c r="FZ75" s="426"/>
      <c r="GA75" s="426"/>
      <c r="GB75" s="426"/>
      <c r="GC75" s="426"/>
      <c r="GD75" s="426"/>
      <c r="GE75" s="426"/>
      <c r="GF75" s="426"/>
      <c r="GG75" s="426"/>
      <c r="GH75" s="426"/>
      <c r="GI75" s="426"/>
      <c r="GJ75" s="426"/>
      <c r="GK75" s="426"/>
      <c r="GL75" s="426"/>
      <c r="GM75" s="426"/>
      <c r="GN75" s="426"/>
      <c r="GO75" s="426"/>
      <c r="GP75" s="426"/>
      <c r="GQ75" s="426"/>
      <c r="GR75" s="426"/>
      <c r="GS75" s="426"/>
      <c r="GT75" s="426"/>
      <c r="GU75" s="426"/>
      <c r="GV75" s="426"/>
      <c r="GW75" s="426"/>
      <c r="GX75" s="426"/>
      <c r="GY75" s="426"/>
      <c r="GZ75" s="426"/>
      <c r="HA75" s="426"/>
      <c r="HB75" s="426"/>
      <c r="HC75" s="426"/>
      <c r="HD75" s="426"/>
      <c r="HE75" s="426"/>
      <c r="HF75" s="426"/>
      <c r="HG75" s="426"/>
      <c r="HH75" s="426"/>
      <c r="HI75" s="426"/>
      <c r="HJ75" s="426"/>
      <c r="HK75" s="426"/>
      <c r="HL75" s="426"/>
      <c r="HM75" s="426"/>
      <c r="HN75" s="426"/>
      <c r="HO75" s="426"/>
      <c r="HP75" s="426"/>
      <c r="HQ75" s="426"/>
      <c r="HR75" s="426"/>
      <c r="HS75" s="426"/>
      <c r="HT75" s="426"/>
      <c r="HU75" s="426"/>
      <c r="HV75" s="426"/>
      <c r="HW75" s="426"/>
      <c r="HX75" s="426"/>
      <c r="HY75" s="426"/>
      <c r="HZ75" s="426"/>
      <c r="IA75" s="426"/>
      <c r="IB75" s="426"/>
      <c r="IC75" s="426"/>
      <c r="ID75" s="426"/>
      <c r="IE75" s="426"/>
      <c r="IF75" s="426"/>
      <c r="IG75" s="426"/>
      <c r="IH75" s="426"/>
      <c r="II75" s="426"/>
      <c r="IJ75" s="426"/>
      <c r="IK75" s="426"/>
      <c r="IL75" s="426"/>
      <c r="IM75" s="426"/>
      <c r="IN75" s="426"/>
      <c r="IO75" s="426"/>
      <c r="IP75" s="426"/>
      <c r="IQ75" s="426"/>
      <c r="IR75" s="426"/>
      <c r="IS75" s="426"/>
      <c r="IT75" s="426"/>
    </row>
    <row r="76" spans="1:254" s="381" customFormat="1">
      <c r="A76" s="382" t="s">
        <v>1912</v>
      </c>
      <c r="B76" s="372"/>
      <c r="C76" s="382"/>
      <c r="D76" s="382"/>
      <c r="E76" s="1227"/>
      <c r="F76" s="934"/>
      <c r="G76" s="369"/>
      <c r="H76" s="426"/>
      <c r="I76" s="426"/>
      <c r="J76" s="426"/>
      <c r="K76" s="426"/>
      <c r="L76" s="426"/>
      <c r="M76" s="426"/>
      <c r="N76" s="426"/>
      <c r="O76" s="426"/>
      <c r="P76" s="426"/>
      <c r="Q76" s="426"/>
      <c r="R76" s="426"/>
      <c r="S76" s="426"/>
      <c r="T76" s="426"/>
      <c r="U76" s="426"/>
      <c r="V76" s="426"/>
      <c r="W76" s="426"/>
      <c r="X76" s="426"/>
      <c r="Y76" s="426"/>
      <c r="Z76" s="426"/>
      <c r="AA76" s="426"/>
      <c r="AB76" s="426"/>
      <c r="AC76" s="426"/>
      <c r="AD76" s="426"/>
      <c r="AE76" s="426"/>
      <c r="AF76" s="426"/>
      <c r="AG76" s="426"/>
      <c r="AH76" s="426"/>
      <c r="AI76" s="426"/>
      <c r="AJ76" s="426"/>
      <c r="AK76" s="426"/>
      <c r="AL76" s="426"/>
      <c r="AM76" s="426"/>
      <c r="AN76" s="426"/>
      <c r="AO76" s="426"/>
      <c r="AP76" s="426"/>
      <c r="AQ76" s="426"/>
      <c r="AR76" s="426"/>
      <c r="AS76" s="426"/>
      <c r="AT76" s="426"/>
      <c r="AU76" s="426"/>
      <c r="AV76" s="426"/>
      <c r="AW76" s="426"/>
      <c r="AX76" s="426"/>
      <c r="AY76" s="426"/>
      <c r="AZ76" s="426"/>
      <c r="BA76" s="426"/>
      <c r="BB76" s="426"/>
      <c r="BC76" s="426"/>
      <c r="BD76" s="426"/>
      <c r="BE76" s="426"/>
      <c r="BF76" s="426"/>
      <c r="BG76" s="426"/>
      <c r="BH76" s="426"/>
      <c r="BI76" s="426"/>
      <c r="BJ76" s="426"/>
      <c r="BK76" s="426"/>
      <c r="BL76" s="426"/>
      <c r="BM76" s="426"/>
      <c r="BN76" s="426"/>
      <c r="BO76" s="426"/>
      <c r="BP76" s="426"/>
      <c r="BQ76" s="426"/>
      <c r="BR76" s="426"/>
      <c r="BS76" s="426"/>
      <c r="BT76" s="426"/>
      <c r="BU76" s="426"/>
      <c r="BV76" s="426"/>
      <c r="BW76" s="426"/>
      <c r="BX76" s="426"/>
      <c r="BY76" s="426"/>
      <c r="BZ76" s="426"/>
      <c r="CA76" s="426"/>
      <c r="CB76" s="426"/>
      <c r="CC76" s="426"/>
      <c r="CD76" s="426"/>
      <c r="CE76" s="426"/>
      <c r="CF76" s="426"/>
      <c r="CG76" s="426"/>
      <c r="CH76" s="426"/>
      <c r="CI76" s="426"/>
      <c r="CJ76" s="426"/>
      <c r="CK76" s="426"/>
      <c r="CL76" s="426"/>
      <c r="CM76" s="426"/>
      <c r="CN76" s="426"/>
      <c r="CO76" s="426"/>
      <c r="CP76" s="426"/>
      <c r="CQ76" s="426"/>
      <c r="CR76" s="426"/>
      <c r="CS76" s="426"/>
      <c r="CT76" s="426"/>
      <c r="CU76" s="426"/>
      <c r="CV76" s="426"/>
      <c r="CW76" s="426"/>
      <c r="CX76" s="426"/>
      <c r="CY76" s="426"/>
      <c r="CZ76" s="426"/>
      <c r="DA76" s="426"/>
      <c r="DB76" s="426"/>
      <c r="DC76" s="426"/>
      <c r="DD76" s="426"/>
      <c r="DE76" s="426"/>
      <c r="DF76" s="426"/>
      <c r="DG76" s="426"/>
      <c r="DH76" s="426"/>
      <c r="DI76" s="426"/>
      <c r="DJ76" s="426"/>
      <c r="DK76" s="426"/>
      <c r="DL76" s="426"/>
      <c r="DM76" s="426"/>
      <c r="DN76" s="426"/>
      <c r="DO76" s="426"/>
      <c r="DP76" s="426"/>
      <c r="DQ76" s="426"/>
      <c r="DR76" s="426"/>
      <c r="DS76" s="426"/>
      <c r="DT76" s="426"/>
      <c r="DU76" s="426"/>
      <c r="DV76" s="426"/>
      <c r="DW76" s="426"/>
      <c r="DX76" s="426"/>
      <c r="DY76" s="426"/>
      <c r="DZ76" s="426"/>
      <c r="EA76" s="426"/>
      <c r="EB76" s="426"/>
      <c r="EC76" s="426"/>
      <c r="ED76" s="426"/>
      <c r="EE76" s="426"/>
      <c r="EF76" s="426"/>
      <c r="EG76" s="426"/>
      <c r="EH76" s="426"/>
      <c r="EI76" s="426"/>
      <c r="EJ76" s="426"/>
      <c r="EK76" s="426"/>
      <c r="EL76" s="426"/>
      <c r="EM76" s="426"/>
      <c r="EN76" s="426"/>
      <c r="EO76" s="426"/>
      <c r="EP76" s="426"/>
      <c r="EQ76" s="426"/>
      <c r="ER76" s="426"/>
      <c r="ES76" s="426"/>
      <c r="ET76" s="426"/>
      <c r="EU76" s="426"/>
      <c r="EV76" s="426"/>
      <c r="EW76" s="426"/>
      <c r="EX76" s="426"/>
      <c r="EY76" s="426"/>
      <c r="EZ76" s="426"/>
      <c r="FA76" s="426"/>
      <c r="FB76" s="426"/>
      <c r="FC76" s="426"/>
      <c r="FD76" s="426"/>
      <c r="FE76" s="426"/>
      <c r="FF76" s="426"/>
      <c r="FG76" s="426"/>
      <c r="FH76" s="426"/>
      <c r="FI76" s="426"/>
      <c r="FJ76" s="426"/>
      <c r="FK76" s="426"/>
      <c r="FL76" s="426"/>
      <c r="FM76" s="426"/>
      <c r="FN76" s="426"/>
      <c r="FO76" s="426"/>
      <c r="FP76" s="426"/>
      <c r="FQ76" s="426"/>
      <c r="FR76" s="426"/>
      <c r="FS76" s="426"/>
      <c r="FT76" s="426"/>
      <c r="FU76" s="426"/>
      <c r="FV76" s="426"/>
      <c r="FW76" s="426"/>
      <c r="FX76" s="426"/>
      <c r="FY76" s="426"/>
      <c r="FZ76" s="426"/>
      <c r="GA76" s="426"/>
      <c r="GB76" s="426"/>
      <c r="GC76" s="426"/>
      <c r="GD76" s="426"/>
      <c r="GE76" s="426"/>
      <c r="GF76" s="426"/>
      <c r="GG76" s="426"/>
      <c r="GH76" s="426"/>
      <c r="GI76" s="426"/>
      <c r="GJ76" s="426"/>
      <c r="GK76" s="426"/>
      <c r="GL76" s="426"/>
      <c r="GM76" s="426"/>
      <c r="GN76" s="426"/>
      <c r="GO76" s="426"/>
      <c r="GP76" s="426"/>
      <c r="GQ76" s="426"/>
      <c r="GR76" s="426"/>
      <c r="GS76" s="426"/>
      <c r="GT76" s="426"/>
      <c r="GU76" s="426"/>
      <c r="GV76" s="426"/>
      <c r="GW76" s="426"/>
      <c r="GX76" s="426"/>
      <c r="GY76" s="426"/>
      <c r="GZ76" s="426"/>
      <c r="HA76" s="426"/>
      <c r="HB76" s="426"/>
      <c r="HC76" s="426"/>
      <c r="HD76" s="426"/>
      <c r="HE76" s="426"/>
      <c r="HF76" s="426"/>
      <c r="HG76" s="426"/>
      <c r="HH76" s="426"/>
      <c r="HI76" s="426"/>
      <c r="HJ76" s="426"/>
      <c r="HK76" s="426"/>
      <c r="HL76" s="426"/>
      <c r="HM76" s="426"/>
      <c r="HN76" s="426"/>
      <c r="HO76" s="426"/>
      <c r="HP76" s="426"/>
      <c r="HQ76" s="426"/>
      <c r="HR76" s="426"/>
      <c r="HS76" s="426"/>
      <c r="HT76" s="426"/>
      <c r="HU76" s="426"/>
      <c r="HV76" s="426"/>
      <c r="HW76" s="426"/>
      <c r="HX76" s="426"/>
      <c r="HY76" s="426"/>
      <c r="HZ76" s="426"/>
      <c r="IA76" s="426"/>
      <c r="IB76" s="426"/>
      <c r="IC76" s="426"/>
      <c r="ID76" s="426"/>
      <c r="IE76" s="426"/>
      <c r="IF76" s="426"/>
      <c r="IG76" s="426"/>
      <c r="IH76" s="426"/>
      <c r="II76" s="426"/>
      <c r="IJ76" s="426"/>
      <c r="IK76" s="426"/>
      <c r="IL76" s="426"/>
      <c r="IM76" s="426"/>
      <c r="IN76" s="426"/>
      <c r="IO76" s="426"/>
      <c r="IP76" s="426"/>
      <c r="IQ76" s="426"/>
      <c r="IR76" s="426"/>
      <c r="IS76" s="426"/>
      <c r="IT76" s="426"/>
    </row>
    <row r="77" spans="1:254" s="446" customFormat="1" ht="14.25" customHeight="1">
      <c r="A77" s="382"/>
      <c r="B77" s="372" t="s">
        <v>1913</v>
      </c>
      <c r="C77" s="382"/>
      <c r="D77" s="382"/>
      <c r="E77" s="1227"/>
      <c r="F77" s="934"/>
      <c r="G77" s="379"/>
      <c r="H77" s="442"/>
      <c r="I77" s="442"/>
      <c r="J77" s="442"/>
      <c r="K77" s="442"/>
      <c r="L77" s="442"/>
      <c r="M77" s="442"/>
      <c r="N77" s="442"/>
      <c r="O77" s="442"/>
      <c r="P77" s="442"/>
      <c r="Q77" s="442"/>
      <c r="R77" s="442"/>
      <c r="S77" s="442"/>
      <c r="T77" s="442"/>
      <c r="U77" s="442"/>
      <c r="V77" s="442"/>
      <c r="W77" s="442"/>
      <c r="X77" s="442"/>
      <c r="Y77" s="442"/>
      <c r="Z77" s="442"/>
      <c r="AA77" s="442"/>
      <c r="AB77" s="442"/>
      <c r="AC77" s="442"/>
      <c r="AD77" s="442"/>
      <c r="AE77" s="442"/>
      <c r="AF77" s="442"/>
      <c r="AG77" s="442"/>
      <c r="AH77" s="442"/>
      <c r="AI77" s="442"/>
      <c r="AJ77" s="442"/>
      <c r="AK77" s="442"/>
      <c r="AL77" s="442"/>
      <c r="AM77" s="442"/>
      <c r="AN77" s="442"/>
      <c r="AO77" s="442"/>
      <c r="AP77" s="442"/>
      <c r="AQ77" s="442"/>
      <c r="AR77" s="442"/>
      <c r="AS77" s="442"/>
      <c r="AT77" s="442"/>
      <c r="AU77" s="442"/>
      <c r="AV77" s="442"/>
      <c r="AW77" s="442"/>
      <c r="AX77" s="442"/>
      <c r="AY77" s="442"/>
      <c r="AZ77" s="442"/>
      <c r="BA77" s="442"/>
      <c r="BB77" s="442"/>
      <c r="BC77" s="442"/>
      <c r="BD77" s="442"/>
      <c r="BE77" s="442"/>
      <c r="BF77" s="442"/>
      <c r="BG77" s="442"/>
      <c r="BH77" s="442"/>
      <c r="BI77" s="442"/>
      <c r="BJ77" s="442"/>
      <c r="BK77" s="442"/>
      <c r="BL77" s="442"/>
      <c r="BM77" s="442"/>
      <c r="BN77" s="442"/>
      <c r="BO77" s="442"/>
      <c r="BP77" s="442"/>
      <c r="BQ77" s="442"/>
      <c r="BR77" s="442"/>
      <c r="BS77" s="442"/>
      <c r="BT77" s="442"/>
      <c r="BU77" s="442"/>
      <c r="BV77" s="442"/>
      <c r="BW77" s="442"/>
      <c r="BX77" s="442"/>
      <c r="BY77" s="442"/>
      <c r="BZ77" s="442"/>
      <c r="CA77" s="442"/>
      <c r="CB77" s="442"/>
      <c r="CC77" s="442"/>
      <c r="CD77" s="442"/>
      <c r="CE77" s="442"/>
      <c r="CF77" s="442"/>
      <c r="CG77" s="442"/>
      <c r="CH77" s="442"/>
      <c r="CI77" s="442"/>
      <c r="CJ77" s="442"/>
      <c r="CK77" s="442"/>
      <c r="CL77" s="442"/>
      <c r="CM77" s="442"/>
      <c r="CN77" s="442"/>
      <c r="CO77" s="442"/>
      <c r="CP77" s="442"/>
      <c r="CQ77" s="442"/>
      <c r="CR77" s="442"/>
      <c r="CS77" s="442"/>
      <c r="CT77" s="442"/>
      <c r="CU77" s="442"/>
      <c r="CV77" s="442"/>
      <c r="CW77" s="442"/>
      <c r="CX77" s="442"/>
      <c r="CY77" s="442"/>
      <c r="CZ77" s="442"/>
      <c r="DA77" s="442"/>
      <c r="DB77" s="442"/>
      <c r="DC77" s="442"/>
      <c r="DD77" s="442"/>
      <c r="DE77" s="442"/>
      <c r="DF77" s="442"/>
      <c r="DG77" s="442"/>
      <c r="DH77" s="442"/>
      <c r="DI77" s="442"/>
      <c r="DJ77" s="442"/>
      <c r="DK77" s="442"/>
      <c r="DL77" s="442"/>
      <c r="DM77" s="442"/>
      <c r="DN77" s="442"/>
      <c r="DO77" s="442"/>
      <c r="DP77" s="442"/>
      <c r="DQ77" s="442"/>
      <c r="DR77" s="442"/>
      <c r="DS77" s="442"/>
      <c r="DT77" s="442"/>
      <c r="DU77" s="442"/>
      <c r="DV77" s="442"/>
      <c r="DW77" s="442"/>
      <c r="DX77" s="442"/>
      <c r="DY77" s="442"/>
      <c r="DZ77" s="442"/>
      <c r="EA77" s="442"/>
      <c r="EB77" s="442"/>
      <c r="EC77" s="442"/>
      <c r="ED77" s="442"/>
      <c r="EE77" s="442"/>
      <c r="EF77" s="442"/>
      <c r="EG77" s="442"/>
      <c r="EH77" s="442"/>
      <c r="EI77" s="442"/>
      <c r="EJ77" s="442"/>
      <c r="EK77" s="442"/>
      <c r="EL77" s="442"/>
      <c r="EM77" s="442"/>
      <c r="EN77" s="442"/>
      <c r="EO77" s="442"/>
      <c r="EP77" s="442"/>
      <c r="EQ77" s="442"/>
      <c r="ER77" s="442"/>
      <c r="ES77" s="442"/>
      <c r="ET77" s="442"/>
      <c r="EU77" s="442"/>
      <c r="EV77" s="442"/>
      <c r="EW77" s="442"/>
      <c r="EX77" s="442"/>
      <c r="EY77" s="442"/>
      <c r="EZ77" s="442"/>
      <c r="FA77" s="442"/>
      <c r="FB77" s="442"/>
      <c r="FC77" s="442"/>
      <c r="FD77" s="442"/>
      <c r="FE77" s="442"/>
      <c r="FF77" s="442"/>
      <c r="FG77" s="442"/>
      <c r="FH77" s="442"/>
      <c r="FI77" s="442"/>
      <c r="FJ77" s="442"/>
      <c r="FK77" s="442"/>
      <c r="FL77" s="442"/>
      <c r="FM77" s="442"/>
      <c r="FN77" s="442"/>
      <c r="FO77" s="442"/>
      <c r="FP77" s="442"/>
      <c r="FQ77" s="442"/>
      <c r="FR77" s="442"/>
      <c r="FS77" s="442"/>
      <c r="FT77" s="442"/>
      <c r="FU77" s="442"/>
      <c r="FV77" s="442"/>
      <c r="FW77" s="442"/>
      <c r="FX77" s="442"/>
      <c r="FY77" s="442"/>
      <c r="FZ77" s="442"/>
      <c r="GA77" s="442"/>
      <c r="GB77" s="442"/>
      <c r="GC77" s="442"/>
      <c r="GD77" s="442"/>
      <c r="GE77" s="442"/>
      <c r="GF77" s="442"/>
      <c r="GG77" s="442"/>
      <c r="GH77" s="442"/>
      <c r="GI77" s="442"/>
      <c r="GJ77" s="442"/>
      <c r="GK77" s="442"/>
      <c r="GL77" s="442"/>
      <c r="GM77" s="442"/>
      <c r="GN77" s="442"/>
      <c r="GO77" s="442"/>
      <c r="GP77" s="442"/>
      <c r="GQ77" s="442"/>
      <c r="GR77" s="442"/>
      <c r="GS77" s="442"/>
      <c r="GT77" s="442"/>
      <c r="GU77" s="442"/>
      <c r="GV77" s="442"/>
      <c r="GW77" s="442"/>
      <c r="GX77" s="442"/>
      <c r="GY77" s="442"/>
      <c r="GZ77" s="442"/>
      <c r="HA77" s="442"/>
      <c r="HB77" s="442"/>
      <c r="HC77" s="442"/>
      <c r="HD77" s="442"/>
      <c r="HE77" s="442"/>
      <c r="HF77" s="442"/>
      <c r="HG77" s="442"/>
      <c r="HH77" s="442"/>
      <c r="HI77" s="442"/>
      <c r="HJ77" s="442"/>
      <c r="HK77" s="442"/>
      <c r="HL77" s="442"/>
      <c r="HM77" s="442"/>
      <c r="HN77" s="442"/>
      <c r="HO77" s="442"/>
      <c r="HP77" s="442"/>
      <c r="HQ77" s="442"/>
      <c r="HR77" s="442"/>
      <c r="HS77" s="442"/>
      <c r="HT77" s="442"/>
      <c r="HU77" s="442"/>
      <c r="HV77" s="442"/>
      <c r="HW77" s="442"/>
      <c r="HX77" s="442"/>
      <c r="HY77" s="442"/>
      <c r="HZ77" s="442"/>
      <c r="IA77" s="442"/>
      <c r="IB77" s="442"/>
      <c r="IC77" s="442"/>
      <c r="ID77" s="442"/>
      <c r="IE77" s="442"/>
      <c r="IF77" s="442"/>
      <c r="IG77" s="442"/>
      <c r="IH77" s="442"/>
      <c r="II77" s="442"/>
      <c r="IJ77" s="442"/>
      <c r="IK77" s="442"/>
      <c r="IL77" s="442"/>
      <c r="IM77" s="442"/>
      <c r="IN77" s="442"/>
      <c r="IO77" s="442"/>
      <c r="IP77" s="442"/>
      <c r="IQ77" s="442"/>
      <c r="IR77" s="442"/>
      <c r="IS77" s="442"/>
      <c r="IT77" s="442"/>
    </row>
    <row r="78" spans="1:254" s="381" customFormat="1" ht="15" customHeight="1">
      <c r="A78" s="382"/>
      <c r="B78" s="372"/>
      <c r="C78" s="382"/>
      <c r="D78" s="382"/>
      <c r="E78" s="1227"/>
      <c r="F78" s="934"/>
      <c r="G78" s="379"/>
      <c r="H78" s="442"/>
      <c r="I78" s="442"/>
      <c r="J78" s="442"/>
      <c r="K78" s="442"/>
      <c r="L78" s="442"/>
      <c r="M78" s="442"/>
      <c r="N78" s="442"/>
      <c r="O78" s="442"/>
      <c r="P78" s="442"/>
      <c r="Q78" s="442"/>
      <c r="R78" s="442"/>
      <c r="S78" s="442"/>
      <c r="T78" s="442"/>
      <c r="U78" s="442"/>
      <c r="V78" s="442"/>
      <c r="W78" s="442"/>
      <c r="X78" s="442"/>
      <c r="Y78" s="442"/>
      <c r="Z78" s="442"/>
      <c r="AA78" s="442"/>
      <c r="AB78" s="442"/>
      <c r="AC78" s="442"/>
      <c r="AD78" s="442"/>
      <c r="AE78" s="442"/>
      <c r="AF78" s="442"/>
      <c r="AG78" s="442"/>
      <c r="AH78" s="442"/>
      <c r="AI78" s="442"/>
      <c r="AJ78" s="442"/>
      <c r="AK78" s="442"/>
      <c r="AL78" s="442"/>
      <c r="AM78" s="442"/>
      <c r="AN78" s="442"/>
      <c r="AO78" s="442"/>
      <c r="AP78" s="442"/>
      <c r="AQ78" s="442"/>
      <c r="AR78" s="442"/>
      <c r="AS78" s="442"/>
      <c r="AT78" s="442"/>
      <c r="AU78" s="442"/>
      <c r="AV78" s="442"/>
      <c r="AW78" s="442"/>
      <c r="AX78" s="442"/>
      <c r="AY78" s="442"/>
      <c r="AZ78" s="442"/>
      <c r="BA78" s="442"/>
      <c r="BB78" s="442"/>
      <c r="BC78" s="442"/>
      <c r="BD78" s="442"/>
      <c r="BE78" s="442"/>
      <c r="BF78" s="442"/>
      <c r="BG78" s="442"/>
      <c r="BH78" s="442"/>
      <c r="BI78" s="442"/>
      <c r="BJ78" s="442"/>
      <c r="BK78" s="442"/>
      <c r="BL78" s="442"/>
      <c r="BM78" s="442"/>
      <c r="BN78" s="442"/>
      <c r="BO78" s="442"/>
      <c r="BP78" s="442"/>
      <c r="BQ78" s="442"/>
      <c r="BR78" s="442"/>
      <c r="BS78" s="442"/>
      <c r="BT78" s="442"/>
      <c r="BU78" s="442"/>
      <c r="BV78" s="442"/>
      <c r="BW78" s="442"/>
      <c r="BX78" s="442"/>
      <c r="BY78" s="442"/>
      <c r="BZ78" s="442"/>
      <c r="CA78" s="442"/>
      <c r="CB78" s="442"/>
      <c r="CC78" s="442"/>
      <c r="CD78" s="442"/>
      <c r="CE78" s="442"/>
      <c r="CF78" s="442"/>
      <c r="CG78" s="442"/>
      <c r="CH78" s="442"/>
      <c r="CI78" s="442"/>
      <c r="CJ78" s="442"/>
      <c r="CK78" s="442"/>
      <c r="CL78" s="442"/>
      <c r="CM78" s="442"/>
      <c r="CN78" s="442"/>
      <c r="CO78" s="442"/>
      <c r="CP78" s="442"/>
      <c r="CQ78" s="442"/>
      <c r="CR78" s="442"/>
      <c r="CS78" s="442"/>
      <c r="CT78" s="442"/>
      <c r="CU78" s="442"/>
      <c r="CV78" s="442"/>
      <c r="CW78" s="442"/>
      <c r="CX78" s="442"/>
      <c r="CY78" s="442"/>
      <c r="CZ78" s="442"/>
      <c r="DA78" s="442"/>
      <c r="DB78" s="442"/>
      <c r="DC78" s="442"/>
      <c r="DD78" s="442"/>
      <c r="DE78" s="442"/>
      <c r="DF78" s="442"/>
      <c r="DG78" s="442"/>
      <c r="DH78" s="442"/>
      <c r="DI78" s="442"/>
      <c r="DJ78" s="442"/>
      <c r="DK78" s="442"/>
      <c r="DL78" s="442"/>
      <c r="DM78" s="442"/>
      <c r="DN78" s="442"/>
      <c r="DO78" s="442"/>
      <c r="DP78" s="442"/>
      <c r="DQ78" s="442"/>
      <c r="DR78" s="442"/>
      <c r="DS78" s="442"/>
      <c r="DT78" s="442"/>
      <c r="DU78" s="442"/>
      <c r="DV78" s="442"/>
      <c r="DW78" s="442"/>
      <c r="DX78" s="442"/>
      <c r="DY78" s="442"/>
      <c r="DZ78" s="442"/>
      <c r="EA78" s="442"/>
      <c r="EB78" s="442"/>
      <c r="EC78" s="442"/>
      <c r="ED78" s="442"/>
      <c r="EE78" s="442"/>
      <c r="EF78" s="442"/>
      <c r="EG78" s="442"/>
      <c r="EH78" s="442"/>
      <c r="EI78" s="442"/>
      <c r="EJ78" s="442"/>
      <c r="EK78" s="442"/>
      <c r="EL78" s="442"/>
      <c r="EM78" s="442"/>
      <c r="EN78" s="442"/>
      <c r="EO78" s="442"/>
      <c r="EP78" s="442"/>
      <c r="EQ78" s="442"/>
      <c r="ER78" s="442"/>
      <c r="ES78" s="442"/>
      <c r="ET78" s="442"/>
      <c r="EU78" s="442"/>
      <c r="EV78" s="442"/>
      <c r="EW78" s="442"/>
      <c r="EX78" s="442"/>
      <c r="EY78" s="442"/>
      <c r="EZ78" s="442"/>
      <c r="FA78" s="442"/>
      <c r="FB78" s="442"/>
      <c r="FC78" s="442"/>
      <c r="FD78" s="442"/>
      <c r="FE78" s="442"/>
      <c r="FF78" s="442"/>
      <c r="FG78" s="442"/>
      <c r="FH78" s="442"/>
      <c r="FI78" s="442"/>
      <c r="FJ78" s="442"/>
      <c r="FK78" s="442"/>
      <c r="FL78" s="442"/>
      <c r="FM78" s="442"/>
      <c r="FN78" s="442"/>
      <c r="FO78" s="442"/>
      <c r="FP78" s="442"/>
      <c r="FQ78" s="442"/>
      <c r="FR78" s="442"/>
      <c r="FS78" s="442"/>
      <c r="FT78" s="442"/>
      <c r="FU78" s="442"/>
      <c r="FV78" s="442"/>
      <c r="FW78" s="442"/>
      <c r="FX78" s="442"/>
      <c r="FY78" s="442"/>
      <c r="FZ78" s="442"/>
      <c r="GA78" s="442"/>
      <c r="GB78" s="442"/>
      <c r="GC78" s="442"/>
      <c r="GD78" s="442"/>
      <c r="GE78" s="442"/>
      <c r="GF78" s="442"/>
      <c r="GG78" s="442"/>
      <c r="GH78" s="442"/>
      <c r="GI78" s="442"/>
      <c r="GJ78" s="442"/>
      <c r="GK78" s="442"/>
      <c r="GL78" s="442"/>
      <c r="GM78" s="442"/>
      <c r="GN78" s="442"/>
      <c r="GO78" s="442"/>
      <c r="GP78" s="442"/>
      <c r="GQ78" s="442"/>
      <c r="GR78" s="442"/>
      <c r="GS78" s="442"/>
      <c r="GT78" s="442"/>
      <c r="GU78" s="442"/>
      <c r="GV78" s="442"/>
      <c r="GW78" s="442"/>
      <c r="GX78" s="442"/>
      <c r="GY78" s="442"/>
      <c r="GZ78" s="442"/>
      <c r="HA78" s="442"/>
      <c r="HB78" s="442"/>
      <c r="HC78" s="442"/>
      <c r="HD78" s="442"/>
      <c r="HE78" s="442"/>
      <c r="HF78" s="442"/>
      <c r="HG78" s="442"/>
      <c r="HH78" s="442"/>
      <c r="HI78" s="442"/>
      <c r="HJ78" s="442"/>
      <c r="HK78" s="442"/>
      <c r="HL78" s="442"/>
      <c r="HM78" s="442"/>
      <c r="HN78" s="442"/>
      <c r="HO78" s="442"/>
      <c r="HP78" s="442"/>
      <c r="HQ78" s="442"/>
      <c r="HR78" s="442"/>
      <c r="HS78" s="442"/>
      <c r="HT78" s="442"/>
      <c r="HU78" s="442"/>
      <c r="HV78" s="442"/>
      <c r="HW78" s="442"/>
      <c r="HX78" s="442"/>
      <c r="HY78" s="442"/>
      <c r="HZ78" s="442"/>
      <c r="IA78" s="442"/>
      <c r="IB78" s="442"/>
      <c r="IC78" s="442"/>
      <c r="ID78" s="442"/>
      <c r="IE78" s="442"/>
      <c r="IF78" s="442"/>
      <c r="IG78" s="442"/>
      <c r="IH78" s="442"/>
      <c r="II78" s="442"/>
      <c r="IJ78" s="442"/>
      <c r="IK78" s="442"/>
      <c r="IL78" s="442"/>
      <c r="IM78" s="442"/>
      <c r="IN78" s="442"/>
      <c r="IO78" s="442"/>
      <c r="IP78" s="442"/>
      <c r="IQ78" s="442"/>
      <c r="IR78" s="442"/>
      <c r="IS78" s="442"/>
      <c r="IT78" s="442"/>
    </row>
    <row r="79" spans="1:254" s="381" customFormat="1" ht="15" customHeight="1">
      <c r="A79" s="382"/>
      <c r="B79" s="372" t="s">
        <v>1911</v>
      </c>
      <c r="C79" s="382" t="s">
        <v>1818</v>
      </c>
      <c r="D79" s="441">
        <f>D74</f>
        <v>17</v>
      </c>
      <c r="E79" s="1338">
        <v>30</v>
      </c>
      <c r="F79" s="912">
        <f>D79*E79</f>
        <v>510</v>
      </c>
      <c r="G79" s="369"/>
      <c r="H79" s="426"/>
      <c r="I79" s="426"/>
      <c r="J79" s="426"/>
      <c r="K79" s="426"/>
      <c r="L79" s="426"/>
      <c r="M79" s="426"/>
      <c r="N79" s="426"/>
      <c r="O79" s="426"/>
      <c r="P79" s="426"/>
      <c r="Q79" s="426"/>
      <c r="R79" s="426"/>
      <c r="S79" s="426"/>
      <c r="T79" s="426"/>
      <c r="U79" s="426"/>
      <c r="V79" s="426"/>
      <c r="W79" s="426"/>
      <c r="X79" s="426"/>
      <c r="Y79" s="426"/>
      <c r="Z79" s="426"/>
      <c r="AA79" s="426"/>
      <c r="AB79" s="426"/>
      <c r="AC79" s="426"/>
      <c r="AD79" s="426"/>
      <c r="AE79" s="426"/>
      <c r="AF79" s="426"/>
      <c r="AG79" s="426"/>
      <c r="AH79" s="426"/>
      <c r="AI79" s="426"/>
      <c r="AJ79" s="426"/>
      <c r="AK79" s="426"/>
      <c r="AL79" s="426"/>
      <c r="AM79" s="426"/>
      <c r="AN79" s="426"/>
      <c r="AO79" s="426"/>
      <c r="AP79" s="426"/>
      <c r="AQ79" s="426"/>
      <c r="AR79" s="426"/>
      <c r="AS79" s="426"/>
      <c r="AT79" s="426"/>
      <c r="AU79" s="426"/>
      <c r="AV79" s="426"/>
      <c r="AW79" s="426"/>
      <c r="AX79" s="426"/>
      <c r="AY79" s="426"/>
      <c r="AZ79" s="426"/>
      <c r="BA79" s="426"/>
      <c r="BB79" s="426"/>
      <c r="BC79" s="426"/>
      <c r="BD79" s="426"/>
      <c r="BE79" s="426"/>
      <c r="BF79" s="426"/>
      <c r="BG79" s="426"/>
      <c r="BH79" s="426"/>
      <c r="BI79" s="426"/>
      <c r="BJ79" s="426"/>
      <c r="BK79" s="426"/>
      <c r="BL79" s="426"/>
      <c r="BM79" s="426"/>
      <c r="BN79" s="426"/>
      <c r="BO79" s="426"/>
      <c r="BP79" s="426"/>
      <c r="BQ79" s="426"/>
      <c r="BR79" s="426"/>
      <c r="BS79" s="426"/>
      <c r="BT79" s="426"/>
      <c r="BU79" s="426"/>
      <c r="BV79" s="426"/>
      <c r="BW79" s="426"/>
      <c r="BX79" s="426"/>
      <c r="BY79" s="426"/>
      <c r="BZ79" s="426"/>
      <c r="CA79" s="426"/>
      <c r="CB79" s="426"/>
      <c r="CC79" s="426"/>
      <c r="CD79" s="426"/>
      <c r="CE79" s="426"/>
      <c r="CF79" s="426"/>
      <c r="CG79" s="426"/>
      <c r="CH79" s="426"/>
      <c r="CI79" s="426"/>
      <c r="CJ79" s="426"/>
      <c r="CK79" s="426"/>
      <c r="CL79" s="426"/>
      <c r="CM79" s="426"/>
      <c r="CN79" s="426"/>
      <c r="CO79" s="426"/>
      <c r="CP79" s="426"/>
      <c r="CQ79" s="426"/>
      <c r="CR79" s="426"/>
      <c r="CS79" s="426"/>
      <c r="CT79" s="426"/>
      <c r="CU79" s="426"/>
      <c r="CV79" s="426"/>
      <c r="CW79" s="426"/>
      <c r="CX79" s="426"/>
      <c r="CY79" s="426"/>
      <c r="CZ79" s="426"/>
      <c r="DA79" s="426"/>
      <c r="DB79" s="426"/>
      <c r="DC79" s="426"/>
      <c r="DD79" s="426"/>
      <c r="DE79" s="426"/>
      <c r="DF79" s="426"/>
      <c r="DG79" s="426"/>
      <c r="DH79" s="426"/>
      <c r="DI79" s="426"/>
      <c r="DJ79" s="426"/>
      <c r="DK79" s="426"/>
      <c r="DL79" s="426"/>
      <c r="DM79" s="426"/>
      <c r="DN79" s="426"/>
      <c r="DO79" s="426"/>
      <c r="DP79" s="426"/>
      <c r="DQ79" s="426"/>
      <c r="DR79" s="426"/>
      <c r="DS79" s="426"/>
      <c r="DT79" s="426"/>
      <c r="DU79" s="426"/>
      <c r="DV79" s="426"/>
      <c r="DW79" s="426"/>
      <c r="DX79" s="426"/>
      <c r="DY79" s="426"/>
      <c r="DZ79" s="426"/>
      <c r="EA79" s="426"/>
      <c r="EB79" s="426"/>
      <c r="EC79" s="426"/>
      <c r="ED79" s="426"/>
      <c r="EE79" s="426"/>
      <c r="EF79" s="426"/>
      <c r="EG79" s="426"/>
      <c r="EH79" s="426"/>
      <c r="EI79" s="426"/>
      <c r="EJ79" s="426"/>
      <c r="EK79" s="426"/>
      <c r="EL79" s="426"/>
      <c r="EM79" s="426"/>
      <c r="EN79" s="426"/>
      <c r="EO79" s="426"/>
      <c r="EP79" s="426"/>
      <c r="EQ79" s="426"/>
      <c r="ER79" s="426"/>
      <c r="ES79" s="426"/>
      <c r="ET79" s="426"/>
      <c r="EU79" s="426"/>
      <c r="EV79" s="426"/>
      <c r="EW79" s="426"/>
      <c r="EX79" s="426"/>
      <c r="EY79" s="426"/>
      <c r="EZ79" s="426"/>
      <c r="FA79" s="426"/>
      <c r="FB79" s="426"/>
      <c r="FC79" s="426"/>
      <c r="FD79" s="426"/>
      <c r="FE79" s="426"/>
      <c r="FF79" s="426"/>
      <c r="FG79" s="426"/>
      <c r="FH79" s="426"/>
      <c r="FI79" s="426"/>
      <c r="FJ79" s="426"/>
      <c r="FK79" s="426"/>
      <c r="FL79" s="426"/>
      <c r="FM79" s="426"/>
      <c r="FN79" s="426"/>
      <c r="FO79" s="426"/>
      <c r="FP79" s="426"/>
      <c r="FQ79" s="426"/>
      <c r="FR79" s="426"/>
      <c r="FS79" s="426"/>
      <c r="FT79" s="426"/>
      <c r="FU79" s="426"/>
      <c r="FV79" s="426"/>
      <c r="FW79" s="426"/>
      <c r="FX79" s="426"/>
      <c r="FY79" s="426"/>
      <c r="FZ79" s="426"/>
      <c r="GA79" s="426"/>
      <c r="GB79" s="426"/>
      <c r="GC79" s="426"/>
      <c r="GD79" s="426"/>
      <c r="GE79" s="426"/>
      <c r="GF79" s="426"/>
      <c r="GG79" s="426"/>
      <c r="GH79" s="426"/>
      <c r="GI79" s="426"/>
      <c r="GJ79" s="426"/>
      <c r="GK79" s="426"/>
      <c r="GL79" s="426"/>
      <c r="GM79" s="426"/>
      <c r="GN79" s="426"/>
      <c r="GO79" s="426"/>
      <c r="GP79" s="426"/>
      <c r="GQ79" s="426"/>
      <c r="GR79" s="426"/>
      <c r="GS79" s="426"/>
      <c r="GT79" s="426"/>
      <c r="GU79" s="426"/>
      <c r="GV79" s="426"/>
      <c r="GW79" s="426"/>
      <c r="GX79" s="426"/>
      <c r="GY79" s="426"/>
      <c r="GZ79" s="426"/>
      <c r="HA79" s="426"/>
      <c r="HB79" s="426"/>
      <c r="HC79" s="426"/>
      <c r="HD79" s="426"/>
      <c r="HE79" s="426"/>
      <c r="HF79" s="426"/>
      <c r="HG79" s="426"/>
      <c r="HH79" s="426"/>
      <c r="HI79" s="426"/>
      <c r="HJ79" s="426"/>
      <c r="HK79" s="426"/>
      <c r="HL79" s="426"/>
      <c r="HM79" s="426"/>
      <c r="HN79" s="426"/>
      <c r="HO79" s="426"/>
      <c r="HP79" s="426"/>
      <c r="HQ79" s="426"/>
      <c r="HR79" s="426"/>
      <c r="HS79" s="426"/>
      <c r="HT79" s="426"/>
      <c r="HU79" s="426"/>
      <c r="HV79" s="426"/>
      <c r="HW79" s="426"/>
      <c r="HX79" s="426"/>
      <c r="HY79" s="426"/>
      <c r="HZ79" s="426"/>
      <c r="IA79" s="426"/>
      <c r="IB79" s="426"/>
      <c r="IC79" s="426"/>
      <c r="ID79" s="426"/>
      <c r="IE79" s="426"/>
      <c r="IF79" s="426"/>
      <c r="IG79" s="426"/>
      <c r="IH79" s="426"/>
      <c r="II79" s="426"/>
      <c r="IJ79" s="426"/>
      <c r="IK79" s="426"/>
      <c r="IL79" s="426"/>
      <c r="IM79" s="426"/>
      <c r="IN79" s="426"/>
      <c r="IO79" s="426"/>
      <c r="IP79" s="426"/>
      <c r="IQ79" s="426"/>
      <c r="IR79" s="426"/>
      <c r="IS79" s="426"/>
      <c r="IT79" s="426"/>
    </row>
    <row r="80" spans="1:254" s="381" customFormat="1" ht="15" customHeight="1">
      <c r="A80" s="382"/>
      <c r="B80" s="372"/>
      <c r="C80" s="382"/>
      <c r="D80" s="382"/>
      <c r="E80" s="1227"/>
      <c r="F80" s="934"/>
      <c r="G80" s="369"/>
      <c r="H80" s="426"/>
      <c r="I80" s="426"/>
      <c r="J80" s="426"/>
      <c r="K80" s="426"/>
      <c r="L80" s="426"/>
      <c r="M80" s="426"/>
      <c r="N80" s="426"/>
      <c r="O80" s="426"/>
      <c r="P80" s="426"/>
      <c r="Q80" s="426"/>
      <c r="R80" s="426"/>
      <c r="S80" s="426"/>
      <c r="T80" s="426"/>
      <c r="U80" s="426"/>
      <c r="V80" s="426"/>
      <c r="W80" s="426"/>
      <c r="X80" s="426"/>
      <c r="Y80" s="426"/>
      <c r="Z80" s="426"/>
      <c r="AA80" s="426"/>
      <c r="AB80" s="426"/>
      <c r="AC80" s="426"/>
      <c r="AD80" s="426"/>
      <c r="AE80" s="426"/>
      <c r="AF80" s="426"/>
      <c r="AG80" s="426"/>
      <c r="AH80" s="426"/>
      <c r="AI80" s="426"/>
      <c r="AJ80" s="426"/>
      <c r="AK80" s="426"/>
      <c r="AL80" s="426"/>
      <c r="AM80" s="426"/>
      <c r="AN80" s="426"/>
      <c r="AO80" s="426"/>
      <c r="AP80" s="426"/>
      <c r="AQ80" s="426"/>
      <c r="AR80" s="426"/>
      <c r="AS80" s="426"/>
      <c r="AT80" s="426"/>
      <c r="AU80" s="426"/>
      <c r="AV80" s="426"/>
      <c r="AW80" s="426"/>
      <c r="AX80" s="426"/>
      <c r="AY80" s="426"/>
      <c r="AZ80" s="426"/>
      <c r="BA80" s="426"/>
      <c r="BB80" s="426"/>
      <c r="BC80" s="426"/>
      <c r="BD80" s="426"/>
      <c r="BE80" s="426"/>
      <c r="BF80" s="426"/>
      <c r="BG80" s="426"/>
      <c r="BH80" s="426"/>
      <c r="BI80" s="426"/>
      <c r="BJ80" s="426"/>
      <c r="BK80" s="426"/>
      <c r="BL80" s="426"/>
      <c r="BM80" s="426"/>
      <c r="BN80" s="426"/>
      <c r="BO80" s="426"/>
      <c r="BP80" s="426"/>
      <c r="BQ80" s="426"/>
      <c r="BR80" s="426"/>
      <c r="BS80" s="426"/>
      <c r="BT80" s="426"/>
      <c r="BU80" s="426"/>
      <c r="BV80" s="426"/>
      <c r="BW80" s="426"/>
      <c r="BX80" s="426"/>
      <c r="BY80" s="426"/>
      <c r="BZ80" s="426"/>
      <c r="CA80" s="426"/>
      <c r="CB80" s="426"/>
      <c r="CC80" s="426"/>
      <c r="CD80" s="426"/>
      <c r="CE80" s="426"/>
      <c r="CF80" s="426"/>
      <c r="CG80" s="426"/>
      <c r="CH80" s="426"/>
      <c r="CI80" s="426"/>
      <c r="CJ80" s="426"/>
      <c r="CK80" s="426"/>
      <c r="CL80" s="426"/>
      <c r="CM80" s="426"/>
      <c r="CN80" s="426"/>
      <c r="CO80" s="426"/>
      <c r="CP80" s="426"/>
      <c r="CQ80" s="426"/>
      <c r="CR80" s="426"/>
      <c r="CS80" s="426"/>
      <c r="CT80" s="426"/>
      <c r="CU80" s="426"/>
      <c r="CV80" s="426"/>
      <c r="CW80" s="426"/>
      <c r="CX80" s="426"/>
      <c r="CY80" s="426"/>
      <c r="CZ80" s="426"/>
      <c r="DA80" s="426"/>
      <c r="DB80" s="426"/>
      <c r="DC80" s="426"/>
      <c r="DD80" s="426"/>
      <c r="DE80" s="426"/>
      <c r="DF80" s="426"/>
      <c r="DG80" s="426"/>
      <c r="DH80" s="426"/>
      <c r="DI80" s="426"/>
      <c r="DJ80" s="426"/>
      <c r="DK80" s="426"/>
      <c r="DL80" s="426"/>
      <c r="DM80" s="426"/>
      <c r="DN80" s="426"/>
      <c r="DO80" s="426"/>
      <c r="DP80" s="426"/>
      <c r="DQ80" s="426"/>
      <c r="DR80" s="426"/>
      <c r="DS80" s="426"/>
      <c r="DT80" s="426"/>
      <c r="DU80" s="426"/>
      <c r="DV80" s="426"/>
      <c r="DW80" s="426"/>
      <c r="DX80" s="426"/>
      <c r="DY80" s="426"/>
      <c r="DZ80" s="426"/>
      <c r="EA80" s="426"/>
      <c r="EB80" s="426"/>
      <c r="EC80" s="426"/>
      <c r="ED80" s="426"/>
      <c r="EE80" s="426"/>
      <c r="EF80" s="426"/>
      <c r="EG80" s="426"/>
      <c r="EH80" s="426"/>
      <c r="EI80" s="426"/>
      <c r="EJ80" s="426"/>
      <c r="EK80" s="426"/>
      <c r="EL80" s="426"/>
      <c r="EM80" s="426"/>
      <c r="EN80" s="426"/>
      <c r="EO80" s="426"/>
      <c r="EP80" s="426"/>
      <c r="EQ80" s="426"/>
      <c r="ER80" s="426"/>
      <c r="ES80" s="426"/>
      <c r="ET80" s="426"/>
      <c r="EU80" s="426"/>
      <c r="EV80" s="426"/>
      <c r="EW80" s="426"/>
      <c r="EX80" s="426"/>
      <c r="EY80" s="426"/>
      <c r="EZ80" s="426"/>
      <c r="FA80" s="426"/>
      <c r="FB80" s="426"/>
      <c r="FC80" s="426"/>
      <c r="FD80" s="426"/>
      <c r="FE80" s="426"/>
      <c r="FF80" s="426"/>
      <c r="FG80" s="426"/>
      <c r="FH80" s="426"/>
      <c r="FI80" s="426"/>
      <c r="FJ80" s="426"/>
      <c r="FK80" s="426"/>
      <c r="FL80" s="426"/>
      <c r="FM80" s="426"/>
      <c r="FN80" s="426"/>
      <c r="FO80" s="426"/>
      <c r="FP80" s="426"/>
      <c r="FQ80" s="426"/>
      <c r="FR80" s="426"/>
      <c r="FS80" s="426"/>
      <c r="FT80" s="426"/>
      <c r="FU80" s="426"/>
      <c r="FV80" s="426"/>
      <c r="FW80" s="426"/>
      <c r="FX80" s="426"/>
      <c r="FY80" s="426"/>
      <c r="FZ80" s="426"/>
      <c r="GA80" s="426"/>
      <c r="GB80" s="426"/>
      <c r="GC80" s="426"/>
      <c r="GD80" s="426"/>
      <c r="GE80" s="426"/>
      <c r="GF80" s="426"/>
      <c r="GG80" s="426"/>
      <c r="GH80" s="426"/>
      <c r="GI80" s="426"/>
      <c r="GJ80" s="426"/>
      <c r="GK80" s="426"/>
      <c r="GL80" s="426"/>
      <c r="GM80" s="426"/>
      <c r="GN80" s="426"/>
      <c r="GO80" s="426"/>
      <c r="GP80" s="426"/>
      <c r="GQ80" s="426"/>
      <c r="GR80" s="426"/>
      <c r="GS80" s="426"/>
      <c r="GT80" s="426"/>
      <c r="GU80" s="426"/>
      <c r="GV80" s="426"/>
      <c r="GW80" s="426"/>
      <c r="GX80" s="426"/>
      <c r="GY80" s="426"/>
      <c r="GZ80" s="426"/>
      <c r="HA80" s="426"/>
      <c r="HB80" s="426"/>
      <c r="HC80" s="426"/>
      <c r="HD80" s="426"/>
      <c r="HE80" s="426"/>
      <c r="HF80" s="426"/>
      <c r="HG80" s="426"/>
      <c r="HH80" s="426"/>
      <c r="HI80" s="426"/>
      <c r="HJ80" s="426"/>
      <c r="HK80" s="426"/>
      <c r="HL80" s="426"/>
      <c r="HM80" s="426"/>
      <c r="HN80" s="426"/>
      <c r="HO80" s="426"/>
      <c r="HP80" s="426"/>
      <c r="HQ80" s="426"/>
      <c r="HR80" s="426"/>
      <c r="HS80" s="426"/>
      <c r="HT80" s="426"/>
      <c r="HU80" s="426"/>
      <c r="HV80" s="426"/>
      <c r="HW80" s="426"/>
      <c r="HX80" s="426"/>
      <c r="HY80" s="426"/>
      <c r="HZ80" s="426"/>
      <c r="IA80" s="426"/>
      <c r="IB80" s="426"/>
      <c r="IC80" s="426"/>
      <c r="ID80" s="426"/>
      <c r="IE80" s="426"/>
      <c r="IF80" s="426"/>
      <c r="IG80" s="426"/>
      <c r="IH80" s="426"/>
      <c r="II80" s="426"/>
      <c r="IJ80" s="426"/>
      <c r="IK80" s="426"/>
      <c r="IL80" s="426"/>
      <c r="IM80" s="426"/>
      <c r="IN80" s="426"/>
      <c r="IO80" s="426"/>
      <c r="IP80" s="426"/>
      <c r="IQ80" s="426"/>
      <c r="IR80" s="426"/>
      <c r="IS80" s="426"/>
      <c r="IT80" s="426"/>
    </row>
    <row r="81" spans="1:254" s="381" customFormat="1" ht="15" customHeight="1">
      <c r="A81" s="382" t="s">
        <v>1914</v>
      </c>
      <c r="B81" s="372"/>
      <c r="C81" s="382"/>
      <c r="D81" s="382"/>
      <c r="E81" s="1227"/>
      <c r="F81" s="934"/>
      <c r="G81" s="369"/>
      <c r="H81" s="426"/>
      <c r="I81" s="426"/>
      <c r="J81" s="426"/>
      <c r="K81" s="426"/>
      <c r="L81" s="426"/>
      <c r="M81" s="426"/>
      <c r="N81" s="426"/>
      <c r="O81" s="426"/>
      <c r="P81" s="426"/>
      <c r="Q81" s="426"/>
      <c r="R81" s="426"/>
      <c r="S81" s="426"/>
      <c r="T81" s="426"/>
      <c r="U81" s="426"/>
      <c r="V81" s="426"/>
      <c r="W81" s="426"/>
      <c r="X81" s="426"/>
      <c r="Y81" s="426"/>
      <c r="Z81" s="426"/>
      <c r="AA81" s="426"/>
      <c r="AB81" s="426"/>
      <c r="AC81" s="426"/>
      <c r="AD81" s="426"/>
      <c r="AE81" s="426"/>
      <c r="AF81" s="426"/>
      <c r="AG81" s="426"/>
      <c r="AH81" s="426"/>
      <c r="AI81" s="426"/>
      <c r="AJ81" s="426"/>
      <c r="AK81" s="426"/>
      <c r="AL81" s="426"/>
      <c r="AM81" s="426"/>
      <c r="AN81" s="426"/>
      <c r="AO81" s="426"/>
      <c r="AP81" s="426"/>
      <c r="AQ81" s="426"/>
      <c r="AR81" s="426"/>
      <c r="AS81" s="426"/>
      <c r="AT81" s="426"/>
      <c r="AU81" s="426"/>
      <c r="AV81" s="426"/>
      <c r="AW81" s="426"/>
      <c r="AX81" s="426"/>
      <c r="AY81" s="426"/>
      <c r="AZ81" s="426"/>
      <c r="BA81" s="426"/>
      <c r="BB81" s="426"/>
      <c r="BC81" s="426"/>
      <c r="BD81" s="426"/>
      <c r="BE81" s="426"/>
      <c r="BF81" s="426"/>
      <c r="BG81" s="426"/>
      <c r="BH81" s="426"/>
      <c r="BI81" s="426"/>
      <c r="BJ81" s="426"/>
      <c r="BK81" s="426"/>
      <c r="BL81" s="426"/>
      <c r="BM81" s="426"/>
      <c r="BN81" s="426"/>
      <c r="BO81" s="426"/>
      <c r="BP81" s="426"/>
      <c r="BQ81" s="426"/>
      <c r="BR81" s="426"/>
      <c r="BS81" s="426"/>
      <c r="BT81" s="426"/>
      <c r="BU81" s="426"/>
      <c r="BV81" s="426"/>
      <c r="BW81" s="426"/>
      <c r="BX81" s="426"/>
      <c r="BY81" s="426"/>
      <c r="BZ81" s="426"/>
      <c r="CA81" s="426"/>
      <c r="CB81" s="426"/>
      <c r="CC81" s="426"/>
      <c r="CD81" s="426"/>
      <c r="CE81" s="426"/>
      <c r="CF81" s="426"/>
      <c r="CG81" s="426"/>
      <c r="CH81" s="426"/>
      <c r="CI81" s="426"/>
      <c r="CJ81" s="426"/>
      <c r="CK81" s="426"/>
      <c r="CL81" s="426"/>
      <c r="CM81" s="426"/>
      <c r="CN81" s="426"/>
      <c r="CO81" s="426"/>
      <c r="CP81" s="426"/>
      <c r="CQ81" s="426"/>
      <c r="CR81" s="426"/>
      <c r="CS81" s="426"/>
      <c r="CT81" s="426"/>
      <c r="CU81" s="426"/>
      <c r="CV81" s="426"/>
      <c r="CW81" s="426"/>
      <c r="CX81" s="426"/>
      <c r="CY81" s="426"/>
      <c r="CZ81" s="426"/>
      <c r="DA81" s="426"/>
      <c r="DB81" s="426"/>
      <c r="DC81" s="426"/>
      <c r="DD81" s="426"/>
      <c r="DE81" s="426"/>
      <c r="DF81" s="426"/>
      <c r="DG81" s="426"/>
      <c r="DH81" s="426"/>
      <c r="DI81" s="426"/>
      <c r="DJ81" s="426"/>
      <c r="DK81" s="426"/>
      <c r="DL81" s="426"/>
      <c r="DM81" s="426"/>
      <c r="DN81" s="426"/>
      <c r="DO81" s="426"/>
      <c r="DP81" s="426"/>
      <c r="DQ81" s="426"/>
      <c r="DR81" s="426"/>
      <c r="DS81" s="426"/>
      <c r="DT81" s="426"/>
      <c r="DU81" s="426"/>
      <c r="DV81" s="426"/>
      <c r="DW81" s="426"/>
      <c r="DX81" s="426"/>
      <c r="DY81" s="426"/>
      <c r="DZ81" s="426"/>
      <c r="EA81" s="426"/>
      <c r="EB81" s="426"/>
      <c r="EC81" s="426"/>
      <c r="ED81" s="426"/>
      <c r="EE81" s="426"/>
      <c r="EF81" s="426"/>
      <c r="EG81" s="426"/>
      <c r="EH81" s="426"/>
      <c r="EI81" s="426"/>
      <c r="EJ81" s="426"/>
      <c r="EK81" s="426"/>
      <c r="EL81" s="426"/>
      <c r="EM81" s="426"/>
      <c r="EN81" s="426"/>
      <c r="EO81" s="426"/>
      <c r="EP81" s="426"/>
      <c r="EQ81" s="426"/>
      <c r="ER81" s="426"/>
      <c r="ES81" s="426"/>
      <c r="ET81" s="426"/>
      <c r="EU81" s="426"/>
      <c r="EV81" s="426"/>
      <c r="EW81" s="426"/>
      <c r="EX81" s="426"/>
      <c r="EY81" s="426"/>
      <c r="EZ81" s="426"/>
      <c r="FA81" s="426"/>
      <c r="FB81" s="426"/>
      <c r="FC81" s="426"/>
      <c r="FD81" s="426"/>
      <c r="FE81" s="426"/>
      <c r="FF81" s="426"/>
      <c r="FG81" s="426"/>
      <c r="FH81" s="426"/>
      <c r="FI81" s="426"/>
      <c r="FJ81" s="426"/>
      <c r="FK81" s="426"/>
      <c r="FL81" s="426"/>
      <c r="FM81" s="426"/>
      <c r="FN81" s="426"/>
      <c r="FO81" s="426"/>
      <c r="FP81" s="426"/>
      <c r="FQ81" s="426"/>
      <c r="FR81" s="426"/>
      <c r="FS81" s="426"/>
      <c r="FT81" s="426"/>
      <c r="FU81" s="426"/>
      <c r="FV81" s="426"/>
      <c r="FW81" s="426"/>
      <c r="FX81" s="426"/>
      <c r="FY81" s="426"/>
      <c r="FZ81" s="426"/>
      <c r="GA81" s="426"/>
      <c r="GB81" s="426"/>
      <c r="GC81" s="426"/>
      <c r="GD81" s="426"/>
      <c r="GE81" s="426"/>
      <c r="GF81" s="426"/>
      <c r="GG81" s="426"/>
      <c r="GH81" s="426"/>
      <c r="GI81" s="426"/>
      <c r="GJ81" s="426"/>
      <c r="GK81" s="426"/>
      <c r="GL81" s="426"/>
      <c r="GM81" s="426"/>
      <c r="GN81" s="426"/>
      <c r="GO81" s="426"/>
      <c r="GP81" s="426"/>
      <c r="GQ81" s="426"/>
      <c r="GR81" s="426"/>
      <c r="GS81" s="426"/>
      <c r="GT81" s="426"/>
      <c r="GU81" s="426"/>
      <c r="GV81" s="426"/>
      <c r="GW81" s="426"/>
      <c r="GX81" s="426"/>
      <c r="GY81" s="426"/>
      <c r="GZ81" s="426"/>
      <c r="HA81" s="426"/>
      <c r="HB81" s="426"/>
      <c r="HC81" s="426"/>
      <c r="HD81" s="426"/>
      <c r="HE81" s="426"/>
      <c r="HF81" s="426"/>
      <c r="HG81" s="426"/>
      <c r="HH81" s="426"/>
      <c r="HI81" s="426"/>
      <c r="HJ81" s="426"/>
      <c r="HK81" s="426"/>
      <c r="HL81" s="426"/>
      <c r="HM81" s="426"/>
      <c r="HN81" s="426"/>
      <c r="HO81" s="426"/>
      <c r="HP81" s="426"/>
      <c r="HQ81" s="426"/>
      <c r="HR81" s="426"/>
      <c r="HS81" s="426"/>
      <c r="HT81" s="426"/>
      <c r="HU81" s="426"/>
      <c r="HV81" s="426"/>
      <c r="HW81" s="426"/>
      <c r="HX81" s="426"/>
      <c r="HY81" s="426"/>
      <c r="HZ81" s="426"/>
      <c r="IA81" s="426"/>
      <c r="IB81" s="426"/>
      <c r="IC81" s="426"/>
      <c r="ID81" s="426"/>
      <c r="IE81" s="426"/>
      <c r="IF81" s="426"/>
      <c r="IG81" s="426"/>
      <c r="IH81" s="426"/>
      <c r="II81" s="426"/>
      <c r="IJ81" s="426"/>
      <c r="IK81" s="426"/>
      <c r="IL81" s="426"/>
      <c r="IM81" s="426"/>
      <c r="IN81" s="426"/>
      <c r="IO81" s="426"/>
      <c r="IP81" s="426"/>
      <c r="IQ81" s="426"/>
      <c r="IR81" s="426"/>
      <c r="IS81" s="426"/>
      <c r="IT81" s="426"/>
    </row>
    <row r="82" spans="1:254" s="381" customFormat="1" ht="15" customHeight="1">
      <c r="A82" s="382"/>
      <c r="B82" s="372" t="s">
        <v>1915</v>
      </c>
      <c r="C82" s="382"/>
      <c r="D82" s="382"/>
      <c r="E82" s="1227"/>
      <c r="F82" s="934"/>
      <c r="G82" s="369"/>
      <c r="H82" s="426"/>
      <c r="I82" s="426"/>
      <c r="J82" s="426"/>
      <c r="K82" s="426"/>
      <c r="L82" s="426"/>
      <c r="M82" s="426"/>
      <c r="N82" s="426"/>
      <c r="O82" s="426"/>
      <c r="P82" s="426"/>
      <c r="Q82" s="426"/>
      <c r="R82" s="426"/>
      <c r="S82" s="426"/>
      <c r="T82" s="426"/>
      <c r="U82" s="426"/>
      <c r="V82" s="426"/>
      <c r="W82" s="426"/>
      <c r="X82" s="426"/>
      <c r="Y82" s="426"/>
      <c r="Z82" s="426"/>
      <c r="AA82" s="426"/>
      <c r="AB82" s="426"/>
      <c r="AC82" s="426"/>
      <c r="AD82" s="426"/>
      <c r="AE82" s="426"/>
      <c r="AF82" s="426"/>
      <c r="AG82" s="426"/>
      <c r="AH82" s="426"/>
      <c r="AI82" s="426"/>
      <c r="AJ82" s="426"/>
      <c r="AK82" s="426"/>
      <c r="AL82" s="426"/>
      <c r="AM82" s="426"/>
      <c r="AN82" s="426"/>
      <c r="AO82" s="426"/>
      <c r="AP82" s="426"/>
      <c r="AQ82" s="426"/>
      <c r="AR82" s="426"/>
      <c r="AS82" s="426"/>
      <c r="AT82" s="426"/>
      <c r="AU82" s="426"/>
      <c r="AV82" s="426"/>
      <c r="AW82" s="426"/>
      <c r="AX82" s="426"/>
      <c r="AY82" s="426"/>
      <c r="AZ82" s="426"/>
      <c r="BA82" s="426"/>
      <c r="BB82" s="426"/>
      <c r="BC82" s="426"/>
      <c r="BD82" s="426"/>
      <c r="BE82" s="426"/>
      <c r="BF82" s="426"/>
      <c r="BG82" s="426"/>
      <c r="BH82" s="426"/>
      <c r="BI82" s="426"/>
      <c r="BJ82" s="426"/>
      <c r="BK82" s="426"/>
      <c r="BL82" s="426"/>
      <c r="BM82" s="426"/>
      <c r="BN82" s="426"/>
      <c r="BO82" s="426"/>
      <c r="BP82" s="426"/>
      <c r="BQ82" s="426"/>
      <c r="BR82" s="426"/>
      <c r="BS82" s="426"/>
      <c r="BT82" s="426"/>
      <c r="BU82" s="426"/>
      <c r="BV82" s="426"/>
      <c r="BW82" s="426"/>
      <c r="BX82" s="426"/>
      <c r="BY82" s="426"/>
      <c r="BZ82" s="426"/>
      <c r="CA82" s="426"/>
      <c r="CB82" s="426"/>
      <c r="CC82" s="426"/>
      <c r="CD82" s="426"/>
      <c r="CE82" s="426"/>
      <c r="CF82" s="426"/>
      <c r="CG82" s="426"/>
      <c r="CH82" s="426"/>
      <c r="CI82" s="426"/>
      <c r="CJ82" s="426"/>
      <c r="CK82" s="426"/>
      <c r="CL82" s="426"/>
      <c r="CM82" s="426"/>
      <c r="CN82" s="426"/>
      <c r="CO82" s="426"/>
      <c r="CP82" s="426"/>
      <c r="CQ82" s="426"/>
      <c r="CR82" s="426"/>
      <c r="CS82" s="426"/>
      <c r="CT82" s="426"/>
      <c r="CU82" s="426"/>
      <c r="CV82" s="426"/>
      <c r="CW82" s="426"/>
      <c r="CX82" s="426"/>
      <c r="CY82" s="426"/>
      <c r="CZ82" s="426"/>
      <c r="DA82" s="426"/>
      <c r="DB82" s="426"/>
      <c r="DC82" s="426"/>
      <c r="DD82" s="426"/>
      <c r="DE82" s="426"/>
      <c r="DF82" s="426"/>
      <c r="DG82" s="426"/>
      <c r="DH82" s="426"/>
      <c r="DI82" s="426"/>
      <c r="DJ82" s="426"/>
      <c r="DK82" s="426"/>
      <c r="DL82" s="426"/>
      <c r="DM82" s="426"/>
      <c r="DN82" s="426"/>
      <c r="DO82" s="426"/>
      <c r="DP82" s="426"/>
      <c r="DQ82" s="426"/>
      <c r="DR82" s="426"/>
      <c r="DS82" s="426"/>
      <c r="DT82" s="426"/>
      <c r="DU82" s="426"/>
      <c r="DV82" s="426"/>
      <c r="DW82" s="426"/>
      <c r="DX82" s="426"/>
      <c r="DY82" s="426"/>
      <c r="DZ82" s="426"/>
      <c r="EA82" s="426"/>
      <c r="EB82" s="426"/>
      <c r="EC82" s="426"/>
      <c r="ED82" s="426"/>
      <c r="EE82" s="426"/>
      <c r="EF82" s="426"/>
      <c r="EG82" s="426"/>
      <c r="EH82" s="426"/>
      <c r="EI82" s="426"/>
      <c r="EJ82" s="426"/>
      <c r="EK82" s="426"/>
      <c r="EL82" s="426"/>
      <c r="EM82" s="426"/>
      <c r="EN82" s="426"/>
      <c r="EO82" s="426"/>
      <c r="EP82" s="426"/>
      <c r="EQ82" s="426"/>
      <c r="ER82" s="426"/>
      <c r="ES82" s="426"/>
      <c r="ET82" s="426"/>
      <c r="EU82" s="426"/>
      <c r="EV82" s="426"/>
      <c r="EW82" s="426"/>
      <c r="EX82" s="426"/>
      <c r="EY82" s="426"/>
      <c r="EZ82" s="426"/>
      <c r="FA82" s="426"/>
      <c r="FB82" s="426"/>
      <c r="FC82" s="426"/>
      <c r="FD82" s="426"/>
      <c r="FE82" s="426"/>
      <c r="FF82" s="426"/>
      <c r="FG82" s="426"/>
      <c r="FH82" s="426"/>
      <c r="FI82" s="426"/>
      <c r="FJ82" s="426"/>
      <c r="FK82" s="426"/>
      <c r="FL82" s="426"/>
      <c r="FM82" s="426"/>
      <c r="FN82" s="426"/>
      <c r="FO82" s="426"/>
      <c r="FP82" s="426"/>
      <c r="FQ82" s="426"/>
      <c r="FR82" s="426"/>
      <c r="FS82" s="426"/>
      <c r="FT82" s="426"/>
      <c r="FU82" s="426"/>
      <c r="FV82" s="426"/>
      <c r="FW82" s="426"/>
      <c r="FX82" s="426"/>
      <c r="FY82" s="426"/>
      <c r="FZ82" s="426"/>
      <c r="GA82" s="426"/>
      <c r="GB82" s="426"/>
      <c r="GC82" s="426"/>
      <c r="GD82" s="426"/>
      <c r="GE82" s="426"/>
      <c r="GF82" s="426"/>
      <c r="GG82" s="426"/>
      <c r="GH82" s="426"/>
      <c r="GI82" s="426"/>
      <c r="GJ82" s="426"/>
      <c r="GK82" s="426"/>
      <c r="GL82" s="426"/>
      <c r="GM82" s="426"/>
      <c r="GN82" s="426"/>
      <c r="GO82" s="426"/>
      <c r="GP82" s="426"/>
      <c r="GQ82" s="426"/>
      <c r="GR82" s="426"/>
      <c r="GS82" s="426"/>
      <c r="GT82" s="426"/>
      <c r="GU82" s="426"/>
      <c r="GV82" s="426"/>
      <c r="GW82" s="426"/>
      <c r="GX82" s="426"/>
      <c r="GY82" s="426"/>
      <c r="GZ82" s="426"/>
      <c r="HA82" s="426"/>
      <c r="HB82" s="426"/>
      <c r="HC82" s="426"/>
      <c r="HD82" s="426"/>
      <c r="HE82" s="426"/>
      <c r="HF82" s="426"/>
      <c r="HG82" s="426"/>
      <c r="HH82" s="426"/>
      <c r="HI82" s="426"/>
      <c r="HJ82" s="426"/>
      <c r="HK82" s="426"/>
      <c r="HL82" s="426"/>
      <c r="HM82" s="426"/>
      <c r="HN82" s="426"/>
      <c r="HO82" s="426"/>
      <c r="HP82" s="426"/>
      <c r="HQ82" s="426"/>
      <c r="HR82" s="426"/>
      <c r="HS82" s="426"/>
      <c r="HT82" s="426"/>
      <c r="HU82" s="426"/>
      <c r="HV82" s="426"/>
      <c r="HW82" s="426"/>
      <c r="HX82" s="426"/>
      <c r="HY82" s="426"/>
      <c r="HZ82" s="426"/>
      <c r="IA82" s="426"/>
      <c r="IB82" s="426"/>
      <c r="IC82" s="426"/>
      <c r="ID82" s="426"/>
      <c r="IE82" s="426"/>
      <c r="IF82" s="426"/>
      <c r="IG82" s="426"/>
      <c r="IH82" s="426"/>
      <c r="II82" s="426"/>
      <c r="IJ82" s="426"/>
      <c r="IK82" s="426"/>
      <c r="IL82" s="426"/>
      <c r="IM82" s="426"/>
      <c r="IN82" s="426"/>
      <c r="IO82" s="426"/>
      <c r="IP82" s="426"/>
      <c r="IQ82" s="426"/>
      <c r="IR82" s="426"/>
      <c r="IS82" s="426"/>
      <c r="IT82" s="426"/>
    </row>
    <row r="83" spans="1:254" s="381" customFormat="1">
      <c r="A83" s="382"/>
      <c r="B83" s="372"/>
      <c r="C83" s="423"/>
      <c r="D83" s="423"/>
      <c r="E83" s="1227"/>
      <c r="F83" s="934"/>
      <c r="G83" s="379"/>
    </row>
    <row r="84" spans="1:254" s="381" customFormat="1" ht="15" customHeight="1">
      <c r="A84" s="382"/>
      <c r="B84" s="372" t="s">
        <v>1911</v>
      </c>
      <c r="C84" s="382" t="s">
        <v>1818</v>
      </c>
      <c r="D84" s="441">
        <f>D79</f>
        <v>17</v>
      </c>
      <c r="E84" s="1338">
        <v>20</v>
      </c>
      <c r="F84" s="912">
        <f>D84*E84</f>
        <v>340</v>
      </c>
      <c r="G84" s="379"/>
    </row>
    <row r="85" spans="1:254" s="381" customFormat="1" ht="15" customHeight="1">
      <c r="A85" s="382"/>
      <c r="B85" s="372"/>
      <c r="C85" s="382"/>
      <c r="D85" s="382"/>
      <c r="E85" s="1227"/>
      <c r="F85" s="934"/>
      <c r="G85" s="379"/>
    </row>
    <row r="86" spans="1:254" s="381" customFormat="1" ht="15" customHeight="1">
      <c r="A86" s="382" t="s">
        <v>1916</v>
      </c>
      <c r="B86" s="372"/>
      <c r="C86" s="382"/>
      <c r="D86" s="382"/>
      <c r="E86" s="1227"/>
      <c r="F86" s="934"/>
      <c r="G86" s="379"/>
      <c r="H86" s="446"/>
      <c r="I86" s="446"/>
      <c r="J86" s="446"/>
      <c r="K86" s="446"/>
      <c r="L86" s="446"/>
      <c r="M86" s="446"/>
      <c r="N86" s="446"/>
      <c r="O86" s="446"/>
      <c r="P86" s="446"/>
      <c r="Q86" s="446"/>
      <c r="R86" s="446"/>
      <c r="S86" s="446"/>
      <c r="T86" s="446"/>
      <c r="U86" s="446"/>
      <c r="V86" s="446"/>
      <c r="W86" s="446"/>
      <c r="X86" s="446"/>
      <c r="Y86" s="446"/>
      <c r="Z86" s="446"/>
      <c r="AA86" s="446"/>
      <c r="AB86" s="446"/>
      <c r="AC86" s="446"/>
      <c r="AD86" s="446"/>
      <c r="AE86" s="446"/>
      <c r="AF86" s="446"/>
      <c r="AG86" s="446"/>
      <c r="AH86" s="446"/>
      <c r="AI86" s="446"/>
      <c r="AJ86" s="446"/>
      <c r="AK86" s="446"/>
      <c r="AL86" s="446"/>
      <c r="AM86" s="446"/>
      <c r="AN86" s="446"/>
      <c r="AO86" s="446"/>
      <c r="AP86" s="446"/>
      <c r="AQ86" s="446"/>
      <c r="AR86" s="446"/>
      <c r="AS86" s="446"/>
      <c r="AT86" s="446"/>
      <c r="AU86" s="446"/>
      <c r="AV86" s="446"/>
      <c r="AW86" s="446"/>
      <c r="AX86" s="446"/>
      <c r="AY86" s="446"/>
      <c r="AZ86" s="446"/>
      <c r="BA86" s="446"/>
      <c r="BB86" s="446"/>
      <c r="BC86" s="446"/>
      <c r="BD86" s="446"/>
      <c r="BE86" s="446"/>
      <c r="BF86" s="446"/>
      <c r="BG86" s="446"/>
      <c r="BH86" s="446"/>
      <c r="BI86" s="446"/>
      <c r="BJ86" s="446"/>
      <c r="BK86" s="446"/>
      <c r="BL86" s="446"/>
      <c r="BM86" s="446"/>
      <c r="BN86" s="446"/>
      <c r="BO86" s="446"/>
      <c r="BP86" s="446"/>
      <c r="BQ86" s="446"/>
      <c r="BR86" s="446"/>
      <c r="BS86" s="446"/>
      <c r="BT86" s="446"/>
      <c r="BU86" s="446"/>
      <c r="BV86" s="446"/>
      <c r="BW86" s="446"/>
      <c r="BX86" s="446"/>
      <c r="BY86" s="446"/>
      <c r="BZ86" s="446"/>
      <c r="CA86" s="446"/>
      <c r="CB86" s="446"/>
      <c r="CC86" s="446"/>
      <c r="CD86" s="446"/>
      <c r="CE86" s="446"/>
      <c r="CF86" s="446"/>
      <c r="CG86" s="446"/>
      <c r="CH86" s="446"/>
      <c r="CI86" s="446"/>
      <c r="CJ86" s="446"/>
      <c r="CK86" s="446"/>
      <c r="CL86" s="446"/>
      <c r="CM86" s="446"/>
      <c r="CN86" s="446"/>
      <c r="CO86" s="446"/>
      <c r="CP86" s="446"/>
      <c r="CQ86" s="446"/>
      <c r="CR86" s="446"/>
      <c r="CS86" s="446"/>
      <c r="CT86" s="446"/>
      <c r="CU86" s="446"/>
      <c r="CV86" s="446"/>
      <c r="CW86" s="446"/>
      <c r="CX86" s="446"/>
      <c r="CY86" s="446"/>
      <c r="CZ86" s="446"/>
      <c r="DA86" s="446"/>
      <c r="DB86" s="446"/>
      <c r="DC86" s="446"/>
      <c r="DD86" s="446"/>
      <c r="DE86" s="446"/>
      <c r="DF86" s="446"/>
      <c r="DG86" s="446"/>
      <c r="DH86" s="446"/>
      <c r="DI86" s="446"/>
      <c r="DJ86" s="446"/>
      <c r="DK86" s="446"/>
      <c r="DL86" s="446"/>
      <c r="DM86" s="446"/>
      <c r="DN86" s="446"/>
      <c r="DO86" s="446"/>
      <c r="DP86" s="446"/>
      <c r="DQ86" s="446"/>
      <c r="DR86" s="446"/>
      <c r="DS86" s="446"/>
      <c r="DT86" s="446"/>
      <c r="DU86" s="446"/>
      <c r="DV86" s="446"/>
      <c r="DW86" s="446"/>
      <c r="DX86" s="446"/>
      <c r="DY86" s="446"/>
      <c r="DZ86" s="446"/>
      <c r="EA86" s="446"/>
      <c r="EB86" s="446"/>
      <c r="EC86" s="446"/>
      <c r="ED86" s="446"/>
      <c r="EE86" s="446"/>
      <c r="EF86" s="446"/>
      <c r="EG86" s="446"/>
      <c r="EH86" s="446"/>
      <c r="EI86" s="446"/>
      <c r="EJ86" s="446"/>
      <c r="EK86" s="446"/>
      <c r="EL86" s="446"/>
      <c r="EM86" s="446"/>
      <c r="EN86" s="446"/>
      <c r="EO86" s="446"/>
      <c r="EP86" s="446"/>
      <c r="EQ86" s="446"/>
      <c r="ER86" s="446"/>
      <c r="ES86" s="446"/>
      <c r="ET86" s="446"/>
      <c r="EU86" s="446"/>
      <c r="EV86" s="446"/>
      <c r="EW86" s="446"/>
      <c r="EX86" s="446"/>
      <c r="EY86" s="446"/>
      <c r="EZ86" s="446"/>
      <c r="FA86" s="446"/>
      <c r="FB86" s="446"/>
      <c r="FC86" s="446"/>
      <c r="FD86" s="446"/>
      <c r="FE86" s="446"/>
      <c r="FF86" s="446"/>
      <c r="FG86" s="446"/>
      <c r="FH86" s="446"/>
      <c r="FI86" s="446"/>
      <c r="FJ86" s="446"/>
      <c r="FK86" s="446"/>
      <c r="FL86" s="446"/>
      <c r="FM86" s="446"/>
      <c r="FN86" s="446"/>
      <c r="FO86" s="446"/>
      <c r="FP86" s="446"/>
      <c r="FQ86" s="446"/>
      <c r="FR86" s="446"/>
      <c r="FS86" s="446"/>
      <c r="FT86" s="446"/>
      <c r="FU86" s="446"/>
      <c r="FV86" s="446"/>
      <c r="FW86" s="446"/>
      <c r="FX86" s="446"/>
      <c r="FY86" s="446"/>
      <c r="FZ86" s="446"/>
      <c r="GA86" s="446"/>
      <c r="GB86" s="446"/>
      <c r="GC86" s="446"/>
      <c r="GD86" s="446"/>
      <c r="GE86" s="446"/>
      <c r="GF86" s="446"/>
      <c r="GG86" s="446"/>
      <c r="GH86" s="446"/>
      <c r="GI86" s="446"/>
      <c r="GJ86" s="446"/>
      <c r="GK86" s="446"/>
      <c r="GL86" s="446"/>
      <c r="GM86" s="446"/>
      <c r="GN86" s="446"/>
      <c r="GO86" s="446"/>
      <c r="GP86" s="446"/>
      <c r="GQ86" s="446"/>
      <c r="GR86" s="446"/>
      <c r="GS86" s="446"/>
      <c r="GT86" s="446"/>
      <c r="GU86" s="446"/>
      <c r="GV86" s="446"/>
      <c r="GW86" s="446"/>
      <c r="GX86" s="446"/>
      <c r="GY86" s="446"/>
      <c r="GZ86" s="446"/>
      <c r="HA86" s="446"/>
      <c r="HB86" s="446"/>
      <c r="HC86" s="446"/>
      <c r="HD86" s="446"/>
      <c r="HE86" s="446"/>
      <c r="HF86" s="446"/>
      <c r="HG86" s="446"/>
      <c r="HH86" s="446"/>
      <c r="HI86" s="446"/>
      <c r="HJ86" s="446"/>
      <c r="HK86" s="446"/>
      <c r="HL86" s="446"/>
      <c r="HM86" s="446"/>
      <c r="HN86" s="446"/>
      <c r="HO86" s="446"/>
      <c r="HP86" s="446"/>
      <c r="HQ86" s="446"/>
      <c r="HR86" s="446"/>
      <c r="HS86" s="446"/>
      <c r="HT86" s="446"/>
      <c r="HU86" s="446"/>
      <c r="HV86" s="446"/>
      <c r="HW86" s="446"/>
      <c r="HX86" s="446"/>
      <c r="HY86" s="446"/>
      <c r="HZ86" s="446"/>
      <c r="IA86" s="446"/>
      <c r="IB86" s="446"/>
      <c r="IC86" s="446"/>
      <c r="ID86" s="446"/>
      <c r="IE86" s="446"/>
      <c r="IF86" s="446"/>
      <c r="IG86" s="446"/>
      <c r="IH86" s="446"/>
      <c r="II86" s="446"/>
      <c r="IJ86" s="446"/>
      <c r="IK86" s="446"/>
      <c r="IL86" s="446"/>
      <c r="IM86" s="446"/>
      <c r="IN86" s="446"/>
      <c r="IO86" s="446"/>
      <c r="IP86" s="446"/>
      <c r="IQ86" s="446"/>
      <c r="IR86" s="446"/>
      <c r="IS86" s="446"/>
      <c r="IT86" s="446"/>
    </row>
    <row r="87" spans="1:254" s="447" customFormat="1">
      <c r="A87" s="382"/>
      <c r="B87" s="372" t="s">
        <v>1917</v>
      </c>
      <c r="C87" s="382"/>
      <c r="D87" s="382"/>
      <c r="E87" s="1227"/>
      <c r="F87" s="934"/>
      <c r="G87" s="379"/>
      <c r="H87" s="381"/>
      <c r="I87" s="381"/>
      <c r="J87" s="381"/>
      <c r="K87" s="381"/>
      <c r="L87" s="381"/>
      <c r="M87" s="381"/>
      <c r="N87" s="381"/>
      <c r="O87" s="381"/>
      <c r="P87" s="381"/>
      <c r="Q87" s="381"/>
      <c r="R87" s="381"/>
      <c r="S87" s="381"/>
      <c r="T87" s="381"/>
      <c r="U87" s="381"/>
      <c r="V87" s="381"/>
      <c r="W87" s="381"/>
      <c r="X87" s="381"/>
      <c r="Y87" s="381"/>
      <c r="Z87" s="381"/>
      <c r="AA87" s="381"/>
      <c r="AB87" s="381"/>
      <c r="AC87" s="381"/>
      <c r="AD87" s="381"/>
      <c r="AE87" s="381"/>
      <c r="AF87" s="381"/>
      <c r="AG87" s="381"/>
      <c r="AH87" s="381"/>
      <c r="AI87" s="381"/>
      <c r="AJ87" s="381"/>
      <c r="AK87" s="381"/>
      <c r="AL87" s="381"/>
      <c r="AM87" s="381"/>
      <c r="AN87" s="381"/>
      <c r="AO87" s="381"/>
      <c r="AP87" s="381"/>
      <c r="AQ87" s="381"/>
      <c r="AR87" s="381"/>
      <c r="AS87" s="381"/>
      <c r="AT87" s="381"/>
      <c r="AU87" s="381"/>
      <c r="AV87" s="381"/>
      <c r="AW87" s="381"/>
      <c r="AX87" s="381"/>
      <c r="AY87" s="381"/>
      <c r="AZ87" s="381"/>
      <c r="BA87" s="381"/>
      <c r="BB87" s="381"/>
      <c r="BC87" s="381"/>
      <c r="BD87" s="381"/>
      <c r="BE87" s="381"/>
      <c r="BF87" s="381"/>
      <c r="BG87" s="381"/>
      <c r="BH87" s="381"/>
      <c r="BI87" s="381"/>
      <c r="BJ87" s="381"/>
      <c r="BK87" s="381"/>
      <c r="BL87" s="381"/>
      <c r="BM87" s="381"/>
      <c r="BN87" s="381"/>
      <c r="BO87" s="381"/>
      <c r="BP87" s="381"/>
      <c r="BQ87" s="381"/>
      <c r="BR87" s="381"/>
      <c r="BS87" s="381"/>
      <c r="BT87" s="381"/>
      <c r="BU87" s="381"/>
      <c r="BV87" s="381"/>
      <c r="BW87" s="381"/>
      <c r="BX87" s="381"/>
      <c r="BY87" s="381"/>
      <c r="BZ87" s="381"/>
      <c r="CA87" s="381"/>
      <c r="CB87" s="381"/>
      <c r="CC87" s="381"/>
      <c r="CD87" s="381"/>
      <c r="CE87" s="381"/>
      <c r="CF87" s="381"/>
      <c r="CG87" s="381"/>
      <c r="CH87" s="381"/>
      <c r="CI87" s="381"/>
      <c r="CJ87" s="381"/>
      <c r="CK87" s="381"/>
      <c r="CL87" s="381"/>
      <c r="CM87" s="381"/>
      <c r="CN87" s="381"/>
      <c r="CO87" s="381"/>
      <c r="CP87" s="381"/>
      <c r="CQ87" s="381"/>
      <c r="CR87" s="381"/>
      <c r="CS87" s="381"/>
      <c r="CT87" s="381"/>
      <c r="CU87" s="381"/>
      <c r="CV87" s="381"/>
      <c r="CW87" s="381"/>
      <c r="CX87" s="381"/>
      <c r="CY87" s="381"/>
      <c r="CZ87" s="381"/>
      <c r="DA87" s="381"/>
      <c r="DB87" s="381"/>
      <c r="DC87" s="381"/>
      <c r="DD87" s="381"/>
      <c r="DE87" s="381"/>
      <c r="DF87" s="381"/>
      <c r="DG87" s="381"/>
      <c r="DH87" s="381"/>
      <c r="DI87" s="381"/>
      <c r="DJ87" s="381"/>
      <c r="DK87" s="381"/>
      <c r="DL87" s="381"/>
      <c r="DM87" s="381"/>
      <c r="DN87" s="381"/>
      <c r="DO87" s="381"/>
      <c r="DP87" s="381"/>
      <c r="DQ87" s="381"/>
      <c r="DR87" s="381"/>
      <c r="DS87" s="381"/>
      <c r="DT87" s="381"/>
      <c r="DU87" s="381"/>
      <c r="DV87" s="381"/>
      <c r="DW87" s="381"/>
      <c r="DX87" s="381"/>
      <c r="DY87" s="381"/>
      <c r="DZ87" s="381"/>
      <c r="EA87" s="381"/>
      <c r="EB87" s="381"/>
      <c r="EC87" s="381"/>
      <c r="ED87" s="381"/>
      <c r="EE87" s="381"/>
      <c r="EF87" s="381"/>
      <c r="EG87" s="381"/>
      <c r="EH87" s="381"/>
      <c r="EI87" s="381"/>
      <c r="EJ87" s="381"/>
      <c r="EK87" s="381"/>
      <c r="EL87" s="381"/>
      <c r="EM87" s="381"/>
      <c r="EN87" s="381"/>
      <c r="EO87" s="381"/>
      <c r="EP87" s="381"/>
      <c r="EQ87" s="381"/>
      <c r="ER87" s="381"/>
      <c r="ES87" s="381"/>
      <c r="ET87" s="381"/>
      <c r="EU87" s="381"/>
      <c r="EV87" s="381"/>
      <c r="EW87" s="381"/>
      <c r="EX87" s="381"/>
      <c r="EY87" s="381"/>
      <c r="EZ87" s="381"/>
      <c r="FA87" s="381"/>
      <c r="FB87" s="381"/>
      <c r="FC87" s="381"/>
      <c r="FD87" s="381"/>
      <c r="FE87" s="381"/>
      <c r="FF87" s="381"/>
      <c r="FG87" s="381"/>
      <c r="FH87" s="381"/>
      <c r="FI87" s="381"/>
      <c r="FJ87" s="381"/>
      <c r="FK87" s="381"/>
      <c r="FL87" s="381"/>
      <c r="FM87" s="381"/>
      <c r="FN87" s="381"/>
      <c r="FO87" s="381"/>
      <c r="FP87" s="381"/>
      <c r="FQ87" s="381"/>
      <c r="FR87" s="381"/>
      <c r="FS87" s="381"/>
      <c r="FT87" s="381"/>
      <c r="FU87" s="381"/>
      <c r="FV87" s="381"/>
      <c r="FW87" s="381"/>
      <c r="FX87" s="381"/>
      <c r="FY87" s="381"/>
      <c r="FZ87" s="381"/>
      <c r="GA87" s="381"/>
      <c r="GB87" s="381"/>
      <c r="GC87" s="381"/>
      <c r="GD87" s="381"/>
      <c r="GE87" s="381"/>
      <c r="GF87" s="381"/>
      <c r="GG87" s="381"/>
      <c r="GH87" s="381"/>
      <c r="GI87" s="381"/>
      <c r="GJ87" s="381"/>
      <c r="GK87" s="381"/>
      <c r="GL87" s="381"/>
      <c r="GM87" s="381"/>
      <c r="GN87" s="381"/>
      <c r="GO87" s="381"/>
      <c r="GP87" s="381"/>
      <c r="GQ87" s="381"/>
      <c r="GR87" s="381"/>
      <c r="GS87" s="381"/>
      <c r="GT87" s="381"/>
      <c r="GU87" s="381"/>
      <c r="GV87" s="381"/>
      <c r="GW87" s="381"/>
      <c r="GX87" s="381"/>
      <c r="GY87" s="381"/>
      <c r="GZ87" s="381"/>
      <c r="HA87" s="381"/>
      <c r="HB87" s="381"/>
      <c r="HC87" s="381"/>
      <c r="HD87" s="381"/>
      <c r="HE87" s="381"/>
      <c r="HF87" s="381"/>
      <c r="HG87" s="381"/>
      <c r="HH87" s="381"/>
      <c r="HI87" s="381"/>
      <c r="HJ87" s="381"/>
      <c r="HK87" s="381"/>
      <c r="HL87" s="381"/>
      <c r="HM87" s="381"/>
      <c r="HN87" s="381"/>
      <c r="HO87" s="381"/>
      <c r="HP87" s="381"/>
      <c r="HQ87" s="381"/>
      <c r="HR87" s="381"/>
      <c r="HS87" s="381"/>
      <c r="HT87" s="381"/>
      <c r="HU87" s="381"/>
      <c r="HV87" s="381"/>
      <c r="HW87" s="381"/>
      <c r="HX87" s="381"/>
      <c r="HY87" s="381"/>
      <c r="HZ87" s="381"/>
      <c r="IA87" s="381"/>
      <c r="IB87" s="381"/>
      <c r="IC87" s="381"/>
      <c r="ID87" s="381"/>
      <c r="IE87" s="381"/>
      <c r="IF87" s="381"/>
      <c r="IG87" s="381"/>
      <c r="IH87" s="381"/>
      <c r="II87" s="381"/>
      <c r="IJ87" s="381"/>
      <c r="IK87" s="381"/>
      <c r="IL87" s="381"/>
      <c r="IM87" s="381"/>
      <c r="IN87" s="381"/>
      <c r="IO87" s="381"/>
      <c r="IP87" s="381"/>
      <c r="IQ87" s="381"/>
      <c r="IR87" s="381"/>
      <c r="IS87" s="381"/>
      <c r="IT87" s="381"/>
    </row>
    <row r="88" spans="1:254" s="447" customFormat="1">
      <c r="A88" s="382"/>
      <c r="B88" s="372"/>
      <c r="C88" s="423"/>
      <c r="D88" s="423"/>
      <c r="E88" s="1227"/>
      <c r="F88" s="934"/>
      <c r="G88" s="379"/>
      <c r="H88" s="381"/>
      <c r="I88" s="381"/>
      <c r="J88" s="381"/>
      <c r="K88" s="381"/>
      <c r="L88" s="381"/>
      <c r="M88" s="381"/>
      <c r="N88" s="381"/>
      <c r="O88" s="381"/>
      <c r="P88" s="381"/>
      <c r="Q88" s="381"/>
      <c r="R88" s="381"/>
      <c r="S88" s="381"/>
      <c r="T88" s="381"/>
      <c r="U88" s="381"/>
      <c r="V88" s="381"/>
      <c r="W88" s="381"/>
      <c r="X88" s="381"/>
      <c r="Y88" s="381"/>
      <c r="Z88" s="381"/>
      <c r="AA88" s="381"/>
      <c r="AB88" s="381"/>
      <c r="AC88" s="381"/>
      <c r="AD88" s="381"/>
      <c r="AE88" s="381"/>
      <c r="AF88" s="381"/>
      <c r="AG88" s="381"/>
      <c r="AH88" s="381"/>
      <c r="AI88" s="381"/>
      <c r="AJ88" s="381"/>
      <c r="AK88" s="381"/>
      <c r="AL88" s="381"/>
      <c r="AM88" s="381"/>
      <c r="AN88" s="381"/>
      <c r="AO88" s="381"/>
      <c r="AP88" s="381"/>
      <c r="AQ88" s="381"/>
      <c r="AR88" s="381"/>
      <c r="AS88" s="381"/>
      <c r="AT88" s="381"/>
      <c r="AU88" s="381"/>
      <c r="AV88" s="381"/>
      <c r="AW88" s="381"/>
      <c r="AX88" s="381"/>
      <c r="AY88" s="381"/>
      <c r="AZ88" s="381"/>
      <c r="BA88" s="381"/>
      <c r="BB88" s="381"/>
      <c r="BC88" s="381"/>
      <c r="BD88" s="381"/>
      <c r="BE88" s="381"/>
      <c r="BF88" s="381"/>
      <c r="BG88" s="381"/>
      <c r="BH88" s="381"/>
      <c r="BI88" s="381"/>
      <c r="BJ88" s="381"/>
      <c r="BK88" s="381"/>
      <c r="BL88" s="381"/>
      <c r="BM88" s="381"/>
      <c r="BN88" s="381"/>
      <c r="BO88" s="381"/>
      <c r="BP88" s="381"/>
      <c r="BQ88" s="381"/>
      <c r="BR88" s="381"/>
      <c r="BS88" s="381"/>
      <c r="BT88" s="381"/>
      <c r="BU88" s="381"/>
      <c r="BV88" s="381"/>
      <c r="BW88" s="381"/>
      <c r="BX88" s="381"/>
      <c r="BY88" s="381"/>
      <c r="BZ88" s="381"/>
      <c r="CA88" s="381"/>
      <c r="CB88" s="381"/>
      <c r="CC88" s="381"/>
      <c r="CD88" s="381"/>
      <c r="CE88" s="381"/>
      <c r="CF88" s="381"/>
      <c r="CG88" s="381"/>
      <c r="CH88" s="381"/>
      <c r="CI88" s="381"/>
      <c r="CJ88" s="381"/>
      <c r="CK88" s="381"/>
      <c r="CL88" s="381"/>
      <c r="CM88" s="381"/>
      <c r="CN88" s="381"/>
      <c r="CO88" s="381"/>
      <c r="CP88" s="381"/>
      <c r="CQ88" s="381"/>
      <c r="CR88" s="381"/>
      <c r="CS88" s="381"/>
      <c r="CT88" s="381"/>
      <c r="CU88" s="381"/>
      <c r="CV88" s="381"/>
      <c r="CW88" s="381"/>
      <c r="CX88" s="381"/>
      <c r="CY88" s="381"/>
      <c r="CZ88" s="381"/>
      <c r="DA88" s="381"/>
      <c r="DB88" s="381"/>
      <c r="DC88" s="381"/>
      <c r="DD88" s="381"/>
      <c r="DE88" s="381"/>
      <c r="DF88" s="381"/>
      <c r="DG88" s="381"/>
      <c r="DH88" s="381"/>
      <c r="DI88" s="381"/>
      <c r="DJ88" s="381"/>
      <c r="DK88" s="381"/>
      <c r="DL88" s="381"/>
      <c r="DM88" s="381"/>
      <c r="DN88" s="381"/>
      <c r="DO88" s="381"/>
      <c r="DP88" s="381"/>
      <c r="DQ88" s="381"/>
      <c r="DR88" s="381"/>
      <c r="DS88" s="381"/>
      <c r="DT88" s="381"/>
      <c r="DU88" s="381"/>
      <c r="DV88" s="381"/>
      <c r="DW88" s="381"/>
      <c r="DX88" s="381"/>
      <c r="DY88" s="381"/>
      <c r="DZ88" s="381"/>
      <c r="EA88" s="381"/>
      <c r="EB88" s="381"/>
      <c r="EC88" s="381"/>
      <c r="ED88" s="381"/>
      <c r="EE88" s="381"/>
      <c r="EF88" s="381"/>
      <c r="EG88" s="381"/>
      <c r="EH88" s="381"/>
      <c r="EI88" s="381"/>
      <c r="EJ88" s="381"/>
      <c r="EK88" s="381"/>
      <c r="EL88" s="381"/>
      <c r="EM88" s="381"/>
      <c r="EN88" s="381"/>
      <c r="EO88" s="381"/>
      <c r="EP88" s="381"/>
      <c r="EQ88" s="381"/>
      <c r="ER88" s="381"/>
      <c r="ES88" s="381"/>
      <c r="ET88" s="381"/>
      <c r="EU88" s="381"/>
      <c r="EV88" s="381"/>
      <c r="EW88" s="381"/>
      <c r="EX88" s="381"/>
      <c r="EY88" s="381"/>
      <c r="EZ88" s="381"/>
      <c r="FA88" s="381"/>
      <c r="FB88" s="381"/>
      <c r="FC88" s="381"/>
      <c r="FD88" s="381"/>
      <c r="FE88" s="381"/>
      <c r="FF88" s="381"/>
      <c r="FG88" s="381"/>
      <c r="FH88" s="381"/>
      <c r="FI88" s="381"/>
      <c r="FJ88" s="381"/>
      <c r="FK88" s="381"/>
      <c r="FL88" s="381"/>
      <c r="FM88" s="381"/>
      <c r="FN88" s="381"/>
      <c r="FO88" s="381"/>
      <c r="FP88" s="381"/>
      <c r="FQ88" s="381"/>
      <c r="FR88" s="381"/>
      <c r="FS88" s="381"/>
      <c r="FT88" s="381"/>
      <c r="FU88" s="381"/>
      <c r="FV88" s="381"/>
      <c r="FW88" s="381"/>
      <c r="FX88" s="381"/>
      <c r="FY88" s="381"/>
      <c r="FZ88" s="381"/>
      <c r="GA88" s="381"/>
      <c r="GB88" s="381"/>
      <c r="GC88" s="381"/>
      <c r="GD88" s="381"/>
      <c r="GE88" s="381"/>
      <c r="GF88" s="381"/>
      <c r="GG88" s="381"/>
      <c r="GH88" s="381"/>
      <c r="GI88" s="381"/>
      <c r="GJ88" s="381"/>
      <c r="GK88" s="381"/>
      <c r="GL88" s="381"/>
      <c r="GM88" s="381"/>
      <c r="GN88" s="381"/>
      <c r="GO88" s="381"/>
      <c r="GP88" s="381"/>
      <c r="GQ88" s="381"/>
      <c r="GR88" s="381"/>
      <c r="GS88" s="381"/>
      <c r="GT88" s="381"/>
      <c r="GU88" s="381"/>
      <c r="GV88" s="381"/>
      <c r="GW88" s="381"/>
      <c r="GX88" s="381"/>
      <c r="GY88" s="381"/>
      <c r="GZ88" s="381"/>
      <c r="HA88" s="381"/>
      <c r="HB88" s="381"/>
      <c r="HC88" s="381"/>
      <c r="HD88" s="381"/>
      <c r="HE88" s="381"/>
      <c r="HF88" s="381"/>
      <c r="HG88" s="381"/>
      <c r="HH88" s="381"/>
      <c r="HI88" s="381"/>
      <c r="HJ88" s="381"/>
      <c r="HK88" s="381"/>
      <c r="HL88" s="381"/>
      <c r="HM88" s="381"/>
      <c r="HN88" s="381"/>
      <c r="HO88" s="381"/>
      <c r="HP88" s="381"/>
      <c r="HQ88" s="381"/>
      <c r="HR88" s="381"/>
      <c r="HS88" s="381"/>
      <c r="HT88" s="381"/>
      <c r="HU88" s="381"/>
      <c r="HV88" s="381"/>
      <c r="HW88" s="381"/>
      <c r="HX88" s="381"/>
      <c r="HY88" s="381"/>
      <c r="HZ88" s="381"/>
      <c r="IA88" s="381"/>
      <c r="IB88" s="381"/>
      <c r="IC88" s="381"/>
      <c r="ID88" s="381"/>
      <c r="IE88" s="381"/>
      <c r="IF88" s="381"/>
      <c r="IG88" s="381"/>
      <c r="IH88" s="381"/>
      <c r="II88" s="381"/>
      <c r="IJ88" s="381"/>
      <c r="IK88" s="381"/>
      <c r="IL88" s="381"/>
      <c r="IM88" s="381"/>
      <c r="IN88" s="381"/>
      <c r="IO88" s="381"/>
      <c r="IP88" s="381"/>
      <c r="IQ88" s="381"/>
      <c r="IR88" s="381"/>
      <c r="IS88" s="381"/>
      <c r="IT88" s="381"/>
    </row>
    <row r="89" spans="1:254" s="447" customFormat="1">
      <c r="A89" s="382"/>
      <c r="B89" s="372" t="s">
        <v>1911</v>
      </c>
      <c r="C89" s="382" t="s">
        <v>1818</v>
      </c>
      <c r="D89" s="441">
        <f>D84</f>
        <v>17</v>
      </c>
      <c r="E89" s="1338">
        <v>10</v>
      </c>
      <c r="F89" s="912">
        <f>D89*E89</f>
        <v>170</v>
      </c>
      <c r="G89" s="379"/>
      <c r="H89" s="381"/>
      <c r="I89" s="381"/>
      <c r="J89" s="381"/>
      <c r="K89" s="381"/>
      <c r="L89" s="381"/>
      <c r="M89" s="381"/>
      <c r="N89" s="381"/>
      <c r="O89" s="381"/>
      <c r="P89" s="381"/>
      <c r="Q89" s="381"/>
      <c r="R89" s="381"/>
      <c r="S89" s="381"/>
      <c r="T89" s="381"/>
      <c r="U89" s="381"/>
      <c r="V89" s="381"/>
      <c r="W89" s="381"/>
      <c r="X89" s="381"/>
      <c r="Y89" s="381"/>
      <c r="Z89" s="381"/>
      <c r="AA89" s="381"/>
      <c r="AB89" s="381"/>
      <c r="AC89" s="381"/>
      <c r="AD89" s="381"/>
      <c r="AE89" s="381"/>
      <c r="AF89" s="381"/>
      <c r="AG89" s="381"/>
      <c r="AH89" s="381"/>
      <c r="AI89" s="381"/>
      <c r="AJ89" s="381"/>
      <c r="AK89" s="381"/>
      <c r="AL89" s="381"/>
      <c r="AM89" s="381"/>
      <c r="AN89" s="381"/>
      <c r="AO89" s="381"/>
      <c r="AP89" s="381"/>
      <c r="AQ89" s="381"/>
      <c r="AR89" s="381"/>
      <c r="AS89" s="381"/>
      <c r="AT89" s="381"/>
      <c r="AU89" s="381"/>
      <c r="AV89" s="381"/>
      <c r="AW89" s="381"/>
      <c r="AX89" s="381"/>
      <c r="AY89" s="381"/>
      <c r="AZ89" s="381"/>
      <c r="BA89" s="381"/>
      <c r="BB89" s="381"/>
      <c r="BC89" s="381"/>
      <c r="BD89" s="381"/>
      <c r="BE89" s="381"/>
      <c r="BF89" s="381"/>
      <c r="BG89" s="381"/>
      <c r="BH89" s="381"/>
      <c r="BI89" s="381"/>
      <c r="BJ89" s="381"/>
      <c r="BK89" s="381"/>
      <c r="BL89" s="381"/>
      <c r="BM89" s="381"/>
      <c r="BN89" s="381"/>
      <c r="BO89" s="381"/>
      <c r="BP89" s="381"/>
      <c r="BQ89" s="381"/>
      <c r="BR89" s="381"/>
      <c r="BS89" s="381"/>
      <c r="BT89" s="381"/>
      <c r="BU89" s="381"/>
      <c r="BV89" s="381"/>
      <c r="BW89" s="381"/>
      <c r="BX89" s="381"/>
      <c r="BY89" s="381"/>
      <c r="BZ89" s="381"/>
      <c r="CA89" s="381"/>
      <c r="CB89" s="381"/>
      <c r="CC89" s="381"/>
      <c r="CD89" s="381"/>
      <c r="CE89" s="381"/>
      <c r="CF89" s="381"/>
      <c r="CG89" s="381"/>
      <c r="CH89" s="381"/>
      <c r="CI89" s="381"/>
      <c r="CJ89" s="381"/>
      <c r="CK89" s="381"/>
      <c r="CL89" s="381"/>
      <c r="CM89" s="381"/>
      <c r="CN89" s="381"/>
      <c r="CO89" s="381"/>
      <c r="CP89" s="381"/>
      <c r="CQ89" s="381"/>
      <c r="CR89" s="381"/>
      <c r="CS89" s="381"/>
      <c r="CT89" s="381"/>
      <c r="CU89" s="381"/>
      <c r="CV89" s="381"/>
      <c r="CW89" s="381"/>
      <c r="CX89" s="381"/>
      <c r="CY89" s="381"/>
      <c r="CZ89" s="381"/>
      <c r="DA89" s="381"/>
      <c r="DB89" s="381"/>
      <c r="DC89" s="381"/>
      <c r="DD89" s="381"/>
      <c r="DE89" s="381"/>
      <c r="DF89" s="381"/>
      <c r="DG89" s="381"/>
      <c r="DH89" s="381"/>
      <c r="DI89" s="381"/>
      <c r="DJ89" s="381"/>
      <c r="DK89" s="381"/>
      <c r="DL89" s="381"/>
      <c r="DM89" s="381"/>
      <c r="DN89" s="381"/>
      <c r="DO89" s="381"/>
      <c r="DP89" s="381"/>
      <c r="DQ89" s="381"/>
      <c r="DR89" s="381"/>
      <c r="DS89" s="381"/>
      <c r="DT89" s="381"/>
      <c r="DU89" s="381"/>
      <c r="DV89" s="381"/>
      <c r="DW89" s="381"/>
      <c r="DX89" s="381"/>
      <c r="DY89" s="381"/>
      <c r="DZ89" s="381"/>
      <c r="EA89" s="381"/>
      <c r="EB89" s="381"/>
      <c r="EC89" s="381"/>
      <c r="ED89" s="381"/>
      <c r="EE89" s="381"/>
      <c r="EF89" s="381"/>
      <c r="EG89" s="381"/>
      <c r="EH89" s="381"/>
      <c r="EI89" s="381"/>
      <c r="EJ89" s="381"/>
      <c r="EK89" s="381"/>
      <c r="EL89" s="381"/>
      <c r="EM89" s="381"/>
      <c r="EN89" s="381"/>
      <c r="EO89" s="381"/>
      <c r="EP89" s="381"/>
      <c r="EQ89" s="381"/>
      <c r="ER89" s="381"/>
      <c r="ES89" s="381"/>
      <c r="ET89" s="381"/>
      <c r="EU89" s="381"/>
      <c r="EV89" s="381"/>
      <c r="EW89" s="381"/>
      <c r="EX89" s="381"/>
      <c r="EY89" s="381"/>
      <c r="EZ89" s="381"/>
      <c r="FA89" s="381"/>
      <c r="FB89" s="381"/>
      <c r="FC89" s="381"/>
      <c r="FD89" s="381"/>
      <c r="FE89" s="381"/>
      <c r="FF89" s="381"/>
      <c r="FG89" s="381"/>
      <c r="FH89" s="381"/>
      <c r="FI89" s="381"/>
      <c r="FJ89" s="381"/>
      <c r="FK89" s="381"/>
      <c r="FL89" s="381"/>
      <c r="FM89" s="381"/>
      <c r="FN89" s="381"/>
      <c r="FO89" s="381"/>
      <c r="FP89" s="381"/>
      <c r="FQ89" s="381"/>
      <c r="FR89" s="381"/>
      <c r="FS89" s="381"/>
      <c r="FT89" s="381"/>
      <c r="FU89" s="381"/>
      <c r="FV89" s="381"/>
      <c r="FW89" s="381"/>
      <c r="FX89" s="381"/>
      <c r="FY89" s="381"/>
      <c r="FZ89" s="381"/>
      <c r="GA89" s="381"/>
      <c r="GB89" s="381"/>
      <c r="GC89" s="381"/>
      <c r="GD89" s="381"/>
      <c r="GE89" s="381"/>
      <c r="GF89" s="381"/>
      <c r="GG89" s="381"/>
      <c r="GH89" s="381"/>
      <c r="GI89" s="381"/>
      <c r="GJ89" s="381"/>
      <c r="GK89" s="381"/>
      <c r="GL89" s="381"/>
      <c r="GM89" s="381"/>
      <c r="GN89" s="381"/>
      <c r="GO89" s="381"/>
      <c r="GP89" s="381"/>
      <c r="GQ89" s="381"/>
      <c r="GR89" s="381"/>
      <c r="GS89" s="381"/>
      <c r="GT89" s="381"/>
      <c r="GU89" s="381"/>
      <c r="GV89" s="381"/>
      <c r="GW89" s="381"/>
      <c r="GX89" s="381"/>
      <c r="GY89" s="381"/>
      <c r="GZ89" s="381"/>
      <c r="HA89" s="381"/>
      <c r="HB89" s="381"/>
      <c r="HC89" s="381"/>
      <c r="HD89" s="381"/>
      <c r="HE89" s="381"/>
      <c r="HF89" s="381"/>
      <c r="HG89" s="381"/>
      <c r="HH89" s="381"/>
      <c r="HI89" s="381"/>
      <c r="HJ89" s="381"/>
      <c r="HK89" s="381"/>
      <c r="HL89" s="381"/>
      <c r="HM89" s="381"/>
      <c r="HN89" s="381"/>
      <c r="HO89" s="381"/>
      <c r="HP89" s="381"/>
      <c r="HQ89" s="381"/>
      <c r="HR89" s="381"/>
      <c r="HS89" s="381"/>
      <c r="HT89" s="381"/>
      <c r="HU89" s="381"/>
      <c r="HV89" s="381"/>
      <c r="HW89" s="381"/>
      <c r="HX89" s="381"/>
      <c r="HY89" s="381"/>
      <c r="HZ89" s="381"/>
      <c r="IA89" s="381"/>
      <c r="IB89" s="381"/>
      <c r="IC89" s="381"/>
      <c r="ID89" s="381"/>
      <c r="IE89" s="381"/>
      <c r="IF89" s="381"/>
      <c r="IG89" s="381"/>
      <c r="IH89" s="381"/>
      <c r="II89" s="381"/>
      <c r="IJ89" s="381"/>
      <c r="IK89" s="381"/>
      <c r="IL89" s="381"/>
      <c r="IM89" s="381"/>
      <c r="IN89" s="381"/>
      <c r="IO89" s="381"/>
      <c r="IP89" s="381"/>
      <c r="IQ89" s="381"/>
      <c r="IR89" s="381"/>
      <c r="IS89" s="381"/>
      <c r="IT89" s="381"/>
    </row>
    <row r="90" spans="1:254" s="426" customFormat="1">
      <c r="A90" s="382"/>
      <c r="B90" s="372"/>
      <c r="C90" s="382"/>
      <c r="D90" s="382"/>
      <c r="E90" s="1234"/>
      <c r="F90" s="935"/>
      <c r="G90" s="379"/>
      <c r="H90" s="381"/>
      <c r="I90" s="381"/>
      <c r="J90" s="381"/>
      <c r="K90" s="381"/>
      <c r="L90" s="381"/>
      <c r="M90" s="381"/>
      <c r="N90" s="381"/>
      <c r="O90" s="381"/>
      <c r="P90" s="381"/>
      <c r="Q90" s="381"/>
      <c r="R90" s="381"/>
      <c r="S90" s="381"/>
      <c r="T90" s="381"/>
      <c r="U90" s="381"/>
      <c r="V90" s="381"/>
      <c r="W90" s="381"/>
      <c r="X90" s="381"/>
      <c r="Y90" s="381"/>
      <c r="Z90" s="381"/>
      <c r="AA90" s="381"/>
      <c r="AB90" s="381"/>
      <c r="AC90" s="381"/>
      <c r="AD90" s="381"/>
      <c r="AE90" s="381"/>
      <c r="AF90" s="381"/>
      <c r="AG90" s="381"/>
      <c r="AH90" s="381"/>
      <c r="AI90" s="381"/>
      <c r="AJ90" s="381"/>
      <c r="AK90" s="381"/>
      <c r="AL90" s="381"/>
      <c r="AM90" s="381"/>
      <c r="AN90" s="381"/>
      <c r="AO90" s="381"/>
      <c r="AP90" s="381"/>
      <c r="AQ90" s="381"/>
      <c r="AR90" s="381"/>
      <c r="AS90" s="381"/>
      <c r="AT90" s="381"/>
      <c r="AU90" s="381"/>
      <c r="AV90" s="381"/>
      <c r="AW90" s="381"/>
      <c r="AX90" s="381"/>
      <c r="AY90" s="381"/>
      <c r="AZ90" s="381"/>
      <c r="BA90" s="381"/>
      <c r="BB90" s="381"/>
      <c r="BC90" s="381"/>
      <c r="BD90" s="381"/>
      <c r="BE90" s="381"/>
      <c r="BF90" s="381"/>
      <c r="BG90" s="381"/>
      <c r="BH90" s="381"/>
      <c r="BI90" s="381"/>
      <c r="BJ90" s="381"/>
      <c r="BK90" s="381"/>
      <c r="BL90" s="381"/>
      <c r="BM90" s="381"/>
      <c r="BN90" s="381"/>
      <c r="BO90" s="381"/>
      <c r="BP90" s="381"/>
      <c r="BQ90" s="381"/>
      <c r="BR90" s="381"/>
      <c r="BS90" s="381"/>
      <c r="BT90" s="381"/>
      <c r="BU90" s="381"/>
      <c r="BV90" s="381"/>
      <c r="BW90" s="381"/>
      <c r="BX90" s="381"/>
      <c r="BY90" s="381"/>
      <c r="BZ90" s="381"/>
      <c r="CA90" s="381"/>
      <c r="CB90" s="381"/>
      <c r="CC90" s="381"/>
      <c r="CD90" s="381"/>
      <c r="CE90" s="381"/>
      <c r="CF90" s="381"/>
      <c r="CG90" s="381"/>
      <c r="CH90" s="381"/>
      <c r="CI90" s="381"/>
      <c r="CJ90" s="381"/>
      <c r="CK90" s="381"/>
      <c r="CL90" s="381"/>
      <c r="CM90" s="381"/>
      <c r="CN90" s="381"/>
      <c r="CO90" s="381"/>
      <c r="CP90" s="381"/>
      <c r="CQ90" s="381"/>
      <c r="CR90" s="381"/>
      <c r="CS90" s="381"/>
      <c r="CT90" s="381"/>
      <c r="CU90" s="381"/>
      <c r="CV90" s="381"/>
      <c r="CW90" s="381"/>
      <c r="CX90" s="381"/>
      <c r="CY90" s="381"/>
      <c r="CZ90" s="381"/>
      <c r="DA90" s="381"/>
      <c r="DB90" s="381"/>
      <c r="DC90" s="381"/>
      <c r="DD90" s="381"/>
      <c r="DE90" s="381"/>
      <c r="DF90" s="381"/>
      <c r="DG90" s="381"/>
      <c r="DH90" s="381"/>
      <c r="DI90" s="381"/>
      <c r="DJ90" s="381"/>
      <c r="DK90" s="381"/>
      <c r="DL90" s="381"/>
      <c r="DM90" s="381"/>
      <c r="DN90" s="381"/>
      <c r="DO90" s="381"/>
      <c r="DP90" s="381"/>
      <c r="DQ90" s="381"/>
      <c r="DR90" s="381"/>
      <c r="DS90" s="381"/>
      <c r="DT90" s="381"/>
      <c r="DU90" s="381"/>
      <c r="DV90" s="381"/>
      <c r="DW90" s="381"/>
      <c r="DX90" s="381"/>
      <c r="DY90" s="381"/>
      <c r="DZ90" s="381"/>
      <c r="EA90" s="381"/>
      <c r="EB90" s="381"/>
      <c r="EC90" s="381"/>
      <c r="ED90" s="381"/>
      <c r="EE90" s="381"/>
      <c r="EF90" s="381"/>
      <c r="EG90" s="381"/>
      <c r="EH90" s="381"/>
      <c r="EI90" s="381"/>
      <c r="EJ90" s="381"/>
      <c r="EK90" s="381"/>
      <c r="EL90" s="381"/>
      <c r="EM90" s="381"/>
      <c r="EN90" s="381"/>
      <c r="EO90" s="381"/>
      <c r="EP90" s="381"/>
      <c r="EQ90" s="381"/>
      <c r="ER90" s="381"/>
      <c r="ES90" s="381"/>
      <c r="ET90" s="381"/>
      <c r="EU90" s="381"/>
      <c r="EV90" s="381"/>
      <c r="EW90" s="381"/>
      <c r="EX90" s="381"/>
      <c r="EY90" s="381"/>
      <c r="EZ90" s="381"/>
      <c r="FA90" s="381"/>
      <c r="FB90" s="381"/>
      <c r="FC90" s="381"/>
      <c r="FD90" s="381"/>
      <c r="FE90" s="381"/>
      <c r="FF90" s="381"/>
      <c r="FG90" s="381"/>
      <c r="FH90" s="381"/>
      <c r="FI90" s="381"/>
      <c r="FJ90" s="381"/>
      <c r="FK90" s="381"/>
      <c r="FL90" s="381"/>
      <c r="FM90" s="381"/>
      <c r="FN90" s="381"/>
      <c r="FO90" s="381"/>
      <c r="FP90" s="381"/>
      <c r="FQ90" s="381"/>
      <c r="FR90" s="381"/>
      <c r="FS90" s="381"/>
      <c r="FT90" s="381"/>
      <c r="FU90" s="381"/>
      <c r="FV90" s="381"/>
      <c r="FW90" s="381"/>
      <c r="FX90" s="381"/>
      <c r="FY90" s="381"/>
      <c r="FZ90" s="381"/>
      <c r="GA90" s="381"/>
      <c r="GB90" s="381"/>
      <c r="GC90" s="381"/>
      <c r="GD90" s="381"/>
      <c r="GE90" s="381"/>
      <c r="GF90" s="381"/>
      <c r="GG90" s="381"/>
      <c r="GH90" s="381"/>
      <c r="GI90" s="381"/>
      <c r="GJ90" s="381"/>
      <c r="GK90" s="381"/>
      <c r="GL90" s="381"/>
      <c r="GM90" s="381"/>
      <c r="GN90" s="381"/>
      <c r="GO90" s="381"/>
      <c r="GP90" s="381"/>
      <c r="GQ90" s="381"/>
      <c r="GR90" s="381"/>
      <c r="GS90" s="381"/>
      <c r="GT90" s="381"/>
      <c r="GU90" s="381"/>
      <c r="GV90" s="381"/>
      <c r="GW90" s="381"/>
      <c r="GX90" s="381"/>
      <c r="GY90" s="381"/>
      <c r="GZ90" s="381"/>
      <c r="HA90" s="381"/>
      <c r="HB90" s="381"/>
      <c r="HC90" s="381"/>
      <c r="HD90" s="381"/>
      <c r="HE90" s="381"/>
      <c r="HF90" s="381"/>
      <c r="HG90" s="381"/>
      <c r="HH90" s="381"/>
      <c r="HI90" s="381"/>
      <c r="HJ90" s="381"/>
      <c r="HK90" s="381"/>
      <c r="HL90" s="381"/>
      <c r="HM90" s="381"/>
      <c r="HN90" s="381"/>
      <c r="HO90" s="381"/>
      <c r="HP90" s="381"/>
      <c r="HQ90" s="381"/>
      <c r="HR90" s="381"/>
      <c r="HS90" s="381"/>
      <c r="HT90" s="381"/>
      <c r="HU90" s="381"/>
      <c r="HV90" s="381"/>
      <c r="HW90" s="381"/>
      <c r="HX90" s="381"/>
      <c r="HY90" s="381"/>
      <c r="HZ90" s="381"/>
      <c r="IA90" s="381"/>
      <c r="IB90" s="381"/>
      <c r="IC90" s="381"/>
      <c r="ID90" s="381"/>
      <c r="IE90" s="381"/>
      <c r="IF90" s="381"/>
      <c r="IG90" s="381"/>
      <c r="IH90" s="381"/>
      <c r="II90" s="381"/>
      <c r="IJ90" s="381"/>
      <c r="IK90" s="381"/>
      <c r="IL90" s="381"/>
      <c r="IM90" s="381"/>
      <c r="IN90" s="381"/>
      <c r="IO90" s="381"/>
      <c r="IP90" s="381"/>
      <c r="IQ90" s="381"/>
      <c r="IR90" s="381"/>
      <c r="IS90" s="381"/>
      <c r="IT90" s="381"/>
    </row>
    <row r="91" spans="1:254" s="426" customFormat="1">
      <c r="A91" s="382" t="s">
        <v>1918</v>
      </c>
      <c r="B91" s="372"/>
      <c r="C91" s="382"/>
      <c r="D91" s="382"/>
      <c r="E91" s="1234"/>
      <c r="F91" s="935"/>
      <c r="G91" s="379"/>
      <c r="H91" s="381"/>
      <c r="I91" s="381"/>
      <c r="J91" s="381"/>
      <c r="K91" s="381"/>
      <c r="L91" s="381"/>
      <c r="M91" s="381"/>
      <c r="N91" s="381"/>
      <c r="O91" s="381"/>
      <c r="P91" s="381"/>
      <c r="Q91" s="381"/>
      <c r="R91" s="381"/>
      <c r="S91" s="381"/>
      <c r="T91" s="381"/>
      <c r="U91" s="381"/>
      <c r="V91" s="381"/>
      <c r="W91" s="381"/>
      <c r="X91" s="381"/>
      <c r="Y91" s="381"/>
      <c r="Z91" s="381"/>
      <c r="AA91" s="381"/>
      <c r="AB91" s="381"/>
      <c r="AC91" s="381"/>
      <c r="AD91" s="381"/>
      <c r="AE91" s="381"/>
      <c r="AF91" s="381"/>
      <c r="AG91" s="381"/>
      <c r="AH91" s="381"/>
      <c r="AI91" s="381"/>
      <c r="AJ91" s="381"/>
      <c r="AK91" s="381"/>
      <c r="AL91" s="381"/>
      <c r="AM91" s="381"/>
      <c r="AN91" s="381"/>
      <c r="AO91" s="381"/>
      <c r="AP91" s="381"/>
      <c r="AQ91" s="381"/>
      <c r="AR91" s="381"/>
      <c r="AS91" s="381"/>
      <c r="AT91" s="381"/>
      <c r="AU91" s="381"/>
      <c r="AV91" s="381"/>
      <c r="AW91" s="381"/>
      <c r="AX91" s="381"/>
      <c r="AY91" s="381"/>
      <c r="AZ91" s="381"/>
      <c r="BA91" s="381"/>
      <c r="BB91" s="381"/>
      <c r="BC91" s="381"/>
      <c r="BD91" s="381"/>
      <c r="BE91" s="381"/>
      <c r="BF91" s="381"/>
      <c r="BG91" s="381"/>
      <c r="BH91" s="381"/>
      <c r="BI91" s="381"/>
      <c r="BJ91" s="381"/>
      <c r="BK91" s="381"/>
      <c r="BL91" s="381"/>
      <c r="BM91" s="381"/>
      <c r="BN91" s="381"/>
      <c r="BO91" s="381"/>
      <c r="BP91" s="381"/>
      <c r="BQ91" s="381"/>
      <c r="BR91" s="381"/>
      <c r="BS91" s="381"/>
      <c r="BT91" s="381"/>
      <c r="BU91" s="381"/>
      <c r="BV91" s="381"/>
      <c r="BW91" s="381"/>
      <c r="BX91" s="381"/>
      <c r="BY91" s="381"/>
      <c r="BZ91" s="381"/>
      <c r="CA91" s="381"/>
      <c r="CB91" s="381"/>
      <c r="CC91" s="381"/>
      <c r="CD91" s="381"/>
      <c r="CE91" s="381"/>
      <c r="CF91" s="381"/>
      <c r="CG91" s="381"/>
      <c r="CH91" s="381"/>
      <c r="CI91" s="381"/>
      <c r="CJ91" s="381"/>
      <c r="CK91" s="381"/>
      <c r="CL91" s="381"/>
      <c r="CM91" s="381"/>
      <c r="CN91" s="381"/>
      <c r="CO91" s="381"/>
      <c r="CP91" s="381"/>
      <c r="CQ91" s="381"/>
      <c r="CR91" s="381"/>
      <c r="CS91" s="381"/>
      <c r="CT91" s="381"/>
      <c r="CU91" s="381"/>
      <c r="CV91" s="381"/>
      <c r="CW91" s="381"/>
      <c r="CX91" s="381"/>
      <c r="CY91" s="381"/>
      <c r="CZ91" s="381"/>
      <c r="DA91" s="381"/>
      <c r="DB91" s="381"/>
      <c r="DC91" s="381"/>
      <c r="DD91" s="381"/>
      <c r="DE91" s="381"/>
      <c r="DF91" s="381"/>
      <c r="DG91" s="381"/>
      <c r="DH91" s="381"/>
      <c r="DI91" s="381"/>
      <c r="DJ91" s="381"/>
      <c r="DK91" s="381"/>
      <c r="DL91" s="381"/>
      <c r="DM91" s="381"/>
      <c r="DN91" s="381"/>
      <c r="DO91" s="381"/>
      <c r="DP91" s="381"/>
      <c r="DQ91" s="381"/>
      <c r="DR91" s="381"/>
      <c r="DS91" s="381"/>
      <c r="DT91" s="381"/>
      <c r="DU91" s="381"/>
      <c r="DV91" s="381"/>
      <c r="DW91" s="381"/>
      <c r="DX91" s="381"/>
      <c r="DY91" s="381"/>
      <c r="DZ91" s="381"/>
      <c r="EA91" s="381"/>
      <c r="EB91" s="381"/>
      <c r="EC91" s="381"/>
      <c r="ED91" s="381"/>
      <c r="EE91" s="381"/>
      <c r="EF91" s="381"/>
      <c r="EG91" s="381"/>
      <c r="EH91" s="381"/>
      <c r="EI91" s="381"/>
      <c r="EJ91" s="381"/>
      <c r="EK91" s="381"/>
      <c r="EL91" s="381"/>
      <c r="EM91" s="381"/>
      <c r="EN91" s="381"/>
      <c r="EO91" s="381"/>
      <c r="EP91" s="381"/>
      <c r="EQ91" s="381"/>
      <c r="ER91" s="381"/>
      <c r="ES91" s="381"/>
      <c r="ET91" s="381"/>
      <c r="EU91" s="381"/>
      <c r="EV91" s="381"/>
      <c r="EW91" s="381"/>
      <c r="EX91" s="381"/>
      <c r="EY91" s="381"/>
      <c r="EZ91" s="381"/>
      <c r="FA91" s="381"/>
      <c r="FB91" s="381"/>
      <c r="FC91" s="381"/>
      <c r="FD91" s="381"/>
      <c r="FE91" s="381"/>
      <c r="FF91" s="381"/>
      <c r="FG91" s="381"/>
      <c r="FH91" s="381"/>
      <c r="FI91" s="381"/>
      <c r="FJ91" s="381"/>
      <c r="FK91" s="381"/>
      <c r="FL91" s="381"/>
      <c r="FM91" s="381"/>
      <c r="FN91" s="381"/>
      <c r="FO91" s="381"/>
      <c r="FP91" s="381"/>
      <c r="FQ91" s="381"/>
      <c r="FR91" s="381"/>
      <c r="FS91" s="381"/>
      <c r="FT91" s="381"/>
      <c r="FU91" s="381"/>
      <c r="FV91" s="381"/>
      <c r="FW91" s="381"/>
      <c r="FX91" s="381"/>
      <c r="FY91" s="381"/>
      <c r="FZ91" s="381"/>
      <c r="GA91" s="381"/>
      <c r="GB91" s="381"/>
      <c r="GC91" s="381"/>
      <c r="GD91" s="381"/>
      <c r="GE91" s="381"/>
      <c r="GF91" s="381"/>
      <c r="GG91" s="381"/>
      <c r="GH91" s="381"/>
      <c r="GI91" s="381"/>
      <c r="GJ91" s="381"/>
      <c r="GK91" s="381"/>
      <c r="GL91" s="381"/>
      <c r="GM91" s="381"/>
      <c r="GN91" s="381"/>
      <c r="GO91" s="381"/>
      <c r="GP91" s="381"/>
      <c r="GQ91" s="381"/>
      <c r="GR91" s="381"/>
      <c r="GS91" s="381"/>
      <c r="GT91" s="381"/>
      <c r="GU91" s="381"/>
      <c r="GV91" s="381"/>
      <c r="GW91" s="381"/>
      <c r="GX91" s="381"/>
      <c r="GY91" s="381"/>
      <c r="GZ91" s="381"/>
      <c r="HA91" s="381"/>
      <c r="HB91" s="381"/>
      <c r="HC91" s="381"/>
      <c r="HD91" s="381"/>
      <c r="HE91" s="381"/>
      <c r="HF91" s="381"/>
      <c r="HG91" s="381"/>
      <c r="HH91" s="381"/>
      <c r="HI91" s="381"/>
      <c r="HJ91" s="381"/>
      <c r="HK91" s="381"/>
      <c r="HL91" s="381"/>
      <c r="HM91" s="381"/>
      <c r="HN91" s="381"/>
      <c r="HO91" s="381"/>
      <c r="HP91" s="381"/>
      <c r="HQ91" s="381"/>
      <c r="HR91" s="381"/>
      <c r="HS91" s="381"/>
      <c r="HT91" s="381"/>
      <c r="HU91" s="381"/>
      <c r="HV91" s="381"/>
      <c r="HW91" s="381"/>
      <c r="HX91" s="381"/>
      <c r="HY91" s="381"/>
      <c r="HZ91" s="381"/>
      <c r="IA91" s="381"/>
      <c r="IB91" s="381"/>
      <c r="IC91" s="381"/>
      <c r="ID91" s="381"/>
      <c r="IE91" s="381"/>
      <c r="IF91" s="381"/>
      <c r="IG91" s="381"/>
      <c r="IH91" s="381"/>
      <c r="II91" s="381"/>
      <c r="IJ91" s="381"/>
      <c r="IK91" s="381"/>
      <c r="IL91" s="381"/>
      <c r="IM91" s="381"/>
      <c r="IN91" s="381"/>
      <c r="IO91" s="381"/>
      <c r="IP91" s="381"/>
      <c r="IQ91" s="381"/>
      <c r="IR91" s="381"/>
      <c r="IS91" s="381"/>
      <c r="IT91" s="381"/>
    </row>
    <row r="92" spans="1:254" s="426" customFormat="1" ht="39.6">
      <c r="A92" s="382"/>
      <c r="B92" s="449" t="s">
        <v>1919</v>
      </c>
      <c r="C92" s="382"/>
      <c r="D92" s="382"/>
      <c r="E92" s="1234"/>
      <c r="F92" s="935"/>
      <c r="G92" s="379"/>
      <c r="H92" s="381"/>
      <c r="I92" s="381"/>
      <c r="J92" s="381"/>
      <c r="K92" s="381"/>
      <c r="L92" s="381"/>
      <c r="M92" s="381"/>
      <c r="N92" s="381"/>
      <c r="O92" s="381"/>
      <c r="P92" s="381"/>
      <c r="Q92" s="381"/>
      <c r="R92" s="381"/>
      <c r="S92" s="381"/>
      <c r="T92" s="381"/>
      <c r="U92" s="381"/>
      <c r="V92" s="381"/>
      <c r="W92" s="381"/>
      <c r="X92" s="381"/>
      <c r="Y92" s="381"/>
      <c r="Z92" s="381"/>
      <c r="AA92" s="381"/>
      <c r="AB92" s="381"/>
      <c r="AC92" s="381"/>
      <c r="AD92" s="381"/>
      <c r="AE92" s="381"/>
      <c r="AF92" s="381"/>
      <c r="AG92" s="381"/>
      <c r="AH92" s="381"/>
      <c r="AI92" s="381"/>
      <c r="AJ92" s="381"/>
      <c r="AK92" s="381"/>
      <c r="AL92" s="381"/>
      <c r="AM92" s="381"/>
      <c r="AN92" s="381"/>
      <c r="AO92" s="381"/>
      <c r="AP92" s="381"/>
      <c r="AQ92" s="381"/>
      <c r="AR92" s="381"/>
      <c r="AS92" s="381"/>
      <c r="AT92" s="381"/>
      <c r="AU92" s="381"/>
      <c r="AV92" s="381"/>
      <c r="AW92" s="381"/>
      <c r="AX92" s="381"/>
      <c r="AY92" s="381"/>
      <c r="AZ92" s="381"/>
      <c r="BA92" s="381"/>
      <c r="BB92" s="381"/>
      <c r="BC92" s="381"/>
      <c r="BD92" s="381"/>
      <c r="BE92" s="381"/>
      <c r="BF92" s="381"/>
      <c r="BG92" s="381"/>
      <c r="BH92" s="381"/>
      <c r="BI92" s="381"/>
      <c r="BJ92" s="381"/>
      <c r="BK92" s="381"/>
      <c r="BL92" s="381"/>
      <c r="BM92" s="381"/>
      <c r="BN92" s="381"/>
      <c r="BO92" s="381"/>
      <c r="BP92" s="381"/>
      <c r="BQ92" s="381"/>
      <c r="BR92" s="381"/>
      <c r="BS92" s="381"/>
      <c r="BT92" s="381"/>
      <c r="BU92" s="381"/>
      <c r="BV92" s="381"/>
      <c r="BW92" s="381"/>
      <c r="BX92" s="381"/>
      <c r="BY92" s="381"/>
      <c r="BZ92" s="381"/>
      <c r="CA92" s="381"/>
      <c r="CB92" s="381"/>
      <c r="CC92" s="381"/>
      <c r="CD92" s="381"/>
      <c r="CE92" s="381"/>
      <c r="CF92" s="381"/>
      <c r="CG92" s="381"/>
      <c r="CH92" s="381"/>
      <c r="CI92" s="381"/>
      <c r="CJ92" s="381"/>
      <c r="CK92" s="381"/>
      <c r="CL92" s="381"/>
      <c r="CM92" s="381"/>
      <c r="CN92" s="381"/>
      <c r="CO92" s="381"/>
      <c r="CP92" s="381"/>
      <c r="CQ92" s="381"/>
      <c r="CR92" s="381"/>
      <c r="CS92" s="381"/>
      <c r="CT92" s="381"/>
      <c r="CU92" s="381"/>
      <c r="CV92" s="381"/>
      <c r="CW92" s="381"/>
      <c r="CX92" s="381"/>
      <c r="CY92" s="381"/>
      <c r="CZ92" s="381"/>
      <c r="DA92" s="381"/>
      <c r="DB92" s="381"/>
      <c r="DC92" s="381"/>
      <c r="DD92" s="381"/>
      <c r="DE92" s="381"/>
      <c r="DF92" s="381"/>
      <c r="DG92" s="381"/>
      <c r="DH92" s="381"/>
      <c r="DI92" s="381"/>
      <c r="DJ92" s="381"/>
      <c r="DK92" s="381"/>
      <c r="DL92" s="381"/>
      <c r="DM92" s="381"/>
      <c r="DN92" s="381"/>
      <c r="DO92" s="381"/>
      <c r="DP92" s="381"/>
      <c r="DQ92" s="381"/>
      <c r="DR92" s="381"/>
      <c r="DS92" s="381"/>
      <c r="DT92" s="381"/>
      <c r="DU92" s="381"/>
      <c r="DV92" s="381"/>
      <c r="DW92" s="381"/>
      <c r="DX92" s="381"/>
      <c r="DY92" s="381"/>
      <c r="DZ92" s="381"/>
      <c r="EA92" s="381"/>
      <c r="EB92" s="381"/>
      <c r="EC92" s="381"/>
      <c r="ED92" s="381"/>
      <c r="EE92" s="381"/>
      <c r="EF92" s="381"/>
      <c r="EG92" s="381"/>
      <c r="EH92" s="381"/>
      <c r="EI92" s="381"/>
      <c r="EJ92" s="381"/>
      <c r="EK92" s="381"/>
      <c r="EL92" s="381"/>
      <c r="EM92" s="381"/>
      <c r="EN92" s="381"/>
      <c r="EO92" s="381"/>
      <c r="EP92" s="381"/>
      <c r="EQ92" s="381"/>
      <c r="ER92" s="381"/>
      <c r="ES92" s="381"/>
      <c r="ET92" s="381"/>
      <c r="EU92" s="381"/>
      <c r="EV92" s="381"/>
      <c r="EW92" s="381"/>
      <c r="EX92" s="381"/>
      <c r="EY92" s="381"/>
      <c r="EZ92" s="381"/>
      <c r="FA92" s="381"/>
      <c r="FB92" s="381"/>
      <c r="FC92" s="381"/>
      <c r="FD92" s="381"/>
      <c r="FE92" s="381"/>
      <c r="FF92" s="381"/>
      <c r="FG92" s="381"/>
      <c r="FH92" s="381"/>
      <c r="FI92" s="381"/>
      <c r="FJ92" s="381"/>
      <c r="FK92" s="381"/>
      <c r="FL92" s="381"/>
      <c r="FM92" s="381"/>
      <c r="FN92" s="381"/>
      <c r="FO92" s="381"/>
      <c r="FP92" s="381"/>
      <c r="FQ92" s="381"/>
      <c r="FR92" s="381"/>
      <c r="FS92" s="381"/>
      <c r="FT92" s="381"/>
      <c r="FU92" s="381"/>
      <c r="FV92" s="381"/>
      <c r="FW92" s="381"/>
      <c r="FX92" s="381"/>
      <c r="FY92" s="381"/>
      <c r="FZ92" s="381"/>
      <c r="GA92" s="381"/>
      <c r="GB92" s="381"/>
      <c r="GC92" s="381"/>
      <c r="GD92" s="381"/>
      <c r="GE92" s="381"/>
      <c r="GF92" s="381"/>
      <c r="GG92" s="381"/>
      <c r="GH92" s="381"/>
      <c r="GI92" s="381"/>
      <c r="GJ92" s="381"/>
      <c r="GK92" s="381"/>
      <c r="GL92" s="381"/>
      <c r="GM92" s="381"/>
      <c r="GN92" s="381"/>
      <c r="GO92" s="381"/>
      <c r="GP92" s="381"/>
      <c r="GQ92" s="381"/>
      <c r="GR92" s="381"/>
      <c r="GS92" s="381"/>
      <c r="GT92" s="381"/>
      <c r="GU92" s="381"/>
      <c r="GV92" s="381"/>
      <c r="GW92" s="381"/>
      <c r="GX92" s="381"/>
      <c r="GY92" s="381"/>
      <c r="GZ92" s="381"/>
      <c r="HA92" s="381"/>
      <c r="HB92" s="381"/>
      <c r="HC92" s="381"/>
      <c r="HD92" s="381"/>
      <c r="HE92" s="381"/>
      <c r="HF92" s="381"/>
      <c r="HG92" s="381"/>
      <c r="HH92" s="381"/>
      <c r="HI92" s="381"/>
      <c r="HJ92" s="381"/>
      <c r="HK92" s="381"/>
      <c r="HL92" s="381"/>
      <c r="HM92" s="381"/>
      <c r="HN92" s="381"/>
      <c r="HO92" s="381"/>
      <c r="HP92" s="381"/>
      <c r="HQ92" s="381"/>
      <c r="HR92" s="381"/>
      <c r="HS92" s="381"/>
      <c r="HT92" s="381"/>
      <c r="HU92" s="381"/>
      <c r="HV92" s="381"/>
      <c r="HW92" s="381"/>
      <c r="HX92" s="381"/>
      <c r="HY92" s="381"/>
      <c r="HZ92" s="381"/>
      <c r="IA92" s="381"/>
      <c r="IB92" s="381"/>
      <c r="IC92" s="381"/>
      <c r="ID92" s="381"/>
      <c r="IE92" s="381"/>
      <c r="IF92" s="381"/>
      <c r="IG92" s="381"/>
      <c r="IH92" s="381"/>
      <c r="II92" s="381"/>
      <c r="IJ92" s="381"/>
      <c r="IK92" s="381"/>
      <c r="IL92" s="381"/>
      <c r="IM92" s="381"/>
      <c r="IN92" s="381"/>
      <c r="IO92" s="381"/>
      <c r="IP92" s="381"/>
      <c r="IQ92" s="381"/>
      <c r="IR92" s="381"/>
      <c r="IS92" s="381"/>
      <c r="IT92" s="381"/>
    </row>
    <row r="93" spans="1:254" s="426" customFormat="1">
      <c r="A93" s="382"/>
      <c r="B93" s="372"/>
      <c r="C93" s="423"/>
      <c r="D93" s="423"/>
      <c r="E93" s="1234"/>
      <c r="F93" s="935"/>
      <c r="G93" s="379"/>
      <c r="H93" s="381"/>
      <c r="I93" s="381"/>
      <c r="J93" s="381"/>
      <c r="K93" s="381"/>
      <c r="L93" s="381"/>
      <c r="M93" s="381"/>
      <c r="N93" s="381"/>
      <c r="O93" s="381"/>
      <c r="P93" s="381"/>
      <c r="Q93" s="381"/>
      <c r="R93" s="381"/>
      <c r="S93" s="381"/>
      <c r="T93" s="381"/>
      <c r="U93" s="381"/>
      <c r="V93" s="381"/>
      <c r="W93" s="381"/>
      <c r="X93" s="381"/>
      <c r="Y93" s="381"/>
      <c r="Z93" s="381"/>
      <c r="AA93" s="381"/>
      <c r="AB93" s="381"/>
      <c r="AC93" s="381"/>
      <c r="AD93" s="381"/>
      <c r="AE93" s="381"/>
      <c r="AF93" s="381"/>
      <c r="AG93" s="381"/>
      <c r="AH93" s="381"/>
      <c r="AI93" s="381"/>
      <c r="AJ93" s="381"/>
      <c r="AK93" s="381"/>
      <c r="AL93" s="381"/>
      <c r="AM93" s="381"/>
      <c r="AN93" s="381"/>
      <c r="AO93" s="381"/>
      <c r="AP93" s="381"/>
      <c r="AQ93" s="381"/>
      <c r="AR93" s="381"/>
      <c r="AS93" s="381"/>
      <c r="AT93" s="381"/>
      <c r="AU93" s="381"/>
      <c r="AV93" s="381"/>
      <c r="AW93" s="381"/>
      <c r="AX93" s="381"/>
      <c r="AY93" s="381"/>
      <c r="AZ93" s="381"/>
      <c r="BA93" s="381"/>
      <c r="BB93" s="381"/>
      <c r="BC93" s="381"/>
      <c r="BD93" s="381"/>
      <c r="BE93" s="381"/>
      <c r="BF93" s="381"/>
      <c r="BG93" s="381"/>
      <c r="BH93" s="381"/>
      <c r="BI93" s="381"/>
      <c r="BJ93" s="381"/>
      <c r="BK93" s="381"/>
      <c r="BL93" s="381"/>
      <c r="BM93" s="381"/>
      <c r="BN93" s="381"/>
      <c r="BO93" s="381"/>
      <c r="BP93" s="381"/>
      <c r="BQ93" s="381"/>
      <c r="BR93" s="381"/>
      <c r="BS93" s="381"/>
      <c r="BT93" s="381"/>
      <c r="BU93" s="381"/>
      <c r="BV93" s="381"/>
      <c r="BW93" s="381"/>
      <c r="BX93" s="381"/>
      <c r="BY93" s="381"/>
      <c r="BZ93" s="381"/>
      <c r="CA93" s="381"/>
      <c r="CB93" s="381"/>
      <c r="CC93" s="381"/>
      <c r="CD93" s="381"/>
      <c r="CE93" s="381"/>
      <c r="CF93" s="381"/>
      <c r="CG93" s="381"/>
      <c r="CH93" s="381"/>
      <c r="CI93" s="381"/>
      <c r="CJ93" s="381"/>
      <c r="CK93" s="381"/>
      <c r="CL93" s="381"/>
      <c r="CM93" s="381"/>
      <c r="CN93" s="381"/>
      <c r="CO93" s="381"/>
      <c r="CP93" s="381"/>
      <c r="CQ93" s="381"/>
      <c r="CR93" s="381"/>
      <c r="CS93" s="381"/>
      <c r="CT93" s="381"/>
      <c r="CU93" s="381"/>
      <c r="CV93" s="381"/>
      <c r="CW93" s="381"/>
      <c r="CX93" s="381"/>
      <c r="CY93" s="381"/>
      <c r="CZ93" s="381"/>
      <c r="DA93" s="381"/>
      <c r="DB93" s="381"/>
      <c r="DC93" s="381"/>
      <c r="DD93" s="381"/>
      <c r="DE93" s="381"/>
      <c r="DF93" s="381"/>
      <c r="DG93" s="381"/>
      <c r="DH93" s="381"/>
      <c r="DI93" s="381"/>
      <c r="DJ93" s="381"/>
      <c r="DK93" s="381"/>
      <c r="DL93" s="381"/>
      <c r="DM93" s="381"/>
      <c r="DN93" s="381"/>
      <c r="DO93" s="381"/>
      <c r="DP93" s="381"/>
      <c r="DQ93" s="381"/>
      <c r="DR93" s="381"/>
      <c r="DS93" s="381"/>
      <c r="DT93" s="381"/>
      <c r="DU93" s="381"/>
      <c r="DV93" s="381"/>
      <c r="DW93" s="381"/>
      <c r="DX93" s="381"/>
      <c r="DY93" s="381"/>
      <c r="DZ93" s="381"/>
      <c r="EA93" s="381"/>
      <c r="EB93" s="381"/>
      <c r="EC93" s="381"/>
      <c r="ED93" s="381"/>
      <c r="EE93" s="381"/>
      <c r="EF93" s="381"/>
      <c r="EG93" s="381"/>
      <c r="EH93" s="381"/>
      <c r="EI93" s="381"/>
      <c r="EJ93" s="381"/>
      <c r="EK93" s="381"/>
      <c r="EL93" s="381"/>
      <c r="EM93" s="381"/>
      <c r="EN93" s="381"/>
      <c r="EO93" s="381"/>
      <c r="EP93" s="381"/>
      <c r="EQ93" s="381"/>
      <c r="ER93" s="381"/>
      <c r="ES93" s="381"/>
      <c r="ET93" s="381"/>
      <c r="EU93" s="381"/>
      <c r="EV93" s="381"/>
      <c r="EW93" s="381"/>
      <c r="EX93" s="381"/>
      <c r="EY93" s="381"/>
      <c r="EZ93" s="381"/>
      <c r="FA93" s="381"/>
      <c r="FB93" s="381"/>
      <c r="FC93" s="381"/>
      <c r="FD93" s="381"/>
      <c r="FE93" s="381"/>
      <c r="FF93" s="381"/>
      <c r="FG93" s="381"/>
      <c r="FH93" s="381"/>
      <c r="FI93" s="381"/>
      <c r="FJ93" s="381"/>
      <c r="FK93" s="381"/>
      <c r="FL93" s="381"/>
      <c r="FM93" s="381"/>
      <c r="FN93" s="381"/>
      <c r="FO93" s="381"/>
      <c r="FP93" s="381"/>
      <c r="FQ93" s="381"/>
      <c r="FR93" s="381"/>
      <c r="FS93" s="381"/>
      <c r="FT93" s="381"/>
      <c r="FU93" s="381"/>
      <c r="FV93" s="381"/>
      <c r="FW93" s="381"/>
      <c r="FX93" s="381"/>
      <c r="FY93" s="381"/>
      <c r="FZ93" s="381"/>
      <c r="GA93" s="381"/>
      <c r="GB93" s="381"/>
      <c r="GC93" s="381"/>
      <c r="GD93" s="381"/>
      <c r="GE93" s="381"/>
      <c r="GF93" s="381"/>
      <c r="GG93" s="381"/>
      <c r="GH93" s="381"/>
      <c r="GI93" s="381"/>
      <c r="GJ93" s="381"/>
      <c r="GK93" s="381"/>
      <c r="GL93" s="381"/>
      <c r="GM93" s="381"/>
      <c r="GN93" s="381"/>
      <c r="GO93" s="381"/>
      <c r="GP93" s="381"/>
      <c r="GQ93" s="381"/>
      <c r="GR93" s="381"/>
      <c r="GS93" s="381"/>
      <c r="GT93" s="381"/>
      <c r="GU93" s="381"/>
      <c r="GV93" s="381"/>
      <c r="GW93" s="381"/>
      <c r="GX93" s="381"/>
      <c r="GY93" s="381"/>
      <c r="GZ93" s="381"/>
      <c r="HA93" s="381"/>
      <c r="HB93" s="381"/>
      <c r="HC93" s="381"/>
      <c r="HD93" s="381"/>
      <c r="HE93" s="381"/>
      <c r="HF93" s="381"/>
      <c r="HG93" s="381"/>
      <c r="HH93" s="381"/>
      <c r="HI93" s="381"/>
      <c r="HJ93" s="381"/>
      <c r="HK93" s="381"/>
      <c r="HL93" s="381"/>
      <c r="HM93" s="381"/>
      <c r="HN93" s="381"/>
      <c r="HO93" s="381"/>
      <c r="HP93" s="381"/>
      <c r="HQ93" s="381"/>
      <c r="HR93" s="381"/>
      <c r="HS93" s="381"/>
      <c r="HT93" s="381"/>
      <c r="HU93" s="381"/>
      <c r="HV93" s="381"/>
      <c r="HW93" s="381"/>
      <c r="HX93" s="381"/>
      <c r="HY93" s="381"/>
      <c r="HZ93" s="381"/>
      <c r="IA93" s="381"/>
      <c r="IB93" s="381"/>
      <c r="IC93" s="381"/>
      <c r="ID93" s="381"/>
      <c r="IE93" s="381"/>
      <c r="IF93" s="381"/>
      <c r="IG93" s="381"/>
      <c r="IH93" s="381"/>
      <c r="II93" s="381"/>
      <c r="IJ93" s="381"/>
      <c r="IK93" s="381"/>
      <c r="IL93" s="381"/>
      <c r="IM93" s="381"/>
      <c r="IN93" s="381"/>
      <c r="IO93" s="381"/>
      <c r="IP93" s="381"/>
      <c r="IQ93" s="381"/>
      <c r="IR93" s="381"/>
      <c r="IS93" s="381"/>
      <c r="IT93" s="381"/>
    </row>
    <row r="94" spans="1:254" s="426" customFormat="1">
      <c r="A94" s="382"/>
      <c r="B94" s="372" t="s">
        <v>1833</v>
      </c>
      <c r="C94" s="382" t="s">
        <v>1818</v>
      </c>
      <c r="D94" s="450">
        <v>2</v>
      </c>
      <c r="E94" s="1338">
        <v>50</v>
      </c>
      <c r="F94" s="912">
        <f>D94*E94</f>
        <v>100</v>
      </c>
      <c r="G94" s="379"/>
      <c r="H94" s="381"/>
      <c r="I94" s="381"/>
      <c r="J94" s="381"/>
      <c r="K94" s="381"/>
      <c r="L94" s="381"/>
      <c r="M94" s="381"/>
      <c r="N94" s="381"/>
      <c r="O94" s="381"/>
      <c r="P94" s="381"/>
      <c r="Q94" s="381"/>
      <c r="R94" s="381"/>
      <c r="S94" s="381"/>
      <c r="T94" s="381"/>
      <c r="U94" s="381"/>
      <c r="V94" s="381"/>
      <c r="W94" s="381"/>
      <c r="X94" s="381"/>
      <c r="Y94" s="381"/>
      <c r="Z94" s="381"/>
      <c r="AA94" s="381"/>
      <c r="AB94" s="381"/>
      <c r="AC94" s="381"/>
      <c r="AD94" s="381"/>
      <c r="AE94" s="381"/>
      <c r="AF94" s="381"/>
      <c r="AG94" s="381"/>
      <c r="AH94" s="381"/>
      <c r="AI94" s="381"/>
      <c r="AJ94" s="381"/>
      <c r="AK94" s="381"/>
      <c r="AL94" s="381"/>
      <c r="AM94" s="381"/>
      <c r="AN94" s="381"/>
      <c r="AO94" s="381"/>
      <c r="AP94" s="381"/>
      <c r="AQ94" s="381"/>
      <c r="AR94" s="381"/>
      <c r="AS94" s="381"/>
      <c r="AT94" s="381"/>
      <c r="AU94" s="381"/>
      <c r="AV94" s="381"/>
      <c r="AW94" s="381"/>
      <c r="AX94" s="381"/>
      <c r="AY94" s="381"/>
      <c r="AZ94" s="381"/>
      <c r="BA94" s="381"/>
      <c r="BB94" s="381"/>
      <c r="BC94" s="381"/>
      <c r="BD94" s="381"/>
      <c r="BE94" s="381"/>
      <c r="BF94" s="381"/>
      <c r="BG94" s="381"/>
      <c r="BH94" s="381"/>
      <c r="BI94" s="381"/>
      <c r="BJ94" s="381"/>
      <c r="BK94" s="381"/>
      <c r="BL94" s="381"/>
      <c r="BM94" s="381"/>
      <c r="BN94" s="381"/>
      <c r="BO94" s="381"/>
      <c r="BP94" s="381"/>
      <c r="BQ94" s="381"/>
      <c r="BR94" s="381"/>
      <c r="BS94" s="381"/>
      <c r="BT94" s="381"/>
      <c r="BU94" s="381"/>
      <c r="BV94" s="381"/>
      <c r="BW94" s="381"/>
      <c r="BX94" s="381"/>
      <c r="BY94" s="381"/>
      <c r="BZ94" s="381"/>
      <c r="CA94" s="381"/>
      <c r="CB94" s="381"/>
      <c r="CC94" s="381"/>
      <c r="CD94" s="381"/>
      <c r="CE94" s="381"/>
      <c r="CF94" s="381"/>
      <c r="CG94" s="381"/>
      <c r="CH94" s="381"/>
      <c r="CI94" s="381"/>
      <c r="CJ94" s="381"/>
      <c r="CK94" s="381"/>
      <c r="CL94" s="381"/>
      <c r="CM94" s="381"/>
      <c r="CN94" s="381"/>
      <c r="CO94" s="381"/>
      <c r="CP94" s="381"/>
      <c r="CQ94" s="381"/>
      <c r="CR94" s="381"/>
      <c r="CS94" s="381"/>
      <c r="CT94" s="381"/>
      <c r="CU94" s="381"/>
      <c r="CV94" s="381"/>
      <c r="CW94" s="381"/>
      <c r="CX94" s="381"/>
      <c r="CY94" s="381"/>
      <c r="CZ94" s="381"/>
      <c r="DA94" s="381"/>
      <c r="DB94" s="381"/>
      <c r="DC94" s="381"/>
      <c r="DD94" s="381"/>
      <c r="DE94" s="381"/>
      <c r="DF94" s="381"/>
      <c r="DG94" s="381"/>
      <c r="DH94" s="381"/>
      <c r="DI94" s="381"/>
      <c r="DJ94" s="381"/>
      <c r="DK94" s="381"/>
      <c r="DL94" s="381"/>
      <c r="DM94" s="381"/>
      <c r="DN94" s="381"/>
      <c r="DO94" s="381"/>
      <c r="DP94" s="381"/>
      <c r="DQ94" s="381"/>
      <c r="DR94" s="381"/>
      <c r="DS94" s="381"/>
      <c r="DT94" s="381"/>
      <c r="DU94" s="381"/>
      <c r="DV94" s="381"/>
      <c r="DW94" s="381"/>
      <c r="DX94" s="381"/>
      <c r="DY94" s="381"/>
      <c r="DZ94" s="381"/>
      <c r="EA94" s="381"/>
      <c r="EB94" s="381"/>
      <c r="EC94" s="381"/>
      <c r="ED94" s="381"/>
      <c r="EE94" s="381"/>
      <c r="EF94" s="381"/>
      <c r="EG94" s="381"/>
      <c r="EH94" s="381"/>
      <c r="EI94" s="381"/>
      <c r="EJ94" s="381"/>
      <c r="EK94" s="381"/>
      <c r="EL94" s="381"/>
      <c r="EM94" s="381"/>
      <c r="EN94" s="381"/>
      <c r="EO94" s="381"/>
      <c r="EP94" s="381"/>
      <c r="EQ94" s="381"/>
      <c r="ER94" s="381"/>
      <c r="ES94" s="381"/>
      <c r="ET94" s="381"/>
      <c r="EU94" s="381"/>
      <c r="EV94" s="381"/>
      <c r="EW94" s="381"/>
      <c r="EX94" s="381"/>
      <c r="EY94" s="381"/>
      <c r="EZ94" s="381"/>
      <c r="FA94" s="381"/>
      <c r="FB94" s="381"/>
      <c r="FC94" s="381"/>
      <c r="FD94" s="381"/>
      <c r="FE94" s="381"/>
      <c r="FF94" s="381"/>
      <c r="FG94" s="381"/>
      <c r="FH94" s="381"/>
      <c r="FI94" s="381"/>
      <c r="FJ94" s="381"/>
      <c r="FK94" s="381"/>
      <c r="FL94" s="381"/>
      <c r="FM94" s="381"/>
      <c r="FN94" s="381"/>
      <c r="FO94" s="381"/>
      <c r="FP94" s="381"/>
      <c r="FQ94" s="381"/>
      <c r="FR94" s="381"/>
      <c r="FS94" s="381"/>
      <c r="FT94" s="381"/>
      <c r="FU94" s="381"/>
      <c r="FV94" s="381"/>
      <c r="FW94" s="381"/>
      <c r="FX94" s="381"/>
      <c r="FY94" s="381"/>
      <c r="FZ94" s="381"/>
      <c r="GA94" s="381"/>
      <c r="GB94" s="381"/>
      <c r="GC94" s="381"/>
      <c r="GD94" s="381"/>
      <c r="GE94" s="381"/>
      <c r="GF94" s="381"/>
      <c r="GG94" s="381"/>
      <c r="GH94" s="381"/>
      <c r="GI94" s="381"/>
      <c r="GJ94" s="381"/>
      <c r="GK94" s="381"/>
      <c r="GL94" s="381"/>
      <c r="GM94" s="381"/>
      <c r="GN94" s="381"/>
      <c r="GO94" s="381"/>
      <c r="GP94" s="381"/>
      <c r="GQ94" s="381"/>
      <c r="GR94" s="381"/>
      <c r="GS94" s="381"/>
      <c r="GT94" s="381"/>
      <c r="GU94" s="381"/>
      <c r="GV94" s="381"/>
      <c r="GW94" s="381"/>
      <c r="GX94" s="381"/>
      <c r="GY94" s="381"/>
      <c r="GZ94" s="381"/>
      <c r="HA94" s="381"/>
      <c r="HB94" s="381"/>
      <c r="HC94" s="381"/>
      <c r="HD94" s="381"/>
      <c r="HE94" s="381"/>
      <c r="HF94" s="381"/>
      <c r="HG94" s="381"/>
      <c r="HH94" s="381"/>
      <c r="HI94" s="381"/>
      <c r="HJ94" s="381"/>
      <c r="HK94" s="381"/>
      <c r="HL94" s="381"/>
      <c r="HM94" s="381"/>
      <c r="HN94" s="381"/>
      <c r="HO94" s="381"/>
      <c r="HP94" s="381"/>
      <c r="HQ94" s="381"/>
      <c r="HR94" s="381"/>
      <c r="HS94" s="381"/>
      <c r="HT94" s="381"/>
      <c r="HU94" s="381"/>
      <c r="HV94" s="381"/>
      <c r="HW94" s="381"/>
      <c r="HX94" s="381"/>
      <c r="HY94" s="381"/>
      <c r="HZ94" s="381"/>
      <c r="IA94" s="381"/>
      <c r="IB94" s="381"/>
      <c r="IC94" s="381"/>
      <c r="ID94" s="381"/>
      <c r="IE94" s="381"/>
      <c r="IF94" s="381"/>
      <c r="IG94" s="381"/>
      <c r="IH94" s="381"/>
      <c r="II94" s="381"/>
      <c r="IJ94" s="381"/>
      <c r="IK94" s="381"/>
      <c r="IL94" s="381"/>
      <c r="IM94" s="381"/>
      <c r="IN94" s="381"/>
      <c r="IO94" s="381"/>
      <c r="IP94" s="381"/>
      <c r="IQ94" s="381"/>
      <c r="IR94" s="381"/>
      <c r="IS94" s="381"/>
      <c r="IT94" s="381"/>
    </row>
    <row r="95" spans="1:254" s="370" customFormat="1">
      <c r="A95" s="382"/>
      <c r="B95" s="372"/>
      <c r="C95" s="382"/>
      <c r="D95" s="382"/>
      <c r="E95" s="1235"/>
      <c r="F95" s="451"/>
      <c r="G95" s="379"/>
      <c r="H95" s="381"/>
      <c r="I95" s="381"/>
      <c r="J95" s="381"/>
      <c r="K95" s="381"/>
      <c r="L95" s="381"/>
      <c r="M95" s="381"/>
      <c r="N95" s="381"/>
      <c r="O95" s="381"/>
      <c r="P95" s="381"/>
      <c r="Q95" s="381"/>
      <c r="R95" s="381"/>
      <c r="S95" s="381"/>
      <c r="T95" s="381"/>
      <c r="U95" s="381"/>
      <c r="V95" s="381"/>
      <c r="W95" s="381"/>
      <c r="X95" s="381"/>
      <c r="Y95" s="381"/>
      <c r="Z95" s="381"/>
      <c r="AA95" s="381"/>
      <c r="AB95" s="381"/>
      <c r="AC95" s="381"/>
      <c r="AD95" s="381"/>
      <c r="AE95" s="381"/>
      <c r="AF95" s="381"/>
      <c r="AG95" s="381"/>
      <c r="AH95" s="381"/>
      <c r="AI95" s="381"/>
      <c r="AJ95" s="381"/>
      <c r="AK95" s="381"/>
      <c r="AL95" s="381"/>
      <c r="AM95" s="381"/>
      <c r="AN95" s="381"/>
      <c r="AO95" s="381"/>
      <c r="AP95" s="381"/>
      <c r="AQ95" s="381"/>
      <c r="AR95" s="381"/>
      <c r="AS95" s="381"/>
      <c r="AT95" s="381"/>
      <c r="AU95" s="381"/>
      <c r="AV95" s="381"/>
      <c r="AW95" s="381"/>
      <c r="AX95" s="381"/>
      <c r="AY95" s="381"/>
      <c r="AZ95" s="381"/>
      <c r="BA95" s="381"/>
      <c r="BB95" s="381"/>
      <c r="BC95" s="381"/>
      <c r="BD95" s="381"/>
      <c r="BE95" s="381"/>
      <c r="BF95" s="381"/>
      <c r="BG95" s="381"/>
      <c r="BH95" s="381"/>
      <c r="BI95" s="381"/>
      <c r="BJ95" s="381"/>
      <c r="BK95" s="381"/>
      <c r="BL95" s="381"/>
      <c r="BM95" s="381"/>
      <c r="BN95" s="381"/>
      <c r="BO95" s="381"/>
      <c r="BP95" s="381"/>
      <c r="BQ95" s="381"/>
      <c r="BR95" s="381"/>
      <c r="BS95" s="381"/>
      <c r="BT95" s="381"/>
      <c r="BU95" s="381"/>
      <c r="BV95" s="381"/>
      <c r="BW95" s="381"/>
      <c r="BX95" s="381"/>
      <c r="BY95" s="381"/>
      <c r="BZ95" s="381"/>
      <c r="CA95" s="381"/>
      <c r="CB95" s="381"/>
      <c r="CC95" s="381"/>
      <c r="CD95" s="381"/>
      <c r="CE95" s="381"/>
      <c r="CF95" s="381"/>
      <c r="CG95" s="381"/>
      <c r="CH95" s="381"/>
      <c r="CI95" s="381"/>
      <c r="CJ95" s="381"/>
      <c r="CK95" s="381"/>
      <c r="CL95" s="381"/>
      <c r="CM95" s="381"/>
      <c r="CN95" s="381"/>
      <c r="CO95" s="381"/>
      <c r="CP95" s="381"/>
      <c r="CQ95" s="381"/>
      <c r="CR95" s="381"/>
      <c r="CS95" s="381"/>
      <c r="CT95" s="381"/>
      <c r="CU95" s="381"/>
      <c r="CV95" s="381"/>
      <c r="CW95" s="381"/>
      <c r="CX95" s="381"/>
      <c r="CY95" s="381"/>
      <c r="CZ95" s="381"/>
      <c r="DA95" s="381"/>
      <c r="DB95" s="381"/>
      <c r="DC95" s="381"/>
      <c r="DD95" s="381"/>
      <c r="DE95" s="381"/>
      <c r="DF95" s="381"/>
      <c r="DG95" s="381"/>
      <c r="DH95" s="381"/>
      <c r="DI95" s="381"/>
      <c r="DJ95" s="381"/>
      <c r="DK95" s="381"/>
      <c r="DL95" s="381"/>
      <c r="DM95" s="381"/>
      <c r="DN95" s="381"/>
      <c r="DO95" s="381"/>
      <c r="DP95" s="381"/>
      <c r="DQ95" s="381"/>
      <c r="DR95" s="381"/>
      <c r="DS95" s="381"/>
      <c r="DT95" s="381"/>
      <c r="DU95" s="381"/>
      <c r="DV95" s="381"/>
      <c r="DW95" s="381"/>
      <c r="DX95" s="381"/>
      <c r="DY95" s="381"/>
      <c r="DZ95" s="381"/>
      <c r="EA95" s="381"/>
      <c r="EB95" s="381"/>
      <c r="EC95" s="381"/>
      <c r="ED95" s="381"/>
      <c r="EE95" s="381"/>
      <c r="EF95" s="381"/>
      <c r="EG95" s="381"/>
      <c r="EH95" s="381"/>
      <c r="EI95" s="381"/>
      <c r="EJ95" s="381"/>
      <c r="EK95" s="381"/>
      <c r="EL95" s="381"/>
      <c r="EM95" s="381"/>
      <c r="EN95" s="381"/>
      <c r="EO95" s="381"/>
      <c r="EP95" s="381"/>
      <c r="EQ95" s="381"/>
      <c r="ER95" s="381"/>
      <c r="ES95" s="381"/>
      <c r="ET95" s="381"/>
      <c r="EU95" s="381"/>
      <c r="EV95" s="381"/>
      <c r="EW95" s="381"/>
      <c r="EX95" s="381"/>
      <c r="EY95" s="381"/>
      <c r="EZ95" s="381"/>
      <c r="FA95" s="381"/>
      <c r="FB95" s="381"/>
      <c r="FC95" s="381"/>
      <c r="FD95" s="381"/>
      <c r="FE95" s="381"/>
      <c r="FF95" s="381"/>
      <c r="FG95" s="381"/>
      <c r="FH95" s="381"/>
      <c r="FI95" s="381"/>
      <c r="FJ95" s="381"/>
      <c r="FK95" s="381"/>
      <c r="FL95" s="381"/>
      <c r="FM95" s="381"/>
      <c r="FN95" s="381"/>
      <c r="FO95" s="381"/>
      <c r="FP95" s="381"/>
      <c r="FQ95" s="381"/>
      <c r="FR95" s="381"/>
      <c r="FS95" s="381"/>
      <c r="FT95" s="381"/>
      <c r="FU95" s="381"/>
      <c r="FV95" s="381"/>
      <c r="FW95" s="381"/>
      <c r="FX95" s="381"/>
      <c r="FY95" s="381"/>
      <c r="FZ95" s="381"/>
      <c r="GA95" s="381"/>
      <c r="GB95" s="381"/>
      <c r="GC95" s="381"/>
      <c r="GD95" s="381"/>
      <c r="GE95" s="381"/>
      <c r="GF95" s="381"/>
      <c r="GG95" s="381"/>
      <c r="GH95" s="381"/>
      <c r="GI95" s="381"/>
      <c r="GJ95" s="381"/>
      <c r="GK95" s="381"/>
      <c r="GL95" s="381"/>
      <c r="GM95" s="381"/>
      <c r="GN95" s="381"/>
      <c r="GO95" s="381"/>
      <c r="GP95" s="381"/>
      <c r="GQ95" s="381"/>
      <c r="GR95" s="381"/>
      <c r="GS95" s="381"/>
      <c r="GT95" s="381"/>
      <c r="GU95" s="381"/>
      <c r="GV95" s="381"/>
      <c r="GW95" s="381"/>
      <c r="GX95" s="381"/>
      <c r="GY95" s="381"/>
      <c r="GZ95" s="381"/>
      <c r="HA95" s="381"/>
      <c r="HB95" s="381"/>
      <c r="HC95" s="381"/>
      <c r="HD95" s="381"/>
      <c r="HE95" s="381"/>
      <c r="HF95" s="381"/>
      <c r="HG95" s="381"/>
      <c r="HH95" s="381"/>
      <c r="HI95" s="381"/>
      <c r="HJ95" s="381"/>
      <c r="HK95" s="381"/>
      <c r="HL95" s="381"/>
      <c r="HM95" s="381"/>
      <c r="HN95" s="381"/>
      <c r="HO95" s="381"/>
      <c r="HP95" s="381"/>
      <c r="HQ95" s="381"/>
      <c r="HR95" s="381"/>
      <c r="HS95" s="381"/>
      <c r="HT95" s="381"/>
      <c r="HU95" s="381"/>
      <c r="HV95" s="381"/>
      <c r="HW95" s="381"/>
      <c r="HX95" s="381"/>
      <c r="HY95" s="381"/>
      <c r="HZ95" s="381"/>
      <c r="IA95" s="381"/>
      <c r="IB95" s="381"/>
      <c r="IC95" s="381"/>
      <c r="ID95" s="381"/>
      <c r="IE95" s="381"/>
      <c r="IF95" s="381"/>
      <c r="IG95" s="381"/>
      <c r="IH95" s="381"/>
      <c r="II95" s="381"/>
      <c r="IJ95" s="381"/>
      <c r="IK95" s="381"/>
      <c r="IL95" s="381"/>
      <c r="IM95" s="381"/>
      <c r="IN95" s="381"/>
      <c r="IO95" s="381"/>
      <c r="IP95" s="381"/>
      <c r="IQ95" s="381"/>
      <c r="IR95" s="381"/>
      <c r="IS95" s="381"/>
      <c r="IT95" s="381"/>
    </row>
    <row r="96" spans="1:254" s="370" customFormat="1">
      <c r="A96" s="452"/>
      <c r="B96" s="474"/>
      <c r="C96" s="418"/>
      <c r="D96" s="418"/>
      <c r="E96" s="1236"/>
      <c r="F96" s="475"/>
      <c r="G96" s="369"/>
      <c r="H96" s="447"/>
      <c r="I96" s="447"/>
      <c r="J96" s="447"/>
      <c r="K96" s="447"/>
      <c r="L96" s="447"/>
      <c r="M96" s="447"/>
      <c r="N96" s="447"/>
      <c r="O96" s="447"/>
      <c r="P96" s="447"/>
      <c r="Q96" s="447"/>
      <c r="R96" s="447"/>
      <c r="S96" s="447"/>
      <c r="T96" s="447"/>
      <c r="U96" s="447"/>
      <c r="V96" s="447"/>
      <c r="W96" s="447"/>
      <c r="X96" s="447"/>
      <c r="Y96" s="447"/>
      <c r="Z96" s="447"/>
      <c r="AA96" s="447"/>
      <c r="AB96" s="447"/>
      <c r="AC96" s="447"/>
      <c r="AD96" s="447"/>
      <c r="AE96" s="447"/>
      <c r="AF96" s="447"/>
      <c r="AG96" s="447"/>
      <c r="AH96" s="447"/>
      <c r="AI96" s="447"/>
      <c r="AJ96" s="447"/>
      <c r="AK96" s="447"/>
      <c r="AL96" s="447"/>
      <c r="AM96" s="447"/>
      <c r="AN96" s="447"/>
      <c r="AO96" s="447"/>
      <c r="AP96" s="447"/>
      <c r="AQ96" s="447"/>
      <c r="AR96" s="447"/>
      <c r="AS96" s="447"/>
      <c r="AT96" s="447"/>
      <c r="AU96" s="447"/>
      <c r="AV96" s="447"/>
      <c r="AW96" s="447"/>
      <c r="AX96" s="447"/>
      <c r="AY96" s="447"/>
      <c r="AZ96" s="447"/>
      <c r="BA96" s="447"/>
      <c r="BB96" s="447"/>
      <c r="BC96" s="447"/>
      <c r="BD96" s="447"/>
      <c r="BE96" s="447"/>
      <c r="BF96" s="447"/>
      <c r="BG96" s="447"/>
      <c r="BH96" s="447"/>
      <c r="BI96" s="447"/>
      <c r="BJ96" s="447"/>
      <c r="BK96" s="447"/>
      <c r="BL96" s="447"/>
      <c r="BM96" s="447"/>
      <c r="BN96" s="447"/>
      <c r="BO96" s="447"/>
      <c r="BP96" s="447"/>
      <c r="BQ96" s="447"/>
      <c r="BR96" s="447"/>
      <c r="BS96" s="447"/>
      <c r="BT96" s="447"/>
      <c r="BU96" s="447"/>
      <c r="BV96" s="447"/>
      <c r="BW96" s="447"/>
      <c r="BX96" s="447"/>
      <c r="BY96" s="447"/>
      <c r="BZ96" s="447"/>
      <c r="CA96" s="447"/>
      <c r="CB96" s="447"/>
      <c r="CC96" s="447"/>
      <c r="CD96" s="447"/>
      <c r="CE96" s="447"/>
      <c r="CF96" s="447"/>
      <c r="CG96" s="447"/>
      <c r="CH96" s="447"/>
      <c r="CI96" s="447"/>
      <c r="CJ96" s="447"/>
      <c r="CK96" s="447"/>
      <c r="CL96" s="447"/>
      <c r="CM96" s="447"/>
      <c r="CN96" s="447"/>
      <c r="CO96" s="447"/>
      <c r="CP96" s="447"/>
      <c r="CQ96" s="447"/>
      <c r="CR96" s="447"/>
      <c r="CS96" s="447"/>
      <c r="CT96" s="447"/>
      <c r="CU96" s="447"/>
      <c r="CV96" s="447"/>
      <c r="CW96" s="447"/>
      <c r="CX96" s="447"/>
      <c r="CY96" s="447"/>
      <c r="CZ96" s="447"/>
      <c r="DA96" s="447"/>
      <c r="DB96" s="447"/>
      <c r="DC96" s="447"/>
      <c r="DD96" s="447"/>
      <c r="DE96" s="447"/>
      <c r="DF96" s="447"/>
      <c r="DG96" s="447"/>
      <c r="DH96" s="447"/>
      <c r="DI96" s="447"/>
      <c r="DJ96" s="447"/>
      <c r="DK96" s="447"/>
      <c r="DL96" s="447"/>
      <c r="DM96" s="447"/>
      <c r="DN96" s="447"/>
      <c r="DO96" s="447"/>
      <c r="DP96" s="447"/>
      <c r="DQ96" s="447"/>
      <c r="DR96" s="447"/>
      <c r="DS96" s="447"/>
      <c r="DT96" s="447"/>
      <c r="DU96" s="447"/>
      <c r="DV96" s="447"/>
      <c r="DW96" s="447"/>
      <c r="DX96" s="447"/>
      <c r="DY96" s="447"/>
      <c r="DZ96" s="447"/>
      <c r="EA96" s="447"/>
      <c r="EB96" s="447"/>
      <c r="EC96" s="447"/>
      <c r="ED96" s="447"/>
      <c r="EE96" s="447"/>
      <c r="EF96" s="447"/>
      <c r="EG96" s="447"/>
      <c r="EH96" s="447"/>
      <c r="EI96" s="447"/>
      <c r="EJ96" s="447"/>
      <c r="EK96" s="447"/>
      <c r="EL96" s="447"/>
      <c r="EM96" s="447"/>
      <c r="EN96" s="447"/>
      <c r="EO96" s="447"/>
      <c r="EP96" s="447"/>
      <c r="EQ96" s="447"/>
      <c r="ER96" s="447"/>
      <c r="ES96" s="447"/>
      <c r="ET96" s="447"/>
      <c r="EU96" s="447"/>
      <c r="EV96" s="447"/>
      <c r="EW96" s="447"/>
      <c r="EX96" s="447"/>
      <c r="EY96" s="447"/>
      <c r="EZ96" s="447"/>
      <c r="FA96" s="447"/>
      <c r="FB96" s="447"/>
      <c r="FC96" s="447"/>
      <c r="FD96" s="447"/>
      <c r="FE96" s="447"/>
      <c r="FF96" s="447"/>
      <c r="FG96" s="447"/>
      <c r="FH96" s="447"/>
      <c r="FI96" s="447"/>
      <c r="FJ96" s="447"/>
      <c r="FK96" s="447"/>
      <c r="FL96" s="447"/>
      <c r="FM96" s="447"/>
      <c r="FN96" s="447"/>
      <c r="FO96" s="447"/>
      <c r="FP96" s="447"/>
      <c r="FQ96" s="447"/>
      <c r="FR96" s="447"/>
      <c r="FS96" s="447"/>
      <c r="FT96" s="447"/>
      <c r="FU96" s="447"/>
      <c r="FV96" s="447"/>
      <c r="FW96" s="447"/>
      <c r="FX96" s="447"/>
      <c r="FY96" s="447"/>
      <c r="FZ96" s="447"/>
      <c r="GA96" s="447"/>
      <c r="GB96" s="447"/>
      <c r="GC96" s="447"/>
      <c r="GD96" s="447"/>
      <c r="GE96" s="447"/>
      <c r="GF96" s="447"/>
      <c r="GG96" s="447"/>
      <c r="GH96" s="447"/>
      <c r="GI96" s="447"/>
      <c r="GJ96" s="447"/>
      <c r="GK96" s="447"/>
      <c r="GL96" s="447"/>
      <c r="GM96" s="447"/>
      <c r="GN96" s="447"/>
      <c r="GO96" s="447"/>
      <c r="GP96" s="447"/>
      <c r="GQ96" s="447"/>
      <c r="GR96" s="447"/>
      <c r="GS96" s="447"/>
      <c r="GT96" s="447"/>
      <c r="GU96" s="447"/>
      <c r="GV96" s="447"/>
      <c r="GW96" s="447"/>
      <c r="GX96" s="447"/>
      <c r="GY96" s="447"/>
      <c r="GZ96" s="447"/>
      <c r="HA96" s="447"/>
      <c r="HB96" s="447"/>
      <c r="HC96" s="447"/>
      <c r="HD96" s="447"/>
      <c r="HE96" s="447"/>
      <c r="HF96" s="447"/>
      <c r="HG96" s="447"/>
      <c r="HH96" s="447"/>
      <c r="HI96" s="447"/>
      <c r="HJ96" s="447"/>
      <c r="HK96" s="447"/>
      <c r="HL96" s="447"/>
      <c r="HM96" s="447"/>
      <c r="HN96" s="447"/>
      <c r="HO96" s="447"/>
      <c r="HP96" s="447"/>
      <c r="HQ96" s="447"/>
      <c r="HR96" s="447"/>
      <c r="HS96" s="447"/>
      <c r="HT96" s="447"/>
      <c r="HU96" s="447"/>
      <c r="HV96" s="447"/>
      <c r="HW96" s="447"/>
      <c r="HX96" s="447"/>
      <c r="HY96" s="447"/>
      <c r="HZ96" s="447"/>
      <c r="IA96" s="447"/>
      <c r="IB96" s="447"/>
      <c r="IC96" s="447"/>
      <c r="ID96" s="447"/>
      <c r="IE96" s="447"/>
      <c r="IF96" s="447"/>
      <c r="IG96" s="447"/>
      <c r="IH96" s="447"/>
      <c r="II96" s="447"/>
      <c r="IJ96" s="447"/>
      <c r="IK96" s="447"/>
      <c r="IL96" s="447"/>
      <c r="IM96" s="447"/>
      <c r="IN96" s="447"/>
      <c r="IO96" s="447"/>
      <c r="IP96" s="447"/>
      <c r="IQ96" s="447"/>
      <c r="IR96" s="447"/>
      <c r="IS96" s="447"/>
      <c r="IT96" s="447"/>
    </row>
    <row r="97" spans="1:254" s="426" customFormat="1">
      <c r="A97" s="470" t="s">
        <v>1891</v>
      </c>
      <c r="B97" s="629" t="s">
        <v>1892</v>
      </c>
      <c r="C97" s="613"/>
      <c r="D97" s="613"/>
      <c r="E97" s="1226"/>
      <c r="F97" s="413"/>
      <c r="G97" s="369"/>
      <c r="H97" s="447"/>
      <c r="I97" s="447"/>
      <c r="J97" s="447"/>
      <c r="K97" s="447"/>
      <c r="L97" s="447"/>
      <c r="M97" s="447"/>
      <c r="N97" s="447"/>
      <c r="O97" s="447"/>
      <c r="P97" s="447"/>
      <c r="Q97" s="447"/>
      <c r="R97" s="447"/>
      <c r="S97" s="447"/>
      <c r="T97" s="447"/>
      <c r="U97" s="447"/>
      <c r="V97" s="447"/>
      <c r="W97" s="447"/>
      <c r="X97" s="447"/>
      <c r="Y97" s="447"/>
      <c r="Z97" s="447"/>
      <c r="AA97" s="447"/>
      <c r="AB97" s="447"/>
      <c r="AC97" s="447"/>
      <c r="AD97" s="447"/>
      <c r="AE97" s="447"/>
      <c r="AF97" s="447"/>
      <c r="AG97" s="447"/>
      <c r="AH97" s="447"/>
      <c r="AI97" s="447"/>
      <c r="AJ97" s="447"/>
      <c r="AK97" s="447"/>
      <c r="AL97" s="447"/>
      <c r="AM97" s="447"/>
      <c r="AN97" s="447"/>
      <c r="AO97" s="447"/>
      <c r="AP97" s="447"/>
      <c r="AQ97" s="447"/>
      <c r="AR97" s="447"/>
      <c r="AS97" s="447"/>
      <c r="AT97" s="447"/>
      <c r="AU97" s="447"/>
      <c r="AV97" s="447"/>
      <c r="AW97" s="447"/>
      <c r="AX97" s="447"/>
      <c r="AY97" s="447"/>
      <c r="AZ97" s="447"/>
      <c r="BA97" s="447"/>
      <c r="BB97" s="447"/>
      <c r="BC97" s="447"/>
      <c r="BD97" s="447"/>
      <c r="BE97" s="447"/>
      <c r="BF97" s="447"/>
      <c r="BG97" s="447"/>
      <c r="BH97" s="447"/>
      <c r="BI97" s="447"/>
      <c r="BJ97" s="447"/>
      <c r="BK97" s="447"/>
      <c r="BL97" s="447"/>
      <c r="BM97" s="447"/>
      <c r="BN97" s="447"/>
      <c r="BO97" s="447"/>
      <c r="BP97" s="447"/>
      <c r="BQ97" s="447"/>
      <c r="BR97" s="447"/>
      <c r="BS97" s="447"/>
      <c r="BT97" s="447"/>
      <c r="BU97" s="447"/>
      <c r="BV97" s="447"/>
      <c r="BW97" s="447"/>
      <c r="BX97" s="447"/>
      <c r="BY97" s="447"/>
      <c r="BZ97" s="447"/>
      <c r="CA97" s="447"/>
      <c r="CB97" s="447"/>
      <c r="CC97" s="447"/>
      <c r="CD97" s="447"/>
      <c r="CE97" s="447"/>
      <c r="CF97" s="447"/>
      <c r="CG97" s="447"/>
      <c r="CH97" s="447"/>
      <c r="CI97" s="447"/>
      <c r="CJ97" s="447"/>
      <c r="CK97" s="447"/>
      <c r="CL97" s="447"/>
      <c r="CM97" s="447"/>
      <c r="CN97" s="447"/>
      <c r="CO97" s="447"/>
      <c r="CP97" s="447"/>
      <c r="CQ97" s="447"/>
      <c r="CR97" s="447"/>
      <c r="CS97" s="447"/>
      <c r="CT97" s="447"/>
      <c r="CU97" s="447"/>
      <c r="CV97" s="447"/>
      <c r="CW97" s="447"/>
      <c r="CX97" s="447"/>
      <c r="CY97" s="447"/>
      <c r="CZ97" s="447"/>
      <c r="DA97" s="447"/>
      <c r="DB97" s="447"/>
      <c r="DC97" s="447"/>
      <c r="DD97" s="447"/>
      <c r="DE97" s="447"/>
      <c r="DF97" s="447"/>
      <c r="DG97" s="447"/>
      <c r="DH97" s="447"/>
      <c r="DI97" s="447"/>
      <c r="DJ97" s="447"/>
      <c r="DK97" s="447"/>
      <c r="DL97" s="447"/>
      <c r="DM97" s="447"/>
      <c r="DN97" s="447"/>
      <c r="DO97" s="447"/>
      <c r="DP97" s="447"/>
      <c r="DQ97" s="447"/>
      <c r="DR97" s="447"/>
      <c r="DS97" s="447"/>
      <c r="DT97" s="447"/>
      <c r="DU97" s="447"/>
      <c r="DV97" s="447"/>
      <c r="DW97" s="447"/>
      <c r="DX97" s="447"/>
      <c r="DY97" s="447"/>
      <c r="DZ97" s="447"/>
      <c r="EA97" s="447"/>
      <c r="EB97" s="447"/>
      <c r="EC97" s="447"/>
      <c r="ED97" s="447"/>
      <c r="EE97" s="447"/>
      <c r="EF97" s="447"/>
      <c r="EG97" s="447"/>
      <c r="EH97" s="447"/>
      <c r="EI97" s="447"/>
      <c r="EJ97" s="447"/>
      <c r="EK97" s="447"/>
      <c r="EL97" s="447"/>
      <c r="EM97" s="447"/>
      <c r="EN97" s="447"/>
      <c r="EO97" s="447"/>
      <c r="EP97" s="447"/>
      <c r="EQ97" s="447"/>
      <c r="ER97" s="447"/>
      <c r="ES97" s="447"/>
      <c r="ET97" s="447"/>
      <c r="EU97" s="447"/>
      <c r="EV97" s="447"/>
      <c r="EW97" s="447"/>
      <c r="EX97" s="447"/>
      <c r="EY97" s="447"/>
      <c r="EZ97" s="447"/>
      <c r="FA97" s="447"/>
      <c r="FB97" s="447"/>
      <c r="FC97" s="447"/>
      <c r="FD97" s="447"/>
      <c r="FE97" s="447"/>
      <c r="FF97" s="447"/>
      <c r="FG97" s="447"/>
      <c r="FH97" s="447"/>
      <c r="FI97" s="447"/>
      <c r="FJ97" s="447"/>
      <c r="FK97" s="447"/>
      <c r="FL97" s="447"/>
      <c r="FM97" s="447"/>
      <c r="FN97" s="447"/>
      <c r="FO97" s="447"/>
      <c r="FP97" s="447"/>
      <c r="FQ97" s="447"/>
      <c r="FR97" s="447"/>
      <c r="FS97" s="447"/>
      <c r="FT97" s="447"/>
      <c r="FU97" s="447"/>
      <c r="FV97" s="447"/>
      <c r="FW97" s="447"/>
      <c r="FX97" s="447"/>
      <c r="FY97" s="447"/>
      <c r="FZ97" s="447"/>
      <c r="GA97" s="447"/>
      <c r="GB97" s="447"/>
      <c r="GC97" s="447"/>
      <c r="GD97" s="447"/>
      <c r="GE97" s="447"/>
      <c r="GF97" s="447"/>
      <c r="GG97" s="447"/>
      <c r="GH97" s="447"/>
      <c r="GI97" s="447"/>
      <c r="GJ97" s="447"/>
      <c r="GK97" s="447"/>
      <c r="GL97" s="447"/>
      <c r="GM97" s="447"/>
      <c r="GN97" s="447"/>
      <c r="GO97" s="447"/>
      <c r="GP97" s="447"/>
      <c r="GQ97" s="447"/>
      <c r="GR97" s="447"/>
      <c r="GS97" s="447"/>
      <c r="GT97" s="447"/>
      <c r="GU97" s="447"/>
      <c r="GV97" s="447"/>
      <c r="GW97" s="447"/>
      <c r="GX97" s="447"/>
      <c r="GY97" s="447"/>
      <c r="GZ97" s="447"/>
      <c r="HA97" s="447"/>
      <c r="HB97" s="447"/>
      <c r="HC97" s="447"/>
      <c r="HD97" s="447"/>
      <c r="HE97" s="447"/>
      <c r="HF97" s="447"/>
      <c r="HG97" s="447"/>
      <c r="HH97" s="447"/>
      <c r="HI97" s="447"/>
      <c r="HJ97" s="447"/>
      <c r="HK97" s="447"/>
      <c r="HL97" s="447"/>
      <c r="HM97" s="447"/>
      <c r="HN97" s="447"/>
      <c r="HO97" s="447"/>
      <c r="HP97" s="447"/>
      <c r="HQ97" s="447"/>
      <c r="HR97" s="447"/>
      <c r="HS97" s="447"/>
      <c r="HT97" s="447"/>
      <c r="HU97" s="447"/>
      <c r="HV97" s="447"/>
      <c r="HW97" s="447"/>
      <c r="HX97" s="447"/>
      <c r="HY97" s="447"/>
      <c r="HZ97" s="447"/>
      <c r="IA97" s="447"/>
      <c r="IB97" s="447"/>
      <c r="IC97" s="447"/>
      <c r="ID97" s="447"/>
      <c r="IE97" s="447"/>
      <c r="IF97" s="447"/>
      <c r="IG97" s="447"/>
      <c r="IH97" s="447"/>
      <c r="II97" s="447"/>
      <c r="IJ97" s="447"/>
      <c r="IK97" s="447"/>
      <c r="IL97" s="447"/>
      <c r="IM97" s="447"/>
      <c r="IN97" s="447"/>
      <c r="IO97" s="447"/>
      <c r="IP97" s="447"/>
      <c r="IQ97" s="447"/>
      <c r="IR97" s="447"/>
      <c r="IS97" s="447"/>
      <c r="IT97" s="447"/>
    </row>
    <row r="98" spans="1:254" s="370" customFormat="1">
      <c r="A98" s="414"/>
      <c r="B98" s="377"/>
      <c r="C98" s="382"/>
      <c r="D98" s="382"/>
      <c r="E98" s="1227"/>
      <c r="F98" s="416"/>
      <c r="G98" s="369"/>
      <c r="H98" s="447"/>
      <c r="I98" s="447"/>
      <c r="J98" s="447"/>
      <c r="K98" s="447"/>
      <c r="L98" s="447"/>
      <c r="M98" s="447"/>
      <c r="N98" s="447"/>
      <c r="O98" s="447"/>
      <c r="P98" s="447"/>
      <c r="Q98" s="447"/>
      <c r="R98" s="447"/>
      <c r="S98" s="447"/>
      <c r="T98" s="447"/>
      <c r="U98" s="447"/>
      <c r="V98" s="447"/>
      <c r="W98" s="447"/>
      <c r="X98" s="447"/>
      <c r="Y98" s="447"/>
      <c r="Z98" s="447"/>
      <c r="AA98" s="447"/>
      <c r="AB98" s="447"/>
      <c r="AC98" s="447"/>
      <c r="AD98" s="447"/>
      <c r="AE98" s="447"/>
      <c r="AF98" s="447"/>
      <c r="AG98" s="447"/>
      <c r="AH98" s="447"/>
      <c r="AI98" s="447"/>
      <c r="AJ98" s="447"/>
      <c r="AK98" s="447"/>
      <c r="AL98" s="447"/>
      <c r="AM98" s="447"/>
      <c r="AN98" s="447"/>
      <c r="AO98" s="447"/>
      <c r="AP98" s="447"/>
      <c r="AQ98" s="447"/>
      <c r="AR98" s="447"/>
      <c r="AS98" s="447"/>
      <c r="AT98" s="447"/>
      <c r="AU98" s="447"/>
      <c r="AV98" s="447"/>
      <c r="AW98" s="447"/>
      <c r="AX98" s="447"/>
      <c r="AY98" s="447"/>
      <c r="AZ98" s="447"/>
      <c r="BA98" s="447"/>
      <c r="BB98" s="447"/>
      <c r="BC98" s="447"/>
      <c r="BD98" s="447"/>
      <c r="BE98" s="447"/>
      <c r="BF98" s="447"/>
      <c r="BG98" s="447"/>
      <c r="BH98" s="447"/>
      <c r="BI98" s="447"/>
      <c r="BJ98" s="447"/>
      <c r="BK98" s="447"/>
      <c r="BL98" s="447"/>
      <c r="BM98" s="447"/>
      <c r="BN98" s="447"/>
      <c r="BO98" s="447"/>
      <c r="BP98" s="447"/>
      <c r="BQ98" s="447"/>
      <c r="BR98" s="447"/>
      <c r="BS98" s="447"/>
      <c r="BT98" s="447"/>
      <c r="BU98" s="447"/>
      <c r="BV98" s="447"/>
      <c r="BW98" s="447"/>
      <c r="BX98" s="447"/>
      <c r="BY98" s="447"/>
      <c r="BZ98" s="447"/>
      <c r="CA98" s="447"/>
      <c r="CB98" s="447"/>
      <c r="CC98" s="447"/>
      <c r="CD98" s="447"/>
      <c r="CE98" s="447"/>
      <c r="CF98" s="447"/>
      <c r="CG98" s="447"/>
      <c r="CH98" s="447"/>
      <c r="CI98" s="447"/>
      <c r="CJ98" s="447"/>
      <c r="CK98" s="447"/>
      <c r="CL98" s="447"/>
      <c r="CM98" s="447"/>
      <c r="CN98" s="447"/>
      <c r="CO98" s="447"/>
      <c r="CP98" s="447"/>
      <c r="CQ98" s="447"/>
      <c r="CR98" s="447"/>
      <c r="CS98" s="447"/>
      <c r="CT98" s="447"/>
      <c r="CU98" s="447"/>
      <c r="CV98" s="447"/>
      <c r="CW98" s="447"/>
      <c r="CX98" s="447"/>
      <c r="CY98" s="447"/>
      <c r="CZ98" s="447"/>
      <c r="DA98" s="447"/>
      <c r="DB98" s="447"/>
      <c r="DC98" s="447"/>
      <c r="DD98" s="447"/>
      <c r="DE98" s="447"/>
      <c r="DF98" s="447"/>
      <c r="DG98" s="447"/>
      <c r="DH98" s="447"/>
      <c r="DI98" s="447"/>
      <c r="DJ98" s="447"/>
      <c r="DK98" s="447"/>
      <c r="DL98" s="447"/>
      <c r="DM98" s="447"/>
      <c r="DN98" s="447"/>
      <c r="DO98" s="447"/>
      <c r="DP98" s="447"/>
      <c r="DQ98" s="447"/>
      <c r="DR98" s="447"/>
      <c r="DS98" s="447"/>
      <c r="DT98" s="447"/>
      <c r="DU98" s="447"/>
      <c r="DV98" s="447"/>
      <c r="DW98" s="447"/>
      <c r="DX98" s="447"/>
      <c r="DY98" s="447"/>
      <c r="DZ98" s="447"/>
      <c r="EA98" s="447"/>
      <c r="EB98" s="447"/>
      <c r="EC98" s="447"/>
      <c r="ED98" s="447"/>
      <c r="EE98" s="447"/>
      <c r="EF98" s="447"/>
      <c r="EG98" s="447"/>
      <c r="EH98" s="447"/>
      <c r="EI98" s="447"/>
      <c r="EJ98" s="447"/>
      <c r="EK98" s="447"/>
      <c r="EL98" s="447"/>
      <c r="EM98" s="447"/>
      <c r="EN98" s="447"/>
      <c r="EO98" s="447"/>
      <c r="EP98" s="447"/>
      <c r="EQ98" s="447"/>
      <c r="ER98" s="447"/>
      <c r="ES98" s="447"/>
      <c r="ET98" s="447"/>
      <c r="EU98" s="447"/>
      <c r="EV98" s="447"/>
      <c r="EW98" s="447"/>
      <c r="EX98" s="447"/>
      <c r="EY98" s="447"/>
      <c r="EZ98" s="447"/>
      <c r="FA98" s="447"/>
      <c r="FB98" s="447"/>
      <c r="FC98" s="447"/>
      <c r="FD98" s="447"/>
      <c r="FE98" s="447"/>
      <c r="FF98" s="447"/>
      <c r="FG98" s="447"/>
      <c r="FH98" s="447"/>
      <c r="FI98" s="447"/>
      <c r="FJ98" s="447"/>
      <c r="FK98" s="447"/>
      <c r="FL98" s="447"/>
      <c r="FM98" s="447"/>
      <c r="FN98" s="447"/>
      <c r="FO98" s="447"/>
      <c r="FP98" s="447"/>
      <c r="FQ98" s="447"/>
      <c r="FR98" s="447"/>
      <c r="FS98" s="447"/>
      <c r="FT98" s="447"/>
      <c r="FU98" s="447"/>
      <c r="FV98" s="447"/>
      <c r="FW98" s="447"/>
      <c r="FX98" s="447"/>
      <c r="FY98" s="447"/>
      <c r="FZ98" s="447"/>
      <c r="GA98" s="447"/>
      <c r="GB98" s="447"/>
      <c r="GC98" s="447"/>
      <c r="GD98" s="447"/>
      <c r="GE98" s="447"/>
      <c r="GF98" s="447"/>
      <c r="GG98" s="447"/>
      <c r="GH98" s="447"/>
      <c r="GI98" s="447"/>
      <c r="GJ98" s="447"/>
      <c r="GK98" s="447"/>
      <c r="GL98" s="447"/>
      <c r="GM98" s="447"/>
      <c r="GN98" s="447"/>
      <c r="GO98" s="447"/>
      <c r="GP98" s="447"/>
      <c r="GQ98" s="447"/>
      <c r="GR98" s="447"/>
      <c r="GS98" s="447"/>
      <c r="GT98" s="447"/>
      <c r="GU98" s="447"/>
      <c r="GV98" s="447"/>
      <c r="GW98" s="447"/>
      <c r="GX98" s="447"/>
      <c r="GY98" s="447"/>
      <c r="GZ98" s="447"/>
      <c r="HA98" s="447"/>
      <c r="HB98" s="447"/>
      <c r="HC98" s="447"/>
      <c r="HD98" s="447"/>
      <c r="HE98" s="447"/>
      <c r="HF98" s="447"/>
      <c r="HG98" s="447"/>
      <c r="HH98" s="447"/>
      <c r="HI98" s="447"/>
      <c r="HJ98" s="447"/>
      <c r="HK98" s="447"/>
      <c r="HL98" s="447"/>
      <c r="HM98" s="447"/>
      <c r="HN98" s="447"/>
      <c r="HO98" s="447"/>
      <c r="HP98" s="447"/>
      <c r="HQ98" s="447"/>
      <c r="HR98" s="447"/>
      <c r="HS98" s="447"/>
      <c r="HT98" s="447"/>
      <c r="HU98" s="447"/>
      <c r="HV98" s="447"/>
      <c r="HW98" s="447"/>
      <c r="HX98" s="447"/>
      <c r="HY98" s="447"/>
      <c r="HZ98" s="447"/>
      <c r="IA98" s="447"/>
      <c r="IB98" s="447"/>
      <c r="IC98" s="447"/>
      <c r="ID98" s="447"/>
      <c r="IE98" s="447"/>
      <c r="IF98" s="447"/>
      <c r="IG98" s="447"/>
      <c r="IH98" s="447"/>
      <c r="II98" s="447"/>
      <c r="IJ98" s="447"/>
      <c r="IK98" s="447"/>
      <c r="IL98" s="447"/>
      <c r="IM98" s="447"/>
      <c r="IN98" s="447"/>
      <c r="IO98" s="447"/>
      <c r="IP98" s="447"/>
      <c r="IQ98" s="447"/>
      <c r="IR98" s="447"/>
      <c r="IS98" s="447"/>
      <c r="IT98" s="447"/>
    </row>
    <row r="99" spans="1:254" s="370" customFormat="1">
      <c r="A99" s="414"/>
      <c r="B99" s="377" t="s">
        <v>425</v>
      </c>
      <c r="C99" s="382"/>
      <c r="D99" s="382"/>
      <c r="E99" s="1590">
        <f>SUM(F43:F94)</f>
        <v>7570</v>
      </c>
      <c r="F99" s="1591"/>
      <c r="G99" s="369"/>
      <c r="H99" s="426"/>
      <c r="I99" s="426"/>
      <c r="J99" s="426"/>
      <c r="K99" s="426"/>
      <c r="L99" s="426"/>
      <c r="M99" s="426"/>
      <c r="N99" s="426"/>
      <c r="O99" s="426"/>
      <c r="P99" s="426"/>
      <c r="Q99" s="426"/>
      <c r="R99" s="426"/>
      <c r="S99" s="426"/>
      <c r="T99" s="426"/>
      <c r="U99" s="426"/>
      <c r="V99" s="426"/>
      <c r="W99" s="426"/>
      <c r="X99" s="426"/>
      <c r="Y99" s="426"/>
      <c r="Z99" s="426"/>
      <c r="AA99" s="426"/>
      <c r="AB99" s="426"/>
      <c r="AC99" s="426"/>
      <c r="AD99" s="426"/>
      <c r="AE99" s="426"/>
      <c r="AF99" s="426"/>
      <c r="AG99" s="426"/>
      <c r="AH99" s="426"/>
      <c r="AI99" s="426"/>
      <c r="AJ99" s="426"/>
      <c r="AK99" s="426"/>
      <c r="AL99" s="426"/>
      <c r="AM99" s="426"/>
      <c r="AN99" s="426"/>
      <c r="AO99" s="426"/>
      <c r="AP99" s="426"/>
      <c r="AQ99" s="426"/>
      <c r="AR99" s="426"/>
      <c r="AS99" s="426"/>
      <c r="AT99" s="426"/>
      <c r="AU99" s="426"/>
      <c r="AV99" s="426"/>
      <c r="AW99" s="426"/>
      <c r="AX99" s="426"/>
      <c r="AY99" s="426"/>
      <c r="AZ99" s="426"/>
      <c r="BA99" s="426"/>
      <c r="BB99" s="426"/>
      <c r="BC99" s="426"/>
      <c r="BD99" s="426"/>
      <c r="BE99" s="426"/>
      <c r="BF99" s="426"/>
      <c r="BG99" s="426"/>
      <c r="BH99" s="426"/>
      <c r="BI99" s="426"/>
      <c r="BJ99" s="426"/>
      <c r="BK99" s="426"/>
      <c r="BL99" s="426"/>
      <c r="BM99" s="426"/>
      <c r="BN99" s="426"/>
      <c r="BO99" s="426"/>
      <c r="BP99" s="426"/>
      <c r="BQ99" s="426"/>
      <c r="BR99" s="426"/>
      <c r="BS99" s="426"/>
      <c r="BT99" s="426"/>
      <c r="BU99" s="426"/>
      <c r="BV99" s="426"/>
      <c r="BW99" s="426"/>
      <c r="BX99" s="426"/>
      <c r="BY99" s="426"/>
      <c r="BZ99" s="426"/>
      <c r="CA99" s="426"/>
      <c r="CB99" s="426"/>
      <c r="CC99" s="426"/>
      <c r="CD99" s="426"/>
      <c r="CE99" s="426"/>
      <c r="CF99" s="426"/>
      <c r="CG99" s="426"/>
      <c r="CH99" s="426"/>
      <c r="CI99" s="426"/>
      <c r="CJ99" s="426"/>
      <c r="CK99" s="426"/>
      <c r="CL99" s="426"/>
      <c r="CM99" s="426"/>
      <c r="CN99" s="426"/>
      <c r="CO99" s="426"/>
      <c r="CP99" s="426"/>
      <c r="CQ99" s="426"/>
      <c r="CR99" s="426"/>
      <c r="CS99" s="426"/>
      <c r="CT99" s="426"/>
      <c r="CU99" s="426"/>
      <c r="CV99" s="426"/>
      <c r="CW99" s="426"/>
      <c r="CX99" s="426"/>
      <c r="CY99" s="426"/>
      <c r="CZ99" s="426"/>
      <c r="DA99" s="426"/>
      <c r="DB99" s="426"/>
      <c r="DC99" s="426"/>
      <c r="DD99" s="426"/>
      <c r="DE99" s="426"/>
      <c r="DF99" s="426"/>
      <c r="DG99" s="426"/>
      <c r="DH99" s="426"/>
      <c r="DI99" s="426"/>
      <c r="DJ99" s="426"/>
      <c r="DK99" s="426"/>
      <c r="DL99" s="426"/>
      <c r="DM99" s="426"/>
      <c r="DN99" s="426"/>
      <c r="DO99" s="426"/>
      <c r="DP99" s="426"/>
      <c r="DQ99" s="426"/>
      <c r="DR99" s="426"/>
      <c r="DS99" s="426"/>
      <c r="DT99" s="426"/>
      <c r="DU99" s="426"/>
      <c r="DV99" s="426"/>
      <c r="DW99" s="426"/>
      <c r="DX99" s="426"/>
      <c r="DY99" s="426"/>
      <c r="DZ99" s="426"/>
      <c r="EA99" s="426"/>
      <c r="EB99" s="426"/>
      <c r="EC99" s="426"/>
      <c r="ED99" s="426"/>
      <c r="EE99" s="426"/>
      <c r="EF99" s="426"/>
      <c r="EG99" s="426"/>
      <c r="EH99" s="426"/>
      <c r="EI99" s="426"/>
      <c r="EJ99" s="426"/>
      <c r="EK99" s="426"/>
      <c r="EL99" s="426"/>
      <c r="EM99" s="426"/>
      <c r="EN99" s="426"/>
      <c r="EO99" s="426"/>
      <c r="EP99" s="426"/>
      <c r="EQ99" s="426"/>
      <c r="ER99" s="426"/>
      <c r="ES99" s="426"/>
      <c r="ET99" s="426"/>
      <c r="EU99" s="426"/>
      <c r="EV99" s="426"/>
      <c r="EW99" s="426"/>
      <c r="EX99" s="426"/>
      <c r="EY99" s="426"/>
      <c r="EZ99" s="426"/>
      <c r="FA99" s="426"/>
      <c r="FB99" s="426"/>
      <c r="FC99" s="426"/>
      <c r="FD99" s="426"/>
      <c r="FE99" s="426"/>
      <c r="FF99" s="426"/>
      <c r="FG99" s="426"/>
      <c r="FH99" s="426"/>
      <c r="FI99" s="426"/>
      <c r="FJ99" s="426"/>
      <c r="FK99" s="426"/>
      <c r="FL99" s="426"/>
      <c r="FM99" s="426"/>
      <c r="FN99" s="426"/>
      <c r="FO99" s="426"/>
      <c r="FP99" s="426"/>
      <c r="FQ99" s="426"/>
      <c r="FR99" s="426"/>
      <c r="FS99" s="426"/>
      <c r="FT99" s="426"/>
      <c r="FU99" s="426"/>
      <c r="FV99" s="426"/>
      <c r="FW99" s="426"/>
      <c r="FX99" s="426"/>
      <c r="FY99" s="426"/>
      <c r="FZ99" s="426"/>
      <c r="GA99" s="426"/>
      <c r="GB99" s="426"/>
      <c r="GC99" s="426"/>
      <c r="GD99" s="426"/>
      <c r="GE99" s="426"/>
      <c r="GF99" s="426"/>
      <c r="GG99" s="426"/>
      <c r="GH99" s="426"/>
      <c r="GI99" s="426"/>
      <c r="GJ99" s="426"/>
      <c r="GK99" s="426"/>
      <c r="GL99" s="426"/>
      <c r="GM99" s="426"/>
      <c r="GN99" s="426"/>
      <c r="GO99" s="426"/>
      <c r="GP99" s="426"/>
      <c r="GQ99" s="426"/>
      <c r="GR99" s="426"/>
      <c r="GS99" s="426"/>
      <c r="GT99" s="426"/>
      <c r="GU99" s="426"/>
      <c r="GV99" s="426"/>
      <c r="GW99" s="426"/>
      <c r="GX99" s="426"/>
      <c r="GY99" s="426"/>
      <c r="GZ99" s="426"/>
      <c r="HA99" s="426"/>
      <c r="HB99" s="426"/>
      <c r="HC99" s="426"/>
      <c r="HD99" s="426"/>
      <c r="HE99" s="426"/>
      <c r="HF99" s="426"/>
      <c r="HG99" s="426"/>
      <c r="HH99" s="426"/>
      <c r="HI99" s="426"/>
      <c r="HJ99" s="426"/>
      <c r="HK99" s="426"/>
      <c r="HL99" s="426"/>
      <c r="HM99" s="426"/>
      <c r="HN99" s="426"/>
      <c r="HO99" s="426"/>
      <c r="HP99" s="426"/>
      <c r="HQ99" s="426"/>
      <c r="HR99" s="426"/>
      <c r="HS99" s="426"/>
      <c r="HT99" s="426"/>
      <c r="HU99" s="426"/>
      <c r="HV99" s="426"/>
      <c r="HW99" s="426"/>
      <c r="HX99" s="426"/>
      <c r="HY99" s="426"/>
      <c r="HZ99" s="426"/>
      <c r="IA99" s="426"/>
      <c r="IB99" s="426"/>
      <c r="IC99" s="426"/>
      <c r="ID99" s="426"/>
      <c r="IE99" s="426"/>
      <c r="IF99" s="426"/>
      <c r="IG99" s="426"/>
      <c r="IH99" s="426"/>
      <c r="II99" s="426"/>
      <c r="IJ99" s="426"/>
      <c r="IK99" s="426"/>
      <c r="IL99" s="426"/>
      <c r="IM99" s="426"/>
      <c r="IN99" s="426"/>
      <c r="IO99" s="426"/>
      <c r="IP99" s="426"/>
      <c r="IQ99" s="426"/>
      <c r="IR99" s="426"/>
      <c r="IS99" s="426"/>
      <c r="IT99" s="426"/>
    </row>
    <row r="100" spans="1:254" s="370" customFormat="1">
      <c r="A100" s="417"/>
      <c r="B100" s="472"/>
      <c r="C100" s="418"/>
      <c r="D100" s="418"/>
      <c r="E100" s="1228"/>
      <c r="F100" s="419"/>
      <c r="G100" s="369"/>
      <c r="H100" s="426"/>
      <c r="I100" s="426"/>
      <c r="J100" s="426"/>
      <c r="K100" s="426"/>
      <c r="L100" s="426"/>
      <c r="M100" s="426"/>
      <c r="N100" s="426"/>
      <c r="O100" s="426"/>
      <c r="P100" s="426"/>
      <c r="Q100" s="426"/>
      <c r="R100" s="426"/>
      <c r="S100" s="426"/>
      <c r="T100" s="426"/>
      <c r="U100" s="426"/>
      <c r="V100" s="426"/>
      <c r="W100" s="426"/>
      <c r="X100" s="426"/>
      <c r="Y100" s="426"/>
      <c r="Z100" s="426"/>
      <c r="AA100" s="426"/>
      <c r="AB100" s="426"/>
      <c r="AC100" s="426"/>
      <c r="AD100" s="426"/>
      <c r="AE100" s="426"/>
      <c r="AF100" s="426"/>
      <c r="AG100" s="426"/>
      <c r="AH100" s="426"/>
      <c r="AI100" s="426"/>
      <c r="AJ100" s="426"/>
      <c r="AK100" s="426"/>
      <c r="AL100" s="426"/>
      <c r="AM100" s="426"/>
      <c r="AN100" s="426"/>
      <c r="AO100" s="426"/>
      <c r="AP100" s="426"/>
      <c r="AQ100" s="426"/>
      <c r="AR100" s="426"/>
      <c r="AS100" s="426"/>
      <c r="AT100" s="426"/>
      <c r="AU100" s="426"/>
      <c r="AV100" s="426"/>
      <c r="AW100" s="426"/>
      <c r="AX100" s="426"/>
      <c r="AY100" s="426"/>
      <c r="AZ100" s="426"/>
      <c r="BA100" s="426"/>
      <c r="BB100" s="426"/>
      <c r="BC100" s="426"/>
      <c r="BD100" s="426"/>
      <c r="BE100" s="426"/>
      <c r="BF100" s="426"/>
      <c r="BG100" s="426"/>
      <c r="BH100" s="426"/>
      <c r="BI100" s="426"/>
      <c r="BJ100" s="426"/>
      <c r="BK100" s="426"/>
      <c r="BL100" s="426"/>
      <c r="BM100" s="426"/>
      <c r="BN100" s="426"/>
      <c r="BO100" s="426"/>
      <c r="BP100" s="426"/>
      <c r="BQ100" s="426"/>
      <c r="BR100" s="426"/>
      <c r="BS100" s="426"/>
      <c r="BT100" s="426"/>
      <c r="BU100" s="426"/>
      <c r="BV100" s="426"/>
      <c r="BW100" s="426"/>
      <c r="BX100" s="426"/>
      <c r="BY100" s="426"/>
      <c r="BZ100" s="426"/>
      <c r="CA100" s="426"/>
      <c r="CB100" s="426"/>
      <c r="CC100" s="426"/>
      <c r="CD100" s="426"/>
      <c r="CE100" s="426"/>
      <c r="CF100" s="426"/>
      <c r="CG100" s="426"/>
      <c r="CH100" s="426"/>
      <c r="CI100" s="426"/>
      <c r="CJ100" s="426"/>
      <c r="CK100" s="426"/>
      <c r="CL100" s="426"/>
      <c r="CM100" s="426"/>
      <c r="CN100" s="426"/>
      <c r="CO100" s="426"/>
      <c r="CP100" s="426"/>
      <c r="CQ100" s="426"/>
      <c r="CR100" s="426"/>
      <c r="CS100" s="426"/>
      <c r="CT100" s="426"/>
      <c r="CU100" s="426"/>
      <c r="CV100" s="426"/>
      <c r="CW100" s="426"/>
      <c r="CX100" s="426"/>
      <c r="CY100" s="426"/>
      <c r="CZ100" s="426"/>
      <c r="DA100" s="426"/>
      <c r="DB100" s="426"/>
      <c r="DC100" s="426"/>
      <c r="DD100" s="426"/>
      <c r="DE100" s="426"/>
      <c r="DF100" s="426"/>
      <c r="DG100" s="426"/>
      <c r="DH100" s="426"/>
      <c r="DI100" s="426"/>
      <c r="DJ100" s="426"/>
      <c r="DK100" s="426"/>
      <c r="DL100" s="426"/>
      <c r="DM100" s="426"/>
      <c r="DN100" s="426"/>
      <c r="DO100" s="426"/>
      <c r="DP100" s="426"/>
      <c r="DQ100" s="426"/>
      <c r="DR100" s="426"/>
      <c r="DS100" s="426"/>
      <c r="DT100" s="426"/>
      <c r="DU100" s="426"/>
      <c r="DV100" s="426"/>
      <c r="DW100" s="426"/>
      <c r="DX100" s="426"/>
      <c r="DY100" s="426"/>
      <c r="DZ100" s="426"/>
      <c r="EA100" s="426"/>
      <c r="EB100" s="426"/>
      <c r="EC100" s="426"/>
      <c r="ED100" s="426"/>
      <c r="EE100" s="426"/>
      <c r="EF100" s="426"/>
      <c r="EG100" s="426"/>
      <c r="EH100" s="426"/>
      <c r="EI100" s="426"/>
      <c r="EJ100" s="426"/>
      <c r="EK100" s="426"/>
      <c r="EL100" s="426"/>
      <c r="EM100" s="426"/>
      <c r="EN100" s="426"/>
      <c r="EO100" s="426"/>
      <c r="EP100" s="426"/>
      <c r="EQ100" s="426"/>
      <c r="ER100" s="426"/>
      <c r="ES100" s="426"/>
      <c r="ET100" s="426"/>
      <c r="EU100" s="426"/>
      <c r="EV100" s="426"/>
      <c r="EW100" s="426"/>
      <c r="EX100" s="426"/>
      <c r="EY100" s="426"/>
      <c r="EZ100" s="426"/>
      <c r="FA100" s="426"/>
      <c r="FB100" s="426"/>
      <c r="FC100" s="426"/>
      <c r="FD100" s="426"/>
      <c r="FE100" s="426"/>
      <c r="FF100" s="426"/>
      <c r="FG100" s="426"/>
      <c r="FH100" s="426"/>
      <c r="FI100" s="426"/>
      <c r="FJ100" s="426"/>
      <c r="FK100" s="426"/>
      <c r="FL100" s="426"/>
      <c r="FM100" s="426"/>
      <c r="FN100" s="426"/>
      <c r="FO100" s="426"/>
      <c r="FP100" s="426"/>
      <c r="FQ100" s="426"/>
      <c r="FR100" s="426"/>
      <c r="FS100" s="426"/>
      <c r="FT100" s="426"/>
      <c r="FU100" s="426"/>
      <c r="FV100" s="426"/>
      <c r="FW100" s="426"/>
      <c r="FX100" s="426"/>
      <c r="FY100" s="426"/>
      <c r="FZ100" s="426"/>
      <c r="GA100" s="426"/>
      <c r="GB100" s="426"/>
      <c r="GC100" s="426"/>
      <c r="GD100" s="426"/>
      <c r="GE100" s="426"/>
      <c r="GF100" s="426"/>
      <c r="GG100" s="426"/>
      <c r="GH100" s="426"/>
      <c r="GI100" s="426"/>
      <c r="GJ100" s="426"/>
      <c r="GK100" s="426"/>
      <c r="GL100" s="426"/>
      <c r="GM100" s="426"/>
      <c r="GN100" s="426"/>
      <c r="GO100" s="426"/>
      <c r="GP100" s="426"/>
      <c r="GQ100" s="426"/>
      <c r="GR100" s="426"/>
      <c r="GS100" s="426"/>
      <c r="GT100" s="426"/>
      <c r="GU100" s="426"/>
      <c r="GV100" s="426"/>
      <c r="GW100" s="426"/>
      <c r="GX100" s="426"/>
      <c r="GY100" s="426"/>
      <c r="GZ100" s="426"/>
      <c r="HA100" s="426"/>
      <c r="HB100" s="426"/>
      <c r="HC100" s="426"/>
      <c r="HD100" s="426"/>
      <c r="HE100" s="426"/>
      <c r="HF100" s="426"/>
      <c r="HG100" s="426"/>
      <c r="HH100" s="426"/>
      <c r="HI100" s="426"/>
      <c r="HJ100" s="426"/>
      <c r="HK100" s="426"/>
      <c r="HL100" s="426"/>
      <c r="HM100" s="426"/>
      <c r="HN100" s="426"/>
      <c r="HO100" s="426"/>
      <c r="HP100" s="426"/>
      <c r="HQ100" s="426"/>
      <c r="HR100" s="426"/>
      <c r="HS100" s="426"/>
      <c r="HT100" s="426"/>
      <c r="HU100" s="426"/>
      <c r="HV100" s="426"/>
      <c r="HW100" s="426"/>
      <c r="HX100" s="426"/>
      <c r="HY100" s="426"/>
      <c r="HZ100" s="426"/>
      <c r="IA100" s="426"/>
      <c r="IB100" s="426"/>
      <c r="IC100" s="426"/>
      <c r="ID100" s="426"/>
      <c r="IE100" s="426"/>
      <c r="IF100" s="426"/>
      <c r="IG100" s="426"/>
      <c r="IH100" s="426"/>
      <c r="II100" s="426"/>
      <c r="IJ100" s="426"/>
      <c r="IK100" s="426"/>
      <c r="IL100" s="426"/>
      <c r="IM100" s="426"/>
      <c r="IN100" s="426"/>
      <c r="IO100" s="426"/>
      <c r="IP100" s="426"/>
      <c r="IQ100" s="426"/>
      <c r="IR100" s="426"/>
      <c r="IS100" s="426"/>
      <c r="IT100" s="426"/>
    </row>
    <row r="101" spans="1:254" s="370" customFormat="1">
      <c r="A101" s="453"/>
      <c r="B101" s="421"/>
      <c r="C101" s="454"/>
      <c r="D101" s="454"/>
      <c r="E101" s="1234"/>
      <c r="F101" s="448"/>
      <c r="G101" s="369"/>
      <c r="H101" s="426"/>
      <c r="I101" s="426"/>
      <c r="J101" s="426"/>
      <c r="K101" s="426"/>
      <c r="L101" s="426"/>
      <c r="M101" s="426"/>
      <c r="N101" s="426"/>
      <c r="O101" s="426"/>
      <c r="P101" s="426"/>
      <c r="Q101" s="426"/>
      <c r="R101" s="426"/>
      <c r="S101" s="426"/>
      <c r="T101" s="426"/>
      <c r="U101" s="426"/>
      <c r="V101" s="426"/>
      <c r="W101" s="426"/>
      <c r="X101" s="426"/>
      <c r="Y101" s="426"/>
      <c r="Z101" s="426"/>
      <c r="AA101" s="426"/>
      <c r="AB101" s="426"/>
      <c r="AC101" s="426"/>
      <c r="AD101" s="426"/>
      <c r="AE101" s="426"/>
      <c r="AF101" s="426"/>
      <c r="AG101" s="426"/>
      <c r="AH101" s="426"/>
      <c r="AI101" s="426"/>
      <c r="AJ101" s="426"/>
      <c r="AK101" s="426"/>
      <c r="AL101" s="426"/>
      <c r="AM101" s="426"/>
      <c r="AN101" s="426"/>
      <c r="AO101" s="426"/>
      <c r="AP101" s="426"/>
      <c r="AQ101" s="426"/>
      <c r="AR101" s="426"/>
      <c r="AS101" s="426"/>
      <c r="AT101" s="426"/>
      <c r="AU101" s="426"/>
      <c r="AV101" s="426"/>
      <c r="AW101" s="426"/>
      <c r="AX101" s="426"/>
      <c r="AY101" s="426"/>
      <c r="AZ101" s="426"/>
      <c r="BA101" s="426"/>
      <c r="BB101" s="426"/>
      <c r="BC101" s="426"/>
      <c r="BD101" s="426"/>
      <c r="BE101" s="426"/>
      <c r="BF101" s="426"/>
      <c r="BG101" s="426"/>
      <c r="BH101" s="426"/>
      <c r="BI101" s="426"/>
      <c r="BJ101" s="426"/>
      <c r="BK101" s="426"/>
      <c r="BL101" s="426"/>
      <c r="BM101" s="426"/>
      <c r="BN101" s="426"/>
      <c r="BO101" s="426"/>
      <c r="BP101" s="426"/>
      <c r="BQ101" s="426"/>
      <c r="BR101" s="426"/>
      <c r="BS101" s="426"/>
      <c r="BT101" s="426"/>
      <c r="BU101" s="426"/>
      <c r="BV101" s="426"/>
      <c r="BW101" s="426"/>
      <c r="BX101" s="426"/>
      <c r="BY101" s="426"/>
      <c r="BZ101" s="426"/>
      <c r="CA101" s="426"/>
      <c r="CB101" s="426"/>
      <c r="CC101" s="426"/>
      <c r="CD101" s="426"/>
      <c r="CE101" s="426"/>
      <c r="CF101" s="426"/>
      <c r="CG101" s="426"/>
      <c r="CH101" s="426"/>
      <c r="CI101" s="426"/>
      <c r="CJ101" s="426"/>
      <c r="CK101" s="426"/>
      <c r="CL101" s="426"/>
      <c r="CM101" s="426"/>
      <c r="CN101" s="426"/>
      <c r="CO101" s="426"/>
      <c r="CP101" s="426"/>
      <c r="CQ101" s="426"/>
      <c r="CR101" s="426"/>
      <c r="CS101" s="426"/>
      <c r="CT101" s="426"/>
      <c r="CU101" s="426"/>
      <c r="CV101" s="426"/>
      <c r="CW101" s="426"/>
      <c r="CX101" s="426"/>
      <c r="CY101" s="426"/>
      <c r="CZ101" s="426"/>
      <c r="DA101" s="426"/>
      <c r="DB101" s="426"/>
      <c r="DC101" s="426"/>
      <c r="DD101" s="426"/>
      <c r="DE101" s="426"/>
      <c r="DF101" s="426"/>
      <c r="DG101" s="426"/>
      <c r="DH101" s="426"/>
      <c r="DI101" s="426"/>
      <c r="DJ101" s="426"/>
      <c r="DK101" s="426"/>
      <c r="DL101" s="426"/>
      <c r="DM101" s="426"/>
      <c r="DN101" s="426"/>
      <c r="DO101" s="426"/>
      <c r="DP101" s="426"/>
      <c r="DQ101" s="426"/>
      <c r="DR101" s="426"/>
      <c r="DS101" s="426"/>
      <c r="DT101" s="426"/>
      <c r="DU101" s="426"/>
      <c r="DV101" s="426"/>
      <c r="DW101" s="426"/>
      <c r="DX101" s="426"/>
      <c r="DY101" s="426"/>
      <c r="DZ101" s="426"/>
      <c r="EA101" s="426"/>
      <c r="EB101" s="426"/>
      <c r="EC101" s="426"/>
      <c r="ED101" s="426"/>
      <c r="EE101" s="426"/>
      <c r="EF101" s="426"/>
      <c r="EG101" s="426"/>
      <c r="EH101" s="426"/>
      <c r="EI101" s="426"/>
      <c r="EJ101" s="426"/>
      <c r="EK101" s="426"/>
      <c r="EL101" s="426"/>
      <c r="EM101" s="426"/>
      <c r="EN101" s="426"/>
      <c r="EO101" s="426"/>
      <c r="EP101" s="426"/>
      <c r="EQ101" s="426"/>
      <c r="ER101" s="426"/>
      <c r="ES101" s="426"/>
      <c r="ET101" s="426"/>
      <c r="EU101" s="426"/>
      <c r="EV101" s="426"/>
      <c r="EW101" s="426"/>
      <c r="EX101" s="426"/>
      <c r="EY101" s="426"/>
      <c r="EZ101" s="426"/>
      <c r="FA101" s="426"/>
      <c r="FB101" s="426"/>
      <c r="FC101" s="426"/>
      <c r="FD101" s="426"/>
      <c r="FE101" s="426"/>
      <c r="FF101" s="426"/>
      <c r="FG101" s="426"/>
      <c r="FH101" s="426"/>
      <c r="FI101" s="426"/>
      <c r="FJ101" s="426"/>
      <c r="FK101" s="426"/>
      <c r="FL101" s="426"/>
      <c r="FM101" s="426"/>
      <c r="FN101" s="426"/>
      <c r="FO101" s="426"/>
      <c r="FP101" s="426"/>
      <c r="FQ101" s="426"/>
      <c r="FR101" s="426"/>
      <c r="FS101" s="426"/>
      <c r="FT101" s="426"/>
      <c r="FU101" s="426"/>
      <c r="FV101" s="426"/>
      <c r="FW101" s="426"/>
      <c r="FX101" s="426"/>
      <c r="FY101" s="426"/>
      <c r="FZ101" s="426"/>
      <c r="GA101" s="426"/>
      <c r="GB101" s="426"/>
      <c r="GC101" s="426"/>
      <c r="GD101" s="426"/>
      <c r="GE101" s="426"/>
      <c r="GF101" s="426"/>
      <c r="GG101" s="426"/>
      <c r="GH101" s="426"/>
      <c r="GI101" s="426"/>
      <c r="GJ101" s="426"/>
      <c r="GK101" s="426"/>
      <c r="GL101" s="426"/>
      <c r="GM101" s="426"/>
      <c r="GN101" s="426"/>
      <c r="GO101" s="426"/>
      <c r="GP101" s="426"/>
      <c r="GQ101" s="426"/>
      <c r="GR101" s="426"/>
      <c r="GS101" s="426"/>
      <c r="GT101" s="426"/>
      <c r="GU101" s="426"/>
      <c r="GV101" s="426"/>
      <c r="GW101" s="426"/>
      <c r="GX101" s="426"/>
      <c r="GY101" s="426"/>
      <c r="GZ101" s="426"/>
      <c r="HA101" s="426"/>
      <c r="HB101" s="426"/>
      <c r="HC101" s="426"/>
      <c r="HD101" s="426"/>
      <c r="HE101" s="426"/>
      <c r="HF101" s="426"/>
      <c r="HG101" s="426"/>
      <c r="HH101" s="426"/>
      <c r="HI101" s="426"/>
      <c r="HJ101" s="426"/>
      <c r="HK101" s="426"/>
      <c r="HL101" s="426"/>
      <c r="HM101" s="426"/>
      <c r="HN101" s="426"/>
      <c r="HO101" s="426"/>
      <c r="HP101" s="426"/>
      <c r="HQ101" s="426"/>
      <c r="HR101" s="426"/>
      <c r="HS101" s="426"/>
      <c r="HT101" s="426"/>
      <c r="HU101" s="426"/>
      <c r="HV101" s="426"/>
      <c r="HW101" s="426"/>
      <c r="HX101" s="426"/>
      <c r="HY101" s="426"/>
      <c r="HZ101" s="426"/>
      <c r="IA101" s="426"/>
      <c r="IB101" s="426"/>
      <c r="IC101" s="426"/>
      <c r="ID101" s="426"/>
      <c r="IE101" s="426"/>
      <c r="IF101" s="426"/>
      <c r="IG101" s="426"/>
      <c r="IH101" s="426"/>
      <c r="II101" s="426"/>
      <c r="IJ101" s="426"/>
      <c r="IK101" s="426"/>
      <c r="IL101" s="426"/>
      <c r="IM101" s="426"/>
      <c r="IN101" s="426"/>
      <c r="IO101" s="426"/>
      <c r="IP101" s="426"/>
      <c r="IQ101" s="426"/>
      <c r="IR101" s="426"/>
      <c r="IS101" s="426"/>
      <c r="IT101" s="426"/>
    </row>
    <row r="102" spans="1:254" s="426" customFormat="1">
      <c r="A102" s="453"/>
      <c r="B102" s="421"/>
      <c r="C102" s="454"/>
      <c r="D102" s="454"/>
      <c r="E102" s="1234"/>
      <c r="F102" s="448"/>
      <c r="G102" s="369"/>
    </row>
    <row r="103" spans="1:254" s="426" customFormat="1">
      <c r="A103" s="615" t="s">
        <v>1920</v>
      </c>
      <c r="B103" s="616" t="s">
        <v>1852</v>
      </c>
      <c r="C103" s="617"/>
      <c r="D103" s="617"/>
      <c r="E103" s="1237"/>
      <c r="F103" s="618"/>
      <c r="G103" s="369"/>
    </row>
    <row r="104" spans="1:254" s="426" customFormat="1">
      <c r="A104" s="455"/>
      <c r="B104" s="456"/>
      <c r="C104" s="422"/>
      <c r="D104" s="422"/>
      <c r="E104" s="1238"/>
      <c r="F104" s="457"/>
      <c r="G104" s="369"/>
    </row>
    <row r="105" spans="1:254" s="426" customFormat="1">
      <c r="A105" s="420" t="s">
        <v>1921</v>
      </c>
      <c r="B105" s="377"/>
      <c r="C105" s="376"/>
      <c r="D105" s="376"/>
      <c r="E105" s="1221"/>
      <c r="F105" s="378"/>
      <c r="G105" s="369"/>
    </row>
    <row r="106" spans="1:254" s="426" customFormat="1" ht="52.8">
      <c r="A106" s="424"/>
      <c r="B106" s="421" t="s">
        <v>1854</v>
      </c>
      <c r="C106" s="420"/>
      <c r="D106" s="420"/>
      <c r="E106" s="1227"/>
      <c r="F106" s="415"/>
      <c r="G106" s="1593"/>
    </row>
    <row r="107" spans="1:254" s="426" customFormat="1">
      <c r="A107" s="453"/>
      <c r="B107" s="421"/>
      <c r="C107" s="420" t="s">
        <v>27</v>
      </c>
      <c r="D107" s="420">
        <v>1</v>
      </c>
      <c r="E107" s="1338">
        <v>150</v>
      </c>
      <c r="F107" s="912">
        <f>D107*E107</f>
        <v>150</v>
      </c>
      <c r="G107" s="1593"/>
    </row>
    <row r="108" spans="1:254" s="426" customFormat="1">
      <c r="A108" s="453"/>
      <c r="B108" s="421"/>
      <c r="C108" s="420"/>
      <c r="D108" s="420"/>
      <c r="E108" s="1234"/>
      <c r="F108" s="935"/>
      <c r="G108" s="1593"/>
    </row>
    <row r="109" spans="1:254" s="426" customFormat="1">
      <c r="A109" s="458" t="s">
        <v>1922</v>
      </c>
      <c r="B109" s="449"/>
      <c r="C109" s="420"/>
      <c r="D109" s="420"/>
      <c r="E109" s="1239"/>
      <c r="F109" s="936"/>
      <c r="G109" s="1593"/>
    </row>
    <row r="110" spans="1:254" s="426" customFormat="1" ht="26.4">
      <c r="A110" s="420"/>
      <c r="B110" s="449" t="s">
        <v>1771</v>
      </c>
      <c r="C110" s="427"/>
      <c r="D110" s="427"/>
      <c r="E110" s="1240"/>
      <c r="F110" s="937"/>
      <c r="G110" s="1593"/>
    </row>
    <row r="111" spans="1:254" s="447" customFormat="1">
      <c r="A111" s="420"/>
      <c r="B111" s="449"/>
      <c r="C111" s="420" t="s">
        <v>27</v>
      </c>
      <c r="D111" s="420">
        <v>1</v>
      </c>
      <c r="E111" s="1338">
        <v>150</v>
      </c>
      <c r="F111" s="912">
        <f>D111*E111</f>
        <v>150</v>
      </c>
      <c r="G111" s="1593"/>
      <c r="H111" s="426"/>
      <c r="I111" s="426"/>
      <c r="J111" s="426"/>
      <c r="K111" s="426"/>
      <c r="L111" s="426"/>
      <c r="M111" s="426"/>
      <c r="N111" s="426"/>
      <c r="O111" s="426"/>
      <c r="P111" s="426"/>
      <c r="Q111" s="426"/>
      <c r="R111" s="426"/>
      <c r="S111" s="426"/>
      <c r="T111" s="426"/>
      <c r="U111" s="426"/>
      <c r="V111" s="426"/>
      <c r="W111" s="426"/>
      <c r="X111" s="426"/>
      <c r="Y111" s="426"/>
      <c r="Z111" s="426"/>
      <c r="AA111" s="426"/>
      <c r="AB111" s="426"/>
      <c r="AC111" s="426"/>
      <c r="AD111" s="426"/>
      <c r="AE111" s="426"/>
      <c r="AF111" s="426"/>
      <c r="AG111" s="426"/>
      <c r="AH111" s="426"/>
      <c r="AI111" s="426"/>
      <c r="AJ111" s="426"/>
      <c r="AK111" s="426"/>
      <c r="AL111" s="426"/>
      <c r="AM111" s="426"/>
      <c r="AN111" s="426"/>
      <c r="AO111" s="426"/>
      <c r="AP111" s="426"/>
      <c r="AQ111" s="426"/>
      <c r="AR111" s="426"/>
      <c r="AS111" s="426"/>
      <c r="AT111" s="426"/>
      <c r="AU111" s="426"/>
      <c r="AV111" s="426"/>
      <c r="AW111" s="426"/>
      <c r="AX111" s="426"/>
      <c r="AY111" s="426"/>
      <c r="AZ111" s="426"/>
      <c r="BA111" s="426"/>
      <c r="BB111" s="426"/>
      <c r="BC111" s="426"/>
      <c r="BD111" s="426"/>
      <c r="BE111" s="426"/>
      <c r="BF111" s="426"/>
      <c r="BG111" s="426"/>
      <c r="BH111" s="426"/>
      <c r="BI111" s="426"/>
      <c r="BJ111" s="426"/>
      <c r="BK111" s="426"/>
      <c r="BL111" s="426"/>
      <c r="BM111" s="426"/>
      <c r="BN111" s="426"/>
      <c r="BO111" s="426"/>
      <c r="BP111" s="426"/>
      <c r="BQ111" s="426"/>
      <c r="BR111" s="426"/>
      <c r="BS111" s="426"/>
      <c r="BT111" s="426"/>
      <c r="BU111" s="426"/>
      <c r="BV111" s="426"/>
      <c r="BW111" s="426"/>
      <c r="BX111" s="426"/>
      <c r="BY111" s="426"/>
      <c r="BZ111" s="426"/>
      <c r="CA111" s="426"/>
      <c r="CB111" s="426"/>
      <c r="CC111" s="426"/>
      <c r="CD111" s="426"/>
      <c r="CE111" s="426"/>
      <c r="CF111" s="426"/>
      <c r="CG111" s="426"/>
      <c r="CH111" s="426"/>
      <c r="CI111" s="426"/>
      <c r="CJ111" s="426"/>
      <c r="CK111" s="426"/>
      <c r="CL111" s="426"/>
      <c r="CM111" s="426"/>
      <c r="CN111" s="426"/>
      <c r="CO111" s="426"/>
      <c r="CP111" s="426"/>
      <c r="CQ111" s="426"/>
      <c r="CR111" s="426"/>
      <c r="CS111" s="426"/>
      <c r="CT111" s="426"/>
      <c r="CU111" s="426"/>
      <c r="CV111" s="426"/>
      <c r="CW111" s="426"/>
      <c r="CX111" s="426"/>
      <c r="CY111" s="426"/>
      <c r="CZ111" s="426"/>
      <c r="DA111" s="426"/>
      <c r="DB111" s="426"/>
      <c r="DC111" s="426"/>
      <c r="DD111" s="426"/>
      <c r="DE111" s="426"/>
      <c r="DF111" s="426"/>
      <c r="DG111" s="426"/>
      <c r="DH111" s="426"/>
      <c r="DI111" s="426"/>
      <c r="DJ111" s="426"/>
      <c r="DK111" s="426"/>
      <c r="DL111" s="426"/>
      <c r="DM111" s="426"/>
      <c r="DN111" s="426"/>
      <c r="DO111" s="426"/>
      <c r="DP111" s="426"/>
      <c r="DQ111" s="426"/>
      <c r="DR111" s="426"/>
      <c r="DS111" s="426"/>
      <c r="DT111" s="426"/>
      <c r="DU111" s="426"/>
      <c r="DV111" s="426"/>
      <c r="DW111" s="426"/>
      <c r="DX111" s="426"/>
      <c r="DY111" s="426"/>
      <c r="DZ111" s="426"/>
      <c r="EA111" s="426"/>
      <c r="EB111" s="426"/>
      <c r="EC111" s="426"/>
      <c r="ED111" s="426"/>
      <c r="EE111" s="426"/>
      <c r="EF111" s="426"/>
      <c r="EG111" s="426"/>
      <c r="EH111" s="426"/>
      <c r="EI111" s="426"/>
      <c r="EJ111" s="426"/>
      <c r="EK111" s="426"/>
      <c r="EL111" s="426"/>
      <c r="EM111" s="426"/>
      <c r="EN111" s="426"/>
      <c r="EO111" s="426"/>
      <c r="EP111" s="426"/>
      <c r="EQ111" s="426"/>
      <c r="ER111" s="426"/>
      <c r="ES111" s="426"/>
      <c r="ET111" s="426"/>
      <c r="EU111" s="426"/>
      <c r="EV111" s="426"/>
      <c r="EW111" s="426"/>
      <c r="EX111" s="426"/>
      <c r="EY111" s="426"/>
      <c r="EZ111" s="426"/>
      <c r="FA111" s="426"/>
      <c r="FB111" s="426"/>
      <c r="FC111" s="426"/>
      <c r="FD111" s="426"/>
      <c r="FE111" s="426"/>
      <c r="FF111" s="426"/>
      <c r="FG111" s="426"/>
      <c r="FH111" s="426"/>
      <c r="FI111" s="426"/>
      <c r="FJ111" s="426"/>
      <c r="FK111" s="426"/>
      <c r="FL111" s="426"/>
      <c r="FM111" s="426"/>
      <c r="FN111" s="426"/>
      <c r="FO111" s="426"/>
      <c r="FP111" s="426"/>
      <c r="FQ111" s="426"/>
      <c r="FR111" s="426"/>
      <c r="FS111" s="426"/>
      <c r="FT111" s="426"/>
      <c r="FU111" s="426"/>
      <c r="FV111" s="426"/>
      <c r="FW111" s="426"/>
      <c r="FX111" s="426"/>
      <c r="FY111" s="426"/>
      <c r="FZ111" s="426"/>
      <c r="GA111" s="426"/>
      <c r="GB111" s="426"/>
      <c r="GC111" s="426"/>
      <c r="GD111" s="426"/>
      <c r="GE111" s="426"/>
      <c r="GF111" s="426"/>
      <c r="GG111" s="426"/>
      <c r="GH111" s="426"/>
      <c r="GI111" s="426"/>
      <c r="GJ111" s="426"/>
      <c r="GK111" s="426"/>
      <c r="GL111" s="426"/>
      <c r="GM111" s="426"/>
      <c r="GN111" s="426"/>
      <c r="GO111" s="426"/>
      <c r="GP111" s="426"/>
      <c r="GQ111" s="426"/>
      <c r="GR111" s="426"/>
      <c r="GS111" s="426"/>
      <c r="GT111" s="426"/>
      <c r="GU111" s="426"/>
      <c r="GV111" s="426"/>
      <c r="GW111" s="426"/>
      <c r="GX111" s="426"/>
      <c r="GY111" s="426"/>
      <c r="GZ111" s="426"/>
      <c r="HA111" s="426"/>
      <c r="HB111" s="426"/>
      <c r="HC111" s="426"/>
      <c r="HD111" s="426"/>
      <c r="HE111" s="426"/>
      <c r="HF111" s="426"/>
      <c r="HG111" s="426"/>
      <c r="HH111" s="426"/>
      <c r="HI111" s="426"/>
      <c r="HJ111" s="426"/>
      <c r="HK111" s="426"/>
      <c r="HL111" s="426"/>
      <c r="HM111" s="426"/>
      <c r="HN111" s="426"/>
      <c r="HO111" s="426"/>
      <c r="HP111" s="426"/>
      <c r="HQ111" s="426"/>
      <c r="HR111" s="426"/>
      <c r="HS111" s="426"/>
      <c r="HT111" s="426"/>
      <c r="HU111" s="426"/>
      <c r="HV111" s="426"/>
      <c r="HW111" s="426"/>
      <c r="HX111" s="426"/>
      <c r="HY111" s="426"/>
      <c r="HZ111" s="426"/>
      <c r="IA111" s="426"/>
      <c r="IB111" s="426"/>
      <c r="IC111" s="426"/>
      <c r="ID111" s="426"/>
      <c r="IE111" s="426"/>
      <c r="IF111" s="426"/>
      <c r="IG111" s="426"/>
      <c r="IH111" s="426"/>
      <c r="II111" s="426"/>
      <c r="IJ111" s="426"/>
      <c r="IK111" s="426"/>
      <c r="IL111" s="426"/>
      <c r="IM111" s="426"/>
      <c r="IN111" s="426"/>
      <c r="IO111" s="426"/>
      <c r="IP111" s="426"/>
      <c r="IQ111" s="426"/>
      <c r="IR111" s="426"/>
      <c r="IS111" s="426"/>
      <c r="IT111" s="426"/>
    </row>
    <row r="112" spans="1:254" s="447" customFormat="1">
      <c r="A112" s="420"/>
      <c r="B112" s="449"/>
      <c r="C112" s="420"/>
      <c r="D112" s="420"/>
      <c r="E112" s="1239"/>
      <c r="F112" s="936"/>
      <c r="G112" s="1593"/>
      <c r="H112" s="426"/>
      <c r="I112" s="426"/>
      <c r="J112" s="426"/>
      <c r="K112" s="426"/>
      <c r="L112" s="426"/>
      <c r="M112" s="426"/>
      <c r="N112" s="426"/>
      <c r="O112" s="426"/>
      <c r="P112" s="426"/>
      <c r="Q112" s="426"/>
      <c r="R112" s="426"/>
      <c r="S112" s="426"/>
      <c r="T112" s="426"/>
      <c r="U112" s="426"/>
      <c r="V112" s="426"/>
      <c r="W112" s="426"/>
      <c r="X112" s="426"/>
      <c r="Y112" s="426"/>
      <c r="Z112" s="426"/>
      <c r="AA112" s="426"/>
      <c r="AB112" s="426"/>
      <c r="AC112" s="426"/>
      <c r="AD112" s="426"/>
      <c r="AE112" s="426"/>
      <c r="AF112" s="426"/>
      <c r="AG112" s="426"/>
      <c r="AH112" s="426"/>
      <c r="AI112" s="426"/>
      <c r="AJ112" s="426"/>
      <c r="AK112" s="426"/>
      <c r="AL112" s="426"/>
      <c r="AM112" s="426"/>
      <c r="AN112" s="426"/>
      <c r="AO112" s="426"/>
      <c r="AP112" s="426"/>
      <c r="AQ112" s="426"/>
      <c r="AR112" s="426"/>
      <c r="AS112" s="426"/>
      <c r="AT112" s="426"/>
      <c r="AU112" s="426"/>
      <c r="AV112" s="426"/>
      <c r="AW112" s="426"/>
      <c r="AX112" s="426"/>
      <c r="AY112" s="426"/>
      <c r="AZ112" s="426"/>
      <c r="BA112" s="426"/>
      <c r="BB112" s="426"/>
      <c r="BC112" s="426"/>
      <c r="BD112" s="426"/>
      <c r="BE112" s="426"/>
      <c r="BF112" s="426"/>
      <c r="BG112" s="426"/>
      <c r="BH112" s="426"/>
      <c r="BI112" s="426"/>
      <c r="BJ112" s="426"/>
      <c r="BK112" s="426"/>
      <c r="BL112" s="426"/>
      <c r="BM112" s="426"/>
      <c r="BN112" s="426"/>
      <c r="BO112" s="426"/>
      <c r="BP112" s="426"/>
      <c r="BQ112" s="426"/>
      <c r="BR112" s="426"/>
      <c r="BS112" s="426"/>
      <c r="BT112" s="426"/>
      <c r="BU112" s="426"/>
      <c r="BV112" s="426"/>
      <c r="BW112" s="426"/>
      <c r="BX112" s="426"/>
      <c r="BY112" s="426"/>
      <c r="BZ112" s="426"/>
      <c r="CA112" s="426"/>
      <c r="CB112" s="426"/>
      <c r="CC112" s="426"/>
      <c r="CD112" s="426"/>
      <c r="CE112" s="426"/>
      <c r="CF112" s="426"/>
      <c r="CG112" s="426"/>
      <c r="CH112" s="426"/>
      <c r="CI112" s="426"/>
      <c r="CJ112" s="426"/>
      <c r="CK112" s="426"/>
      <c r="CL112" s="426"/>
      <c r="CM112" s="426"/>
      <c r="CN112" s="426"/>
      <c r="CO112" s="426"/>
      <c r="CP112" s="426"/>
      <c r="CQ112" s="426"/>
      <c r="CR112" s="426"/>
      <c r="CS112" s="426"/>
      <c r="CT112" s="426"/>
      <c r="CU112" s="426"/>
      <c r="CV112" s="426"/>
      <c r="CW112" s="426"/>
      <c r="CX112" s="426"/>
      <c r="CY112" s="426"/>
      <c r="CZ112" s="426"/>
      <c r="DA112" s="426"/>
      <c r="DB112" s="426"/>
      <c r="DC112" s="426"/>
      <c r="DD112" s="426"/>
      <c r="DE112" s="426"/>
      <c r="DF112" s="426"/>
      <c r="DG112" s="426"/>
      <c r="DH112" s="426"/>
      <c r="DI112" s="426"/>
      <c r="DJ112" s="426"/>
      <c r="DK112" s="426"/>
      <c r="DL112" s="426"/>
      <c r="DM112" s="426"/>
      <c r="DN112" s="426"/>
      <c r="DO112" s="426"/>
      <c r="DP112" s="426"/>
      <c r="DQ112" s="426"/>
      <c r="DR112" s="426"/>
      <c r="DS112" s="426"/>
      <c r="DT112" s="426"/>
      <c r="DU112" s="426"/>
      <c r="DV112" s="426"/>
      <c r="DW112" s="426"/>
      <c r="DX112" s="426"/>
      <c r="DY112" s="426"/>
      <c r="DZ112" s="426"/>
      <c r="EA112" s="426"/>
      <c r="EB112" s="426"/>
      <c r="EC112" s="426"/>
      <c r="ED112" s="426"/>
      <c r="EE112" s="426"/>
      <c r="EF112" s="426"/>
      <c r="EG112" s="426"/>
      <c r="EH112" s="426"/>
      <c r="EI112" s="426"/>
      <c r="EJ112" s="426"/>
      <c r="EK112" s="426"/>
      <c r="EL112" s="426"/>
      <c r="EM112" s="426"/>
      <c r="EN112" s="426"/>
      <c r="EO112" s="426"/>
      <c r="EP112" s="426"/>
      <c r="EQ112" s="426"/>
      <c r="ER112" s="426"/>
      <c r="ES112" s="426"/>
      <c r="ET112" s="426"/>
      <c r="EU112" s="426"/>
      <c r="EV112" s="426"/>
      <c r="EW112" s="426"/>
      <c r="EX112" s="426"/>
      <c r="EY112" s="426"/>
      <c r="EZ112" s="426"/>
      <c r="FA112" s="426"/>
      <c r="FB112" s="426"/>
      <c r="FC112" s="426"/>
      <c r="FD112" s="426"/>
      <c r="FE112" s="426"/>
      <c r="FF112" s="426"/>
      <c r="FG112" s="426"/>
      <c r="FH112" s="426"/>
      <c r="FI112" s="426"/>
      <c r="FJ112" s="426"/>
      <c r="FK112" s="426"/>
      <c r="FL112" s="426"/>
      <c r="FM112" s="426"/>
      <c r="FN112" s="426"/>
      <c r="FO112" s="426"/>
      <c r="FP112" s="426"/>
      <c r="FQ112" s="426"/>
      <c r="FR112" s="426"/>
      <c r="FS112" s="426"/>
      <c r="FT112" s="426"/>
      <c r="FU112" s="426"/>
      <c r="FV112" s="426"/>
      <c r="FW112" s="426"/>
      <c r="FX112" s="426"/>
      <c r="FY112" s="426"/>
      <c r="FZ112" s="426"/>
      <c r="GA112" s="426"/>
      <c r="GB112" s="426"/>
      <c r="GC112" s="426"/>
      <c r="GD112" s="426"/>
      <c r="GE112" s="426"/>
      <c r="GF112" s="426"/>
      <c r="GG112" s="426"/>
      <c r="GH112" s="426"/>
      <c r="GI112" s="426"/>
      <c r="GJ112" s="426"/>
      <c r="GK112" s="426"/>
      <c r="GL112" s="426"/>
      <c r="GM112" s="426"/>
      <c r="GN112" s="426"/>
      <c r="GO112" s="426"/>
      <c r="GP112" s="426"/>
      <c r="GQ112" s="426"/>
      <c r="GR112" s="426"/>
      <c r="GS112" s="426"/>
      <c r="GT112" s="426"/>
      <c r="GU112" s="426"/>
      <c r="GV112" s="426"/>
      <c r="GW112" s="426"/>
      <c r="GX112" s="426"/>
      <c r="GY112" s="426"/>
      <c r="GZ112" s="426"/>
      <c r="HA112" s="426"/>
      <c r="HB112" s="426"/>
      <c r="HC112" s="426"/>
      <c r="HD112" s="426"/>
      <c r="HE112" s="426"/>
      <c r="HF112" s="426"/>
      <c r="HG112" s="426"/>
      <c r="HH112" s="426"/>
      <c r="HI112" s="426"/>
      <c r="HJ112" s="426"/>
      <c r="HK112" s="426"/>
      <c r="HL112" s="426"/>
      <c r="HM112" s="426"/>
      <c r="HN112" s="426"/>
      <c r="HO112" s="426"/>
      <c r="HP112" s="426"/>
      <c r="HQ112" s="426"/>
      <c r="HR112" s="426"/>
      <c r="HS112" s="426"/>
      <c r="HT112" s="426"/>
      <c r="HU112" s="426"/>
      <c r="HV112" s="426"/>
      <c r="HW112" s="426"/>
      <c r="HX112" s="426"/>
      <c r="HY112" s="426"/>
      <c r="HZ112" s="426"/>
      <c r="IA112" s="426"/>
      <c r="IB112" s="426"/>
      <c r="IC112" s="426"/>
      <c r="ID112" s="426"/>
      <c r="IE112" s="426"/>
      <c r="IF112" s="426"/>
      <c r="IG112" s="426"/>
      <c r="IH112" s="426"/>
      <c r="II112" s="426"/>
      <c r="IJ112" s="426"/>
      <c r="IK112" s="426"/>
      <c r="IL112" s="426"/>
      <c r="IM112" s="426"/>
      <c r="IN112" s="426"/>
      <c r="IO112" s="426"/>
      <c r="IP112" s="426"/>
      <c r="IQ112" s="426"/>
      <c r="IR112" s="426"/>
      <c r="IS112" s="426"/>
      <c r="IT112" s="426"/>
    </row>
    <row r="113" spans="1:254" s="447" customFormat="1">
      <c r="A113" s="420" t="s">
        <v>1923</v>
      </c>
      <c r="B113" s="449"/>
      <c r="C113" s="420"/>
      <c r="D113" s="420"/>
      <c r="E113" s="1239"/>
      <c r="F113" s="936"/>
      <c r="G113" s="1593"/>
      <c r="H113" s="426"/>
      <c r="I113" s="426"/>
      <c r="J113" s="426"/>
      <c r="K113" s="426"/>
      <c r="L113" s="426"/>
      <c r="M113" s="426"/>
      <c r="N113" s="426"/>
      <c r="O113" s="426"/>
      <c r="P113" s="426"/>
      <c r="Q113" s="426"/>
      <c r="R113" s="426"/>
      <c r="S113" s="426"/>
      <c r="T113" s="426"/>
      <c r="U113" s="426"/>
      <c r="V113" s="426"/>
      <c r="W113" s="426"/>
      <c r="X113" s="426"/>
      <c r="Y113" s="426"/>
      <c r="Z113" s="426"/>
      <c r="AA113" s="426"/>
      <c r="AB113" s="426"/>
      <c r="AC113" s="426"/>
      <c r="AD113" s="426"/>
      <c r="AE113" s="426"/>
      <c r="AF113" s="426"/>
      <c r="AG113" s="426"/>
      <c r="AH113" s="426"/>
      <c r="AI113" s="426"/>
      <c r="AJ113" s="426"/>
      <c r="AK113" s="426"/>
      <c r="AL113" s="426"/>
      <c r="AM113" s="426"/>
      <c r="AN113" s="426"/>
      <c r="AO113" s="426"/>
      <c r="AP113" s="426"/>
      <c r="AQ113" s="426"/>
      <c r="AR113" s="426"/>
      <c r="AS113" s="426"/>
      <c r="AT113" s="426"/>
      <c r="AU113" s="426"/>
      <c r="AV113" s="426"/>
      <c r="AW113" s="426"/>
      <c r="AX113" s="426"/>
      <c r="AY113" s="426"/>
      <c r="AZ113" s="426"/>
      <c r="BA113" s="426"/>
      <c r="BB113" s="426"/>
      <c r="BC113" s="426"/>
      <c r="BD113" s="426"/>
      <c r="BE113" s="426"/>
      <c r="BF113" s="426"/>
      <c r="BG113" s="426"/>
      <c r="BH113" s="426"/>
      <c r="BI113" s="426"/>
      <c r="BJ113" s="426"/>
      <c r="BK113" s="426"/>
      <c r="BL113" s="426"/>
      <c r="BM113" s="426"/>
      <c r="BN113" s="426"/>
      <c r="BO113" s="426"/>
      <c r="BP113" s="426"/>
      <c r="BQ113" s="426"/>
      <c r="BR113" s="426"/>
      <c r="BS113" s="426"/>
      <c r="BT113" s="426"/>
      <c r="BU113" s="426"/>
      <c r="BV113" s="426"/>
      <c r="BW113" s="426"/>
      <c r="BX113" s="426"/>
      <c r="BY113" s="426"/>
      <c r="BZ113" s="426"/>
      <c r="CA113" s="426"/>
      <c r="CB113" s="426"/>
      <c r="CC113" s="426"/>
      <c r="CD113" s="426"/>
      <c r="CE113" s="426"/>
      <c r="CF113" s="426"/>
      <c r="CG113" s="426"/>
      <c r="CH113" s="426"/>
      <c r="CI113" s="426"/>
      <c r="CJ113" s="426"/>
      <c r="CK113" s="426"/>
      <c r="CL113" s="426"/>
      <c r="CM113" s="426"/>
      <c r="CN113" s="426"/>
      <c r="CO113" s="426"/>
      <c r="CP113" s="426"/>
      <c r="CQ113" s="426"/>
      <c r="CR113" s="426"/>
      <c r="CS113" s="426"/>
      <c r="CT113" s="426"/>
      <c r="CU113" s="426"/>
      <c r="CV113" s="426"/>
      <c r="CW113" s="426"/>
      <c r="CX113" s="426"/>
      <c r="CY113" s="426"/>
      <c r="CZ113" s="426"/>
      <c r="DA113" s="426"/>
      <c r="DB113" s="426"/>
      <c r="DC113" s="426"/>
      <c r="DD113" s="426"/>
      <c r="DE113" s="426"/>
      <c r="DF113" s="426"/>
      <c r="DG113" s="426"/>
      <c r="DH113" s="426"/>
      <c r="DI113" s="426"/>
      <c r="DJ113" s="426"/>
      <c r="DK113" s="426"/>
      <c r="DL113" s="426"/>
      <c r="DM113" s="426"/>
      <c r="DN113" s="426"/>
      <c r="DO113" s="426"/>
      <c r="DP113" s="426"/>
      <c r="DQ113" s="426"/>
      <c r="DR113" s="426"/>
      <c r="DS113" s="426"/>
      <c r="DT113" s="426"/>
      <c r="DU113" s="426"/>
      <c r="DV113" s="426"/>
      <c r="DW113" s="426"/>
      <c r="DX113" s="426"/>
      <c r="DY113" s="426"/>
      <c r="DZ113" s="426"/>
      <c r="EA113" s="426"/>
      <c r="EB113" s="426"/>
      <c r="EC113" s="426"/>
      <c r="ED113" s="426"/>
      <c r="EE113" s="426"/>
      <c r="EF113" s="426"/>
      <c r="EG113" s="426"/>
      <c r="EH113" s="426"/>
      <c r="EI113" s="426"/>
      <c r="EJ113" s="426"/>
      <c r="EK113" s="426"/>
      <c r="EL113" s="426"/>
      <c r="EM113" s="426"/>
      <c r="EN113" s="426"/>
      <c r="EO113" s="426"/>
      <c r="EP113" s="426"/>
      <c r="EQ113" s="426"/>
      <c r="ER113" s="426"/>
      <c r="ES113" s="426"/>
      <c r="ET113" s="426"/>
      <c r="EU113" s="426"/>
      <c r="EV113" s="426"/>
      <c r="EW113" s="426"/>
      <c r="EX113" s="426"/>
      <c r="EY113" s="426"/>
      <c r="EZ113" s="426"/>
      <c r="FA113" s="426"/>
      <c r="FB113" s="426"/>
      <c r="FC113" s="426"/>
      <c r="FD113" s="426"/>
      <c r="FE113" s="426"/>
      <c r="FF113" s="426"/>
      <c r="FG113" s="426"/>
      <c r="FH113" s="426"/>
      <c r="FI113" s="426"/>
      <c r="FJ113" s="426"/>
      <c r="FK113" s="426"/>
      <c r="FL113" s="426"/>
      <c r="FM113" s="426"/>
      <c r="FN113" s="426"/>
      <c r="FO113" s="426"/>
      <c r="FP113" s="426"/>
      <c r="FQ113" s="426"/>
      <c r="FR113" s="426"/>
      <c r="FS113" s="426"/>
      <c r="FT113" s="426"/>
      <c r="FU113" s="426"/>
      <c r="FV113" s="426"/>
      <c r="FW113" s="426"/>
      <c r="FX113" s="426"/>
      <c r="FY113" s="426"/>
      <c r="FZ113" s="426"/>
      <c r="GA113" s="426"/>
      <c r="GB113" s="426"/>
      <c r="GC113" s="426"/>
      <c r="GD113" s="426"/>
      <c r="GE113" s="426"/>
      <c r="GF113" s="426"/>
      <c r="GG113" s="426"/>
      <c r="GH113" s="426"/>
      <c r="GI113" s="426"/>
      <c r="GJ113" s="426"/>
      <c r="GK113" s="426"/>
      <c r="GL113" s="426"/>
      <c r="GM113" s="426"/>
      <c r="GN113" s="426"/>
      <c r="GO113" s="426"/>
      <c r="GP113" s="426"/>
      <c r="GQ113" s="426"/>
      <c r="GR113" s="426"/>
      <c r="GS113" s="426"/>
      <c r="GT113" s="426"/>
      <c r="GU113" s="426"/>
      <c r="GV113" s="426"/>
      <c r="GW113" s="426"/>
      <c r="GX113" s="426"/>
      <c r="GY113" s="426"/>
      <c r="GZ113" s="426"/>
      <c r="HA113" s="426"/>
      <c r="HB113" s="426"/>
      <c r="HC113" s="426"/>
      <c r="HD113" s="426"/>
      <c r="HE113" s="426"/>
      <c r="HF113" s="426"/>
      <c r="HG113" s="426"/>
      <c r="HH113" s="426"/>
      <c r="HI113" s="426"/>
      <c r="HJ113" s="426"/>
      <c r="HK113" s="426"/>
      <c r="HL113" s="426"/>
      <c r="HM113" s="426"/>
      <c r="HN113" s="426"/>
      <c r="HO113" s="426"/>
      <c r="HP113" s="426"/>
      <c r="HQ113" s="426"/>
      <c r="HR113" s="426"/>
      <c r="HS113" s="426"/>
      <c r="HT113" s="426"/>
      <c r="HU113" s="426"/>
      <c r="HV113" s="426"/>
      <c r="HW113" s="426"/>
      <c r="HX113" s="426"/>
      <c r="HY113" s="426"/>
      <c r="HZ113" s="426"/>
      <c r="IA113" s="426"/>
      <c r="IB113" s="426"/>
      <c r="IC113" s="426"/>
      <c r="ID113" s="426"/>
      <c r="IE113" s="426"/>
      <c r="IF113" s="426"/>
      <c r="IG113" s="426"/>
      <c r="IH113" s="426"/>
      <c r="II113" s="426"/>
      <c r="IJ113" s="426"/>
      <c r="IK113" s="426"/>
      <c r="IL113" s="426"/>
      <c r="IM113" s="426"/>
      <c r="IN113" s="426"/>
      <c r="IO113" s="426"/>
      <c r="IP113" s="426"/>
      <c r="IQ113" s="426"/>
      <c r="IR113" s="426"/>
      <c r="IS113" s="426"/>
      <c r="IT113" s="426"/>
    </row>
    <row r="114" spans="1:254" s="426" customFormat="1" ht="26.4">
      <c r="A114" s="420"/>
      <c r="B114" s="459" t="s">
        <v>1773</v>
      </c>
      <c r="C114" s="420"/>
      <c r="D114" s="420"/>
      <c r="E114" s="1239"/>
      <c r="F114" s="936"/>
      <c r="G114" s="1593"/>
    </row>
    <row r="115" spans="1:254" s="447" customFormat="1">
      <c r="A115" s="420"/>
      <c r="B115" s="449"/>
      <c r="C115" s="420" t="s">
        <v>27</v>
      </c>
      <c r="D115" s="420">
        <v>1</v>
      </c>
      <c r="E115" s="1338">
        <v>100</v>
      </c>
      <c r="F115" s="912">
        <f>D115*E115</f>
        <v>100</v>
      </c>
      <c r="G115" s="1593"/>
      <c r="H115" s="426"/>
      <c r="I115" s="426"/>
      <c r="J115" s="426"/>
      <c r="K115" s="426"/>
      <c r="L115" s="426"/>
      <c r="M115" s="426"/>
      <c r="N115" s="426"/>
      <c r="O115" s="426"/>
      <c r="P115" s="426"/>
      <c r="Q115" s="426"/>
      <c r="R115" s="426"/>
      <c r="S115" s="426"/>
      <c r="T115" s="426"/>
      <c r="U115" s="426"/>
      <c r="V115" s="426"/>
      <c r="W115" s="426"/>
      <c r="X115" s="426"/>
      <c r="Y115" s="426"/>
      <c r="Z115" s="426"/>
      <c r="AA115" s="426"/>
      <c r="AB115" s="426"/>
      <c r="AC115" s="426"/>
      <c r="AD115" s="426"/>
      <c r="AE115" s="426"/>
      <c r="AF115" s="426"/>
      <c r="AG115" s="426"/>
      <c r="AH115" s="426"/>
      <c r="AI115" s="426"/>
      <c r="AJ115" s="426"/>
      <c r="AK115" s="426"/>
      <c r="AL115" s="426"/>
      <c r="AM115" s="426"/>
      <c r="AN115" s="426"/>
      <c r="AO115" s="426"/>
      <c r="AP115" s="426"/>
      <c r="AQ115" s="426"/>
      <c r="AR115" s="426"/>
      <c r="AS115" s="426"/>
      <c r="AT115" s="426"/>
      <c r="AU115" s="426"/>
      <c r="AV115" s="426"/>
      <c r="AW115" s="426"/>
      <c r="AX115" s="426"/>
      <c r="AY115" s="426"/>
      <c r="AZ115" s="426"/>
      <c r="BA115" s="426"/>
      <c r="BB115" s="426"/>
      <c r="BC115" s="426"/>
      <c r="BD115" s="426"/>
      <c r="BE115" s="426"/>
      <c r="BF115" s="426"/>
      <c r="BG115" s="426"/>
      <c r="BH115" s="426"/>
      <c r="BI115" s="426"/>
      <c r="BJ115" s="426"/>
      <c r="BK115" s="426"/>
      <c r="BL115" s="426"/>
      <c r="BM115" s="426"/>
      <c r="BN115" s="426"/>
      <c r="BO115" s="426"/>
      <c r="BP115" s="426"/>
      <c r="BQ115" s="426"/>
      <c r="BR115" s="426"/>
      <c r="BS115" s="426"/>
      <c r="BT115" s="426"/>
      <c r="BU115" s="426"/>
      <c r="BV115" s="426"/>
      <c r="BW115" s="426"/>
      <c r="BX115" s="426"/>
      <c r="BY115" s="426"/>
      <c r="BZ115" s="426"/>
      <c r="CA115" s="426"/>
      <c r="CB115" s="426"/>
      <c r="CC115" s="426"/>
      <c r="CD115" s="426"/>
      <c r="CE115" s="426"/>
      <c r="CF115" s="426"/>
      <c r="CG115" s="426"/>
      <c r="CH115" s="426"/>
      <c r="CI115" s="426"/>
      <c r="CJ115" s="426"/>
      <c r="CK115" s="426"/>
      <c r="CL115" s="426"/>
      <c r="CM115" s="426"/>
      <c r="CN115" s="426"/>
      <c r="CO115" s="426"/>
      <c r="CP115" s="426"/>
      <c r="CQ115" s="426"/>
      <c r="CR115" s="426"/>
      <c r="CS115" s="426"/>
      <c r="CT115" s="426"/>
      <c r="CU115" s="426"/>
      <c r="CV115" s="426"/>
      <c r="CW115" s="426"/>
      <c r="CX115" s="426"/>
      <c r="CY115" s="426"/>
      <c r="CZ115" s="426"/>
      <c r="DA115" s="426"/>
      <c r="DB115" s="426"/>
      <c r="DC115" s="426"/>
      <c r="DD115" s="426"/>
      <c r="DE115" s="426"/>
      <c r="DF115" s="426"/>
      <c r="DG115" s="426"/>
      <c r="DH115" s="426"/>
      <c r="DI115" s="426"/>
      <c r="DJ115" s="426"/>
      <c r="DK115" s="426"/>
      <c r="DL115" s="426"/>
      <c r="DM115" s="426"/>
      <c r="DN115" s="426"/>
      <c r="DO115" s="426"/>
      <c r="DP115" s="426"/>
      <c r="DQ115" s="426"/>
      <c r="DR115" s="426"/>
      <c r="DS115" s="426"/>
      <c r="DT115" s="426"/>
      <c r="DU115" s="426"/>
      <c r="DV115" s="426"/>
      <c r="DW115" s="426"/>
      <c r="DX115" s="426"/>
      <c r="DY115" s="426"/>
      <c r="DZ115" s="426"/>
      <c r="EA115" s="426"/>
      <c r="EB115" s="426"/>
      <c r="EC115" s="426"/>
      <c r="ED115" s="426"/>
      <c r="EE115" s="426"/>
      <c r="EF115" s="426"/>
      <c r="EG115" s="426"/>
      <c r="EH115" s="426"/>
      <c r="EI115" s="426"/>
      <c r="EJ115" s="426"/>
      <c r="EK115" s="426"/>
      <c r="EL115" s="426"/>
      <c r="EM115" s="426"/>
      <c r="EN115" s="426"/>
      <c r="EO115" s="426"/>
      <c r="EP115" s="426"/>
      <c r="EQ115" s="426"/>
      <c r="ER115" s="426"/>
      <c r="ES115" s="426"/>
      <c r="ET115" s="426"/>
      <c r="EU115" s="426"/>
      <c r="EV115" s="426"/>
      <c r="EW115" s="426"/>
      <c r="EX115" s="426"/>
      <c r="EY115" s="426"/>
      <c r="EZ115" s="426"/>
      <c r="FA115" s="426"/>
      <c r="FB115" s="426"/>
      <c r="FC115" s="426"/>
      <c r="FD115" s="426"/>
      <c r="FE115" s="426"/>
      <c r="FF115" s="426"/>
      <c r="FG115" s="426"/>
      <c r="FH115" s="426"/>
      <c r="FI115" s="426"/>
      <c r="FJ115" s="426"/>
      <c r="FK115" s="426"/>
      <c r="FL115" s="426"/>
      <c r="FM115" s="426"/>
      <c r="FN115" s="426"/>
      <c r="FO115" s="426"/>
      <c r="FP115" s="426"/>
      <c r="FQ115" s="426"/>
      <c r="FR115" s="426"/>
      <c r="FS115" s="426"/>
      <c r="FT115" s="426"/>
      <c r="FU115" s="426"/>
      <c r="FV115" s="426"/>
      <c r="FW115" s="426"/>
      <c r="FX115" s="426"/>
      <c r="FY115" s="426"/>
      <c r="FZ115" s="426"/>
      <c r="GA115" s="426"/>
      <c r="GB115" s="426"/>
      <c r="GC115" s="426"/>
      <c r="GD115" s="426"/>
      <c r="GE115" s="426"/>
      <c r="GF115" s="426"/>
      <c r="GG115" s="426"/>
      <c r="GH115" s="426"/>
      <c r="GI115" s="426"/>
      <c r="GJ115" s="426"/>
      <c r="GK115" s="426"/>
      <c r="GL115" s="426"/>
      <c r="GM115" s="426"/>
      <c r="GN115" s="426"/>
      <c r="GO115" s="426"/>
      <c r="GP115" s="426"/>
      <c r="GQ115" s="426"/>
      <c r="GR115" s="426"/>
      <c r="GS115" s="426"/>
      <c r="GT115" s="426"/>
      <c r="GU115" s="426"/>
      <c r="GV115" s="426"/>
      <c r="GW115" s="426"/>
      <c r="GX115" s="426"/>
      <c r="GY115" s="426"/>
      <c r="GZ115" s="426"/>
      <c r="HA115" s="426"/>
      <c r="HB115" s="426"/>
      <c r="HC115" s="426"/>
      <c r="HD115" s="426"/>
      <c r="HE115" s="426"/>
      <c r="HF115" s="426"/>
      <c r="HG115" s="426"/>
      <c r="HH115" s="426"/>
      <c r="HI115" s="426"/>
      <c r="HJ115" s="426"/>
      <c r="HK115" s="426"/>
      <c r="HL115" s="426"/>
      <c r="HM115" s="426"/>
      <c r="HN115" s="426"/>
      <c r="HO115" s="426"/>
      <c r="HP115" s="426"/>
      <c r="HQ115" s="426"/>
      <c r="HR115" s="426"/>
      <c r="HS115" s="426"/>
      <c r="HT115" s="426"/>
      <c r="HU115" s="426"/>
      <c r="HV115" s="426"/>
      <c r="HW115" s="426"/>
      <c r="HX115" s="426"/>
      <c r="HY115" s="426"/>
      <c r="HZ115" s="426"/>
      <c r="IA115" s="426"/>
      <c r="IB115" s="426"/>
      <c r="IC115" s="426"/>
      <c r="ID115" s="426"/>
      <c r="IE115" s="426"/>
      <c r="IF115" s="426"/>
      <c r="IG115" s="426"/>
      <c r="IH115" s="426"/>
      <c r="II115" s="426"/>
      <c r="IJ115" s="426"/>
      <c r="IK115" s="426"/>
      <c r="IL115" s="426"/>
      <c r="IM115" s="426"/>
      <c r="IN115" s="426"/>
      <c r="IO115" s="426"/>
      <c r="IP115" s="426"/>
      <c r="IQ115" s="426"/>
      <c r="IR115" s="426"/>
      <c r="IS115" s="426"/>
      <c r="IT115" s="426"/>
    </row>
    <row r="116" spans="1:254" s="426" customFormat="1">
      <c r="A116" s="420"/>
      <c r="B116" s="449"/>
      <c r="C116" s="420"/>
      <c r="D116" s="420"/>
      <c r="E116" s="1239"/>
      <c r="F116" s="936"/>
      <c r="G116" s="1593"/>
    </row>
    <row r="117" spans="1:254" s="426" customFormat="1">
      <c r="A117" s="460" t="s">
        <v>1924</v>
      </c>
      <c r="B117" s="421"/>
      <c r="C117" s="420"/>
      <c r="D117" s="420"/>
      <c r="E117" s="1234"/>
      <c r="F117" s="935"/>
      <c r="G117" s="1593"/>
    </row>
    <row r="118" spans="1:254" s="426" customFormat="1" ht="66">
      <c r="A118" s="382"/>
      <c r="B118" s="372" t="s">
        <v>1787</v>
      </c>
      <c r="C118" s="423"/>
      <c r="D118" s="373"/>
      <c r="E118" s="1227"/>
      <c r="F118" s="934"/>
      <c r="G118" s="1593"/>
      <c r="H118" s="447"/>
      <c r="I118" s="447"/>
      <c r="J118" s="447"/>
      <c r="K118" s="447"/>
      <c r="L118" s="447"/>
      <c r="M118" s="447"/>
      <c r="N118" s="447"/>
      <c r="O118" s="447"/>
      <c r="P118" s="447"/>
      <c r="Q118" s="447"/>
      <c r="R118" s="447"/>
      <c r="S118" s="447"/>
      <c r="T118" s="447"/>
      <c r="U118" s="447"/>
      <c r="V118" s="447"/>
      <c r="W118" s="447"/>
      <c r="X118" s="447"/>
      <c r="Y118" s="447"/>
      <c r="Z118" s="447"/>
      <c r="AA118" s="447"/>
      <c r="AB118" s="447"/>
      <c r="AC118" s="447"/>
      <c r="AD118" s="447"/>
      <c r="AE118" s="447"/>
      <c r="AF118" s="447"/>
      <c r="AG118" s="447"/>
      <c r="AH118" s="447"/>
      <c r="AI118" s="447"/>
      <c r="AJ118" s="447"/>
      <c r="AK118" s="447"/>
      <c r="AL118" s="447"/>
      <c r="AM118" s="447"/>
      <c r="AN118" s="447"/>
      <c r="AO118" s="447"/>
      <c r="AP118" s="447"/>
      <c r="AQ118" s="447"/>
      <c r="AR118" s="447"/>
      <c r="AS118" s="447"/>
      <c r="AT118" s="447"/>
      <c r="AU118" s="447"/>
      <c r="AV118" s="447"/>
      <c r="AW118" s="447"/>
      <c r="AX118" s="447"/>
      <c r="AY118" s="447"/>
      <c r="AZ118" s="447"/>
      <c r="BA118" s="447"/>
      <c r="BB118" s="447"/>
      <c r="BC118" s="447"/>
      <c r="BD118" s="447"/>
      <c r="BE118" s="447"/>
      <c r="BF118" s="447"/>
      <c r="BG118" s="447"/>
      <c r="BH118" s="447"/>
      <c r="BI118" s="447"/>
      <c r="BJ118" s="447"/>
      <c r="BK118" s="447"/>
      <c r="BL118" s="447"/>
      <c r="BM118" s="447"/>
      <c r="BN118" s="447"/>
      <c r="BO118" s="447"/>
      <c r="BP118" s="447"/>
      <c r="BQ118" s="447"/>
      <c r="BR118" s="447"/>
      <c r="BS118" s="447"/>
      <c r="BT118" s="447"/>
      <c r="BU118" s="447"/>
      <c r="BV118" s="447"/>
      <c r="BW118" s="447"/>
      <c r="BX118" s="447"/>
      <c r="BY118" s="447"/>
      <c r="BZ118" s="447"/>
      <c r="CA118" s="447"/>
      <c r="CB118" s="447"/>
      <c r="CC118" s="447"/>
      <c r="CD118" s="447"/>
      <c r="CE118" s="447"/>
      <c r="CF118" s="447"/>
      <c r="CG118" s="447"/>
      <c r="CH118" s="447"/>
      <c r="CI118" s="447"/>
      <c r="CJ118" s="447"/>
      <c r="CK118" s="447"/>
      <c r="CL118" s="447"/>
      <c r="CM118" s="447"/>
      <c r="CN118" s="447"/>
      <c r="CO118" s="447"/>
      <c r="CP118" s="447"/>
      <c r="CQ118" s="447"/>
      <c r="CR118" s="447"/>
      <c r="CS118" s="447"/>
      <c r="CT118" s="447"/>
      <c r="CU118" s="447"/>
      <c r="CV118" s="447"/>
      <c r="CW118" s="447"/>
      <c r="CX118" s="447"/>
      <c r="CY118" s="447"/>
      <c r="CZ118" s="447"/>
      <c r="DA118" s="447"/>
      <c r="DB118" s="447"/>
      <c r="DC118" s="447"/>
      <c r="DD118" s="447"/>
      <c r="DE118" s="447"/>
      <c r="DF118" s="447"/>
      <c r="DG118" s="447"/>
      <c r="DH118" s="447"/>
      <c r="DI118" s="447"/>
      <c r="DJ118" s="447"/>
      <c r="DK118" s="447"/>
      <c r="DL118" s="447"/>
      <c r="DM118" s="447"/>
      <c r="DN118" s="447"/>
      <c r="DO118" s="447"/>
      <c r="DP118" s="447"/>
      <c r="DQ118" s="447"/>
      <c r="DR118" s="447"/>
      <c r="DS118" s="447"/>
      <c r="DT118" s="447"/>
      <c r="DU118" s="447"/>
      <c r="DV118" s="447"/>
      <c r="DW118" s="447"/>
      <c r="DX118" s="447"/>
      <c r="DY118" s="447"/>
      <c r="DZ118" s="447"/>
      <c r="EA118" s="447"/>
      <c r="EB118" s="447"/>
      <c r="EC118" s="447"/>
      <c r="ED118" s="447"/>
      <c r="EE118" s="447"/>
      <c r="EF118" s="447"/>
      <c r="EG118" s="447"/>
      <c r="EH118" s="447"/>
      <c r="EI118" s="447"/>
      <c r="EJ118" s="447"/>
      <c r="EK118" s="447"/>
      <c r="EL118" s="447"/>
      <c r="EM118" s="447"/>
      <c r="EN118" s="447"/>
      <c r="EO118" s="447"/>
      <c r="EP118" s="447"/>
      <c r="EQ118" s="447"/>
      <c r="ER118" s="447"/>
      <c r="ES118" s="447"/>
      <c r="ET118" s="447"/>
      <c r="EU118" s="447"/>
      <c r="EV118" s="447"/>
      <c r="EW118" s="447"/>
      <c r="EX118" s="447"/>
      <c r="EY118" s="447"/>
      <c r="EZ118" s="447"/>
      <c r="FA118" s="447"/>
      <c r="FB118" s="447"/>
      <c r="FC118" s="447"/>
      <c r="FD118" s="447"/>
      <c r="FE118" s="447"/>
      <c r="FF118" s="447"/>
      <c r="FG118" s="447"/>
      <c r="FH118" s="447"/>
      <c r="FI118" s="447"/>
      <c r="FJ118" s="447"/>
      <c r="FK118" s="447"/>
      <c r="FL118" s="447"/>
      <c r="FM118" s="447"/>
      <c r="FN118" s="447"/>
      <c r="FO118" s="447"/>
      <c r="FP118" s="447"/>
      <c r="FQ118" s="447"/>
      <c r="FR118" s="447"/>
      <c r="FS118" s="447"/>
      <c r="FT118" s="447"/>
      <c r="FU118" s="447"/>
      <c r="FV118" s="447"/>
      <c r="FW118" s="447"/>
      <c r="FX118" s="447"/>
      <c r="FY118" s="447"/>
      <c r="FZ118" s="447"/>
      <c r="GA118" s="447"/>
      <c r="GB118" s="447"/>
      <c r="GC118" s="447"/>
      <c r="GD118" s="447"/>
      <c r="GE118" s="447"/>
      <c r="GF118" s="447"/>
      <c r="GG118" s="447"/>
      <c r="GH118" s="447"/>
      <c r="GI118" s="447"/>
      <c r="GJ118" s="447"/>
      <c r="GK118" s="447"/>
      <c r="GL118" s="447"/>
      <c r="GM118" s="447"/>
      <c r="GN118" s="447"/>
      <c r="GO118" s="447"/>
      <c r="GP118" s="447"/>
      <c r="GQ118" s="447"/>
      <c r="GR118" s="447"/>
      <c r="GS118" s="447"/>
      <c r="GT118" s="447"/>
      <c r="GU118" s="447"/>
      <c r="GV118" s="447"/>
      <c r="GW118" s="447"/>
      <c r="GX118" s="447"/>
      <c r="GY118" s="447"/>
      <c r="GZ118" s="447"/>
      <c r="HA118" s="447"/>
      <c r="HB118" s="447"/>
      <c r="HC118" s="447"/>
      <c r="HD118" s="447"/>
      <c r="HE118" s="447"/>
      <c r="HF118" s="447"/>
      <c r="HG118" s="447"/>
      <c r="HH118" s="447"/>
      <c r="HI118" s="447"/>
      <c r="HJ118" s="447"/>
      <c r="HK118" s="447"/>
      <c r="HL118" s="447"/>
      <c r="HM118" s="447"/>
      <c r="HN118" s="447"/>
      <c r="HO118" s="447"/>
      <c r="HP118" s="447"/>
      <c r="HQ118" s="447"/>
      <c r="HR118" s="447"/>
      <c r="HS118" s="447"/>
      <c r="HT118" s="447"/>
      <c r="HU118" s="447"/>
      <c r="HV118" s="447"/>
      <c r="HW118" s="447"/>
      <c r="HX118" s="447"/>
      <c r="HY118" s="447"/>
      <c r="HZ118" s="447"/>
      <c r="IA118" s="447"/>
      <c r="IB118" s="447"/>
      <c r="IC118" s="447"/>
      <c r="ID118" s="447"/>
      <c r="IE118" s="447"/>
      <c r="IF118" s="447"/>
      <c r="IG118" s="447"/>
      <c r="IH118" s="447"/>
      <c r="II118" s="447"/>
      <c r="IJ118" s="447"/>
      <c r="IK118" s="447"/>
      <c r="IL118" s="447"/>
      <c r="IM118" s="447"/>
      <c r="IN118" s="447"/>
      <c r="IO118" s="447"/>
      <c r="IP118" s="447"/>
      <c r="IQ118" s="447"/>
      <c r="IR118" s="447"/>
      <c r="IS118" s="447"/>
      <c r="IT118" s="447"/>
    </row>
    <row r="119" spans="1:254" s="426" customFormat="1">
      <c r="A119" s="382"/>
      <c r="B119" s="372"/>
      <c r="C119" s="373" t="s">
        <v>27</v>
      </c>
      <c r="D119" s="373">
        <v>1</v>
      </c>
      <c r="E119" s="1338">
        <v>100</v>
      </c>
      <c r="F119" s="912">
        <f>D119*E119</f>
        <v>100</v>
      </c>
      <c r="G119" s="1593"/>
      <c r="H119" s="447"/>
      <c r="I119" s="447"/>
      <c r="J119" s="447"/>
      <c r="K119" s="447"/>
      <c r="L119" s="447"/>
      <c r="M119" s="447"/>
      <c r="N119" s="447"/>
      <c r="O119" s="447"/>
      <c r="P119" s="447"/>
      <c r="Q119" s="447"/>
      <c r="R119" s="447"/>
      <c r="S119" s="447"/>
      <c r="T119" s="447"/>
      <c r="U119" s="447"/>
      <c r="V119" s="447"/>
      <c r="W119" s="447"/>
      <c r="X119" s="447"/>
      <c r="Y119" s="447"/>
      <c r="Z119" s="447"/>
      <c r="AA119" s="447"/>
      <c r="AB119" s="447"/>
      <c r="AC119" s="447"/>
      <c r="AD119" s="447"/>
      <c r="AE119" s="447"/>
      <c r="AF119" s="447"/>
      <c r="AG119" s="447"/>
      <c r="AH119" s="447"/>
      <c r="AI119" s="447"/>
      <c r="AJ119" s="447"/>
      <c r="AK119" s="447"/>
      <c r="AL119" s="447"/>
      <c r="AM119" s="447"/>
      <c r="AN119" s="447"/>
      <c r="AO119" s="447"/>
      <c r="AP119" s="447"/>
      <c r="AQ119" s="447"/>
      <c r="AR119" s="447"/>
      <c r="AS119" s="447"/>
      <c r="AT119" s="447"/>
      <c r="AU119" s="447"/>
      <c r="AV119" s="447"/>
      <c r="AW119" s="447"/>
      <c r="AX119" s="447"/>
      <c r="AY119" s="447"/>
      <c r="AZ119" s="447"/>
      <c r="BA119" s="447"/>
      <c r="BB119" s="447"/>
      <c r="BC119" s="447"/>
      <c r="BD119" s="447"/>
      <c r="BE119" s="447"/>
      <c r="BF119" s="447"/>
      <c r="BG119" s="447"/>
      <c r="BH119" s="447"/>
      <c r="BI119" s="447"/>
      <c r="BJ119" s="447"/>
      <c r="BK119" s="447"/>
      <c r="BL119" s="447"/>
      <c r="BM119" s="447"/>
      <c r="BN119" s="447"/>
      <c r="BO119" s="447"/>
      <c r="BP119" s="447"/>
      <c r="BQ119" s="447"/>
      <c r="BR119" s="447"/>
      <c r="BS119" s="447"/>
      <c r="BT119" s="447"/>
      <c r="BU119" s="447"/>
      <c r="BV119" s="447"/>
      <c r="BW119" s="447"/>
      <c r="BX119" s="447"/>
      <c r="BY119" s="447"/>
      <c r="BZ119" s="447"/>
      <c r="CA119" s="447"/>
      <c r="CB119" s="447"/>
      <c r="CC119" s="447"/>
      <c r="CD119" s="447"/>
      <c r="CE119" s="447"/>
      <c r="CF119" s="447"/>
      <c r="CG119" s="447"/>
      <c r="CH119" s="447"/>
      <c r="CI119" s="447"/>
      <c r="CJ119" s="447"/>
      <c r="CK119" s="447"/>
      <c r="CL119" s="447"/>
      <c r="CM119" s="447"/>
      <c r="CN119" s="447"/>
      <c r="CO119" s="447"/>
      <c r="CP119" s="447"/>
      <c r="CQ119" s="447"/>
      <c r="CR119" s="447"/>
      <c r="CS119" s="447"/>
      <c r="CT119" s="447"/>
      <c r="CU119" s="447"/>
      <c r="CV119" s="447"/>
      <c r="CW119" s="447"/>
      <c r="CX119" s="447"/>
      <c r="CY119" s="447"/>
      <c r="CZ119" s="447"/>
      <c r="DA119" s="447"/>
      <c r="DB119" s="447"/>
      <c r="DC119" s="447"/>
      <c r="DD119" s="447"/>
      <c r="DE119" s="447"/>
      <c r="DF119" s="447"/>
      <c r="DG119" s="447"/>
      <c r="DH119" s="447"/>
      <c r="DI119" s="447"/>
      <c r="DJ119" s="447"/>
      <c r="DK119" s="447"/>
      <c r="DL119" s="447"/>
      <c r="DM119" s="447"/>
      <c r="DN119" s="447"/>
      <c r="DO119" s="447"/>
      <c r="DP119" s="447"/>
      <c r="DQ119" s="447"/>
      <c r="DR119" s="447"/>
      <c r="DS119" s="447"/>
      <c r="DT119" s="447"/>
      <c r="DU119" s="447"/>
      <c r="DV119" s="447"/>
      <c r="DW119" s="447"/>
      <c r="DX119" s="447"/>
      <c r="DY119" s="447"/>
      <c r="DZ119" s="447"/>
      <c r="EA119" s="447"/>
      <c r="EB119" s="447"/>
      <c r="EC119" s="447"/>
      <c r="ED119" s="447"/>
      <c r="EE119" s="447"/>
      <c r="EF119" s="447"/>
      <c r="EG119" s="447"/>
      <c r="EH119" s="447"/>
      <c r="EI119" s="447"/>
      <c r="EJ119" s="447"/>
      <c r="EK119" s="447"/>
      <c r="EL119" s="447"/>
      <c r="EM119" s="447"/>
      <c r="EN119" s="447"/>
      <c r="EO119" s="447"/>
      <c r="EP119" s="447"/>
      <c r="EQ119" s="447"/>
      <c r="ER119" s="447"/>
      <c r="ES119" s="447"/>
      <c r="ET119" s="447"/>
      <c r="EU119" s="447"/>
      <c r="EV119" s="447"/>
      <c r="EW119" s="447"/>
      <c r="EX119" s="447"/>
      <c r="EY119" s="447"/>
      <c r="EZ119" s="447"/>
      <c r="FA119" s="447"/>
      <c r="FB119" s="447"/>
      <c r="FC119" s="447"/>
      <c r="FD119" s="447"/>
      <c r="FE119" s="447"/>
      <c r="FF119" s="447"/>
      <c r="FG119" s="447"/>
      <c r="FH119" s="447"/>
      <c r="FI119" s="447"/>
      <c r="FJ119" s="447"/>
      <c r="FK119" s="447"/>
      <c r="FL119" s="447"/>
      <c r="FM119" s="447"/>
      <c r="FN119" s="447"/>
      <c r="FO119" s="447"/>
      <c r="FP119" s="447"/>
      <c r="FQ119" s="447"/>
      <c r="FR119" s="447"/>
      <c r="FS119" s="447"/>
      <c r="FT119" s="447"/>
      <c r="FU119" s="447"/>
      <c r="FV119" s="447"/>
      <c r="FW119" s="447"/>
      <c r="FX119" s="447"/>
      <c r="FY119" s="447"/>
      <c r="FZ119" s="447"/>
      <c r="GA119" s="447"/>
      <c r="GB119" s="447"/>
      <c r="GC119" s="447"/>
      <c r="GD119" s="447"/>
      <c r="GE119" s="447"/>
      <c r="GF119" s="447"/>
      <c r="GG119" s="447"/>
      <c r="GH119" s="447"/>
      <c r="GI119" s="447"/>
      <c r="GJ119" s="447"/>
      <c r="GK119" s="447"/>
      <c r="GL119" s="447"/>
      <c r="GM119" s="447"/>
      <c r="GN119" s="447"/>
      <c r="GO119" s="447"/>
      <c r="GP119" s="447"/>
      <c r="GQ119" s="447"/>
      <c r="GR119" s="447"/>
      <c r="GS119" s="447"/>
      <c r="GT119" s="447"/>
      <c r="GU119" s="447"/>
      <c r="GV119" s="447"/>
      <c r="GW119" s="447"/>
      <c r="GX119" s="447"/>
      <c r="GY119" s="447"/>
      <c r="GZ119" s="447"/>
      <c r="HA119" s="447"/>
      <c r="HB119" s="447"/>
      <c r="HC119" s="447"/>
      <c r="HD119" s="447"/>
      <c r="HE119" s="447"/>
      <c r="HF119" s="447"/>
      <c r="HG119" s="447"/>
      <c r="HH119" s="447"/>
      <c r="HI119" s="447"/>
      <c r="HJ119" s="447"/>
      <c r="HK119" s="447"/>
      <c r="HL119" s="447"/>
      <c r="HM119" s="447"/>
      <c r="HN119" s="447"/>
      <c r="HO119" s="447"/>
      <c r="HP119" s="447"/>
      <c r="HQ119" s="447"/>
      <c r="HR119" s="447"/>
      <c r="HS119" s="447"/>
      <c r="HT119" s="447"/>
      <c r="HU119" s="447"/>
      <c r="HV119" s="447"/>
      <c r="HW119" s="447"/>
      <c r="HX119" s="447"/>
      <c r="HY119" s="447"/>
      <c r="HZ119" s="447"/>
      <c r="IA119" s="447"/>
      <c r="IB119" s="447"/>
      <c r="IC119" s="447"/>
      <c r="ID119" s="447"/>
      <c r="IE119" s="447"/>
      <c r="IF119" s="447"/>
      <c r="IG119" s="447"/>
      <c r="IH119" s="447"/>
      <c r="II119" s="447"/>
      <c r="IJ119" s="447"/>
      <c r="IK119" s="447"/>
      <c r="IL119" s="447"/>
      <c r="IM119" s="447"/>
      <c r="IN119" s="447"/>
      <c r="IO119" s="447"/>
      <c r="IP119" s="447"/>
      <c r="IQ119" s="447"/>
      <c r="IR119" s="447"/>
      <c r="IS119" s="447"/>
      <c r="IT119" s="447"/>
    </row>
    <row r="120" spans="1:254" s="426" customFormat="1">
      <c r="A120" s="453"/>
      <c r="B120" s="421"/>
      <c r="C120" s="454"/>
      <c r="D120" s="454"/>
      <c r="E120" s="1234"/>
      <c r="F120" s="935"/>
      <c r="G120" s="1593"/>
    </row>
    <row r="121" spans="1:254" s="426" customFormat="1">
      <c r="A121" s="382" t="s">
        <v>1925</v>
      </c>
      <c r="B121" s="372"/>
      <c r="C121" s="382"/>
      <c r="D121" s="382"/>
      <c r="E121" s="1227"/>
      <c r="F121" s="934"/>
      <c r="G121" s="1593"/>
    </row>
    <row r="122" spans="1:254" s="426" customFormat="1" ht="26.4">
      <c r="A122" s="382"/>
      <c r="B122" s="372" t="s">
        <v>1861</v>
      </c>
      <c r="C122" s="382"/>
      <c r="D122" s="382"/>
      <c r="E122" s="1227"/>
      <c r="F122" s="934"/>
      <c r="G122" s="1593"/>
    </row>
    <row r="123" spans="1:254" s="426" customFormat="1">
      <c r="A123" s="382"/>
      <c r="B123" s="372"/>
      <c r="C123" s="382" t="s">
        <v>27</v>
      </c>
      <c r="D123" s="382">
        <v>1</v>
      </c>
      <c r="E123" s="1338">
        <v>100</v>
      </c>
      <c r="F123" s="912">
        <f>D123*E123</f>
        <v>100</v>
      </c>
      <c r="G123" s="1593"/>
    </row>
    <row r="124" spans="1:254" s="426" customFormat="1">
      <c r="A124" s="382"/>
      <c r="B124" s="372"/>
      <c r="C124" s="382" t="s">
        <v>140</v>
      </c>
      <c r="D124" s="382"/>
      <c r="E124" s="1227"/>
      <c r="F124" s="934"/>
      <c r="G124" s="1593"/>
    </row>
    <row r="125" spans="1:254" s="426" customFormat="1">
      <c r="A125" s="382" t="s">
        <v>1926</v>
      </c>
      <c r="B125" s="372"/>
      <c r="C125" s="382"/>
      <c r="D125" s="382"/>
      <c r="E125" s="1227"/>
      <c r="F125" s="934"/>
      <c r="G125" s="1593"/>
    </row>
    <row r="126" spans="1:254" s="426" customFormat="1" ht="66">
      <c r="A126" s="382"/>
      <c r="B126" s="449" t="s">
        <v>1927</v>
      </c>
      <c r="C126" s="382"/>
      <c r="D126" s="382"/>
      <c r="E126" s="1227"/>
      <c r="F126" s="934"/>
      <c r="G126" s="1593"/>
    </row>
    <row r="127" spans="1:254" s="426" customFormat="1">
      <c r="A127" s="382"/>
      <c r="B127" s="372"/>
      <c r="C127" s="382" t="s">
        <v>27</v>
      </c>
      <c r="D127" s="382">
        <v>1</v>
      </c>
      <c r="E127" s="1338">
        <v>100</v>
      </c>
      <c r="F127" s="912">
        <f>D127*E127</f>
        <v>100</v>
      </c>
      <c r="G127" s="1593"/>
    </row>
    <row r="128" spans="1:254" s="426" customFormat="1">
      <c r="A128" s="453"/>
      <c r="B128" s="421"/>
      <c r="C128" s="454"/>
      <c r="D128" s="454"/>
      <c r="E128" s="1234"/>
      <c r="F128" s="935"/>
      <c r="G128" s="1593"/>
    </row>
    <row r="129" spans="1:9" s="426" customFormat="1" ht="52.8">
      <c r="A129" s="382" t="s">
        <v>1928</v>
      </c>
      <c r="B129" s="421" t="s">
        <v>1865</v>
      </c>
      <c r="C129" s="422"/>
      <c r="D129" s="422"/>
      <c r="E129" s="1227"/>
      <c r="F129" s="934"/>
      <c r="G129" s="1593"/>
    </row>
    <row r="130" spans="1:9" s="426" customFormat="1">
      <c r="A130" s="420"/>
      <c r="B130" s="421"/>
      <c r="C130" s="422" t="s">
        <v>27</v>
      </c>
      <c r="D130" s="422">
        <v>1</v>
      </c>
      <c r="E130" s="1338">
        <v>100</v>
      </c>
      <c r="F130" s="912">
        <f>D130*E130</f>
        <v>100</v>
      </c>
      <c r="G130" s="1593"/>
    </row>
    <row r="131" spans="1:9" s="426" customFormat="1" ht="39.6">
      <c r="A131" s="420"/>
      <c r="B131" s="421" t="s">
        <v>1866</v>
      </c>
      <c r="C131" s="422"/>
      <c r="D131" s="422"/>
      <c r="E131" s="1227"/>
      <c r="F131" s="934"/>
      <c r="G131" s="1593"/>
    </row>
    <row r="132" spans="1:9" s="426" customFormat="1">
      <c r="A132" s="420"/>
      <c r="B132" s="421"/>
      <c r="C132" s="422"/>
      <c r="D132" s="422"/>
      <c r="E132" s="1234"/>
      <c r="F132" s="935"/>
      <c r="G132" s="1593"/>
    </row>
    <row r="133" spans="1:9" s="426" customFormat="1">
      <c r="A133" s="420" t="s">
        <v>1929</v>
      </c>
      <c r="B133" s="372"/>
      <c r="C133" s="461"/>
      <c r="D133" s="461"/>
      <c r="E133" s="1241"/>
      <c r="F133" s="938"/>
      <c r="G133" s="369"/>
    </row>
    <row r="134" spans="1:9" s="426" customFormat="1" ht="39.6">
      <c r="A134" s="424"/>
      <c r="B134" s="462" t="s">
        <v>1788</v>
      </c>
      <c r="C134" s="461"/>
      <c r="D134" s="461"/>
      <c r="E134" s="1241"/>
      <c r="F134" s="938"/>
      <c r="G134" s="369"/>
    </row>
    <row r="135" spans="1:9" s="426" customFormat="1">
      <c r="A135" s="424"/>
      <c r="B135" s="372"/>
      <c r="C135" s="463" t="s">
        <v>27</v>
      </c>
      <c r="D135" s="463">
        <v>1</v>
      </c>
      <c r="E135" s="1338">
        <v>100</v>
      </c>
      <c r="F135" s="912">
        <f>D135*E135</f>
        <v>100</v>
      </c>
      <c r="G135" s="369"/>
    </row>
    <row r="136" spans="1:9" s="426" customFormat="1">
      <c r="A136" s="420"/>
      <c r="B136" s="421"/>
      <c r="C136" s="420"/>
      <c r="D136" s="420"/>
      <c r="E136" s="1234"/>
      <c r="F136" s="935"/>
      <c r="G136" s="369"/>
    </row>
    <row r="137" spans="1:9" s="426" customFormat="1">
      <c r="A137" s="453"/>
      <c r="B137" s="421"/>
      <c r="C137" s="454"/>
      <c r="D137" s="454"/>
      <c r="E137" s="1242"/>
      <c r="F137" s="464"/>
      <c r="G137" s="369"/>
    </row>
    <row r="138" spans="1:9" s="426" customFormat="1" ht="26.4">
      <c r="A138" s="476" t="s">
        <v>1920</v>
      </c>
      <c r="B138" s="825" t="s">
        <v>1872</v>
      </c>
      <c r="C138" s="619"/>
      <c r="D138" s="619"/>
      <c r="E138" s="1234"/>
      <c r="F138" s="448"/>
      <c r="G138" s="369"/>
    </row>
    <row r="139" spans="1:9" s="426" customFormat="1">
      <c r="A139" s="477"/>
      <c r="B139" s="456"/>
      <c r="C139" s="420"/>
      <c r="D139" s="420"/>
      <c r="E139" s="1234"/>
      <c r="F139" s="448"/>
      <c r="G139" s="369"/>
    </row>
    <row r="140" spans="1:9" s="426" customFormat="1">
      <c r="A140" s="477"/>
      <c r="B140" s="456" t="s">
        <v>1873</v>
      </c>
      <c r="C140" s="420"/>
      <c r="D140" s="420"/>
      <c r="E140" s="1592">
        <f>SUM(F107:F135)</f>
        <v>900</v>
      </c>
      <c r="F140" s="1592"/>
      <c r="G140" s="369"/>
      <c r="H140" s="620"/>
      <c r="I140" s="621"/>
    </row>
    <row r="141" spans="1:9" s="426" customFormat="1">
      <c r="A141" s="622"/>
      <c r="B141" s="623"/>
      <c r="C141" s="624"/>
      <c r="D141" s="624"/>
      <c r="E141" s="1242"/>
      <c r="F141" s="464"/>
      <c r="G141" s="369"/>
    </row>
    <row r="143" spans="1:9">
      <c r="H143" s="466"/>
    </row>
    <row r="148" spans="4:4">
      <c r="D148" s="468"/>
    </row>
  </sheetData>
  <sheetProtection algorithmName="SHA-512" hashValue="TPl/R1LLKshMnwRtjnMWQ0bbxq231PSl77DUE93JobmFQRTurMu1Yq4mzb9qTO9469LEkGTji7HJCWetv9yt2A==" saltValue="mVS7egR1SM0vkA+2yxd9FA==" spinCount="100000" sheet="1" objects="1" scenarios="1"/>
  <mergeCells count="10">
    <mergeCell ref="A1:F1"/>
    <mergeCell ref="B41:F41"/>
    <mergeCell ref="E99:F99"/>
    <mergeCell ref="E140:F140"/>
    <mergeCell ref="G106:G132"/>
    <mergeCell ref="B8:F8"/>
    <mergeCell ref="B9:E9"/>
    <mergeCell ref="B10:F10"/>
    <mergeCell ref="B15:F15"/>
    <mergeCell ref="E34:F34"/>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rowBreaks count="2" manualBreakCount="2">
    <brk id="37" max="7" man="1"/>
    <brk id="132" max="7"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P145"/>
  <sheetViews>
    <sheetView topLeftCell="A101" zoomScale="85" zoomScaleNormal="85" zoomScaleSheetLayoutView="130" workbookViewId="0">
      <selection activeCell="E115" sqref="E115"/>
    </sheetView>
  </sheetViews>
  <sheetFormatPr defaultColWidth="9.109375" defaultRowHeight="13.2"/>
  <cols>
    <col min="1" max="1" width="10.6640625" style="486" customWidth="1"/>
    <col min="2" max="2" width="45.6640625" style="363" customWidth="1"/>
    <col min="3" max="4" width="9.6640625" style="479" customWidth="1"/>
    <col min="5" max="5" width="10.6640625" style="1271" customWidth="1"/>
    <col min="6" max="6" width="11.5546875" style="665" customWidth="1"/>
    <col min="7" max="7" width="41.44140625" style="346" customWidth="1"/>
    <col min="8" max="8" width="9.6640625" style="346" bestFit="1" customWidth="1"/>
    <col min="9" max="16384" width="9.109375" style="346"/>
  </cols>
  <sheetData>
    <row r="1" spans="1:16" s="542" customFormat="1" ht="45" customHeight="1">
      <c r="A1" s="1588" t="s">
        <v>2047</v>
      </c>
      <c r="B1" s="1588"/>
      <c r="C1" s="1588"/>
      <c r="D1" s="1588"/>
      <c r="E1" s="1588"/>
      <c r="F1" s="1588"/>
    </row>
    <row r="2" spans="1:16" s="254" customFormat="1" ht="12.6" customHeight="1" thickBot="1">
      <c r="A2" s="291"/>
      <c r="B2" s="291"/>
      <c r="C2" s="291"/>
      <c r="D2" s="291"/>
      <c r="E2" s="1217"/>
      <c r="F2" s="291"/>
    </row>
    <row r="3" spans="1:16" ht="40.200000000000003" thickBot="1">
      <c r="A3" s="355" t="s">
        <v>1790</v>
      </c>
      <c r="B3" s="631" t="s">
        <v>1791</v>
      </c>
      <c r="C3" s="357" t="s">
        <v>1792</v>
      </c>
      <c r="D3" s="356" t="s">
        <v>1793</v>
      </c>
      <c r="E3" s="1203" t="s">
        <v>1794</v>
      </c>
      <c r="F3" s="358" t="s">
        <v>1795</v>
      </c>
      <c r="G3" s="1189" t="s">
        <v>2523</v>
      </c>
    </row>
    <row r="4" spans="1:16" ht="14.4" thickTop="1" thickBot="1">
      <c r="A4" s="359">
        <v>1</v>
      </c>
      <c r="B4" s="360">
        <v>2</v>
      </c>
      <c r="C4" s="361">
        <v>3</v>
      </c>
      <c r="D4" s="361">
        <v>4</v>
      </c>
      <c r="E4" s="361">
        <v>5</v>
      </c>
      <c r="F4" s="361">
        <v>6</v>
      </c>
    </row>
    <row r="5" spans="1:16">
      <c r="A5" s="366"/>
      <c r="B5" s="516"/>
      <c r="C5" s="572"/>
      <c r="D5" s="572"/>
      <c r="E5" s="1260"/>
      <c r="F5" s="593"/>
    </row>
    <row r="6" spans="1:16" s="675" customFormat="1">
      <c r="A6" s="625" t="s">
        <v>439</v>
      </c>
      <c r="B6" s="626" t="s">
        <v>1930</v>
      </c>
      <c r="C6" s="627"/>
      <c r="D6" s="627"/>
      <c r="E6" s="1218"/>
      <c r="F6" s="628"/>
      <c r="G6" s="352"/>
      <c r="H6" s="352"/>
      <c r="I6" s="352"/>
      <c r="J6" s="352"/>
      <c r="K6" s="352"/>
      <c r="L6" s="352"/>
      <c r="M6" s="352"/>
      <c r="N6" s="352"/>
      <c r="O6" s="352"/>
      <c r="P6" s="352"/>
    </row>
    <row r="7" spans="1:16" ht="27.75" customHeight="1">
      <c r="A7" s="1596" t="s">
        <v>1931</v>
      </c>
      <c r="B7" s="1596"/>
      <c r="C7" s="1596"/>
      <c r="D7" s="1596"/>
      <c r="E7" s="1596"/>
      <c r="F7" s="1596"/>
    </row>
    <row r="8" spans="1:16">
      <c r="A8" s="632"/>
      <c r="B8" s="632"/>
      <c r="C8" s="632"/>
      <c r="D8" s="632"/>
      <c r="E8" s="1262"/>
      <c r="F8" s="633"/>
    </row>
    <row r="9" spans="1:16" s="516" customFormat="1">
      <c r="A9" s="634" t="s">
        <v>1932</v>
      </c>
      <c r="B9" s="635" t="s">
        <v>1933</v>
      </c>
      <c r="C9" s="636"/>
      <c r="D9" s="636"/>
      <c r="E9" s="1263"/>
      <c r="F9" s="637"/>
    </row>
    <row r="10" spans="1:16" s="638" customFormat="1">
      <c r="A10" s="497"/>
      <c r="B10" s="321"/>
      <c r="C10" s="344"/>
      <c r="D10" s="344"/>
      <c r="E10" s="1206"/>
      <c r="F10" s="529"/>
      <c r="G10" s="280"/>
      <c r="H10" s="590"/>
      <c r="I10" s="590"/>
      <c r="J10" s="590"/>
      <c r="K10" s="590"/>
      <c r="L10" s="590"/>
      <c r="M10" s="590"/>
      <c r="N10" s="590"/>
      <c r="O10" s="590"/>
      <c r="P10" s="590"/>
    </row>
    <row r="11" spans="1:16" s="638" customFormat="1">
      <c r="A11" s="497"/>
      <c r="B11" s="639" t="s">
        <v>1717</v>
      </c>
      <c r="C11" s="344"/>
      <c r="D11" s="344"/>
      <c r="E11" s="1206"/>
      <c r="F11" s="529"/>
      <c r="G11" s="590"/>
      <c r="H11" s="590"/>
      <c r="I11" s="590"/>
      <c r="J11" s="590"/>
      <c r="K11" s="590"/>
      <c r="L11" s="590"/>
      <c r="M11" s="590"/>
      <c r="N11" s="590"/>
      <c r="O11" s="590"/>
      <c r="P11" s="590"/>
    </row>
    <row r="12" spans="1:16" s="638" customFormat="1" ht="132">
      <c r="A12" s="497"/>
      <c r="B12" s="639" t="s">
        <v>1934</v>
      </c>
      <c r="C12" s="344"/>
      <c r="D12" s="344"/>
      <c r="E12" s="1206"/>
      <c r="F12" s="529"/>
      <c r="G12" s="590"/>
      <c r="H12" s="590"/>
      <c r="I12" s="590"/>
      <c r="J12" s="590"/>
      <c r="K12" s="590"/>
      <c r="L12" s="590"/>
      <c r="M12" s="590"/>
      <c r="N12" s="590"/>
      <c r="O12" s="590"/>
      <c r="P12" s="590"/>
    </row>
    <row r="13" spans="1:16" s="640" customFormat="1">
      <c r="A13" s="497"/>
      <c r="B13" s="321"/>
      <c r="C13" s="344"/>
      <c r="D13" s="344"/>
      <c r="E13" s="1206"/>
      <c r="F13" s="529"/>
      <c r="G13" s="516"/>
      <c r="H13" s="516"/>
      <c r="I13" s="516"/>
      <c r="J13" s="516"/>
      <c r="K13" s="516"/>
      <c r="L13" s="516"/>
      <c r="M13" s="516"/>
      <c r="N13" s="516"/>
      <c r="O13" s="516"/>
      <c r="P13" s="516"/>
    </row>
    <row r="14" spans="1:16" s="644" customFormat="1" ht="12.75" customHeight="1">
      <c r="A14" s="465" t="s">
        <v>1935</v>
      </c>
      <c r="B14" s="641"/>
      <c r="C14" s="642"/>
      <c r="D14" s="643"/>
      <c r="E14" s="1264"/>
      <c r="F14" s="466"/>
      <c r="G14" s="397"/>
      <c r="H14" s="397"/>
      <c r="I14" s="394"/>
      <c r="J14" s="397"/>
      <c r="K14" s="397"/>
      <c r="L14" s="397"/>
      <c r="M14" s="397"/>
      <c r="N14" s="397"/>
      <c r="O14" s="397"/>
      <c r="P14" s="397"/>
    </row>
    <row r="15" spans="1:16" ht="105.6">
      <c r="A15" s="569"/>
      <c r="B15" s="330" t="s">
        <v>1936</v>
      </c>
      <c r="C15" s="645"/>
      <c r="D15" s="646"/>
      <c r="E15" s="1265"/>
      <c r="F15" s="571"/>
    </row>
    <row r="16" spans="1:16">
      <c r="A16" s="569"/>
      <c r="B16" s="330" t="s">
        <v>1937</v>
      </c>
      <c r="C16" s="645"/>
      <c r="D16" s="646"/>
      <c r="E16" s="1265"/>
      <c r="F16" s="571"/>
    </row>
    <row r="17" spans="1:16">
      <c r="A17" s="569"/>
      <c r="B17" s="330"/>
      <c r="C17" s="645"/>
      <c r="D17" s="646"/>
      <c r="E17" s="1265"/>
      <c r="F17" s="571"/>
    </row>
    <row r="18" spans="1:16">
      <c r="A18" s="569"/>
      <c r="B18" s="330" t="s">
        <v>1938</v>
      </c>
      <c r="C18" s="645" t="s">
        <v>692</v>
      </c>
      <c r="D18" s="647">
        <v>5</v>
      </c>
      <c r="E18" s="1338">
        <v>25</v>
      </c>
      <c r="F18" s="912">
        <f>D18*E18</f>
        <v>125</v>
      </c>
    </row>
    <row r="19" spans="1:16">
      <c r="A19" s="569"/>
      <c r="B19" s="330"/>
      <c r="C19" s="645"/>
      <c r="D19" s="647"/>
      <c r="E19" s="1266"/>
      <c r="F19" s="648"/>
    </row>
    <row r="20" spans="1:16" ht="39.6">
      <c r="A20" s="569"/>
      <c r="B20" s="534" t="s">
        <v>1939</v>
      </c>
      <c r="C20" s="645"/>
      <c r="D20" s="647"/>
      <c r="E20" s="1266"/>
      <c r="F20" s="648"/>
    </row>
    <row r="21" spans="1:16">
      <c r="A21" s="569"/>
      <c r="B21" s="534"/>
      <c r="C21" s="645"/>
      <c r="D21" s="647"/>
      <c r="E21" s="1266"/>
      <c r="F21" s="648"/>
    </row>
    <row r="22" spans="1:16">
      <c r="A22" s="569"/>
      <c r="B22" s="534"/>
      <c r="C22" s="645"/>
      <c r="D22" s="647"/>
      <c r="E22" s="1266"/>
      <c r="F22" s="648"/>
    </row>
    <row r="23" spans="1:16" s="650" customFormat="1">
      <c r="A23" s="537" t="s">
        <v>1932</v>
      </c>
      <c r="B23" s="676" t="s">
        <v>1940</v>
      </c>
      <c r="C23" s="507"/>
      <c r="D23" s="507"/>
      <c r="E23" s="1209"/>
      <c r="F23" s="649"/>
      <c r="G23" s="346"/>
      <c r="H23" s="346"/>
      <c r="I23" s="346"/>
      <c r="J23" s="346"/>
      <c r="K23" s="346"/>
      <c r="L23" s="346"/>
      <c r="M23" s="346"/>
      <c r="N23" s="346"/>
      <c r="O23" s="346"/>
      <c r="P23" s="346"/>
    </row>
    <row r="24" spans="1:16" s="650" customFormat="1">
      <c r="A24" s="509"/>
      <c r="B24" s="353"/>
      <c r="C24" s="510"/>
      <c r="D24" s="510"/>
      <c r="E24" s="1210"/>
      <c r="F24" s="651"/>
      <c r="G24" s="346"/>
      <c r="H24" s="346"/>
      <c r="I24" s="346"/>
      <c r="J24" s="346"/>
      <c r="K24" s="346"/>
      <c r="L24" s="346"/>
      <c r="M24" s="346"/>
      <c r="N24" s="346"/>
      <c r="O24" s="346"/>
      <c r="P24" s="346"/>
    </row>
    <row r="25" spans="1:16" s="650" customFormat="1">
      <c r="A25" s="509"/>
      <c r="B25" s="538" t="s">
        <v>1726</v>
      </c>
      <c r="C25" s="510"/>
      <c r="D25" s="510"/>
      <c r="E25" s="1581">
        <f>F18</f>
        <v>125</v>
      </c>
      <c r="F25" s="1582"/>
      <c r="G25" s="346"/>
      <c r="H25" s="346"/>
      <c r="I25" s="346"/>
      <c r="J25" s="346"/>
      <c r="K25" s="346"/>
      <c r="L25" s="346"/>
      <c r="M25" s="346"/>
      <c r="N25" s="346"/>
      <c r="O25" s="346"/>
      <c r="P25" s="346"/>
    </row>
    <row r="26" spans="1:16" s="650" customFormat="1">
      <c r="A26" s="512"/>
      <c r="B26" s="539"/>
      <c r="C26" s="513"/>
      <c r="D26" s="513"/>
      <c r="E26" s="1211"/>
      <c r="F26" s="652"/>
      <c r="G26" s="346"/>
      <c r="H26" s="346"/>
      <c r="I26" s="346"/>
      <c r="J26" s="346"/>
      <c r="K26" s="346"/>
      <c r="L26" s="346"/>
      <c r="M26" s="346"/>
      <c r="N26" s="346"/>
      <c r="O26" s="346"/>
      <c r="P26" s="346"/>
    </row>
    <row r="27" spans="1:16">
      <c r="A27" s="465"/>
      <c r="B27" s="524"/>
      <c r="C27" s="642"/>
      <c r="D27" s="643"/>
      <c r="E27" s="1264"/>
      <c r="F27" s="466"/>
    </row>
    <row r="28" spans="1:16">
      <c r="A28" s="465"/>
      <c r="B28" s="641"/>
      <c r="C28" s="642"/>
      <c r="D28" s="643"/>
      <c r="E28" s="1264"/>
      <c r="F28" s="466"/>
    </row>
    <row r="29" spans="1:16">
      <c r="A29" s="634" t="s">
        <v>1941</v>
      </c>
      <c r="B29" s="635" t="s">
        <v>1942</v>
      </c>
      <c r="C29" s="636"/>
      <c r="D29" s="636"/>
      <c r="E29" s="1263"/>
      <c r="F29" s="637"/>
    </row>
    <row r="30" spans="1:16">
      <c r="A30" s="653"/>
      <c r="B30" s="639"/>
      <c r="C30" s="654"/>
      <c r="D30" s="654"/>
      <c r="E30" s="1267"/>
      <c r="F30" s="655"/>
    </row>
    <row r="31" spans="1:16">
      <c r="A31" s="497" t="s">
        <v>1943</v>
      </c>
      <c r="B31" s="639"/>
      <c r="C31" s="654"/>
      <c r="D31" s="654"/>
      <c r="E31" s="1267"/>
      <c r="F31" s="655"/>
    </row>
    <row r="32" spans="1:16" ht="39.6">
      <c r="A32" s="569"/>
      <c r="B32" s="330" t="s">
        <v>1944</v>
      </c>
      <c r="C32" s="645"/>
      <c r="D32" s="646"/>
      <c r="E32" s="1265"/>
      <c r="F32" s="571"/>
    </row>
    <row r="33" spans="1:16" s="656" customFormat="1" ht="26.4">
      <c r="A33" s="569"/>
      <c r="B33" s="330" t="s">
        <v>1945</v>
      </c>
      <c r="C33" s="645"/>
      <c r="D33" s="646"/>
      <c r="E33" s="1265"/>
      <c r="F33" s="571"/>
      <c r="G33" s="346"/>
      <c r="H33" s="346"/>
      <c r="I33" s="346"/>
      <c r="J33" s="346"/>
      <c r="K33" s="346"/>
      <c r="L33" s="346"/>
      <c r="M33" s="346"/>
      <c r="N33" s="346"/>
      <c r="O33" s="346"/>
      <c r="P33" s="346"/>
    </row>
    <row r="34" spans="1:16">
      <c r="A34" s="569"/>
      <c r="B34" s="330" t="s">
        <v>1946</v>
      </c>
      <c r="C34" s="645" t="s">
        <v>27</v>
      </c>
      <c r="D34" s="570">
        <v>8</v>
      </c>
      <c r="E34" s="1338">
        <v>150</v>
      </c>
      <c r="F34" s="912">
        <f>D34*E34</f>
        <v>1200</v>
      </c>
    </row>
    <row r="35" spans="1:16">
      <c r="A35" s="569"/>
      <c r="B35" s="330"/>
      <c r="C35" s="645"/>
      <c r="D35" s="646"/>
      <c r="E35" s="1252"/>
      <c r="F35" s="924"/>
    </row>
    <row r="36" spans="1:16">
      <c r="A36" s="497" t="s">
        <v>1947</v>
      </c>
      <c r="B36" s="639"/>
      <c r="C36" s="654"/>
      <c r="D36" s="654"/>
      <c r="E36" s="1267"/>
      <c r="F36" s="939"/>
    </row>
    <row r="37" spans="1:16" ht="39.6">
      <c r="A37" s="657"/>
      <c r="B37" s="330" t="s">
        <v>1948</v>
      </c>
      <c r="C37" s="645"/>
      <c r="D37" s="647"/>
      <c r="E37" s="1265"/>
      <c r="F37" s="924"/>
    </row>
    <row r="38" spans="1:16">
      <c r="A38" s="569"/>
      <c r="B38" s="330"/>
      <c r="C38" s="645"/>
      <c r="D38" s="647"/>
      <c r="E38" s="1265"/>
      <c r="F38" s="924"/>
    </row>
    <row r="39" spans="1:16">
      <c r="A39" s="569"/>
      <c r="B39" s="330" t="s">
        <v>1949</v>
      </c>
      <c r="C39" s="645" t="s">
        <v>1818</v>
      </c>
      <c r="D39" s="570">
        <v>8</v>
      </c>
      <c r="E39" s="1338">
        <v>50</v>
      </c>
      <c r="F39" s="912">
        <f>D39*E39</f>
        <v>400</v>
      </c>
    </row>
    <row r="40" spans="1:16">
      <c r="A40" s="569"/>
      <c r="B40" s="330"/>
      <c r="C40" s="645"/>
      <c r="D40" s="570"/>
      <c r="E40" s="1268"/>
      <c r="F40" s="940"/>
    </row>
    <row r="41" spans="1:16" s="659" customFormat="1">
      <c r="A41" s="658" t="s">
        <v>1950</v>
      </c>
      <c r="B41" s="330"/>
      <c r="C41" s="645"/>
      <c r="D41" s="570"/>
      <c r="E41" s="1268"/>
      <c r="F41" s="940"/>
      <c r="G41" s="524"/>
      <c r="H41" s="524"/>
      <c r="I41" s="524"/>
      <c r="J41" s="524"/>
      <c r="K41" s="524"/>
      <c r="L41" s="524"/>
      <c r="M41" s="524"/>
      <c r="N41" s="524"/>
      <c r="O41" s="524"/>
      <c r="P41" s="524"/>
    </row>
    <row r="42" spans="1:16" s="659" customFormat="1" ht="52.8">
      <c r="A42" s="569"/>
      <c r="B42" s="330" t="s">
        <v>1951</v>
      </c>
      <c r="C42" s="645"/>
      <c r="D42" s="570"/>
      <c r="E42" s="1268"/>
      <c r="F42" s="940"/>
      <c r="G42" s="524"/>
      <c r="H42" s="524"/>
      <c r="I42" s="524"/>
      <c r="J42" s="524"/>
      <c r="K42" s="524"/>
      <c r="L42" s="524"/>
      <c r="M42" s="524"/>
      <c r="N42" s="524"/>
      <c r="O42" s="524"/>
      <c r="P42" s="524"/>
    </row>
    <row r="43" spans="1:16" s="659" customFormat="1">
      <c r="A43" s="569"/>
      <c r="B43" s="330"/>
      <c r="C43" s="645"/>
      <c r="D43" s="570"/>
      <c r="E43" s="1268"/>
      <c r="F43" s="940"/>
      <c r="G43" s="524"/>
      <c r="H43" s="524"/>
      <c r="I43" s="524"/>
      <c r="J43" s="524"/>
      <c r="K43" s="524"/>
      <c r="L43" s="524"/>
      <c r="M43" s="524"/>
      <c r="N43" s="524"/>
      <c r="O43" s="524"/>
      <c r="P43" s="524"/>
    </row>
    <row r="44" spans="1:16" s="659" customFormat="1">
      <c r="A44" s="569"/>
      <c r="B44" s="641" t="s">
        <v>1952</v>
      </c>
      <c r="C44" s="645" t="s">
        <v>1953</v>
      </c>
      <c r="D44" s="660">
        <v>8</v>
      </c>
      <c r="E44" s="1338">
        <v>50</v>
      </c>
      <c r="F44" s="912">
        <f>D44*E44</f>
        <v>400</v>
      </c>
      <c r="G44" s="524"/>
      <c r="H44" s="524"/>
      <c r="I44" s="524"/>
      <c r="J44" s="524"/>
      <c r="K44" s="524"/>
      <c r="L44" s="524"/>
      <c r="M44" s="524"/>
      <c r="N44" s="524"/>
      <c r="O44" s="524"/>
      <c r="P44" s="524"/>
    </row>
    <row r="45" spans="1:16" s="659" customFormat="1">
      <c r="A45" s="569"/>
      <c r="B45" s="641"/>
      <c r="C45" s="645"/>
      <c r="D45" s="660"/>
      <c r="E45" s="1268"/>
      <c r="F45" s="940"/>
      <c r="G45" s="524"/>
      <c r="H45" s="524"/>
      <c r="I45" s="524"/>
      <c r="J45" s="524"/>
      <c r="K45" s="524"/>
      <c r="L45" s="524"/>
      <c r="M45" s="524"/>
      <c r="N45" s="524"/>
      <c r="O45" s="524"/>
      <c r="P45" s="524"/>
    </row>
    <row r="46" spans="1:16">
      <c r="A46" s="658" t="s">
        <v>1954</v>
      </c>
      <c r="B46" s="330"/>
      <c r="C46" s="645"/>
      <c r="D46" s="570"/>
      <c r="E46" s="1268"/>
      <c r="F46" s="940"/>
    </row>
    <row r="47" spans="1:16" ht="52.8">
      <c r="A47" s="569"/>
      <c r="B47" s="524" t="s">
        <v>1955</v>
      </c>
      <c r="C47" s="332"/>
      <c r="D47" s="347"/>
      <c r="E47" s="1268"/>
      <c r="F47" s="940"/>
    </row>
    <row r="48" spans="1:16">
      <c r="A48" s="569"/>
      <c r="B48" s="641" t="s">
        <v>2266</v>
      </c>
      <c r="C48" s="645" t="s">
        <v>120</v>
      </c>
      <c r="D48" s="660">
        <v>10</v>
      </c>
      <c r="E48" s="1338">
        <v>30</v>
      </c>
      <c r="F48" s="912">
        <f>D48*E48</f>
        <v>300</v>
      </c>
    </row>
    <row r="49" spans="1:16">
      <c r="A49" s="569"/>
      <c r="B49" s="641"/>
      <c r="C49" s="645"/>
      <c r="D49" s="660"/>
      <c r="E49" s="1268"/>
      <c r="F49" s="648"/>
    </row>
    <row r="50" spans="1:16" s="650" customFormat="1">
      <c r="A50" s="537" t="s">
        <v>1941</v>
      </c>
      <c r="B50" s="676" t="s">
        <v>1942</v>
      </c>
      <c r="C50" s="507"/>
      <c r="D50" s="507"/>
      <c r="E50" s="1209"/>
      <c r="F50" s="649"/>
      <c r="G50" s="346"/>
      <c r="H50" s="346"/>
      <c r="I50" s="346"/>
      <c r="J50" s="346"/>
      <c r="K50" s="346"/>
      <c r="L50" s="346"/>
      <c r="M50" s="346"/>
      <c r="N50" s="346"/>
      <c r="O50" s="346"/>
      <c r="P50" s="346"/>
    </row>
    <row r="51" spans="1:16" s="650" customFormat="1">
      <c r="A51" s="509"/>
      <c r="B51" s="353"/>
      <c r="C51" s="510"/>
      <c r="D51" s="510"/>
      <c r="E51" s="1210"/>
      <c r="F51" s="651"/>
      <c r="G51" s="346"/>
      <c r="H51" s="346"/>
      <c r="I51" s="346"/>
      <c r="J51" s="346"/>
      <c r="K51" s="346"/>
      <c r="L51" s="346"/>
      <c r="M51" s="346"/>
      <c r="N51" s="346"/>
      <c r="O51" s="346"/>
      <c r="P51" s="346"/>
    </row>
    <row r="52" spans="1:16" s="650" customFormat="1">
      <c r="A52" s="509"/>
      <c r="B52" s="538" t="s">
        <v>1726</v>
      </c>
      <c r="C52" s="510"/>
      <c r="D52" s="510"/>
      <c r="E52" s="1581">
        <f>SUM(F32:F48)</f>
        <v>2300</v>
      </c>
      <c r="F52" s="1582"/>
      <c r="G52" s="346"/>
      <c r="H52" s="346"/>
      <c r="I52" s="346"/>
      <c r="J52" s="346"/>
      <c r="K52" s="346"/>
      <c r="L52" s="346"/>
      <c r="M52" s="346"/>
      <c r="N52" s="346"/>
      <c r="O52" s="346"/>
      <c r="P52" s="346"/>
    </row>
    <row r="53" spans="1:16" s="650" customFormat="1">
      <c r="A53" s="512"/>
      <c r="B53" s="539"/>
      <c r="C53" s="513"/>
      <c r="D53" s="513"/>
      <c r="E53" s="1211"/>
      <c r="F53" s="652"/>
      <c r="G53" s="346"/>
      <c r="H53" s="346"/>
      <c r="I53" s="346"/>
      <c r="J53" s="346"/>
      <c r="K53" s="346"/>
      <c r="L53" s="346"/>
      <c r="M53" s="346"/>
      <c r="N53" s="346"/>
      <c r="O53" s="346"/>
      <c r="P53" s="346"/>
    </row>
    <row r="54" spans="1:16" s="650" customFormat="1">
      <c r="A54" s="497"/>
      <c r="B54" s="661"/>
      <c r="C54" s="654"/>
      <c r="D54" s="654"/>
      <c r="E54" s="1269"/>
      <c r="F54" s="662"/>
      <c r="G54" s="346"/>
      <c r="H54" s="346"/>
      <c r="I54" s="346"/>
      <c r="J54" s="346"/>
      <c r="K54" s="346"/>
      <c r="L54" s="346"/>
      <c r="M54" s="346"/>
      <c r="N54" s="346"/>
      <c r="O54" s="346"/>
      <c r="P54" s="346"/>
    </row>
    <row r="55" spans="1:16" s="650" customFormat="1">
      <c r="A55" s="497"/>
      <c r="B55" s="661"/>
      <c r="C55" s="654"/>
      <c r="D55" s="654"/>
      <c r="E55" s="1269"/>
      <c r="F55" s="662"/>
      <c r="G55" s="346"/>
      <c r="H55" s="346"/>
      <c r="I55" s="346"/>
      <c r="J55" s="346"/>
      <c r="K55" s="346"/>
      <c r="L55" s="346"/>
      <c r="M55" s="346"/>
      <c r="N55" s="346"/>
      <c r="O55" s="346"/>
      <c r="P55" s="346"/>
    </row>
    <row r="56" spans="1:16">
      <c r="A56" s="634" t="s">
        <v>1956</v>
      </c>
      <c r="B56" s="635" t="s">
        <v>1957</v>
      </c>
      <c r="C56" s="636"/>
      <c r="D56" s="636"/>
      <c r="E56" s="1263"/>
      <c r="F56" s="637"/>
    </row>
    <row r="57" spans="1:16">
      <c r="A57" s="653"/>
      <c r="B57" s="639"/>
      <c r="C57" s="654"/>
      <c r="D57" s="654"/>
      <c r="E57" s="1267"/>
      <c r="F57" s="655"/>
    </row>
    <row r="58" spans="1:16">
      <c r="A58" s="658" t="s">
        <v>1958</v>
      </c>
      <c r="B58" s="330"/>
      <c r="C58" s="645"/>
      <c r="D58" s="646"/>
      <c r="E58" s="1265"/>
      <c r="F58" s="571"/>
    </row>
    <row r="59" spans="1:16" ht="39.6">
      <c r="A59" s="569"/>
      <c r="B59" s="330" t="s">
        <v>1959</v>
      </c>
      <c r="C59" s="645"/>
      <c r="D59" s="646"/>
      <c r="E59" s="1265"/>
      <c r="F59" s="571"/>
    </row>
    <row r="60" spans="1:16" s="656" customFormat="1" ht="26.4">
      <c r="A60" s="569"/>
      <c r="B60" s="330" t="s">
        <v>1945</v>
      </c>
      <c r="C60" s="645"/>
      <c r="D60" s="646"/>
      <c r="E60" s="1265"/>
      <c r="F60" s="571"/>
      <c r="G60" s="346"/>
      <c r="H60" s="346"/>
      <c r="I60" s="346"/>
      <c r="J60" s="346"/>
      <c r="K60" s="346"/>
      <c r="L60" s="346"/>
      <c r="M60" s="346"/>
      <c r="N60" s="346"/>
      <c r="O60" s="346"/>
      <c r="P60" s="346"/>
    </row>
    <row r="61" spans="1:16">
      <c r="A61" s="569"/>
      <c r="B61" s="330"/>
      <c r="C61" s="645"/>
      <c r="D61" s="646"/>
      <c r="E61" s="1265"/>
      <c r="F61" s="571"/>
    </row>
    <row r="62" spans="1:16">
      <c r="A62" s="569"/>
      <c r="B62" s="330" t="s">
        <v>1946</v>
      </c>
      <c r="C62" s="645" t="s">
        <v>27</v>
      </c>
      <c r="D62" s="570">
        <v>1</v>
      </c>
      <c r="E62" s="1338">
        <v>250</v>
      </c>
      <c r="F62" s="912">
        <f>D62*E62</f>
        <v>250</v>
      </c>
    </row>
    <row r="63" spans="1:16">
      <c r="A63" s="569"/>
      <c r="B63" s="330"/>
      <c r="C63" s="645"/>
      <c r="D63" s="570"/>
      <c r="E63" s="1266"/>
      <c r="F63" s="940"/>
    </row>
    <row r="64" spans="1:16" s="663" customFormat="1">
      <c r="A64" s="658" t="s">
        <v>1960</v>
      </c>
      <c r="B64" s="330"/>
      <c r="C64" s="645"/>
      <c r="D64" s="570"/>
      <c r="E64" s="1268"/>
      <c r="F64" s="940"/>
      <c r="G64" s="352"/>
      <c r="H64" s="352"/>
      <c r="I64" s="352"/>
      <c r="J64" s="352"/>
      <c r="K64" s="352"/>
      <c r="L64" s="352"/>
      <c r="M64" s="352"/>
      <c r="N64" s="352"/>
      <c r="O64" s="352"/>
      <c r="P64" s="352"/>
    </row>
    <row r="65" spans="1:16" s="663" customFormat="1" ht="52.8">
      <c r="A65" s="569"/>
      <c r="B65" s="524" t="s">
        <v>1955</v>
      </c>
      <c r="C65" s="332"/>
      <c r="D65" s="347"/>
      <c r="E65" s="1268"/>
      <c r="F65" s="940"/>
      <c r="G65" s="352"/>
      <c r="H65" s="352"/>
      <c r="I65" s="352"/>
      <c r="J65" s="352"/>
      <c r="K65" s="352"/>
      <c r="L65" s="352"/>
      <c r="M65" s="352"/>
      <c r="N65" s="352"/>
      <c r="O65" s="352"/>
      <c r="P65" s="352"/>
    </row>
    <row r="66" spans="1:16" s="663" customFormat="1">
      <c r="A66" s="569"/>
      <c r="B66" s="641" t="s">
        <v>1961</v>
      </c>
      <c r="C66" s="645" t="s">
        <v>120</v>
      </c>
      <c r="D66" s="660">
        <v>1</v>
      </c>
      <c r="E66" s="1338">
        <v>30</v>
      </c>
      <c r="F66" s="912">
        <f>D66*E66</f>
        <v>30</v>
      </c>
      <c r="G66" s="352"/>
      <c r="H66" s="352"/>
      <c r="I66" s="352"/>
      <c r="J66" s="352"/>
      <c r="K66" s="352"/>
      <c r="L66" s="352"/>
      <c r="M66" s="352"/>
      <c r="N66" s="352"/>
      <c r="O66" s="352"/>
      <c r="P66" s="352"/>
    </row>
    <row r="67" spans="1:16" s="663" customFormat="1">
      <c r="A67" s="569"/>
      <c r="B67" s="641" t="s">
        <v>1962</v>
      </c>
      <c r="C67" s="645" t="s">
        <v>120</v>
      </c>
      <c r="D67" s="660">
        <v>1</v>
      </c>
      <c r="E67" s="1338">
        <v>40</v>
      </c>
      <c r="F67" s="912">
        <f>D67*E67</f>
        <v>40</v>
      </c>
      <c r="G67" s="352"/>
      <c r="H67" s="352"/>
      <c r="I67" s="352"/>
      <c r="J67" s="352"/>
      <c r="K67" s="352"/>
      <c r="L67" s="352"/>
      <c r="M67" s="352"/>
      <c r="N67" s="352"/>
      <c r="O67" s="352"/>
      <c r="P67" s="352"/>
    </row>
    <row r="68" spans="1:16" s="659" customFormat="1">
      <c r="A68" s="569"/>
      <c r="B68" s="330"/>
      <c r="C68" s="645"/>
      <c r="D68" s="570"/>
      <c r="E68" s="1268"/>
      <c r="F68" s="940"/>
      <c r="G68" s="524"/>
      <c r="H68" s="524"/>
      <c r="I68" s="524"/>
      <c r="J68" s="524"/>
      <c r="K68" s="524"/>
      <c r="L68" s="524"/>
      <c r="M68" s="524"/>
      <c r="N68" s="524"/>
      <c r="O68" s="524"/>
      <c r="P68" s="524"/>
    </row>
    <row r="69" spans="1:16" s="659" customFormat="1">
      <c r="A69" s="658" t="s">
        <v>1963</v>
      </c>
      <c r="B69" s="330"/>
      <c r="C69" s="645"/>
      <c r="D69" s="570"/>
      <c r="E69" s="1268"/>
      <c r="F69" s="940"/>
      <c r="G69" s="524"/>
      <c r="H69" s="524"/>
      <c r="I69" s="524"/>
      <c r="J69" s="524"/>
      <c r="K69" s="524"/>
      <c r="L69" s="524"/>
      <c r="M69" s="524"/>
      <c r="N69" s="524"/>
      <c r="O69" s="524"/>
      <c r="P69" s="524"/>
    </row>
    <row r="70" spans="1:16" s="659" customFormat="1" ht="52.8">
      <c r="A70" s="569"/>
      <c r="B70" s="330" t="s">
        <v>1951</v>
      </c>
      <c r="C70" s="645"/>
      <c r="D70" s="570"/>
      <c r="E70" s="1268"/>
      <c r="F70" s="940"/>
      <c r="G70" s="524"/>
      <c r="H70" s="524"/>
      <c r="I70" s="524"/>
      <c r="J70" s="524"/>
      <c r="K70" s="524"/>
      <c r="L70" s="524"/>
      <c r="M70" s="524"/>
      <c r="N70" s="524"/>
      <c r="O70" s="524"/>
      <c r="P70" s="524"/>
    </row>
    <row r="71" spans="1:16" s="659" customFormat="1">
      <c r="A71" s="569"/>
      <c r="B71" s="330"/>
      <c r="C71" s="645"/>
      <c r="D71" s="570"/>
      <c r="E71" s="1268"/>
      <c r="F71" s="940"/>
      <c r="G71" s="524"/>
      <c r="H71" s="524"/>
      <c r="I71" s="524"/>
      <c r="J71" s="524"/>
      <c r="K71" s="524"/>
      <c r="L71" s="524"/>
      <c r="M71" s="524"/>
      <c r="N71" s="524"/>
      <c r="O71" s="524"/>
      <c r="P71" s="524"/>
    </row>
    <row r="72" spans="1:16" s="659" customFormat="1">
      <c r="A72" s="569"/>
      <c r="B72" s="641" t="s">
        <v>1961</v>
      </c>
      <c r="C72" s="645" t="s">
        <v>1953</v>
      </c>
      <c r="D72" s="660">
        <v>1</v>
      </c>
      <c r="E72" s="1338">
        <v>50</v>
      </c>
      <c r="F72" s="912">
        <f>D72*E72</f>
        <v>50</v>
      </c>
      <c r="G72" s="524"/>
      <c r="H72" s="524"/>
      <c r="I72" s="524"/>
      <c r="J72" s="524"/>
      <c r="K72" s="524"/>
      <c r="L72" s="524"/>
      <c r="M72" s="524"/>
      <c r="N72" s="524"/>
      <c r="O72" s="524"/>
      <c r="P72" s="524"/>
    </row>
    <row r="73" spans="1:16" s="663" customFormat="1">
      <c r="A73" s="569"/>
      <c r="B73" s="641"/>
      <c r="C73" s="645"/>
      <c r="D73" s="660"/>
      <c r="E73" s="1268"/>
      <c r="F73" s="940"/>
      <c r="G73" s="352"/>
      <c r="H73" s="352"/>
      <c r="I73" s="352"/>
      <c r="J73" s="352"/>
      <c r="K73" s="352"/>
      <c r="L73" s="352"/>
      <c r="M73" s="352"/>
      <c r="N73" s="352"/>
      <c r="O73" s="352"/>
      <c r="P73" s="352"/>
    </row>
    <row r="74" spans="1:16" s="659" customFormat="1">
      <c r="A74" s="658" t="s">
        <v>1964</v>
      </c>
      <c r="B74" s="330"/>
      <c r="C74" s="645"/>
      <c r="D74" s="570"/>
      <c r="E74" s="1268"/>
      <c r="F74" s="940"/>
      <c r="G74" s="524"/>
      <c r="H74" s="524"/>
      <c r="I74" s="524"/>
      <c r="J74" s="524"/>
      <c r="K74" s="524"/>
      <c r="L74" s="524"/>
      <c r="M74" s="524"/>
      <c r="N74" s="524"/>
      <c r="O74" s="524"/>
      <c r="P74" s="524"/>
    </row>
    <row r="75" spans="1:16" s="659" customFormat="1" ht="26.4">
      <c r="A75" s="569"/>
      <c r="B75" s="641" t="s">
        <v>1965</v>
      </c>
      <c r="C75" s="645"/>
      <c r="D75" s="570"/>
      <c r="E75" s="1268"/>
      <c r="F75" s="940"/>
      <c r="G75" s="524"/>
      <c r="H75" s="524"/>
      <c r="I75" s="524"/>
      <c r="J75" s="524"/>
      <c r="K75" s="524"/>
      <c r="L75" s="524"/>
      <c r="M75" s="524"/>
      <c r="N75" s="524"/>
      <c r="O75" s="524"/>
      <c r="P75" s="524"/>
    </row>
    <row r="76" spans="1:16" s="659" customFormat="1">
      <c r="A76" s="569"/>
      <c r="B76" s="641" t="s">
        <v>1962</v>
      </c>
      <c r="C76" s="645" t="s">
        <v>1953</v>
      </c>
      <c r="D76" s="660">
        <v>2</v>
      </c>
      <c r="E76" s="1338">
        <v>50</v>
      </c>
      <c r="F76" s="912">
        <f>D76*E76</f>
        <v>100</v>
      </c>
      <c r="G76" s="524"/>
      <c r="H76" s="524"/>
      <c r="I76" s="524"/>
      <c r="J76" s="524"/>
      <c r="K76" s="524"/>
      <c r="L76" s="524"/>
      <c r="M76" s="524"/>
      <c r="N76" s="524"/>
      <c r="O76" s="524"/>
      <c r="P76" s="524"/>
    </row>
    <row r="77" spans="1:16" s="663" customFormat="1">
      <c r="A77" s="569"/>
      <c r="B77" s="641"/>
      <c r="C77" s="645"/>
      <c r="D77" s="660"/>
      <c r="E77" s="1268"/>
      <c r="F77" s="648"/>
      <c r="G77" s="352"/>
      <c r="H77" s="352"/>
      <c r="I77" s="352"/>
      <c r="J77" s="352"/>
      <c r="K77" s="352"/>
      <c r="L77" s="352"/>
      <c r="M77" s="352"/>
      <c r="N77" s="352"/>
      <c r="O77" s="352"/>
      <c r="P77" s="352"/>
    </row>
    <row r="78" spans="1:16" s="650" customFormat="1">
      <c r="A78" s="497"/>
      <c r="B78" s="516"/>
      <c r="C78" s="653"/>
      <c r="D78" s="497"/>
      <c r="E78" s="1206"/>
      <c r="F78" s="529"/>
      <c r="G78" s="346"/>
      <c r="H78" s="346"/>
      <c r="I78" s="346"/>
      <c r="J78" s="346"/>
      <c r="K78" s="346"/>
      <c r="L78" s="346"/>
      <c r="M78" s="346"/>
      <c r="N78" s="346"/>
      <c r="O78" s="346"/>
      <c r="P78" s="346"/>
    </row>
    <row r="79" spans="1:16" s="650" customFormat="1">
      <c r="A79" s="537" t="s">
        <v>1956</v>
      </c>
      <c r="B79" s="676" t="s">
        <v>1957</v>
      </c>
      <c r="C79" s="507"/>
      <c r="D79" s="507"/>
      <c r="E79" s="1209"/>
      <c r="F79" s="649"/>
      <c r="G79" s="346"/>
      <c r="H79" s="346"/>
      <c r="I79" s="346"/>
      <c r="J79" s="346"/>
      <c r="K79" s="346"/>
      <c r="L79" s="346"/>
      <c r="M79" s="346"/>
      <c r="N79" s="346"/>
      <c r="O79" s="346"/>
      <c r="P79" s="346"/>
    </row>
    <row r="80" spans="1:16" s="650" customFormat="1">
      <c r="A80" s="509"/>
      <c r="B80" s="353"/>
      <c r="C80" s="510"/>
      <c r="D80" s="510"/>
      <c r="E80" s="1210"/>
      <c r="F80" s="651"/>
      <c r="G80" s="346"/>
      <c r="H80" s="346"/>
      <c r="I80" s="346"/>
      <c r="J80" s="346"/>
      <c r="K80" s="346"/>
      <c r="L80" s="346"/>
      <c r="M80" s="346"/>
      <c r="N80" s="346"/>
      <c r="O80" s="346"/>
      <c r="P80" s="346"/>
    </row>
    <row r="81" spans="1:16" s="650" customFormat="1">
      <c r="A81" s="509"/>
      <c r="B81" s="538" t="s">
        <v>1726</v>
      </c>
      <c r="C81" s="510"/>
      <c r="D81" s="510"/>
      <c r="E81" s="1581">
        <f>SUM(F59:F76)</f>
        <v>470</v>
      </c>
      <c r="F81" s="1582"/>
      <c r="G81" s="346"/>
      <c r="H81" s="346"/>
      <c r="I81" s="346"/>
      <c r="J81" s="346"/>
      <c r="K81" s="346"/>
      <c r="L81" s="346"/>
      <c r="M81" s="346"/>
      <c r="N81" s="346"/>
      <c r="O81" s="346"/>
      <c r="P81" s="346"/>
    </row>
    <row r="82" spans="1:16" s="650" customFormat="1">
      <c r="A82" s="512"/>
      <c r="B82" s="539"/>
      <c r="C82" s="513"/>
      <c r="D82" s="513"/>
      <c r="E82" s="1211"/>
      <c r="F82" s="652"/>
      <c r="G82" s="346"/>
      <c r="H82" s="346"/>
      <c r="I82" s="346"/>
      <c r="J82" s="346"/>
      <c r="K82" s="346"/>
      <c r="L82" s="346"/>
      <c r="M82" s="346"/>
      <c r="N82" s="346"/>
      <c r="O82" s="346"/>
      <c r="P82" s="346"/>
    </row>
    <row r="83" spans="1:16">
      <c r="A83" s="362"/>
      <c r="C83" s="364"/>
      <c r="D83" s="364"/>
      <c r="E83" s="1270"/>
      <c r="F83" s="664"/>
    </row>
    <row r="85" spans="1:16">
      <c r="A85" s="634" t="s">
        <v>1966</v>
      </c>
      <c r="B85" s="626" t="s">
        <v>1967</v>
      </c>
      <c r="C85" s="666"/>
      <c r="D85" s="666"/>
      <c r="E85" s="1263"/>
      <c r="F85" s="637"/>
    </row>
    <row r="86" spans="1:16">
      <c r="A86" s="497"/>
      <c r="B86" s="516"/>
      <c r="C86" s="336"/>
      <c r="D86" s="336"/>
      <c r="E86" s="1206"/>
      <c r="F86" s="529"/>
    </row>
    <row r="87" spans="1:16">
      <c r="A87" s="527" t="s">
        <v>1968</v>
      </c>
      <c r="C87" s="367"/>
      <c r="E87" s="1214"/>
      <c r="F87" s="591"/>
    </row>
    <row r="88" spans="1:16" ht="79.2">
      <c r="A88" s="527"/>
      <c r="B88" s="524" t="s">
        <v>1969</v>
      </c>
      <c r="C88" s="367"/>
      <c r="E88" s="1214"/>
      <c r="F88" s="591"/>
    </row>
    <row r="89" spans="1:16">
      <c r="A89" s="527"/>
      <c r="B89" s="524"/>
      <c r="C89" s="486" t="s">
        <v>27</v>
      </c>
      <c r="D89" s="479">
        <v>1</v>
      </c>
      <c r="E89" s="1338">
        <v>100</v>
      </c>
      <c r="F89" s="912">
        <f>D89*E89</f>
        <v>100</v>
      </c>
    </row>
    <row r="90" spans="1:16" ht="26.4">
      <c r="A90" s="527"/>
      <c r="B90" s="524" t="s">
        <v>1970</v>
      </c>
      <c r="C90" s="367"/>
      <c r="E90" s="1214"/>
      <c r="F90" s="928"/>
    </row>
    <row r="91" spans="1:16">
      <c r="A91" s="527"/>
      <c r="B91" s="524" t="s">
        <v>140</v>
      </c>
      <c r="C91" s="367"/>
      <c r="E91" s="1214"/>
      <c r="F91" s="928"/>
    </row>
    <row r="92" spans="1:16">
      <c r="A92" s="525" t="s">
        <v>1971</v>
      </c>
      <c r="B92" s="524"/>
      <c r="E92" s="1258"/>
      <c r="F92" s="926"/>
    </row>
    <row r="93" spans="1:16" ht="26.4">
      <c r="A93" s="525"/>
      <c r="B93" s="524" t="s">
        <v>1771</v>
      </c>
      <c r="E93" s="1204"/>
      <c r="F93" s="940"/>
    </row>
    <row r="94" spans="1:16">
      <c r="A94" s="525"/>
      <c r="B94" s="524"/>
      <c r="C94" s="479" t="s">
        <v>27</v>
      </c>
      <c r="D94" s="479">
        <v>1</v>
      </c>
      <c r="E94" s="1338">
        <v>50</v>
      </c>
      <c r="F94" s="912">
        <f>D94*E94</f>
        <v>50</v>
      </c>
    </row>
    <row r="95" spans="1:16">
      <c r="A95" s="525"/>
      <c r="B95" s="524"/>
      <c r="E95" s="1258"/>
      <c r="F95" s="926"/>
    </row>
    <row r="96" spans="1:16">
      <c r="A96" s="527" t="s">
        <v>1972</v>
      </c>
      <c r="B96" s="524"/>
      <c r="C96" s="486"/>
      <c r="E96" s="1214"/>
      <c r="F96" s="913"/>
    </row>
    <row r="97" spans="1:7" ht="26.4">
      <c r="A97" s="527"/>
      <c r="B97" s="335" t="s">
        <v>1773</v>
      </c>
      <c r="C97" s="486"/>
      <c r="E97" s="1214"/>
      <c r="F97" s="913"/>
    </row>
    <row r="98" spans="1:7">
      <c r="A98" s="527"/>
      <c r="B98" s="524"/>
      <c r="C98" s="486" t="s">
        <v>27</v>
      </c>
      <c r="D98" s="479">
        <v>1</v>
      </c>
      <c r="E98" s="1338">
        <v>50</v>
      </c>
      <c r="F98" s="912">
        <f>D98*E98</f>
        <v>50</v>
      </c>
    </row>
    <row r="99" spans="1:7">
      <c r="A99" s="527"/>
      <c r="B99" s="524"/>
      <c r="C99" s="486"/>
      <c r="E99" s="1214"/>
      <c r="F99" s="940"/>
    </row>
    <row r="100" spans="1:7">
      <c r="A100" s="527" t="s">
        <v>1973</v>
      </c>
      <c r="B100" s="524"/>
      <c r="C100" s="486"/>
      <c r="D100" s="488"/>
      <c r="E100" s="1259"/>
      <c r="F100" s="928"/>
    </row>
    <row r="101" spans="1:7" ht="66">
      <c r="A101" s="484"/>
      <c r="B101" s="524" t="s">
        <v>1787</v>
      </c>
      <c r="C101" s="364"/>
      <c r="D101" s="364"/>
      <c r="E101" s="1210"/>
      <c r="F101" s="916"/>
    </row>
    <row r="102" spans="1:7">
      <c r="A102" s="484"/>
      <c r="B102" s="524"/>
      <c r="C102" s="364" t="s">
        <v>27</v>
      </c>
      <c r="D102" s="364">
        <v>1</v>
      </c>
      <c r="E102" s="1338">
        <v>200</v>
      </c>
      <c r="F102" s="912">
        <f>D102*E102</f>
        <v>200</v>
      </c>
    </row>
    <row r="103" spans="1:7">
      <c r="A103" s="484"/>
      <c r="B103" s="524"/>
      <c r="C103" s="364"/>
      <c r="D103" s="364"/>
      <c r="E103" s="1210"/>
      <c r="F103" s="916"/>
    </row>
    <row r="104" spans="1:7">
      <c r="A104" s="484" t="s">
        <v>1974</v>
      </c>
      <c r="B104" s="524"/>
      <c r="C104" s="336"/>
      <c r="D104" s="336"/>
      <c r="E104" s="1267"/>
      <c r="F104" s="939"/>
    </row>
    <row r="105" spans="1:7" ht="52.8">
      <c r="A105" s="497"/>
      <c r="B105" s="524" t="s">
        <v>1865</v>
      </c>
      <c r="C105" s="336"/>
      <c r="D105" s="336"/>
      <c r="E105" s="1267"/>
      <c r="F105" s="939"/>
    </row>
    <row r="106" spans="1:7" ht="39.6">
      <c r="A106" s="497"/>
      <c r="B106" s="524" t="s">
        <v>1866</v>
      </c>
      <c r="C106" s="336"/>
      <c r="D106" s="336"/>
      <c r="E106" s="1267"/>
      <c r="F106" s="939"/>
    </row>
    <row r="107" spans="1:7">
      <c r="A107" s="497"/>
      <c r="B107" s="524"/>
      <c r="C107" s="313" t="s">
        <v>27</v>
      </c>
      <c r="D107" s="313">
        <v>1</v>
      </c>
      <c r="E107" s="1338">
        <v>100</v>
      </c>
      <c r="F107" s="912">
        <f>D107*E107</f>
        <v>100</v>
      </c>
    </row>
    <row r="108" spans="1:7">
      <c r="A108" s="497"/>
      <c r="B108" s="524"/>
      <c r="C108" s="313"/>
      <c r="D108" s="313"/>
      <c r="E108" s="1267"/>
      <c r="F108" s="939"/>
    </row>
    <row r="109" spans="1:7">
      <c r="A109" s="484" t="s">
        <v>1975</v>
      </c>
      <c r="B109" s="335"/>
      <c r="C109" s="525"/>
      <c r="D109" s="525"/>
      <c r="E109" s="1216"/>
      <c r="F109" s="941"/>
    </row>
    <row r="110" spans="1:7" ht="26.4">
      <c r="A110" s="484"/>
      <c r="B110" s="335" t="s">
        <v>1976</v>
      </c>
      <c r="C110" s="525"/>
      <c r="D110" s="525"/>
      <c r="E110" s="1216"/>
      <c r="F110" s="941"/>
      <c r="G110" s="531"/>
    </row>
    <row r="111" spans="1:7">
      <c r="A111" s="525"/>
      <c r="B111" s="335"/>
      <c r="C111" s="525" t="s">
        <v>27</v>
      </c>
      <c r="D111" s="525">
        <v>1</v>
      </c>
      <c r="E111" s="1338">
        <v>500</v>
      </c>
      <c r="F111" s="912">
        <f>D111*E111</f>
        <v>500</v>
      </c>
    </row>
    <row r="112" spans="1:7">
      <c r="A112" s="668"/>
      <c r="B112" s="335"/>
      <c r="C112" s="313"/>
      <c r="D112" s="313"/>
      <c r="F112" s="942"/>
    </row>
    <row r="113" spans="1:16">
      <c r="A113" s="669" t="s">
        <v>1977</v>
      </c>
      <c r="B113" s="335" t="s">
        <v>1978</v>
      </c>
      <c r="C113" s="336"/>
      <c r="D113" s="313"/>
      <c r="E113" s="1272"/>
      <c r="F113" s="943"/>
      <c r="G113" s="531"/>
    </row>
    <row r="114" spans="1:16">
      <c r="A114" s="668"/>
      <c r="B114" s="335"/>
      <c r="C114" s="313" t="s">
        <v>27</v>
      </c>
      <c r="D114" s="313">
        <v>1</v>
      </c>
      <c r="E114" s="1338">
        <v>150</v>
      </c>
      <c r="F114" s="912">
        <f>D114*E114</f>
        <v>150</v>
      </c>
    </row>
    <row r="115" spans="1:16">
      <c r="A115" s="527"/>
      <c r="C115" s="486"/>
      <c r="D115" s="488"/>
      <c r="E115" s="1273"/>
      <c r="F115" s="368"/>
    </row>
    <row r="116" spans="1:16">
      <c r="A116" s="602" t="s">
        <v>1966</v>
      </c>
      <c r="B116" s="603" t="s">
        <v>1967</v>
      </c>
      <c r="C116" s="670"/>
      <c r="D116" s="670"/>
      <c r="E116" s="1274"/>
      <c r="F116" s="671"/>
    </row>
    <row r="117" spans="1:16">
      <c r="A117" s="577"/>
      <c r="B117" s="604" t="s">
        <v>425</v>
      </c>
      <c r="C117" s="484"/>
      <c r="D117" s="484"/>
      <c r="E117" s="1275"/>
      <c r="F117" s="672"/>
    </row>
    <row r="118" spans="1:16">
      <c r="A118" s="577"/>
      <c r="C118" s="484"/>
      <c r="D118" s="484"/>
      <c r="E118" s="1594">
        <f>SUM(F89:F114)</f>
        <v>1150</v>
      </c>
      <c r="F118" s="1595"/>
      <c r="G118" s="608"/>
      <c r="H118" s="467"/>
    </row>
    <row r="119" spans="1:16">
      <c r="A119" s="677"/>
      <c r="B119" s="599"/>
      <c r="C119" s="673"/>
      <c r="D119" s="673"/>
      <c r="E119" s="1276"/>
      <c r="F119" s="678"/>
    </row>
    <row r="120" spans="1:16">
      <c r="A120" s="598"/>
      <c r="B120" s="599"/>
      <c r="C120" s="581"/>
      <c r="D120" s="581"/>
      <c r="E120" s="1277"/>
      <c r="F120" s="674"/>
    </row>
    <row r="122" spans="1:16" s="650" customFormat="1">
      <c r="A122" s="486"/>
      <c r="B122" s="363"/>
      <c r="C122" s="479"/>
      <c r="D122" s="479"/>
      <c r="E122" s="1271"/>
      <c r="F122" s="665"/>
      <c r="G122" s="346"/>
      <c r="H122" s="346"/>
      <c r="I122" s="346"/>
      <c r="J122" s="346"/>
      <c r="K122" s="346"/>
      <c r="L122" s="346"/>
      <c r="M122" s="346"/>
      <c r="N122" s="346"/>
      <c r="O122" s="346"/>
      <c r="P122" s="346"/>
    </row>
    <row r="123" spans="1:16" s="650" customFormat="1">
      <c r="A123" s="486"/>
      <c r="B123" s="363"/>
      <c r="C123" s="479"/>
      <c r="D123" s="479"/>
      <c r="E123" s="1271"/>
      <c r="F123" s="665"/>
      <c r="G123" s="346"/>
      <c r="H123" s="346"/>
      <c r="I123" s="346"/>
      <c r="J123" s="346"/>
      <c r="K123" s="346"/>
      <c r="L123" s="346"/>
      <c r="M123" s="346"/>
      <c r="N123" s="346"/>
      <c r="O123" s="346"/>
      <c r="P123" s="346"/>
    </row>
    <row r="124" spans="1:16" s="650" customFormat="1">
      <c r="A124" s="486"/>
      <c r="B124" s="363"/>
      <c r="C124" s="479"/>
      <c r="D124" s="479"/>
      <c r="E124" s="1271"/>
      <c r="F124" s="665"/>
      <c r="G124" s="346"/>
      <c r="H124" s="346"/>
      <c r="I124" s="346"/>
      <c r="J124" s="346"/>
      <c r="K124" s="346"/>
      <c r="L124" s="346"/>
      <c r="M124" s="346"/>
      <c r="N124" s="346"/>
      <c r="O124" s="346"/>
      <c r="P124" s="346"/>
    </row>
    <row r="125" spans="1:16" s="650" customFormat="1">
      <c r="A125" s="486"/>
      <c r="B125" s="363"/>
      <c r="C125" s="479"/>
      <c r="D125" s="479"/>
      <c r="E125" s="1271"/>
      <c r="F125" s="665"/>
      <c r="G125" s="346"/>
      <c r="H125" s="346"/>
      <c r="I125" s="346"/>
      <c r="J125" s="346"/>
      <c r="K125" s="346"/>
      <c r="L125" s="346"/>
      <c r="M125" s="346"/>
      <c r="N125" s="346"/>
      <c r="O125" s="346"/>
      <c r="P125" s="346"/>
    </row>
    <row r="126" spans="1:16" s="650" customFormat="1">
      <c r="A126" s="486"/>
      <c r="B126" s="363"/>
      <c r="C126" s="479"/>
      <c r="D126" s="479"/>
      <c r="E126" s="1271"/>
      <c r="F126" s="665"/>
      <c r="G126" s="346"/>
      <c r="H126" s="346"/>
      <c r="I126" s="346"/>
      <c r="J126" s="346"/>
      <c r="K126" s="346"/>
      <c r="L126" s="346"/>
      <c r="M126" s="346"/>
      <c r="N126" s="346"/>
      <c r="O126" s="346"/>
      <c r="P126" s="346"/>
    </row>
    <row r="127" spans="1:16" s="650" customFormat="1">
      <c r="A127" s="486"/>
      <c r="B127" s="363"/>
      <c r="C127" s="479"/>
      <c r="D127" s="479"/>
      <c r="E127" s="1271"/>
      <c r="F127" s="665"/>
      <c r="G127" s="346"/>
      <c r="H127" s="346"/>
      <c r="I127" s="346"/>
      <c r="J127" s="346"/>
      <c r="K127" s="346"/>
      <c r="L127" s="346"/>
      <c r="M127" s="346"/>
      <c r="N127" s="346"/>
      <c r="O127" s="346"/>
      <c r="P127" s="346"/>
    </row>
    <row r="128" spans="1:16" s="650" customFormat="1">
      <c r="A128" s="486"/>
      <c r="B128" s="363"/>
      <c r="C128" s="479"/>
      <c r="D128" s="479"/>
      <c r="E128" s="1271"/>
      <c r="F128" s="665"/>
      <c r="G128" s="346"/>
      <c r="H128" s="346"/>
      <c r="I128" s="346"/>
      <c r="J128" s="346"/>
      <c r="K128" s="346"/>
      <c r="L128" s="346"/>
      <c r="M128" s="346"/>
      <c r="N128" s="346"/>
      <c r="O128" s="346"/>
      <c r="P128" s="346"/>
    </row>
    <row r="129" spans="1:16" s="650" customFormat="1">
      <c r="A129" s="486"/>
      <c r="B129" s="363"/>
      <c r="C129" s="479"/>
      <c r="D129" s="479"/>
      <c r="E129" s="1271"/>
      <c r="F129" s="665"/>
      <c r="G129" s="346"/>
      <c r="H129" s="346"/>
      <c r="I129" s="346"/>
      <c r="J129" s="346"/>
      <c r="K129" s="346"/>
      <c r="L129" s="346"/>
      <c r="M129" s="346"/>
      <c r="N129" s="346"/>
      <c r="O129" s="346"/>
      <c r="P129" s="346"/>
    </row>
    <row r="130" spans="1:16" s="650" customFormat="1">
      <c r="A130" s="486"/>
      <c r="B130" s="363"/>
      <c r="C130" s="479"/>
      <c r="D130" s="479"/>
      <c r="E130" s="1271"/>
      <c r="F130" s="665"/>
      <c r="G130" s="346"/>
      <c r="H130" s="346"/>
      <c r="I130" s="346"/>
      <c r="J130" s="346"/>
      <c r="K130" s="346"/>
      <c r="L130" s="346"/>
      <c r="M130" s="346"/>
      <c r="N130" s="346"/>
      <c r="O130" s="346"/>
      <c r="P130" s="346"/>
    </row>
    <row r="131" spans="1:16" s="650" customFormat="1">
      <c r="A131" s="486"/>
      <c r="B131" s="363"/>
      <c r="C131" s="479"/>
      <c r="D131" s="479"/>
      <c r="E131" s="1271"/>
      <c r="F131" s="665"/>
      <c r="G131" s="346"/>
      <c r="H131" s="346"/>
      <c r="I131" s="346"/>
      <c r="J131" s="346"/>
      <c r="K131" s="346"/>
      <c r="L131" s="346"/>
      <c r="M131" s="346"/>
      <c r="N131" s="346"/>
      <c r="O131" s="346"/>
      <c r="P131" s="346"/>
    </row>
    <row r="132" spans="1:16" s="650" customFormat="1">
      <c r="A132" s="486"/>
      <c r="B132" s="363"/>
      <c r="C132" s="479"/>
      <c r="D132" s="479"/>
      <c r="E132" s="1271"/>
      <c r="F132" s="665"/>
      <c r="G132" s="346"/>
      <c r="H132" s="346"/>
      <c r="I132" s="346"/>
      <c r="J132" s="346"/>
      <c r="K132" s="346"/>
      <c r="L132" s="346"/>
      <c r="M132" s="346"/>
      <c r="N132" s="346"/>
      <c r="O132" s="346"/>
      <c r="P132" s="346"/>
    </row>
    <row r="133" spans="1:16" s="650" customFormat="1">
      <c r="A133" s="486"/>
      <c r="B133" s="363"/>
      <c r="C133" s="479"/>
      <c r="D133" s="479"/>
      <c r="E133" s="1271"/>
      <c r="F133" s="665"/>
      <c r="G133" s="346"/>
      <c r="H133" s="346"/>
      <c r="I133" s="346"/>
      <c r="J133" s="346"/>
      <c r="K133" s="346"/>
      <c r="L133" s="346"/>
      <c r="M133" s="346"/>
      <c r="N133" s="346"/>
      <c r="O133" s="346"/>
      <c r="P133" s="346"/>
    </row>
    <row r="134" spans="1:16" s="650" customFormat="1">
      <c r="A134" s="486"/>
      <c r="B134" s="363"/>
      <c r="C134" s="479"/>
      <c r="D134" s="479"/>
      <c r="E134" s="1271"/>
      <c r="F134" s="665"/>
      <c r="G134" s="346"/>
      <c r="H134" s="346"/>
      <c r="I134" s="346"/>
      <c r="J134" s="346"/>
      <c r="K134" s="346"/>
      <c r="L134" s="346"/>
      <c r="M134" s="346"/>
      <c r="N134" s="346"/>
      <c r="O134" s="346"/>
      <c r="P134" s="346"/>
    </row>
    <row r="135" spans="1:16" s="650" customFormat="1">
      <c r="A135" s="486"/>
      <c r="B135" s="363"/>
      <c r="C135" s="479"/>
      <c r="D135" s="479"/>
      <c r="E135" s="1271"/>
      <c r="F135" s="665"/>
      <c r="G135" s="346"/>
      <c r="H135" s="346"/>
      <c r="I135" s="346"/>
      <c r="J135" s="346"/>
      <c r="K135" s="346"/>
      <c r="L135" s="346"/>
      <c r="M135" s="346"/>
      <c r="N135" s="346"/>
      <c r="O135" s="346"/>
      <c r="P135" s="346"/>
    </row>
    <row r="136" spans="1:16" s="650" customFormat="1">
      <c r="A136" s="486"/>
      <c r="B136" s="363"/>
      <c r="C136" s="479"/>
      <c r="D136" s="479"/>
      <c r="E136" s="1271"/>
      <c r="F136" s="665"/>
      <c r="G136" s="346"/>
      <c r="H136" s="346"/>
      <c r="I136" s="346"/>
      <c r="J136" s="346"/>
      <c r="K136" s="346"/>
      <c r="L136" s="346"/>
      <c r="M136" s="346"/>
      <c r="N136" s="346"/>
      <c r="O136" s="346"/>
      <c r="P136" s="346"/>
    </row>
    <row r="137" spans="1:16" s="650" customFormat="1">
      <c r="A137" s="486"/>
      <c r="B137" s="363"/>
      <c r="C137" s="479"/>
      <c r="D137" s="479"/>
      <c r="E137" s="1271"/>
      <c r="F137" s="665"/>
      <c r="G137" s="346"/>
      <c r="H137" s="346"/>
      <c r="I137" s="346"/>
      <c r="J137" s="346"/>
      <c r="K137" s="346"/>
      <c r="L137" s="346"/>
      <c r="M137" s="346"/>
      <c r="N137" s="346"/>
      <c r="O137" s="346"/>
      <c r="P137" s="346"/>
    </row>
    <row r="138" spans="1:16" s="650" customFormat="1">
      <c r="A138" s="486"/>
      <c r="B138" s="363"/>
      <c r="C138" s="479"/>
      <c r="D138" s="479"/>
      <c r="E138" s="1271"/>
      <c r="F138" s="665"/>
      <c r="G138" s="346"/>
      <c r="H138" s="346"/>
      <c r="I138" s="346"/>
      <c r="J138" s="346"/>
      <c r="K138" s="346"/>
      <c r="L138" s="346"/>
      <c r="M138" s="346"/>
      <c r="N138" s="346"/>
      <c r="O138" s="346"/>
      <c r="P138" s="346"/>
    </row>
    <row r="139" spans="1:16" s="650" customFormat="1">
      <c r="A139" s="486"/>
      <c r="B139" s="363"/>
      <c r="C139" s="479"/>
      <c r="D139" s="479"/>
      <c r="E139" s="1271"/>
      <c r="F139" s="665"/>
      <c r="G139" s="346"/>
      <c r="H139" s="346"/>
      <c r="I139" s="346"/>
      <c r="J139" s="346"/>
      <c r="K139" s="346"/>
      <c r="L139" s="346"/>
      <c r="M139" s="346"/>
      <c r="N139" s="346"/>
      <c r="O139" s="346"/>
      <c r="P139" s="346"/>
    </row>
    <row r="140" spans="1:16" s="650" customFormat="1">
      <c r="A140" s="486"/>
      <c r="B140" s="363"/>
      <c r="C140" s="479"/>
      <c r="D140" s="479"/>
      <c r="E140" s="1271"/>
      <c r="F140" s="665"/>
      <c r="G140" s="346"/>
      <c r="H140" s="346"/>
      <c r="I140" s="346"/>
      <c r="J140" s="346"/>
      <c r="K140" s="346"/>
      <c r="L140" s="346"/>
      <c r="M140" s="346"/>
      <c r="N140" s="346"/>
      <c r="O140" s="346"/>
      <c r="P140" s="346"/>
    </row>
    <row r="141" spans="1:16" s="650" customFormat="1">
      <c r="A141" s="486"/>
      <c r="B141" s="363"/>
      <c r="C141" s="479"/>
      <c r="D141" s="479"/>
      <c r="E141" s="1271"/>
      <c r="F141" s="665"/>
      <c r="G141" s="346"/>
      <c r="H141" s="346"/>
      <c r="I141" s="346"/>
      <c r="J141" s="346"/>
      <c r="K141" s="346"/>
      <c r="L141" s="346"/>
      <c r="M141" s="346"/>
      <c r="N141" s="346"/>
      <c r="O141" s="346"/>
      <c r="P141" s="346"/>
    </row>
    <row r="142" spans="1:16" s="650" customFormat="1">
      <c r="A142" s="486"/>
      <c r="B142" s="363"/>
      <c r="C142" s="479"/>
      <c r="D142" s="479"/>
      <c r="E142" s="1271"/>
      <c r="F142" s="665"/>
      <c r="G142" s="346"/>
      <c r="H142" s="346"/>
      <c r="I142" s="346"/>
      <c r="J142" s="346"/>
      <c r="K142" s="346"/>
      <c r="L142" s="346"/>
      <c r="M142" s="346"/>
      <c r="N142" s="346"/>
      <c r="O142" s="346"/>
      <c r="P142" s="346"/>
    </row>
    <row r="143" spans="1:16" s="650" customFormat="1">
      <c r="A143" s="486"/>
      <c r="B143" s="363"/>
      <c r="C143" s="479"/>
      <c r="D143" s="479"/>
      <c r="E143" s="1271"/>
      <c r="F143" s="665"/>
      <c r="G143" s="346"/>
      <c r="H143" s="346"/>
      <c r="I143" s="346"/>
      <c r="J143" s="346"/>
      <c r="K143" s="346"/>
      <c r="L143" s="346"/>
      <c r="M143" s="346"/>
      <c r="N143" s="346"/>
      <c r="O143" s="346"/>
      <c r="P143" s="346"/>
    </row>
    <row r="144" spans="1:16" s="650" customFormat="1">
      <c r="A144" s="486"/>
      <c r="B144" s="363"/>
      <c r="C144" s="479"/>
      <c r="D144" s="479"/>
      <c r="E144" s="1271"/>
      <c r="F144" s="665"/>
      <c r="G144" s="346"/>
      <c r="H144" s="346"/>
      <c r="I144" s="346"/>
      <c r="J144" s="346"/>
      <c r="K144" s="346"/>
      <c r="L144" s="346"/>
      <c r="M144" s="346"/>
      <c r="N144" s="346"/>
      <c r="O144" s="346"/>
      <c r="P144" s="346"/>
    </row>
    <row r="145" spans="1:16" s="650" customFormat="1">
      <c r="A145" s="486"/>
      <c r="B145" s="363"/>
      <c r="C145" s="479"/>
      <c r="D145" s="479"/>
      <c r="E145" s="1271"/>
      <c r="F145" s="665"/>
      <c r="G145" s="346"/>
      <c r="H145" s="346"/>
      <c r="I145" s="346"/>
      <c r="J145" s="346"/>
      <c r="K145" s="346"/>
      <c r="L145" s="346"/>
      <c r="M145" s="346"/>
      <c r="N145" s="346"/>
      <c r="O145" s="346"/>
      <c r="P145" s="346"/>
    </row>
  </sheetData>
  <sheetProtection algorithmName="SHA-512" hashValue="70k+WWIOWpBIBPyfjVFnWU1jgBILrRNzZOM1EUukPSRBHl9Hd4ZFIJJmZ4uNT9V+yTvpJ70EylbSRsO2JW6VSA==" saltValue="YqagUCh7wSKNJY8InDSoCw==" spinCount="100000" sheet="1" objects="1" scenarios="1"/>
  <mergeCells count="6">
    <mergeCell ref="E81:F81"/>
    <mergeCell ref="E118:F118"/>
    <mergeCell ref="A1:F1"/>
    <mergeCell ref="A7:F7"/>
    <mergeCell ref="E25:F25"/>
    <mergeCell ref="E52:F52"/>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rowBreaks count="2" manualBreakCount="2">
    <brk id="45" max="7" man="1"/>
    <brk id="99" max="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KR55"/>
  <sheetViews>
    <sheetView topLeftCell="A10" zoomScaleNormal="100" zoomScaleSheetLayoutView="148" workbookViewId="0">
      <selection activeCell="E23" sqref="E23"/>
    </sheetView>
  </sheetViews>
  <sheetFormatPr defaultColWidth="9.109375" defaultRowHeight="13.2"/>
  <cols>
    <col min="1" max="1" width="10.6640625" style="486" customWidth="1"/>
    <col min="2" max="2" width="45.6640625" style="363" customWidth="1"/>
    <col min="3" max="4" width="9.6640625" style="479" customWidth="1"/>
    <col min="5" max="5" width="11.88671875" style="1271" bestFit="1" customWidth="1"/>
    <col min="6" max="6" width="11.5546875" style="650" customWidth="1"/>
    <col min="7" max="7" width="9.109375" style="346"/>
    <col min="8" max="8" width="9.6640625" style="346" bestFit="1" customWidth="1"/>
    <col min="9" max="16384" width="9.109375" style="346"/>
  </cols>
  <sheetData>
    <row r="1" spans="1:304">
      <c r="A1" s="1598"/>
      <c r="B1" s="1598"/>
      <c r="C1" s="1598"/>
      <c r="D1" s="1598"/>
      <c r="E1" s="1598"/>
      <c r="F1" s="1598"/>
    </row>
    <row r="2" spans="1:304" ht="45" customHeight="1">
      <c r="A2" s="1597" t="s">
        <v>2047</v>
      </c>
      <c r="B2" s="1597"/>
      <c r="C2" s="1597"/>
      <c r="D2" s="1597"/>
      <c r="E2" s="1597"/>
      <c r="F2" s="1597"/>
    </row>
    <row r="3" spans="1:304" ht="12.6" customHeight="1" thickBot="1">
      <c r="A3" s="469"/>
      <c r="B3" s="469"/>
      <c r="C3" s="469"/>
      <c r="D3" s="469"/>
      <c r="E3" s="1278"/>
      <c r="F3" s="1282"/>
    </row>
    <row r="4" spans="1:304" ht="40.200000000000003" thickBot="1">
      <c r="A4" s="355" t="s">
        <v>1790</v>
      </c>
      <c r="B4" s="631" t="s">
        <v>1791</v>
      </c>
      <c r="C4" s="357" t="s">
        <v>1792</v>
      </c>
      <c r="D4" s="356" t="s">
        <v>1793</v>
      </c>
      <c r="E4" s="1203" t="s">
        <v>1794</v>
      </c>
      <c r="F4" s="1283" t="s">
        <v>1795</v>
      </c>
      <c r="G4" s="1189" t="s">
        <v>2523</v>
      </c>
    </row>
    <row r="5" spans="1:304" ht="14.4" thickTop="1" thickBot="1">
      <c r="A5" s="359">
        <v>1</v>
      </c>
      <c r="B5" s="360">
        <v>2</v>
      </c>
      <c r="C5" s="361">
        <v>3</v>
      </c>
      <c r="D5" s="361">
        <v>4</v>
      </c>
      <c r="E5" s="361">
        <v>5</v>
      </c>
      <c r="F5" s="361">
        <v>6</v>
      </c>
    </row>
    <row r="6" spans="1:304">
      <c r="A6" s="366"/>
      <c r="B6" s="516"/>
      <c r="C6" s="572"/>
      <c r="D6" s="572"/>
      <c r="E6" s="1260"/>
      <c r="F6" s="679"/>
    </row>
    <row r="7" spans="1:304" s="675" customFormat="1" ht="26.4">
      <c r="A7" s="625" t="s">
        <v>442</v>
      </c>
      <c r="B7" s="626" t="s">
        <v>1979</v>
      </c>
      <c r="C7" s="627"/>
      <c r="D7" s="627"/>
      <c r="E7" s="1218"/>
      <c r="F7" s="688"/>
      <c r="G7" s="352"/>
      <c r="H7" s="352"/>
      <c r="I7" s="352"/>
      <c r="J7" s="352"/>
      <c r="K7" s="352"/>
      <c r="L7" s="352"/>
      <c r="M7" s="352"/>
      <c r="N7" s="352"/>
      <c r="O7" s="352"/>
      <c r="P7" s="352"/>
      <c r="Q7" s="352"/>
      <c r="R7" s="352"/>
      <c r="S7" s="352"/>
      <c r="T7" s="352"/>
      <c r="U7" s="352"/>
      <c r="V7" s="352"/>
      <c r="W7" s="352"/>
      <c r="X7" s="352"/>
      <c r="Y7" s="352"/>
      <c r="Z7" s="352"/>
      <c r="AA7" s="352"/>
      <c r="AB7" s="352"/>
      <c r="AC7" s="352"/>
      <c r="AD7" s="352"/>
      <c r="AE7" s="352"/>
      <c r="AF7" s="352"/>
      <c r="AG7" s="352"/>
      <c r="AH7" s="352"/>
      <c r="AI7" s="352"/>
      <c r="AJ7" s="352"/>
      <c r="AK7" s="352"/>
      <c r="AL7" s="352"/>
      <c r="AM7" s="352"/>
      <c r="AN7" s="352"/>
      <c r="AO7" s="352"/>
      <c r="AP7" s="352"/>
      <c r="AQ7" s="352"/>
      <c r="AR7" s="352"/>
      <c r="AS7" s="352"/>
      <c r="AT7" s="352"/>
      <c r="AU7" s="352"/>
      <c r="AV7" s="352"/>
      <c r="AW7" s="352"/>
      <c r="AX7" s="352"/>
      <c r="AY7" s="352"/>
      <c r="AZ7" s="352"/>
      <c r="BA7" s="352"/>
      <c r="BB7" s="352"/>
      <c r="BC7" s="352"/>
      <c r="BD7" s="352"/>
      <c r="BE7" s="352"/>
      <c r="BF7" s="352"/>
      <c r="BG7" s="352"/>
      <c r="BH7" s="352"/>
      <c r="BI7" s="352"/>
      <c r="BJ7" s="352"/>
      <c r="BK7" s="352"/>
      <c r="BL7" s="352"/>
      <c r="BM7" s="352"/>
      <c r="BN7" s="352"/>
      <c r="BO7" s="352"/>
      <c r="BP7" s="352"/>
      <c r="BQ7" s="352"/>
      <c r="BR7" s="352"/>
      <c r="BS7" s="352"/>
      <c r="BT7" s="352"/>
      <c r="BU7" s="352"/>
      <c r="BV7" s="352"/>
      <c r="BW7" s="352"/>
      <c r="BX7" s="352"/>
      <c r="BY7" s="352"/>
      <c r="BZ7" s="352"/>
      <c r="CA7" s="352"/>
      <c r="CB7" s="352"/>
      <c r="CC7" s="352"/>
      <c r="CD7" s="352"/>
      <c r="CE7" s="352"/>
      <c r="CF7" s="352"/>
      <c r="CG7" s="352"/>
      <c r="CH7" s="352"/>
      <c r="CI7" s="352"/>
      <c r="CJ7" s="352"/>
      <c r="CK7" s="352"/>
      <c r="CL7" s="352"/>
      <c r="CM7" s="352"/>
      <c r="CN7" s="352"/>
      <c r="CO7" s="352"/>
      <c r="CP7" s="352"/>
      <c r="CQ7" s="352"/>
      <c r="CR7" s="352"/>
      <c r="CS7" s="352"/>
      <c r="CT7" s="352"/>
      <c r="CU7" s="352"/>
      <c r="CV7" s="352"/>
      <c r="CW7" s="352"/>
      <c r="CX7" s="352"/>
      <c r="CY7" s="352"/>
      <c r="CZ7" s="352"/>
      <c r="DA7" s="352"/>
      <c r="DB7" s="352"/>
      <c r="DC7" s="352"/>
      <c r="DD7" s="352"/>
      <c r="DE7" s="352"/>
      <c r="DF7" s="352"/>
      <c r="DG7" s="352"/>
      <c r="DH7" s="352"/>
      <c r="DI7" s="352"/>
      <c r="DJ7" s="352"/>
      <c r="DK7" s="352"/>
      <c r="DL7" s="352"/>
      <c r="DM7" s="352"/>
      <c r="DN7" s="352"/>
      <c r="DO7" s="352"/>
      <c r="DP7" s="352"/>
      <c r="DQ7" s="352"/>
      <c r="DR7" s="352"/>
      <c r="DS7" s="352"/>
      <c r="DT7" s="352"/>
      <c r="DU7" s="352"/>
      <c r="DV7" s="352"/>
      <c r="DW7" s="352"/>
      <c r="DX7" s="352"/>
      <c r="DY7" s="352"/>
      <c r="DZ7" s="352"/>
      <c r="EA7" s="352"/>
      <c r="EB7" s="352"/>
      <c r="EC7" s="352"/>
      <c r="ED7" s="352"/>
      <c r="EE7" s="352"/>
      <c r="EF7" s="352"/>
      <c r="EG7" s="352"/>
      <c r="EH7" s="352"/>
      <c r="EI7" s="352"/>
      <c r="EJ7" s="352"/>
      <c r="EK7" s="352"/>
      <c r="EL7" s="352"/>
      <c r="EM7" s="352"/>
      <c r="EN7" s="352"/>
      <c r="EO7" s="352"/>
      <c r="EP7" s="352"/>
      <c r="EQ7" s="352"/>
      <c r="ER7" s="352"/>
      <c r="ES7" s="352"/>
      <c r="ET7" s="352"/>
      <c r="EU7" s="352"/>
      <c r="EV7" s="352"/>
      <c r="EW7" s="352"/>
      <c r="EX7" s="352"/>
      <c r="EY7" s="352"/>
      <c r="EZ7" s="352"/>
      <c r="FA7" s="352"/>
      <c r="FB7" s="352"/>
      <c r="FC7" s="352"/>
      <c r="FD7" s="352"/>
      <c r="FE7" s="352"/>
      <c r="FF7" s="352"/>
      <c r="FG7" s="352"/>
      <c r="FH7" s="352"/>
      <c r="FI7" s="352"/>
      <c r="FJ7" s="352"/>
      <c r="FK7" s="352"/>
      <c r="FL7" s="352"/>
      <c r="FM7" s="352"/>
      <c r="FN7" s="352"/>
      <c r="FO7" s="352"/>
      <c r="FP7" s="352"/>
      <c r="FQ7" s="352"/>
      <c r="FR7" s="352"/>
      <c r="FS7" s="352"/>
      <c r="FT7" s="352"/>
      <c r="FU7" s="352"/>
      <c r="FV7" s="352"/>
      <c r="FW7" s="352"/>
      <c r="FX7" s="352"/>
      <c r="FY7" s="352"/>
      <c r="FZ7" s="352"/>
      <c r="GA7" s="352"/>
      <c r="GB7" s="352"/>
      <c r="GC7" s="352"/>
      <c r="GD7" s="352"/>
      <c r="GE7" s="352"/>
      <c r="GF7" s="352"/>
      <c r="GG7" s="352"/>
      <c r="GH7" s="352"/>
      <c r="GI7" s="352"/>
      <c r="GJ7" s="352"/>
      <c r="GK7" s="352"/>
      <c r="GL7" s="352"/>
      <c r="GM7" s="352"/>
      <c r="GN7" s="352"/>
      <c r="GO7" s="352"/>
      <c r="GP7" s="352"/>
      <c r="GQ7" s="352"/>
      <c r="GR7" s="352"/>
      <c r="GS7" s="352"/>
      <c r="GT7" s="352"/>
      <c r="GU7" s="352"/>
      <c r="GV7" s="352"/>
      <c r="GW7" s="352"/>
      <c r="GX7" s="352"/>
      <c r="GY7" s="352"/>
      <c r="GZ7" s="352"/>
      <c r="HA7" s="352"/>
      <c r="HB7" s="352"/>
      <c r="HC7" s="352"/>
      <c r="HD7" s="352"/>
      <c r="HE7" s="352"/>
      <c r="HF7" s="352"/>
      <c r="HG7" s="352"/>
      <c r="HH7" s="352"/>
      <c r="HI7" s="352"/>
      <c r="HJ7" s="352"/>
      <c r="HK7" s="352"/>
      <c r="HL7" s="352"/>
      <c r="HM7" s="352"/>
      <c r="HN7" s="352"/>
      <c r="HO7" s="352"/>
      <c r="HP7" s="352"/>
      <c r="HQ7" s="352"/>
      <c r="HR7" s="352"/>
      <c r="HS7" s="352"/>
      <c r="HT7" s="352"/>
      <c r="HU7" s="352"/>
      <c r="HV7" s="352"/>
      <c r="HW7" s="352"/>
      <c r="HX7" s="352"/>
      <c r="HY7" s="352"/>
      <c r="HZ7" s="352"/>
      <c r="IA7" s="352"/>
      <c r="IB7" s="352"/>
      <c r="IC7" s="352"/>
      <c r="ID7" s="352"/>
      <c r="IE7" s="352"/>
      <c r="IF7" s="352"/>
      <c r="IG7" s="352"/>
      <c r="IH7" s="352"/>
      <c r="II7" s="352"/>
      <c r="IJ7" s="352"/>
      <c r="IK7" s="352"/>
      <c r="IL7" s="352"/>
      <c r="IM7" s="352"/>
      <c r="IN7" s="352"/>
      <c r="IO7" s="352"/>
      <c r="IP7" s="352"/>
      <c r="IQ7" s="352"/>
      <c r="IR7" s="352"/>
      <c r="IS7" s="352"/>
      <c r="IT7" s="352"/>
      <c r="IU7" s="352"/>
      <c r="IV7" s="352"/>
      <c r="IW7" s="352"/>
      <c r="IX7" s="352"/>
      <c r="IY7" s="352"/>
      <c r="IZ7" s="352"/>
      <c r="JA7" s="352"/>
      <c r="JB7" s="352"/>
      <c r="JC7" s="352"/>
      <c r="JD7" s="352"/>
      <c r="JE7" s="352"/>
      <c r="JF7" s="352"/>
      <c r="JG7" s="352"/>
      <c r="JH7" s="352"/>
      <c r="JI7" s="352"/>
      <c r="JJ7" s="352"/>
      <c r="JK7" s="352"/>
      <c r="JL7" s="352"/>
      <c r="JM7" s="352"/>
      <c r="JN7" s="352"/>
      <c r="JO7" s="352"/>
      <c r="JP7" s="352"/>
      <c r="JQ7" s="352"/>
      <c r="JR7" s="352"/>
      <c r="JS7" s="352"/>
      <c r="JT7" s="352"/>
      <c r="JU7" s="352"/>
      <c r="JV7" s="352"/>
      <c r="JW7" s="352"/>
      <c r="JX7" s="352"/>
      <c r="JY7" s="352"/>
      <c r="JZ7" s="352"/>
      <c r="KA7" s="352"/>
      <c r="KB7" s="352"/>
      <c r="KC7" s="352"/>
      <c r="KD7" s="352"/>
      <c r="KE7" s="352"/>
      <c r="KF7" s="352"/>
      <c r="KG7" s="352"/>
      <c r="KH7" s="352"/>
      <c r="KI7" s="352"/>
      <c r="KJ7" s="352"/>
      <c r="KK7" s="352"/>
      <c r="KL7" s="352"/>
      <c r="KM7" s="352"/>
      <c r="KN7" s="352"/>
      <c r="KO7" s="352"/>
      <c r="KP7" s="352"/>
      <c r="KQ7" s="352"/>
      <c r="KR7" s="352"/>
    </row>
    <row r="8" spans="1:304" ht="47.25" customHeight="1">
      <c r="A8" s="1596" t="s">
        <v>1931</v>
      </c>
      <c r="B8" s="1596"/>
      <c r="C8" s="1596"/>
      <c r="D8" s="1596"/>
      <c r="E8" s="1596"/>
      <c r="F8" s="1596"/>
    </row>
    <row r="9" spans="1:304">
      <c r="A9" s="362"/>
      <c r="C9" s="364"/>
      <c r="D9" s="364"/>
      <c r="E9" s="1270"/>
      <c r="F9" s="680"/>
    </row>
    <row r="10" spans="1:304" s="675" customFormat="1">
      <c r="A10" s="681" t="s">
        <v>1980</v>
      </c>
      <c r="B10" s="626" t="s">
        <v>1553</v>
      </c>
      <c r="C10" s="682"/>
      <c r="D10" s="682"/>
      <c r="E10" s="1279"/>
      <c r="F10" s="683"/>
      <c r="G10" s="352"/>
      <c r="H10" s="352"/>
      <c r="I10" s="352"/>
      <c r="J10" s="352"/>
      <c r="K10" s="352"/>
      <c r="L10" s="352"/>
      <c r="M10" s="352"/>
      <c r="N10" s="352"/>
      <c r="O10" s="352"/>
      <c r="P10" s="352"/>
      <c r="Q10" s="352"/>
      <c r="R10" s="352"/>
      <c r="S10" s="352"/>
      <c r="T10" s="352"/>
      <c r="U10" s="352"/>
      <c r="V10" s="352"/>
      <c r="W10" s="352"/>
      <c r="X10" s="352"/>
      <c r="Y10" s="352"/>
      <c r="Z10" s="352"/>
      <c r="AA10" s="352"/>
      <c r="AB10" s="352"/>
      <c r="AC10" s="352"/>
      <c r="AD10" s="352"/>
      <c r="AE10" s="352"/>
      <c r="AF10" s="352"/>
      <c r="AG10" s="352"/>
      <c r="AH10" s="352"/>
      <c r="AI10" s="352"/>
      <c r="AJ10" s="352"/>
      <c r="AK10" s="352"/>
      <c r="AL10" s="352"/>
      <c r="AM10" s="352"/>
      <c r="AN10" s="352"/>
      <c r="AO10" s="352"/>
      <c r="AP10" s="352"/>
      <c r="AQ10" s="352"/>
      <c r="AR10" s="352"/>
      <c r="AS10" s="352"/>
      <c r="AT10" s="352"/>
      <c r="AU10" s="352"/>
      <c r="AV10" s="352"/>
      <c r="AW10" s="352"/>
      <c r="AX10" s="352"/>
      <c r="AY10" s="352"/>
      <c r="AZ10" s="352"/>
      <c r="BA10" s="352"/>
      <c r="BB10" s="352"/>
      <c r="BC10" s="352"/>
      <c r="BD10" s="352"/>
      <c r="BE10" s="352"/>
      <c r="BF10" s="352"/>
      <c r="BG10" s="352"/>
      <c r="BH10" s="352"/>
      <c r="BI10" s="352"/>
      <c r="BJ10" s="352"/>
      <c r="BK10" s="352"/>
      <c r="BL10" s="352"/>
      <c r="BM10" s="352"/>
      <c r="BN10" s="352"/>
      <c r="BO10" s="352"/>
      <c r="BP10" s="352"/>
      <c r="BQ10" s="352"/>
      <c r="BR10" s="352"/>
      <c r="BS10" s="352"/>
      <c r="BT10" s="352"/>
      <c r="BU10" s="352"/>
      <c r="BV10" s="352"/>
      <c r="BW10" s="352"/>
      <c r="BX10" s="352"/>
      <c r="BY10" s="352"/>
      <c r="BZ10" s="352"/>
      <c r="CA10" s="352"/>
      <c r="CB10" s="352"/>
      <c r="CC10" s="352"/>
      <c r="CD10" s="352"/>
      <c r="CE10" s="352"/>
      <c r="CF10" s="352"/>
      <c r="CG10" s="352"/>
      <c r="CH10" s="352"/>
      <c r="CI10" s="352"/>
      <c r="CJ10" s="352"/>
      <c r="CK10" s="352"/>
      <c r="CL10" s="352"/>
      <c r="CM10" s="352"/>
      <c r="CN10" s="352"/>
      <c r="CO10" s="352"/>
      <c r="CP10" s="352"/>
      <c r="CQ10" s="352"/>
      <c r="CR10" s="352"/>
      <c r="CS10" s="352"/>
      <c r="CT10" s="352"/>
      <c r="CU10" s="352"/>
      <c r="CV10" s="352"/>
      <c r="CW10" s="352"/>
      <c r="CX10" s="352"/>
      <c r="CY10" s="352"/>
      <c r="CZ10" s="352"/>
      <c r="DA10" s="352"/>
      <c r="DB10" s="352"/>
      <c r="DC10" s="352"/>
      <c r="DD10" s="352"/>
      <c r="DE10" s="352"/>
      <c r="DF10" s="352"/>
      <c r="DG10" s="352"/>
      <c r="DH10" s="352"/>
      <c r="DI10" s="352"/>
      <c r="DJ10" s="352"/>
      <c r="DK10" s="352"/>
      <c r="DL10" s="352"/>
      <c r="DM10" s="352"/>
      <c r="DN10" s="352"/>
      <c r="DO10" s="352"/>
      <c r="DP10" s="352"/>
      <c r="DQ10" s="352"/>
      <c r="DR10" s="352"/>
      <c r="DS10" s="352"/>
      <c r="DT10" s="352"/>
      <c r="DU10" s="352"/>
      <c r="DV10" s="352"/>
      <c r="DW10" s="352"/>
      <c r="DX10" s="352"/>
      <c r="DY10" s="352"/>
      <c r="DZ10" s="352"/>
      <c r="EA10" s="352"/>
      <c r="EB10" s="352"/>
      <c r="EC10" s="352"/>
      <c r="ED10" s="352"/>
      <c r="EE10" s="352"/>
      <c r="EF10" s="352"/>
      <c r="EG10" s="352"/>
      <c r="EH10" s="352"/>
      <c r="EI10" s="352"/>
      <c r="EJ10" s="352"/>
      <c r="EK10" s="352"/>
      <c r="EL10" s="352"/>
      <c r="EM10" s="352"/>
      <c r="EN10" s="352"/>
      <c r="EO10" s="352"/>
      <c r="EP10" s="352"/>
      <c r="EQ10" s="352"/>
      <c r="ER10" s="352"/>
      <c r="ES10" s="352"/>
      <c r="ET10" s="352"/>
      <c r="EU10" s="352"/>
      <c r="EV10" s="352"/>
      <c r="EW10" s="352"/>
      <c r="EX10" s="352"/>
      <c r="EY10" s="352"/>
      <c r="EZ10" s="352"/>
      <c r="FA10" s="352"/>
      <c r="FB10" s="352"/>
      <c r="FC10" s="352"/>
      <c r="FD10" s="352"/>
      <c r="FE10" s="352"/>
      <c r="FF10" s="352"/>
      <c r="FG10" s="352"/>
      <c r="FH10" s="352"/>
      <c r="FI10" s="352"/>
      <c r="FJ10" s="352"/>
      <c r="FK10" s="352"/>
      <c r="FL10" s="352"/>
      <c r="FM10" s="352"/>
      <c r="FN10" s="352"/>
      <c r="FO10" s="352"/>
      <c r="FP10" s="352"/>
      <c r="FQ10" s="352"/>
      <c r="FR10" s="352"/>
      <c r="FS10" s="352"/>
      <c r="FT10" s="352"/>
      <c r="FU10" s="352"/>
      <c r="FV10" s="352"/>
      <c r="FW10" s="352"/>
      <c r="FX10" s="352"/>
      <c r="FY10" s="352"/>
      <c r="FZ10" s="352"/>
      <c r="GA10" s="352"/>
      <c r="GB10" s="352"/>
      <c r="GC10" s="352"/>
      <c r="GD10" s="352"/>
      <c r="GE10" s="352"/>
      <c r="GF10" s="352"/>
      <c r="GG10" s="352"/>
      <c r="GH10" s="352"/>
      <c r="GI10" s="352"/>
      <c r="GJ10" s="352"/>
      <c r="GK10" s="352"/>
      <c r="GL10" s="352"/>
      <c r="GM10" s="352"/>
      <c r="GN10" s="352"/>
      <c r="GO10" s="352"/>
      <c r="GP10" s="352"/>
      <c r="GQ10" s="352"/>
      <c r="GR10" s="352"/>
      <c r="GS10" s="352"/>
      <c r="GT10" s="352"/>
      <c r="GU10" s="352"/>
      <c r="GV10" s="352"/>
      <c r="GW10" s="352"/>
      <c r="GX10" s="352"/>
      <c r="GY10" s="352"/>
      <c r="GZ10" s="352"/>
      <c r="HA10" s="352"/>
      <c r="HB10" s="352"/>
      <c r="HC10" s="352"/>
      <c r="HD10" s="352"/>
      <c r="HE10" s="352"/>
      <c r="HF10" s="352"/>
      <c r="HG10" s="352"/>
      <c r="HH10" s="352"/>
      <c r="HI10" s="352"/>
      <c r="HJ10" s="352"/>
      <c r="HK10" s="352"/>
      <c r="HL10" s="352"/>
      <c r="HM10" s="352"/>
      <c r="HN10" s="352"/>
      <c r="HO10" s="352"/>
      <c r="HP10" s="352"/>
      <c r="HQ10" s="352"/>
      <c r="HR10" s="352"/>
      <c r="HS10" s="352"/>
      <c r="HT10" s="352"/>
      <c r="HU10" s="352"/>
      <c r="HV10" s="352"/>
      <c r="HW10" s="352"/>
      <c r="HX10" s="352"/>
      <c r="HY10" s="352"/>
      <c r="HZ10" s="352"/>
      <c r="IA10" s="352"/>
      <c r="IB10" s="352"/>
      <c r="IC10" s="352"/>
      <c r="ID10" s="352"/>
      <c r="IE10" s="352"/>
      <c r="IF10" s="352"/>
      <c r="IG10" s="352"/>
      <c r="IH10" s="352"/>
      <c r="II10" s="352"/>
      <c r="IJ10" s="352"/>
      <c r="IK10" s="352"/>
      <c r="IL10" s="352"/>
      <c r="IM10" s="352"/>
      <c r="IN10" s="352"/>
      <c r="IO10" s="352"/>
      <c r="IP10" s="352"/>
      <c r="IQ10" s="352"/>
      <c r="IR10" s="352"/>
      <c r="IS10" s="352"/>
      <c r="IT10" s="352"/>
      <c r="IU10" s="352"/>
      <c r="IV10" s="352"/>
      <c r="IW10" s="352"/>
      <c r="IX10" s="352"/>
      <c r="IY10" s="352"/>
      <c r="IZ10" s="352"/>
      <c r="JA10" s="352"/>
      <c r="JB10" s="352"/>
      <c r="JC10" s="352"/>
      <c r="JD10" s="352"/>
      <c r="JE10" s="352"/>
      <c r="JF10" s="352"/>
      <c r="JG10" s="352"/>
      <c r="JH10" s="352"/>
      <c r="JI10" s="352"/>
      <c r="JJ10" s="352"/>
      <c r="JK10" s="352"/>
      <c r="JL10" s="352"/>
      <c r="JM10" s="352"/>
      <c r="JN10" s="352"/>
      <c r="JO10" s="352"/>
      <c r="JP10" s="352"/>
      <c r="JQ10" s="352"/>
      <c r="JR10" s="352"/>
      <c r="JS10" s="352"/>
      <c r="JT10" s="352"/>
      <c r="JU10" s="352"/>
      <c r="JV10" s="352"/>
      <c r="JW10" s="352"/>
      <c r="JX10" s="352"/>
      <c r="JY10" s="352"/>
      <c r="JZ10" s="352"/>
      <c r="KA10" s="352"/>
      <c r="KB10" s="352"/>
      <c r="KC10" s="352"/>
      <c r="KD10" s="352"/>
      <c r="KE10" s="352"/>
      <c r="KF10" s="352"/>
      <c r="KG10" s="352"/>
      <c r="KH10" s="352"/>
      <c r="KI10" s="352"/>
      <c r="KJ10" s="352"/>
      <c r="KK10" s="352"/>
      <c r="KL10" s="352"/>
      <c r="KM10" s="352"/>
      <c r="KN10" s="352"/>
      <c r="KO10" s="352"/>
      <c r="KP10" s="352"/>
      <c r="KQ10" s="352"/>
      <c r="KR10" s="352"/>
    </row>
    <row r="11" spans="1:304">
      <c r="A11" s="506"/>
      <c r="B11" s="516"/>
      <c r="C11" s="506"/>
      <c r="D11" s="506"/>
      <c r="E11" s="1280"/>
      <c r="F11" s="684"/>
    </row>
    <row r="12" spans="1:304" s="352" customFormat="1" ht="39.6">
      <c r="A12" s="506" t="s">
        <v>1981</v>
      </c>
      <c r="B12" s="351" t="s">
        <v>1982</v>
      </c>
      <c r="C12" s="337" t="s">
        <v>1818</v>
      </c>
      <c r="D12" s="337">
        <v>1</v>
      </c>
      <c r="E12" s="1332">
        <v>2000</v>
      </c>
      <c r="F12" s="1284">
        <f>D12*E12</f>
        <v>2000</v>
      </c>
    </row>
    <row r="13" spans="1:304" s="352" customFormat="1">
      <c r="A13" s="506"/>
      <c r="B13" s="351"/>
      <c r="C13" s="337"/>
      <c r="D13" s="337"/>
      <c r="E13" s="730"/>
      <c r="F13" s="1284"/>
    </row>
    <row r="14" spans="1:304" s="352" customFormat="1" ht="79.2">
      <c r="A14" s="506" t="s">
        <v>1983</v>
      </c>
      <c r="B14" s="351" t="s">
        <v>1984</v>
      </c>
      <c r="C14" s="337" t="s">
        <v>1818</v>
      </c>
      <c r="D14" s="337">
        <v>1</v>
      </c>
      <c r="E14" s="1332">
        <v>1000</v>
      </c>
      <c r="F14" s="1284">
        <f t="shared" ref="F14:F22" si="0">D14*E14</f>
        <v>1000</v>
      </c>
    </row>
    <row r="15" spans="1:304" s="352" customFormat="1">
      <c r="A15" s="506"/>
      <c r="B15" s="351"/>
      <c r="C15" s="337"/>
      <c r="D15" s="337"/>
      <c r="E15" s="730"/>
      <c r="F15" s="1284"/>
    </row>
    <row r="16" spans="1:304" s="352" customFormat="1">
      <c r="A16" s="506" t="s">
        <v>1985</v>
      </c>
      <c r="B16" s="685" t="s">
        <v>1986</v>
      </c>
      <c r="C16" s="337" t="s">
        <v>1818</v>
      </c>
      <c r="D16" s="337">
        <v>1</v>
      </c>
      <c r="E16" s="1332">
        <v>300</v>
      </c>
      <c r="F16" s="1284">
        <f t="shared" si="0"/>
        <v>300</v>
      </c>
    </row>
    <row r="17" spans="1:8" s="352" customFormat="1">
      <c r="A17" s="506"/>
      <c r="B17" s="685"/>
      <c r="C17" s="337"/>
      <c r="D17" s="337"/>
      <c r="E17" s="730"/>
      <c r="F17" s="1284"/>
    </row>
    <row r="18" spans="1:8" s="352" customFormat="1" ht="26.4">
      <c r="A18" s="506" t="s">
        <v>1987</v>
      </c>
      <c r="B18" s="685" t="s">
        <v>1988</v>
      </c>
      <c r="C18" s="337" t="s">
        <v>1818</v>
      </c>
      <c r="D18" s="337">
        <v>1</v>
      </c>
      <c r="E18" s="1332">
        <v>300</v>
      </c>
      <c r="F18" s="1284">
        <f t="shared" si="0"/>
        <v>300</v>
      </c>
    </row>
    <row r="19" spans="1:8" s="352" customFormat="1">
      <c r="A19" s="506"/>
      <c r="B19" s="685"/>
      <c r="C19" s="337"/>
      <c r="D19" s="337"/>
      <c r="E19" s="730"/>
      <c r="F19" s="1284"/>
    </row>
    <row r="20" spans="1:8" s="352" customFormat="1" ht="26.4">
      <c r="A20" s="506" t="s">
        <v>1989</v>
      </c>
      <c r="B20" s="685" t="s">
        <v>1474</v>
      </c>
      <c r="C20" s="337" t="s">
        <v>1818</v>
      </c>
      <c r="D20" s="337">
        <v>1</v>
      </c>
      <c r="E20" s="1332">
        <v>100</v>
      </c>
      <c r="F20" s="1284">
        <f t="shared" si="0"/>
        <v>100</v>
      </c>
    </row>
    <row r="21" spans="1:8" s="352" customFormat="1">
      <c r="A21" s="506"/>
      <c r="B21" s="685"/>
      <c r="C21" s="337"/>
      <c r="D21" s="337"/>
      <c r="E21" s="730"/>
      <c r="F21" s="1284"/>
    </row>
    <row r="22" spans="1:8" s="352" customFormat="1">
      <c r="A22" s="506" t="s">
        <v>1990</v>
      </c>
      <c r="B22" s="686" t="s">
        <v>1478</v>
      </c>
      <c r="C22" s="337" t="s">
        <v>1818</v>
      </c>
      <c r="D22" s="337">
        <v>1</v>
      </c>
      <c r="E22" s="1332">
        <v>100</v>
      </c>
      <c r="F22" s="1284">
        <f t="shared" si="0"/>
        <v>100</v>
      </c>
    </row>
    <row r="23" spans="1:8">
      <c r="A23" s="506"/>
      <c r="B23" s="516"/>
      <c r="C23" s="506"/>
      <c r="D23" s="506"/>
      <c r="E23" s="1280"/>
      <c r="F23" s="684"/>
    </row>
    <row r="24" spans="1:8" s="401" customFormat="1">
      <c r="A24" s="530"/>
      <c r="B24" s="524"/>
      <c r="C24" s="530"/>
      <c r="D24" s="530"/>
      <c r="E24" s="1281"/>
      <c r="F24" s="687"/>
      <c r="H24" s="436"/>
    </row>
    <row r="25" spans="1:8">
      <c r="A25" s="537" t="s">
        <v>1980</v>
      </c>
      <c r="B25" s="689" t="s">
        <v>1553</v>
      </c>
      <c r="C25" s="507"/>
      <c r="D25" s="507"/>
      <c r="E25" s="1209"/>
      <c r="F25" s="508"/>
    </row>
    <row r="26" spans="1:8">
      <c r="A26" s="509"/>
      <c r="B26" s="516"/>
      <c r="C26" s="510"/>
      <c r="D26" s="510"/>
      <c r="E26" s="1210"/>
      <c r="F26" s="511"/>
    </row>
    <row r="27" spans="1:8">
      <c r="A27" s="509"/>
      <c r="B27" s="538" t="s">
        <v>1726</v>
      </c>
      <c r="C27" s="510"/>
      <c r="D27" s="510"/>
      <c r="E27" s="1581">
        <f>SUM(F12:F23)</f>
        <v>3800</v>
      </c>
      <c r="F27" s="1582"/>
      <c r="H27" s="467"/>
    </row>
    <row r="28" spans="1:8">
      <c r="A28" s="512"/>
      <c r="B28" s="539"/>
      <c r="C28" s="513"/>
      <c r="D28" s="513"/>
      <c r="E28" s="1211"/>
      <c r="F28" s="514"/>
    </row>
    <row r="29" spans="1:8" s="401" customFormat="1">
      <c r="A29" s="530"/>
      <c r="B29" s="524"/>
      <c r="C29" s="530"/>
      <c r="D29" s="530"/>
      <c r="E29" s="1281"/>
      <c r="F29" s="687"/>
      <c r="H29" s="436"/>
    </row>
    <row r="35" spans="1:8" s="650" customFormat="1">
      <c r="A35" s="486"/>
      <c r="B35" s="363"/>
      <c r="C35" s="479"/>
      <c r="D35" s="479"/>
      <c r="E35" s="1271"/>
      <c r="G35" s="346"/>
      <c r="H35" s="346"/>
    </row>
    <row r="36" spans="1:8" s="650" customFormat="1">
      <c r="A36" s="486"/>
      <c r="B36" s="363"/>
      <c r="C36" s="479"/>
      <c r="D36" s="479"/>
      <c r="E36" s="1271"/>
      <c r="G36" s="346"/>
      <c r="H36" s="346"/>
    </row>
    <row r="37" spans="1:8" s="650" customFormat="1">
      <c r="A37" s="486"/>
      <c r="B37" s="363"/>
      <c r="C37" s="479"/>
      <c r="D37" s="479"/>
      <c r="E37" s="1271"/>
      <c r="G37" s="346"/>
      <c r="H37" s="346"/>
    </row>
    <row r="38" spans="1:8" s="650" customFormat="1">
      <c r="A38" s="486"/>
      <c r="B38" s="363"/>
      <c r="C38" s="479"/>
      <c r="D38" s="479"/>
      <c r="E38" s="1271"/>
      <c r="G38" s="346"/>
      <c r="H38" s="346"/>
    </row>
    <row r="39" spans="1:8" s="650" customFormat="1">
      <c r="A39" s="486"/>
      <c r="B39" s="363"/>
      <c r="C39" s="479"/>
      <c r="D39" s="479"/>
      <c r="E39" s="1271"/>
      <c r="G39" s="346"/>
      <c r="H39" s="346"/>
    </row>
    <row r="40" spans="1:8" s="650" customFormat="1">
      <c r="A40" s="486"/>
      <c r="B40" s="363"/>
      <c r="C40" s="479"/>
      <c r="D40" s="479"/>
      <c r="E40" s="1271"/>
      <c r="G40" s="346"/>
      <c r="H40" s="346"/>
    </row>
    <row r="41" spans="1:8" s="650" customFormat="1">
      <c r="A41" s="486"/>
      <c r="B41" s="363"/>
      <c r="C41" s="479"/>
      <c r="D41" s="479"/>
      <c r="E41" s="1271"/>
      <c r="G41" s="346"/>
      <c r="H41" s="346"/>
    </row>
    <row r="42" spans="1:8" s="650" customFormat="1">
      <c r="A42" s="486"/>
      <c r="B42" s="363"/>
      <c r="C42" s="479"/>
      <c r="D42" s="479"/>
      <c r="E42" s="1271"/>
      <c r="G42" s="346"/>
      <c r="H42" s="346"/>
    </row>
    <row r="43" spans="1:8" s="650" customFormat="1">
      <c r="A43" s="486"/>
      <c r="B43" s="363"/>
      <c r="C43" s="479"/>
      <c r="D43" s="479"/>
      <c r="E43" s="1271"/>
      <c r="G43" s="346"/>
      <c r="H43" s="346"/>
    </row>
    <row r="44" spans="1:8" s="650" customFormat="1">
      <c r="A44" s="486"/>
      <c r="B44" s="363"/>
      <c r="C44" s="479"/>
      <c r="D44" s="479"/>
      <c r="E44" s="1271"/>
      <c r="G44" s="346"/>
      <c r="H44" s="346"/>
    </row>
    <row r="45" spans="1:8" s="650" customFormat="1">
      <c r="A45" s="486"/>
      <c r="B45" s="363"/>
      <c r="C45" s="479"/>
      <c r="D45" s="479"/>
      <c r="E45" s="1271"/>
      <c r="G45" s="346"/>
      <c r="H45" s="346"/>
    </row>
    <row r="46" spans="1:8" s="650" customFormat="1">
      <c r="A46" s="486"/>
      <c r="B46" s="363"/>
      <c r="C46" s="479"/>
      <c r="D46" s="479"/>
      <c r="E46" s="1271"/>
      <c r="G46" s="346"/>
      <c r="H46" s="346"/>
    </row>
    <row r="47" spans="1:8" s="650" customFormat="1">
      <c r="A47" s="486"/>
      <c r="B47" s="363"/>
      <c r="C47" s="479"/>
      <c r="D47" s="479"/>
      <c r="E47" s="1271"/>
      <c r="G47" s="346"/>
      <c r="H47" s="346"/>
    </row>
    <row r="48" spans="1:8" s="650" customFormat="1">
      <c r="A48" s="486"/>
      <c r="B48" s="363"/>
      <c r="C48" s="479"/>
      <c r="D48" s="479"/>
      <c r="E48" s="1271"/>
      <c r="G48" s="346"/>
      <c r="H48" s="346"/>
    </row>
    <row r="49" spans="1:8" s="650" customFormat="1">
      <c r="A49" s="486"/>
      <c r="B49" s="363"/>
      <c r="C49" s="479"/>
      <c r="D49" s="479"/>
      <c r="E49" s="1271"/>
      <c r="G49" s="346"/>
      <c r="H49" s="346"/>
    </row>
    <row r="50" spans="1:8" s="650" customFormat="1">
      <c r="A50" s="486"/>
      <c r="B50" s="363"/>
      <c r="C50" s="479"/>
      <c r="D50" s="479"/>
      <c r="E50" s="1271"/>
      <c r="G50" s="346"/>
      <c r="H50" s="346"/>
    </row>
    <row r="51" spans="1:8" s="650" customFormat="1">
      <c r="A51" s="486"/>
      <c r="B51" s="363"/>
      <c r="C51" s="479"/>
      <c r="D51" s="479"/>
      <c r="E51" s="1271"/>
      <c r="G51" s="346"/>
      <c r="H51" s="346"/>
    </row>
    <row r="52" spans="1:8" s="650" customFormat="1">
      <c r="A52" s="486"/>
      <c r="B52" s="363"/>
      <c r="C52" s="479"/>
      <c r="D52" s="479"/>
      <c r="E52" s="1271"/>
      <c r="G52" s="346"/>
      <c r="H52" s="346"/>
    </row>
    <row r="53" spans="1:8" s="650" customFormat="1">
      <c r="A53" s="486"/>
      <c r="B53" s="363"/>
      <c r="C53" s="479"/>
      <c r="D53" s="479"/>
      <c r="E53" s="1271"/>
      <c r="G53" s="346"/>
      <c r="H53" s="346"/>
    </row>
    <row r="54" spans="1:8" s="650" customFormat="1">
      <c r="A54" s="486"/>
      <c r="B54" s="363"/>
      <c r="C54" s="479"/>
      <c r="D54" s="479"/>
      <c r="E54" s="1271"/>
      <c r="G54" s="346"/>
      <c r="H54" s="346"/>
    </row>
    <row r="55" spans="1:8" s="650" customFormat="1">
      <c r="A55" s="486"/>
      <c r="B55" s="363"/>
      <c r="C55" s="479"/>
      <c r="D55" s="479"/>
      <c r="E55" s="1271"/>
      <c r="G55" s="346"/>
      <c r="H55" s="346"/>
    </row>
  </sheetData>
  <sheetProtection algorithmName="SHA-512" hashValue="pzMFgHIU6/yfZ8hCAExQqAuYMuE48bxuL8Uq8nudTBGTLW11F53EoBGI/gqHNC8yIjohVFdqQYAFtihrUkwbow==" saltValue="rXV18iX4iFmuDq8jyylxyw==" spinCount="100000" sheet="1" objects="1" scenarios="1"/>
  <mergeCells count="4">
    <mergeCell ref="E27:F27"/>
    <mergeCell ref="A2:F2"/>
    <mergeCell ref="A1:F1"/>
    <mergeCell ref="A8:F8"/>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39997558519241921"/>
  </sheetPr>
  <dimension ref="A1:H68"/>
  <sheetViews>
    <sheetView topLeftCell="A20" zoomScaleNormal="100" zoomScaleSheetLayoutView="115" workbookViewId="0">
      <selection activeCell="E8" sqref="E8"/>
    </sheetView>
  </sheetViews>
  <sheetFormatPr defaultColWidth="9.109375" defaultRowHeight="13.2"/>
  <cols>
    <col min="1" max="1" width="9.6640625" style="486" customWidth="1"/>
    <col min="2" max="2" width="40.6640625" style="841" customWidth="1"/>
    <col min="3" max="3" width="12.5546875" style="479" customWidth="1"/>
    <col min="4" max="4" width="6.6640625" style="479" customWidth="1"/>
    <col min="5" max="5" width="16.6640625" style="533" customWidth="1"/>
    <col min="6" max="6" width="6.44140625" style="533" customWidth="1"/>
    <col min="7" max="7" width="7.6640625" style="479" customWidth="1"/>
    <col min="8" max="8" width="2.6640625" style="533" customWidth="1"/>
    <col min="9" max="16384" width="9.109375" style="346"/>
  </cols>
  <sheetData>
    <row r="1" spans="1:8" ht="45" customHeight="1">
      <c r="A1" s="826"/>
      <c r="B1" s="842" t="s">
        <v>2047</v>
      </c>
      <c r="C1" s="842"/>
      <c r="D1" s="842"/>
      <c r="E1" s="842"/>
      <c r="F1" s="842"/>
      <c r="G1" s="827"/>
      <c r="H1" s="826"/>
    </row>
    <row r="2" spans="1:8" ht="12.6" customHeight="1">
      <c r="A2" s="469"/>
      <c r="B2" s="469"/>
      <c r="C2" s="469"/>
      <c r="D2" s="469"/>
      <c r="E2" s="469"/>
      <c r="F2" s="469"/>
      <c r="G2" s="828"/>
      <c r="H2" s="829"/>
    </row>
    <row r="3" spans="1:8">
      <c r="A3" s="346"/>
      <c r="B3" s="489" t="s">
        <v>1994</v>
      </c>
      <c r="C3" s="489"/>
      <c r="D3" s="489"/>
      <c r="E3" s="489"/>
      <c r="F3" s="489"/>
      <c r="G3" s="346"/>
      <c r="H3" s="346"/>
    </row>
    <row r="4" spans="1:8">
      <c r="A4" s="346"/>
      <c r="B4" s="489"/>
      <c r="C4" s="489"/>
      <c r="D4" s="489"/>
      <c r="E4" s="489"/>
      <c r="F4" s="489"/>
      <c r="G4" s="346"/>
      <c r="H4" s="346"/>
    </row>
    <row r="5" spans="1:8" ht="26.4">
      <c r="A5" s="488"/>
      <c r="B5" s="488"/>
      <c r="C5" s="488"/>
      <c r="D5" s="488"/>
      <c r="E5" s="843" t="s">
        <v>1991</v>
      </c>
      <c r="F5" s="488"/>
      <c r="G5" s="488"/>
      <c r="H5" s="488"/>
    </row>
    <row r="6" spans="1:8">
      <c r="A6" s="488"/>
      <c r="B6" s="346"/>
      <c r="E6" s="346"/>
    </row>
    <row r="7" spans="1:8">
      <c r="A7" s="362" t="s">
        <v>416</v>
      </c>
      <c r="B7" s="844" t="s">
        <v>1643</v>
      </c>
      <c r="E7" s="944">
        <f>'STROJARSKE INST. - VRV I DT'!E133:F133+'STROJARSKE INST. - VRV I DT'!E194:F194+'STROJARSKE INST. - VRV I DT'!E239:F239</f>
        <v>56325</v>
      </c>
      <c r="G7" s="480"/>
      <c r="H7" s="480"/>
    </row>
    <row r="8" spans="1:8">
      <c r="A8" s="362"/>
      <c r="B8" s="844"/>
      <c r="E8" s="944"/>
      <c r="G8" s="480"/>
      <c r="H8" s="480"/>
    </row>
    <row r="9" spans="1:8">
      <c r="A9" s="362"/>
      <c r="B9" s="478"/>
      <c r="C9" s="478"/>
      <c r="E9" s="944"/>
      <c r="F9" s="845"/>
      <c r="G9" s="480"/>
      <c r="H9" s="667"/>
    </row>
    <row r="10" spans="1:8">
      <c r="A10" s="362" t="s">
        <v>421</v>
      </c>
      <c r="B10" s="844" t="s">
        <v>1796</v>
      </c>
      <c r="C10" s="830"/>
      <c r="D10" s="830"/>
      <c r="E10" s="945">
        <f>'STROJARSKE INST. - STROJARNICA'!E112:F112+'STROJARSKE INST. - STROJARNICA'!E165:F165</f>
        <v>9710</v>
      </c>
      <c r="G10" s="831"/>
      <c r="H10" s="480"/>
    </row>
    <row r="11" spans="1:8">
      <c r="A11" s="362"/>
      <c r="B11" s="844"/>
      <c r="E11" s="944"/>
      <c r="G11" s="480"/>
      <c r="H11" s="480"/>
    </row>
    <row r="12" spans="1:8">
      <c r="A12" s="362"/>
      <c r="B12" s="844"/>
      <c r="E12" s="944"/>
      <c r="G12" s="480"/>
      <c r="H12" s="480"/>
    </row>
    <row r="13" spans="1:8">
      <c r="A13" s="362" t="s">
        <v>434</v>
      </c>
      <c r="B13" s="844" t="s">
        <v>1874</v>
      </c>
      <c r="C13" s="830"/>
      <c r="D13" s="830"/>
      <c r="E13" s="945">
        <f>'STROJARSKE INST. - RADIJATORI'!E34:F34+'STROJARSKE INST. - RADIJATORI'!E99:F99+'STROJARSKE INST. - RADIJATORI'!E140:F140</f>
        <v>14200</v>
      </c>
      <c r="G13" s="831"/>
      <c r="H13" s="480"/>
    </row>
    <row r="14" spans="1:8">
      <c r="A14" s="362"/>
      <c r="B14" s="844"/>
      <c r="D14" s="832"/>
      <c r="E14" s="944"/>
      <c r="G14" s="833"/>
      <c r="H14" s="480"/>
    </row>
    <row r="15" spans="1:8">
      <c r="A15" s="362"/>
      <c r="B15" s="844"/>
      <c r="E15" s="944"/>
      <c r="G15" s="480"/>
      <c r="H15" s="480"/>
    </row>
    <row r="16" spans="1:8">
      <c r="A16" s="362" t="s">
        <v>439</v>
      </c>
      <c r="B16" s="844" t="s">
        <v>1930</v>
      </c>
      <c r="C16" s="830"/>
      <c r="D16" s="830"/>
      <c r="E16" s="945">
        <f>'STROJARSKE INST. - ODSIS'!E25:F25+'STROJARSKE INST. - ODSIS'!E52:F52+'STROJARSKE INST. - ODSIS'!E81:F81+'STROJARSKE INST. - ODSIS'!E118:F118</f>
        <v>4045</v>
      </c>
      <c r="G16" s="831"/>
      <c r="H16" s="480"/>
    </row>
    <row r="17" spans="1:8">
      <c r="A17" s="362"/>
      <c r="B17" s="844"/>
      <c r="D17" s="832"/>
      <c r="E17" s="944"/>
      <c r="G17" s="833"/>
      <c r="H17" s="480"/>
    </row>
    <row r="18" spans="1:8">
      <c r="A18" s="362"/>
      <c r="B18" s="844"/>
      <c r="D18" s="832"/>
      <c r="E18" s="944"/>
      <c r="G18" s="833"/>
      <c r="H18" s="480"/>
    </row>
    <row r="19" spans="1:8" ht="26.4">
      <c r="A19" s="362" t="s">
        <v>442</v>
      </c>
      <c r="B19" s="844" t="s">
        <v>1979</v>
      </c>
      <c r="C19" s="830"/>
      <c r="D19" s="830"/>
      <c r="E19" s="945">
        <f>'STROJARSKE INST. - EL.PODNO'!E27:F27</f>
        <v>3800</v>
      </c>
      <c r="G19" s="831"/>
      <c r="H19" s="480"/>
    </row>
    <row r="20" spans="1:8">
      <c r="A20" s="362"/>
      <c r="B20" s="844"/>
      <c r="D20" s="832"/>
      <c r="E20" s="944"/>
      <c r="G20" s="833"/>
      <c r="H20" s="480"/>
    </row>
    <row r="21" spans="1:8">
      <c r="A21" s="362"/>
      <c r="B21" s="844"/>
      <c r="D21" s="832"/>
      <c r="E21" s="946"/>
      <c r="G21" s="833"/>
      <c r="H21" s="480"/>
    </row>
    <row r="22" spans="1:8">
      <c r="A22" s="362"/>
      <c r="B22" s="844"/>
      <c r="D22" s="832"/>
      <c r="E22" s="947"/>
      <c r="G22" s="833"/>
      <c r="H22" s="480"/>
    </row>
    <row r="23" spans="1:8">
      <c r="A23" s="846"/>
      <c r="B23" s="741"/>
      <c r="C23" s="741"/>
      <c r="D23" s="834"/>
      <c r="E23" s="948"/>
      <c r="F23" s="835"/>
      <c r="G23" s="836"/>
      <c r="H23" s="837"/>
    </row>
    <row r="24" spans="1:8">
      <c r="A24" s="847"/>
      <c r="B24" s="1600" t="s">
        <v>227</v>
      </c>
      <c r="C24" s="1600"/>
      <c r="E24" s="949">
        <f>SUM(E7:E20)</f>
        <v>88080</v>
      </c>
      <c r="F24" s="848"/>
      <c r="H24" s="849"/>
    </row>
    <row r="25" spans="1:8">
      <c r="A25" s="850"/>
      <c r="B25" s="838"/>
      <c r="C25" s="838"/>
      <c r="D25" s="581"/>
      <c r="E25" s="839"/>
      <c r="F25" s="840"/>
      <c r="G25" s="581"/>
      <c r="H25" s="840"/>
    </row>
    <row r="26" spans="1:8">
      <c r="A26" s="478"/>
      <c r="B26" s="478"/>
      <c r="C26" s="478"/>
      <c r="D26" s="478"/>
      <c r="E26" s="478"/>
      <c r="F26" s="478"/>
      <c r="G26" s="478"/>
      <c r="H26" s="478"/>
    </row>
    <row r="27" spans="1:8">
      <c r="A27" s="1601" t="s">
        <v>1992</v>
      </c>
      <c r="B27" s="1601"/>
      <c r="C27" s="1601"/>
      <c r="D27" s="1601"/>
      <c r="E27" s="1601"/>
      <c r="F27" s="1601"/>
      <c r="G27" s="346"/>
      <c r="H27" s="346"/>
    </row>
    <row r="28" spans="1:8">
      <c r="A28" s="534"/>
      <c r="B28" s="534"/>
      <c r="C28" s="534"/>
      <c r="D28" s="534"/>
      <c r="E28" s="534"/>
      <c r="F28" s="534"/>
      <c r="G28" s="534"/>
      <c r="H28" s="534"/>
    </row>
    <row r="29" spans="1:8" ht="34.5" customHeight="1">
      <c r="A29" s="1602" t="s">
        <v>1993</v>
      </c>
      <c r="B29" s="1602"/>
      <c r="C29" s="1602"/>
      <c r="D29" s="1602"/>
      <c r="E29" s="1602"/>
      <c r="F29" s="1602"/>
      <c r="G29" s="346"/>
      <c r="H29" s="346"/>
    </row>
    <row r="30" spans="1:8">
      <c r="A30" s="851"/>
      <c r="B30" s="851"/>
      <c r="C30" s="851"/>
      <c r="D30" s="851"/>
      <c r="E30" s="851"/>
      <c r="F30" s="851"/>
      <c r="G30" s="851"/>
      <c r="H30" s="851"/>
    </row>
    <row r="31" spans="1:8" ht="21" customHeight="1">
      <c r="A31" s="1579" t="s">
        <v>413</v>
      </c>
      <c r="B31" s="1579"/>
      <c r="C31" s="1579"/>
      <c r="D31" s="1579"/>
      <c r="E31" s="1579"/>
      <c r="F31" s="1579"/>
      <c r="G31" s="346"/>
      <c r="H31" s="531"/>
    </row>
    <row r="32" spans="1:8">
      <c r="A32" s="524"/>
      <c r="B32" s="524"/>
      <c r="C32" s="524"/>
      <c r="D32" s="524"/>
      <c r="E32" s="524"/>
      <c r="F32" s="524"/>
      <c r="G32" s="346"/>
      <c r="H32" s="531"/>
    </row>
    <row r="33" spans="1:8" s="853" customFormat="1">
      <c r="A33" s="852" t="s">
        <v>1995</v>
      </c>
      <c r="B33" s="1553" t="s">
        <v>1996</v>
      </c>
      <c r="C33" s="1553"/>
      <c r="D33" s="1553"/>
      <c r="E33" s="1553"/>
      <c r="F33" s="1553"/>
      <c r="H33" s="854"/>
    </row>
    <row r="34" spans="1:8" s="853" customFormat="1">
      <c r="A34" s="852"/>
      <c r="B34" s="1599" t="s">
        <v>1997</v>
      </c>
      <c r="C34" s="1599"/>
      <c r="D34" s="1599"/>
      <c r="E34" s="1599"/>
      <c r="F34" s="1599"/>
      <c r="H34" s="854"/>
    </row>
    <row r="35" spans="1:8" s="853" customFormat="1">
      <c r="A35" s="852"/>
      <c r="B35" s="1599" t="s">
        <v>1998</v>
      </c>
      <c r="C35" s="1599"/>
      <c r="D35" s="1599"/>
      <c r="E35" s="1599"/>
      <c r="F35" s="1599"/>
      <c r="H35" s="854"/>
    </row>
    <row r="36" spans="1:8" s="853" customFormat="1">
      <c r="A36" s="852"/>
      <c r="B36" s="1599" t="s">
        <v>1999</v>
      </c>
      <c r="C36" s="1599"/>
      <c r="D36" s="1599"/>
      <c r="E36" s="1599"/>
      <c r="F36" s="1599"/>
      <c r="H36" s="854"/>
    </row>
    <row r="37" spans="1:8" s="853" customFormat="1" ht="16.5" customHeight="1">
      <c r="A37" s="852"/>
      <c r="B37" s="1599" t="s">
        <v>2000</v>
      </c>
      <c r="C37" s="1599"/>
      <c r="D37" s="1599"/>
      <c r="E37" s="1599"/>
      <c r="F37" s="1599"/>
      <c r="H37" s="854"/>
    </row>
    <row r="38" spans="1:8" s="853" customFormat="1" ht="54" customHeight="1">
      <c r="A38" s="852" t="s">
        <v>2001</v>
      </c>
      <c r="B38" s="1553" t="s">
        <v>2002</v>
      </c>
      <c r="C38" s="1553"/>
      <c r="D38" s="1553"/>
      <c r="E38" s="1553"/>
      <c r="F38" s="1553"/>
      <c r="H38" s="854"/>
    </row>
    <row r="39" spans="1:8" ht="54.75" customHeight="1">
      <c r="A39" s="852" t="s">
        <v>2003</v>
      </c>
      <c r="B39" s="1553" t="s">
        <v>2004</v>
      </c>
      <c r="C39" s="1553"/>
      <c r="D39" s="1553"/>
      <c r="E39" s="1553"/>
      <c r="F39" s="1553"/>
      <c r="G39" s="346"/>
      <c r="H39" s="531"/>
    </row>
    <row r="40" spans="1:8" s="853" customFormat="1">
      <c r="A40" s="852"/>
      <c r="B40" s="715" t="s">
        <v>2005</v>
      </c>
      <c r="C40" s="855"/>
      <c r="D40" s="856"/>
      <c r="E40" s="857"/>
      <c r="F40" s="857"/>
      <c r="H40" s="854"/>
    </row>
    <row r="41" spans="1:8" s="853" customFormat="1">
      <c r="A41" s="852"/>
      <c r="B41" s="715" t="s">
        <v>2006</v>
      </c>
      <c r="C41" s="855"/>
      <c r="D41" s="856"/>
      <c r="E41" s="857"/>
      <c r="F41" s="857"/>
      <c r="H41" s="854"/>
    </row>
    <row r="42" spans="1:8" s="853" customFormat="1">
      <c r="A42" s="852"/>
      <c r="B42" s="715" t="s">
        <v>2007</v>
      </c>
      <c r="C42" s="855"/>
      <c r="D42" s="856"/>
      <c r="E42" s="857"/>
      <c r="F42" s="857"/>
      <c r="H42" s="854"/>
    </row>
    <row r="43" spans="1:8" s="853" customFormat="1">
      <c r="A43" s="852"/>
      <c r="B43" s="715" t="s">
        <v>2008</v>
      </c>
      <c r="C43" s="855"/>
      <c r="D43" s="856"/>
      <c r="E43" s="857"/>
      <c r="F43" s="857"/>
      <c r="H43" s="854"/>
    </row>
    <row r="44" spans="1:8" s="853" customFormat="1">
      <c r="A44" s="852"/>
      <c r="B44" s="715" t="s">
        <v>2009</v>
      </c>
      <c r="C44" s="855"/>
      <c r="D44" s="856"/>
      <c r="E44" s="857"/>
      <c r="F44" s="857"/>
      <c r="H44" s="854"/>
    </row>
    <row r="45" spans="1:8" s="853" customFormat="1" ht="26.4">
      <c r="A45" s="852"/>
      <c r="B45" s="715" t="s">
        <v>2010</v>
      </c>
      <c r="C45" s="855"/>
      <c r="D45" s="856"/>
      <c r="E45" s="857"/>
      <c r="F45" s="857"/>
      <c r="H45" s="854"/>
    </row>
    <row r="46" spans="1:8" s="853" customFormat="1">
      <c r="A46" s="852"/>
      <c r="B46" s="715" t="s">
        <v>2011</v>
      </c>
      <c r="C46" s="855"/>
      <c r="D46" s="856"/>
      <c r="E46" s="857"/>
      <c r="F46" s="857"/>
      <c r="H46" s="854"/>
    </row>
    <row r="47" spans="1:8" s="853" customFormat="1">
      <c r="A47" s="852"/>
      <c r="B47" s="715" t="s">
        <v>2012</v>
      </c>
      <c r="C47" s="855"/>
      <c r="D47" s="856"/>
      <c r="E47" s="857"/>
      <c r="F47" s="857"/>
      <c r="H47" s="854"/>
    </row>
    <row r="48" spans="1:8" s="853" customFormat="1">
      <c r="A48" s="852"/>
      <c r="B48" s="715" t="s">
        <v>2013</v>
      </c>
      <c r="C48" s="855"/>
      <c r="D48" s="856"/>
      <c r="E48" s="857"/>
      <c r="F48" s="857"/>
      <c r="H48" s="854"/>
    </row>
    <row r="49" spans="1:8" s="853" customFormat="1">
      <c r="A49" s="852"/>
      <c r="B49" s="715" t="s">
        <v>2014</v>
      </c>
      <c r="C49" s="855"/>
      <c r="D49" s="856"/>
      <c r="E49" s="857"/>
      <c r="F49" s="857"/>
      <c r="H49" s="854"/>
    </row>
    <row r="50" spans="1:8" ht="99" customHeight="1">
      <c r="A50" s="362" t="s">
        <v>2015</v>
      </c>
      <c r="B50" s="1579" t="s">
        <v>2016</v>
      </c>
      <c r="C50" s="1579"/>
      <c r="D50" s="1579"/>
      <c r="E50" s="1579"/>
      <c r="F50" s="1579"/>
      <c r="G50" s="346"/>
      <c r="H50" s="531"/>
    </row>
    <row r="51" spans="1:8" ht="88.5" customHeight="1">
      <c r="A51" s="362" t="s">
        <v>2017</v>
      </c>
      <c r="B51" s="1579" t="s">
        <v>2108</v>
      </c>
      <c r="C51" s="1579"/>
      <c r="D51" s="1579"/>
      <c r="E51" s="1579"/>
      <c r="F51" s="1579"/>
      <c r="G51" s="346"/>
      <c r="H51" s="531"/>
    </row>
    <row r="52" spans="1:8" ht="19.5" customHeight="1">
      <c r="A52" s="362" t="s">
        <v>2018</v>
      </c>
      <c r="B52" s="1579" t="s">
        <v>2019</v>
      </c>
      <c r="C52" s="1579"/>
      <c r="D52" s="1579"/>
      <c r="E52" s="1579"/>
      <c r="F52" s="1579"/>
      <c r="G52" s="346"/>
      <c r="H52" s="531"/>
    </row>
    <row r="53" spans="1:8" ht="33" customHeight="1">
      <c r="A53" s="362" t="s">
        <v>2020</v>
      </c>
      <c r="B53" s="1579" t="s">
        <v>2021</v>
      </c>
      <c r="C53" s="1579"/>
      <c r="D53" s="1579"/>
      <c r="E53" s="1579"/>
      <c r="F53" s="1579"/>
      <c r="G53" s="346"/>
      <c r="H53" s="531"/>
    </row>
    <row r="54" spans="1:8" ht="72.75" customHeight="1">
      <c r="A54" s="362" t="s">
        <v>2022</v>
      </c>
      <c r="B54" s="1579" t="s">
        <v>2023</v>
      </c>
      <c r="C54" s="1579"/>
      <c r="D54" s="1579"/>
      <c r="E54" s="1579"/>
      <c r="F54" s="1579"/>
      <c r="G54" s="346"/>
      <c r="H54" s="531"/>
    </row>
    <row r="55" spans="1:8" ht="27.75" customHeight="1">
      <c r="A55" s="362" t="s">
        <v>1514</v>
      </c>
      <c r="B55" s="1579" t="s">
        <v>2024</v>
      </c>
      <c r="C55" s="1579"/>
      <c r="D55" s="1579"/>
      <c r="E55" s="1579"/>
      <c r="F55" s="1579"/>
      <c r="G55" s="346"/>
      <c r="H55" s="531"/>
    </row>
    <row r="56" spans="1:8" ht="85.5" customHeight="1">
      <c r="A56" s="362" t="s">
        <v>2025</v>
      </c>
      <c r="B56" s="1579" t="s">
        <v>2026</v>
      </c>
      <c r="C56" s="1579"/>
      <c r="D56" s="1579"/>
      <c r="E56" s="1579"/>
      <c r="F56" s="1579"/>
      <c r="G56" s="346"/>
      <c r="H56" s="531"/>
    </row>
    <row r="57" spans="1:8" ht="51" customHeight="1">
      <c r="A57" s="362" t="s">
        <v>2027</v>
      </c>
      <c r="B57" s="1579" t="s">
        <v>2028</v>
      </c>
      <c r="C57" s="1579"/>
      <c r="D57" s="1579"/>
      <c r="E57" s="1579"/>
      <c r="F57" s="1579"/>
      <c r="G57" s="346"/>
      <c r="H57" s="531"/>
    </row>
    <row r="58" spans="1:8" ht="58.5" customHeight="1">
      <c r="A58" s="362" t="s">
        <v>2029</v>
      </c>
      <c r="B58" s="1579" t="s">
        <v>2030</v>
      </c>
      <c r="C58" s="1579"/>
      <c r="D58" s="1579"/>
      <c r="E58" s="1579"/>
      <c r="F58" s="1579"/>
      <c r="G58" s="346"/>
      <c r="H58" s="531"/>
    </row>
    <row r="59" spans="1:8" ht="33.75" customHeight="1">
      <c r="A59" s="362" t="s">
        <v>2031</v>
      </c>
      <c r="B59" s="1579" t="s">
        <v>2032</v>
      </c>
      <c r="C59" s="1579"/>
      <c r="D59" s="1579"/>
      <c r="E59" s="1579"/>
      <c r="F59" s="1579"/>
      <c r="G59" s="346"/>
      <c r="H59" s="531"/>
    </row>
    <row r="60" spans="1:8" ht="34.5" customHeight="1">
      <c r="A60" s="362" t="s">
        <v>2033</v>
      </c>
      <c r="B60" s="1579" t="s">
        <v>2034</v>
      </c>
      <c r="C60" s="1579"/>
      <c r="D60" s="1579"/>
      <c r="E60" s="1579"/>
      <c r="F60" s="1579"/>
      <c r="G60" s="346"/>
      <c r="H60" s="531"/>
    </row>
    <row r="61" spans="1:8" ht="51" customHeight="1">
      <c r="A61" s="362" t="s">
        <v>2035</v>
      </c>
      <c r="B61" s="1579" t="s">
        <v>2036</v>
      </c>
      <c r="C61" s="1579"/>
      <c r="D61" s="1579"/>
      <c r="E61" s="1579"/>
      <c r="F61" s="1579"/>
      <c r="G61" s="346"/>
      <c r="H61" s="531"/>
    </row>
    <row r="62" spans="1:8" ht="33.75" customHeight="1">
      <c r="A62" s="362" t="s">
        <v>2037</v>
      </c>
      <c r="B62" s="1579" t="s">
        <v>2038</v>
      </c>
      <c r="C62" s="1579"/>
      <c r="D62" s="1579"/>
      <c r="E62" s="1579"/>
      <c r="F62" s="1579"/>
      <c r="G62" s="346"/>
      <c r="H62" s="531"/>
    </row>
    <row r="63" spans="1:8" ht="45" customHeight="1">
      <c r="A63" s="362" t="s">
        <v>2039</v>
      </c>
      <c r="B63" s="1579" t="s">
        <v>2040</v>
      </c>
      <c r="C63" s="1579"/>
      <c r="D63" s="1579"/>
      <c r="E63" s="1579"/>
      <c r="F63" s="1579"/>
      <c r="G63" s="346"/>
      <c r="H63" s="531"/>
    </row>
    <row r="64" spans="1:8" ht="126.75" customHeight="1">
      <c r="A64" s="362" t="s">
        <v>2041</v>
      </c>
      <c r="B64" s="1579" t="s">
        <v>2042</v>
      </c>
      <c r="C64" s="1579"/>
      <c r="D64" s="1579"/>
      <c r="E64" s="1579"/>
      <c r="F64" s="1579"/>
      <c r="G64" s="346"/>
      <c r="H64" s="531"/>
    </row>
    <row r="65" spans="1:8" s="590" customFormat="1">
      <c r="A65" s="488" t="s">
        <v>2043</v>
      </c>
      <c r="B65" s="489" t="s">
        <v>2044</v>
      </c>
      <c r="C65" s="489"/>
      <c r="D65" s="489"/>
      <c r="E65" s="489"/>
      <c r="F65" s="489"/>
      <c r="H65" s="531"/>
    </row>
    <row r="66" spans="1:8" s="590" customFormat="1" ht="60.75" customHeight="1">
      <c r="A66" s="844"/>
      <c r="B66" s="1579" t="s">
        <v>2045</v>
      </c>
      <c r="C66" s="1579"/>
      <c r="D66" s="1579"/>
      <c r="E66" s="1579"/>
      <c r="F66" s="1579"/>
      <c r="H66" s="531"/>
    </row>
    <row r="68" spans="1:8">
      <c r="A68" s="479"/>
      <c r="B68" s="590"/>
      <c r="C68" s="590"/>
    </row>
  </sheetData>
  <sheetProtection algorithmName="SHA-512" hashValue="LZ45pTEFf4LCz/AkkYP0x5hez8B5L2ZYaSA0aMT5rL3WDv9Z6c4lsEQWZgwBhTsmPtQA/4vY5+YhOWuWcyqjvA==" saltValue="m8qVOB/SSjh8bvewwqgmzw==" spinCount="100000" sheet="1" objects="1" scenarios="1"/>
  <mergeCells count="27">
    <mergeCell ref="B66:F66"/>
    <mergeCell ref="B59:F59"/>
    <mergeCell ref="B60:F60"/>
    <mergeCell ref="B61:F61"/>
    <mergeCell ref="B62:F62"/>
    <mergeCell ref="B63:F63"/>
    <mergeCell ref="B64:F64"/>
    <mergeCell ref="B24:C24"/>
    <mergeCell ref="A27:F27"/>
    <mergeCell ref="A29:F29"/>
    <mergeCell ref="A31:F31"/>
    <mergeCell ref="B33:F33"/>
    <mergeCell ref="B34:F34"/>
    <mergeCell ref="B35:F35"/>
    <mergeCell ref="B36:F36"/>
    <mergeCell ref="B58:F58"/>
    <mergeCell ref="B37:F37"/>
    <mergeCell ref="B38:F38"/>
    <mergeCell ref="B39:F39"/>
    <mergeCell ref="B50:F50"/>
    <mergeCell ref="B51:F51"/>
    <mergeCell ref="B52:F52"/>
    <mergeCell ref="B53:F53"/>
    <mergeCell ref="B54:F54"/>
    <mergeCell ref="B55:F55"/>
    <mergeCell ref="B56:F56"/>
    <mergeCell ref="B57:F57"/>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7" tint="0.59999389629810485"/>
  </sheetPr>
  <dimension ref="A1:Q175"/>
  <sheetViews>
    <sheetView topLeftCell="A190" zoomScale="85" zoomScaleNormal="85" zoomScaleSheetLayoutView="130" workbookViewId="0">
      <selection activeCell="F184" sqref="F184"/>
    </sheetView>
  </sheetViews>
  <sheetFormatPr defaultColWidth="9.109375" defaultRowHeight="13.2"/>
  <cols>
    <col min="1" max="1" width="10.88671875" style="1421" customWidth="1"/>
    <col min="2" max="2" width="39.88671875" style="279" customWidth="1"/>
    <col min="3" max="3" width="8.33203125" style="279" customWidth="1"/>
    <col min="4" max="4" width="8.6640625" style="279" customWidth="1"/>
    <col min="5" max="5" width="11.44140625" style="1422" customWidth="1"/>
    <col min="6" max="6" width="20.33203125" style="279" customWidth="1"/>
    <col min="7" max="16384" width="9.109375" style="279"/>
  </cols>
  <sheetData>
    <row r="1" spans="1:17" ht="77.25" customHeight="1" thickBot="1">
      <c r="A1" s="1340"/>
      <c r="B1" s="1341"/>
      <c r="C1" s="1341"/>
      <c r="D1" s="1341"/>
      <c r="E1" s="1342"/>
      <c r="F1" s="1341"/>
      <c r="G1" s="1343"/>
      <c r="H1" s="1343"/>
      <c r="I1" s="1343"/>
    </row>
    <row r="2" spans="1:17" ht="51.75" customHeight="1">
      <c r="A2" s="1606" t="s">
        <v>682</v>
      </c>
      <c r="B2" s="1607"/>
      <c r="C2" s="1607"/>
      <c r="D2" s="1607"/>
      <c r="E2" s="1607"/>
      <c r="F2" s="1608"/>
      <c r="G2" s="1609"/>
      <c r="H2" s="1609"/>
      <c r="I2" s="1609"/>
      <c r="J2" s="1609"/>
    </row>
    <row r="3" spans="1:17" ht="13.8" thickBot="1">
      <c r="A3" s="1344" t="s">
        <v>683</v>
      </c>
      <c r="B3" s="1345"/>
      <c r="C3" s="1345"/>
      <c r="D3" s="1345"/>
      <c r="E3" s="1346"/>
      <c r="F3" s="1347"/>
      <c r="G3" s="1609"/>
      <c r="H3" s="1609"/>
      <c r="I3" s="1609"/>
      <c r="J3" s="1609"/>
    </row>
    <row r="4" spans="1:17" ht="26.4">
      <c r="A4" s="1348" t="s">
        <v>684</v>
      </c>
      <c r="B4" s="1349" t="s">
        <v>685</v>
      </c>
      <c r="C4" s="1350" t="s">
        <v>686</v>
      </c>
      <c r="D4" s="1351" t="s">
        <v>687</v>
      </c>
      <c r="E4" s="1352" t="s">
        <v>688</v>
      </c>
      <c r="F4" s="1353" t="s">
        <v>689</v>
      </c>
      <c r="G4" s="1354" t="s">
        <v>2523</v>
      </c>
    </row>
    <row r="5" spans="1:17" ht="264">
      <c r="A5" s="1355"/>
      <c r="B5" s="1356" t="s">
        <v>2161</v>
      </c>
      <c r="C5" s="1357"/>
      <c r="D5" s="1358"/>
      <c r="E5" s="1359"/>
      <c r="F5" s="1360"/>
    </row>
    <row r="6" spans="1:17">
      <c r="A6" s="1361" t="s">
        <v>416</v>
      </c>
      <c r="B6" s="1362" t="s">
        <v>690</v>
      </c>
      <c r="C6" s="1363"/>
      <c r="D6" s="1364"/>
      <c r="E6" s="1365"/>
      <c r="F6" s="1366"/>
      <c r="I6" s="1343"/>
      <c r="J6" s="1343"/>
      <c r="K6" s="1343"/>
      <c r="L6" s="1343"/>
      <c r="M6" s="1343"/>
      <c r="N6" s="1343"/>
      <c r="O6" s="1343"/>
      <c r="P6" s="1343"/>
      <c r="Q6" s="1343"/>
    </row>
    <row r="7" spans="1:17" s="254" customFormat="1" ht="135.75" customHeight="1">
      <c r="A7" s="1367" t="s">
        <v>416</v>
      </c>
      <c r="B7" s="1368" t="s">
        <v>691</v>
      </c>
      <c r="C7" s="1369" t="s">
        <v>692</v>
      </c>
      <c r="D7" s="1369">
        <v>300</v>
      </c>
      <c r="E7" s="1285">
        <f>'[1]ELEKTRO E.1'!E7</f>
        <v>0.5</v>
      </c>
      <c r="F7" s="1371">
        <f>D7*E7</f>
        <v>150</v>
      </c>
    </row>
    <row r="8" spans="1:17" s="254" customFormat="1" ht="132.75" customHeight="1">
      <c r="A8" s="1372" t="s">
        <v>421</v>
      </c>
      <c r="B8" s="1373" t="s">
        <v>693</v>
      </c>
      <c r="C8" s="1369" t="s">
        <v>694</v>
      </c>
      <c r="D8" s="1369">
        <v>12</v>
      </c>
      <c r="E8" s="1285">
        <f>'[1]ELEKTRO E.1'!E8</f>
        <v>40</v>
      </c>
      <c r="F8" s="1371">
        <f t="shared" ref="F8:F11" si="0">D8*E8</f>
        <v>480</v>
      </c>
      <c r="G8" s="1374"/>
      <c r="H8" s="1375"/>
      <c r="I8" s="1376"/>
    </row>
    <row r="9" spans="1:17" s="254" customFormat="1" ht="171.6">
      <c r="A9" s="1367" t="s">
        <v>434</v>
      </c>
      <c r="B9" s="1368" t="s">
        <v>695</v>
      </c>
      <c r="C9" s="1369" t="s">
        <v>517</v>
      </c>
      <c r="D9" s="1369">
        <v>48</v>
      </c>
      <c r="E9" s="1285">
        <f>'[1]ELEKTRO E.1'!E9</f>
        <v>20</v>
      </c>
      <c r="F9" s="1371">
        <f t="shared" si="0"/>
        <v>960</v>
      </c>
    </row>
    <row r="10" spans="1:17" s="254" customFormat="1" ht="171.6">
      <c r="A10" s="1372" t="s">
        <v>439</v>
      </c>
      <c r="B10" s="1377" t="s">
        <v>696</v>
      </c>
      <c r="C10" s="1369" t="s">
        <v>517</v>
      </c>
      <c r="D10" s="1369">
        <v>64</v>
      </c>
      <c r="E10" s="1285">
        <f>'[1]ELEKTRO E.1'!E10</f>
        <v>20</v>
      </c>
      <c r="F10" s="1371">
        <f t="shared" si="0"/>
        <v>1280</v>
      </c>
    </row>
    <row r="11" spans="1:17" s="254" customFormat="1" ht="80.25" customHeight="1">
      <c r="A11" s="1372" t="s">
        <v>497</v>
      </c>
      <c r="B11" s="1377" t="s">
        <v>697</v>
      </c>
      <c r="C11" s="1369" t="s">
        <v>694</v>
      </c>
      <c r="D11" s="1369">
        <v>24</v>
      </c>
      <c r="E11" s="1285">
        <f>'[1]ELEKTRO E.1'!E11</f>
        <v>50</v>
      </c>
      <c r="F11" s="1371">
        <f t="shared" si="0"/>
        <v>1200</v>
      </c>
    </row>
    <row r="12" spans="1:17" s="254" customFormat="1" ht="105.6">
      <c r="A12" s="1372" t="s">
        <v>499</v>
      </c>
      <c r="B12" s="1377" t="s">
        <v>698</v>
      </c>
      <c r="C12" s="1378" t="s">
        <v>694</v>
      </c>
      <c r="D12" s="1379">
        <v>2</v>
      </c>
      <c r="E12" s="1285">
        <f>'[1]ELEKTRO E.1'!E12</f>
        <v>40</v>
      </c>
      <c r="F12" s="1371">
        <f>D12*E12</f>
        <v>80</v>
      </c>
    </row>
    <row r="13" spans="1:17" s="254" customFormat="1" ht="26.4">
      <c r="A13" s="1372" t="s">
        <v>559</v>
      </c>
      <c r="B13" s="1368" t="s">
        <v>699</v>
      </c>
      <c r="C13" s="1378"/>
      <c r="D13" s="1379"/>
      <c r="E13" s="1370"/>
      <c r="F13" s="1371"/>
    </row>
    <row r="14" spans="1:17" s="254" customFormat="1" ht="39.6">
      <c r="A14" s="1372"/>
      <c r="B14" s="1368" t="s">
        <v>700</v>
      </c>
      <c r="C14" s="1378"/>
      <c r="D14" s="1379"/>
      <c r="E14" s="1370"/>
      <c r="F14" s="1371"/>
    </row>
    <row r="15" spans="1:17" s="254" customFormat="1" ht="26.4">
      <c r="A15" s="1372"/>
      <c r="B15" s="1368" t="s">
        <v>701</v>
      </c>
      <c r="C15" s="1378"/>
      <c r="D15" s="1379"/>
      <c r="E15" s="1370"/>
      <c r="F15" s="1371"/>
    </row>
    <row r="16" spans="1:17" s="254" customFormat="1" ht="42">
      <c r="A16" s="1372"/>
      <c r="B16" s="1368" t="s">
        <v>2578</v>
      </c>
      <c r="C16" s="1378"/>
      <c r="D16" s="1379"/>
      <c r="E16" s="1370"/>
      <c r="F16" s="1371"/>
    </row>
    <row r="17" spans="1:6" s="254" customFormat="1" ht="26.4">
      <c r="A17" s="1372"/>
      <c r="B17" s="1368" t="s">
        <v>702</v>
      </c>
      <c r="C17" s="1378"/>
      <c r="D17" s="1379"/>
      <c r="E17" s="1370"/>
      <c r="F17" s="1371"/>
    </row>
    <row r="18" spans="1:6" s="254" customFormat="1" ht="39.6">
      <c r="A18" s="1372"/>
      <c r="B18" s="1368" t="s">
        <v>703</v>
      </c>
      <c r="C18" s="1378"/>
      <c r="D18" s="1379"/>
      <c r="E18" s="1370"/>
      <c r="F18" s="1371"/>
    </row>
    <row r="19" spans="1:6" s="254" customFormat="1" ht="39.6">
      <c r="A19" s="1372"/>
      <c r="B19" s="1368" t="s">
        <v>704</v>
      </c>
      <c r="C19" s="1378"/>
      <c r="D19" s="1379"/>
      <c r="E19" s="1370"/>
      <c r="F19" s="1371"/>
    </row>
    <row r="20" spans="1:6" s="254" customFormat="1">
      <c r="A20" s="1372"/>
      <c r="B20" s="1368" t="s">
        <v>705</v>
      </c>
      <c r="C20" s="1378" t="s">
        <v>29</v>
      </c>
      <c r="D20" s="1379">
        <v>3</v>
      </c>
      <c r="E20" s="1285">
        <f>'[1]ELEKTRO E.1'!E20</f>
        <v>500</v>
      </c>
      <c r="F20" s="1371">
        <f t="shared" ref="F20:F76" si="1">D20*E20</f>
        <v>1500</v>
      </c>
    </row>
    <row r="21" spans="1:6" s="254" customFormat="1" ht="92.4">
      <c r="A21" s="1372" t="s">
        <v>562</v>
      </c>
      <c r="B21" s="1377" t="s">
        <v>706</v>
      </c>
      <c r="C21" s="1378" t="s">
        <v>521</v>
      </c>
      <c r="D21" s="1379">
        <v>12</v>
      </c>
      <c r="E21" s="1285">
        <f>'[1]ELEKTRO E.1'!E21</f>
        <v>50</v>
      </c>
      <c r="F21" s="1371">
        <f t="shared" si="1"/>
        <v>600</v>
      </c>
    </row>
    <row r="22" spans="1:6" s="254" customFormat="1" ht="26.4">
      <c r="A22" s="1372" t="s">
        <v>565</v>
      </c>
      <c r="B22" s="1377" t="s">
        <v>707</v>
      </c>
      <c r="C22" s="1378"/>
      <c r="D22" s="1379"/>
      <c r="E22" s="1370"/>
      <c r="F22" s="1371"/>
    </row>
    <row r="23" spans="1:6" s="254" customFormat="1" ht="39.6">
      <c r="A23" s="1372"/>
      <c r="B23" s="1377" t="s">
        <v>708</v>
      </c>
      <c r="C23" s="1378"/>
      <c r="D23" s="1379"/>
      <c r="E23" s="1370"/>
      <c r="F23" s="1371"/>
    </row>
    <row r="24" spans="1:6" s="254" customFormat="1" ht="26.4">
      <c r="A24" s="1372"/>
      <c r="B24" s="1377" t="s">
        <v>709</v>
      </c>
      <c r="C24" s="1378"/>
      <c r="D24" s="1379"/>
      <c r="E24" s="1370"/>
      <c r="F24" s="1371"/>
    </row>
    <row r="25" spans="1:6" s="254" customFormat="1" ht="39.6">
      <c r="A25" s="1372"/>
      <c r="B25" s="1377" t="s">
        <v>710</v>
      </c>
      <c r="C25" s="1378"/>
      <c r="D25" s="1379"/>
      <c r="E25" s="1370"/>
      <c r="F25" s="1371"/>
    </row>
    <row r="26" spans="1:6" s="254" customFormat="1" ht="39.6">
      <c r="A26" s="1372"/>
      <c r="B26" s="1377" t="s">
        <v>704</v>
      </c>
      <c r="C26" s="1378"/>
      <c r="D26" s="1379"/>
      <c r="E26" s="1370"/>
      <c r="F26" s="1371"/>
    </row>
    <row r="27" spans="1:6" s="254" customFormat="1">
      <c r="A27" s="1372"/>
      <c r="B27" s="1377" t="s">
        <v>705</v>
      </c>
      <c r="C27" s="1378" t="s">
        <v>521</v>
      </c>
      <c r="D27" s="1379">
        <v>12</v>
      </c>
      <c r="E27" s="1285">
        <f>'[1]ELEKTRO E.1'!E27</f>
        <v>250</v>
      </c>
      <c r="F27" s="1371">
        <f t="shared" si="1"/>
        <v>3000</v>
      </c>
    </row>
    <row r="28" spans="1:6" s="254" customFormat="1" ht="26.4">
      <c r="A28" s="1380" t="s">
        <v>568</v>
      </c>
      <c r="B28" s="1377" t="s">
        <v>711</v>
      </c>
      <c r="C28" s="1378" t="s">
        <v>521</v>
      </c>
      <c r="D28" s="1379">
        <v>48</v>
      </c>
      <c r="E28" s="1285">
        <f>'[1]ELEKTRO E.1'!E28</f>
        <v>20</v>
      </c>
      <c r="F28" s="1371">
        <f t="shared" si="1"/>
        <v>960</v>
      </c>
    </row>
    <row r="29" spans="1:6" s="254" customFormat="1" ht="26.4">
      <c r="A29" s="1380" t="s">
        <v>570</v>
      </c>
      <c r="B29" s="1377" t="s">
        <v>712</v>
      </c>
      <c r="C29" s="1378"/>
      <c r="D29" s="1379"/>
      <c r="E29" s="1370"/>
      <c r="F29" s="1371"/>
    </row>
    <row r="30" spans="1:6" s="254" customFormat="1" ht="39.6">
      <c r="A30" s="1372"/>
      <c r="B30" s="1377" t="s">
        <v>2542</v>
      </c>
      <c r="C30" s="1378"/>
      <c r="D30" s="1379"/>
      <c r="E30" s="1370"/>
      <c r="F30" s="1371"/>
    </row>
    <row r="31" spans="1:6" s="254" customFormat="1" ht="26.4">
      <c r="A31" s="1372"/>
      <c r="B31" s="1377" t="s">
        <v>713</v>
      </c>
      <c r="C31" s="1378"/>
      <c r="D31" s="1379"/>
      <c r="E31" s="1370"/>
      <c r="F31" s="1371"/>
    </row>
    <row r="32" spans="1:6" s="254" customFormat="1" ht="26.4">
      <c r="A32" s="1372"/>
      <c r="B32" s="1377" t="s">
        <v>714</v>
      </c>
      <c r="C32" s="1378"/>
      <c r="D32" s="1379"/>
      <c r="E32" s="1370"/>
      <c r="F32" s="1371"/>
    </row>
    <row r="33" spans="1:6" s="254" customFormat="1" ht="26.4">
      <c r="A33" s="1372"/>
      <c r="B33" s="1377" t="s">
        <v>715</v>
      </c>
      <c r="C33" s="1378"/>
      <c r="D33" s="1379"/>
      <c r="E33" s="1370"/>
      <c r="F33" s="1371"/>
    </row>
    <row r="34" spans="1:6" s="254" customFormat="1">
      <c r="A34" s="1372"/>
      <c r="B34" s="1381" t="s">
        <v>716</v>
      </c>
      <c r="C34" s="1378" t="s">
        <v>29</v>
      </c>
      <c r="D34" s="1379">
        <v>1</v>
      </c>
      <c r="E34" s="1285">
        <f>'[1]ELEKTRO E.1'!E34</f>
        <v>50</v>
      </c>
      <c r="F34" s="1371">
        <f t="shared" si="1"/>
        <v>50</v>
      </c>
    </row>
    <row r="35" spans="1:6" s="254" customFormat="1" ht="79.2">
      <c r="A35" s="1380" t="s">
        <v>575</v>
      </c>
      <c r="B35" s="1377" t="s">
        <v>2543</v>
      </c>
      <c r="C35" s="1378" t="s">
        <v>29</v>
      </c>
      <c r="D35" s="1379">
        <v>1</v>
      </c>
      <c r="E35" s="1285">
        <f>'[1]ELEKTRO E.1'!E35</f>
        <v>1200</v>
      </c>
      <c r="F35" s="1371">
        <f t="shared" si="1"/>
        <v>1200</v>
      </c>
    </row>
    <row r="36" spans="1:6" s="254" customFormat="1" ht="26.4">
      <c r="A36" s="1380" t="s">
        <v>578</v>
      </c>
      <c r="B36" s="1377" t="s">
        <v>712</v>
      </c>
      <c r="C36" s="1378"/>
      <c r="D36" s="1379"/>
      <c r="E36" s="1370"/>
      <c r="F36" s="1371"/>
    </row>
    <row r="37" spans="1:6" s="254" customFormat="1" ht="39.6">
      <c r="A37" s="1372"/>
      <c r="B37" s="1377" t="s">
        <v>717</v>
      </c>
      <c r="C37" s="1378"/>
      <c r="D37" s="1379"/>
      <c r="E37" s="1370"/>
      <c r="F37" s="1371"/>
    </row>
    <row r="38" spans="1:6" s="254" customFormat="1" ht="26.4">
      <c r="A38" s="1372"/>
      <c r="B38" s="1377" t="s">
        <v>713</v>
      </c>
      <c r="C38" s="1378"/>
      <c r="D38" s="1379"/>
      <c r="E38" s="1370"/>
      <c r="F38" s="1371"/>
    </row>
    <row r="39" spans="1:6" s="254" customFormat="1" ht="26.4">
      <c r="A39" s="1372"/>
      <c r="B39" s="1377" t="s">
        <v>714</v>
      </c>
      <c r="C39" s="1378"/>
      <c r="D39" s="1379"/>
      <c r="E39" s="1370"/>
      <c r="F39" s="1371"/>
    </row>
    <row r="40" spans="1:6" s="254" customFormat="1" ht="26.4">
      <c r="A40" s="1372"/>
      <c r="B40" s="1377" t="s">
        <v>715</v>
      </c>
      <c r="C40" s="1378"/>
      <c r="D40" s="1379"/>
      <c r="E40" s="1370"/>
      <c r="F40" s="1371"/>
    </row>
    <row r="41" spans="1:6" s="254" customFormat="1">
      <c r="A41" s="1372"/>
      <c r="B41" s="1381" t="s">
        <v>716</v>
      </c>
      <c r="C41" s="1378" t="s">
        <v>29</v>
      </c>
      <c r="D41" s="1379">
        <v>1</v>
      </c>
      <c r="E41" s="1285">
        <f>'[1]ELEKTRO E.1'!E41</f>
        <v>100</v>
      </c>
      <c r="F41" s="1371">
        <f t="shared" si="1"/>
        <v>100</v>
      </c>
    </row>
    <row r="42" spans="1:6" s="254" customFormat="1" ht="79.2">
      <c r="A42" s="1380" t="s">
        <v>581</v>
      </c>
      <c r="B42" s="1377" t="s">
        <v>2544</v>
      </c>
      <c r="C42" s="1378" t="s">
        <v>29</v>
      </c>
      <c r="D42" s="1379">
        <v>3</v>
      </c>
      <c r="E42" s="1285">
        <f>'[1]ELEKTRO E.1'!E42</f>
        <v>800</v>
      </c>
      <c r="F42" s="1371">
        <f t="shared" si="1"/>
        <v>2400</v>
      </c>
    </row>
    <row r="43" spans="1:6" s="254" customFormat="1" ht="26.4">
      <c r="A43" s="1380" t="s">
        <v>584</v>
      </c>
      <c r="B43" s="1377" t="s">
        <v>712</v>
      </c>
      <c r="C43" s="1378"/>
      <c r="D43" s="1379"/>
      <c r="E43" s="1370"/>
      <c r="F43" s="1371"/>
    </row>
    <row r="44" spans="1:6" s="254" customFormat="1" ht="39.6">
      <c r="A44" s="1372"/>
      <c r="B44" s="1377" t="s">
        <v>718</v>
      </c>
      <c r="C44" s="1378"/>
      <c r="D44" s="1379"/>
      <c r="E44" s="1370"/>
      <c r="F44" s="1371"/>
    </row>
    <row r="45" spans="1:6" s="254" customFormat="1" ht="26.4">
      <c r="A45" s="1372"/>
      <c r="B45" s="1377" t="s">
        <v>719</v>
      </c>
      <c r="C45" s="1378"/>
      <c r="D45" s="1379"/>
      <c r="E45" s="1370"/>
      <c r="F45" s="1371"/>
    </row>
    <row r="46" spans="1:6" s="254" customFormat="1" ht="26.4">
      <c r="A46" s="1372"/>
      <c r="B46" s="1377" t="s">
        <v>714</v>
      </c>
      <c r="C46" s="1378"/>
      <c r="D46" s="1379"/>
      <c r="E46" s="1370"/>
      <c r="F46" s="1371"/>
    </row>
    <row r="47" spans="1:6" s="254" customFormat="1" ht="26.4">
      <c r="A47" s="1372"/>
      <c r="B47" s="1377" t="s">
        <v>715</v>
      </c>
      <c r="C47" s="1378"/>
      <c r="D47" s="1379"/>
      <c r="E47" s="1370"/>
      <c r="F47" s="1371"/>
    </row>
    <row r="48" spans="1:6" s="254" customFormat="1">
      <c r="A48" s="1372"/>
      <c r="B48" s="1381" t="s">
        <v>716</v>
      </c>
      <c r="C48" s="1378" t="s">
        <v>29</v>
      </c>
      <c r="D48" s="1379">
        <v>3</v>
      </c>
      <c r="E48" s="1285">
        <f>'[1]ELEKTRO E.1'!E48</f>
        <v>100</v>
      </c>
      <c r="F48" s="1371">
        <f t="shared" si="1"/>
        <v>300</v>
      </c>
    </row>
    <row r="49" spans="1:6" s="254" customFormat="1" ht="79.2">
      <c r="A49" s="1380" t="s">
        <v>587</v>
      </c>
      <c r="B49" s="1377" t="s">
        <v>2545</v>
      </c>
      <c r="C49" s="1378" t="s">
        <v>29</v>
      </c>
      <c r="D49" s="1379">
        <v>1</v>
      </c>
      <c r="E49" s="1285">
        <f>'[1]ELEKTRO E.1'!E49</f>
        <v>1500</v>
      </c>
      <c r="F49" s="1371">
        <f t="shared" si="1"/>
        <v>1500</v>
      </c>
    </row>
    <row r="50" spans="1:6" s="254" customFormat="1" ht="26.4">
      <c r="A50" s="1380" t="s">
        <v>720</v>
      </c>
      <c r="B50" s="1377" t="s">
        <v>712</v>
      </c>
      <c r="C50" s="1378"/>
      <c r="D50" s="1379"/>
      <c r="E50" s="1370"/>
      <c r="F50" s="1371"/>
    </row>
    <row r="51" spans="1:6" s="254" customFormat="1" ht="39.6">
      <c r="A51" s="1372"/>
      <c r="B51" s="1377" t="s">
        <v>721</v>
      </c>
      <c r="C51" s="1378"/>
      <c r="D51" s="1379"/>
      <c r="E51" s="1370"/>
      <c r="F51" s="1371"/>
    </row>
    <row r="52" spans="1:6" s="254" customFormat="1" ht="26.4">
      <c r="A52" s="1372"/>
      <c r="B52" s="1377" t="s">
        <v>713</v>
      </c>
      <c r="C52" s="1378"/>
      <c r="D52" s="1379"/>
      <c r="E52" s="1370"/>
      <c r="F52" s="1371"/>
    </row>
    <row r="53" spans="1:6" s="254" customFormat="1" ht="26.4">
      <c r="A53" s="1372"/>
      <c r="B53" s="1377" t="s">
        <v>714</v>
      </c>
      <c r="C53" s="1378"/>
      <c r="D53" s="1379"/>
      <c r="E53" s="1370"/>
      <c r="F53" s="1371"/>
    </row>
    <row r="54" spans="1:6" s="254" customFormat="1" ht="26.4">
      <c r="A54" s="1372"/>
      <c r="B54" s="1377" t="s">
        <v>715</v>
      </c>
      <c r="C54" s="1378"/>
      <c r="D54" s="1379"/>
      <c r="E54" s="1370"/>
      <c r="F54" s="1371"/>
    </row>
    <row r="55" spans="1:6" s="254" customFormat="1">
      <c r="A55" s="1372"/>
      <c r="B55" s="1381" t="s">
        <v>716</v>
      </c>
      <c r="C55" s="1378" t="s">
        <v>29</v>
      </c>
      <c r="D55" s="1379">
        <v>1</v>
      </c>
      <c r="E55" s="1285">
        <f>'[1]ELEKTRO E.1'!E55</f>
        <v>100</v>
      </c>
      <c r="F55" s="1371">
        <f t="shared" si="1"/>
        <v>100</v>
      </c>
    </row>
    <row r="56" spans="1:6" s="254" customFormat="1" ht="79.2">
      <c r="A56" s="1380" t="s">
        <v>722</v>
      </c>
      <c r="B56" s="1377" t="s">
        <v>2546</v>
      </c>
      <c r="C56" s="1378" t="s">
        <v>29</v>
      </c>
      <c r="D56" s="1379">
        <v>1</v>
      </c>
      <c r="E56" s="1285">
        <f>'[1]ELEKTRO E.1'!E56</f>
        <v>1500</v>
      </c>
      <c r="F56" s="1371">
        <f t="shared" si="1"/>
        <v>1500</v>
      </c>
    </row>
    <row r="57" spans="1:6" s="254" customFormat="1" ht="26.4">
      <c r="A57" s="1380" t="s">
        <v>723</v>
      </c>
      <c r="B57" s="1377" t="s">
        <v>712</v>
      </c>
      <c r="C57" s="1378"/>
      <c r="D57" s="1379"/>
      <c r="E57" s="1370"/>
      <c r="F57" s="1371"/>
    </row>
    <row r="58" spans="1:6" s="254" customFormat="1" ht="39.6">
      <c r="A58" s="1372"/>
      <c r="B58" s="1377" t="s">
        <v>724</v>
      </c>
      <c r="C58" s="1378"/>
      <c r="D58" s="1379"/>
      <c r="E58" s="1370"/>
      <c r="F58" s="1371"/>
    </row>
    <row r="59" spans="1:6" s="254" customFormat="1" ht="26.4">
      <c r="A59" s="1372"/>
      <c r="B59" s="1377" t="s">
        <v>725</v>
      </c>
      <c r="C59" s="1378"/>
      <c r="D59" s="1379"/>
      <c r="E59" s="1370"/>
      <c r="F59" s="1371"/>
    </row>
    <row r="60" spans="1:6" s="254" customFormat="1" ht="26.4">
      <c r="A60" s="1372"/>
      <c r="B60" s="1377" t="s">
        <v>714</v>
      </c>
      <c r="C60" s="1378"/>
      <c r="D60" s="1379"/>
      <c r="E60" s="1370"/>
      <c r="F60" s="1371"/>
    </row>
    <row r="61" spans="1:6" s="254" customFormat="1" ht="26.4">
      <c r="A61" s="1372"/>
      <c r="B61" s="1377" t="s">
        <v>715</v>
      </c>
      <c r="C61" s="1378"/>
      <c r="D61" s="1379"/>
      <c r="E61" s="1370"/>
      <c r="F61" s="1371"/>
    </row>
    <row r="62" spans="1:6" s="254" customFormat="1">
      <c r="A62" s="1372"/>
      <c r="B62" s="1381" t="s">
        <v>716</v>
      </c>
      <c r="C62" s="1378" t="s">
        <v>29</v>
      </c>
      <c r="D62" s="1379">
        <v>1</v>
      </c>
      <c r="E62" s="1285">
        <f>'[1]ELEKTRO E.1'!E62</f>
        <v>100</v>
      </c>
      <c r="F62" s="1371">
        <f t="shared" si="1"/>
        <v>100</v>
      </c>
    </row>
    <row r="63" spans="1:6" s="254" customFormat="1" ht="26.4">
      <c r="A63" s="1380" t="s">
        <v>726</v>
      </c>
      <c r="B63" s="1377" t="s">
        <v>727</v>
      </c>
      <c r="C63" s="1378" t="s">
        <v>728</v>
      </c>
      <c r="D63" s="1379">
        <v>2.5</v>
      </c>
      <c r="E63" s="1285">
        <f>'[1]ELEKTRO E.1'!E63</f>
        <v>40</v>
      </c>
      <c r="F63" s="1371">
        <f t="shared" si="1"/>
        <v>100</v>
      </c>
    </row>
    <row r="64" spans="1:6" s="254" customFormat="1" ht="105.6">
      <c r="A64" s="1380" t="s">
        <v>729</v>
      </c>
      <c r="B64" s="1377" t="s">
        <v>730</v>
      </c>
      <c r="C64" s="1378"/>
      <c r="D64" s="1379"/>
      <c r="E64" s="1370"/>
      <c r="F64" s="1371"/>
    </row>
    <row r="65" spans="1:6" s="254" customFormat="1">
      <c r="A65" s="1372"/>
      <c r="B65" s="1377" t="s">
        <v>731</v>
      </c>
      <c r="C65" s="1378" t="s">
        <v>692</v>
      </c>
      <c r="D65" s="1379">
        <v>60</v>
      </c>
      <c r="E65" s="1285">
        <f>'[1]ELEKTRO E.1'!E65</f>
        <v>14</v>
      </c>
      <c r="F65" s="1371">
        <f t="shared" si="1"/>
        <v>840</v>
      </c>
    </row>
    <row r="66" spans="1:6" s="254" customFormat="1">
      <c r="A66" s="1372"/>
      <c r="B66" s="1377" t="s">
        <v>732</v>
      </c>
      <c r="C66" s="1378" t="s">
        <v>692</v>
      </c>
      <c r="D66" s="1379">
        <v>50</v>
      </c>
      <c r="E66" s="1285">
        <f>'[1]ELEKTRO E.1'!E66</f>
        <v>13</v>
      </c>
      <c r="F66" s="1371">
        <f t="shared" si="1"/>
        <v>650</v>
      </c>
    </row>
    <row r="67" spans="1:6" s="254" customFormat="1">
      <c r="A67" s="1372"/>
      <c r="B67" s="1377" t="s">
        <v>733</v>
      </c>
      <c r="C67" s="1378" t="s">
        <v>692</v>
      </c>
      <c r="D67" s="1379">
        <v>80</v>
      </c>
      <c r="E67" s="1285">
        <f>'[1]ELEKTRO E.1'!E67</f>
        <v>12</v>
      </c>
      <c r="F67" s="1371">
        <f t="shared" si="1"/>
        <v>960</v>
      </c>
    </row>
    <row r="68" spans="1:6" s="254" customFormat="1">
      <c r="A68" s="1372"/>
      <c r="B68" s="1377" t="s">
        <v>734</v>
      </c>
      <c r="C68" s="1378" t="s">
        <v>692</v>
      </c>
      <c r="D68" s="1379">
        <v>350</v>
      </c>
      <c r="E68" s="1285">
        <f>'[1]ELEKTRO E.1'!E68</f>
        <v>5</v>
      </c>
      <c r="F68" s="1371">
        <f t="shared" si="1"/>
        <v>1750</v>
      </c>
    </row>
    <row r="69" spans="1:6" s="254" customFormat="1" ht="118.8">
      <c r="A69" s="1380" t="s">
        <v>735</v>
      </c>
      <c r="B69" s="1377" t="s">
        <v>736</v>
      </c>
      <c r="C69" s="1378" t="s">
        <v>692</v>
      </c>
      <c r="D69" s="1379">
        <v>12</v>
      </c>
      <c r="E69" s="1285">
        <f>'[1]ELEKTRO E.1'!E69</f>
        <v>30</v>
      </c>
      <c r="F69" s="1371">
        <f t="shared" si="1"/>
        <v>360</v>
      </c>
    </row>
    <row r="70" spans="1:6" s="254" customFormat="1" ht="26.4">
      <c r="A70" s="1380" t="s">
        <v>737</v>
      </c>
      <c r="B70" s="1377" t="s">
        <v>738</v>
      </c>
      <c r="C70" s="1378"/>
      <c r="D70" s="1379"/>
      <c r="E70" s="1370"/>
      <c r="F70" s="1371"/>
    </row>
    <row r="71" spans="1:6" s="254" customFormat="1">
      <c r="A71" s="1380"/>
      <c r="B71" s="1377" t="s">
        <v>2547</v>
      </c>
      <c r="C71" s="1378" t="s">
        <v>692</v>
      </c>
      <c r="D71" s="1379">
        <v>75</v>
      </c>
      <c r="E71" s="1285">
        <f>'[1]ELEKTRO E.1'!E71</f>
        <v>11</v>
      </c>
      <c r="F71" s="1371">
        <f t="shared" si="1"/>
        <v>825</v>
      </c>
    </row>
    <row r="72" spans="1:6" s="254" customFormat="1" ht="39.6">
      <c r="A72" s="1380" t="s">
        <v>739</v>
      </c>
      <c r="B72" s="1377" t="s">
        <v>740</v>
      </c>
      <c r="C72" s="1378"/>
      <c r="D72" s="1379"/>
      <c r="E72" s="1370"/>
      <c r="F72" s="1371"/>
    </row>
    <row r="73" spans="1:6" s="254" customFormat="1" ht="26.4">
      <c r="A73" s="1380" t="s">
        <v>741</v>
      </c>
      <c r="B73" s="1377" t="s">
        <v>742</v>
      </c>
      <c r="C73" s="1378" t="s">
        <v>29</v>
      </c>
      <c r="D73" s="1379">
        <v>2</v>
      </c>
      <c r="E73" s="1285">
        <f>'[1]ELEKTRO E.1'!E73</f>
        <v>155</v>
      </c>
      <c r="F73" s="1371">
        <f t="shared" si="1"/>
        <v>310</v>
      </c>
    </row>
    <row r="74" spans="1:6" s="254" customFormat="1" ht="26.4">
      <c r="A74" s="1380" t="s">
        <v>743</v>
      </c>
      <c r="B74" s="1377" t="s">
        <v>2555</v>
      </c>
      <c r="C74" s="1378" t="s">
        <v>29</v>
      </c>
      <c r="D74" s="1379">
        <v>2</v>
      </c>
      <c r="E74" s="1285">
        <f>'[1]ELEKTRO E.1'!E74</f>
        <v>170</v>
      </c>
      <c r="F74" s="1371">
        <f t="shared" si="1"/>
        <v>340</v>
      </c>
    </row>
    <row r="75" spans="1:6" s="254" customFormat="1">
      <c r="A75" s="1380" t="s">
        <v>744</v>
      </c>
      <c r="B75" s="1377" t="s">
        <v>745</v>
      </c>
      <c r="C75" s="1378" t="s">
        <v>746</v>
      </c>
      <c r="D75" s="1379">
        <v>20</v>
      </c>
      <c r="E75" s="1285">
        <f>'[1]ELEKTRO E.1'!E75</f>
        <v>25</v>
      </c>
      <c r="F75" s="1371">
        <f t="shared" si="1"/>
        <v>500</v>
      </c>
    </row>
    <row r="76" spans="1:6" s="254" customFormat="1">
      <c r="A76" s="1380" t="s">
        <v>747</v>
      </c>
      <c r="B76" s="1377" t="s">
        <v>748</v>
      </c>
      <c r="C76" s="1378" t="s">
        <v>746</v>
      </c>
      <c r="D76" s="1379">
        <v>20</v>
      </c>
      <c r="E76" s="1285">
        <f>'[1]ELEKTRO E.1'!E76</f>
        <v>25</v>
      </c>
      <c r="F76" s="1371">
        <f t="shared" si="1"/>
        <v>500</v>
      </c>
    </row>
    <row r="77" spans="1:6" s="254" customFormat="1">
      <c r="A77" s="1380" t="s">
        <v>749</v>
      </c>
      <c r="B77" s="1377" t="s">
        <v>750</v>
      </c>
      <c r="C77" s="1378" t="s">
        <v>521</v>
      </c>
      <c r="D77" s="1379">
        <v>1</v>
      </c>
      <c r="E77" s="1285">
        <f>'[1]ELEKTRO E.1'!E77</f>
        <v>400</v>
      </c>
      <c r="F77" s="1371">
        <f t="shared" ref="F77:F134" si="2">D77*E77</f>
        <v>400</v>
      </c>
    </row>
    <row r="78" spans="1:6" s="254" customFormat="1" ht="39.6">
      <c r="A78" s="1380" t="s">
        <v>751</v>
      </c>
      <c r="B78" s="1377" t="s">
        <v>752</v>
      </c>
      <c r="C78" s="1378" t="s">
        <v>692</v>
      </c>
      <c r="D78" s="1379">
        <v>220</v>
      </c>
      <c r="E78" s="1285">
        <f>'[1]ELEKTRO E.1'!E78</f>
        <v>2.5</v>
      </c>
      <c r="F78" s="1371">
        <f t="shared" si="2"/>
        <v>550</v>
      </c>
    </row>
    <row r="79" spans="1:6" ht="26.4">
      <c r="A79" s="1380" t="s">
        <v>753</v>
      </c>
      <c r="B79" s="1377" t="s">
        <v>754</v>
      </c>
      <c r="C79" s="1378" t="s">
        <v>692</v>
      </c>
      <c r="D79" s="1379">
        <v>220</v>
      </c>
      <c r="E79" s="1286">
        <f>'[1]ELEKTRO E.1'!E79</f>
        <v>2</v>
      </c>
      <c r="F79" s="1371">
        <f t="shared" si="2"/>
        <v>440</v>
      </c>
    </row>
    <row r="80" spans="1:6" s="254" customFormat="1" ht="39.6">
      <c r="A80" s="1380" t="s">
        <v>755</v>
      </c>
      <c r="B80" s="1377" t="s">
        <v>756</v>
      </c>
      <c r="C80" s="1378" t="s">
        <v>692</v>
      </c>
      <c r="D80" s="1379">
        <v>80</v>
      </c>
      <c r="E80" s="1285">
        <f>'[1]ELEKTRO E.1'!E80</f>
        <v>2.5499999999999998</v>
      </c>
      <c r="F80" s="1371">
        <f t="shared" si="2"/>
        <v>204</v>
      </c>
    </row>
    <row r="81" spans="1:6" s="254" customFormat="1" ht="52.8">
      <c r="A81" s="1380" t="s">
        <v>757</v>
      </c>
      <c r="B81" s="1377" t="s">
        <v>758</v>
      </c>
      <c r="C81" s="1378" t="s">
        <v>694</v>
      </c>
      <c r="D81" s="1379">
        <v>46</v>
      </c>
      <c r="E81" s="1285">
        <f>'[1]ELEKTRO E.1'!E81</f>
        <v>20</v>
      </c>
      <c r="F81" s="1371">
        <f t="shared" si="2"/>
        <v>920</v>
      </c>
    </row>
    <row r="82" spans="1:6" s="254" customFormat="1" ht="66">
      <c r="A82" s="1380" t="s">
        <v>759</v>
      </c>
      <c r="B82" s="1377" t="s">
        <v>760</v>
      </c>
      <c r="C82" s="1378" t="s">
        <v>694</v>
      </c>
      <c r="D82" s="1379">
        <v>34</v>
      </c>
      <c r="E82" s="1285">
        <f>'[1]ELEKTRO E.1'!E82</f>
        <v>15</v>
      </c>
      <c r="F82" s="1371">
        <f t="shared" si="2"/>
        <v>510</v>
      </c>
    </row>
    <row r="83" spans="1:6" s="254" customFormat="1" ht="26.4">
      <c r="A83" s="1380" t="s">
        <v>761</v>
      </c>
      <c r="B83" s="1377" t="s">
        <v>762</v>
      </c>
      <c r="C83" s="1378"/>
      <c r="D83" s="1379"/>
      <c r="E83" s="1370"/>
      <c r="F83" s="1371"/>
    </row>
    <row r="84" spans="1:6" s="254" customFormat="1">
      <c r="A84" s="1372" t="s">
        <v>763</v>
      </c>
      <c r="B84" s="1377" t="s">
        <v>764</v>
      </c>
      <c r="C84" s="1378" t="s">
        <v>728</v>
      </c>
      <c r="D84" s="1379">
        <v>5</v>
      </c>
      <c r="E84" s="1285">
        <f>'[1]ELEKTRO E.1'!E84</f>
        <v>200</v>
      </c>
      <c r="F84" s="1371">
        <f t="shared" si="2"/>
        <v>1000</v>
      </c>
    </row>
    <row r="85" spans="1:6" s="254" customFormat="1">
      <c r="A85" s="1372" t="s">
        <v>765</v>
      </c>
      <c r="B85" s="1377" t="s">
        <v>766</v>
      </c>
      <c r="C85" s="1378" t="s">
        <v>29</v>
      </c>
      <c r="D85" s="1379">
        <v>7.5</v>
      </c>
      <c r="E85" s="1285">
        <f>'[1]ELEKTRO E.1'!E85</f>
        <v>2</v>
      </c>
      <c r="F85" s="1371">
        <f t="shared" si="2"/>
        <v>15</v>
      </c>
    </row>
    <row r="86" spans="1:6" s="254" customFormat="1" ht="26.4">
      <c r="A86" s="1372" t="s">
        <v>767</v>
      </c>
      <c r="B86" s="1377" t="s">
        <v>768</v>
      </c>
      <c r="C86" s="1378"/>
      <c r="D86" s="1379"/>
      <c r="E86" s="1370"/>
      <c r="F86" s="1371">
        <f t="shared" si="2"/>
        <v>0</v>
      </c>
    </row>
    <row r="87" spans="1:6" s="254" customFormat="1">
      <c r="A87" s="1372" t="s">
        <v>769</v>
      </c>
      <c r="B87" s="1377" t="s">
        <v>770</v>
      </c>
      <c r="C87" s="1378" t="s">
        <v>29</v>
      </c>
      <c r="D87" s="1379">
        <v>20</v>
      </c>
      <c r="E87" s="1285">
        <f>'[1]ELEKTRO E.1'!E87</f>
        <v>5</v>
      </c>
      <c r="F87" s="1371">
        <f t="shared" si="2"/>
        <v>100</v>
      </c>
    </row>
    <row r="88" spans="1:6" s="254" customFormat="1">
      <c r="A88" s="1372" t="s">
        <v>771</v>
      </c>
      <c r="B88" s="1377" t="s">
        <v>772</v>
      </c>
      <c r="C88" s="1378" t="s">
        <v>29</v>
      </c>
      <c r="D88" s="1379">
        <v>20</v>
      </c>
      <c r="E88" s="1285">
        <f>'[1]ELEKTRO E.1'!E88</f>
        <v>10</v>
      </c>
      <c r="F88" s="1371">
        <f t="shared" si="2"/>
        <v>200</v>
      </c>
    </row>
    <row r="89" spans="1:6" s="254" customFormat="1">
      <c r="A89" s="1372" t="s">
        <v>773</v>
      </c>
      <c r="B89" s="1377" t="s">
        <v>774</v>
      </c>
      <c r="C89" s="1378" t="s">
        <v>29</v>
      </c>
      <c r="D89" s="1379">
        <v>10</v>
      </c>
      <c r="E89" s="1285">
        <f>'[1]ELEKTRO E.1'!E89</f>
        <v>15</v>
      </c>
      <c r="F89" s="1371">
        <f t="shared" si="2"/>
        <v>150</v>
      </c>
    </row>
    <row r="90" spans="1:6" ht="66">
      <c r="A90" s="1372" t="s">
        <v>775</v>
      </c>
      <c r="B90" s="1377" t="s">
        <v>776</v>
      </c>
      <c r="C90" s="1378" t="s">
        <v>692</v>
      </c>
      <c r="D90" s="1379">
        <v>150</v>
      </c>
      <c r="E90" s="1286">
        <f>'[1]ELEKTRO E.1'!E90</f>
        <v>11</v>
      </c>
      <c r="F90" s="1371">
        <f t="shared" si="2"/>
        <v>1650</v>
      </c>
    </row>
    <row r="91" spans="1:6" ht="39.6">
      <c r="A91" s="1372" t="s">
        <v>777</v>
      </c>
      <c r="B91" s="1377" t="s">
        <v>778</v>
      </c>
      <c r="C91" s="1378" t="s">
        <v>29</v>
      </c>
      <c r="D91" s="1379">
        <v>15</v>
      </c>
      <c r="E91" s="1286">
        <f>'[1]ELEKTRO E.1'!E91</f>
        <v>25</v>
      </c>
      <c r="F91" s="1371">
        <f t="shared" si="2"/>
        <v>375</v>
      </c>
    </row>
    <row r="92" spans="1:6" ht="39.6">
      <c r="A92" s="1372" t="s">
        <v>779</v>
      </c>
      <c r="B92" s="1377" t="s">
        <v>780</v>
      </c>
      <c r="C92" s="1378" t="s">
        <v>29</v>
      </c>
      <c r="D92" s="1379">
        <v>50</v>
      </c>
      <c r="E92" s="1286">
        <f>'[1]ELEKTRO E.1'!E92</f>
        <v>19</v>
      </c>
      <c r="F92" s="1371">
        <f t="shared" si="2"/>
        <v>950</v>
      </c>
    </row>
    <row r="93" spans="1:6" ht="52.8">
      <c r="A93" s="1372" t="s">
        <v>781</v>
      </c>
      <c r="B93" s="1377" t="s">
        <v>782</v>
      </c>
      <c r="C93" s="1378" t="s">
        <v>29</v>
      </c>
      <c r="D93" s="1379">
        <v>20</v>
      </c>
      <c r="E93" s="1286">
        <f>'[1]ELEKTRO E.1'!E93</f>
        <v>25</v>
      </c>
      <c r="F93" s="1371">
        <f t="shared" si="2"/>
        <v>500</v>
      </c>
    </row>
    <row r="94" spans="1:6" ht="39.6">
      <c r="A94" s="1372" t="s">
        <v>783</v>
      </c>
      <c r="B94" s="1377" t="s">
        <v>784</v>
      </c>
      <c r="C94" s="1378" t="s">
        <v>692</v>
      </c>
      <c r="D94" s="1379">
        <v>40</v>
      </c>
      <c r="E94" s="1286">
        <f>'[1]ELEKTRO E.1'!E94</f>
        <v>11</v>
      </c>
      <c r="F94" s="1371">
        <f t="shared" si="2"/>
        <v>440</v>
      </c>
    </row>
    <row r="95" spans="1:6" ht="26.4">
      <c r="A95" s="1372" t="s">
        <v>785</v>
      </c>
      <c r="B95" s="1377" t="s">
        <v>786</v>
      </c>
      <c r="C95" s="1378" t="s">
        <v>29</v>
      </c>
      <c r="D95" s="1379">
        <v>10</v>
      </c>
      <c r="E95" s="1286">
        <f>'[1]ELEKTRO E.1'!E95</f>
        <v>15</v>
      </c>
      <c r="F95" s="1371">
        <f t="shared" si="2"/>
        <v>150</v>
      </c>
    </row>
    <row r="96" spans="1:6" ht="39.6">
      <c r="A96" s="1372" t="s">
        <v>787</v>
      </c>
      <c r="B96" s="1377" t="s">
        <v>788</v>
      </c>
      <c r="C96" s="1378" t="s">
        <v>29</v>
      </c>
      <c r="D96" s="1379">
        <v>20</v>
      </c>
      <c r="E96" s="1286">
        <f>'[1]ELEKTRO E.1'!E96</f>
        <v>15</v>
      </c>
      <c r="F96" s="1371">
        <f t="shared" si="2"/>
        <v>300</v>
      </c>
    </row>
    <row r="97" spans="1:6" ht="26.4">
      <c r="A97" s="1372" t="s">
        <v>789</v>
      </c>
      <c r="B97" s="1377" t="s">
        <v>790</v>
      </c>
      <c r="C97" s="1378" t="s">
        <v>29</v>
      </c>
      <c r="D97" s="1379">
        <v>10</v>
      </c>
      <c r="E97" s="1286">
        <f>'[1]ELEKTRO E.1'!E97</f>
        <v>32</v>
      </c>
      <c r="F97" s="1371">
        <f t="shared" si="2"/>
        <v>320</v>
      </c>
    </row>
    <row r="98" spans="1:6">
      <c r="A98" s="1372" t="s">
        <v>791</v>
      </c>
      <c r="B98" s="1377" t="s">
        <v>792</v>
      </c>
      <c r="C98" s="1378" t="s">
        <v>29</v>
      </c>
      <c r="D98" s="1379">
        <v>10</v>
      </c>
      <c r="E98" s="1286">
        <f>'[1]ELEKTRO E.1'!E98</f>
        <v>33</v>
      </c>
      <c r="F98" s="1371">
        <f t="shared" si="2"/>
        <v>330</v>
      </c>
    </row>
    <row r="99" spans="1:6">
      <c r="A99" s="1372" t="s">
        <v>793</v>
      </c>
      <c r="B99" s="1377" t="s">
        <v>794</v>
      </c>
      <c r="C99" s="1378" t="s">
        <v>29</v>
      </c>
      <c r="D99" s="1379">
        <v>10</v>
      </c>
      <c r="E99" s="1286">
        <f>'[1]ELEKTRO E.1'!E99</f>
        <v>35</v>
      </c>
      <c r="F99" s="1371">
        <f t="shared" si="2"/>
        <v>350</v>
      </c>
    </row>
    <row r="100" spans="1:6" ht="39.6">
      <c r="A100" s="1372" t="s">
        <v>795</v>
      </c>
      <c r="B100" s="1377" t="s">
        <v>796</v>
      </c>
      <c r="C100" s="1378" t="s">
        <v>521</v>
      </c>
      <c r="D100" s="1379">
        <v>5</v>
      </c>
      <c r="E100" s="1286">
        <f>'[1]ELEKTRO E.1'!E100</f>
        <v>55</v>
      </c>
      <c r="F100" s="1371">
        <f t="shared" si="2"/>
        <v>275</v>
      </c>
    </row>
    <row r="101" spans="1:6" ht="26.4">
      <c r="A101" s="1372" t="s">
        <v>797</v>
      </c>
      <c r="B101" s="1377" t="s">
        <v>798</v>
      </c>
      <c r="C101" s="1378" t="s">
        <v>521</v>
      </c>
      <c r="D101" s="1379">
        <v>6</v>
      </c>
      <c r="E101" s="1286">
        <f>'[1]ELEKTRO E.1'!E101</f>
        <v>125</v>
      </c>
      <c r="F101" s="1371">
        <f t="shared" si="2"/>
        <v>750</v>
      </c>
    </row>
    <row r="102" spans="1:6" ht="26.4">
      <c r="A102" s="1372" t="s">
        <v>799</v>
      </c>
      <c r="B102" s="1377" t="s">
        <v>800</v>
      </c>
      <c r="C102" s="1378"/>
      <c r="D102" s="1379"/>
      <c r="E102" s="1382"/>
      <c r="F102" s="1371"/>
    </row>
    <row r="103" spans="1:6">
      <c r="A103" s="1372" t="s">
        <v>801</v>
      </c>
      <c r="B103" s="1377" t="s">
        <v>802</v>
      </c>
      <c r="C103" s="1378"/>
      <c r="D103" s="1379"/>
      <c r="E103" s="1382"/>
      <c r="F103" s="1371"/>
    </row>
    <row r="104" spans="1:6">
      <c r="A104" s="1372" t="s">
        <v>803</v>
      </c>
      <c r="B104" s="1377" t="s">
        <v>804</v>
      </c>
      <c r="C104" s="1378"/>
      <c r="D104" s="1379"/>
      <c r="E104" s="1382"/>
      <c r="F104" s="1371"/>
    </row>
    <row r="105" spans="1:6">
      <c r="A105" s="1372" t="s">
        <v>803</v>
      </c>
      <c r="B105" s="1377" t="s">
        <v>805</v>
      </c>
      <c r="C105" s="1378"/>
      <c r="D105" s="1379"/>
      <c r="E105" s="1382"/>
      <c r="F105" s="1371"/>
    </row>
    <row r="106" spans="1:6">
      <c r="A106" s="1372"/>
      <c r="B106" s="1383" t="s">
        <v>806</v>
      </c>
      <c r="C106" s="1378" t="s">
        <v>521</v>
      </c>
      <c r="D106" s="1379">
        <v>2</v>
      </c>
      <c r="E106" s="1286">
        <f>'[1]ELEKTRO E.1'!E106</f>
        <v>210</v>
      </c>
      <c r="F106" s="1371">
        <f t="shared" si="2"/>
        <v>420</v>
      </c>
    </row>
    <row r="107" spans="1:6" ht="52.8">
      <c r="A107" s="1372" t="s">
        <v>807</v>
      </c>
      <c r="B107" s="1377" t="s">
        <v>808</v>
      </c>
      <c r="C107" s="1378"/>
      <c r="D107" s="1379"/>
      <c r="E107" s="1382"/>
      <c r="F107" s="1371"/>
    </row>
    <row r="108" spans="1:6">
      <c r="A108" s="1372" t="s">
        <v>809</v>
      </c>
      <c r="B108" s="1377" t="s">
        <v>810</v>
      </c>
      <c r="C108" s="1378" t="s">
        <v>692</v>
      </c>
      <c r="D108" s="1379">
        <v>20</v>
      </c>
      <c r="E108" s="1286">
        <f>'[1]ELEKTRO E.1'!E108</f>
        <v>4.28</v>
      </c>
      <c r="F108" s="1371">
        <f t="shared" si="2"/>
        <v>85.600000000000009</v>
      </c>
    </row>
    <row r="109" spans="1:6">
      <c r="A109" s="1372" t="s">
        <v>811</v>
      </c>
      <c r="B109" s="1377" t="s">
        <v>812</v>
      </c>
      <c r="C109" s="1378" t="s">
        <v>692</v>
      </c>
      <c r="D109" s="1379">
        <v>200</v>
      </c>
      <c r="E109" s="1286">
        <f>'[1]ELEKTRO E.1'!E109</f>
        <v>4.28</v>
      </c>
      <c r="F109" s="1371">
        <f t="shared" si="2"/>
        <v>856</v>
      </c>
    </row>
    <row r="110" spans="1:6">
      <c r="A110" s="1372" t="s">
        <v>813</v>
      </c>
      <c r="B110" s="1377" t="s">
        <v>814</v>
      </c>
      <c r="C110" s="1378" t="s">
        <v>692</v>
      </c>
      <c r="D110" s="1379">
        <v>250</v>
      </c>
      <c r="E110" s="1286">
        <f>'[1]ELEKTRO E.1'!E110</f>
        <v>5.88</v>
      </c>
      <c r="F110" s="1371">
        <f t="shared" si="2"/>
        <v>1470</v>
      </c>
    </row>
    <row r="111" spans="1:6">
      <c r="A111" s="1372" t="s">
        <v>815</v>
      </c>
      <c r="B111" s="1377" t="s">
        <v>816</v>
      </c>
      <c r="C111" s="1378" t="s">
        <v>692</v>
      </c>
      <c r="D111" s="1379">
        <v>38</v>
      </c>
      <c r="E111" s="1286">
        <f>'[1]ELEKTRO E.1'!E111</f>
        <v>25</v>
      </c>
      <c r="F111" s="1371">
        <f t="shared" si="2"/>
        <v>950</v>
      </c>
    </row>
    <row r="112" spans="1:6">
      <c r="A112" s="1372" t="s">
        <v>817</v>
      </c>
      <c r="B112" s="1377" t="s">
        <v>818</v>
      </c>
      <c r="C112" s="1378" t="s">
        <v>692</v>
      </c>
      <c r="D112" s="1379">
        <v>44</v>
      </c>
      <c r="E112" s="1286">
        <f>'[1]ELEKTRO E.1'!E112</f>
        <v>23</v>
      </c>
      <c r="F112" s="1371">
        <f t="shared" si="2"/>
        <v>1012</v>
      </c>
    </row>
    <row r="113" spans="1:11">
      <c r="A113" s="1372" t="s">
        <v>819</v>
      </c>
      <c r="B113" s="1377" t="s">
        <v>820</v>
      </c>
      <c r="C113" s="1378" t="s">
        <v>692</v>
      </c>
      <c r="D113" s="1379">
        <v>95</v>
      </c>
      <c r="E113" s="1286">
        <f>'[1]ELEKTRO E.1'!E113</f>
        <v>31</v>
      </c>
      <c r="F113" s="1371">
        <f t="shared" si="2"/>
        <v>2945</v>
      </c>
    </row>
    <row r="114" spans="1:11">
      <c r="A114" s="1372" t="s">
        <v>821</v>
      </c>
      <c r="B114" s="1377" t="s">
        <v>822</v>
      </c>
      <c r="C114" s="1378" t="s">
        <v>692</v>
      </c>
      <c r="D114" s="1379">
        <v>56</v>
      </c>
      <c r="E114" s="1286">
        <f>'[1]ELEKTRO E.1'!E114</f>
        <v>39</v>
      </c>
      <c r="F114" s="1371">
        <f t="shared" si="2"/>
        <v>2184</v>
      </c>
    </row>
    <row r="115" spans="1:11">
      <c r="A115" s="1372" t="s">
        <v>823</v>
      </c>
      <c r="B115" s="1377" t="s">
        <v>824</v>
      </c>
      <c r="C115" s="1378" t="s">
        <v>692</v>
      </c>
      <c r="D115" s="1379">
        <v>45</v>
      </c>
      <c r="E115" s="1286">
        <f>'[1]ELEKTRO E.1'!E115</f>
        <v>5</v>
      </c>
      <c r="F115" s="1371">
        <f t="shared" si="2"/>
        <v>225</v>
      </c>
    </row>
    <row r="116" spans="1:11">
      <c r="A116" s="1372" t="s">
        <v>825</v>
      </c>
      <c r="B116" s="1377" t="s">
        <v>826</v>
      </c>
      <c r="C116" s="1378" t="s">
        <v>692</v>
      </c>
      <c r="D116" s="1379">
        <v>160</v>
      </c>
      <c r="E116" s="1286">
        <f>'[1]ELEKTRO E.1'!E116</f>
        <v>12</v>
      </c>
      <c r="F116" s="1371">
        <f t="shared" si="2"/>
        <v>1920</v>
      </c>
    </row>
    <row r="117" spans="1:11">
      <c r="A117" s="1372" t="s">
        <v>827</v>
      </c>
      <c r="B117" s="1377" t="s">
        <v>828</v>
      </c>
      <c r="C117" s="1378" t="s">
        <v>692</v>
      </c>
      <c r="D117" s="1379">
        <v>45</v>
      </c>
      <c r="E117" s="1286">
        <f>'[1]ELEKTRO E.1'!E117</f>
        <v>19</v>
      </c>
      <c r="F117" s="1371">
        <f t="shared" si="2"/>
        <v>855</v>
      </c>
    </row>
    <row r="118" spans="1:11">
      <c r="A118" s="1372" t="s">
        <v>829</v>
      </c>
      <c r="B118" s="1377" t="s">
        <v>830</v>
      </c>
      <c r="C118" s="1378" t="s">
        <v>692</v>
      </c>
      <c r="D118" s="1379">
        <v>42</v>
      </c>
      <c r="E118" s="1286">
        <f>'[1]ELEKTRO E.1'!E118</f>
        <v>155</v>
      </c>
      <c r="F118" s="1371">
        <f t="shared" si="2"/>
        <v>6510</v>
      </c>
    </row>
    <row r="119" spans="1:11">
      <c r="A119" s="1372" t="s">
        <v>831</v>
      </c>
      <c r="B119" s="1377" t="s">
        <v>832</v>
      </c>
      <c r="C119" s="1378" t="s">
        <v>692</v>
      </c>
      <c r="D119" s="1379">
        <v>44</v>
      </c>
      <c r="E119" s="1286">
        <f>'[1]ELEKTRO E.1'!E119</f>
        <v>55</v>
      </c>
      <c r="F119" s="1371">
        <f t="shared" si="2"/>
        <v>2420</v>
      </c>
    </row>
    <row r="120" spans="1:11">
      <c r="A120" s="1372" t="s">
        <v>833</v>
      </c>
      <c r="B120" s="1377" t="s">
        <v>834</v>
      </c>
      <c r="C120" s="1378" t="s">
        <v>692</v>
      </c>
      <c r="D120" s="1379">
        <v>50</v>
      </c>
      <c r="E120" s="1286">
        <f>'[1]ELEKTRO E.1'!E120</f>
        <v>6</v>
      </c>
      <c r="F120" s="1371">
        <f t="shared" si="2"/>
        <v>300</v>
      </c>
    </row>
    <row r="121" spans="1:11">
      <c r="A121" s="1372" t="s">
        <v>835</v>
      </c>
      <c r="B121" s="1377" t="s">
        <v>836</v>
      </c>
      <c r="C121" s="1378" t="s">
        <v>692</v>
      </c>
      <c r="D121" s="1379">
        <v>35</v>
      </c>
      <c r="E121" s="1286">
        <f>'[1]ELEKTRO E.1'!E121</f>
        <v>4.2</v>
      </c>
      <c r="F121" s="1371">
        <f t="shared" si="2"/>
        <v>147</v>
      </c>
    </row>
    <row r="122" spans="1:11">
      <c r="A122" s="1372" t="s">
        <v>837</v>
      </c>
      <c r="B122" s="1377" t="s">
        <v>838</v>
      </c>
      <c r="C122" s="1378" t="s">
        <v>692</v>
      </c>
      <c r="D122" s="1379">
        <v>78</v>
      </c>
      <c r="E122" s="1286">
        <f>'[1]ELEKTRO E.1'!E122</f>
        <v>25</v>
      </c>
      <c r="F122" s="1371">
        <f t="shared" si="2"/>
        <v>1950</v>
      </c>
    </row>
    <row r="123" spans="1:11">
      <c r="A123" s="1372" t="s">
        <v>839</v>
      </c>
      <c r="B123" s="1377" t="s">
        <v>840</v>
      </c>
      <c r="C123" s="1378" t="s">
        <v>692</v>
      </c>
      <c r="D123" s="1379">
        <v>35</v>
      </c>
      <c r="E123" s="1286">
        <f>'[1]ELEKTRO E.1'!E123</f>
        <v>11</v>
      </c>
      <c r="F123" s="1371">
        <f t="shared" si="2"/>
        <v>385</v>
      </c>
    </row>
    <row r="124" spans="1:11">
      <c r="A124" s="1372" t="s">
        <v>841</v>
      </c>
      <c r="B124" s="254" t="s">
        <v>842</v>
      </c>
      <c r="C124" s="1378" t="s">
        <v>692</v>
      </c>
      <c r="D124" s="1379">
        <v>96</v>
      </c>
      <c r="E124" s="1286">
        <f>'[1]ELEKTRO E.1'!E124</f>
        <v>4.55</v>
      </c>
      <c r="F124" s="1371">
        <f t="shared" si="2"/>
        <v>436.79999999999995</v>
      </c>
    </row>
    <row r="125" spans="1:11" ht="15.6">
      <c r="A125" s="1372" t="s">
        <v>843</v>
      </c>
      <c r="B125" s="1377" t="s">
        <v>2162</v>
      </c>
      <c r="C125" s="1378" t="s">
        <v>692</v>
      </c>
      <c r="D125" s="1379">
        <v>60</v>
      </c>
      <c r="E125" s="1286">
        <f>'[1]ELEKTRO E.1'!E125</f>
        <v>4.0999999999999996</v>
      </c>
      <c r="F125" s="1371">
        <f t="shared" si="2"/>
        <v>245.99999999999997</v>
      </c>
    </row>
    <row r="126" spans="1:11" ht="15.6">
      <c r="A126" s="1372" t="s">
        <v>844</v>
      </c>
      <c r="B126" s="1377" t="s">
        <v>2163</v>
      </c>
      <c r="C126" s="1378" t="s">
        <v>692</v>
      </c>
      <c r="D126" s="1379">
        <v>72</v>
      </c>
      <c r="E126" s="1286">
        <f>'[1]ELEKTRO E.1'!E126</f>
        <v>7.55</v>
      </c>
      <c r="F126" s="1371">
        <f t="shared" si="2"/>
        <v>543.6</v>
      </c>
    </row>
    <row r="127" spans="1:11" ht="26.4">
      <c r="A127" s="1372" t="s">
        <v>845</v>
      </c>
      <c r="B127" s="1377" t="s">
        <v>846</v>
      </c>
      <c r="C127" s="1378" t="s">
        <v>692</v>
      </c>
      <c r="D127" s="1379">
        <v>12</v>
      </c>
      <c r="E127" s="1286">
        <f>'[1]ELEKTRO E.1'!E127</f>
        <v>30</v>
      </c>
      <c r="F127" s="1371">
        <f t="shared" si="2"/>
        <v>360</v>
      </c>
      <c r="K127" s="254"/>
    </row>
    <row r="128" spans="1:11" ht="145.19999999999999">
      <c r="A128" s="1372" t="s">
        <v>847</v>
      </c>
      <c r="B128" s="1377" t="s">
        <v>848</v>
      </c>
      <c r="C128" s="1378"/>
      <c r="D128" s="1379"/>
      <c r="E128" s="1382"/>
      <c r="F128" s="1371"/>
    </row>
    <row r="129" spans="1:6" ht="79.2">
      <c r="A129" s="1372"/>
      <c r="B129" s="1377" t="s">
        <v>849</v>
      </c>
      <c r="C129" s="1378"/>
      <c r="D129" s="1379"/>
      <c r="E129" s="1382"/>
      <c r="F129" s="1371"/>
    </row>
    <row r="130" spans="1:6" ht="13.8">
      <c r="A130" s="1372" t="s">
        <v>850</v>
      </c>
      <c r="B130" s="1377" t="s">
        <v>734</v>
      </c>
      <c r="C130" s="1384" t="s">
        <v>521</v>
      </c>
      <c r="D130" s="1379">
        <v>4</v>
      </c>
      <c r="E130" s="1286">
        <f>'[1]ELEKTRO E.1'!E130</f>
        <v>150</v>
      </c>
      <c r="F130" s="1371">
        <f t="shared" si="2"/>
        <v>600</v>
      </c>
    </row>
    <row r="131" spans="1:6" ht="13.8">
      <c r="A131" s="1372" t="s">
        <v>851</v>
      </c>
      <c r="B131" s="1377" t="s">
        <v>733</v>
      </c>
      <c r="C131" s="1384" t="s">
        <v>521</v>
      </c>
      <c r="D131" s="1379">
        <v>4</v>
      </c>
      <c r="E131" s="1286">
        <f>'[1]ELEKTRO E.1'!E131</f>
        <v>250</v>
      </c>
      <c r="F131" s="1371">
        <f t="shared" si="2"/>
        <v>1000</v>
      </c>
    </row>
    <row r="132" spans="1:6" ht="13.8">
      <c r="A132" s="1372" t="s">
        <v>852</v>
      </c>
      <c r="B132" s="1377" t="s">
        <v>732</v>
      </c>
      <c r="C132" s="1384" t="s">
        <v>521</v>
      </c>
      <c r="D132" s="1379">
        <v>4</v>
      </c>
      <c r="E132" s="1286">
        <f>'[1]ELEKTRO E.1'!E132</f>
        <v>300</v>
      </c>
      <c r="F132" s="1371">
        <f t="shared" si="2"/>
        <v>1200</v>
      </c>
    </row>
    <row r="133" spans="1:6" ht="13.8">
      <c r="A133" s="1372" t="s">
        <v>853</v>
      </c>
      <c r="B133" s="1377" t="s">
        <v>731</v>
      </c>
      <c r="C133" s="1384" t="s">
        <v>521</v>
      </c>
      <c r="D133" s="1379">
        <v>2</v>
      </c>
      <c r="E133" s="1286">
        <f>'[1]ELEKTRO E.1'!E133</f>
        <v>350</v>
      </c>
      <c r="F133" s="1371">
        <f t="shared" si="2"/>
        <v>700</v>
      </c>
    </row>
    <row r="134" spans="1:6">
      <c r="A134" s="1372" t="s">
        <v>854</v>
      </c>
      <c r="B134" s="1377" t="s">
        <v>855</v>
      </c>
      <c r="C134" s="1378" t="s">
        <v>521</v>
      </c>
      <c r="D134" s="1379">
        <v>1</v>
      </c>
      <c r="E134" s="1286">
        <f>'[1]ELEKTRO E.1'!E134</f>
        <v>500</v>
      </c>
      <c r="F134" s="1371">
        <f t="shared" si="2"/>
        <v>500</v>
      </c>
    </row>
    <row r="135" spans="1:6">
      <c r="A135" s="1372"/>
      <c r="B135" s="1381" t="s">
        <v>856</v>
      </c>
      <c r="C135" s="1378"/>
      <c r="D135" s="1379"/>
      <c r="E135" s="1382"/>
      <c r="F135" s="1385">
        <f>SUM(F7:F134)</f>
        <v>65695</v>
      </c>
    </row>
    <row r="136" spans="1:6">
      <c r="A136" s="1361" t="s">
        <v>421</v>
      </c>
      <c r="B136" s="1386" t="s">
        <v>857</v>
      </c>
      <c r="C136" s="1387"/>
      <c r="D136" s="1387"/>
      <c r="E136" s="1388"/>
      <c r="F136" s="1389"/>
    </row>
    <row r="137" spans="1:6" s="254" customFormat="1" ht="92.4">
      <c r="A137" s="1372" t="s">
        <v>416</v>
      </c>
      <c r="B137" s="1390" t="s">
        <v>858</v>
      </c>
      <c r="C137" s="1391"/>
      <c r="D137" s="1392"/>
      <c r="E137" s="1393"/>
      <c r="F137" s="1394"/>
    </row>
    <row r="138" spans="1:6" s="254" customFormat="1" ht="66">
      <c r="A138" s="1395"/>
      <c r="B138" s="1390" t="s">
        <v>859</v>
      </c>
      <c r="C138" s="1391"/>
      <c r="D138" s="1392"/>
      <c r="E138" s="1393"/>
      <c r="F138" s="1396"/>
    </row>
    <row r="139" spans="1:6" s="254" customFormat="1" ht="26.4">
      <c r="A139" s="1395"/>
      <c r="B139" s="1390" t="s">
        <v>860</v>
      </c>
      <c r="C139" s="1391"/>
      <c r="D139" s="1392"/>
      <c r="E139" s="1393"/>
      <c r="F139" s="1396"/>
    </row>
    <row r="140" spans="1:6" s="254" customFormat="1" ht="26.4">
      <c r="A140" s="1395"/>
      <c r="B140" s="1390" t="s">
        <v>861</v>
      </c>
      <c r="C140" s="1391"/>
      <c r="D140" s="1392"/>
      <c r="E140" s="1393"/>
      <c r="F140" s="1396"/>
    </row>
    <row r="141" spans="1:6" s="254" customFormat="1" ht="52.8">
      <c r="A141" s="1395"/>
      <c r="B141" s="1390" t="s">
        <v>862</v>
      </c>
      <c r="C141" s="1391"/>
      <c r="D141" s="1392"/>
      <c r="E141" s="1393"/>
      <c r="F141" s="1394"/>
    </row>
    <row r="142" spans="1:6" s="254" customFormat="1" ht="39.6">
      <c r="A142" s="1395"/>
      <c r="B142" s="1390" t="s">
        <v>863</v>
      </c>
      <c r="C142" s="1391"/>
      <c r="D142" s="1392"/>
      <c r="E142" s="1393"/>
      <c r="F142" s="1394"/>
    </row>
    <row r="143" spans="1:6" s="1400" customFormat="1">
      <c r="A143" s="1397"/>
      <c r="B143" s="1390" t="s">
        <v>864</v>
      </c>
      <c r="C143" s="1391" t="s">
        <v>29</v>
      </c>
      <c r="D143" s="1392">
        <v>3</v>
      </c>
      <c r="E143" s="1288">
        <f>'[1]ELEKTRO E.1'!E143</f>
        <v>325</v>
      </c>
      <c r="F143" s="1399">
        <f>E143*D143</f>
        <v>975</v>
      </c>
    </row>
    <row r="144" spans="1:6" s="1400" customFormat="1" ht="132">
      <c r="A144" s="1380" t="s">
        <v>421</v>
      </c>
      <c r="B144" s="1401" t="s">
        <v>865</v>
      </c>
      <c r="C144" s="1402" t="s">
        <v>29</v>
      </c>
      <c r="D144" s="1403">
        <v>3</v>
      </c>
      <c r="E144" s="1289">
        <f>'[1]ELEKTRO E.1'!E144</f>
        <v>95</v>
      </c>
      <c r="F144" s="1399">
        <f t="shared" ref="F144:F153" si="3">E144*D144</f>
        <v>285</v>
      </c>
    </row>
    <row r="145" spans="1:17" s="1400" customFormat="1" ht="39.6">
      <c r="A145" s="1372" t="s">
        <v>434</v>
      </c>
      <c r="B145" s="1404" t="s">
        <v>866</v>
      </c>
      <c r="C145" s="1391"/>
      <c r="D145" s="1392"/>
      <c r="E145" s="1405"/>
      <c r="F145" s="1399"/>
    </row>
    <row r="146" spans="1:17" ht="277.2">
      <c r="A146" s="1372" t="s">
        <v>867</v>
      </c>
      <c r="B146" s="1390" t="s">
        <v>2548</v>
      </c>
      <c r="C146" s="1391" t="s">
        <v>29</v>
      </c>
      <c r="D146" s="1392">
        <v>3</v>
      </c>
      <c r="E146" s="1288">
        <f>'[1]ELEKTRO E.1'!E146</f>
        <v>665</v>
      </c>
      <c r="F146" s="1399">
        <f t="shared" si="3"/>
        <v>1995</v>
      </c>
    </row>
    <row r="147" spans="1:17" s="1400" customFormat="1" ht="145.19999999999999">
      <c r="A147" s="1372" t="s">
        <v>868</v>
      </c>
      <c r="B147" s="1390" t="s">
        <v>869</v>
      </c>
      <c r="C147" s="1391" t="s">
        <v>29</v>
      </c>
      <c r="D147" s="1392">
        <v>12</v>
      </c>
      <c r="E147" s="1288">
        <f>'[1]ELEKTRO E.1'!E147</f>
        <v>270</v>
      </c>
      <c r="F147" s="1399">
        <f t="shared" si="3"/>
        <v>3240</v>
      </c>
    </row>
    <row r="148" spans="1:17" ht="198">
      <c r="A148" s="1372" t="s">
        <v>870</v>
      </c>
      <c r="B148" s="1390" t="s">
        <v>871</v>
      </c>
      <c r="C148" s="1391" t="s">
        <v>29</v>
      </c>
      <c r="D148" s="1392">
        <v>6</v>
      </c>
      <c r="E148" s="1288">
        <f>'[1]ELEKTRO E.1'!E148</f>
        <v>474</v>
      </c>
      <c r="F148" s="1399">
        <f t="shared" si="3"/>
        <v>2844</v>
      </c>
    </row>
    <row r="149" spans="1:17" ht="198">
      <c r="A149" s="1372" t="s">
        <v>872</v>
      </c>
      <c r="B149" s="1390" t="s">
        <v>873</v>
      </c>
      <c r="C149" s="1391" t="s">
        <v>29</v>
      </c>
      <c r="D149" s="1392">
        <v>4</v>
      </c>
      <c r="E149" s="1288">
        <f>'[1]ELEKTRO E.1'!E149</f>
        <v>420</v>
      </c>
      <c r="F149" s="1399">
        <f t="shared" si="3"/>
        <v>1680</v>
      </c>
    </row>
    <row r="150" spans="1:17" ht="184.8">
      <c r="A150" s="1372" t="s">
        <v>874</v>
      </c>
      <c r="B150" s="1390" t="s">
        <v>875</v>
      </c>
      <c r="C150" s="1391" t="s">
        <v>29</v>
      </c>
      <c r="D150" s="1392">
        <v>2</v>
      </c>
      <c r="E150" s="1288">
        <f>'[1]ELEKTRO E.1'!E150</f>
        <v>225</v>
      </c>
      <c r="F150" s="1399">
        <f t="shared" si="3"/>
        <v>450</v>
      </c>
    </row>
    <row r="151" spans="1:17" ht="171.6">
      <c r="A151" s="1372" t="s">
        <v>876</v>
      </c>
      <c r="B151" s="1390" t="s">
        <v>877</v>
      </c>
      <c r="C151" s="1391" t="s">
        <v>29</v>
      </c>
      <c r="D151" s="1392">
        <v>6</v>
      </c>
      <c r="E151" s="1288">
        <f>'[1]ELEKTRO E.1'!E151</f>
        <v>215</v>
      </c>
      <c r="F151" s="1399">
        <f t="shared" si="3"/>
        <v>1290</v>
      </c>
    </row>
    <row r="152" spans="1:17" ht="211.2">
      <c r="A152" s="1372" t="s">
        <v>878</v>
      </c>
      <c r="B152" s="1390" t="s">
        <v>2164</v>
      </c>
      <c r="C152" s="1391" t="s">
        <v>29</v>
      </c>
      <c r="D152" s="1392">
        <v>2</v>
      </c>
      <c r="E152" s="1288">
        <f>'[1]ELEKTRO E.1'!E152</f>
        <v>110</v>
      </c>
      <c r="F152" s="1399">
        <f t="shared" si="3"/>
        <v>220</v>
      </c>
    </row>
    <row r="153" spans="1:17">
      <c r="A153" s="1372" t="s">
        <v>439</v>
      </c>
      <c r="B153" s="1390" t="s">
        <v>855</v>
      </c>
      <c r="C153" s="1391" t="s">
        <v>521</v>
      </c>
      <c r="D153" s="1392">
        <v>1</v>
      </c>
      <c r="E153" s="1288">
        <f>'[1]ELEKTRO E.1'!E153</f>
        <v>650</v>
      </c>
      <c r="F153" s="1399">
        <f t="shared" si="3"/>
        <v>650</v>
      </c>
    </row>
    <row r="154" spans="1:17">
      <c r="A154" s="1372"/>
      <c r="B154" s="1406" t="s">
        <v>879</v>
      </c>
      <c r="C154" s="1391"/>
      <c r="D154" s="1392"/>
      <c r="E154" s="1398"/>
      <c r="F154" s="1407">
        <f>SUM(F143:F153)</f>
        <v>13629</v>
      </c>
    </row>
    <row r="155" spans="1:17">
      <c r="A155" s="1361" t="s">
        <v>434</v>
      </c>
      <c r="B155" s="1408" t="s">
        <v>880</v>
      </c>
      <c r="C155" s="1387"/>
      <c r="D155" s="1409"/>
      <c r="E155" s="1388"/>
      <c r="F155" s="1410"/>
      <c r="I155" s="1343"/>
      <c r="J155" s="1343"/>
      <c r="K155" s="1343"/>
      <c r="L155" s="1343"/>
      <c r="M155" s="1343"/>
      <c r="N155" s="1343"/>
      <c r="O155" s="1343"/>
      <c r="P155" s="1343"/>
      <c r="Q155" s="1343"/>
    </row>
    <row r="156" spans="1:17" ht="26.4">
      <c r="A156" s="1372" t="s">
        <v>416</v>
      </c>
      <c r="B156" s="1390" t="s">
        <v>881</v>
      </c>
      <c r="C156" s="1391" t="s">
        <v>521</v>
      </c>
      <c r="D156" s="1392">
        <v>1</v>
      </c>
      <c r="E156" s="1288">
        <f>'[1]ELEKTRO E.1'!E156</f>
        <v>250</v>
      </c>
      <c r="F156" s="1399">
        <f>E156*D156</f>
        <v>250</v>
      </c>
    </row>
    <row r="157" spans="1:17">
      <c r="A157" s="1372" t="s">
        <v>421</v>
      </c>
      <c r="B157" s="1390" t="s">
        <v>882</v>
      </c>
      <c r="C157" s="1391" t="s">
        <v>29</v>
      </c>
      <c r="D157" s="1392">
        <v>1</v>
      </c>
      <c r="E157" s="1288">
        <f>'[1]ELEKTRO E.1'!E157</f>
        <v>250</v>
      </c>
      <c r="F157" s="1399">
        <f t="shared" ref="F157:F160" si="4">E157*D157</f>
        <v>250</v>
      </c>
    </row>
    <row r="158" spans="1:17" ht="26.4">
      <c r="A158" s="1372" t="s">
        <v>434</v>
      </c>
      <c r="B158" s="1390" t="s">
        <v>883</v>
      </c>
      <c r="C158" s="1391" t="s">
        <v>521</v>
      </c>
      <c r="D158" s="1392">
        <v>1</v>
      </c>
      <c r="E158" s="1288">
        <f>'[1]ELEKTRO E.1'!E158</f>
        <v>250</v>
      </c>
      <c r="F158" s="1399">
        <f t="shared" si="4"/>
        <v>250</v>
      </c>
    </row>
    <row r="159" spans="1:17" ht="105.6">
      <c r="A159" s="1372" t="s">
        <v>439</v>
      </c>
      <c r="B159" s="1390" t="s">
        <v>884</v>
      </c>
      <c r="C159" s="1391" t="s">
        <v>521</v>
      </c>
      <c r="D159" s="1392">
        <v>1</v>
      </c>
      <c r="E159" s="1288">
        <f>'[1]ELEKTRO E.1'!E159</f>
        <v>250</v>
      </c>
      <c r="F159" s="1399">
        <f t="shared" si="4"/>
        <v>250</v>
      </c>
    </row>
    <row r="160" spans="1:17" ht="26.4">
      <c r="A160" s="1372" t="s">
        <v>442</v>
      </c>
      <c r="B160" s="1390" t="s">
        <v>885</v>
      </c>
      <c r="C160" s="1391" t="s">
        <v>521</v>
      </c>
      <c r="D160" s="1392">
        <v>1</v>
      </c>
      <c r="E160" s="1288">
        <f>'[1]ELEKTRO E.1'!E160</f>
        <v>500</v>
      </c>
      <c r="F160" s="1399">
        <f t="shared" si="4"/>
        <v>500</v>
      </c>
    </row>
    <row r="161" spans="1:17">
      <c r="A161" s="1372"/>
      <c r="B161" s="1406" t="s">
        <v>886</v>
      </c>
      <c r="C161" s="1391"/>
      <c r="D161" s="1392"/>
      <c r="E161" s="1398"/>
      <c r="F161" s="1407">
        <f>SUM(F156:F160)</f>
        <v>1500</v>
      </c>
    </row>
    <row r="162" spans="1:17">
      <c r="A162" s="1411" t="s">
        <v>439</v>
      </c>
      <c r="B162" s="1408" t="s">
        <v>887</v>
      </c>
      <c r="C162" s="1387"/>
      <c r="D162" s="1387"/>
      <c r="E162" s="1388"/>
      <c r="F162" s="1412"/>
      <c r="I162" s="1343"/>
      <c r="J162" s="1343"/>
      <c r="K162" s="1343"/>
      <c r="L162" s="1343"/>
      <c r="M162" s="1343"/>
      <c r="N162" s="1343"/>
      <c r="O162" s="1343"/>
      <c r="P162" s="1343"/>
      <c r="Q162" s="1343"/>
    </row>
    <row r="163" spans="1:17" ht="145.19999999999999">
      <c r="A163" s="1413"/>
      <c r="B163" s="1390" t="s">
        <v>888</v>
      </c>
      <c r="C163" s="1391" t="s">
        <v>521</v>
      </c>
      <c r="D163" s="1391">
        <v>1</v>
      </c>
      <c r="E163" s="1288">
        <f>'[1]ELEKTRO E.1'!E163</f>
        <v>1500</v>
      </c>
      <c r="F163" s="1399">
        <f>E163*D163</f>
        <v>1500</v>
      </c>
      <c r="I163" s="1343"/>
      <c r="J163" s="1343"/>
      <c r="K163" s="1343"/>
      <c r="L163" s="1343"/>
      <c r="M163" s="1343"/>
      <c r="N163" s="1343"/>
      <c r="O163" s="1343"/>
      <c r="P163" s="1343"/>
      <c r="Q163" s="1343"/>
    </row>
    <row r="164" spans="1:17" s="254" customFormat="1" ht="26.4">
      <c r="A164" s="1372"/>
      <c r="B164" s="1390" t="s">
        <v>889</v>
      </c>
      <c r="C164" s="1391" t="s">
        <v>521</v>
      </c>
      <c r="D164" s="1391">
        <v>1</v>
      </c>
      <c r="E164" s="1287">
        <f>'[1]ELEKTRO E.1'!E164</f>
        <v>800</v>
      </c>
      <c r="F164" s="1399">
        <f>E164*D164</f>
        <v>800</v>
      </c>
    </row>
    <row r="165" spans="1:17">
      <c r="A165" s="1372"/>
      <c r="B165" s="1406" t="s">
        <v>890</v>
      </c>
      <c r="C165" s="1391"/>
      <c r="D165" s="1392"/>
      <c r="E165" s="1398"/>
      <c r="F165" s="1407">
        <f>SUM(F163:F164)</f>
        <v>2300</v>
      </c>
    </row>
    <row r="166" spans="1:17">
      <c r="A166" s="1414" t="s">
        <v>442</v>
      </c>
      <c r="B166" s="1408" t="s">
        <v>891</v>
      </c>
      <c r="C166" s="1387"/>
      <c r="D166" s="1387"/>
      <c r="E166" s="1388"/>
      <c r="F166" s="1389"/>
      <c r="I166" s="1343"/>
      <c r="J166" s="1343"/>
      <c r="K166" s="1343"/>
      <c r="L166" s="1343"/>
      <c r="M166" s="1343"/>
      <c r="N166" s="1343"/>
      <c r="O166" s="1343"/>
      <c r="P166" s="1343"/>
      <c r="Q166" s="1343"/>
    </row>
    <row r="167" spans="1:17" ht="106.2" thickBot="1">
      <c r="A167" s="1413"/>
      <c r="B167" s="1390" t="s">
        <v>892</v>
      </c>
      <c r="C167" s="1391" t="s">
        <v>521</v>
      </c>
      <c r="D167" s="1391">
        <v>1</v>
      </c>
      <c r="E167" s="1288">
        <f>'[1]ELEKTRO E.1'!E167</f>
        <v>1500</v>
      </c>
      <c r="F167" s="1407">
        <f>D167*E167</f>
        <v>1500</v>
      </c>
      <c r="I167" s="1343"/>
      <c r="J167" s="1343"/>
      <c r="K167" s="1343"/>
      <c r="L167" s="1343"/>
      <c r="M167" s="1343"/>
      <c r="N167" s="1343"/>
      <c r="O167" s="1343"/>
      <c r="P167" s="1343"/>
      <c r="Q167" s="1343"/>
    </row>
    <row r="168" spans="1:17" ht="22.5" customHeight="1" thickBot="1">
      <c r="A168" s="1610" t="s">
        <v>2252</v>
      </c>
      <c r="B168" s="1611"/>
      <c r="C168" s="1611"/>
      <c r="D168" s="1611"/>
      <c r="E168" s="1611"/>
      <c r="F168" s="1612"/>
      <c r="I168" s="1343"/>
      <c r="J168" s="1343"/>
      <c r="K168" s="1343"/>
      <c r="L168" s="1343"/>
      <c r="M168" s="1343"/>
      <c r="N168" s="1343"/>
      <c r="O168" s="1343"/>
      <c r="P168" s="1343"/>
      <c r="Q168" s="1343"/>
    </row>
    <row r="169" spans="1:17">
      <c r="A169" s="1415" t="s">
        <v>893</v>
      </c>
      <c r="B169" s="1613" t="s">
        <v>685</v>
      </c>
      <c r="C169" s="1614"/>
      <c r="D169" s="1614"/>
      <c r="E169" s="1615"/>
      <c r="F169" s="1416" t="s">
        <v>689</v>
      </c>
      <c r="I169" s="1343"/>
      <c r="J169" s="1343"/>
      <c r="K169" s="1343"/>
      <c r="L169" s="1343"/>
      <c r="M169" s="1343"/>
      <c r="N169" s="1343"/>
      <c r="O169" s="1343"/>
      <c r="P169" s="1343"/>
      <c r="Q169" s="1343"/>
    </row>
    <row r="170" spans="1:17">
      <c r="A170" s="1417" t="s">
        <v>416</v>
      </c>
      <c r="B170" s="1603" t="s">
        <v>690</v>
      </c>
      <c r="C170" s="1604"/>
      <c r="D170" s="1604"/>
      <c r="E170" s="1605"/>
      <c r="F170" s="1418">
        <f>F135</f>
        <v>65695</v>
      </c>
      <c r="I170" s="1343"/>
      <c r="J170" s="1343"/>
      <c r="K170" s="1343"/>
      <c r="L170" s="1343"/>
      <c r="M170" s="1343"/>
      <c r="N170" s="1343"/>
      <c r="O170" s="1343"/>
      <c r="P170" s="1343"/>
      <c r="Q170" s="1343"/>
    </row>
    <row r="171" spans="1:17">
      <c r="A171" s="1417" t="s">
        <v>421</v>
      </c>
      <c r="B171" s="1603" t="s">
        <v>894</v>
      </c>
      <c r="C171" s="1604"/>
      <c r="D171" s="1604"/>
      <c r="E171" s="1605"/>
      <c r="F171" s="1418">
        <f>F154</f>
        <v>13629</v>
      </c>
      <c r="I171" s="1343"/>
      <c r="J171" s="1343"/>
      <c r="K171" s="1343"/>
      <c r="L171" s="1343"/>
      <c r="M171" s="1343"/>
      <c r="N171" s="1343"/>
      <c r="O171" s="1343"/>
      <c r="P171" s="1343"/>
      <c r="Q171" s="1343"/>
    </row>
    <row r="172" spans="1:17">
      <c r="A172" s="1417" t="s">
        <v>434</v>
      </c>
      <c r="B172" s="1603" t="s">
        <v>880</v>
      </c>
      <c r="C172" s="1604"/>
      <c r="D172" s="1604"/>
      <c r="E172" s="1605"/>
      <c r="F172" s="1418">
        <f>F161</f>
        <v>1500</v>
      </c>
      <c r="I172" s="1343"/>
      <c r="J172" s="1343"/>
      <c r="K172" s="1343"/>
      <c r="L172" s="1343"/>
      <c r="M172" s="1343"/>
      <c r="N172" s="1343"/>
      <c r="O172" s="1343"/>
      <c r="P172" s="1343"/>
      <c r="Q172" s="1343"/>
    </row>
    <row r="173" spans="1:17">
      <c r="A173" s="1417" t="s">
        <v>439</v>
      </c>
      <c r="B173" s="1603" t="s">
        <v>887</v>
      </c>
      <c r="C173" s="1604"/>
      <c r="D173" s="1604"/>
      <c r="E173" s="1605"/>
      <c r="F173" s="1418">
        <f>F165</f>
        <v>2300</v>
      </c>
      <c r="I173" s="1343"/>
      <c r="J173" s="1343"/>
      <c r="K173" s="1343"/>
      <c r="L173" s="1343"/>
      <c r="M173" s="1343"/>
      <c r="N173" s="1343"/>
      <c r="O173" s="1343"/>
      <c r="P173" s="1343"/>
      <c r="Q173" s="1343"/>
    </row>
    <row r="174" spans="1:17" ht="13.8" thickBot="1">
      <c r="A174" s="1417" t="s">
        <v>442</v>
      </c>
      <c r="B174" s="1603" t="s">
        <v>891</v>
      </c>
      <c r="C174" s="1604"/>
      <c r="D174" s="1604"/>
      <c r="E174" s="1605"/>
      <c r="F174" s="1418">
        <f>F167</f>
        <v>1500</v>
      </c>
      <c r="I174" s="1343"/>
      <c r="J174" s="1343"/>
      <c r="K174" s="1343"/>
      <c r="L174" s="1343"/>
      <c r="M174" s="1343"/>
      <c r="N174" s="1343"/>
      <c r="O174" s="1343"/>
      <c r="P174" s="1343"/>
      <c r="Q174" s="1343"/>
    </row>
    <row r="175" spans="1:17" ht="24.9" customHeight="1" thickBot="1">
      <c r="A175" s="1419"/>
      <c r="B175" s="1616" t="s">
        <v>895</v>
      </c>
      <c r="C175" s="1617"/>
      <c r="D175" s="1617"/>
      <c r="E175" s="1618"/>
      <c r="F175" s="1420">
        <f>SUM(F170:F174)</f>
        <v>84624</v>
      </c>
      <c r="I175" s="1343"/>
      <c r="J175" s="1343"/>
      <c r="K175" s="1343"/>
      <c r="L175" s="1343"/>
      <c r="M175" s="1343"/>
      <c r="N175" s="1343"/>
      <c r="O175" s="1343"/>
      <c r="P175" s="1343"/>
      <c r="Q175" s="1343"/>
    </row>
  </sheetData>
  <sheetProtection algorithmName="SHA-512" hashValue="2ucS1TN+LFieBEOd5zSP//gflMK3VjqUQXaYQ6TRRSpUr6hcASo15BD0WAp+bd7i7EmKgvN+l329GetL24NzzA==" saltValue="U8HPDrqUvZvGZ+mIKcE96A==" spinCount="100000" sheet="1" objects="1" scenarios="1"/>
  <mergeCells count="11">
    <mergeCell ref="B171:E171"/>
    <mergeCell ref="B172:E172"/>
    <mergeCell ref="B173:E173"/>
    <mergeCell ref="B174:E174"/>
    <mergeCell ref="B175:E175"/>
    <mergeCell ref="B170:E170"/>
    <mergeCell ref="A2:F2"/>
    <mergeCell ref="G2:J2"/>
    <mergeCell ref="G3:J3"/>
    <mergeCell ref="A168:F168"/>
    <mergeCell ref="B169:E169"/>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rowBreaks count="2" manualBreakCount="2">
    <brk id="35" max="5" man="1"/>
    <brk id="165" max="5"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7" tint="0.59999389629810485"/>
  </sheetPr>
  <dimension ref="A1:J544"/>
  <sheetViews>
    <sheetView topLeftCell="A519" zoomScale="70" zoomScaleNormal="70" zoomScaleSheetLayoutView="130" workbookViewId="0">
      <selection activeCell="E521" sqref="E521"/>
    </sheetView>
  </sheetViews>
  <sheetFormatPr defaultColWidth="9.109375" defaultRowHeight="13.2"/>
  <cols>
    <col min="1" max="1" width="10.88671875" style="1455" customWidth="1"/>
    <col min="2" max="2" width="39.88671875" style="279" customWidth="1"/>
    <col min="3" max="3" width="8.33203125" style="279" customWidth="1"/>
    <col min="4" max="4" width="8.6640625" style="279" customWidth="1"/>
    <col min="5" max="5" width="11.44140625" style="1422" customWidth="1"/>
    <col min="6" max="6" width="20.33203125" style="1456" customWidth="1"/>
    <col min="7" max="16384" width="9.109375" style="279"/>
  </cols>
  <sheetData>
    <row r="1" spans="1:7" ht="82.5" customHeight="1" thickBot="1">
      <c r="A1" s="1423"/>
      <c r="B1" s="1424"/>
      <c r="C1" s="1424"/>
      <c r="D1" s="1424"/>
      <c r="E1" s="1425"/>
      <c r="F1" s="1426"/>
    </row>
    <row r="2" spans="1:7" ht="39.75" customHeight="1">
      <c r="A2" s="1606" t="s">
        <v>896</v>
      </c>
      <c r="B2" s="1607"/>
      <c r="C2" s="1607"/>
      <c r="D2" s="1607"/>
      <c r="E2" s="1607"/>
      <c r="F2" s="1608"/>
    </row>
    <row r="3" spans="1:7" ht="13.8" thickBot="1">
      <c r="A3" s="1427" t="s">
        <v>897</v>
      </c>
      <c r="B3" s="1345"/>
      <c r="C3" s="1345"/>
      <c r="D3" s="1345"/>
      <c r="E3" s="1346"/>
      <c r="F3" s="1347"/>
    </row>
    <row r="4" spans="1:7" ht="28.5" customHeight="1">
      <c r="A4" s="1428" t="s">
        <v>684</v>
      </c>
      <c r="B4" s="1349" t="s">
        <v>685</v>
      </c>
      <c r="C4" s="1350" t="s">
        <v>686</v>
      </c>
      <c r="D4" s="1351" t="s">
        <v>687</v>
      </c>
      <c r="E4" s="1352" t="s">
        <v>688</v>
      </c>
      <c r="F4" s="1353" t="s">
        <v>689</v>
      </c>
      <c r="G4" s="1429" t="s">
        <v>2523</v>
      </c>
    </row>
    <row r="5" spans="1:7" ht="264">
      <c r="A5" s="1430"/>
      <c r="B5" s="1431" t="s">
        <v>2161</v>
      </c>
      <c r="C5" s="1357"/>
      <c r="D5" s="1358"/>
      <c r="E5" s="1359"/>
      <c r="F5" s="1360"/>
    </row>
    <row r="6" spans="1:7">
      <c r="A6" s="1361" t="s">
        <v>416</v>
      </c>
      <c r="B6" s="1408" t="s">
        <v>898</v>
      </c>
      <c r="C6" s="1387"/>
      <c r="D6" s="1409"/>
      <c r="E6" s="1388"/>
      <c r="F6" s="1432"/>
    </row>
    <row r="7" spans="1:7" ht="79.2">
      <c r="A7" s="1372" t="s">
        <v>416</v>
      </c>
      <c r="B7" s="1390" t="s">
        <v>899</v>
      </c>
      <c r="C7" s="1391"/>
      <c r="D7" s="1392"/>
      <c r="E7" s="1398"/>
      <c r="F7" s="1399"/>
    </row>
    <row r="8" spans="1:7">
      <c r="A8" s="1372"/>
      <c r="B8" s="1390" t="s">
        <v>900</v>
      </c>
      <c r="C8" s="1391" t="s">
        <v>29</v>
      </c>
      <c r="D8" s="1392">
        <v>3</v>
      </c>
      <c r="E8" s="1288">
        <v>300</v>
      </c>
      <c r="F8" s="1399">
        <f>E8*D8</f>
        <v>900</v>
      </c>
    </row>
    <row r="9" spans="1:7" ht="79.2">
      <c r="A9" s="1372" t="s">
        <v>421</v>
      </c>
      <c r="B9" s="1390" t="s">
        <v>901</v>
      </c>
      <c r="C9" s="1391" t="s">
        <v>902</v>
      </c>
      <c r="D9" s="1392">
        <v>3</v>
      </c>
      <c r="E9" s="1288">
        <v>300</v>
      </c>
      <c r="F9" s="1399">
        <f t="shared" ref="F9:F10" si="0">E9*D9</f>
        <v>900</v>
      </c>
    </row>
    <row r="10" spans="1:7" ht="39.6">
      <c r="A10" s="1372" t="s">
        <v>434</v>
      </c>
      <c r="B10" s="1390" t="s">
        <v>903</v>
      </c>
      <c r="C10" s="1391" t="s">
        <v>29</v>
      </c>
      <c r="D10" s="1392">
        <v>5</v>
      </c>
      <c r="E10" s="1288">
        <v>300</v>
      </c>
      <c r="F10" s="1399">
        <f t="shared" si="0"/>
        <v>1500</v>
      </c>
    </row>
    <row r="11" spans="1:7">
      <c r="A11" s="1372"/>
      <c r="B11" s="1406" t="s">
        <v>856</v>
      </c>
      <c r="C11" s="1391"/>
      <c r="D11" s="1392"/>
      <c r="E11" s="1398"/>
      <c r="F11" s="1433">
        <f>SUM(F8:F10)</f>
        <v>3300</v>
      </c>
    </row>
    <row r="12" spans="1:7" ht="26.4">
      <c r="A12" s="1361" t="s">
        <v>421</v>
      </c>
      <c r="B12" s="1408" t="s">
        <v>904</v>
      </c>
      <c r="C12" s="1387"/>
      <c r="D12" s="1409"/>
      <c r="E12" s="1388"/>
      <c r="F12" s="1434"/>
    </row>
    <row r="13" spans="1:7" ht="52.8">
      <c r="A13" s="1372" t="s">
        <v>416</v>
      </c>
      <c r="B13" s="1390" t="s">
        <v>905</v>
      </c>
      <c r="C13" s="1391" t="s">
        <v>692</v>
      </c>
      <c r="D13" s="1392">
        <v>10</v>
      </c>
      <c r="E13" s="1288">
        <v>55</v>
      </c>
      <c r="F13" s="1399">
        <f>E13*D13</f>
        <v>550</v>
      </c>
    </row>
    <row r="14" spans="1:7" ht="52.8">
      <c r="A14" s="1372" t="s">
        <v>421</v>
      </c>
      <c r="B14" s="1390" t="s">
        <v>906</v>
      </c>
      <c r="C14" s="1391" t="s">
        <v>692</v>
      </c>
      <c r="D14" s="1392">
        <v>15</v>
      </c>
      <c r="E14" s="1288">
        <v>45</v>
      </c>
      <c r="F14" s="1399">
        <f t="shared" ref="F14:F45" si="1">E14*D14</f>
        <v>675</v>
      </c>
    </row>
    <row r="15" spans="1:7" ht="52.8">
      <c r="A15" s="1372" t="s">
        <v>434</v>
      </c>
      <c r="B15" s="1390" t="s">
        <v>907</v>
      </c>
      <c r="C15" s="1391" t="s">
        <v>692</v>
      </c>
      <c r="D15" s="1392">
        <v>20</v>
      </c>
      <c r="E15" s="1288">
        <v>38</v>
      </c>
      <c r="F15" s="1399">
        <f t="shared" si="1"/>
        <v>760</v>
      </c>
    </row>
    <row r="16" spans="1:7" ht="66">
      <c r="A16" s="1372" t="s">
        <v>439</v>
      </c>
      <c r="B16" s="1390" t="s">
        <v>908</v>
      </c>
      <c r="C16" s="1391" t="s">
        <v>29</v>
      </c>
      <c r="D16" s="1392">
        <v>6</v>
      </c>
      <c r="E16" s="1288">
        <v>25</v>
      </c>
      <c r="F16" s="1399">
        <f t="shared" si="1"/>
        <v>150</v>
      </c>
    </row>
    <row r="17" spans="1:6" ht="66">
      <c r="A17" s="1372" t="s">
        <v>442</v>
      </c>
      <c r="B17" s="1390" t="s">
        <v>909</v>
      </c>
      <c r="C17" s="1391" t="s">
        <v>29</v>
      </c>
      <c r="D17" s="1392">
        <v>8</v>
      </c>
      <c r="E17" s="1288">
        <v>25</v>
      </c>
      <c r="F17" s="1399">
        <f t="shared" si="1"/>
        <v>200</v>
      </c>
    </row>
    <row r="18" spans="1:6" ht="66">
      <c r="A18" s="1372" t="s">
        <v>497</v>
      </c>
      <c r="B18" s="1390" t="s">
        <v>910</v>
      </c>
      <c r="C18" s="1391" t="s">
        <v>29</v>
      </c>
      <c r="D18" s="1392">
        <v>10</v>
      </c>
      <c r="E18" s="1288">
        <v>25</v>
      </c>
      <c r="F18" s="1399">
        <f t="shared" si="1"/>
        <v>250</v>
      </c>
    </row>
    <row r="19" spans="1:6" ht="26.4">
      <c r="A19" s="1372" t="s">
        <v>499</v>
      </c>
      <c r="B19" s="1390" t="s">
        <v>911</v>
      </c>
      <c r="C19" s="1391"/>
      <c r="D19" s="1392"/>
      <c r="E19" s="1398"/>
      <c r="F19" s="1399"/>
    </row>
    <row r="20" spans="1:6">
      <c r="A20" s="1372" t="s">
        <v>912</v>
      </c>
      <c r="B20" s="1390" t="s">
        <v>2165</v>
      </c>
      <c r="C20" s="1391" t="s">
        <v>692</v>
      </c>
      <c r="D20" s="1392">
        <v>50</v>
      </c>
      <c r="E20" s="1288">
        <v>9</v>
      </c>
      <c r="F20" s="1399">
        <f t="shared" si="1"/>
        <v>450</v>
      </c>
    </row>
    <row r="21" spans="1:6">
      <c r="A21" s="1372" t="s">
        <v>913</v>
      </c>
      <c r="B21" s="1390" t="s">
        <v>2166</v>
      </c>
      <c r="C21" s="1391" t="s">
        <v>692</v>
      </c>
      <c r="D21" s="1392">
        <v>40</v>
      </c>
      <c r="E21" s="1288">
        <v>9</v>
      </c>
      <c r="F21" s="1399">
        <f t="shared" si="1"/>
        <v>360</v>
      </c>
    </row>
    <row r="22" spans="1:6">
      <c r="A22" s="1372" t="s">
        <v>914</v>
      </c>
      <c r="B22" s="1390" t="s">
        <v>2167</v>
      </c>
      <c r="C22" s="1391" t="s">
        <v>692</v>
      </c>
      <c r="D22" s="1392">
        <v>30</v>
      </c>
      <c r="E22" s="1288">
        <v>11</v>
      </c>
      <c r="F22" s="1399">
        <f t="shared" si="1"/>
        <v>330</v>
      </c>
    </row>
    <row r="23" spans="1:6">
      <c r="A23" s="1372" t="s">
        <v>915</v>
      </c>
      <c r="B23" s="1390" t="s">
        <v>2168</v>
      </c>
      <c r="C23" s="1391" t="s">
        <v>692</v>
      </c>
      <c r="D23" s="1392">
        <v>20</v>
      </c>
      <c r="E23" s="1288">
        <v>15</v>
      </c>
      <c r="F23" s="1399">
        <f t="shared" si="1"/>
        <v>300</v>
      </c>
    </row>
    <row r="24" spans="1:6">
      <c r="A24" s="1372" t="s">
        <v>916</v>
      </c>
      <c r="B24" s="1390" t="s">
        <v>2169</v>
      </c>
      <c r="C24" s="1391" t="s">
        <v>29</v>
      </c>
      <c r="D24" s="1392">
        <v>15</v>
      </c>
      <c r="E24" s="1288">
        <v>5</v>
      </c>
      <c r="F24" s="1399">
        <f t="shared" si="1"/>
        <v>75</v>
      </c>
    </row>
    <row r="25" spans="1:6">
      <c r="A25" s="1372" t="s">
        <v>917</v>
      </c>
      <c r="B25" s="1390" t="s">
        <v>2170</v>
      </c>
      <c r="C25" s="1391" t="s">
        <v>29</v>
      </c>
      <c r="D25" s="1392">
        <v>15</v>
      </c>
      <c r="E25" s="1288">
        <v>5</v>
      </c>
      <c r="F25" s="1399">
        <f t="shared" si="1"/>
        <v>75</v>
      </c>
    </row>
    <row r="26" spans="1:6">
      <c r="A26" s="1372" t="s">
        <v>918</v>
      </c>
      <c r="B26" s="1390" t="s">
        <v>2171</v>
      </c>
      <c r="C26" s="1391" t="s">
        <v>29</v>
      </c>
      <c r="D26" s="1392">
        <v>10</v>
      </c>
      <c r="E26" s="1288">
        <v>5</v>
      </c>
      <c r="F26" s="1399">
        <f t="shared" si="1"/>
        <v>50</v>
      </c>
    </row>
    <row r="27" spans="1:6">
      <c r="A27" s="1372" t="s">
        <v>919</v>
      </c>
      <c r="B27" s="1390" t="s">
        <v>2172</v>
      </c>
      <c r="C27" s="1391" t="s">
        <v>29</v>
      </c>
      <c r="D27" s="1392">
        <v>10</v>
      </c>
      <c r="E27" s="1288">
        <v>5</v>
      </c>
      <c r="F27" s="1399">
        <f t="shared" si="1"/>
        <v>50</v>
      </c>
    </row>
    <row r="28" spans="1:6">
      <c r="A28" s="1372" t="s">
        <v>920</v>
      </c>
      <c r="B28" s="1390" t="s">
        <v>2173</v>
      </c>
      <c r="C28" s="1391" t="s">
        <v>29</v>
      </c>
      <c r="D28" s="1392">
        <v>25</v>
      </c>
      <c r="E28" s="1288">
        <v>4</v>
      </c>
      <c r="F28" s="1399">
        <f t="shared" si="1"/>
        <v>100</v>
      </c>
    </row>
    <row r="29" spans="1:6">
      <c r="A29" s="1372" t="s">
        <v>921</v>
      </c>
      <c r="B29" s="1390" t="s">
        <v>2174</v>
      </c>
      <c r="C29" s="1391" t="s">
        <v>29</v>
      </c>
      <c r="D29" s="1392">
        <v>20</v>
      </c>
      <c r="E29" s="1288">
        <v>4</v>
      </c>
      <c r="F29" s="1399">
        <f t="shared" si="1"/>
        <v>80</v>
      </c>
    </row>
    <row r="30" spans="1:6">
      <c r="A30" s="1372" t="s">
        <v>922</v>
      </c>
      <c r="B30" s="1390" t="s">
        <v>2175</v>
      </c>
      <c r="C30" s="1391" t="s">
        <v>29</v>
      </c>
      <c r="D30" s="1392">
        <v>15</v>
      </c>
      <c r="E30" s="1288">
        <v>4</v>
      </c>
      <c r="F30" s="1399">
        <f t="shared" si="1"/>
        <v>60</v>
      </c>
    </row>
    <row r="31" spans="1:6">
      <c r="A31" s="1372" t="s">
        <v>923</v>
      </c>
      <c r="B31" s="1390" t="s">
        <v>2176</v>
      </c>
      <c r="C31" s="1391" t="s">
        <v>29</v>
      </c>
      <c r="D31" s="1392">
        <v>10</v>
      </c>
      <c r="E31" s="1288">
        <v>5</v>
      </c>
      <c r="F31" s="1399">
        <f t="shared" si="1"/>
        <v>50</v>
      </c>
    </row>
    <row r="32" spans="1:6" ht="66">
      <c r="A32" s="1372" t="s">
        <v>559</v>
      </c>
      <c r="B32" s="1390" t="s">
        <v>924</v>
      </c>
      <c r="C32" s="1391"/>
      <c r="D32" s="1392"/>
      <c r="E32" s="1398"/>
      <c r="F32" s="1399"/>
    </row>
    <row r="33" spans="1:6">
      <c r="A33" s="1372" t="s">
        <v>925</v>
      </c>
      <c r="B33" s="1390" t="s">
        <v>926</v>
      </c>
      <c r="C33" s="1391" t="s">
        <v>692</v>
      </c>
      <c r="D33" s="1392">
        <v>1200</v>
      </c>
      <c r="E33" s="1288">
        <v>2</v>
      </c>
      <c r="F33" s="1399">
        <f t="shared" si="1"/>
        <v>2400</v>
      </c>
    </row>
    <row r="34" spans="1:6">
      <c r="A34" s="1372" t="s">
        <v>927</v>
      </c>
      <c r="B34" s="1390" t="s">
        <v>928</v>
      </c>
      <c r="C34" s="1391" t="s">
        <v>692</v>
      </c>
      <c r="D34" s="1392">
        <v>800</v>
      </c>
      <c r="E34" s="1288">
        <v>2</v>
      </c>
      <c r="F34" s="1399">
        <f t="shared" si="1"/>
        <v>1600</v>
      </c>
    </row>
    <row r="35" spans="1:6">
      <c r="A35" s="1372" t="s">
        <v>929</v>
      </c>
      <c r="B35" s="1390" t="s">
        <v>930</v>
      </c>
      <c r="C35" s="1391" t="s">
        <v>692</v>
      </c>
      <c r="D35" s="1392">
        <v>2500</v>
      </c>
      <c r="E35" s="1288">
        <v>2</v>
      </c>
      <c r="F35" s="1399">
        <f t="shared" si="1"/>
        <v>5000</v>
      </c>
    </row>
    <row r="36" spans="1:6">
      <c r="A36" s="1372" t="s">
        <v>931</v>
      </c>
      <c r="B36" s="1390" t="s">
        <v>932</v>
      </c>
      <c r="C36" s="1391" t="s">
        <v>692</v>
      </c>
      <c r="D36" s="1392">
        <v>300</v>
      </c>
      <c r="E36" s="1288">
        <v>2</v>
      </c>
      <c r="F36" s="1399">
        <f t="shared" si="1"/>
        <v>600</v>
      </c>
    </row>
    <row r="37" spans="1:6">
      <c r="A37" s="1372" t="s">
        <v>933</v>
      </c>
      <c r="B37" s="1390" t="s">
        <v>934</v>
      </c>
      <c r="C37" s="1391" t="s">
        <v>692</v>
      </c>
      <c r="D37" s="1392">
        <v>190</v>
      </c>
      <c r="E37" s="1288">
        <v>9</v>
      </c>
      <c r="F37" s="1399">
        <f t="shared" si="1"/>
        <v>1710</v>
      </c>
    </row>
    <row r="38" spans="1:6">
      <c r="A38" s="1372" t="s">
        <v>935</v>
      </c>
      <c r="B38" s="1390" t="s">
        <v>936</v>
      </c>
      <c r="C38" s="1391" t="s">
        <v>692</v>
      </c>
      <c r="D38" s="1392">
        <v>150</v>
      </c>
      <c r="E38" s="1288">
        <v>12</v>
      </c>
      <c r="F38" s="1399">
        <f t="shared" si="1"/>
        <v>1800</v>
      </c>
    </row>
    <row r="39" spans="1:6" ht="52.8">
      <c r="A39" s="1372" t="s">
        <v>562</v>
      </c>
      <c r="B39" s="1390" t="s">
        <v>937</v>
      </c>
      <c r="C39" s="1391"/>
      <c r="D39" s="1392"/>
      <c r="E39" s="1398"/>
      <c r="F39" s="1399"/>
    </row>
    <row r="40" spans="1:6">
      <c r="A40" s="1372" t="s">
        <v>938</v>
      </c>
      <c r="B40" s="1390" t="s">
        <v>926</v>
      </c>
      <c r="C40" s="1391" t="s">
        <v>692</v>
      </c>
      <c r="D40" s="1392">
        <v>200</v>
      </c>
      <c r="E40" s="1288">
        <v>8</v>
      </c>
      <c r="F40" s="1399">
        <f t="shared" si="1"/>
        <v>1600</v>
      </c>
    </row>
    <row r="41" spans="1:6">
      <c r="A41" s="1372" t="s">
        <v>939</v>
      </c>
      <c r="B41" s="1390" t="s">
        <v>928</v>
      </c>
      <c r="C41" s="1391" t="s">
        <v>692</v>
      </c>
      <c r="D41" s="1392">
        <v>100</v>
      </c>
      <c r="E41" s="1288">
        <v>8</v>
      </c>
      <c r="F41" s="1399">
        <f t="shared" si="1"/>
        <v>800</v>
      </c>
    </row>
    <row r="42" spans="1:6">
      <c r="A42" s="1372" t="s">
        <v>940</v>
      </c>
      <c r="B42" s="1390" t="s">
        <v>930</v>
      </c>
      <c r="C42" s="1391" t="s">
        <v>692</v>
      </c>
      <c r="D42" s="1392">
        <v>80</v>
      </c>
      <c r="E42" s="1288">
        <v>9</v>
      </c>
      <c r="F42" s="1399">
        <f t="shared" si="1"/>
        <v>720</v>
      </c>
    </row>
    <row r="43" spans="1:6">
      <c r="A43" s="1372" t="s">
        <v>941</v>
      </c>
      <c r="B43" s="1390" t="s">
        <v>932</v>
      </c>
      <c r="C43" s="1391" t="s">
        <v>692</v>
      </c>
      <c r="D43" s="1392">
        <v>50</v>
      </c>
      <c r="E43" s="1288">
        <v>8</v>
      </c>
      <c r="F43" s="1399">
        <f t="shared" si="1"/>
        <v>400</v>
      </c>
    </row>
    <row r="44" spans="1:6">
      <c r="A44" s="1372" t="s">
        <v>942</v>
      </c>
      <c r="B44" s="1390" t="s">
        <v>934</v>
      </c>
      <c r="C44" s="1391" t="s">
        <v>692</v>
      </c>
      <c r="D44" s="1392">
        <v>40</v>
      </c>
      <c r="E44" s="1288">
        <v>9</v>
      </c>
      <c r="F44" s="1399">
        <f t="shared" si="1"/>
        <v>360</v>
      </c>
    </row>
    <row r="45" spans="1:6">
      <c r="A45" s="1372" t="s">
        <v>943</v>
      </c>
      <c r="B45" s="1390" t="s">
        <v>936</v>
      </c>
      <c r="C45" s="1391" t="s">
        <v>692</v>
      </c>
      <c r="D45" s="1392">
        <v>30</v>
      </c>
      <c r="E45" s="1288">
        <v>9</v>
      </c>
      <c r="F45" s="1399">
        <f t="shared" si="1"/>
        <v>270</v>
      </c>
    </row>
    <row r="46" spans="1:6">
      <c r="A46" s="1372"/>
      <c r="B46" s="1406" t="s">
        <v>879</v>
      </c>
      <c r="C46" s="1391"/>
      <c r="D46" s="1392"/>
      <c r="E46" s="1398"/>
      <c r="F46" s="1433">
        <f>SUM(F13:F45)</f>
        <v>21825</v>
      </c>
    </row>
    <row r="47" spans="1:6" ht="26.4">
      <c r="A47" s="1361" t="s">
        <v>434</v>
      </c>
      <c r="B47" s="1408" t="s">
        <v>944</v>
      </c>
      <c r="C47" s="1387"/>
      <c r="D47" s="1409"/>
      <c r="E47" s="1388"/>
      <c r="F47" s="1434"/>
    </row>
    <row r="48" spans="1:6" ht="52.8">
      <c r="A48" s="1372" t="s">
        <v>416</v>
      </c>
      <c r="B48" s="1404" t="s">
        <v>945</v>
      </c>
      <c r="C48" s="1391"/>
      <c r="D48" s="1392"/>
      <c r="E48" s="1398"/>
      <c r="F48" s="1399"/>
    </row>
    <row r="49" spans="1:6" ht="198">
      <c r="A49" s="1372" t="s">
        <v>946</v>
      </c>
      <c r="B49" s="1404" t="s">
        <v>947</v>
      </c>
      <c r="C49" s="1391" t="s">
        <v>29</v>
      </c>
      <c r="D49" s="1392">
        <v>20</v>
      </c>
      <c r="E49" s="1288">
        <v>110</v>
      </c>
      <c r="F49" s="1399">
        <f>E49*D49</f>
        <v>2200</v>
      </c>
    </row>
    <row r="50" spans="1:6" ht="198">
      <c r="A50" s="1372" t="s">
        <v>948</v>
      </c>
      <c r="B50" s="1404" t="s">
        <v>949</v>
      </c>
      <c r="C50" s="1391" t="s">
        <v>29</v>
      </c>
      <c r="D50" s="1392">
        <v>3</v>
      </c>
      <c r="E50" s="1288">
        <v>115</v>
      </c>
      <c r="F50" s="1399">
        <f t="shared" ref="F50:F113" si="2">E50*D50</f>
        <v>345</v>
      </c>
    </row>
    <row r="51" spans="1:6" ht="145.19999999999999">
      <c r="A51" s="1372" t="s">
        <v>950</v>
      </c>
      <c r="B51" s="1404" t="s">
        <v>951</v>
      </c>
      <c r="C51" s="1391" t="s">
        <v>29</v>
      </c>
      <c r="D51" s="1392">
        <v>8</v>
      </c>
      <c r="E51" s="1288">
        <v>155</v>
      </c>
      <c r="F51" s="1399">
        <f t="shared" si="2"/>
        <v>1240</v>
      </c>
    </row>
    <row r="52" spans="1:6" ht="264">
      <c r="A52" s="1372" t="s">
        <v>952</v>
      </c>
      <c r="B52" s="1404" t="s">
        <v>2556</v>
      </c>
      <c r="C52" s="1391" t="s">
        <v>29</v>
      </c>
      <c r="D52" s="1392">
        <v>3</v>
      </c>
      <c r="E52" s="1288">
        <v>79</v>
      </c>
      <c r="F52" s="1399">
        <f t="shared" si="2"/>
        <v>237</v>
      </c>
    </row>
    <row r="53" spans="1:6" ht="198">
      <c r="A53" s="1372" t="s">
        <v>953</v>
      </c>
      <c r="B53" s="1404" t="s">
        <v>954</v>
      </c>
      <c r="C53" s="1391" t="s">
        <v>29</v>
      </c>
      <c r="D53" s="1392">
        <v>14</v>
      </c>
      <c r="E53" s="1288">
        <v>115</v>
      </c>
      <c r="F53" s="1399">
        <f t="shared" si="2"/>
        <v>1610</v>
      </c>
    </row>
    <row r="54" spans="1:6" ht="184.8">
      <c r="A54" s="1372" t="s">
        <v>955</v>
      </c>
      <c r="B54" s="1404" t="s">
        <v>956</v>
      </c>
      <c r="C54" s="1391" t="s">
        <v>29</v>
      </c>
      <c r="D54" s="1392">
        <v>7</v>
      </c>
      <c r="E54" s="1288">
        <v>125</v>
      </c>
      <c r="F54" s="1399">
        <f t="shared" si="2"/>
        <v>875</v>
      </c>
    </row>
    <row r="55" spans="1:6" ht="171.6">
      <c r="A55" s="1372" t="s">
        <v>957</v>
      </c>
      <c r="B55" s="1404" t="s">
        <v>958</v>
      </c>
      <c r="C55" s="1391" t="s">
        <v>29</v>
      </c>
      <c r="D55" s="1392">
        <v>3</v>
      </c>
      <c r="E55" s="1288">
        <v>122</v>
      </c>
      <c r="F55" s="1399">
        <f t="shared" si="2"/>
        <v>366</v>
      </c>
    </row>
    <row r="56" spans="1:6" ht="66">
      <c r="A56" s="1372" t="s">
        <v>959</v>
      </c>
      <c r="B56" s="1404" t="s">
        <v>960</v>
      </c>
      <c r="C56" s="1391" t="s">
        <v>29</v>
      </c>
      <c r="D56" s="1392">
        <v>11</v>
      </c>
      <c r="E56" s="1288">
        <v>190</v>
      </c>
      <c r="F56" s="1399">
        <f t="shared" si="2"/>
        <v>2090</v>
      </c>
    </row>
    <row r="57" spans="1:6" ht="66">
      <c r="A57" s="1372" t="s">
        <v>961</v>
      </c>
      <c r="B57" s="1404" t="s">
        <v>962</v>
      </c>
      <c r="C57" s="1391" t="s">
        <v>29</v>
      </c>
      <c r="D57" s="1392">
        <v>11</v>
      </c>
      <c r="E57" s="1288">
        <v>7</v>
      </c>
      <c r="F57" s="1399">
        <f t="shared" si="2"/>
        <v>77</v>
      </c>
    </row>
    <row r="58" spans="1:6" ht="145.19999999999999">
      <c r="A58" s="1372" t="s">
        <v>963</v>
      </c>
      <c r="B58" s="1404" t="s">
        <v>964</v>
      </c>
      <c r="C58" s="1391" t="s">
        <v>29</v>
      </c>
      <c r="D58" s="1392">
        <v>23</v>
      </c>
      <c r="E58" s="1288">
        <v>78</v>
      </c>
      <c r="F58" s="1399">
        <f t="shared" si="2"/>
        <v>1794</v>
      </c>
    </row>
    <row r="59" spans="1:6" ht="145.19999999999999">
      <c r="A59" s="1372" t="s">
        <v>965</v>
      </c>
      <c r="B59" s="1404" t="s">
        <v>966</v>
      </c>
      <c r="C59" s="1391" t="s">
        <v>29</v>
      </c>
      <c r="D59" s="1392">
        <v>14</v>
      </c>
      <c r="E59" s="1288">
        <v>85</v>
      </c>
      <c r="F59" s="1399">
        <f t="shared" si="2"/>
        <v>1190</v>
      </c>
    </row>
    <row r="60" spans="1:6" ht="66">
      <c r="A60" s="1372" t="s">
        <v>967</v>
      </c>
      <c r="B60" s="1404" t="s">
        <v>968</v>
      </c>
      <c r="C60" s="1391" t="s">
        <v>29</v>
      </c>
      <c r="D60" s="1392">
        <v>20</v>
      </c>
      <c r="E60" s="1288">
        <v>114</v>
      </c>
      <c r="F60" s="1399">
        <f t="shared" si="2"/>
        <v>2280</v>
      </c>
    </row>
    <row r="61" spans="1:6" ht="79.2">
      <c r="A61" s="1372" t="s">
        <v>969</v>
      </c>
      <c r="B61" s="1404" t="s">
        <v>970</v>
      </c>
      <c r="C61" s="1391" t="s">
        <v>29</v>
      </c>
      <c r="D61" s="1392">
        <v>20</v>
      </c>
      <c r="E61" s="1288">
        <v>7</v>
      </c>
      <c r="F61" s="1399">
        <f t="shared" si="2"/>
        <v>140</v>
      </c>
    </row>
    <row r="62" spans="1:6" ht="118.8">
      <c r="A62" s="1372" t="s">
        <v>971</v>
      </c>
      <c r="B62" s="1404" t="s">
        <v>972</v>
      </c>
      <c r="C62" s="1391" t="s">
        <v>29</v>
      </c>
      <c r="D62" s="1392">
        <v>12</v>
      </c>
      <c r="E62" s="1288">
        <v>115</v>
      </c>
      <c r="F62" s="1399">
        <f t="shared" si="2"/>
        <v>1380</v>
      </c>
    </row>
    <row r="63" spans="1:6" ht="105.6">
      <c r="A63" s="1372" t="s">
        <v>973</v>
      </c>
      <c r="B63" s="1404" t="s">
        <v>974</v>
      </c>
      <c r="C63" s="1391" t="s">
        <v>29</v>
      </c>
      <c r="D63" s="1392">
        <v>8</v>
      </c>
      <c r="E63" s="1288">
        <v>95</v>
      </c>
      <c r="F63" s="1399">
        <f t="shared" si="2"/>
        <v>760</v>
      </c>
    </row>
    <row r="64" spans="1:6" ht="145.19999999999999">
      <c r="A64" s="1372" t="s">
        <v>975</v>
      </c>
      <c r="B64" s="1404" t="s">
        <v>976</v>
      </c>
      <c r="C64" s="1391" t="s">
        <v>29</v>
      </c>
      <c r="D64" s="1392">
        <v>6</v>
      </c>
      <c r="E64" s="1288">
        <v>99</v>
      </c>
      <c r="F64" s="1399">
        <f t="shared" si="2"/>
        <v>594</v>
      </c>
    </row>
    <row r="65" spans="1:6" ht="145.19999999999999">
      <c r="A65" s="1372" t="s">
        <v>977</v>
      </c>
      <c r="B65" s="1404" t="s">
        <v>978</v>
      </c>
      <c r="C65" s="1391" t="s">
        <v>29</v>
      </c>
      <c r="D65" s="1392">
        <v>2</v>
      </c>
      <c r="E65" s="1288">
        <v>99</v>
      </c>
      <c r="F65" s="1399">
        <f t="shared" si="2"/>
        <v>198</v>
      </c>
    </row>
    <row r="66" spans="1:6" ht="39.6">
      <c r="A66" s="1372" t="s">
        <v>979</v>
      </c>
      <c r="B66" s="1390" t="s">
        <v>980</v>
      </c>
      <c r="C66" s="1391" t="s">
        <v>29</v>
      </c>
      <c r="D66" s="1392">
        <v>35</v>
      </c>
      <c r="E66" s="1288">
        <v>7</v>
      </c>
      <c r="F66" s="1399">
        <f t="shared" si="2"/>
        <v>245</v>
      </c>
    </row>
    <row r="67" spans="1:6" ht="26.4">
      <c r="A67" s="1372" t="s">
        <v>981</v>
      </c>
      <c r="B67" s="1390" t="s">
        <v>982</v>
      </c>
      <c r="C67" s="1391" t="s">
        <v>29</v>
      </c>
      <c r="D67" s="1392">
        <v>145</v>
      </c>
      <c r="E67" s="1288">
        <v>15</v>
      </c>
      <c r="F67" s="1399">
        <f t="shared" si="2"/>
        <v>2175</v>
      </c>
    </row>
    <row r="68" spans="1:6" ht="39.6">
      <c r="A68" s="1372" t="s">
        <v>983</v>
      </c>
      <c r="B68" s="1390" t="s">
        <v>984</v>
      </c>
      <c r="C68" s="1391" t="s">
        <v>29</v>
      </c>
      <c r="D68" s="1392">
        <v>8</v>
      </c>
      <c r="E68" s="1288">
        <v>19</v>
      </c>
      <c r="F68" s="1399">
        <f t="shared" si="2"/>
        <v>152</v>
      </c>
    </row>
    <row r="69" spans="1:6" ht="39.6">
      <c r="A69" s="1372" t="s">
        <v>985</v>
      </c>
      <c r="B69" s="1390" t="s">
        <v>986</v>
      </c>
      <c r="C69" s="1391" t="s">
        <v>29</v>
      </c>
      <c r="D69" s="1392">
        <v>35</v>
      </c>
      <c r="E69" s="1288">
        <v>5</v>
      </c>
      <c r="F69" s="1399">
        <f t="shared" si="2"/>
        <v>175</v>
      </c>
    </row>
    <row r="70" spans="1:6" ht="39.6">
      <c r="A70" s="1372" t="s">
        <v>987</v>
      </c>
      <c r="B70" s="1390" t="s">
        <v>988</v>
      </c>
      <c r="C70" s="1391" t="s">
        <v>29</v>
      </c>
      <c r="D70" s="1392">
        <v>3</v>
      </c>
      <c r="E70" s="1288">
        <v>9</v>
      </c>
      <c r="F70" s="1399">
        <f t="shared" si="2"/>
        <v>27</v>
      </c>
    </row>
    <row r="71" spans="1:6" ht="39.6">
      <c r="A71" s="1372" t="s">
        <v>989</v>
      </c>
      <c r="B71" s="1390" t="s">
        <v>990</v>
      </c>
      <c r="C71" s="1391" t="s">
        <v>29</v>
      </c>
      <c r="D71" s="1392">
        <v>35</v>
      </c>
      <c r="E71" s="1288">
        <v>11</v>
      </c>
      <c r="F71" s="1399">
        <f t="shared" si="2"/>
        <v>385</v>
      </c>
    </row>
    <row r="72" spans="1:6" ht="39.6">
      <c r="A72" s="1372" t="s">
        <v>991</v>
      </c>
      <c r="B72" s="1390" t="s">
        <v>992</v>
      </c>
      <c r="C72" s="1391" t="s">
        <v>29</v>
      </c>
      <c r="D72" s="1392">
        <v>30</v>
      </c>
      <c r="E72" s="1288">
        <v>8</v>
      </c>
      <c r="F72" s="1399">
        <f t="shared" si="2"/>
        <v>240</v>
      </c>
    </row>
    <row r="73" spans="1:6" ht="39.6">
      <c r="A73" s="1372" t="s">
        <v>993</v>
      </c>
      <c r="B73" s="1390" t="s">
        <v>994</v>
      </c>
      <c r="C73" s="1391" t="s">
        <v>29</v>
      </c>
      <c r="D73" s="1392">
        <v>15</v>
      </c>
      <c r="E73" s="1288">
        <v>12</v>
      </c>
      <c r="F73" s="1399">
        <f t="shared" si="2"/>
        <v>180</v>
      </c>
    </row>
    <row r="74" spans="1:6" ht="39.6">
      <c r="A74" s="1372" t="s">
        <v>995</v>
      </c>
      <c r="B74" s="1390" t="s">
        <v>996</v>
      </c>
      <c r="C74" s="1391" t="s">
        <v>29</v>
      </c>
      <c r="D74" s="1392">
        <v>20</v>
      </c>
      <c r="E74" s="1288">
        <v>9</v>
      </c>
      <c r="F74" s="1399">
        <f t="shared" si="2"/>
        <v>180</v>
      </c>
    </row>
    <row r="75" spans="1:6" ht="39.6">
      <c r="A75" s="1372" t="s">
        <v>997</v>
      </c>
      <c r="B75" s="1390" t="s">
        <v>998</v>
      </c>
      <c r="C75" s="1391" t="s">
        <v>29</v>
      </c>
      <c r="D75" s="1392">
        <v>1</v>
      </c>
      <c r="E75" s="1288">
        <v>55</v>
      </c>
      <c r="F75" s="1399">
        <f t="shared" si="2"/>
        <v>55</v>
      </c>
    </row>
    <row r="76" spans="1:6" ht="39.6">
      <c r="A76" s="1372" t="s">
        <v>999</v>
      </c>
      <c r="B76" s="1390" t="s">
        <v>1000</v>
      </c>
      <c r="C76" s="1391" t="s">
        <v>29</v>
      </c>
      <c r="D76" s="1392">
        <v>11</v>
      </c>
      <c r="E76" s="1288">
        <v>67</v>
      </c>
      <c r="F76" s="1399">
        <f t="shared" si="2"/>
        <v>737</v>
      </c>
    </row>
    <row r="77" spans="1:6" ht="39.6">
      <c r="A77" s="1372" t="s">
        <v>1001</v>
      </c>
      <c r="B77" s="1390" t="s">
        <v>1002</v>
      </c>
      <c r="C77" s="1391" t="s">
        <v>29</v>
      </c>
      <c r="D77" s="1392">
        <v>30</v>
      </c>
      <c r="E77" s="1288">
        <v>20</v>
      </c>
      <c r="F77" s="1399">
        <f t="shared" si="2"/>
        <v>600</v>
      </c>
    </row>
    <row r="78" spans="1:6" ht="39.6">
      <c r="A78" s="1372" t="s">
        <v>1003</v>
      </c>
      <c r="B78" s="1390" t="s">
        <v>2549</v>
      </c>
      <c r="C78" s="1391" t="s">
        <v>29</v>
      </c>
      <c r="D78" s="1392">
        <v>3</v>
      </c>
      <c r="E78" s="1288">
        <v>15</v>
      </c>
      <c r="F78" s="1399">
        <f t="shared" si="2"/>
        <v>45</v>
      </c>
    </row>
    <row r="79" spans="1:6" ht="39.6">
      <c r="A79" s="1372" t="s">
        <v>1004</v>
      </c>
      <c r="B79" s="1390" t="s">
        <v>1005</v>
      </c>
      <c r="C79" s="1391" t="s">
        <v>29</v>
      </c>
      <c r="D79" s="1392">
        <v>5</v>
      </c>
      <c r="E79" s="1288">
        <v>25</v>
      </c>
      <c r="F79" s="1399">
        <f t="shared" si="2"/>
        <v>125</v>
      </c>
    </row>
    <row r="80" spans="1:6" ht="39.6">
      <c r="A80" s="1372" t="s">
        <v>1006</v>
      </c>
      <c r="B80" s="1390" t="s">
        <v>980</v>
      </c>
      <c r="C80" s="1391" t="s">
        <v>29</v>
      </c>
      <c r="D80" s="1392">
        <v>55</v>
      </c>
      <c r="E80" s="1288">
        <v>7</v>
      </c>
      <c r="F80" s="1399">
        <f t="shared" si="2"/>
        <v>385</v>
      </c>
    </row>
    <row r="81" spans="1:6" ht="39.6">
      <c r="A81" s="1372" t="s">
        <v>1007</v>
      </c>
      <c r="B81" s="1390" t="s">
        <v>992</v>
      </c>
      <c r="C81" s="1391" t="s">
        <v>29</v>
      </c>
      <c r="D81" s="1392">
        <v>55</v>
      </c>
      <c r="E81" s="1288">
        <v>9</v>
      </c>
      <c r="F81" s="1399">
        <f t="shared" si="2"/>
        <v>495</v>
      </c>
    </row>
    <row r="82" spans="1:6" ht="26.4">
      <c r="A82" s="1372" t="s">
        <v>1008</v>
      </c>
      <c r="B82" s="1390" t="s">
        <v>1009</v>
      </c>
      <c r="C82" s="1391" t="s">
        <v>29</v>
      </c>
      <c r="D82" s="1392">
        <v>4</v>
      </c>
      <c r="E82" s="1288">
        <v>15</v>
      </c>
      <c r="F82" s="1399">
        <f t="shared" si="2"/>
        <v>60</v>
      </c>
    </row>
    <row r="83" spans="1:6" ht="39.6">
      <c r="A83" s="1372" t="s">
        <v>1010</v>
      </c>
      <c r="B83" s="1390" t="s">
        <v>1011</v>
      </c>
      <c r="C83" s="1391" t="s">
        <v>29</v>
      </c>
      <c r="D83" s="1392">
        <v>6</v>
      </c>
      <c r="E83" s="1288">
        <v>18</v>
      </c>
      <c r="F83" s="1399">
        <f t="shared" si="2"/>
        <v>108</v>
      </c>
    </row>
    <row r="84" spans="1:6" ht="26.4">
      <c r="A84" s="1372" t="s">
        <v>1012</v>
      </c>
      <c r="B84" s="1390" t="s">
        <v>1013</v>
      </c>
      <c r="C84" s="1391" t="s">
        <v>29</v>
      </c>
      <c r="D84" s="1392">
        <v>14</v>
      </c>
      <c r="E84" s="1288">
        <v>15</v>
      </c>
      <c r="F84" s="1399">
        <f t="shared" si="2"/>
        <v>210</v>
      </c>
    </row>
    <row r="85" spans="1:6" ht="39.6">
      <c r="A85" s="1372" t="s">
        <v>1014</v>
      </c>
      <c r="B85" s="1390" t="s">
        <v>1015</v>
      </c>
      <c r="C85" s="1391" t="s">
        <v>29</v>
      </c>
      <c r="D85" s="1392">
        <v>4</v>
      </c>
      <c r="E85" s="1288">
        <v>17</v>
      </c>
      <c r="F85" s="1399">
        <f t="shared" si="2"/>
        <v>68</v>
      </c>
    </row>
    <row r="86" spans="1:6" ht="39.6">
      <c r="A86" s="1372" t="s">
        <v>1016</v>
      </c>
      <c r="B86" s="1390" t="s">
        <v>1017</v>
      </c>
      <c r="C86" s="1391" t="s">
        <v>29</v>
      </c>
      <c r="D86" s="1392">
        <v>28</v>
      </c>
      <c r="E86" s="1288">
        <v>15</v>
      </c>
      <c r="F86" s="1399">
        <f t="shared" si="2"/>
        <v>420</v>
      </c>
    </row>
    <row r="87" spans="1:6" ht="39.6">
      <c r="A87" s="1372" t="s">
        <v>1018</v>
      </c>
      <c r="B87" s="1390" t="s">
        <v>1019</v>
      </c>
      <c r="C87" s="1391" t="s">
        <v>29</v>
      </c>
      <c r="D87" s="1392">
        <v>1</v>
      </c>
      <c r="E87" s="1288">
        <v>25</v>
      </c>
      <c r="F87" s="1399">
        <f t="shared" si="2"/>
        <v>25</v>
      </c>
    </row>
    <row r="88" spans="1:6" ht="66">
      <c r="A88" s="1372" t="s">
        <v>1020</v>
      </c>
      <c r="B88" s="1390" t="s">
        <v>1021</v>
      </c>
      <c r="C88" s="1391" t="s">
        <v>29</v>
      </c>
      <c r="D88" s="1392">
        <v>6</v>
      </c>
      <c r="E88" s="1288">
        <v>110</v>
      </c>
      <c r="F88" s="1399">
        <f t="shared" si="2"/>
        <v>660</v>
      </c>
    </row>
    <row r="89" spans="1:6" ht="39.6">
      <c r="A89" s="1372" t="s">
        <v>1022</v>
      </c>
      <c r="B89" s="1390" t="s">
        <v>1023</v>
      </c>
      <c r="C89" s="1391" t="s">
        <v>29</v>
      </c>
      <c r="D89" s="1392">
        <v>5</v>
      </c>
      <c r="E89" s="1288">
        <v>425</v>
      </c>
      <c r="F89" s="1399">
        <f t="shared" si="2"/>
        <v>2125</v>
      </c>
    </row>
    <row r="90" spans="1:6" ht="39.6">
      <c r="A90" s="1372" t="s">
        <v>1024</v>
      </c>
      <c r="B90" s="1390" t="s">
        <v>1025</v>
      </c>
      <c r="C90" s="1391" t="s">
        <v>29</v>
      </c>
      <c r="D90" s="1392">
        <v>3</v>
      </c>
      <c r="E90" s="1288">
        <v>525</v>
      </c>
      <c r="F90" s="1399">
        <f t="shared" si="2"/>
        <v>1575</v>
      </c>
    </row>
    <row r="91" spans="1:6" ht="26.4">
      <c r="A91" s="1372" t="s">
        <v>1026</v>
      </c>
      <c r="B91" s="1390" t="s">
        <v>1027</v>
      </c>
      <c r="C91" s="1391"/>
      <c r="D91" s="1392"/>
      <c r="E91" s="1398"/>
      <c r="F91" s="1399">
        <f t="shared" si="2"/>
        <v>0</v>
      </c>
    </row>
    <row r="92" spans="1:6" ht="26.4">
      <c r="A92" s="1372" t="s">
        <v>1028</v>
      </c>
      <c r="B92" s="1390" t="s">
        <v>1029</v>
      </c>
      <c r="C92" s="1391" t="s">
        <v>29</v>
      </c>
      <c r="D92" s="1392">
        <v>1</v>
      </c>
      <c r="E92" s="1288">
        <v>55</v>
      </c>
      <c r="F92" s="1399">
        <f t="shared" si="2"/>
        <v>55</v>
      </c>
    </row>
    <row r="93" spans="1:6" ht="26.4">
      <c r="A93" s="1372" t="s">
        <v>1030</v>
      </c>
      <c r="B93" s="1390" t="s">
        <v>1031</v>
      </c>
      <c r="C93" s="1391" t="s">
        <v>29</v>
      </c>
      <c r="D93" s="1392">
        <v>12</v>
      </c>
      <c r="E93" s="1288">
        <v>25</v>
      </c>
      <c r="F93" s="1399">
        <f t="shared" si="2"/>
        <v>300</v>
      </c>
    </row>
    <row r="94" spans="1:6">
      <c r="A94" s="1372" t="s">
        <v>1032</v>
      </c>
      <c r="B94" s="1390" t="s">
        <v>1033</v>
      </c>
      <c r="C94" s="1391" t="s">
        <v>29</v>
      </c>
      <c r="D94" s="1392">
        <v>1</v>
      </c>
      <c r="E94" s="1288">
        <v>55</v>
      </c>
      <c r="F94" s="1399">
        <f t="shared" si="2"/>
        <v>55</v>
      </c>
    </row>
    <row r="95" spans="1:6">
      <c r="A95" s="1372" t="s">
        <v>1034</v>
      </c>
      <c r="B95" s="1390" t="s">
        <v>1035</v>
      </c>
      <c r="C95" s="1391" t="s">
        <v>29</v>
      </c>
      <c r="D95" s="1392">
        <v>1</v>
      </c>
      <c r="E95" s="1288">
        <v>55</v>
      </c>
      <c r="F95" s="1399">
        <f t="shared" si="2"/>
        <v>55</v>
      </c>
    </row>
    <row r="96" spans="1:6">
      <c r="A96" s="1372" t="s">
        <v>1036</v>
      </c>
      <c r="B96" s="1390" t="s">
        <v>1037</v>
      </c>
      <c r="C96" s="1391" t="s">
        <v>29</v>
      </c>
      <c r="D96" s="1392">
        <v>1</v>
      </c>
      <c r="E96" s="1288">
        <v>55</v>
      </c>
      <c r="F96" s="1399">
        <f t="shared" si="2"/>
        <v>55</v>
      </c>
    </row>
    <row r="97" spans="1:6" ht="26.4">
      <c r="A97" s="1372" t="s">
        <v>1038</v>
      </c>
      <c r="B97" s="1390" t="s">
        <v>1039</v>
      </c>
      <c r="C97" s="1391" t="s">
        <v>29</v>
      </c>
      <c r="D97" s="1392">
        <v>1</v>
      </c>
      <c r="E97" s="1288">
        <v>5</v>
      </c>
      <c r="F97" s="1399">
        <f t="shared" si="2"/>
        <v>5</v>
      </c>
    </row>
    <row r="98" spans="1:6">
      <c r="A98" s="1372" t="s">
        <v>1040</v>
      </c>
      <c r="B98" s="1390" t="s">
        <v>1041</v>
      </c>
      <c r="C98" s="1391" t="s">
        <v>29</v>
      </c>
      <c r="D98" s="1392">
        <v>1</v>
      </c>
      <c r="E98" s="1288">
        <v>35</v>
      </c>
      <c r="F98" s="1399">
        <f t="shared" si="2"/>
        <v>35</v>
      </c>
    </row>
    <row r="99" spans="1:6">
      <c r="A99" s="1372" t="s">
        <v>1042</v>
      </c>
      <c r="B99" s="1390" t="s">
        <v>1043</v>
      </c>
      <c r="C99" s="1391" t="s">
        <v>29</v>
      </c>
      <c r="D99" s="1392">
        <v>8</v>
      </c>
      <c r="E99" s="1288">
        <v>45</v>
      </c>
      <c r="F99" s="1399">
        <f t="shared" si="2"/>
        <v>360</v>
      </c>
    </row>
    <row r="100" spans="1:6">
      <c r="A100" s="1372" t="s">
        <v>1044</v>
      </c>
      <c r="B100" s="1390" t="s">
        <v>1045</v>
      </c>
      <c r="C100" s="1391" t="s">
        <v>29</v>
      </c>
      <c r="D100" s="1392">
        <v>1</v>
      </c>
      <c r="E100" s="1288">
        <v>35</v>
      </c>
      <c r="F100" s="1399">
        <f t="shared" si="2"/>
        <v>35</v>
      </c>
    </row>
    <row r="101" spans="1:6">
      <c r="A101" s="1372" t="s">
        <v>1046</v>
      </c>
      <c r="B101" s="1390" t="s">
        <v>1047</v>
      </c>
      <c r="C101" s="1391" t="s">
        <v>29</v>
      </c>
      <c r="D101" s="1392">
        <v>2</v>
      </c>
      <c r="E101" s="1288">
        <v>35</v>
      </c>
      <c r="F101" s="1399">
        <f t="shared" si="2"/>
        <v>70</v>
      </c>
    </row>
    <row r="102" spans="1:6">
      <c r="A102" s="1372" t="s">
        <v>1048</v>
      </c>
      <c r="B102" s="1390" t="s">
        <v>1049</v>
      </c>
      <c r="C102" s="1391" t="s">
        <v>29</v>
      </c>
      <c r="D102" s="1392">
        <v>12</v>
      </c>
      <c r="E102" s="1288">
        <v>40</v>
      </c>
      <c r="F102" s="1399">
        <f t="shared" si="2"/>
        <v>480</v>
      </c>
    </row>
    <row r="103" spans="1:6">
      <c r="A103" s="1372" t="s">
        <v>1050</v>
      </c>
      <c r="B103" s="1390" t="s">
        <v>1051</v>
      </c>
      <c r="C103" s="1391" t="s">
        <v>29</v>
      </c>
      <c r="D103" s="1392">
        <v>1</v>
      </c>
      <c r="E103" s="1288">
        <v>55</v>
      </c>
      <c r="F103" s="1399">
        <f t="shared" si="2"/>
        <v>55</v>
      </c>
    </row>
    <row r="104" spans="1:6">
      <c r="A104" s="1372" t="s">
        <v>1052</v>
      </c>
      <c r="B104" s="1390" t="s">
        <v>1053</v>
      </c>
      <c r="C104" s="1391" t="s">
        <v>29</v>
      </c>
      <c r="D104" s="1392">
        <v>2</v>
      </c>
      <c r="E104" s="1288">
        <v>55</v>
      </c>
      <c r="F104" s="1399">
        <f t="shared" si="2"/>
        <v>110</v>
      </c>
    </row>
    <row r="105" spans="1:6">
      <c r="A105" s="1372" t="s">
        <v>1054</v>
      </c>
      <c r="B105" s="1390" t="s">
        <v>1055</v>
      </c>
      <c r="C105" s="1391" t="s">
        <v>29</v>
      </c>
      <c r="D105" s="1392">
        <v>1</v>
      </c>
      <c r="E105" s="1288">
        <v>45</v>
      </c>
      <c r="F105" s="1399">
        <f t="shared" si="2"/>
        <v>45</v>
      </c>
    </row>
    <row r="106" spans="1:6">
      <c r="A106" s="1372" t="s">
        <v>1056</v>
      </c>
      <c r="B106" s="1390" t="s">
        <v>1057</v>
      </c>
      <c r="C106" s="1391" t="s">
        <v>29</v>
      </c>
      <c r="D106" s="1392">
        <v>1</v>
      </c>
      <c r="E106" s="1288">
        <v>210</v>
      </c>
      <c r="F106" s="1399">
        <f t="shared" si="2"/>
        <v>210</v>
      </c>
    </row>
    <row r="107" spans="1:6">
      <c r="A107" s="1372" t="s">
        <v>1058</v>
      </c>
      <c r="B107" s="1390" t="s">
        <v>614</v>
      </c>
      <c r="C107" s="1391" t="s">
        <v>29</v>
      </c>
      <c r="D107" s="1392">
        <v>1</v>
      </c>
      <c r="E107" s="1288">
        <v>55</v>
      </c>
      <c r="F107" s="1399">
        <f t="shared" si="2"/>
        <v>55</v>
      </c>
    </row>
    <row r="108" spans="1:6">
      <c r="A108" s="1372" t="s">
        <v>1059</v>
      </c>
      <c r="B108" s="1390" t="s">
        <v>1060</v>
      </c>
      <c r="C108" s="1391" t="s">
        <v>29</v>
      </c>
      <c r="D108" s="1392">
        <v>1</v>
      </c>
      <c r="E108" s="1288">
        <v>35</v>
      </c>
      <c r="F108" s="1399">
        <f t="shared" si="2"/>
        <v>35</v>
      </c>
    </row>
    <row r="109" spans="1:6">
      <c r="A109" s="1372" t="s">
        <v>1061</v>
      </c>
      <c r="B109" s="1390" t="s">
        <v>1062</v>
      </c>
      <c r="C109" s="1391" t="s">
        <v>29</v>
      </c>
      <c r="D109" s="1392">
        <v>1</v>
      </c>
      <c r="E109" s="1288">
        <v>35</v>
      </c>
      <c r="F109" s="1399">
        <f t="shared" si="2"/>
        <v>35</v>
      </c>
    </row>
    <row r="110" spans="1:6">
      <c r="A110" s="1372" t="s">
        <v>1063</v>
      </c>
      <c r="B110" s="1390" t="s">
        <v>1064</v>
      </c>
      <c r="C110" s="1391" t="s">
        <v>29</v>
      </c>
      <c r="D110" s="1392">
        <v>8</v>
      </c>
      <c r="E110" s="1288">
        <v>45</v>
      </c>
      <c r="F110" s="1399">
        <f t="shared" si="2"/>
        <v>360</v>
      </c>
    </row>
    <row r="111" spans="1:6" ht="198">
      <c r="A111" s="1372" t="s">
        <v>1065</v>
      </c>
      <c r="B111" s="1390" t="s">
        <v>2177</v>
      </c>
      <c r="C111" s="1391" t="s">
        <v>29</v>
      </c>
      <c r="D111" s="1392">
        <v>6</v>
      </c>
      <c r="E111" s="1288">
        <v>125</v>
      </c>
      <c r="F111" s="1399">
        <f t="shared" si="2"/>
        <v>750</v>
      </c>
    </row>
    <row r="112" spans="1:6" ht="52.8">
      <c r="A112" s="1372" t="s">
        <v>1066</v>
      </c>
      <c r="B112" s="1390" t="s">
        <v>1067</v>
      </c>
      <c r="C112" s="1391" t="s">
        <v>29</v>
      </c>
      <c r="D112" s="1392">
        <v>50</v>
      </c>
      <c r="E112" s="1288">
        <v>10</v>
      </c>
      <c r="F112" s="1399">
        <f t="shared" si="2"/>
        <v>500</v>
      </c>
    </row>
    <row r="113" spans="1:7" ht="198">
      <c r="A113" s="1372" t="s">
        <v>1068</v>
      </c>
      <c r="B113" s="1390" t="s">
        <v>1069</v>
      </c>
      <c r="C113" s="1391" t="s">
        <v>29</v>
      </c>
      <c r="D113" s="1392">
        <v>20</v>
      </c>
      <c r="E113" s="1288">
        <v>15</v>
      </c>
      <c r="F113" s="1399">
        <f t="shared" si="2"/>
        <v>300</v>
      </c>
    </row>
    <row r="114" spans="1:7" ht="184.8">
      <c r="A114" s="1372" t="s">
        <v>1070</v>
      </c>
      <c r="B114" s="1390" t="s">
        <v>1071</v>
      </c>
      <c r="C114" s="1391" t="s">
        <v>29</v>
      </c>
      <c r="D114" s="1392">
        <v>25</v>
      </c>
      <c r="E114" s="1288">
        <v>15</v>
      </c>
      <c r="F114" s="1399">
        <f t="shared" ref="F114:F117" si="3">E114*D114</f>
        <v>375</v>
      </c>
    </row>
    <row r="115" spans="1:7" ht="26.4">
      <c r="A115" s="1372" t="s">
        <v>1072</v>
      </c>
      <c r="B115" s="1390" t="s">
        <v>2599</v>
      </c>
      <c r="C115" s="1391" t="s">
        <v>29</v>
      </c>
      <c r="D115" s="1392">
        <v>1</v>
      </c>
      <c r="E115" s="1288">
        <v>69</v>
      </c>
      <c r="F115" s="1399">
        <f t="shared" si="3"/>
        <v>69</v>
      </c>
    </row>
    <row r="116" spans="1:7" ht="316.8">
      <c r="A116" s="1372" t="s">
        <v>1073</v>
      </c>
      <c r="B116" s="1390" t="s">
        <v>2178</v>
      </c>
      <c r="C116" s="1391" t="s">
        <v>29</v>
      </c>
      <c r="D116" s="1392">
        <v>1</v>
      </c>
      <c r="E116" s="1288">
        <v>10000</v>
      </c>
      <c r="F116" s="1399">
        <f t="shared" si="3"/>
        <v>10000</v>
      </c>
    </row>
    <row r="117" spans="1:7">
      <c r="A117" s="1372" t="s">
        <v>1074</v>
      </c>
      <c r="B117" s="1390" t="s">
        <v>855</v>
      </c>
      <c r="C117" s="1391" t="s">
        <v>521</v>
      </c>
      <c r="D117" s="1392">
        <v>1</v>
      </c>
      <c r="E117" s="1288">
        <v>650</v>
      </c>
      <c r="F117" s="1399">
        <f t="shared" si="3"/>
        <v>650</v>
      </c>
    </row>
    <row r="118" spans="1:7">
      <c r="A118" s="1372"/>
      <c r="B118" s="1406" t="s">
        <v>1075</v>
      </c>
      <c r="C118" s="1391"/>
      <c r="D118" s="1392"/>
      <c r="E118" s="1398"/>
      <c r="F118" s="1433">
        <f>SUM(F49:F117)</f>
        <v>43882</v>
      </c>
    </row>
    <row r="119" spans="1:7">
      <c r="A119" s="1361" t="s">
        <v>439</v>
      </c>
      <c r="B119" s="1408" t="s">
        <v>1076</v>
      </c>
      <c r="C119" s="1387"/>
      <c r="D119" s="1409"/>
      <c r="E119" s="1388"/>
      <c r="F119" s="1434"/>
    </row>
    <row r="120" spans="1:7" ht="52.8">
      <c r="A120" s="1372" t="s">
        <v>946</v>
      </c>
      <c r="B120" s="1390" t="s">
        <v>1077</v>
      </c>
      <c r="C120" s="1391"/>
      <c r="D120" s="1392"/>
      <c r="E120" s="1398"/>
      <c r="F120" s="1399"/>
    </row>
    <row r="121" spans="1:7">
      <c r="A121" s="1372" t="s">
        <v>1078</v>
      </c>
      <c r="B121" s="1390" t="s">
        <v>1079</v>
      </c>
      <c r="C121" s="1391" t="s">
        <v>692</v>
      </c>
      <c r="D121" s="1392">
        <v>280</v>
      </c>
      <c r="E121" s="1288">
        <v>4.28</v>
      </c>
      <c r="F121" s="1399">
        <f>E121*D121</f>
        <v>1198.4000000000001</v>
      </c>
    </row>
    <row r="122" spans="1:7" s="1400" customFormat="1">
      <c r="A122" s="1372" t="s">
        <v>1080</v>
      </c>
      <c r="B122" s="1390" t="s">
        <v>1081</v>
      </c>
      <c r="C122" s="1391" t="s">
        <v>692</v>
      </c>
      <c r="D122" s="1392">
        <v>789</v>
      </c>
      <c r="E122" s="1288">
        <v>4.28</v>
      </c>
      <c r="F122" s="1399">
        <f t="shared" ref="F122:F152" si="4">E122*D122</f>
        <v>3376.92</v>
      </c>
      <c r="G122" s="279"/>
    </row>
    <row r="123" spans="1:7" s="1400" customFormat="1">
      <c r="A123" s="1372" t="s">
        <v>1082</v>
      </c>
      <c r="B123" s="1390" t="s">
        <v>1083</v>
      </c>
      <c r="C123" s="1391" t="s">
        <v>692</v>
      </c>
      <c r="D123" s="1392">
        <v>600</v>
      </c>
      <c r="E123" s="1288">
        <v>5.6</v>
      </c>
      <c r="F123" s="1399">
        <f t="shared" si="4"/>
        <v>3360</v>
      </c>
      <c r="G123" s="279"/>
    </row>
    <row r="124" spans="1:7" s="1400" customFormat="1">
      <c r="A124" s="1372" t="s">
        <v>1084</v>
      </c>
      <c r="B124" s="1390" t="s">
        <v>1085</v>
      </c>
      <c r="C124" s="1391" t="s">
        <v>692</v>
      </c>
      <c r="D124" s="1392">
        <v>251</v>
      </c>
      <c r="E124" s="1288">
        <v>5.88</v>
      </c>
      <c r="F124" s="1399">
        <f t="shared" si="4"/>
        <v>1475.8799999999999</v>
      </c>
      <c r="G124" s="279"/>
    </row>
    <row r="125" spans="1:7" s="1400" customFormat="1">
      <c r="A125" s="1372" t="s">
        <v>1086</v>
      </c>
      <c r="B125" s="1390" t="s">
        <v>1087</v>
      </c>
      <c r="C125" s="1391" t="s">
        <v>692</v>
      </c>
      <c r="D125" s="1392">
        <v>180</v>
      </c>
      <c r="E125" s="1288">
        <v>7.55</v>
      </c>
      <c r="F125" s="1399">
        <f t="shared" si="4"/>
        <v>1359</v>
      </c>
      <c r="G125" s="279"/>
    </row>
    <row r="126" spans="1:7" s="1400" customFormat="1">
      <c r="A126" s="1372" t="s">
        <v>1088</v>
      </c>
      <c r="B126" s="1390" t="s">
        <v>810</v>
      </c>
      <c r="C126" s="1391" t="s">
        <v>692</v>
      </c>
      <c r="D126" s="1392">
        <v>6</v>
      </c>
      <c r="E126" s="1288">
        <v>4.28</v>
      </c>
      <c r="F126" s="1399">
        <f t="shared" si="4"/>
        <v>25.68</v>
      </c>
      <c r="G126" s="279"/>
    </row>
    <row r="127" spans="1:7" s="1400" customFormat="1">
      <c r="A127" s="1372" t="s">
        <v>1089</v>
      </c>
      <c r="B127" s="1390" t="s">
        <v>1090</v>
      </c>
      <c r="C127" s="1391" t="s">
        <v>692</v>
      </c>
      <c r="D127" s="1392">
        <v>980</v>
      </c>
      <c r="E127" s="1288">
        <v>4.55</v>
      </c>
      <c r="F127" s="1399">
        <f t="shared" si="4"/>
        <v>4459</v>
      </c>
      <c r="G127" s="279"/>
    </row>
    <row r="128" spans="1:7" s="1400" customFormat="1">
      <c r="A128" s="1372" t="s">
        <v>1091</v>
      </c>
      <c r="B128" s="1390" t="s">
        <v>814</v>
      </c>
      <c r="C128" s="1391" t="s">
        <v>692</v>
      </c>
      <c r="D128" s="1392">
        <v>200</v>
      </c>
      <c r="E128" s="1288">
        <v>5.95</v>
      </c>
      <c r="F128" s="1399">
        <f t="shared" si="4"/>
        <v>1190</v>
      </c>
      <c r="G128" s="279"/>
    </row>
    <row r="129" spans="1:10" s="1400" customFormat="1">
      <c r="A129" s="1372" t="s">
        <v>1092</v>
      </c>
      <c r="B129" s="1390" t="s">
        <v>828</v>
      </c>
      <c r="C129" s="1391" t="s">
        <v>692</v>
      </c>
      <c r="D129" s="1392">
        <v>12</v>
      </c>
      <c r="E129" s="1288">
        <v>15</v>
      </c>
      <c r="F129" s="1399">
        <f t="shared" si="4"/>
        <v>180</v>
      </c>
      <c r="G129" s="279"/>
    </row>
    <row r="130" spans="1:10" s="1400" customFormat="1">
      <c r="A130" s="1372" t="s">
        <v>1093</v>
      </c>
      <c r="B130" s="1390" t="s">
        <v>1094</v>
      </c>
      <c r="C130" s="1391" t="s">
        <v>692</v>
      </c>
      <c r="D130" s="1392">
        <v>5</v>
      </c>
      <c r="E130" s="1288">
        <v>11</v>
      </c>
      <c r="F130" s="1399">
        <f t="shared" si="4"/>
        <v>55</v>
      </c>
      <c r="G130" s="279"/>
    </row>
    <row r="131" spans="1:10" s="1400" customFormat="1">
      <c r="A131" s="1372" t="s">
        <v>1095</v>
      </c>
      <c r="B131" s="1390" t="s">
        <v>1096</v>
      </c>
      <c r="C131" s="1391" t="s">
        <v>692</v>
      </c>
      <c r="D131" s="1392">
        <v>200</v>
      </c>
      <c r="E131" s="1288">
        <v>13.55</v>
      </c>
      <c r="F131" s="1399">
        <f t="shared" si="4"/>
        <v>2710</v>
      </c>
      <c r="G131" s="279"/>
    </row>
    <row r="132" spans="1:10" s="1400" customFormat="1">
      <c r="A132" s="1372" t="s">
        <v>1097</v>
      </c>
      <c r="B132" s="1390" t="s">
        <v>818</v>
      </c>
      <c r="C132" s="1391" t="s">
        <v>692</v>
      </c>
      <c r="D132" s="1392">
        <v>28</v>
      </c>
      <c r="E132" s="1288">
        <v>11</v>
      </c>
      <c r="F132" s="1399">
        <f t="shared" si="4"/>
        <v>308</v>
      </c>
      <c r="G132" s="279"/>
    </row>
    <row r="133" spans="1:10" s="1400" customFormat="1">
      <c r="A133" s="1372" t="s">
        <v>1098</v>
      </c>
      <c r="B133" s="1390" t="s">
        <v>1099</v>
      </c>
      <c r="C133" s="1391" t="s">
        <v>692</v>
      </c>
      <c r="D133" s="1392">
        <v>24</v>
      </c>
      <c r="E133" s="1288">
        <v>21</v>
      </c>
      <c r="F133" s="1399">
        <f t="shared" si="4"/>
        <v>504</v>
      </c>
      <c r="G133" s="279"/>
    </row>
    <row r="134" spans="1:10" s="1400" customFormat="1">
      <c r="A134" s="1372" t="s">
        <v>1100</v>
      </c>
      <c r="B134" s="1390" t="s">
        <v>816</v>
      </c>
      <c r="C134" s="1391" t="s">
        <v>692</v>
      </c>
      <c r="D134" s="1392">
        <v>20</v>
      </c>
      <c r="E134" s="1288">
        <v>13.87</v>
      </c>
      <c r="F134" s="1399">
        <f t="shared" si="4"/>
        <v>277.39999999999998</v>
      </c>
      <c r="G134" s="279"/>
      <c r="J134" s="1435"/>
    </row>
    <row r="135" spans="1:10" s="1400" customFormat="1">
      <c r="A135" s="1372" t="s">
        <v>1101</v>
      </c>
      <c r="B135" s="1390" t="s">
        <v>840</v>
      </c>
      <c r="C135" s="1391" t="s">
        <v>692</v>
      </c>
      <c r="D135" s="1392">
        <v>12</v>
      </c>
      <c r="E135" s="1288">
        <v>11</v>
      </c>
      <c r="F135" s="1399">
        <f t="shared" si="4"/>
        <v>132</v>
      </c>
      <c r="G135" s="279"/>
    </row>
    <row r="136" spans="1:10">
      <c r="A136" s="1372" t="s">
        <v>1102</v>
      </c>
      <c r="B136" s="1390" t="s">
        <v>842</v>
      </c>
      <c r="C136" s="1391" t="s">
        <v>692</v>
      </c>
      <c r="D136" s="1392">
        <v>45</v>
      </c>
      <c r="E136" s="1288">
        <v>4.55</v>
      </c>
      <c r="F136" s="1399">
        <f t="shared" si="4"/>
        <v>204.75</v>
      </c>
    </row>
    <row r="137" spans="1:10" s="1400" customFormat="1">
      <c r="A137" s="1372" t="s">
        <v>1103</v>
      </c>
      <c r="B137" s="1390" t="s">
        <v>1104</v>
      </c>
      <c r="C137" s="1391" t="s">
        <v>692</v>
      </c>
      <c r="D137" s="1392">
        <v>32</v>
      </c>
      <c r="E137" s="1288">
        <v>22</v>
      </c>
      <c r="F137" s="1399">
        <f t="shared" si="4"/>
        <v>704</v>
      </c>
      <c r="G137" s="279"/>
    </row>
    <row r="138" spans="1:10">
      <c r="A138" s="1372" t="s">
        <v>1105</v>
      </c>
      <c r="B138" s="1390" t="s">
        <v>1106</v>
      </c>
      <c r="C138" s="1391" t="s">
        <v>692</v>
      </c>
      <c r="D138" s="1392">
        <v>280</v>
      </c>
      <c r="E138" s="1288">
        <v>4.55</v>
      </c>
      <c r="F138" s="1399">
        <f t="shared" si="4"/>
        <v>1274</v>
      </c>
    </row>
    <row r="139" spans="1:10">
      <c r="A139" s="1372" t="s">
        <v>1107</v>
      </c>
      <c r="B139" s="1390" t="s">
        <v>1108</v>
      </c>
      <c r="C139" s="1391" t="s">
        <v>692</v>
      </c>
      <c r="D139" s="1392">
        <v>28</v>
      </c>
      <c r="E139" s="1288">
        <v>4.8499999999999996</v>
      </c>
      <c r="F139" s="1399">
        <f t="shared" si="4"/>
        <v>135.79999999999998</v>
      </c>
    </row>
    <row r="140" spans="1:10">
      <c r="A140" s="1372" t="s">
        <v>1109</v>
      </c>
      <c r="B140" s="1390" t="s">
        <v>1110</v>
      </c>
      <c r="C140" s="1391" t="s">
        <v>692</v>
      </c>
      <c r="D140" s="1392">
        <v>30</v>
      </c>
      <c r="E140" s="1288">
        <v>7.25</v>
      </c>
      <c r="F140" s="1399">
        <f t="shared" si="4"/>
        <v>217.5</v>
      </c>
    </row>
    <row r="141" spans="1:10">
      <c r="A141" s="1372" t="s">
        <v>1111</v>
      </c>
      <c r="B141" s="1390" t="s">
        <v>1112</v>
      </c>
      <c r="C141" s="1391" t="s">
        <v>692</v>
      </c>
      <c r="D141" s="1392">
        <v>360</v>
      </c>
      <c r="E141" s="1288">
        <v>4</v>
      </c>
      <c r="F141" s="1399">
        <f t="shared" si="4"/>
        <v>1440</v>
      </c>
    </row>
    <row r="142" spans="1:10">
      <c r="A142" s="1372" t="s">
        <v>1113</v>
      </c>
      <c r="B142" s="1390" t="s">
        <v>1114</v>
      </c>
      <c r="C142" s="1391" t="s">
        <v>692</v>
      </c>
      <c r="D142" s="1392">
        <v>150</v>
      </c>
      <c r="E142" s="1288">
        <v>3.55</v>
      </c>
      <c r="F142" s="1399">
        <f t="shared" si="4"/>
        <v>532.5</v>
      </c>
    </row>
    <row r="143" spans="1:10">
      <c r="A143" s="1372" t="s">
        <v>1115</v>
      </c>
      <c r="B143" s="1390" t="s">
        <v>1116</v>
      </c>
      <c r="C143" s="1391" t="s">
        <v>692</v>
      </c>
      <c r="D143" s="1392">
        <v>140</v>
      </c>
      <c r="E143" s="1288">
        <v>3.8</v>
      </c>
      <c r="F143" s="1399">
        <f t="shared" si="4"/>
        <v>532</v>
      </c>
    </row>
    <row r="144" spans="1:10">
      <c r="A144" s="1372" t="s">
        <v>1117</v>
      </c>
      <c r="B144" s="1390" t="s">
        <v>1118</v>
      </c>
      <c r="C144" s="1391" t="s">
        <v>692</v>
      </c>
      <c r="D144" s="1392">
        <v>190</v>
      </c>
      <c r="E144" s="1288">
        <v>3.8</v>
      </c>
      <c r="F144" s="1399">
        <f t="shared" si="4"/>
        <v>722</v>
      </c>
    </row>
    <row r="145" spans="1:8">
      <c r="A145" s="1372" t="s">
        <v>1119</v>
      </c>
      <c r="B145" s="1390" t="s">
        <v>1120</v>
      </c>
      <c r="C145" s="1391" t="s">
        <v>692</v>
      </c>
      <c r="D145" s="1392">
        <v>100</v>
      </c>
      <c r="E145" s="1288">
        <v>5.55</v>
      </c>
      <c r="F145" s="1399">
        <f t="shared" si="4"/>
        <v>555</v>
      </c>
    </row>
    <row r="146" spans="1:8" s="1400" customFormat="1" ht="15.6">
      <c r="A146" s="1372" t="s">
        <v>1121</v>
      </c>
      <c r="B146" s="1390" t="s">
        <v>2162</v>
      </c>
      <c r="C146" s="1391" t="s">
        <v>692</v>
      </c>
      <c r="D146" s="1392">
        <v>200</v>
      </c>
      <c r="E146" s="1288">
        <v>4.0999999999999996</v>
      </c>
      <c r="F146" s="1399">
        <f t="shared" si="4"/>
        <v>819.99999999999989</v>
      </c>
      <c r="G146" s="279"/>
    </row>
    <row r="147" spans="1:8" s="1400" customFormat="1" ht="15.6">
      <c r="A147" s="1372" t="s">
        <v>1122</v>
      </c>
      <c r="B147" s="1390" t="s">
        <v>2163</v>
      </c>
      <c r="C147" s="1391" t="s">
        <v>692</v>
      </c>
      <c r="D147" s="1392">
        <v>60</v>
      </c>
      <c r="E147" s="1288">
        <v>7.55</v>
      </c>
      <c r="F147" s="1399">
        <f t="shared" si="4"/>
        <v>453</v>
      </c>
      <c r="G147" s="279"/>
    </row>
    <row r="148" spans="1:8" s="1400" customFormat="1" ht="39.6">
      <c r="A148" s="1372" t="s">
        <v>1123</v>
      </c>
      <c r="B148" s="1390" t="s">
        <v>1124</v>
      </c>
      <c r="C148" s="1391" t="s">
        <v>521</v>
      </c>
      <c r="D148" s="1392">
        <v>10</v>
      </c>
      <c r="E148" s="1288">
        <v>30</v>
      </c>
      <c r="F148" s="1399">
        <f t="shared" si="4"/>
        <v>300</v>
      </c>
      <c r="G148" s="279"/>
      <c r="H148" s="1435"/>
    </row>
    <row r="149" spans="1:8" s="1400" customFormat="1" ht="39.6">
      <c r="A149" s="1372" t="s">
        <v>1125</v>
      </c>
      <c r="B149" s="1390" t="s">
        <v>1126</v>
      </c>
      <c r="C149" s="1391" t="s">
        <v>692</v>
      </c>
      <c r="D149" s="1392">
        <v>8</v>
      </c>
      <c r="E149" s="1288">
        <v>28</v>
      </c>
      <c r="F149" s="1399">
        <f t="shared" si="4"/>
        <v>224</v>
      </c>
      <c r="G149" s="279"/>
    </row>
    <row r="150" spans="1:8" s="1400" customFormat="1" ht="39.6">
      <c r="A150" s="1372" t="s">
        <v>1127</v>
      </c>
      <c r="B150" s="1390" t="s">
        <v>1128</v>
      </c>
      <c r="C150" s="1391" t="s">
        <v>692</v>
      </c>
      <c r="D150" s="1392">
        <v>5</v>
      </c>
      <c r="E150" s="1288">
        <v>55</v>
      </c>
      <c r="F150" s="1399">
        <f t="shared" si="4"/>
        <v>275</v>
      </c>
      <c r="G150" s="279"/>
    </row>
    <row r="151" spans="1:8" ht="52.8">
      <c r="A151" s="1372" t="s">
        <v>948</v>
      </c>
      <c r="B151" s="1390" t="s">
        <v>1067</v>
      </c>
      <c r="C151" s="1391" t="s">
        <v>521</v>
      </c>
      <c r="D151" s="1392">
        <v>30</v>
      </c>
      <c r="E151" s="1288">
        <v>15</v>
      </c>
      <c r="F151" s="1399">
        <f t="shared" si="4"/>
        <v>450</v>
      </c>
    </row>
    <row r="152" spans="1:8" s="1400" customFormat="1">
      <c r="A152" s="1372" t="s">
        <v>950</v>
      </c>
      <c r="B152" s="1390" t="s">
        <v>855</v>
      </c>
      <c r="C152" s="1391" t="s">
        <v>521</v>
      </c>
      <c r="D152" s="1392">
        <v>1</v>
      </c>
      <c r="E152" s="1288">
        <v>555</v>
      </c>
      <c r="F152" s="1399">
        <f t="shared" si="4"/>
        <v>555</v>
      </c>
      <c r="G152" s="279"/>
    </row>
    <row r="153" spans="1:8">
      <c r="A153" s="1372"/>
      <c r="B153" s="1406" t="s">
        <v>890</v>
      </c>
      <c r="C153" s="1391"/>
      <c r="D153" s="1392"/>
      <c r="E153" s="1398"/>
      <c r="F153" s="1433">
        <f>SUM(F121:F152)</f>
        <v>30005.829999999998</v>
      </c>
    </row>
    <row r="154" spans="1:8">
      <c r="A154" s="1361" t="s">
        <v>442</v>
      </c>
      <c r="B154" s="1408" t="s">
        <v>1129</v>
      </c>
      <c r="C154" s="1387"/>
      <c r="D154" s="1409"/>
      <c r="E154" s="1388"/>
      <c r="F154" s="1434"/>
    </row>
    <row r="155" spans="1:8" ht="409.6">
      <c r="A155" s="1372" t="s">
        <v>416</v>
      </c>
      <c r="B155" s="1390" t="s">
        <v>2557</v>
      </c>
      <c r="C155" s="1391" t="s">
        <v>521</v>
      </c>
      <c r="D155" s="1392">
        <v>1</v>
      </c>
      <c r="E155" s="1457">
        <v>1100</v>
      </c>
      <c r="F155" s="1437">
        <f>E155*D155</f>
        <v>1100</v>
      </c>
    </row>
    <row r="156" spans="1:8" ht="224.4">
      <c r="A156" s="1372"/>
      <c r="B156" s="1390" t="s">
        <v>2179</v>
      </c>
      <c r="C156" s="1391"/>
      <c r="D156" s="1392"/>
      <c r="E156" s="1438"/>
      <c r="F156" s="1437"/>
    </row>
    <row r="157" spans="1:8" ht="26.4">
      <c r="A157" s="1372" t="s">
        <v>421</v>
      </c>
      <c r="B157" s="1390" t="s">
        <v>2243</v>
      </c>
      <c r="C157" s="1391" t="s">
        <v>29</v>
      </c>
      <c r="D157" s="1392">
        <v>2</v>
      </c>
      <c r="E157" s="1457">
        <v>75</v>
      </c>
      <c r="F157" s="1437">
        <f>E157*D157</f>
        <v>150</v>
      </c>
    </row>
    <row r="158" spans="1:8" ht="52.8">
      <c r="A158" s="1372" t="s">
        <v>434</v>
      </c>
      <c r="B158" s="1390" t="s">
        <v>2180</v>
      </c>
      <c r="C158" s="1391" t="s">
        <v>29</v>
      </c>
      <c r="D158" s="1392">
        <v>1</v>
      </c>
      <c r="E158" s="1457">
        <v>1450</v>
      </c>
      <c r="F158" s="1437">
        <f t="shared" ref="F158:F179" si="5">E158*D158</f>
        <v>1450</v>
      </c>
    </row>
    <row r="159" spans="1:8" ht="211.2">
      <c r="A159" s="1372" t="s">
        <v>439</v>
      </c>
      <c r="B159" s="1390" t="s">
        <v>2181</v>
      </c>
      <c r="C159" s="1391" t="s">
        <v>29</v>
      </c>
      <c r="D159" s="1392">
        <v>1</v>
      </c>
      <c r="E159" s="1457">
        <v>325</v>
      </c>
      <c r="F159" s="1437">
        <f t="shared" si="5"/>
        <v>325</v>
      </c>
    </row>
    <row r="160" spans="1:8" ht="264">
      <c r="A160" s="1372" t="s">
        <v>442</v>
      </c>
      <c r="B160" s="1390" t="s">
        <v>2182</v>
      </c>
      <c r="C160" s="1391" t="s">
        <v>29</v>
      </c>
      <c r="D160" s="1392">
        <v>1</v>
      </c>
      <c r="E160" s="1457">
        <v>255</v>
      </c>
      <c r="F160" s="1437">
        <f t="shared" si="5"/>
        <v>255</v>
      </c>
    </row>
    <row r="161" spans="1:6" ht="330">
      <c r="A161" s="1372" t="s">
        <v>497</v>
      </c>
      <c r="B161" s="1390" t="s">
        <v>2183</v>
      </c>
      <c r="C161" s="1391" t="s">
        <v>29</v>
      </c>
      <c r="D161" s="1392">
        <v>1</v>
      </c>
      <c r="E161" s="1457">
        <v>350</v>
      </c>
      <c r="F161" s="1437">
        <f t="shared" si="5"/>
        <v>350</v>
      </c>
    </row>
    <row r="162" spans="1:6" ht="250.8">
      <c r="A162" s="1372" t="s">
        <v>499</v>
      </c>
      <c r="B162" s="1390" t="s">
        <v>2184</v>
      </c>
      <c r="C162" s="1391" t="s">
        <v>29</v>
      </c>
      <c r="D162" s="1392">
        <v>27</v>
      </c>
      <c r="E162" s="1457">
        <v>64</v>
      </c>
      <c r="F162" s="1437">
        <f t="shared" si="5"/>
        <v>1728</v>
      </c>
    </row>
    <row r="163" spans="1:6" ht="224.4">
      <c r="A163" s="1372" t="s">
        <v>559</v>
      </c>
      <c r="B163" s="1390" t="s">
        <v>2185</v>
      </c>
      <c r="C163" s="1391" t="s">
        <v>29</v>
      </c>
      <c r="D163" s="1392">
        <v>6</v>
      </c>
      <c r="E163" s="1457">
        <v>78</v>
      </c>
      <c r="F163" s="1437">
        <f t="shared" si="5"/>
        <v>468</v>
      </c>
    </row>
    <row r="164" spans="1:6" ht="250.8">
      <c r="A164" s="1372" t="s">
        <v>562</v>
      </c>
      <c r="B164" s="1390" t="s">
        <v>2186</v>
      </c>
      <c r="C164" s="1391" t="s">
        <v>29</v>
      </c>
      <c r="D164" s="1392">
        <v>5</v>
      </c>
      <c r="E164" s="1457">
        <v>185</v>
      </c>
      <c r="F164" s="1437">
        <f t="shared" si="5"/>
        <v>925</v>
      </c>
    </row>
    <row r="165" spans="1:6" ht="132">
      <c r="A165" s="1372" t="s">
        <v>565</v>
      </c>
      <c r="B165" s="1390" t="s">
        <v>1130</v>
      </c>
      <c r="C165" s="1391" t="s">
        <v>29</v>
      </c>
      <c r="D165" s="1392">
        <v>1</v>
      </c>
      <c r="E165" s="1457">
        <v>30</v>
      </c>
      <c r="F165" s="1437">
        <f t="shared" si="5"/>
        <v>30</v>
      </c>
    </row>
    <row r="166" spans="1:6" ht="356.4">
      <c r="A166" s="1372" t="s">
        <v>568</v>
      </c>
      <c r="B166" s="1390" t="s">
        <v>2187</v>
      </c>
      <c r="C166" s="1391" t="s">
        <v>29</v>
      </c>
      <c r="D166" s="1392">
        <v>3</v>
      </c>
      <c r="E166" s="1457">
        <v>78</v>
      </c>
      <c r="F166" s="1437">
        <f t="shared" si="5"/>
        <v>234</v>
      </c>
    </row>
    <row r="167" spans="1:6" ht="171.6">
      <c r="A167" s="1372" t="s">
        <v>570</v>
      </c>
      <c r="B167" s="1390" t="s">
        <v>2188</v>
      </c>
      <c r="C167" s="1391" t="s">
        <v>29</v>
      </c>
      <c r="D167" s="1392">
        <v>1</v>
      </c>
      <c r="E167" s="1457">
        <v>115</v>
      </c>
      <c r="F167" s="1437">
        <f t="shared" si="5"/>
        <v>115</v>
      </c>
    </row>
    <row r="168" spans="1:6" ht="39.6">
      <c r="A168" s="1372" t="s">
        <v>575</v>
      </c>
      <c r="B168" s="1390" t="s">
        <v>1131</v>
      </c>
      <c r="C168" s="1391" t="s">
        <v>521</v>
      </c>
      <c r="D168" s="1392">
        <v>41</v>
      </c>
      <c r="E168" s="1457">
        <v>11</v>
      </c>
      <c r="F168" s="1437">
        <f t="shared" si="5"/>
        <v>451</v>
      </c>
    </row>
    <row r="169" spans="1:6" ht="26.4">
      <c r="A169" s="1372" t="s">
        <v>578</v>
      </c>
      <c r="B169" s="1390" t="s">
        <v>1132</v>
      </c>
      <c r="C169" s="1391" t="s">
        <v>521</v>
      </c>
      <c r="D169" s="1392">
        <v>2</v>
      </c>
      <c r="E169" s="1457">
        <v>25</v>
      </c>
      <c r="F169" s="1437">
        <f t="shared" si="5"/>
        <v>50</v>
      </c>
    </row>
    <row r="170" spans="1:6" ht="66">
      <c r="A170" s="1372" t="s">
        <v>581</v>
      </c>
      <c r="B170" s="1390" t="s">
        <v>1133</v>
      </c>
      <c r="C170" s="1391" t="s">
        <v>521</v>
      </c>
      <c r="D170" s="1392">
        <v>1</v>
      </c>
      <c r="E170" s="1457">
        <v>310</v>
      </c>
      <c r="F170" s="1437">
        <f t="shared" si="5"/>
        <v>310</v>
      </c>
    </row>
    <row r="171" spans="1:6" ht="79.2">
      <c r="A171" s="1372" t="s">
        <v>584</v>
      </c>
      <c r="B171" s="1390" t="s">
        <v>1134</v>
      </c>
      <c r="C171" s="1391" t="s">
        <v>521</v>
      </c>
      <c r="D171" s="1392">
        <v>1</v>
      </c>
      <c r="E171" s="1457">
        <v>500</v>
      </c>
      <c r="F171" s="1437">
        <f t="shared" si="5"/>
        <v>500</v>
      </c>
    </row>
    <row r="172" spans="1:6" ht="26.4">
      <c r="A172" s="1372" t="s">
        <v>587</v>
      </c>
      <c r="B172" s="1390" t="s">
        <v>1135</v>
      </c>
      <c r="C172" s="1391" t="s">
        <v>521</v>
      </c>
      <c r="D172" s="1392">
        <v>1</v>
      </c>
      <c r="E172" s="1457">
        <v>25</v>
      </c>
      <c r="F172" s="1437">
        <f t="shared" si="5"/>
        <v>25</v>
      </c>
    </row>
    <row r="173" spans="1:6" ht="79.2">
      <c r="A173" s="1372" t="s">
        <v>720</v>
      </c>
      <c r="B173" s="1390" t="s">
        <v>1136</v>
      </c>
      <c r="C173" s="1391" t="s">
        <v>521</v>
      </c>
      <c r="D173" s="1392">
        <v>1</v>
      </c>
      <c r="E173" s="1457">
        <v>440</v>
      </c>
      <c r="F173" s="1437">
        <f t="shared" si="5"/>
        <v>440</v>
      </c>
    </row>
    <row r="174" spans="1:6" ht="66">
      <c r="A174" s="1372" t="s">
        <v>722</v>
      </c>
      <c r="B174" s="1390" t="s">
        <v>1137</v>
      </c>
      <c r="C174" s="1391" t="s">
        <v>521</v>
      </c>
      <c r="D174" s="1392">
        <v>1</v>
      </c>
      <c r="E174" s="1457">
        <v>450</v>
      </c>
      <c r="F174" s="1437">
        <f t="shared" si="5"/>
        <v>450</v>
      </c>
    </row>
    <row r="175" spans="1:6" ht="79.2">
      <c r="A175" s="1372" t="s">
        <v>723</v>
      </c>
      <c r="B175" s="1390" t="s">
        <v>1138</v>
      </c>
      <c r="C175" s="1391" t="s">
        <v>692</v>
      </c>
      <c r="D175" s="1391">
        <v>300</v>
      </c>
      <c r="E175" s="1457">
        <v>3.5</v>
      </c>
      <c r="F175" s="1437">
        <f t="shared" si="5"/>
        <v>1050</v>
      </c>
    </row>
    <row r="176" spans="1:6" ht="79.2">
      <c r="A176" s="1372" t="s">
        <v>726</v>
      </c>
      <c r="B176" s="1390" t="s">
        <v>1139</v>
      </c>
      <c r="C176" s="1391" t="s">
        <v>692</v>
      </c>
      <c r="D176" s="1391">
        <v>50</v>
      </c>
      <c r="E176" s="1457">
        <v>4</v>
      </c>
      <c r="F176" s="1437">
        <f t="shared" si="5"/>
        <v>200</v>
      </c>
    </row>
    <row r="177" spans="1:6" ht="39.6">
      <c r="A177" s="1372" t="s">
        <v>729</v>
      </c>
      <c r="B177" s="1390" t="s">
        <v>1140</v>
      </c>
      <c r="C177" s="1391" t="s">
        <v>692</v>
      </c>
      <c r="D177" s="1391">
        <v>350</v>
      </c>
      <c r="E177" s="1457">
        <v>6</v>
      </c>
      <c r="F177" s="1437">
        <f t="shared" si="5"/>
        <v>2100</v>
      </c>
    </row>
    <row r="178" spans="1:6" ht="66">
      <c r="A178" s="1372" t="s">
        <v>735</v>
      </c>
      <c r="B178" s="1390" t="s">
        <v>1141</v>
      </c>
      <c r="C178" s="1391"/>
      <c r="D178" s="1391"/>
      <c r="E178" s="1436"/>
      <c r="F178" s="1437"/>
    </row>
    <row r="179" spans="1:6">
      <c r="A179" s="1372" t="s">
        <v>737</v>
      </c>
      <c r="B179" s="1390" t="s">
        <v>1142</v>
      </c>
      <c r="C179" s="1391" t="s">
        <v>521</v>
      </c>
      <c r="D179" s="1391">
        <v>1</v>
      </c>
      <c r="E179" s="1457">
        <v>500</v>
      </c>
      <c r="F179" s="1437">
        <f t="shared" si="5"/>
        <v>500</v>
      </c>
    </row>
    <row r="180" spans="1:6">
      <c r="A180" s="1372"/>
      <c r="B180" s="1406" t="s">
        <v>1143</v>
      </c>
      <c r="C180" s="1391"/>
      <c r="D180" s="1392"/>
      <c r="E180" s="1398"/>
      <c r="F180" s="1433">
        <f>SUM(F155:F179)</f>
        <v>13206</v>
      </c>
    </row>
    <row r="181" spans="1:6">
      <c r="A181" s="1361" t="s">
        <v>497</v>
      </c>
      <c r="B181" s="1408" t="s">
        <v>1144</v>
      </c>
      <c r="C181" s="1387"/>
      <c r="D181" s="1409"/>
      <c r="E181" s="1388"/>
      <c r="F181" s="1434"/>
    </row>
    <row r="182" spans="1:6" ht="145.19999999999999">
      <c r="A182" s="1372" t="s">
        <v>416</v>
      </c>
      <c r="B182" s="1390" t="s">
        <v>2244</v>
      </c>
      <c r="C182" s="1391" t="s">
        <v>29</v>
      </c>
      <c r="D182" s="1391">
        <v>1</v>
      </c>
      <c r="E182" s="1288">
        <v>1550</v>
      </c>
      <c r="F182" s="1399">
        <f>E182*D182</f>
        <v>1550</v>
      </c>
    </row>
    <row r="183" spans="1:6" ht="52.8">
      <c r="A183" s="1372" t="s">
        <v>421</v>
      </c>
      <c r="B183" s="1390" t="s">
        <v>2245</v>
      </c>
      <c r="C183" s="1391" t="s">
        <v>29</v>
      </c>
      <c r="D183" s="1391">
        <v>2</v>
      </c>
      <c r="E183" s="1288">
        <v>1265</v>
      </c>
      <c r="F183" s="1399">
        <f t="shared" ref="F183:F186" si="6">E183*D183</f>
        <v>2530</v>
      </c>
    </row>
    <row r="184" spans="1:6" ht="26.4">
      <c r="A184" s="1372" t="s">
        <v>434</v>
      </c>
      <c r="B184" s="1390" t="s">
        <v>1145</v>
      </c>
      <c r="C184" s="1391" t="s">
        <v>29</v>
      </c>
      <c r="D184" s="1391">
        <v>2</v>
      </c>
      <c r="E184" s="1288">
        <v>155</v>
      </c>
      <c r="F184" s="1399">
        <f t="shared" si="6"/>
        <v>310</v>
      </c>
    </row>
    <row r="185" spans="1:6" ht="39.6">
      <c r="A185" s="1372" t="s">
        <v>439</v>
      </c>
      <c r="B185" s="1390" t="s">
        <v>1146</v>
      </c>
      <c r="C185" s="1391" t="s">
        <v>29</v>
      </c>
      <c r="D185" s="1391">
        <v>1</v>
      </c>
      <c r="E185" s="1288">
        <v>165</v>
      </c>
      <c r="F185" s="1399">
        <f t="shared" si="6"/>
        <v>165</v>
      </c>
    </row>
    <row r="186" spans="1:6" ht="92.4">
      <c r="A186" s="1372" t="s">
        <v>442</v>
      </c>
      <c r="B186" s="1390" t="s">
        <v>1147</v>
      </c>
      <c r="C186" s="1391" t="s">
        <v>1148</v>
      </c>
      <c r="D186" s="1391">
        <v>1</v>
      </c>
      <c r="E186" s="1288">
        <v>577</v>
      </c>
      <c r="F186" s="1399">
        <f t="shared" si="6"/>
        <v>577</v>
      </c>
    </row>
    <row r="187" spans="1:6">
      <c r="A187" s="1439"/>
      <c r="B187" s="1440" t="s">
        <v>119</v>
      </c>
      <c r="C187" s="1391"/>
      <c r="D187" s="1391"/>
      <c r="E187" s="1398"/>
      <c r="F187" s="1399"/>
    </row>
    <row r="188" spans="1:6" ht="39.6">
      <c r="A188" s="1439"/>
      <c r="B188" s="1440" t="s">
        <v>1149</v>
      </c>
      <c r="C188" s="1391"/>
      <c r="D188" s="1391"/>
      <c r="E188" s="1398"/>
      <c r="F188" s="1399"/>
    </row>
    <row r="189" spans="1:6">
      <c r="A189" s="1372"/>
      <c r="B189" s="1406" t="s">
        <v>1150</v>
      </c>
      <c r="C189" s="1391"/>
      <c r="D189" s="1392"/>
      <c r="E189" s="1398"/>
      <c r="F189" s="1433">
        <f>SUM(F182:F188)</f>
        <v>5132</v>
      </c>
    </row>
    <row r="190" spans="1:6">
      <c r="A190" s="1361" t="s">
        <v>499</v>
      </c>
      <c r="B190" s="1408" t="s">
        <v>1151</v>
      </c>
      <c r="C190" s="1387"/>
      <c r="D190" s="1409"/>
      <c r="E190" s="1388"/>
      <c r="F190" s="1434"/>
    </row>
    <row r="191" spans="1:6">
      <c r="A191" s="1372" t="s">
        <v>416</v>
      </c>
      <c r="B191" s="1390" t="s">
        <v>1152</v>
      </c>
      <c r="C191" s="1391"/>
      <c r="D191" s="1391"/>
      <c r="E191" s="1398"/>
      <c r="F191" s="1399"/>
    </row>
    <row r="192" spans="1:6" ht="158.4">
      <c r="A192" s="1372"/>
      <c r="B192" s="1390" t="s">
        <v>2246</v>
      </c>
      <c r="C192" s="1391"/>
      <c r="D192" s="1391"/>
      <c r="E192" s="1398"/>
      <c r="F192" s="1399"/>
    </row>
    <row r="193" spans="1:6" ht="79.2">
      <c r="A193" s="1372"/>
      <c r="B193" s="1390" t="s">
        <v>2247</v>
      </c>
      <c r="C193" s="1391"/>
      <c r="D193" s="1391"/>
      <c r="E193" s="1398"/>
      <c r="F193" s="1399"/>
    </row>
    <row r="194" spans="1:6" ht="105.6">
      <c r="A194" s="1372"/>
      <c r="B194" s="1390" t="s">
        <v>1153</v>
      </c>
      <c r="C194" s="1391"/>
      <c r="D194" s="1391"/>
      <c r="E194" s="1398"/>
      <c r="F194" s="1399"/>
    </row>
    <row r="195" spans="1:6" ht="79.2">
      <c r="A195" s="1372"/>
      <c r="B195" s="1390" t="s">
        <v>2248</v>
      </c>
      <c r="C195" s="1391"/>
      <c r="D195" s="1391"/>
      <c r="E195" s="1398"/>
      <c r="F195" s="1399"/>
    </row>
    <row r="196" spans="1:6" ht="39.6">
      <c r="A196" s="1372"/>
      <c r="B196" s="1390" t="s">
        <v>1154</v>
      </c>
      <c r="C196" s="1391"/>
      <c r="D196" s="1391"/>
      <c r="E196" s="1398"/>
      <c r="F196" s="1399"/>
    </row>
    <row r="197" spans="1:6">
      <c r="A197" s="1372"/>
      <c r="B197" s="1441" t="s">
        <v>1155</v>
      </c>
      <c r="C197" s="1391" t="s">
        <v>521</v>
      </c>
      <c r="D197" s="1391">
        <v>1</v>
      </c>
      <c r="E197" s="1288">
        <v>14388</v>
      </c>
      <c r="F197" s="1399">
        <f>E197*D197</f>
        <v>14388</v>
      </c>
    </row>
    <row r="198" spans="1:6">
      <c r="A198" s="1439" t="s">
        <v>421</v>
      </c>
      <c r="B198" s="1390" t="s">
        <v>1156</v>
      </c>
      <c r="C198" s="1391"/>
      <c r="D198" s="1391"/>
      <c r="E198" s="1398"/>
      <c r="F198" s="1399"/>
    </row>
    <row r="199" spans="1:6" ht="39.6">
      <c r="A199" s="1372"/>
      <c r="B199" s="1390" t="s">
        <v>1157</v>
      </c>
      <c r="C199" s="1391"/>
      <c r="D199" s="1391"/>
      <c r="E199" s="1398"/>
      <c r="F199" s="1399"/>
    </row>
    <row r="200" spans="1:6" ht="66">
      <c r="A200" s="1372"/>
      <c r="B200" s="1390" t="s">
        <v>1158</v>
      </c>
      <c r="C200" s="1391"/>
      <c r="D200" s="1391"/>
      <c r="E200" s="1398"/>
      <c r="F200" s="1399"/>
    </row>
    <row r="201" spans="1:6" ht="105.6">
      <c r="A201" s="1372"/>
      <c r="B201" s="1390" t="s">
        <v>1159</v>
      </c>
      <c r="C201" s="1391"/>
      <c r="D201" s="1391"/>
      <c r="E201" s="1398"/>
      <c r="F201" s="1399"/>
    </row>
    <row r="202" spans="1:6" ht="105.6">
      <c r="A202" s="1372"/>
      <c r="B202" s="1390" t="s">
        <v>1160</v>
      </c>
      <c r="C202" s="1391"/>
      <c r="D202" s="1391"/>
      <c r="E202" s="1398"/>
      <c r="F202" s="1399"/>
    </row>
    <row r="203" spans="1:6" ht="105.6">
      <c r="A203" s="1372"/>
      <c r="B203" s="1390" t="s">
        <v>1161</v>
      </c>
      <c r="C203" s="1391"/>
      <c r="D203" s="1391"/>
      <c r="E203" s="1398"/>
      <c r="F203" s="1399"/>
    </row>
    <row r="204" spans="1:6" ht="39.6">
      <c r="A204" s="1372"/>
      <c r="B204" s="1390" t="s">
        <v>1162</v>
      </c>
      <c r="C204" s="1391"/>
      <c r="D204" s="1391"/>
      <c r="E204" s="1398"/>
      <c r="F204" s="1399"/>
    </row>
    <row r="205" spans="1:6" ht="39.6">
      <c r="A205" s="1372"/>
      <c r="B205" s="1390" t="s">
        <v>1163</v>
      </c>
      <c r="C205" s="1391"/>
      <c r="D205" s="1391"/>
      <c r="E205" s="1398"/>
      <c r="F205" s="1399"/>
    </row>
    <row r="206" spans="1:6">
      <c r="A206" s="1372" t="s">
        <v>434</v>
      </c>
      <c r="B206" s="1390" t="s">
        <v>1164</v>
      </c>
      <c r="C206" s="1391"/>
      <c r="D206" s="1391"/>
      <c r="E206" s="1398"/>
      <c r="F206" s="1399"/>
    </row>
    <row r="207" spans="1:6" ht="52.8">
      <c r="A207" s="1372"/>
      <c r="B207" s="1390" t="s">
        <v>1165</v>
      </c>
      <c r="C207" s="1391" t="s">
        <v>521</v>
      </c>
      <c r="D207" s="1391">
        <v>1</v>
      </c>
      <c r="E207" s="1288">
        <v>1044</v>
      </c>
      <c r="F207" s="1399">
        <f>E207*D207</f>
        <v>1044</v>
      </c>
    </row>
    <row r="208" spans="1:6" ht="26.4">
      <c r="A208" s="1372" t="s">
        <v>439</v>
      </c>
      <c r="B208" s="1390" t="s">
        <v>1166</v>
      </c>
      <c r="C208" s="1391"/>
      <c r="D208" s="1391"/>
      <c r="E208" s="1398"/>
      <c r="F208" s="1399"/>
    </row>
    <row r="209" spans="1:6" ht="26.4">
      <c r="A209" s="1372"/>
      <c r="B209" s="1390" t="s">
        <v>1167</v>
      </c>
      <c r="C209" s="1391" t="s">
        <v>521</v>
      </c>
      <c r="D209" s="1391">
        <v>1</v>
      </c>
      <c r="E209" s="1288">
        <v>700</v>
      </c>
      <c r="F209" s="1399">
        <f t="shared" ref="F209:F213" si="7">E209*D209</f>
        <v>700</v>
      </c>
    </row>
    <row r="210" spans="1:6" ht="26.4">
      <c r="A210" s="1372"/>
      <c r="B210" s="1390" t="s">
        <v>1168</v>
      </c>
      <c r="C210" s="1391" t="s">
        <v>521</v>
      </c>
      <c r="D210" s="1391">
        <v>1</v>
      </c>
      <c r="E210" s="1288">
        <v>200</v>
      </c>
      <c r="F210" s="1399">
        <f t="shared" si="7"/>
        <v>200</v>
      </c>
    </row>
    <row r="211" spans="1:6" ht="79.2">
      <c r="A211" s="1372"/>
      <c r="B211" s="1390" t="s">
        <v>1169</v>
      </c>
      <c r="C211" s="1391" t="s">
        <v>521</v>
      </c>
      <c r="D211" s="1391">
        <v>1</v>
      </c>
      <c r="E211" s="1288">
        <v>160</v>
      </c>
      <c r="F211" s="1399">
        <f t="shared" si="7"/>
        <v>160</v>
      </c>
    </row>
    <row r="212" spans="1:6" ht="39.6">
      <c r="A212" s="1372"/>
      <c r="B212" s="1390" t="s">
        <v>2249</v>
      </c>
      <c r="C212" s="1391" t="s">
        <v>521</v>
      </c>
      <c r="D212" s="1391">
        <v>1</v>
      </c>
      <c r="E212" s="1288">
        <v>200</v>
      </c>
      <c r="F212" s="1399">
        <f t="shared" si="7"/>
        <v>200</v>
      </c>
    </row>
    <row r="213" spans="1:6" ht="26.4">
      <c r="A213" s="1372"/>
      <c r="B213" s="1390" t="s">
        <v>1170</v>
      </c>
      <c r="C213" s="1391" t="s">
        <v>521</v>
      </c>
      <c r="D213" s="1391">
        <v>1</v>
      </c>
      <c r="E213" s="1288">
        <v>350</v>
      </c>
      <c r="F213" s="1399">
        <f t="shared" si="7"/>
        <v>350</v>
      </c>
    </row>
    <row r="214" spans="1:6" ht="39.6">
      <c r="A214" s="1372"/>
      <c r="B214" s="1390" t="s">
        <v>2250</v>
      </c>
      <c r="C214" s="1391"/>
      <c r="D214" s="1391"/>
      <c r="E214" s="1398"/>
      <c r="F214" s="1399"/>
    </row>
    <row r="215" spans="1:6">
      <c r="A215" s="1372"/>
      <c r="B215" s="1406" t="s">
        <v>1171</v>
      </c>
      <c r="C215" s="1391"/>
      <c r="D215" s="1392"/>
      <c r="E215" s="1398"/>
      <c r="F215" s="1433">
        <f>SUM(F197:F214)</f>
        <v>17042</v>
      </c>
    </row>
    <row r="216" spans="1:6">
      <c r="A216" s="1361" t="s">
        <v>559</v>
      </c>
      <c r="B216" s="1408" t="s">
        <v>1172</v>
      </c>
      <c r="C216" s="1387"/>
      <c r="D216" s="1409"/>
      <c r="E216" s="1388"/>
      <c r="F216" s="1434"/>
    </row>
    <row r="217" spans="1:6" ht="52.8">
      <c r="A217" s="1372"/>
      <c r="B217" s="1390" t="s">
        <v>1173</v>
      </c>
      <c r="C217" s="1391"/>
      <c r="D217" s="1391"/>
      <c r="E217" s="1398"/>
      <c r="F217" s="1399"/>
    </row>
    <row r="218" spans="1:6">
      <c r="A218" s="1372"/>
      <c r="B218" s="1390" t="s">
        <v>1174</v>
      </c>
      <c r="C218" s="1391"/>
      <c r="D218" s="1391"/>
      <c r="E218" s="1398"/>
      <c r="F218" s="1399"/>
    </row>
    <row r="219" spans="1:6">
      <c r="A219" s="1372"/>
      <c r="B219" s="1390" t="s">
        <v>1175</v>
      </c>
      <c r="C219" s="1391"/>
      <c r="D219" s="1391"/>
      <c r="E219" s="1398"/>
      <c r="F219" s="1399"/>
    </row>
    <row r="220" spans="1:6">
      <c r="A220" s="1372"/>
      <c r="B220" s="1390" t="s">
        <v>1176</v>
      </c>
      <c r="C220" s="1391"/>
      <c r="D220" s="1391"/>
      <c r="E220" s="1398"/>
      <c r="F220" s="1399"/>
    </row>
    <row r="221" spans="1:6">
      <c r="A221" s="1372"/>
      <c r="B221" s="1390" t="s">
        <v>1177</v>
      </c>
      <c r="C221" s="1391"/>
      <c r="D221" s="1391"/>
      <c r="E221" s="1398"/>
      <c r="F221" s="1399"/>
    </row>
    <row r="222" spans="1:6">
      <c r="A222" s="1372"/>
      <c r="B222" s="1390"/>
      <c r="C222" s="1391"/>
      <c r="D222" s="1391"/>
      <c r="E222" s="1398"/>
      <c r="F222" s="1399"/>
    </row>
    <row r="223" spans="1:6">
      <c r="A223" s="1372"/>
      <c r="B223" s="1390" t="s">
        <v>1178</v>
      </c>
      <c r="C223" s="1391"/>
      <c r="D223" s="1391"/>
      <c r="E223" s="1398"/>
      <c r="F223" s="1399"/>
    </row>
    <row r="224" spans="1:6">
      <c r="A224" s="1372"/>
      <c r="B224" s="1390" t="s">
        <v>1179</v>
      </c>
      <c r="C224" s="1391"/>
      <c r="D224" s="1391"/>
      <c r="E224" s="1398"/>
      <c r="F224" s="1399"/>
    </row>
    <row r="225" spans="1:6" ht="26.4">
      <c r="A225" s="1372"/>
      <c r="B225" s="1390" t="s">
        <v>1180</v>
      </c>
      <c r="C225" s="1391"/>
      <c r="D225" s="1391"/>
      <c r="E225" s="1398"/>
      <c r="F225" s="1399"/>
    </row>
    <row r="226" spans="1:6">
      <c r="A226" s="1372"/>
      <c r="B226" s="1390" t="s">
        <v>1181</v>
      </c>
      <c r="C226" s="1391"/>
      <c r="D226" s="1391"/>
      <c r="E226" s="1398"/>
      <c r="F226" s="1399"/>
    </row>
    <row r="227" spans="1:6">
      <c r="A227" s="1372"/>
      <c r="B227" s="1390" t="s">
        <v>1182</v>
      </c>
      <c r="C227" s="1391"/>
      <c r="D227" s="1391"/>
      <c r="E227" s="1398"/>
      <c r="F227" s="1399"/>
    </row>
    <row r="228" spans="1:6">
      <c r="A228" s="1372"/>
      <c r="B228" s="1390" t="s">
        <v>1183</v>
      </c>
      <c r="C228" s="1391"/>
      <c r="D228" s="1391"/>
      <c r="E228" s="1398"/>
      <c r="F228" s="1399"/>
    </row>
    <row r="229" spans="1:6">
      <c r="A229" s="1372"/>
      <c r="B229" s="1390" t="s">
        <v>1184</v>
      </c>
      <c r="C229" s="1391"/>
      <c r="D229" s="1391"/>
      <c r="E229" s="1398"/>
      <c r="F229" s="1399"/>
    </row>
    <row r="230" spans="1:6">
      <c r="A230" s="1372"/>
      <c r="B230" s="1390" t="s">
        <v>1185</v>
      </c>
      <c r="C230" s="1391"/>
      <c r="D230" s="1391"/>
      <c r="E230" s="1398"/>
      <c r="F230" s="1399"/>
    </row>
    <row r="231" spans="1:6">
      <c r="A231" s="1372"/>
      <c r="B231" s="1390"/>
      <c r="C231" s="1391"/>
      <c r="D231" s="1391"/>
      <c r="E231" s="1398"/>
      <c r="F231" s="1399"/>
    </row>
    <row r="232" spans="1:6">
      <c r="A232" s="1372"/>
      <c r="B232" s="1390" t="s">
        <v>1186</v>
      </c>
      <c r="C232" s="1391"/>
      <c r="D232" s="1391"/>
      <c r="E232" s="1398"/>
      <c r="F232" s="1399"/>
    </row>
    <row r="233" spans="1:6">
      <c r="A233" s="1372"/>
      <c r="B233" s="1390" t="s">
        <v>1187</v>
      </c>
      <c r="C233" s="1391"/>
      <c r="D233" s="1391"/>
      <c r="E233" s="1398"/>
      <c r="F233" s="1399"/>
    </row>
    <row r="234" spans="1:6">
      <c r="A234" s="1372"/>
      <c r="B234" s="1390" t="s">
        <v>1188</v>
      </c>
      <c r="C234" s="1391"/>
      <c r="D234" s="1391"/>
      <c r="E234" s="1398"/>
      <c r="F234" s="1399"/>
    </row>
    <row r="235" spans="1:6">
      <c r="A235" s="1372"/>
      <c r="B235" s="1390" t="s">
        <v>1189</v>
      </c>
      <c r="C235" s="1391"/>
      <c r="D235" s="1391"/>
      <c r="E235" s="1398"/>
      <c r="F235" s="1399"/>
    </row>
    <row r="236" spans="1:6" ht="26.4">
      <c r="A236" s="1372"/>
      <c r="B236" s="1390" t="s">
        <v>1190</v>
      </c>
      <c r="C236" s="1391"/>
      <c r="D236" s="1391"/>
      <c r="E236" s="1398"/>
      <c r="F236" s="1399"/>
    </row>
    <row r="237" spans="1:6">
      <c r="A237" s="1372"/>
      <c r="B237" s="1390" t="s">
        <v>1191</v>
      </c>
      <c r="C237" s="1391"/>
      <c r="D237" s="1391"/>
      <c r="E237" s="1398"/>
      <c r="F237" s="1399"/>
    </row>
    <row r="238" spans="1:6">
      <c r="A238" s="1372"/>
      <c r="B238" s="1390" t="s">
        <v>1192</v>
      </c>
      <c r="C238" s="1391"/>
      <c r="D238" s="1391"/>
      <c r="E238" s="1398"/>
      <c r="F238" s="1399"/>
    </row>
    <row r="239" spans="1:6">
      <c r="A239" s="1372"/>
      <c r="B239" s="1390" t="s">
        <v>1193</v>
      </c>
      <c r="C239" s="1391"/>
      <c r="D239" s="1391"/>
      <c r="E239" s="1398"/>
      <c r="F239" s="1399"/>
    </row>
    <row r="240" spans="1:6">
      <c r="A240" s="1372"/>
      <c r="B240" s="1390" t="s">
        <v>1194</v>
      </c>
      <c r="C240" s="1391"/>
      <c r="D240" s="1391"/>
      <c r="E240" s="1398"/>
      <c r="F240" s="1399"/>
    </row>
    <row r="241" spans="1:6">
      <c r="A241" s="1372"/>
      <c r="B241" s="1390"/>
      <c r="C241" s="1391"/>
      <c r="D241" s="1391"/>
      <c r="E241" s="1398"/>
      <c r="F241" s="1399"/>
    </row>
    <row r="242" spans="1:6">
      <c r="A242" s="1372"/>
      <c r="B242" s="1390" t="s">
        <v>1195</v>
      </c>
      <c r="C242" s="1391"/>
      <c r="D242" s="1391"/>
      <c r="E242" s="1398"/>
      <c r="F242" s="1399"/>
    </row>
    <row r="243" spans="1:6">
      <c r="A243" s="1372"/>
      <c r="B243" s="1390" t="s">
        <v>1196</v>
      </c>
      <c r="C243" s="1391"/>
      <c r="D243" s="1391"/>
      <c r="E243" s="1398"/>
      <c r="F243" s="1399"/>
    </row>
    <row r="244" spans="1:6" ht="26.4">
      <c r="A244" s="1372"/>
      <c r="B244" s="1390" t="s">
        <v>1197</v>
      </c>
      <c r="C244" s="1391"/>
      <c r="D244" s="1391"/>
      <c r="E244" s="1398"/>
      <c r="F244" s="1399"/>
    </row>
    <row r="245" spans="1:6" ht="39.6">
      <c r="A245" s="1372"/>
      <c r="B245" s="1390" t="s">
        <v>1198</v>
      </c>
      <c r="C245" s="1391"/>
      <c r="D245" s="1391"/>
      <c r="E245" s="1398"/>
      <c r="F245" s="1399"/>
    </row>
    <row r="246" spans="1:6" ht="26.4">
      <c r="A246" s="1372"/>
      <c r="B246" s="1390" t="s">
        <v>1199</v>
      </c>
      <c r="C246" s="1391"/>
      <c r="D246" s="1391"/>
      <c r="E246" s="1398"/>
      <c r="F246" s="1399"/>
    </row>
    <row r="247" spans="1:6" ht="26.4">
      <c r="A247" s="1372"/>
      <c r="B247" s="1390" t="s">
        <v>1200</v>
      </c>
      <c r="C247" s="1391"/>
      <c r="D247" s="1391"/>
      <c r="E247" s="1398"/>
      <c r="F247" s="1399"/>
    </row>
    <row r="248" spans="1:6">
      <c r="A248" s="1372"/>
      <c r="B248" s="1406" t="s">
        <v>1201</v>
      </c>
      <c r="C248" s="1391" t="s">
        <v>521</v>
      </c>
      <c r="D248" s="1391">
        <v>1</v>
      </c>
      <c r="E248" s="1288">
        <v>2500</v>
      </c>
      <c r="F248" s="1433">
        <f>E248*D248</f>
        <v>2500</v>
      </c>
    </row>
    <row r="249" spans="1:6">
      <c r="A249" s="1361" t="s">
        <v>562</v>
      </c>
      <c r="B249" s="1408" t="s">
        <v>1202</v>
      </c>
      <c r="C249" s="1387"/>
      <c r="D249" s="1409"/>
      <c r="E249" s="1388"/>
      <c r="F249" s="1434"/>
    </row>
    <row r="250" spans="1:6" ht="39.6">
      <c r="A250" s="1372" t="s">
        <v>946</v>
      </c>
      <c r="B250" s="1390" t="s">
        <v>1203</v>
      </c>
      <c r="C250" s="1390"/>
      <c r="D250" s="1392"/>
      <c r="E250" s="1398"/>
      <c r="F250" s="1399"/>
    </row>
    <row r="251" spans="1:6">
      <c r="A251" s="1372" t="s">
        <v>1078</v>
      </c>
      <c r="B251" s="1390" t="s">
        <v>1204</v>
      </c>
      <c r="C251" s="1391" t="s">
        <v>692</v>
      </c>
      <c r="D251" s="1392">
        <v>110</v>
      </c>
      <c r="E251" s="1288">
        <v>7</v>
      </c>
      <c r="F251" s="1399">
        <f>E251*D251</f>
        <v>770</v>
      </c>
    </row>
    <row r="252" spans="1:6">
      <c r="A252" s="1372" t="s">
        <v>1080</v>
      </c>
      <c r="B252" s="1390" t="s">
        <v>1205</v>
      </c>
      <c r="C252" s="1391" t="s">
        <v>692</v>
      </c>
      <c r="D252" s="1392">
        <v>250</v>
      </c>
      <c r="E252" s="1288">
        <v>7</v>
      </c>
      <c r="F252" s="1399">
        <f t="shared" ref="F252:F297" si="8">E252*D252</f>
        <v>1750</v>
      </c>
    </row>
    <row r="253" spans="1:6" ht="52.8">
      <c r="A253" s="1372" t="s">
        <v>948</v>
      </c>
      <c r="B253" s="1390" t="s">
        <v>1206</v>
      </c>
      <c r="C253" s="1391"/>
      <c r="D253" s="1392"/>
      <c r="E253" s="1398"/>
      <c r="F253" s="1399"/>
    </row>
    <row r="254" spans="1:6">
      <c r="A254" s="1372"/>
      <c r="B254" s="1390" t="s">
        <v>2189</v>
      </c>
      <c r="C254" s="1391" t="s">
        <v>692</v>
      </c>
      <c r="D254" s="1392">
        <v>610</v>
      </c>
      <c r="E254" s="1288">
        <v>3.9</v>
      </c>
      <c r="F254" s="1399">
        <f t="shared" si="8"/>
        <v>2379</v>
      </c>
    </row>
    <row r="255" spans="1:6" ht="52.8">
      <c r="A255" s="1372" t="s">
        <v>950</v>
      </c>
      <c r="B255" s="1390" t="s">
        <v>1207</v>
      </c>
      <c r="C255" s="1391"/>
      <c r="D255" s="1392"/>
      <c r="E255" s="1398"/>
      <c r="F255" s="1399"/>
    </row>
    <row r="256" spans="1:6" ht="26.4">
      <c r="A256" s="1372"/>
      <c r="B256" s="1390" t="s">
        <v>1208</v>
      </c>
      <c r="C256" s="1391" t="s">
        <v>29</v>
      </c>
      <c r="D256" s="1392">
        <v>25</v>
      </c>
      <c r="E256" s="1288">
        <v>16</v>
      </c>
      <c r="F256" s="1399">
        <f t="shared" si="8"/>
        <v>400</v>
      </c>
    </row>
    <row r="257" spans="1:6" ht="39.6">
      <c r="A257" s="1372" t="s">
        <v>952</v>
      </c>
      <c r="B257" s="1390" t="s">
        <v>1209</v>
      </c>
      <c r="C257" s="1391" t="s">
        <v>29</v>
      </c>
      <c r="D257" s="1392">
        <v>1</v>
      </c>
      <c r="E257" s="1288">
        <v>1500</v>
      </c>
      <c r="F257" s="1399">
        <f t="shared" si="8"/>
        <v>1500</v>
      </c>
    </row>
    <row r="258" spans="1:6" ht="26.4">
      <c r="A258" s="1372"/>
      <c r="B258" s="1390" t="s">
        <v>1210</v>
      </c>
      <c r="C258" s="1391"/>
      <c r="D258" s="1392"/>
      <c r="E258" s="1398"/>
      <c r="F258" s="1399"/>
    </row>
    <row r="259" spans="1:6" ht="26.4">
      <c r="A259" s="1372"/>
      <c r="B259" s="1390" t="s">
        <v>1211</v>
      </c>
      <c r="C259" s="1391"/>
      <c r="D259" s="1392"/>
      <c r="E259" s="1398"/>
      <c r="F259" s="1399"/>
    </row>
    <row r="260" spans="1:6">
      <c r="A260" s="1372"/>
      <c r="B260" s="1390" t="s">
        <v>2190</v>
      </c>
      <c r="C260" s="1391"/>
      <c r="D260" s="1392"/>
      <c r="E260" s="1398"/>
      <c r="F260" s="1399"/>
    </row>
    <row r="261" spans="1:6">
      <c r="A261" s="1372"/>
      <c r="B261" s="1390" t="s">
        <v>1212</v>
      </c>
      <c r="C261" s="1391"/>
      <c r="D261" s="1392"/>
      <c r="E261" s="1398"/>
      <c r="F261" s="1399"/>
    </row>
    <row r="262" spans="1:6" ht="39.6">
      <c r="A262" s="1372"/>
      <c r="B262" s="1390" t="s">
        <v>1213</v>
      </c>
      <c r="C262" s="1391"/>
      <c r="D262" s="1392"/>
      <c r="E262" s="1398"/>
      <c r="F262" s="1399"/>
    </row>
    <row r="263" spans="1:6" ht="26.4">
      <c r="A263" s="1372"/>
      <c r="B263" s="1390" t="s">
        <v>1214</v>
      </c>
      <c r="C263" s="1391"/>
      <c r="D263" s="1392"/>
      <c r="E263" s="1398"/>
      <c r="F263" s="1399"/>
    </row>
    <row r="264" spans="1:6" ht="26.4">
      <c r="A264" s="1372"/>
      <c r="B264" s="1390" t="s">
        <v>1215</v>
      </c>
      <c r="C264" s="1391"/>
      <c r="D264" s="1392"/>
      <c r="E264" s="1398"/>
      <c r="F264" s="1399"/>
    </row>
    <row r="265" spans="1:6">
      <c r="A265" s="1372"/>
      <c r="B265" s="1390" t="s">
        <v>1216</v>
      </c>
      <c r="C265" s="1391"/>
      <c r="D265" s="1392"/>
      <c r="E265" s="1398"/>
      <c r="F265" s="1399"/>
    </row>
    <row r="266" spans="1:6">
      <c r="A266" s="1372"/>
      <c r="B266" s="1390" t="s">
        <v>1217</v>
      </c>
      <c r="C266" s="1391"/>
      <c r="D266" s="1392"/>
      <c r="E266" s="1398"/>
      <c r="F266" s="1399"/>
    </row>
    <row r="267" spans="1:6" ht="26.4">
      <c r="A267" s="1372"/>
      <c r="B267" s="1390" t="s">
        <v>1218</v>
      </c>
      <c r="C267" s="1391"/>
      <c r="D267" s="1392"/>
      <c r="E267" s="1398"/>
      <c r="F267" s="1399"/>
    </row>
    <row r="268" spans="1:6" ht="26.4">
      <c r="A268" s="1372"/>
      <c r="B268" s="1390" t="s">
        <v>1219</v>
      </c>
      <c r="C268" s="1391"/>
      <c r="D268" s="1392"/>
      <c r="E268" s="1398"/>
      <c r="F268" s="1399"/>
    </row>
    <row r="269" spans="1:6" ht="26.4">
      <c r="A269" s="1372" t="s">
        <v>1220</v>
      </c>
      <c r="B269" s="1390" t="s">
        <v>1221</v>
      </c>
      <c r="C269" s="1391" t="s">
        <v>521</v>
      </c>
      <c r="D269" s="1392">
        <v>1</v>
      </c>
      <c r="E269" s="1288">
        <v>1350</v>
      </c>
      <c r="F269" s="1399">
        <f t="shared" si="8"/>
        <v>1350</v>
      </c>
    </row>
    <row r="270" spans="1:6" ht="39.6">
      <c r="A270" s="1372" t="s">
        <v>1222</v>
      </c>
      <c r="B270" s="1390" t="s">
        <v>1223</v>
      </c>
      <c r="C270" s="1391" t="s">
        <v>1224</v>
      </c>
      <c r="D270" s="1392">
        <v>2</v>
      </c>
      <c r="E270" s="1288">
        <v>120</v>
      </c>
      <c r="F270" s="1399">
        <f t="shared" si="8"/>
        <v>240</v>
      </c>
    </row>
    <row r="271" spans="1:6" ht="26.4">
      <c r="A271" s="1372" t="s">
        <v>1225</v>
      </c>
      <c r="B271" s="1390" t="s">
        <v>1226</v>
      </c>
      <c r="C271" s="1391" t="s">
        <v>29</v>
      </c>
      <c r="D271" s="1392">
        <v>1</v>
      </c>
      <c r="E271" s="1288">
        <v>130</v>
      </c>
      <c r="F271" s="1399">
        <f t="shared" si="8"/>
        <v>130</v>
      </c>
    </row>
    <row r="272" spans="1:6" ht="26.4">
      <c r="A272" s="1372" t="s">
        <v>1227</v>
      </c>
      <c r="B272" s="1390" t="s">
        <v>1228</v>
      </c>
      <c r="C272" s="1391" t="s">
        <v>29</v>
      </c>
      <c r="D272" s="1392">
        <v>1</v>
      </c>
      <c r="E272" s="1288">
        <v>130</v>
      </c>
      <c r="F272" s="1399">
        <f t="shared" si="8"/>
        <v>130</v>
      </c>
    </row>
    <row r="273" spans="1:6" ht="26.4">
      <c r="A273" s="1372" t="s">
        <v>1229</v>
      </c>
      <c r="B273" s="1390" t="s">
        <v>1230</v>
      </c>
      <c r="C273" s="1391" t="s">
        <v>29</v>
      </c>
      <c r="D273" s="1392">
        <v>1</v>
      </c>
      <c r="E273" s="1288">
        <v>55</v>
      </c>
      <c r="F273" s="1399">
        <f t="shared" si="8"/>
        <v>55</v>
      </c>
    </row>
    <row r="274" spans="1:6">
      <c r="A274" s="1372" t="s">
        <v>1231</v>
      </c>
      <c r="B274" s="1390" t="s">
        <v>1232</v>
      </c>
      <c r="C274" s="1391" t="s">
        <v>1224</v>
      </c>
      <c r="D274" s="1392">
        <v>1</v>
      </c>
      <c r="E274" s="1288">
        <v>40</v>
      </c>
      <c r="F274" s="1399">
        <f t="shared" si="8"/>
        <v>40</v>
      </c>
    </row>
    <row r="275" spans="1:6">
      <c r="A275" s="1372" t="s">
        <v>1233</v>
      </c>
      <c r="B275" s="1390" t="s">
        <v>1234</v>
      </c>
      <c r="C275" s="1391" t="s">
        <v>1224</v>
      </c>
      <c r="D275" s="1392">
        <v>1</v>
      </c>
      <c r="E275" s="1288">
        <v>40</v>
      </c>
      <c r="F275" s="1399">
        <f t="shared" si="8"/>
        <v>40</v>
      </c>
    </row>
    <row r="276" spans="1:6">
      <c r="A276" s="1372" t="s">
        <v>1235</v>
      </c>
      <c r="B276" s="1390" t="s">
        <v>1236</v>
      </c>
      <c r="C276" s="1391" t="s">
        <v>29</v>
      </c>
      <c r="D276" s="1392">
        <v>6</v>
      </c>
      <c r="E276" s="1288">
        <v>35</v>
      </c>
      <c r="F276" s="1399">
        <f t="shared" si="8"/>
        <v>210</v>
      </c>
    </row>
    <row r="277" spans="1:6">
      <c r="A277" s="1372" t="s">
        <v>1237</v>
      </c>
      <c r="B277" s="1390" t="s">
        <v>1238</v>
      </c>
      <c r="C277" s="1391" t="s">
        <v>29</v>
      </c>
      <c r="D277" s="1392">
        <v>1</v>
      </c>
      <c r="E277" s="1288">
        <v>3527</v>
      </c>
      <c r="F277" s="1399">
        <f t="shared" si="8"/>
        <v>3527</v>
      </c>
    </row>
    <row r="278" spans="1:6" ht="26.4">
      <c r="A278" s="1372" t="s">
        <v>1239</v>
      </c>
      <c r="B278" s="1390" t="s">
        <v>1240</v>
      </c>
      <c r="C278" s="1391" t="s">
        <v>29</v>
      </c>
      <c r="D278" s="1392">
        <v>2</v>
      </c>
      <c r="E278" s="1288">
        <v>55</v>
      </c>
      <c r="F278" s="1399">
        <f t="shared" si="8"/>
        <v>110</v>
      </c>
    </row>
    <row r="279" spans="1:6" ht="26.4">
      <c r="A279" s="1372" t="s">
        <v>1241</v>
      </c>
      <c r="B279" s="1390" t="s">
        <v>1242</v>
      </c>
      <c r="C279" s="1391" t="s">
        <v>29</v>
      </c>
      <c r="D279" s="1392">
        <v>50</v>
      </c>
      <c r="E279" s="1288">
        <v>3</v>
      </c>
      <c r="F279" s="1399">
        <f t="shared" si="8"/>
        <v>150</v>
      </c>
    </row>
    <row r="280" spans="1:6" ht="26.4">
      <c r="A280" s="1372" t="s">
        <v>1243</v>
      </c>
      <c r="B280" s="1390" t="s">
        <v>1244</v>
      </c>
      <c r="C280" s="1391" t="s">
        <v>29</v>
      </c>
      <c r="D280" s="1392">
        <v>1</v>
      </c>
      <c r="E280" s="1288">
        <v>210</v>
      </c>
      <c r="F280" s="1399">
        <f t="shared" si="8"/>
        <v>210</v>
      </c>
    </row>
    <row r="281" spans="1:6">
      <c r="A281" s="1372" t="s">
        <v>1245</v>
      </c>
      <c r="B281" s="1390" t="s">
        <v>1246</v>
      </c>
      <c r="C281" s="1391" t="s">
        <v>1224</v>
      </c>
      <c r="D281" s="1392">
        <v>1</v>
      </c>
      <c r="E281" s="1288">
        <v>15</v>
      </c>
      <c r="F281" s="1399">
        <f t="shared" si="8"/>
        <v>15</v>
      </c>
    </row>
    <row r="282" spans="1:6">
      <c r="A282" s="1372" t="s">
        <v>1247</v>
      </c>
      <c r="B282" s="1390" t="s">
        <v>1248</v>
      </c>
      <c r="C282" s="1391" t="s">
        <v>1224</v>
      </c>
      <c r="D282" s="1392">
        <v>1</v>
      </c>
      <c r="E282" s="1288">
        <v>15</v>
      </c>
      <c r="F282" s="1399">
        <f t="shared" si="8"/>
        <v>15</v>
      </c>
    </row>
    <row r="283" spans="1:6">
      <c r="A283" s="1372" t="s">
        <v>1249</v>
      </c>
      <c r="B283" s="1390" t="s">
        <v>1250</v>
      </c>
      <c r="C283" s="1391" t="s">
        <v>29</v>
      </c>
      <c r="D283" s="1392">
        <v>2</v>
      </c>
      <c r="E283" s="1288">
        <v>85</v>
      </c>
      <c r="F283" s="1399">
        <f t="shared" si="8"/>
        <v>170</v>
      </c>
    </row>
    <row r="284" spans="1:6" ht="26.4">
      <c r="A284" s="1372" t="s">
        <v>1251</v>
      </c>
      <c r="B284" s="1390" t="s">
        <v>1252</v>
      </c>
      <c r="C284" s="1391" t="s">
        <v>29</v>
      </c>
      <c r="D284" s="1392">
        <v>1</v>
      </c>
      <c r="E284" s="1288">
        <v>55</v>
      </c>
      <c r="F284" s="1399">
        <f t="shared" si="8"/>
        <v>55</v>
      </c>
    </row>
    <row r="285" spans="1:6" ht="26.4">
      <c r="A285" s="1372" t="s">
        <v>1253</v>
      </c>
      <c r="B285" s="1390" t="s">
        <v>1254</v>
      </c>
      <c r="C285" s="1391" t="s">
        <v>29</v>
      </c>
      <c r="D285" s="1392">
        <v>1</v>
      </c>
      <c r="E285" s="1288">
        <v>55</v>
      </c>
      <c r="F285" s="1399">
        <f t="shared" si="8"/>
        <v>55</v>
      </c>
    </row>
    <row r="286" spans="1:6" ht="26.4">
      <c r="A286" s="1372" t="s">
        <v>1255</v>
      </c>
      <c r="B286" s="1390" t="s">
        <v>1256</v>
      </c>
      <c r="C286" s="1391" t="s">
        <v>29</v>
      </c>
      <c r="D286" s="1392">
        <v>1</v>
      </c>
      <c r="E286" s="1288">
        <v>110</v>
      </c>
      <c r="F286" s="1399">
        <f t="shared" si="8"/>
        <v>110</v>
      </c>
    </row>
    <row r="287" spans="1:6">
      <c r="A287" s="1372" t="s">
        <v>1257</v>
      </c>
      <c r="B287" s="1390" t="s">
        <v>1258</v>
      </c>
      <c r="C287" s="1391" t="s">
        <v>29</v>
      </c>
      <c r="D287" s="1392">
        <v>4</v>
      </c>
      <c r="E287" s="1288">
        <v>25</v>
      </c>
      <c r="F287" s="1399">
        <f t="shared" si="8"/>
        <v>100</v>
      </c>
    </row>
    <row r="288" spans="1:6" ht="26.4">
      <c r="A288" s="1372" t="s">
        <v>1259</v>
      </c>
      <c r="B288" s="1390" t="s">
        <v>1260</v>
      </c>
      <c r="C288" s="1391" t="s">
        <v>29</v>
      </c>
      <c r="D288" s="1392">
        <v>12</v>
      </c>
      <c r="E288" s="1288">
        <v>6</v>
      </c>
      <c r="F288" s="1399">
        <f t="shared" si="8"/>
        <v>72</v>
      </c>
    </row>
    <row r="289" spans="1:6">
      <c r="A289" s="1372" t="s">
        <v>1261</v>
      </c>
      <c r="B289" s="1390" t="s">
        <v>1262</v>
      </c>
      <c r="C289" s="1391" t="s">
        <v>29</v>
      </c>
      <c r="D289" s="1392">
        <v>12</v>
      </c>
      <c r="E289" s="1288">
        <v>5</v>
      </c>
      <c r="F289" s="1399">
        <f t="shared" si="8"/>
        <v>60</v>
      </c>
    </row>
    <row r="290" spans="1:6">
      <c r="A290" s="1372" t="s">
        <v>1263</v>
      </c>
      <c r="B290" s="1390" t="s">
        <v>1264</v>
      </c>
      <c r="C290" s="1391" t="s">
        <v>29</v>
      </c>
      <c r="D290" s="1392">
        <v>1</v>
      </c>
      <c r="E290" s="1288">
        <v>115</v>
      </c>
      <c r="F290" s="1399">
        <f t="shared" si="8"/>
        <v>115</v>
      </c>
    </row>
    <row r="291" spans="1:6" ht="26.4">
      <c r="A291" s="1372" t="s">
        <v>1265</v>
      </c>
      <c r="B291" s="1390" t="s">
        <v>1266</v>
      </c>
      <c r="C291" s="1391" t="s">
        <v>29</v>
      </c>
      <c r="D291" s="1392">
        <v>3</v>
      </c>
      <c r="E291" s="1288">
        <v>150</v>
      </c>
      <c r="F291" s="1399">
        <f t="shared" si="8"/>
        <v>450</v>
      </c>
    </row>
    <row r="292" spans="1:6">
      <c r="A292" s="1372"/>
      <c r="B292" s="1390" t="s">
        <v>1267</v>
      </c>
      <c r="C292" s="1391"/>
      <c r="D292" s="1392"/>
      <c r="E292" s="1398"/>
      <c r="F292" s="1399"/>
    </row>
    <row r="293" spans="1:6" ht="26.4">
      <c r="A293" s="1372"/>
      <c r="B293" s="1390" t="s">
        <v>1268</v>
      </c>
      <c r="C293" s="1391"/>
      <c r="D293" s="1392"/>
      <c r="E293" s="1398"/>
      <c r="F293" s="1399"/>
    </row>
    <row r="294" spans="1:6">
      <c r="A294" s="1372"/>
      <c r="B294" s="1390" t="s">
        <v>2191</v>
      </c>
      <c r="C294" s="1391"/>
      <c r="D294" s="1392"/>
      <c r="E294" s="1398"/>
      <c r="F294" s="1399"/>
    </row>
    <row r="295" spans="1:6" ht="26.4">
      <c r="A295" s="1372"/>
      <c r="B295" s="1390" t="s">
        <v>1269</v>
      </c>
      <c r="C295" s="1391"/>
      <c r="D295" s="1392"/>
      <c r="E295" s="1398"/>
      <c r="F295" s="1399"/>
    </row>
    <row r="296" spans="1:6">
      <c r="A296" s="1372"/>
      <c r="B296" s="1390" t="s">
        <v>1270</v>
      </c>
      <c r="C296" s="1391"/>
      <c r="D296" s="1392"/>
      <c r="E296" s="1398"/>
      <c r="F296" s="1399"/>
    </row>
    <row r="297" spans="1:6">
      <c r="A297" s="1372" t="s">
        <v>953</v>
      </c>
      <c r="B297" s="1390" t="s">
        <v>855</v>
      </c>
      <c r="C297" s="1391" t="s">
        <v>521</v>
      </c>
      <c r="D297" s="1392">
        <v>1</v>
      </c>
      <c r="E297" s="1288">
        <v>500</v>
      </c>
      <c r="F297" s="1399">
        <f t="shared" si="8"/>
        <v>500</v>
      </c>
    </row>
    <row r="298" spans="1:6">
      <c r="A298" s="1442"/>
      <c r="B298" s="1406" t="s">
        <v>1271</v>
      </c>
      <c r="C298" s="1443"/>
      <c r="D298" s="1443"/>
      <c r="E298" s="1444"/>
      <c r="F298" s="1445">
        <f>SUM(F251:F297)</f>
        <v>14708</v>
      </c>
    </row>
    <row r="299" spans="1:6">
      <c r="A299" s="1361" t="s">
        <v>565</v>
      </c>
      <c r="B299" s="1408" t="s">
        <v>1272</v>
      </c>
      <c r="C299" s="1387"/>
      <c r="D299" s="1409"/>
      <c r="E299" s="1388"/>
      <c r="F299" s="1434"/>
    </row>
    <row r="300" spans="1:6">
      <c r="A300" s="1446" t="s">
        <v>416</v>
      </c>
      <c r="B300" s="1440" t="s">
        <v>1273</v>
      </c>
      <c r="C300" s="1391"/>
      <c r="D300" s="1392"/>
      <c r="E300" s="1398"/>
      <c r="F300" s="1399"/>
    </row>
    <row r="301" spans="1:6" ht="52.8">
      <c r="A301" s="1372" t="s">
        <v>946</v>
      </c>
      <c r="B301" s="1390" t="s">
        <v>1274</v>
      </c>
      <c r="C301" s="1391"/>
      <c r="D301" s="1392"/>
      <c r="E301" s="1398"/>
      <c r="F301" s="1399"/>
    </row>
    <row r="302" spans="1:6" ht="66">
      <c r="A302" s="1372" t="s">
        <v>1078</v>
      </c>
      <c r="B302" s="1390" t="s">
        <v>1275</v>
      </c>
      <c r="C302" s="1391" t="s">
        <v>521</v>
      </c>
      <c r="D302" s="1392">
        <v>1</v>
      </c>
      <c r="E302" s="1288">
        <v>590</v>
      </c>
      <c r="F302" s="1399">
        <f>E302*D302</f>
        <v>590</v>
      </c>
    </row>
    <row r="303" spans="1:6" ht="52.8">
      <c r="A303" s="1372" t="s">
        <v>1080</v>
      </c>
      <c r="B303" s="1390" t="s">
        <v>1276</v>
      </c>
      <c r="C303" s="1391" t="s">
        <v>29</v>
      </c>
      <c r="D303" s="1392">
        <v>12</v>
      </c>
      <c r="E303" s="1288">
        <v>125</v>
      </c>
      <c r="F303" s="1399">
        <f t="shared" ref="F303:F333" si="9">E303*D303</f>
        <v>1500</v>
      </c>
    </row>
    <row r="304" spans="1:6" ht="26.4">
      <c r="A304" s="1372"/>
      <c r="B304" s="1390" t="s">
        <v>1277</v>
      </c>
      <c r="C304" s="1391"/>
      <c r="D304" s="1392"/>
      <c r="E304" s="1398"/>
      <c r="F304" s="1399"/>
    </row>
    <row r="305" spans="1:6">
      <c r="A305" s="1372"/>
      <c r="B305" s="1390" t="s">
        <v>1278</v>
      </c>
      <c r="C305" s="1391"/>
      <c r="D305" s="1392"/>
      <c r="E305" s="1398"/>
      <c r="F305" s="1399"/>
    </row>
    <row r="306" spans="1:6" ht="39.6">
      <c r="A306" s="1372"/>
      <c r="B306" s="1390" t="s">
        <v>1279</v>
      </c>
      <c r="C306" s="1391"/>
      <c r="D306" s="1392"/>
      <c r="E306" s="1398"/>
      <c r="F306" s="1399"/>
    </row>
    <row r="307" spans="1:6" ht="105.6">
      <c r="A307" s="1372" t="s">
        <v>1082</v>
      </c>
      <c r="B307" s="1390" t="s">
        <v>1280</v>
      </c>
      <c r="C307" s="1391" t="s">
        <v>29</v>
      </c>
      <c r="D307" s="1392">
        <v>1</v>
      </c>
      <c r="E307" s="1288">
        <v>1750</v>
      </c>
      <c r="F307" s="1399">
        <f t="shared" si="9"/>
        <v>1750</v>
      </c>
    </row>
    <row r="308" spans="1:6" ht="26.4">
      <c r="A308" s="1372" t="s">
        <v>1084</v>
      </c>
      <c r="B308" s="1390" t="s">
        <v>1281</v>
      </c>
      <c r="C308" s="1391" t="s">
        <v>29</v>
      </c>
      <c r="D308" s="1392">
        <v>1</v>
      </c>
      <c r="E308" s="1288">
        <v>423</v>
      </c>
      <c r="F308" s="1399">
        <f t="shared" si="9"/>
        <v>423</v>
      </c>
    </row>
    <row r="309" spans="1:6">
      <c r="A309" s="1446" t="s">
        <v>421</v>
      </c>
      <c r="B309" s="1440" t="s">
        <v>1282</v>
      </c>
      <c r="C309" s="1391"/>
      <c r="D309" s="1392"/>
      <c r="E309" s="1398"/>
      <c r="F309" s="1399"/>
    </row>
    <row r="310" spans="1:6" ht="26.4">
      <c r="A310" s="1372" t="s">
        <v>1283</v>
      </c>
      <c r="B310" s="1390" t="s">
        <v>1284</v>
      </c>
      <c r="C310" s="1391"/>
      <c r="D310" s="1392"/>
      <c r="E310" s="1398"/>
      <c r="F310" s="1399"/>
    </row>
    <row r="311" spans="1:6" ht="26.4">
      <c r="A311" s="1372" t="s">
        <v>1285</v>
      </c>
      <c r="B311" s="1390" t="s">
        <v>1286</v>
      </c>
      <c r="C311" s="1391" t="s">
        <v>521</v>
      </c>
      <c r="D311" s="1392">
        <v>1</v>
      </c>
      <c r="E311" s="1288">
        <v>365</v>
      </c>
      <c r="F311" s="1399">
        <f t="shared" si="9"/>
        <v>365</v>
      </c>
    </row>
    <row r="312" spans="1:6" ht="105.6">
      <c r="A312" s="1372" t="s">
        <v>1287</v>
      </c>
      <c r="B312" s="1390" t="s">
        <v>1288</v>
      </c>
      <c r="C312" s="1391" t="s">
        <v>521</v>
      </c>
      <c r="D312" s="1392">
        <v>1</v>
      </c>
      <c r="E312" s="1288">
        <v>950</v>
      </c>
      <c r="F312" s="1399">
        <f t="shared" si="9"/>
        <v>950</v>
      </c>
    </row>
    <row r="313" spans="1:6" ht="52.8">
      <c r="A313" s="1372" t="s">
        <v>1289</v>
      </c>
      <c r="B313" s="1390" t="s">
        <v>1290</v>
      </c>
      <c r="C313" s="1391" t="s">
        <v>29</v>
      </c>
      <c r="D313" s="1392">
        <v>12</v>
      </c>
      <c r="E313" s="1288">
        <v>65</v>
      </c>
      <c r="F313" s="1399">
        <f t="shared" si="9"/>
        <v>780</v>
      </c>
    </row>
    <row r="314" spans="1:6">
      <c r="A314" s="1372" t="s">
        <v>1291</v>
      </c>
      <c r="B314" s="1390" t="s">
        <v>1292</v>
      </c>
      <c r="C314" s="1391" t="s">
        <v>29</v>
      </c>
      <c r="D314" s="1392">
        <v>1</v>
      </c>
      <c r="E314" s="1288">
        <v>110</v>
      </c>
      <c r="F314" s="1399">
        <f t="shared" si="9"/>
        <v>110</v>
      </c>
    </row>
    <row r="315" spans="1:6" ht="39.6">
      <c r="A315" s="1372" t="s">
        <v>1293</v>
      </c>
      <c r="B315" s="1390" t="s">
        <v>1294</v>
      </c>
      <c r="C315" s="1391" t="s">
        <v>521</v>
      </c>
      <c r="D315" s="1392">
        <v>1</v>
      </c>
      <c r="E315" s="1288">
        <v>125</v>
      </c>
      <c r="F315" s="1399">
        <f t="shared" si="9"/>
        <v>125</v>
      </c>
    </row>
    <row r="316" spans="1:6">
      <c r="A316" s="1446" t="s">
        <v>434</v>
      </c>
      <c r="B316" s="1440" t="s">
        <v>1295</v>
      </c>
      <c r="C316" s="1391"/>
      <c r="D316" s="1392"/>
      <c r="E316" s="1398"/>
      <c r="F316" s="1399"/>
    </row>
    <row r="317" spans="1:6" ht="39.6">
      <c r="A317" s="1372" t="s">
        <v>867</v>
      </c>
      <c r="B317" s="1390" t="s">
        <v>1296</v>
      </c>
      <c r="C317" s="1391"/>
      <c r="D317" s="1392"/>
      <c r="E317" s="1398"/>
      <c r="F317" s="1399"/>
    </row>
    <row r="318" spans="1:6" ht="39.6">
      <c r="A318" s="1372" t="s">
        <v>1297</v>
      </c>
      <c r="B318" s="1390" t="s">
        <v>1298</v>
      </c>
      <c r="C318" s="1391" t="s">
        <v>521</v>
      </c>
      <c r="D318" s="1392">
        <v>1</v>
      </c>
      <c r="E318" s="1288">
        <v>55</v>
      </c>
      <c r="F318" s="1399">
        <f t="shared" si="9"/>
        <v>55</v>
      </c>
    </row>
    <row r="319" spans="1:6" ht="39.6">
      <c r="A319" s="1372" t="s">
        <v>1299</v>
      </c>
      <c r="B319" s="1390" t="s">
        <v>1300</v>
      </c>
      <c r="C319" s="1391"/>
      <c r="D319" s="1392"/>
      <c r="E319" s="1398"/>
      <c r="F319" s="1399"/>
    </row>
    <row r="320" spans="1:6" ht="39.6">
      <c r="A320" s="1372"/>
      <c r="B320" s="1390" t="s">
        <v>2192</v>
      </c>
      <c r="C320" s="1391" t="s">
        <v>692</v>
      </c>
      <c r="D320" s="1392">
        <v>15</v>
      </c>
      <c r="E320" s="1288">
        <v>38</v>
      </c>
      <c r="F320" s="1399">
        <f t="shared" si="9"/>
        <v>570</v>
      </c>
    </row>
    <row r="321" spans="1:6" ht="26.4">
      <c r="A321" s="1372"/>
      <c r="B321" s="1390" t="s">
        <v>1301</v>
      </c>
      <c r="C321" s="1391" t="s">
        <v>692</v>
      </c>
      <c r="D321" s="1392">
        <v>10</v>
      </c>
      <c r="E321" s="1288">
        <v>22</v>
      </c>
      <c r="F321" s="1399">
        <f t="shared" si="9"/>
        <v>220</v>
      </c>
    </row>
    <row r="322" spans="1:6" ht="26.4">
      <c r="A322" s="1372" t="s">
        <v>1302</v>
      </c>
      <c r="B322" s="1390" t="s">
        <v>1303</v>
      </c>
      <c r="C322" s="1391"/>
      <c r="D322" s="1392"/>
      <c r="E322" s="1398"/>
      <c r="F322" s="1399"/>
    </row>
    <row r="323" spans="1:6">
      <c r="A323" s="1372"/>
      <c r="B323" s="1390" t="s">
        <v>1304</v>
      </c>
      <c r="C323" s="1391" t="s">
        <v>692</v>
      </c>
      <c r="D323" s="1392">
        <v>100</v>
      </c>
      <c r="E323" s="1288">
        <v>7.55</v>
      </c>
      <c r="F323" s="1399">
        <f t="shared" si="9"/>
        <v>755</v>
      </c>
    </row>
    <row r="324" spans="1:6">
      <c r="A324" s="1372"/>
      <c r="B324" s="1390" t="s">
        <v>1305</v>
      </c>
      <c r="C324" s="1391" t="s">
        <v>692</v>
      </c>
      <c r="D324" s="1392">
        <v>35</v>
      </c>
      <c r="E324" s="1288">
        <v>3.55</v>
      </c>
      <c r="F324" s="1399">
        <f t="shared" si="9"/>
        <v>124.25</v>
      </c>
    </row>
    <row r="325" spans="1:6" ht="52.8">
      <c r="A325" s="1372" t="s">
        <v>1306</v>
      </c>
      <c r="B325" s="1390" t="s">
        <v>1307</v>
      </c>
      <c r="C325" s="1391" t="s">
        <v>692</v>
      </c>
      <c r="D325" s="1392">
        <v>90</v>
      </c>
      <c r="E325" s="1288">
        <v>3.55</v>
      </c>
      <c r="F325" s="1399">
        <f t="shared" si="9"/>
        <v>319.5</v>
      </c>
    </row>
    <row r="326" spans="1:6" ht="26.4">
      <c r="A326" s="1372" t="s">
        <v>1308</v>
      </c>
      <c r="B326" s="1390" t="s">
        <v>1309</v>
      </c>
      <c r="C326" s="1391" t="s">
        <v>29</v>
      </c>
      <c r="D326" s="1392">
        <v>50</v>
      </c>
      <c r="E326" s="1288">
        <v>2.5499999999999998</v>
      </c>
      <c r="F326" s="1399">
        <f t="shared" si="9"/>
        <v>127.49999999999999</v>
      </c>
    </row>
    <row r="327" spans="1:6" ht="26.4">
      <c r="A327" s="1372" t="s">
        <v>1310</v>
      </c>
      <c r="B327" s="1390" t="s">
        <v>1311</v>
      </c>
      <c r="C327" s="1391" t="s">
        <v>29</v>
      </c>
      <c r="D327" s="1392">
        <v>12</v>
      </c>
      <c r="E327" s="1288">
        <v>4</v>
      </c>
      <c r="F327" s="1399">
        <f t="shared" si="9"/>
        <v>48</v>
      </c>
    </row>
    <row r="328" spans="1:6">
      <c r="A328" s="1372" t="s">
        <v>1312</v>
      </c>
      <c r="B328" s="1390" t="s">
        <v>1313</v>
      </c>
      <c r="C328" s="1391" t="s">
        <v>29</v>
      </c>
      <c r="D328" s="1392">
        <v>1</v>
      </c>
      <c r="E328" s="1288">
        <v>1</v>
      </c>
      <c r="F328" s="1399">
        <f t="shared" si="9"/>
        <v>1</v>
      </c>
    </row>
    <row r="329" spans="1:6">
      <c r="A329" s="1372" t="s">
        <v>1314</v>
      </c>
      <c r="B329" s="1390" t="s">
        <v>1315</v>
      </c>
      <c r="C329" s="1391" t="s">
        <v>29</v>
      </c>
      <c r="D329" s="1392">
        <v>2</v>
      </c>
      <c r="E329" s="1288">
        <v>1</v>
      </c>
      <c r="F329" s="1399">
        <f t="shared" si="9"/>
        <v>2</v>
      </c>
    </row>
    <row r="330" spans="1:6">
      <c r="A330" s="1372" t="s">
        <v>1316</v>
      </c>
      <c r="B330" s="1390" t="s">
        <v>1142</v>
      </c>
      <c r="C330" s="1391" t="s">
        <v>521</v>
      </c>
      <c r="D330" s="1392">
        <v>1</v>
      </c>
      <c r="E330" s="1288">
        <v>555</v>
      </c>
      <c r="F330" s="1399">
        <f t="shared" si="9"/>
        <v>555</v>
      </c>
    </row>
    <row r="331" spans="1:6" ht="26.4">
      <c r="A331" s="1446" t="s">
        <v>439</v>
      </c>
      <c r="B331" s="1440" t="s">
        <v>1317</v>
      </c>
      <c r="C331" s="1391"/>
      <c r="D331" s="1392"/>
      <c r="E331" s="1398"/>
      <c r="F331" s="1399"/>
    </row>
    <row r="332" spans="1:6" ht="26.4">
      <c r="A332" s="1372" t="s">
        <v>1318</v>
      </c>
      <c r="B332" s="1390" t="s">
        <v>1319</v>
      </c>
      <c r="C332" s="1391" t="s">
        <v>29</v>
      </c>
      <c r="D332" s="1392">
        <v>1</v>
      </c>
      <c r="E332" s="1288">
        <v>800</v>
      </c>
      <c r="F332" s="1399">
        <f t="shared" si="9"/>
        <v>800</v>
      </c>
    </row>
    <row r="333" spans="1:6">
      <c r="A333" s="1372" t="s">
        <v>1320</v>
      </c>
      <c r="B333" s="1390" t="s">
        <v>1321</v>
      </c>
      <c r="C333" s="1391" t="s">
        <v>29</v>
      </c>
      <c r="D333" s="1392">
        <v>1</v>
      </c>
      <c r="E333" s="1288">
        <v>450</v>
      </c>
      <c r="F333" s="1399">
        <f t="shared" si="9"/>
        <v>450</v>
      </c>
    </row>
    <row r="334" spans="1:6">
      <c r="A334" s="1442"/>
      <c r="B334" s="1406" t="s">
        <v>1322</v>
      </c>
      <c r="C334" s="1443"/>
      <c r="D334" s="1443"/>
      <c r="E334" s="1444"/>
      <c r="F334" s="1445">
        <f>SUM(F302:F333)</f>
        <v>10620.25</v>
      </c>
    </row>
    <row r="335" spans="1:6">
      <c r="A335" s="1361" t="s">
        <v>568</v>
      </c>
      <c r="B335" s="1408" t="s">
        <v>1323</v>
      </c>
      <c r="C335" s="1387"/>
      <c r="D335" s="1409"/>
      <c r="E335" s="1388"/>
      <c r="F335" s="1434"/>
    </row>
    <row r="336" spans="1:6" ht="26.4">
      <c r="A336" s="1372" t="s">
        <v>1324</v>
      </c>
      <c r="B336" s="1390" t="s">
        <v>1325</v>
      </c>
      <c r="C336" s="1391"/>
      <c r="D336" s="1392"/>
      <c r="E336" s="1398"/>
      <c r="F336" s="1399"/>
    </row>
    <row r="337" spans="1:6" ht="66">
      <c r="A337" s="1372" t="s">
        <v>421</v>
      </c>
      <c r="B337" s="1390" t="s">
        <v>1326</v>
      </c>
      <c r="C337" s="1391"/>
      <c r="D337" s="1392"/>
      <c r="E337" s="1398"/>
      <c r="F337" s="1399"/>
    </row>
    <row r="338" spans="1:6">
      <c r="A338" s="1372" t="s">
        <v>1283</v>
      </c>
      <c r="B338" s="1390" t="s">
        <v>1327</v>
      </c>
      <c r="C338" s="1391" t="s">
        <v>29</v>
      </c>
      <c r="D338" s="1392">
        <v>1</v>
      </c>
      <c r="E338" s="1288">
        <v>320</v>
      </c>
      <c r="F338" s="1399">
        <f>E338*D338</f>
        <v>320</v>
      </c>
    </row>
    <row r="339" spans="1:6">
      <c r="A339" s="1372" t="s">
        <v>1328</v>
      </c>
      <c r="B339" s="1390" t="s">
        <v>1329</v>
      </c>
      <c r="C339" s="1391" t="s">
        <v>29</v>
      </c>
      <c r="D339" s="1392">
        <v>1</v>
      </c>
      <c r="E339" s="1288">
        <v>25</v>
      </c>
      <c r="F339" s="1399">
        <f t="shared" ref="F339:F370" si="10">E339*D339</f>
        <v>25</v>
      </c>
    </row>
    <row r="340" spans="1:6">
      <c r="A340" s="1372" t="s">
        <v>1330</v>
      </c>
      <c r="B340" s="1390" t="s">
        <v>1331</v>
      </c>
      <c r="C340" s="1391" t="s">
        <v>29</v>
      </c>
      <c r="D340" s="1392">
        <v>3</v>
      </c>
      <c r="E340" s="1288">
        <v>55</v>
      </c>
      <c r="F340" s="1399">
        <f t="shared" si="10"/>
        <v>165</v>
      </c>
    </row>
    <row r="341" spans="1:6">
      <c r="A341" s="1372" t="s">
        <v>1332</v>
      </c>
      <c r="B341" s="1390" t="s">
        <v>1333</v>
      </c>
      <c r="C341" s="1391" t="s">
        <v>29</v>
      </c>
      <c r="D341" s="1392">
        <v>1</v>
      </c>
      <c r="E341" s="1288">
        <v>15</v>
      </c>
      <c r="F341" s="1399">
        <f t="shared" si="10"/>
        <v>15</v>
      </c>
    </row>
    <row r="342" spans="1:6">
      <c r="A342" s="1372" t="s">
        <v>1334</v>
      </c>
      <c r="B342" s="1390" t="s">
        <v>1335</v>
      </c>
      <c r="C342" s="1391" t="s">
        <v>29</v>
      </c>
      <c r="D342" s="1392">
        <v>1</v>
      </c>
      <c r="E342" s="1288">
        <v>45</v>
      </c>
      <c r="F342" s="1399">
        <f t="shared" si="10"/>
        <v>45</v>
      </c>
    </row>
    <row r="343" spans="1:6">
      <c r="A343" s="1372" t="s">
        <v>1336</v>
      </c>
      <c r="B343" s="1390" t="s">
        <v>1337</v>
      </c>
      <c r="C343" s="1391" t="s">
        <v>29</v>
      </c>
      <c r="D343" s="1392">
        <v>1</v>
      </c>
      <c r="E343" s="1288">
        <v>25</v>
      </c>
      <c r="F343" s="1399">
        <f t="shared" si="10"/>
        <v>25</v>
      </c>
    </row>
    <row r="344" spans="1:6">
      <c r="A344" s="1372" t="s">
        <v>1338</v>
      </c>
      <c r="B344" s="1390" t="s">
        <v>1339</v>
      </c>
      <c r="C344" s="1391" t="s">
        <v>29</v>
      </c>
      <c r="D344" s="1392">
        <v>1</v>
      </c>
      <c r="E344" s="1288">
        <v>55</v>
      </c>
      <c r="F344" s="1399">
        <f t="shared" si="10"/>
        <v>55</v>
      </c>
    </row>
    <row r="345" spans="1:6">
      <c r="A345" s="1372" t="s">
        <v>1340</v>
      </c>
      <c r="B345" s="1390" t="s">
        <v>1341</v>
      </c>
      <c r="C345" s="1391" t="s">
        <v>29</v>
      </c>
      <c r="D345" s="1392">
        <v>1</v>
      </c>
      <c r="E345" s="1288">
        <v>250</v>
      </c>
      <c r="F345" s="1399">
        <f t="shared" si="10"/>
        <v>250</v>
      </c>
    </row>
    <row r="346" spans="1:6">
      <c r="A346" s="1372" t="s">
        <v>1342</v>
      </c>
      <c r="B346" s="1390" t="s">
        <v>1343</v>
      </c>
      <c r="C346" s="1391" t="s">
        <v>29</v>
      </c>
      <c r="D346" s="1392">
        <v>1</v>
      </c>
      <c r="E346" s="1288">
        <v>110</v>
      </c>
      <c r="F346" s="1399">
        <f t="shared" si="10"/>
        <v>110</v>
      </c>
    </row>
    <row r="347" spans="1:6">
      <c r="A347" s="1372" t="s">
        <v>1344</v>
      </c>
      <c r="B347" s="1390" t="s">
        <v>1345</v>
      </c>
      <c r="C347" s="1391" t="s">
        <v>29</v>
      </c>
      <c r="D347" s="1392">
        <v>1</v>
      </c>
      <c r="E347" s="1288">
        <v>128</v>
      </c>
      <c r="F347" s="1399">
        <f t="shared" si="10"/>
        <v>128</v>
      </c>
    </row>
    <row r="348" spans="1:6">
      <c r="A348" s="1372" t="s">
        <v>1346</v>
      </c>
      <c r="B348" s="1390" t="s">
        <v>1347</v>
      </c>
      <c r="C348" s="1391" t="s">
        <v>29</v>
      </c>
      <c r="D348" s="1392">
        <v>1</v>
      </c>
      <c r="E348" s="1288">
        <v>155</v>
      </c>
      <c r="F348" s="1399">
        <f t="shared" si="10"/>
        <v>155</v>
      </c>
    </row>
    <row r="349" spans="1:6" ht="26.4">
      <c r="A349" s="1372" t="s">
        <v>1348</v>
      </c>
      <c r="B349" s="1390" t="s">
        <v>1349</v>
      </c>
      <c r="C349" s="1391" t="s">
        <v>29</v>
      </c>
      <c r="D349" s="1392">
        <v>2</v>
      </c>
      <c r="E349" s="1288">
        <v>35</v>
      </c>
      <c r="F349" s="1399">
        <f t="shared" si="10"/>
        <v>70</v>
      </c>
    </row>
    <row r="350" spans="1:6">
      <c r="A350" s="1372" t="s">
        <v>1350</v>
      </c>
      <c r="B350" s="1390" t="s">
        <v>2193</v>
      </c>
      <c r="C350" s="1391" t="s">
        <v>29</v>
      </c>
      <c r="D350" s="1392">
        <v>1</v>
      </c>
      <c r="E350" s="1288">
        <v>150</v>
      </c>
      <c r="F350" s="1399">
        <f t="shared" si="10"/>
        <v>150</v>
      </c>
    </row>
    <row r="351" spans="1:6" ht="26.4">
      <c r="A351" s="1372" t="s">
        <v>1351</v>
      </c>
      <c r="B351" s="1390" t="s">
        <v>1352</v>
      </c>
      <c r="C351" s="1391" t="s">
        <v>29</v>
      </c>
      <c r="D351" s="1392">
        <v>1</v>
      </c>
      <c r="E351" s="1288">
        <v>35</v>
      </c>
      <c r="F351" s="1399">
        <f t="shared" si="10"/>
        <v>35</v>
      </c>
    </row>
    <row r="352" spans="1:6">
      <c r="A352" s="1372" t="s">
        <v>1353</v>
      </c>
      <c r="B352" s="1390" t="s">
        <v>2194</v>
      </c>
      <c r="C352" s="1391" t="s">
        <v>29</v>
      </c>
      <c r="D352" s="1392">
        <v>2</v>
      </c>
      <c r="E352" s="1288">
        <v>55</v>
      </c>
      <c r="F352" s="1399">
        <f t="shared" si="10"/>
        <v>110</v>
      </c>
    </row>
    <row r="353" spans="1:6">
      <c r="A353" s="1372" t="s">
        <v>1354</v>
      </c>
      <c r="B353" s="1390" t="s">
        <v>1355</v>
      </c>
      <c r="C353" s="1391" t="s">
        <v>692</v>
      </c>
      <c r="D353" s="1392">
        <v>150</v>
      </c>
      <c r="E353" s="1288">
        <v>4.0999999999999996</v>
      </c>
      <c r="F353" s="1399">
        <f t="shared" si="10"/>
        <v>615</v>
      </c>
    </row>
    <row r="354" spans="1:6" ht="26.4">
      <c r="A354" s="1372" t="s">
        <v>1356</v>
      </c>
      <c r="B354" s="1390" t="s">
        <v>1357</v>
      </c>
      <c r="C354" s="1391" t="s">
        <v>1224</v>
      </c>
      <c r="D354" s="1392">
        <v>1</v>
      </c>
      <c r="E354" s="1288">
        <v>15</v>
      </c>
      <c r="F354" s="1399">
        <f t="shared" si="10"/>
        <v>15</v>
      </c>
    </row>
    <row r="355" spans="1:6">
      <c r="A355" s="1372" t="s">
        <v>1358</v>
      </c>
      <c r="B355" s="1390" t="s">
        <v>1359</v>
      </c>
      <c r="C355" s="1391" t="s">
        <v>29</v>
      </c>
      <c r="D355" s="1392">
        <v>1</v>
      </c>
      <c r="E355" s="1288">
        <v>350</v>
      </c>
      <c r="F355" s="1399">
        <f t="shared" si="10"/>
        <v>350</v>
      </c>
    </row>
    <row r="356" spans="1:6">
      <c r="A356" s="1372" t="s">
        <v>1360</v>
      </c>
      <c r="B356" s="1390" t="s">
        <v>2195</v>
      </c>
      <c r="C356" s="1391" t="s">
        <v>29</v>
      </c>
      <c r="D356" s="1392">
        <v>2</v>
      </c>
      <c r="E356" s="1288">
        <v>8</v>
      </c>
      <c r="F356" s="1399">
        <f t="shared" si="10"/>
        <v>16</v>
      </c>
    </row>
    <row r="357" spans="1:6" ht="26.4">
      <c r="A357" s="1372" t="s">
        <v>1361</v>
      </c>
      <c r="B357" s="1390" t="s">
        <v>1362</v>
      </c>
      <c r="C357" s="1391" t="s">
        <v>29</v>
      </c>
      <c r="D357" s="1392">
        <v>2</v>
      </c>
      <c r="E357" s="1288">
        <v>25</v>
      </c>
      <c r="F357" s="1399">
        <f t="shared" si="10"/>
        <v>50</v>
      </c>
    </row>
    <row r="358" spans="1:6" ht="26.4">
      <c r="A358" s="1372" t="s">
        <v>1363</v>
      </c>
      <c r="B358" s="1390" t="s">
        <v>1364</v>
      </c>
      <c r="C358" s="1391" t="s">
        <v>29</v>
      </c>
      <c r="D358" s="1392">
        <v>20</v>
      </c>
      <c r="E358" s="1288">
        <v>5</v>
      </c>
      <c r="F358" s="1399">
        <f t="shared" si="10"/>
        <v>100</v>
      </c>
    </row>
    <row r="359" spans="1:6" ht="26.4">
      <c r="A359" s="1372" t="s">
        <v>1365</v>
      </c>
      <c r="B359" s="1390" t="s">
        <v>1366</v>
      </c>
      <c r="C359" s="1391" t="s">
        <v>29</v>
      </c>
      <c r="D359" s="1392">
        <v>1</v>
      </c>
      <c r="E359" s="1288">
        <v>150</v>
      </c>
      <c r="F359" s="1399">
        <f t="shared" si="10"/>
        <v>150</v>
      </c>
    </row>
    <row r="360" spans="1:6">
      <c r="A360" s="1372" t="s">
        <v>1367</v>
      </c>
      <c r="B360" s="1390" t="s">
        <v>1368</v>
      </c>
      <c r="C360" s="1391" t="s">
        <v>29</v>
      </c>
      <c r="D360" s="1392">
        <v>9</v>
      </c>
      <c r="E360" s="1288">
        <v>7</v>
      </c>
      <c r="F360" s="1399">
        <f t="shared" si="10"/>
        <v>63</v>
      </c>
    </row>
    <row r="361" spans="1:6" ht="26.4">
      <c r="A361" s="1372" t="s">
        <v>1369</v>
      </c>
      <c r="B361" s="1390" t="s">
        <v>1370</v>
      </c>
      <c r="C361" s="1391" t="s">
        <v>29</v>
      </c>
      <c r="D361" s="1392">
        <v>2</v>
      </c>
      <c r="E361" s="1288">
        <v>245</v>
      </c>
      <c r="F361" s="1399">
        <f t="shared" si="10"/>
        <v>490</v>
      </c>
    </row>
    <row r="362" spans="1:6" ht="26.4">
      <c r="A362" s="1372" t="s">
        <v>1371</v>
      </c>
      <c r="B362" s="1390" t="s">
        <v>1372</v>
      </c>
      <c r="C362" s="1391" t="s">
        <v>29</v>
      </c>
      <c r="D362" s="1392">
        <v>2</v>
      </c>
      <c r="E362" s="1288">
        <v>290</v>
      </c>
      <c r="F362" s="1399">
        <f t="shared" si="10"/>
        <v>580</v>
      </c>
    </row>
    <row r="363" spans="1:6">
      <c r="A363" s="1372" t="s">
        <v>1373</v>
      </c>
      <c r="B363" s="1390" t="s">
        <v>1368</v>
      </c>
      <c r="C363" s="1391" t="s">
        <v>29</v>
      </c>
      <c r="D363" s="1392">
        <v>9</v>
      </c>
      <c r="E363" s="1288">
        <v>5</v>
      </c>
      <c r="F363" s="1399">
        <f t="shared" si="10"/>
        <v>45</v>
      </c>
    </row>
    <row r="364" spans="1:6" ht="26.4">
      <c r="A364" s="1372" t="s">
        <v>1374</v>
      </c>
      <c r="B364" s="1390" t="s">
        <v>1366</v>
      </c>
      <c r="C364" s="1391" t="s">
        <v>29</v>
      </c>
      <c r="D364" s="1392">
        <v>2</v>
      </c>
      <c r="E364" s="1288">
        <v>150</v>
      </c>
      <c r="F364" s="1399">
        <f t="shared" si="10"/>
        <v>300</v>
      </c>
    </row>
    <row r="365" spans="1:6">
      <c r="A365" s="1372" t="s">
        <v>1375</v>
      </c>
      <c r="B365" s="1390" t="s">
        <v>2196</v>
      </c>
      <c r="C365" s="1391" t="s">
        <v>692</v>
      </c>
      <c r="D365" s="1392">
        <v>250</v>
      </c>
      <c r="E365" s="1288">
        <v>3</v>
      </c>
      <c r="F365" s="1399">
        <f t="shared" si="10"/>
        <v>750</v>
      </c>
    </row>
    <row r="366" spans="1:6" ht="39.6">
      <c r="A366" s="1372" t="s">
        <v>434</v>
      </c>
      <c r="B366" s="1390" t="s">
        <v>1376</v>
      </c>
      <c r="C366" s="1391" t="s">
        <v>29</v>
      </c>
      <c r="D366" s="1392">
        <v>1</v>
      </c>
      <c r="E366" s="1288">
        <v>500</v>
      </c>
      <c r="F366" s="1399">
        <f t="shared" si="10"/>
        <v>500</v>
      </c>
    </row>
    <row r="367" spans="1:6" ht="39.6">
      <c r="A367" s="1372" t="s">
        <v>439</v>
      </c>
      <c r="B367" s="1390" t="s">
        <v>1377</v>
      </c>
      <c r="C367" s="1391"/>
      <c r="D367" s="1392"/>
      <c r="E367" s="1398"/>
      <c r="F367" s="1399"/>
    </row>
    <row r="368" spans="1:6">
      <c r="A368" s="1372" t="s">
        <v>1318</v>
      </c>
      <c r="B368" s="1390" t="s">
        <v>1378</v>
      </c>
      <c r="C368" s="1391" t="s">
        <v>692</v>
      </c>
      <c r="D368" s="1392">
        <v>230</v>
      </c>
      <c r="E368" s="1288">
        <v>3.85</v>
      </c>
      <c r="F368" s="1399">
        <f t="shared" si="10"/>
        <v>885.5</v>
      </c>
    </row>
    <row r="369" spans="1:6">
      <c r="A369" s="1372" t="s">
        <v>1320</v>
      </c>
      <c r="B369" s="1390" t="s">
        <v>1379</v>
      </c>
      <c r="C369" s="1391" t="s">
        <v>692</v>
      </c>
      <c r="D369" s="1392">
        <v>25</v>
      </c>
      <c r="E369" s="1288">
        <v>7</v>
      </c>
      <c r="F369" s="1399">
        <f t="shared" si="10"/>
        <v>175</v>
      </c>
    </row>
    <row r="370" spans="1:6">
      <c r="A370" s="1372" t="s">
        <v>1380</v>
      </c>
      <c r="B370" s="1390" t="s">
        <v>855</v>
      </c>
      <c r="C370" s="1391" t="s">
        <v>521</v>
      </c>
      <c r="D370" s="1392">
        <v>1</v>
      </c>
      <c r="E370" s="1288">
        <v>580</v>
      </c>
      <c r="F370" s="1399">
        <f t="shared" si="10"/>
        <v>580</v>
      </c>
    </row>
    <row r="371" spans="1:6">
      <c r="A371" s="1442"/>
      <c r="B371" s="1406" t="s">
        <v>1381</v>
      </c>
      <c r="C371" s="1443"/>
      <c r="D371" s="1443"/>
      <c r="E371" s="1444"/>
      <c r="F371" s="1445">
        <f>SUM(F338:F370)</f>
        <v>7322.5</v>
      </c>
    </row>
    <row r="372" spans="1:6" ht="26.4">
      <c r="A372" s="1361" t="s">
        <v>570</v>
      </c>
      <c r="B372" s="1408" t="s">
        <v>1382</v>
      </c>
      <c r="C372" s="1387"/>
      <c r="D372" s="1409"/>
      <c r="E372" s="1388"/>
      <c r="F372" s="1434"/>
    </row>
    <row r="373" spans="1:6" ht="52.8">
      <c r="A373" s="1372" t="s">
        <v>946</v>
      </c>
      <c r="B373" s="1390" t="s">
        <v>1383</v>
      </c>
      <c r="C373" s="1391" t="s">
        <v>692</v>
      </c>
      <c r="D373" s="1392">
        <v>180</v>
      </c>
      <c r="E373" s="1288">
        <v>11</v>
      </c>
      <c r="F373" s="1399">
        <f>E373*D373</f>
        <v>1980</v>
      </c>
    </row>
    <row r="374" spans="1:6" ht="26.4">
      <c r="A374" s="1372" t="s">
        <v>948</v>
      </c>
      <c r="B374" s="1390" t="s">
        <v>1384</v>
      </c>
      <c r="C374" s="1391" t="s">
        <v>29</v>
      </c>
      <c r="D374" s="1392">
        <v>50</v>
      </c>
      <c r="E374" s="1288">
        <v>5.8</v>
      </c>
      <c r="F374" s="1399">
        <f t="shared" ref="F374:F384" si="11">E374*D374</f>
        <v>290</v>
      </c>
    </row>
    <row r="375" spans="1:6" ht="39.6">
      <c r="A375" s="1372" t="s">
        <v>952</v>
      </c>
      <c r="B375" s="1390" t="s">
        <v>1385</v>
      </c>
      <c r="C375" s="1391" t="s">
        <v>29</v>
      </c>
      <c r="D375" s="1392">
        <v>20</v>
      </c>
      <c r="E375" s="1288">
        <v>15</v>
      </c>
      <c r="F375" s="1399">
        <f t="shared" si="11"/>
        <v>300</v>
      </c>
    </row>
    <row r="376" spans="1:6" ht="39.6">
      <c r="A376" s="1372" t="s">
        <v>953</v>
      </c>
      <c r="B376" s="1390" t="s">
        <v>1386</v>
      </c>
      <c r="C376" s="1391" t="s">
        <v>29</v>
      </c>
      <c r="D376" s="1392">
        <v>10</v>
      </c>
      <c r="E376" s="1288">
        <v>15</v>
      </c>
      <c r="F376" s="1399">
        <f t="shared" si="11"/>
        <v>150</v>
      </c>
    </row>
    <row r="377" spans="1:6" ht="26.4">
      <c r="A377" s="1372" t="s">
        <v>955</v>
      </c>
      <c r="B377" s="1390" t="s">
        <v>1387</v>
      </c>
      <c r="C377" s="1391" t="s">
        <v>692</v>
      </c>
      <c r="D377" s="1392">
        <v>3</v>
      </c>
      <c r="E377" s="1288">
        <v>40</v>
      </c>
      <c r="F377" s="1399">
        <f t="shared" si="11"/>
        <v>120</v>
      </c>
    </row>
    <row r="378" spans="1:6" ht="39.6">
      <c r="A378" s="1372" t="s">
        <v>957</v>
      </c>
      <c r="B378" s="1390" t="s">
        <v>1388</v>
      </c>
      <c r="C378" s="1391" t="s">
        <v>29</v>
      </c>
      <c r="D378" s="1392">
        <v>3</v>
      </c>
      <c r="E378" s="1288">
        <v>35</v>
      </c>
      <c r="F378" s="1399">
        <f t="shared" si="11"/>
        <v>105</v>
      </c>
    </row>
    <row r="379" spans="1:6" ht="26.4">
      <c r="A379" s="1372" t="s">
        <v>959</v>
      </c>
      <c r="B379" s="1390" t="s">
        <v>1389</v>
      </c>
      <c r="C379" s="1391" t="s">
        <v>29</v>
      </c>
      <c r="D379" s="1392">
        <v>20</v>
      </c>
      <c r="E379" s="1288">
        <v>25</v>
      </c>
      <c r="F379" s="1399">
        <f t="shared" si="11"/>
        <v>500</v>
      </c>
    </row>
    <row r="380" spans="1:6" ht="39.6">
      <c r="A380" s="1372" t="s">
        <v>961</v>
      </c>
      <c r="B380" s="1390" t="s">
        <v>1390</v>
      </c>
      <c r="C380" s="1391" t="s">
        <v>29</v>
      </c>
      <c r="D380" s="1392">
        <v>6</v>
      </c>
      <c r="E380" s="1288">
        <v>155</v>
      </c>
      <c r="F380" s="1399">
        <f t="shared" si="11"/>
        <v>930</v>
      </c>
    </row>
    <row r="381" spans="1:6" ht="26.4">
      <c r="A381" s="1372" t="s">
        <v>963</v>
      </c>
      <c r="B381" s="1390" t="s">
        <v>1391</v>
      </c>
      <c r="C381" s="1391" t="s">
        <v>692</v>
      </c>
      <c r="D381" s="1392">
        <v>20</v>
      </c>
      <c r="E381" s="1288">
        <v>15</v>
      </c>
      <c r="F381" s="1399">
        <f t="shared" si="11"/>
        <v>300</v>
      </c>
    </row>
    <row r="382" spans="1:6" ht="26.4">
      <c r="A382" s="1372" t="s">
        <v>965</v>
      </c>
      <c r="B382" s="1390" t="s">
        <v>1392</v>
      </c>
      <c r="C382" s="1391" t="s">
        <v>29</v>
      </c>
      <c r="D382" s="1392">
        <v>20</v>
      </c>
      <c r="E382" s="1288">
        <v>15</v>
      </c>
      <c r="F382" s="1399">
        <f t="shared" si="11"/>
        <v>300</v>
      </c>
    </row>
    <row r="383" spans="1:6" ht="39.6">
      <c r="A383" s="1372" t="s">
        <v>967</v>
      </c>
      <c r="B383" s="1390" t="s">
        <v>788</v>
      </c>
      <c r="C383" s="1391" t="s">
        <v>29</v>
      </c>
      <c r="D383" s="1392">
        <v>10</v>
      </c>
      <c r="E383" s="1288">
        <v>15</v>
      </c>
      <c r="F383" s="1399">
        <f t="shared" si="11"/>
        <v>150</v>
      </c>
    </row>
    <row r="384" spans="1:6" ht="26.4">
      <c r="A384" s="1372" t="s">
        <v>969</v>
      </c>
      <c r="B384" s="1390" t="s">
        <v>1393</v>
      </c>
      <c r="C384" s="1391" t="s">
        <v>692</v>
      </c>
      <c r="D384" s="1392">
        <v>125</v>
      </c>
      <c r="E384" s="1288">
        <v>17</v>
      </c>
      <c r="F384" s="1399">
        <f t="shared" si="11"/>
        <v>2125</v>
      </c>
    </row>
    <row r="385" spans="1:6">
      <c r="A385" s="1372"/>
      <c r="B385" s="1406" t="s">
        <v>1394</v>
      </c>
      <c r="C385" s="1391"/>
      <c r="D385" s="1392"/>
      <c r="E385" s="1398"/>
      <c r="F385" s="1433">
        <f>SUM(F373:F384)</f>
        <v>7250</v>
      </c>
    </row>
    <row r="386" spans="1:6">
      <c r="A386" s="1361" t="s">
        <v>575</v>
      </c>
      <c r="B386" s="1408" t="s">
        <v>1395</v>
      </c>
      <c r="C386" s="1387"/>
      <c r="D386" s="1409"/>
      <c r="E386" s="1388"/>
      <c r="F386" s="1434"/>
    </row>
    <row r="387" spans="1:6" ht="224.4">
      <c r="A387" s="1372" t="s">
        <v>416</v>
      </c>
      <c r="B387" s="1390" t="s">
        <v>2197</v>
      </c>
      <c r="C387" s="1391" t="s">
        <v>521</v>
      </c>
      <c r="D387" s="1391">
        <v>1</v>
      </c>
      <c r="E387" s="1288">
        <v>1</v>
      </c>
      <c r="F387" s="1399">
        <f>E387*D387</f>
        <v>1</v>
      </c>
    </row>
    <row r="388" spans="1:6" ht="39.6">
      <c r="A388" s="1372" t="s">
        <v>946</v>
      </c>
      <c r="B388" s="1390" t="s">
        <v>2198</v>
      </c>
      <c r="C388" s="1391" t="s">
        <v>29</v>
      </c>
      <c r="D388" s="1391">
        <v>1</v>
      </c>
      <c r="E388" s="1288">
        <v>1</v>
      </c>
      <c r="F388" s="1399">
        <f t="shared" ref="F388:F451" si="12">E388*D388</f>
        <v>1</v>
      </c>
    </row>
    <row r="389" spans="1:6">
      <c r="A389" s="1372" t="s">
        <v>948</v>
      </c>
      <c r="B389" s="1390" t="s">
        <v>1396</v>
      </c>
      <c r="C389" s="1391" t="s">
        <v>29</v>
      </c>
      <c r="D389" s="1391">
        <v>3</v>
      </c>
      <c r="E389" s="1288">
        <v>1</v>
      </c>
      <c r="F389" s="1399">
        <f t="shared" si="12"/>
        <v>3</v>
      </c>
    </row>
    <row r="390" spans="1:6" ht="39.6">
      <c r="A390" s="1372" t="s">
        <v>950</v>
      </c>
      <c r="B390" s="1390" t="s">
        <v>1397</v>
      </c>
      <c r="C390" s="1391" t="s">
        <v>29</v>
      </c>
      <c r="D390" s="1391">
        <v>1</v>
      </c>
      <c r="E390" s="1288">
        <v>1</v>
      </c>
      <c r="F390" s="1399">
        <f t="shared" si="12"/>
        <v>1</v>
      </c>
    </row>
    <row r="391" spans="1:6" ht="184.8">
      <c r="A391" s="1372" t="s">
        <v>952</v>
      </c>
      <c r="B391" s="1390" t="s">
        <v>2199</v>
      </c>
      <c r="C391" s="1391" t="s">
        <v>29</v>
      </c>
      <c r="D391" s="1391">
        <v>1</v>
      </c>
      <c r="E391" s="1288">
        <v>1</v>
      </c>
      <c r="F391" s="1399">
        <f t="shared" si="12"/>
        <v>1</v>
      </c>
    </row>
    <row r="392" spans="1:6" ht="39.6">
      <c r="A392" s="1372" t="s">
        <v>953</v>
      </c>
      <c r="B392" s="1390" t="s">
        <v>2200</v>
      </c>
      <c r="C392" s="1391" t="s">
        <v>29</v>
      </c>
      <c r="D392" s="1391">
        <v>2</v>
      </c>
      <c r="E392" s="1288">
        <v>1</v>
      </c>
      <c r="F392" s="1399">
        <f t="shared" si="12"/>
        <v>2</v>
      </c>
    </row>
    <row r="393" spans="1:6">
      <c r="A393" s="1372" t="s">
        <v>955</v>
      </c>
      <c r="B393" s="1390" t="s">
        <v>1398</v>
      </c>
      <c r="C393" s="1391" t="s">
        <v>29</v>
      </c>
      <c r="D393" s="1391">
        <v>1</v>
      </c>
      <c r="E393" s="1288">
        <v>1</v>
      </c>
      <c r="F393" s="1399">
        <f t="shared" si="12"/>
        <v>1</v>
      </c>
    </row>
    <row r="394" spans="1:6" ht="39.6">
      <c r="A394" s="1372" t="s">
        <v>957</v>
      </c>
      <c r="B394" s="1390" t="s">
        <v>2198</v>
      </c>
      <c r="C394" s="1391" t="s">
        <v>29</v>
      </c>
      <c r="D394" s="1391">
        <v>3</v>
      </c>
      <c r="E394" s="1288">
        <v>1</v>
      </c>
      <c r="F394" s="1399">
        <f t="shared" si="12"/>
        <v>3</v>
      </c>
    </row>
    <row r="395" spans="1:6">
      <c r="A395" s="1372" t="s">
        <v>959</v>
      </c>
      <c r="B395" s="1390" t="s">
        <v>1399</v>
      </c>
      <c r="C395" s="1391" t="s">
        <v>29</v>
      </c>
      <c r="D395" s="1391">
        <v>3</v>
      </c>
      <c r="E395" s="1288">
        <v>1</v>
      </c>
      <c r="F395" s="1399">
        <f t="shared" si="12"/>
        <v>3</v>
      </c>
    </row>
    <row r="396" spans="1:6" ht="39.6">
      <c r="A396" s="1372" t="s">
        <v>961</v>
      </c>
      <c r="B396" s="1390" t="s">
        <v>2201</v>
      </c>
      <c r="C396" s="1391" t="s">
        <v>29</v>
      </c>
      <c r="D396" s="1391">
        <v>2</v>
      </c>
      <c r="E396" s="1288">
        <v>1</v>
      </c>
      <c r="F396" s="1399">
        <f t="shared" si="12"/>
        <v>2</v>
      </c>
    </row>
    <row r="397" spans="1:6" ht="39.6">
      <c r="A397" s="1372" t="s">
        <v>963</v>
      </c>
      <c r="B397" s="1390" t="s">
        <v>1400</v>
      </c>
      <c r="C397" s="1391" t="s">
        <v>29</v>
      </c>
      <c r="D397" s="1391">
        <v>2</v>
      </c>
      <c r="E397" s="1288">
        <v>1</v>
      </c>
      <c r="F397" s="1399">
        <f t="shared" si="12"/>
        <v>2</v>
      </c>
    </row>
    <row r="398" spans="1:6" ht="66">
      <c r="A398" s="1372" t="s">
        <v>965</v>
      </c>
      <c r="B398" s="1390" t="s">
        <v>1401</v>
      </c>
      <c r="C398" s="1391" t="s">
        <v>29</v>
      </c>
      <c r="D398" s="1391">
        <v>1</v>
      </c>
      <c r="E398" s="1288">
        <v>1</v>
      </c>
      <c r="F398" s="1399">
        <f t="shared" si="12"/>
        <v>1</v>
      </c>
    </row>
    <row r="399" spans="1:6" ht="26.4">
      <c r="A399" s="1372" t="s">
        <v>967</v>
      </c>
      <c r="B399" s="1390" t="s">
        <v>1402</v>
      </c>
      <c r="C399" s="1391" t="s">
        <v>29</v>
      </c>
      <c r="D399" s="1391">
        <v>1</v>
      </c>
      <c r="E399" s="1288">
        <v>1</v>
      </c>
      <c r="F399" s="1399">
        <f t="shared" si="12"/>
        <v>1</v>
      </c>
    </row>
    <row r="400" spans="1:6" ht="39.6">
      <c r="A400" s="1372" t="s">
        <v>969</v>
      </c>
      <c r="B400" s="1390" t="s">
        <v>2202</v>
      </c>
      <c r="C400" s="1391" t="s">
        <v>29</v>
      </c>
      <c r="D400" s="1391">
        <v>2</v>
      </c>
      <c r="E400" s="1288">
        <v>1</v>
      </c>
      <c r="F400" s="1399">
        <f t="shared" si="12"/>
        <v>2</v>
      </c>
    </row>
    <row r="401" spans="1:6">
      <c r="A401" s="1372" t="s">
        <v>971</v>
      </c>
      <c r="B401" s="1390" t="s">
        <v>1403</v>
      </c>
      <c r="C401" s="1391" t="s">
        <v>29</v>
      </c>
      <c r="D401" s="1391">
        <v>1</v>
      </c>
      <c r="E401" s="1288">
        <v>1</v>
      </c>
      <c r="F401" s="1399">
        <f t="shared" si="12"/>
        <v>1</v>
      </c>
    </row>
    <row r="402" spans="1:6" ht="132">
      <c r="A402" s="1372" t="s">
        <v>973</v>
      </c>
      <c r="B402" s="1390" t="s">
        <v>2203</v>
      </c>
      <c r="C402" s="1391" t="s">
        <v>29</v>
      </c>
      <c r="D402" s="1391">
        <v>2</v>
      </c>
      <c r="E402" s="1288">
        <v>1</v>
      </c>
      <c r="F402" s="1399">
        <f t="shared" si="12"/>
        <v>2</v>
      </c>
    </row>
    <row r="403" spans="1:6" ht="66">
      <c r="A403" s="1372" t="s">
        <v>975</v>
      </c>
      <c r="B403" s="1390" t="s">
        <v>1404</v>
      </c>
      <c r="C403" s="1391" t="s">
        <v>29</v>
      </c>
      <c r="D403" s="1391">
        <v>1</v>
      </c>
      <c r="E403" s="1288">
        <v>1</v>
      </c>
      <c r="F403" s="1399">
        <f t="shared" si="12"/>
        <v>1</v>
      </c>
    </row>
    <row r="404" spans="1:6" ht="132">
      <c r="A404" s="1372" t="s">
        <v>977</v>
      </c>
      <c r="B404" s="1390" t="s">
        <v>2204</v>
      </c>
      <c r="C404" s="1391" t="s">
        <v>29</v>
      </c>
      <c r="D404" s="1391">
        <v>2</v>
      </c>
      <c r="E404" s="1288">
        <v>1</v>
      </c>
      <c r="F404" s="1399">
        <f t="shared" si="12"/>
        <v>2</v>
      </c>
    </row>
    <row r="405" spans="1:6">
      <c r="A405" s="1372" t="s">
        <v>979</v>
      </c>
      <c r="B405" s="1390" t="s">
        <v>2205</v>
      </c>
      <c r="C405" s="1391" t="s">
        <v>29</v>
      </c>
      <c r="D405" s="1391">
        <v>1</v>
      </c>
      <c r="E405" s="1288">
        <v>1</v>
      </c>
      <c r="F405" s="1399">
        <f t="shared" si="12"/>
        <v>1</v>
      </c>
    </row>
    <row r="406" spans="1:6">
      <c r="A406" s="1372" t="s">
        <v>981</v>
      </c>
      <c r="B406" s="1390" t="s">
        <v>2206</v>
      </c>
      <c r="C406" s="1391" t="s">
        <v>29</v>
      </c>
      <c r="D406" s="1391">
        <v>1</v>
      </c>
      <c r="E406" s="1288">
        <v>1</v>
      </c>
      <c r="F406" s="1399">
        <f t="shared" si="12"/>
        <v>1</v>
      </c>
    </row>
    <row r="407" spans="1:6">
      <c r="A407" s="1372" t="s">
        <v>983</v>
      </c>
      <c r="B407" s="1390" t="s">
        <v>2207</v>
      </c>
      <c r="C407" s="1391" t="s">
        <v>29</v>
      </c>
      <c r="D407" s="1391">
        <v>1</v>
      </c>
      <c r="E407" s="1288">
        <v>1</v>
      </c>
      <c r="F407" s="1399">
        <f t="shared" si="12"/>
        <v>1</v>
      </c>
    </row>
    <row r="408" spans="1:6">
      <c r="A408" s="1372" t="s">
        <v>985</v>
      </c>
      <c r="B408" s="1390" t="s">
        <v>1405</v>
      </c>
      <c r="C408" s="1391" t="s">
        <v>29</v>
      </c>
      <c r="D408" s="1391">
        <v>1</v>
      </c>
      <c r="E408" s="1288">
        <v>1</v>
      </c>
      <c r="F408" s="1399">
        <f t="shared" si="12"/>
        <v>1</v>
      </c>
    </row>
    <row r="409" spans="1:6" ht="39.6">
      <c r="A409" s="1372" t="s">
        <v>987</v>
      </c>
      <c r="B409" s="1390" t="s">
        <v>2198</v>
      </c>
      <c r="C409" s="1391" t="s">
        <v>29</v>
      </c>
      <c r="D409" s="1391">
        <v>8</v>
      </c>
      <c r="E409" s="1288">
        <v>1</v>
      </c>
      <c r="F409" s="1399">
        <f t="shared" si="12"/>
        <v>8</v>
      </c>
    </row>
    <row r="410" spans="1:6" ht="39.6">
      <c r="A410" s="1372" t="s">
        <v>989</v>
      </c>
      <c r="B410" s="1390" t="s">
        <v>2202</v>
      </c>
      <c r="C410" s="1391" t="s">
        <v>29</v>
      </c>
      <c r="D410" s="1391">
        <v>9</v>
      </c>
      <c r="E410" s="1288">
        <v>1</v>
      </c>
      <c r="F410" s="1399">
        <f t="shared" si="12"/>
        <v>9</v>
      </c>
    </row>
    <row r="411" spans="1:6">
      <c r="A411" s="1372" t="s">
        <v>991</v>
      </c>
      <c r="B411" s="1390" t="s">
        <v>1396</v>
      </c>
      <c r="C411" s="1391" t="s">
        <v>29</v>
      </c>
      <c r="D411" s="1391">
        <v>9</v>
      </c>
      <c r="E411" s="1288">
        <v>1</v>
      </c>
      <c r="F411" s="1399">
        <f t="shared" si="12"/>
        <v>9</v>
      </c>
    </row>
    <row r="412" spans="1:6">
      <c r="A412" s="1372" t="s">
        <v>993</v>
      </c>
      <c r="B412" s="1390" t="s">
        <v>1406</v>
      </c>
      <c r="C412" s="1391" t="s">
        <v>29</v>
      </c>
      <c r="D412" s="1391">
        <v>12</v>
      </c>
      <c r="E412" s="1288">
        <v>1</v>
      </c>
      <c r="F412" s="1399">
        <f t="shared" si="12"/>
        <v>12</v>
      </c>
    </row>
    <row r="413" spans="1:6">
      <c r="A413" s="1372" t="s">
        <v>995</v>
      </c>
      <c r="B413" s="1390" t="s">
        <v>1399</v>
      </c>
      <c r="C413" s="1391" t="s">
        <v>29</v>
      </c>
      <c r="D413" s="1391">
        <v>3</v>
      </c>
      <c r="E413" s="1288">
        <v>1</v>
      </c>
      <c r="F413" s="1399">
        <f t="shared" si="12"/>
        <v>3</v>
      </c>
    </row>
    <row r="414" spans="1:6">
      <c r="A414" s="1372" t="s">
        <v>997</v>
      </c>
      <c r="B414" s="1390" t="s">
        <v>1407</v>
      </c>
      <c r="C414" s="1391" t="s">
        <v>29</v>
      </c>
      <c r="D414" s="1391">
        <v>6</v>
      </c>
      <c r="E414" s="1288">
        <v>1</v>
      </c>
      <c r="F414" s="1399">
        <f t="shared" si="12"/>
        <v>6</v>
      </c>
    </row>
    <row r="415" spans="1:6">
      <c r="A415" s="1372" t="s">
        <v>999</v>
      </c>
      <c r="B415" s="1390" t="s">
        <v>1403</v>
      </c>
      <c r="C415" s="1391" t="s">
        <v>29</v>
      </c>
      <c r="D415" s="1391">
        <v>3</v>
      </c>
      <c r="E415" s="1288">
        <v>1</v>
      </c>
      <c r="F415" s="1399">
        <f t="shared" si="12"/>
        <v>3</v>
      </c>
    </row>
    <row r="416" spans="1:6" ht="39.6">
      <c r="A416" s="1372" t="s">
        <v>1001</v>
      </c>
      <c r="B416" s="1390" t="s">
        <v>2208</v>
      </c>
      <c r="C416" s="1391" t="s">
        <v>29</v>
      </c>
      <c r="D416" s="1391">
        <v>7</v>
      </c>
      <c r="E416" s="1288">
        <v>1</v>
      </c>
      <c r="F416" s="1399">
        <f t="shared" si="12"/>
        <v>7</v>
      </c>
    </row>
    <row r="417" spans="1:6">
      <c r="A417" s="1372" t="s">
        <v>1003</v>
      </c>
      <c r="B417" s="1390" t="s">
        <v>1408</v>
      </c>
      <c r="C417" s="1391" t="s">
        <v>29</v>
      </c>
      <c r="D417" s="1391">
        <v>7</v>
      </c>
      <c r="E417" s="1288">
        <v>1</v>
      </c>
      <c r="F417" s="1399">
        <f t="shared" si="12"/>
        <v>7</v>
      </c>
    </row>
    <row r="418" spans="1:6">
      <c r="A418" s="1372" t="s">
        <v>1004</v>
      </c>
      <c r="B418" s="1390" t="s">
        <v>1398</v>
      </c>
      <c r="C418" s="1391" t="s">
        <v>29</v>
      </c>
      <c r="D418" s="1391">
        <v>9</v>
      </c>
      <c r="E418" s="1288">
        <v>1</v>
      </c>
      <c r="F418" s="1399">
        <f t="shared" si="12"/>
        <v>9</v>
      </c>
    </row>
    <row r="419" spans="1:6">
      <c r="A419" s="1372" t="s">
        <v>1006</v>
      </c>
      <c r="B419" s="1390" t="s">
        <v>1409</v>
      </c>
      <c r="C419" s="1391" t="s">
        <v>29</v>
      </c>
      <c r="D419" s="1391">
        <v>1</v>
      </c>
      <c r="E419" s="1288">
        <v>1</v>
      </c>
      <c r="F419" s="1399">
        <f t="shared" si="12"/>
        <v>1</v>
      </c>
    </row>
    <row r="420" spans="1:6">
      <c r="A420" s="1372" t="s">
        <v>1007</v>
      </c>
      <c r="B420" s="1390" t="s">
        <v>1410</v>
      </c>
      <c r="C420" s="1391" t="s">
        <v>29</v>
      </c>
      <c r="D420" s="1391">
        <v>6</v>
      </c>
      <c r="E420" s="1288">
        <v>1</v>
      </c>
      <c r="F420" s="1399">
        <f t="shared" si="12"/>
        <v>6</v>
      </c>
    </row>
    <row r="421" spans="1:6" ht="26.4">
      <c r="A421" s="1372" t="s">
        <v>1008</v>
      </c>
      <c r="B421" s="1390" t="s">
        <v>1411</v>
      </c>
      <c r="C421" s="1391" t="s">
        <v>29</v>
      </c>
      <c r="D421" s="1391">
        <v>2</v>
      </c>
      <c r="E421" s="1288">
        <v>1</v>
      </c>
      <c r="F421" s="1399">
        <f t="shared" si="12"/>
        <v>2</v>
      </c>
    </row>
    <row r="422" spans="1:6" ht="52.8">
      <c r="A422" s="1372" t="s">
        <v>1010</v>
      </c>
      <c r="B422" s="1390" t="s">
        <v>2209</v>
      </c>
      <c r="C422" s="1391" t="s">
        <v>29</v>
      </c>
      <c r="D422" s="1391">
        <v>5</v>
      </c>
      <c r="E422" s="1288">
        <v>1</v>
      </c>
      <c r="F422" s="1399">
        <f t="shared" si="12"/>
        <v>5</v>
      </c>
    </row>
    <row r="423" spans="1:6" ht="39.6">
      <c r="A423" s="1372" t="s">
        <v>1012</v>
      </c>
      <c r="B423" s="1390" t="s">
        <v>2200</v>
      </c>
      <c r="C423" s="1391" t="s">
        <v>29</v>
      </c>
      <c r="D423" s="1391">
        <v>1</v>
      </c>
      <c r="E423" s="1288">
        <v>1</v>
      </c>
      <c r="F423" s="1399">
        <f t="shared" si="12"/>
        <v>1</v>
      </c>
    </row>
    <row r="424" spans="1:6" ht="39.6">
      <c r="A424" s="1372" t="s">
        <v>1014</v>
      </c>
      <c r="B424" s="1390" t="s">
        <v>1412</v>
      </c>
      <c r="C424" s="1391" t="s">
        <v>29</v>
      </c>
      <c r="D424" s="1391">
        <v>1</v>
      </c>
      <c r="E424" s="1288">
        <v>1</v>
      </c>
      <c r="F424" s="1399">
        <f t="shared" si="12"/>
        <v>1</v>
      </c>
    </row>
    <row r="425" spans="1:6" ht="39.6">
      <c r="A425" s="1372" t="s">
        <v>1016</v>
      </c>
      <c r="B425" s="1390" t="s">
        <v>2210</v>
      </c>
      <c r="C425" s="1391" t="s">
        <v>29</v>
      </c>
      <c r="D425" s="1391">
        <v>16</v>
      </c>
      <c r="E425" s="1288">
        <v>1</v>
      </c>
      <c r="F425" s="1399">
        <f t="shared" si="12"/>
        <v>16</v>
      </c>
    </row>
    <row r="426" spans="1:6" ht="52.8">
      <c r="A426" s="1372" t="s">
        <v>1018</v>
      </c>
      <c r="B426" s="1390" t="s">
        <v>1413</v>
      </c>
      <c r="C426" s="1391" t="s">
        <v>29</v>
      </c>
      <c r="D426" s="1391">
        <v>1</v>
      </c>
      <c r="E426" s="1288">
        <v>1</v>
      </c>
      <c r="F426" s="1399">
        <f t="shared" si="12"/>
        <v>1</v>
      </c>
    </row>
    <row r="427" spans="1:6" ht="66">
      <c r="A427" s="1372" t="s">
        <v>1020</v>
      </c>
      <c r="B427" s="1390" t="s">
        <v>2211</v>
      </c>
      <c r="C427" s="1391" t="s">
        <v>29</v>
      </c>
      <c r="D427" s="1391">
        <v>1</v>
      </c>
      <c r="E427" s="1288">
        <v>1</v>
      </c>
      <c r="F427" s="1399">
        <f t="shared" si="12"/>
        <v>1</v>
      </c>
    </row>
    <row r="428" spans="1:6" ht="39.6">
      <c r="A428" s="1372" t="s">
        <v>1022</v>
      </c>
      <c r="B428" s="1390" t="s">
        <v>2212</v>
      </c>
      <c r="C428" s="1391" t="s">
        <v>29</v>
      </c>
      <c r="D428" s="1391">
        <v>5</v>
      </c>
      <c r="E428" s="1288">
        <v>1</v>
      </c>
      <c r="F428" s="1399">
        <f t="shared" si="12"/>
        <v>5</v>
      </c>
    </row>
    <row r="429" spans="1:6" ht="26.4">
      <c r="A429" s="1372" t="s">
        <v>1024</v>
      </c>
      <c r="B429" s="1390" t="s">
        <v>2213</v>
      </c>
      <c r="C429" s="1391" t="s">
        <v>29</v>
      </c>
      <c r="D429" s="1391">
        <v>3</v>
      </c>
      <c r="E429" s="1288">
        <v>1</v>
      </c>
      <c r="F429" s="1399">
        <f t="shared" si="12"/>
        <v>3</v>
      </c>
    </row>
    <row r="430" spans="1:6" ht="39.6">
      <c r="A430" s="1372" t="s">
        <v>1026</v>
      </c>
      <c r="B430" s="1390" t="s">
        <v>2214</v>
      </c>
      <c r="C430" s="1391" t="s">
        <v>29</v>
      </c>
      <c r="D430" s="1391">
        <v>31</v>
      </c>
      <c r="E430" s="1288">
        <v>1</v>
      </c>
      <c r="F430" s="1399">
        <f t="shared" si="12"/>
        <v>31</v>
      </c>
    </row>
    <row r="431" spans="1:6" ht="39.6">
      <c r="A431" s="1372" t="s">
        <v>1066</v>
      </c>
      <c r="B431" s="1390" t="s">
        <v>2215</v>
      </c>
      <c r="C431" s="1391" t="s">
        <v>29</v>
      </c>
      <c r="D431" s="1391">
        <v>5</v>
      </c>
      <c r="E431" s="1288">
        <v>1</v>
      </c>
      <c r="F431" s="1399">
        <f t="shared" si="12"/>
        <v>5</v>
      </c>
    </row>
    <row r="432" spans="1:6" ht="39.6">
      <c r="A432" s="1372" t="s">
        <v>1068</v>
      </c>
      <c r="B432" s="1390" t="s">
        <v>2216</v>
      </c>
      <c r="C432" s="1391" t="s">
        <v>29</v>
      </c>
      <c r="D432" s="1391">
        <v>6</v>
      </c>
      <c r="E432" s="1288">
        <v>1</v>
      </c>
      <c r="F432" s="1399">
        <f t="shared" si="12"/>
        <v>6</v>
      </c>
    </row>
    <row r="433" spans="1:6" ht="26.4">
      <c r="A433" s="1372" t="s">
        <v>1070</v>
      </c>
      <c r="B433" s="1390" t="s">
        <v>2217</v>
      </c>
      <c r="C433" s="1391" t="s">
        <v>29</v>
      </c>
      <c r="D433" s="1391">
        <v>1</v>
      </c>
      <c r="E433" s="1288">
        <v>1</v>
      </c>
      <c r="F433" s="1399">
        <f t="shared" si="12"/>
        <v>1</v>
      </c>
    </row>
    <row r="434" spans="1:6" ht="26.4">
      <c r="A434" s="1372" t="s">
        <v>1072</v>
      </c>
      <c r="B434" s="1390" t="s">
        <v>2218</v>
      </c>
      <c r="C434" s="1391" t="s">
        <v>29</v>
      </c>
      <c r="D434" s="1391">
        <v>1</v>
      </c>
      <c r="E434" s="1288">
        <v>1</v>
      </c>
      <c r="F434" s="1399">
        <f t="shared" si="12"/>
        <v>1</v>
      </c>
    </row>
    <row r="435" spans="1:6">
      <c r="A435" s="1372" t="s">
        <v>1073</v>
      </c>
      <c r="B435" s="1390" t="s">
        <v>1414</v>
      </c>
      <c r="C435" s="1391" t="s">
        <v>29</v>
      </c>
      <c r="D435" s="1391">
        <v>2</v>
      </c>
      <c r="E435" s="1288">
        <v>1</v>
      </c>
      <c r="F435" s="1399">
        <f t="shared" si="12"/>
        <v>2</v>
      </c>
    </row>
    <row r="436" spans="1:6">
      <c r="A436" s="1372" t="s">
        <v>1074</v>
      </c>
      <c r="B436" s="1390" t="s">
        <v>1415</v>
      </c>
      <c r="C436" s="1391" t="s">
        <v>29</v>
      </c>
      <c r="D436" s="1391">
        <v>1</v>
      </c>
      <c r="E436" s="1288">
        <v>1</v>
      </c>
      <c r="F436" s="1399">
        <f t="shared" si="12"/>
        <v>1</v>
      </c>
    </row>
    <row r="437" spans="1:6">
      <c r="A437" s="1372" t="s">
        <v>1416</v>
      </c>
      <c r="B437" s="1390" t="s">
        <v>1417</v>
      </c>
      <c r="C437" s="1391" t="s">
        <v>29</v>
      </c>
      <c r="D437" s="1391">
        <v>1</v>
      </c>
      <c r="E437" s="1288">
        <v>1</v>
      </c>
      <c r="F437" s="1399">
        <f t="shared" si="12"/>
        <v>1</v>
      </c>
    </row>
    <row r="438" spans="1:6" ht="26.4">
      <c r="A438" s="1372" t="s">
        <v>1418</v>
      </c>
      <c r="B438" s="1390" t="s">
        <v>1419</v>
      </c>
      <c r="C438" s="1391" t="s">
        <v>29</v>
      </c>
      <c r="D438" s="1391">
        <v>1</v>
      </c>
      <c r="E438" s="1288">
        <v>1</v>
      </c>
      <c r="F438" s="1399">
        <f t="shared" si="12"/>
        <v>1</v>
      </c>
    </row>
    <row r="439" spans="1:6">
      <c r="A439" s="1372" t="s">
        <v>1420</v>
      </c>
      <c r="B439" s="1390" t="s">
        <v>1421</v>
      </c>
      <c r="C439" s="1391" t="s">
        <v>29</v>
      </c>
      <c r="D439" s="1391">
        <v>3</v>
      </c>
      <c r="E439" s="1288">
        <v>1</v>
      </c>
      <c r="F439" s="1399">
        <f t="shared" si="12"/>
        <v>3</v>
      </c>
    </row>
    <row r="440" spans="1:6" ht="26.4">
      <c r="A440" s="1372" t="s">
        <v>1422</v>
      </c>
      <c r="B440" s="1390" t="s">
        <v>1423</v>
      </c>
      <c r="C440" s="1391" t="s">
        <v>29</v>
      </c>
      <c r="D440" s="1391">
        <v>1</v>
      </c>
      <c r="E440" s="1288">
        <v>1</v>
      </c>
      <c r="F440" s="1399">
        <f t="shared" si="12"/>
        <v>1</v>
      </c>
    </row>
    <row r="441" spans="1:6" ht="132">
      <c r="A441" s="1372" t="s">
        <v>1424</v>
      </c>
      <c r="B441" s="1390" t="s">
        <v>1425</v>
      </c>
      <c r="C441" s="1391" t="s">
        <v>521</v>
      </c>
      <c r="D441" s="1391">
        <v>1</v>
      </c>
      <c r="E441" s="1288">
        <v>1</v>
      </c>
      <c r="F441" s="1399">
        <f t="shared" si="12"/>
        <v>1</v>
      </c>
    </row>
    <row r="442" spans="1:6">
      <c r="A442" s="1372"/>
      <c r="B442" s="1441" t="s">
        <v>1426</v>
      </c>
      <c r="C442" s="1391" t="s">
        <v>1427</v>
      </c>
      <c r="D442" s="1391">
        <v>1</v>
      </c>
      <c r="E442" s="1288">
        <v>25000</v>
      </c>
      <c r="F442" s="1399">
        <f t="shared" si="12"/>
        <v>25000</v>
      </c>
    </row>
    <row r="443" spans="1:6" ht="26.4">
      <c r="A443" s="1372" t="s">
        <v>421</v>
      </c>
      <c r="B443" s="1390" t="s">
        <v>1428</v>
      </c>
      <c r="C443" s="1391"/>
      <c r="D443" s="1391"/>
      <c r="E443" s="1398" t="s">
        <v>1429</v>
      </c>
      <c r="F443" s="1399"/>
    </row>
    <row r="444" spans="1:6" ht="330">
      <c r="A444" s="1372"/>
      <c r="B444" s="1390" t="s">
        <v>2219</v>
      </c>
      <c r="C444" s="1391"/>
      <c r="D444" s="1391"/>
      <c r="E444" s="1398" t="s">
        <v>1429</v>
      </c>
      <c r="F444" s="1399"/>
    </row>
    <row r="445" spans="1:6" ht="26.4">
      <c r="A445" s="1372"/>
      <c r="B445" s="1390" t="s">
        <v>1430</v>
      </c>
      <c r="C445" s="1391"/>
      <c r="D445" s="1391"/>
      <c r="E445" s="1398" t="s">
        <v>1429</v>
      </c>
      <c r="F445" s="1399"/>
    </row>
    <row r="446" spans="1:6" ht="132">
      <c r="A446" s="1372"/>
      <c r="B446" s="1390" t="s">
        <v>1431</v>
      </c>
      <c r="C446" s="1391" t="s">
        <v>521</v>
      </c>
      <c r="D446" s="1391">
        <v>1</v>
      </c>
      <c r="E446" s="1288">
        <v>1</v>
      </c>
      <c r="F446" s="1399">
        <f t="shared" si="12"/>
        <v>1</v>
      </c>
    </row>
    <row r="447" spans="1:6">
      <c r="A447" s="1372" t="s">
        <v>1283</v>
      </c>
      <c r="B447" s="1390" t="s">
        <v>1432</v>
      </c>
      <c r="C447" s="1391"/>
      <c r="D447" s="1391"/>
      <c r="E447" s="1398"/>
      <c r="F447" s="1399">
        <f t="shared" si="12"/>
        <v>0</v>
      </c>
    </row>
    <row r="448" spans="1:6" ht="79.2">
      <c r="A448" s="1372" t="s">
        <v>1285</v>
      </c>
      <c r="B448" s="1390" t="s">
        <v>1433</v>
      </c>
      <c r="C448" s="1391" t="s">
        <v>29</v>
      </c>
      <c r="D448" s="1391">
        <v>1</v>
      </c>
      <c r="E448" s="1288">
        <v>1</v>
      </c>
      <c r="F448" s="1399">
        <f t="shared" si="12"/>
        <v>1</v>
      </c>
    </row>
    <row r="449" spans="1:6" ht="26.4">
      <c r="A449" s="1372" t="s">
        <v>1287</v>
      </c>
      <c r="B449" s="1390" t="s">
        <v>1434</v>
      </c>
      <c r="C449" s="1391" t="s">
        <v>29</v>
      </c>
      <c r="D449" s="1391">
        <v>1</v>
      </c>
      <c r="E449" s="1288">
        <v>1</v>
      </c>
      <c r="F449" s="1399">
        <f t="shared" si="12"/>
        <v>1</v>
      </c>
    </row>
    <row r="450" spans="1:6" ht="66">
      <c r="A450" s="1372" t="s">
        <v>1289</v>
      </c>
      <c r="B450" s="1390" t="s">
        <v>2220</v>
      </c>
      <c r="C450" s="1391" t="s">
        <v>29</v>
      </c>
      <c r="D450" s="1391">
        <v>1</v>
      </c>
      <c r="E450" s="1288">
        <v>1</v>
      </c>
      <c r="F450" s="1399">
        <f t="shared" si="12"/>
        <v>1</v>
      </c>
    </row>
    <row r="451" spans="1:6" ht="66">
      <c r="A451" s="1372" t="s">
        <v>1291</v>
      </c>
      <c r="B451" s="1390" t="s">
        <v>2221</v>
      </c>
      <c r="C451" s="1391" t="s">
        <v>29</v>
      </c>
      <c r="D451" s="1391">
        <v>1</v>
      </c>
      <c r="E451" s="1288">
        <v>1</v>
      </c>
      <c r="F451" s="1399">
        <f t="shared" si="12"/>
        <v>1</v>
      </c>
    </row>
    <row r="452" spans="1:6" ht="52.8">
      <c r="A452" s="1372" t="s">
        <v>1293</v>
      </c>
      <c r="B452" s="1390" t="s">
        <v>2222</v>
      </c>
      <c r="C452" s="1391" t="s">
        <v>29</v>
      </c>
      <c r="D452" s="1391">
        <v>1</v>
      </c>
      <c r="E452" s="1288">
        <v>1</v>
      </c>
      <c r="F452" s="1399">
        <f t="shared" ref="F452:F455" si="13">E452*D452</f>
        <v>1</v>
      </c>
    </row>
    <row r="453" spans="1:6" ht="52.8">
      <c r="A453" s="1372" t="s">
        <v>1435</v>
      </c>
      <c r="B453" s="1390" t="s">
        <v>2223</v>
      </c>
      <c r="C453" s="1391" t="s">
        <v>29</v>
      </c>
      <c r="D453" s="1391">
        <v>2</v>
      </c>
      <c r="E453" s="1288">
        <v>1</v>
      </c>
      <c r="F453" s="1399">
        <f t="shared" si="13"/>
        <v>2</v>
      </c>
    </row>
    <row r="454" spans="1:6" ht="66">
      <c r="A454" s="1372" t="s">
        <v>1436</v>
      </c>
      <c r="B454" s="1390" t="s">
        <v>1437</v>
      </c>
      <c r="C454" s="1391" t="s">
        <v>521</v>
      </c>
      <c r="D454" s="1391">
        <v>1</v>
      </c>
      <c r="E454" s="1288">
        <v>1</v>
      </c>
      <c r="F454" s="1399">
        <f t="shared" si="13"/>
        <v>1</v>
      </c>
    </row>
    <row r="455" spans="1:6">
      <c r="A455" s="1372"/>
      <c r="B455" s="1441" t="s">
        <v>1438</v>
      </c>
      <c r="C455" s="1391" t="s">
        <v>521</v>
      </c>
      <c r="D455" s="1391">
        <v>1</v>
      </c>
      <c r="E455" s="1288">
        <v>1075</v>
      </c>
      <c r="F455" s="1399">
        <f t="shared" si="13"/>
        <v>1075</v>
      </c>
    </row>
    <row r="456" spans="1:6">
      <c r="A456" s="1372"/>
      <c r="B456" s="1406" t="s">
        <v>1439</v>
      </c>
      <c r="C456" s="1391"/>
      <c r="D456" s="1392"/>
      <c r="E456" s="1398"/>
      <c r="F456" s="1433">
        <f>SUM(F387:F455)</f>
        <v>26287</v>
      </c>
    </row>
    <row r="457" spans="1:6" ht="26.4">
      <c r="A457" s="1361" t="s">
        <v>578</v>
      </c>
      <c r="B457" s="1408" t="s">
        <v>1440</v>
      </c>
      <c r="C457" s="1387"/>
      <c r="D457" s="1409"/>
      <c r="E457" s="1388"/>
      <c r="F457" s="1434"/>
    </row>
    <row r="458" spans="1:6" ht="198">
      <c r="A458" s="1372" t="s">
        <v>1441</v>
      </c>
      <c r="B458" s="1390" t="s">
        <v>2224</v>
      </c>
      <c r="C458" s="1391" t="s">
        <v>521</v>
      </c>
      <c r="D458" s="1391">
        <v>1</v>
      </c>
      <c r="E458" s="1288">
        <v>85</v>
      </c>
      <c r="F458" s="1399">
        <f>E458*D458</f>
        <v>85</v>
      </c>
    </row>
    <row r="459" spans="1:6" ht="39.6">
      <c r="A459" s="1372" t="s">
        <v>946</v>
      </c>
      <c r="B459" s="1390" t="s">
        <v>2225</v>
      </c>
      <c r="C459" s="1391" t="s">
        <v>29</v>
      </c>
      <c r="D459" s="1391">
        <v>1</v>
      </c>
      <c r="E459" s="1288">
        <v>55</v>
      </c>
      <c r="F459" s="1399">
        <f t="shared" ref="F459:F492" si="14">E459*D459</f>
        <v>55</v>
      </c>
    </row>
    <row r="460" spans="1:6">
      <c r="A460" s="1372" t="s">
        <v>948</v>
      </c>
      <c r="B460" s="1390" t="s">
        <v>1408</v>
      </c>
      <c r="C460" s="1391" t="s">
        <v>29</v>
      </c>
      <c r="D460" s="1391">
        <v>1</v>
      </c>
      <c r="E460" s="1288">
        <v>6</v>
      </c>
      <c r="F460" s="1399">
        <f t="shared" si="14"/>
        <v>6</v>
      </c>
    </row>
    <row r="461" spans="1:6" ht="52.8">
      <c r="A461" s="1372" t="s">
        <v>950</v>
      </c>
      <c r="B461" s="1390" t="s">
        <v>1442</v>
      </c>
      <c r="C461" s="1391" t="s">
        <v>29</v>
      </c>
      <c r="D461" s="1391">
        <v>1</v>
      </c>
      <c r="E461" s="1288">
        <v>150</v>
      </c>
      <c r="F461" s="1399">
        <f t="shared" si="14"/>
        <v>150</v>
      </c>
    </row>
    <row r="462" spans="1:6" ht="39.6">
      <c r="A462" s="1372" t="s">
        <v>952</v>
      </c>
      <c r="B462" s="1390" t="s">
        <v>2226</v>
      </c>
      <c r="C462" s="1391" t="s">
        <v>29</v>
      </c>
      <c r="D462" s="1391">
        <v>1</v>
      </c>
      <c r="E462" s="1288">
        <v>75</v>
      </c>
      <c r="F462" s="1399">
        <f t="shared" si="14"/>
        <v>75</v>
      </c>
    </row>
    <row r="463" spans="1:6" ht="39.6">
      <c r="A463" s="1372" t="s">
        <v>953</v>
      </c>
      <c r="B463" s="1390" t="s">
        <v>2227</v>
      </c>
      <c r="C463" s="1391" t="s">
        <v>29</v>
      </c>
      <c r="D463" s="1391">
        <v>3</v>
      </c>
      <c r="E463" s="1288">
        <v>18</v>
      </c>
      <c r="F463" s="1399">
        <f t="shared" si="14"/>
        <v>54</v>
      </c>
    </row>
    <row r="464" spans="1:6" ht="39.6">
      <c r="A464" s="1372" t="s">
        <v>955</v>
      </c>
      <c r="B464" s="1390" t="s">
        <v>2228</v>
      </c>
      <c r="C464" s="1391" t="s">
        <v>29</v>
      </c>
      <c r="D464" s="1391">
        <v>1</v>
      </c>
      <c r="E464" s="1288">
        <v>18</v>
      </c>
      <c r="F464" s="1399">
        <f t="shared" si="14"/>
        <v>18</v>
      </c>
    </row>
    <row r="465" spans="1:6" ht="39.6">
      <c r="A465" s="1372" t="s">
        <v>957</v>
      </c>
      <c r="B465" s="1390" t="s">
        <v>2229</v>
      </c>
      <c r="C465" s="1391" t="s">
        <v>29</v>
      </c>
      <c r="D465" s="1391">
        <v>2</v>
      </c>
      <c r="E465" s="1288">
        <v>18</v>
      </c>
      <c r="F465" s="1399">
        <f t="shared" si="14"/>
        <v>36</v>
      </c>
    </row>
    <row r="466" spans="1:6" ht="39.6">
      <c r="A466" s="1372" t="s">
        <v>959</v>
      </c>
      <c r="B466" s="1390" t="s">
        <v>2230</v>
      </c>
      <c r="C466" s="1391" t="s">
        <v>29</v>
      </c>
      <c r="D466" s="1391">
        <v>2</v>
      </c>
      <c r="E466" s="1288">
        <v>18</v>
      </c>
      <c r="F466" s="1399">
        <f t="shared" si="14"/>
        <v>36</v>
      </c>
    </row>
    <row r="467" spans="1:6" ht="52.8">
      <c r="A467" s="1372" t="s">
        <v>961</v>
      </c>
      <c r="B467" s="1390" t="s">
        <v>1443</v>
      </c>
      <c r="C467" s="1391" t="s">
        <v>29</v>
      </c>
      <c r="D467" s="1391">
        <v>1</v>
      </c>
      <c r="E467" s="1288">
        <v>89</v>
      </c>
      <c r="F467" s="1399">
        <f t="shared" si="14"/>
        <v>89</v>
      </c>
    </row>
    <row r="468" spans="1:6" ht="118.8">
      <c r="A468" s="1372" t="s">
        <v>963</v>
      </c>
      <c r="B468" s="1390" t="s">
        <v>1444</v>
      </c>
      <c r="C468" s="1391" t="s">
        <v>29</v>
      </c>
      <c r="D468" s="1391">
        <v>8</v>
      </c>
      <c r="E468" s="1288">
        <v>280</v>
      </c>
      <c r="F468" s="1399">
        <f t="shared" si="14"/>
        <v>2240</v>
      </c>
    </row>
    <row r="469" spans="1:6" ht="132">
      <c r="A469" s="1372" t="s">
        <v>965</v>
      </c>
      <c r="B469" s="1390" t="s">
        <v>1445</v>
      </c>
      <c r="C469" s="1391" t="s">
        <v>521</v>
      </c>
      <c r="D469" s="1391">
        <v>1</v>
      </c>
      <c r="E469" s="1288">
        <v>555</v>
      </c>
      <c r="F469" s="1399">
        <f t="shared" si="14"/>
        <v>555</v>
      </c>
    </row>
    <row r="470" spans="1:6" ht="118.8">
      <c r="A470" s="1372" t="s">
        <v>421</v>
      </c>
      <c r="B470" s="1390" t="s">
        <v>1446</v>
      </c>
      <c r="C470" s="1391" t="s">
        <v>29</v>
      </c>
      <c r="D470" s="1391">
        <v>2</v>
      </c>
      <c r="E470" s="1288">
        <v>1100</v>
      </c>
      <c r="F470" s="1399">
        <f t="shared" si="14"/>
        <v>2200</v>
      </c>
    </row>
    <row r="471" spans="1:6" ht="39.6">
      <c r="A471" s="1447" t="s">
        <v>434</v>
      </c>
      <c r="B471" s="1390" t="s">
        <v>1447</v>
      </c>
      <c r="C471" s="1391"/>
      <c r="D471" s="1448"/>
      <c r="E471" s="1398"/>
      <c r="F471" s="1399"/>
    </row>
    <row r="472" spans="1:6" ht="92.4">
      <c r="A472" s="1372" t="s">
        <v>867</v>
      </c>
      <c r="B472" s="1390" t="s">
        <v>1448</v>
      </c>
      <c r="C472" s="1391" t="s">
        <v>29</v>
      </c>
      <c r="D472" s="1391">
        <v>8</v>
      </c>
      <c r="E472" s="1288">
        <v>130</v>
      </c>
      <c r="F472" s="1399">
        <f t="shared" si="14"/>
        <v>1040</v>
      </c>
    </row>
    <row r="473" spans="1:6" ht="26.4">
      <c r="A473" s="1372" t="s">
        <v>868</v>
      </c>
      <c r="B473" s="1390" t="s">
        <v>1449</v>
      </c>
      <c r="C473" s="1391" t="s">
        <v>29</v>
      </c>
      <c r="D473" s="1391">
        <v>10</v>
      </c>
      <c r="E473" s="1288">
        <v>110</v>
      </c>
      <c r="F473" s="1399">
        <f t="shared" si="14"/>
        <v>1100</v>
      </c>
    </row>
    <row r="474" spans="1:6" ht="79.2">
      <c r="A474" s="1372" t="s">
        <v>870</v>
      </c>
      <c r="B474" s="1390" t="s">
        <v>1450</v>
      </c>
      <c r="C474" s="1391" t="s">
        <v>29</v>
      </c>
      <c r="D474" s="1391">
        <v>8</v>
      </c>
      <c r="E474" s="1288">
        <v>155</v>
      </c>
      <c r="F474" s="1399">
        <f t="shared" si="14"/>
        <v>1240</v>
      </c>
    </row>
    <row r="475" spans="1:6" ht="118.8">
      <c r="A475" s="1372" t="s">
        <v>872</v>
      </c>
      <c r="B475" s="1390" t="s">
        <v>1451</v>
      </c>
      <c r="C475" s="1391" t="s">
        <v>29</v>
      </c>
      <c r="D475" s="1391">
        <v>8</v>
      </c>
      <c r="E475" s="1288">
        <v>155</v>
      </c>
      <c r="F475" s="1399">
        <f t="shared" si="14"/>
        <v>1240</v>
      </c>
    </row>
    <row r="476" spans="1:6" ht="26.4">
      <c r="A476" s="1372" t="s">
        <v>874</v>
      </c>
      <c r="B476" s="1390" t="s">
        <v>1452</v>
      </c>
      <c r="C476" s="1391" t="s">
        <v>29</v>
      </c>
      <c r="D476" s="1391">
        <v>8</v>
      </c>
      <c r="E476" s="1288">
        <v>35</v>
      </c>
      <c r="F476" s="1399">
        <f t="shared" si="14"/>
        <v>280</v>
      </c>
    </row>
    <row r="477" spans="1:6" ht="52.8">
      <c r="A477" s="1372" t="s">
        <v>876</v>
      </c>
      <c r="B477" s="1390" t="s">
        <v>1453</v>
      </c>
      <c r="C477" s="1391" t="s">
        <v>29</v>
      </c>
      <c r="D477" s="1391">
        <v>8</v>
      </c>
      <c r="E477" s="1288">
        <v>110</v>
      </c>
      <c r="F477" s="1399">
        <f t="shared" si="14"/>
        <v>880</v>
      </c>
    </row>
    <row r="478" spans="1:6" ht="26.4">
      <c r="A478" s="1372" t="s">
        <v>878</v>
      </c>
      <c r="B478" s="1390" t="s">
        <v>1454</v>
      </c>
      <c r="C478" s="1391" t="s">
        <v>29</v>
      </c>
      <c r="D478" s="1391">
        <v>9</v>
      </c>
      <c r="E478" s="1288">
        <v>35</v>
      </c>
      <c r="F478" s="1399">
        <f t="shared" si="14"/>
        <v>315</v>
      </c>
    </row>
    <row r="479" spans="1:6" ht="66">
      <c r="A479" s="1372" t="s">
        <v>2231</v>
      </c>
      <c r="B479" s="1390" t="s">
        <v>1455</v>
      </c>
      <c r="C479" s="1391" t="s">
        <v>29</v>
      </c>
      <c r="D479" s="1391">
        <v>10</v>
      </c>
      <c r="E479" s="1288">
        <v>250</v>
      </c>
      <c r="F479" s="1399">
        <f t="shared" si="14"/>
        <v>2500</v>
      </c>
    </row>
    <row r="480" spans="1:6">
      <c r="A480" s="1372" t="s">
        <v>2232</v>
      </c>
      <c r="B480" s="1390" t="s">
        <v>1456</v>
      </c>
      <c r="C480" s="1391" t="s">
        <v>29</v>
      </c>
      <c r="D480" s="1391">
        <v>8</v>
      </c>
      <c r="E480" s="1288">
        <v>35</v>
      </c>
      <c r="F480" s="1399">
        <f t="shared" si="14"/>
        <v>280</v>
      </c>
    </row>
    <row r="481" spans="1:6" ht="39.6">
      <c r="A481" s="1372" t="s">
        <v>2233</v>
      </c>
      <c r="B481" s="1390" t="s">
        <v>1457</v>
      </c>
      <c r="C481" s="1391" t="s">
        <v>29</v>
      </c>
      <c r="D481" s="1391">
        <v>8</v>
      </c>
      <c r="E481" s="1288">
        <v>35</v>
      </c>
      <c r="F481" s="1399">
        <f t="shared" si="14"/>
        <v>280</v>
      </c>
    </row>
    <row r="482" spans="1:6" ht="66">
      <c r="A482" s="1372" t="s">
        <v>2234</v>
      </c>
      <c r="B482" s="1390" t="s">
        <v>2235</v>
      </c>
      <c r="C482" s="1391" t="s">
        <v>29</v>
      </c>
      <c r="D482" s="1391">
        <v>8</v>
      </c>
      <c r="E482" s="1288">
        <v>90</v>
      </c>
      <c r="F482" s="1399">
        <f t="shared" si="14"/>
        <v>720</v>
      </c>
    </row>
    <row r="483" spans="1:6" ht="66">
      <c r="A483" s="1372" t="s">
        <v>2236</v>
      </c>
      <c r="B483" s="1390" t="s">
        <v>1458</v>
      </c>
      <c r="C483" s="1391" t="s">
        <v>29</v>
      </c>
      <c r="D483" s="1391">
        <v>8</v>
      </c>
      <c r="E483" s="1288">
        <v>110</v>
      </c>
      <c r="F483" s="1399">
        <f t="shared" si="14"/>
        <v>880</v>
      </c>
    </row>
    <row r="484" spans="1:6" ht="26.4">
      <c r="A484" s="1372" t="s">
        <v>2237</v>
      </c>
      <c r="B484" s="1390" t="s">
        <v>1459</v>
      </c>
      <c r="C484" s="1391" t="s">
        <v>29</v>
      </c>
      <c r="D484" s="1391">
        <v>1</v>
      </c>
      <c r="E484" s="1288">
        <v>310</v>
      </c>
      <c r="F484" s="1399">
        <f t="shared" si="14"/>
        <v>310</v>
      </c>
    </row>
    <row r="485" spans="1:6">
      <c r="A485" s="1372" t="s">
        <v>2238</v>
      </c>
      <c r="B485" s="1390" t="s">
        <v>1460</v>
      </c>
      <c r="C485" s="1391" t="s">
        <v>29</v>
      </c>
      <c r="D485" s="1391">
        <v>1</v>
      </c>
      <c r="E485" s="1288">
        <v>350</v>
      </c>
      <c r="F485" s="1399">
        <f t="shared" si="14"/>
        <v>350</v>
      </c>
    </row>
    <row r="486" spans="1:6">
      <c r="A486" s="1372" t="s">
        <v>1308</v>
      </c>
      <c r="B486" s="1390" t="s">
        <v>1461</v>
      </c>
      <c r="C486" s="1391" t="s">
        <v>29</v>
      </c>
      <c r="D486" s="1391">
        <v>1</v>
      </c>
      <c r="E486" s="1288">
        <v>350</v>
      </c>
      <c r="F486" s="1399">
        <f t="shared" si="14"/>
        <v>350</v>
      </c>
    </row>
    <row r="487" spans="1:6" ht="26.4">
      <c r="A487" s="1372" t="s">
        <v>1312</v>
      </c>
      <c r="B487" s="1390" t="s">
        <v>1462</v>
      </c>
      <c r="C487" s="1391" t="s">
        <v>29</v>
      </c>
      <c r="D487" s="1391">
        <v>100</v>
      </c>
      <c r="E487" s="1288">
        <v>5</v>
      </c>
      <c r="F487" s="1399">
        <f t="shared" si="14"/>
        <v>500</v>
      </c>
    </row>
    <row r="488" spans="1:6">
      <c r="A488" s="1372" t="s">
        <v>1316</v>
      </c>
      <c r="B488" s="1390" t="s">
        <v>1463</v>
      </c>
      <c r="C488" s="1391" t="s">
        <v>29</v>
      </c>
      <c r="D488" s="1391">
        <v>2</v>
      </c>
      <c r="E488" s="1288">
        <v>55</v>
      </c>
      <c r="F488" s="1399">
        <f t="shared" si="14"/>
        <v>110</v>
      </c>
    </row>
    <row r="489" spans="1:6" ht="66">
      <c r="A489" s="1372" t="s">
        <v>2239</v>
      </c>
      <c r="B489" s="1390" t="s">
        <v>1464</v>
      </c>
      <c r="C489" s="1391" t="s">
        <v>29</v>
      </c>
      <c r="D489" s="1391">
        <v>1</v>
      </c>
      <c r="E489" s="1288">
        <v>266</v>
      </c>
      <c r="F489" s="1399">
        <f t="shared" si="14"/>
        <v>266</v>
      </c>
    </row>
    <row r="490" spans="1:6" ht="26.4">
      <c r="A490" s="1372" t="s">
        <v>439</v>
      </c>
      <c r="B490" s="1390" t="s">
        <v>1465</v>
      </c>
      <c r="C490" s="1391" t="s">
        <v>29</v>
      </c>
      <c r="D490" s="1391">
        <v>1</v>
      </c>
      <c r="E490" s="1288">
        <v>1500</v>
      </c>
      <c r="F490" s="1399">
        <f t="shared" si="14"/>
        <v>1500</v>
      </c>
    </row>
    <row r="491" spans="1:6" ht="39.6">
      <c r="A491" s="1372" t="s">
        <v>442</v>
      </c>
      <c r="B491" s="1390" t="s">
        <v>1466</v>
      </c>
      <c r="C491" s="1391" t="s">
        <v>29</v>
      </c>
      <c r="D491" s="1391">
        <v>1</v>
      </c>
      <c r="E491" s="1288">
        <v>555</v>
      </c>
      <c r="F491" s="1399">
        <f t="shared" si="14"/>
        <v>555</v>
      </c>
    </row>
    <row r="492" spans="1:6">
      <c r="A492" s="1372" t="s">
        <v>497</v>
      </c>
      <c r="B492" s="1390" t="s">
        <v>855</v>
      </c>
      <c r="C492" s="1391" t="s">
        <v>521</v>
      </c>
      <c r="D492" s="1392">
        <v>8</v>
      </c>
      <c r="E492" s="1288">
        <v>250</v>
      </c>
      <c r="F492" s="1399">
        <f t="shared" si="14"/>
        <v>2000</v>
      </c>
    </row>
    <row r="493" spans="1:6">
      <c r="A493" s="1372"/>
      <c r="B493" s="1406" t="s">
        <v>1467</v>
      </c>
      <c r="C493" s="1391"/>
      <c r="D493" s="1392"/>
      <c r="E493" s="1398"/>
      <c r="F493" s="1433">
        <f>SUM(F458:F492)</f>
        <v>22295</v>
      </c>
    </row>
    <row r="494" spans="1:6">
      <c r="A494" s="1361" t="s">
        <v>581</v>
      </c>
      <c r="B494" s="1408" t="s">
        <v>1468</v>
      </c>
      <c r="C494" s="1387"/>
      <c r="D494" s="1409"/>
      <c r="E494" s="1388"/>
      <c r="F494" s="1434"/>
    </row>
    <row r="495" spans="1:6" ht="66">
      <c r="A495" s="1372" t="s">
        <v>416</v>
      </c>
      <c r="B495" s="1390" t="s">
        <v>2240</v>
      </c>
      <c r="C495" s="1391" t="s">
        <v>29</v>
      </c>
      <c r="D495" s="1392">
        <v>1</v>
      </c>
      <c r="E495" s="1288">
        <v>1150</v>
      </c>
      <c r="F495" s="1433">
        <f>E495*D495</f>
        <v>1150</v>
      </c>
    </row>
    <row r="496" spans="1:6" ht="66">
      <c r="A496" s="1372" t="s">
        <v>421</v>
      </c>
      <c r="B496" s="1390" t="s">
        <v>1469</v>
      </c>
      <c r="C496" s="1391" t="s">
        <v>29</v>
      </c>
      <c r="D496" s="1392">
        <v>2</v>
      </c>
      <c r="E496" s="1288">
        <v>555</v>
      </c>
      <c r="F496" s="1433">
        <f t="shared" ref="F496:F505" si="15">E496*D496</f>
        <v>1110</v>
      </c>
    </row>
    <row r="497" spans="1:6" ht="52.8">
      <c r="A497" s="1372" t="s">
        <v>434</v>
      </c>
      <c r="B497" s="1390" t="s">
        <v>1470</v>
      </c>
      <c r="C497" s="1391" t="s">
        <v>29</v>
      </c>
      <c r="D497" s="1392">
        <v>1</v>
      </c>
      <c r="E497" s="1288">
        <v>625</v>
      </c>
      <c r="F497" s="1433">
        <f t="shared" si="15"/>
        <v>625</v>
      </c>
    </row>
    <row r="498" spans="1:6" ht="52.8">
      <c r="A498" s="1372" t="s">
        <v>439</v>
      </c>
      <c r="B498" s="1390" t="s">
        <v>1471</v>
      </c>
      <c r="C498" s="1391" t="s">
        <v>29</v>
      </c>
      <c r="D498" s="1392">
        <v>1</v>
      </c>
      <c r="E498" s="1288">
        <v>3200</v>
      </c>
      <c r="F498" s="1433">
        <f t="shared" si="15"/>
        <v>3200</v>
      </c>
    </row>
    <row r="499" spans="1:6" ht="92.4">
      <c r="A499" s="1372" t="s">
        <v>442</v>
      </c>
      <c r="B499" s="1390" t="s">
        <v>1472</v>
      </c>
      <c r="C499" s="1391" t="s">
        <v>29</v>
      </c>
      <c r="D499" s="1392">
        <v>1</v>
      </c>
      <c r="E499" s="1288">
        <v>2750</v>
      </c>
      <c r="F499" s="1433">
        <f t="shared" si="15"/>
        <v>2750</v>
      </c>
    </row>
    <row r="500" spans="1:6" ht="26.4">
      <c r="A500" s="1372" t="s">
        <v>497</v>
      </c>
      <c r="B500" s="1390" t="s">
        <v>1473</v>
      </c>
      <c r="C500" s="1391" t="s">
        <v>29</v>
      </c>
      <c r="D500" s="1392">
        <v>1</v>
      </c>
      <c r="E500" s="1288">
        <v>350</v>
      </c>
      <c r="F500" s="1433">
        <f t="shared" si="15"/>
        <v>350</v>
      </c>
    </row>
    <row r="501" spans="1:6" ht="26.4">
      <c r="A501" s="1372" t="s">
        <v>499</v>
      </c>
      <c r="B501" s="1390" t="s">
        <v>1474</v>
      </c>
      <c r="C501" s="1391" t="s">
        <v>29</v>
      </c>
      <c r="D501" s="1392">
        <v>1</v>
      </c>
      <c r="E501" s="1288">
        <v>55</v>
      </c>
      <c r="F501" s="1433">
        <f t="shared" si="15"/>
        <v>55</v>
      </c>
    </row>
    <row r="502" spans="1:6">
      <c r="A502" s="1372" t="s">
        <v>559</v>
      </c>
      <c r="B502" s="1390" t="s">
        <v>1475</v>
      </c>
      <c r="C502" s="1391" t="s">
        <v>29</v>
      </c>
      <c r="D502" s="1392">
        <v>1</v>
      </c>
      <c r="E502" s="1288">
        <v>85</v>
      </c>
      <c r="F502" s="1433">
        <f t="shared" si="15"/>
        <v>85</v>
      </c>
    </row>
    <row r="503" spans="1:6" ht="26.4">
      <c r="A503" s="1372" t="s">
        <v>562</v>
      </c>
      <c r="B503" s="1390" t="s">
        <v>1476</v>
      </c>
      <c r="C503" s="1391" t="s">
        <v>29</v>
      </c>
      <c r="D503" s="1392">
        <v>1</v>
      </c>
      <c r="E503" s="1288">
        <v>350</v>
      </c>
      <c r="F503" s="1433">
        <f t="shared" si="15"/>
        <v>350</v>
      </c>
    </row>
    <row r="504" spans="1:6" ht="26.4">
      <c r="A504" s="1372" t="s">
        <v>565</v>
      </c>
      <c r="B504" s="1390" t="s">
        <v>1477</v>
      </c>
      <c r="C504" s="1391" t="s">
        <v>29</v>
      </c>
      <c r="D504" s="1392">
        <v>1</v>
      </c>
      <c r="E504" s="1288">
        <v>55</v>
      </c>
      <c r="F504" s="1433">
        <f t="shared" si="15"/>
        <v>55</v>
      </c>
    </row>
    <row r="505" spans="1:6" ht="26.4">
      <c r="A505" s="1372" t="s">
        <v>568</v>
      </c>
      <c r="B505" s="1390" t="s">
        <v>1478</v>
      </c>
      <c r="C505" s="1391" t="s">
        <v>29</v>
      </c>
      <c r="D505" s="1392">
        <v>1</v>
      </c>
      <c r="E505" s="1288">
        <v>310</v>
      </c>
      <c r="F505" s="1433">
        <f t="shared" si="15"/>
        <v>310</v>
      </c>
    </row>
    <row r="506" spans="1:6">
      <c r="A506" s="1372"/>
      <c r="B506" s="1406" t="s">
        <v>2306</v>
      </c>
      <c r="C506" s="1391"/>
      <c r="D506" s="1392"/>
      <c r="E506" s="1398"/>
      <c r="F506" s="1433">
        <f>SUM(F495:F505)</f>
        <v>10040</v>
      </c>
    </row>
    <row r="507" spans="1:6">
      <c r="A507" s="1361" t="s">
        <v>584</v>
      </c>
      <c r="B507" s="1408" t="s">
        <v>1480</v>
      </c>
      <c r="C507" s="1387"/>
      <c r="D507" s="1409"/>
      <c r="E507" s="1388"/>
      <c r="F507" s="1434"/>
    </row>
    <row r="508" spans="1:6" ht="198">
      <c r="A508" s="1372" t="s">
        <v>416</v>
      </c>
      <c r="B508" s="1390" t="s">
        <v>1481</v>
      </c>
      <c r="C508" s="1391" t="s">
        <v>521</v>
      </c>
      <c r="D508" s="1392">
        <v>1</v>
      </c>
      <c r="E508" s="1288">
        <v>1500</v>
      </c>
      <c r="F508" s="1399">
        <f>E508*D508</f>
        <v>1500</v>
      </c>
    </row>
    <row r="509" spans="1:6" ht="39.6">
      <c r="A509" s="1372" t="s">
        <v>421</v>
      </c>
      <c r="B509" s="1390" t="s">
        <v>2550</v>
      </c>
      <c r="C509" s="1391" t="s">
        <v>521</v>
      </c>
      <c r="D509" s="1392">
        <v>1</v>
      </c>
      <c r="E509" s="1288">
        <v>2500</v>
      </c>
      <c r="F509" s="1399">
        <f t="shared" ref="F509:F515" si="16">E509*D509</f>
        <v>2500</v>
      </c>
    </row>
    <row r="510" spans="1:6" ht="52.8">
      <c r="A510" s="1372" t="s">
        <v>434</v>
      </c>
      <c r="B510" s="1390" t="s">
        <v>2241</v>
      </c>
      <c r="C510" s="1391" t="s">
        <v>521</v>
      </c>
      <c r="D510" s="1392">
        <v>1</v>
      </c>
      <c r="E510" s="1288">
        <v>1100</v>
      </c>
      <c r="F510" s="1399">
        <f t="shared" si="16"/>
        <v>1100</v>
      </c>
    </row>
    <row r="511" spans="1:6" ht="79.2">
      <c r="A511" s="1372" t="s">
        <v>439</v>
      </c>
      <c r="B511" s="1390" t="s">
        <v>2242</v>
      </c>
      <c r="C511" s="1391" t="s">
        <v>521</v>
      </c>
      <c r="D511" s="1392">
        <v>1</v>
      </c>
      <c r="E511" s="1288">
        <v>500</v>
      </c>
      <c r="F511" s="1399">
        <f t="shared" si="16"/>
        <v>500</v>
      </c>
    </row>
    <row r="512" spans="1:6" ht="39.6">
      <c r="A512" s="1372" t="s">
        <v>442</v>
      </c>
      <c r="B512" s="1390" t="s">
        <v>1482</v>
      </c>
      <c r="C512" s="1391" t="s">
        <v>521</v>
      </c>
      <c r="D512" s="1392">
        <v>1</v>
      </c>
      <c r="E512" s="1288">
        <v>2500</v>
      </c>
      <c r="F512" s="1399">
        <f t="shared" si="16"/>
        <v>2500</v>
      </c>
    </row>
    <row r="513" spans="1:6" ht="39.6">
      <c r="A513" s="1372" t="s">
        <v>497</v>
      </c>
      <c r="B513" s="1390" t="s">
        <v>1483</v>
      </c>
      <c r="C513" s="1391" t="s">
        <v>521</v>
      </c>
      <c r="D513" s="1392">
        <v>1</v>
      </c>
      <c r="E513" s="1288">
        <v>1500</v>
      </c>
      <c r="F513" s="1399">
        <f t="shared" si="16"/>
        <v>1500</v>
      </c>
    </row>
    <row r="514" spans="1:6" ht="26.4">
      <c r="A514" s="1372" t="s">
        <v>499</v>
      </c>
      <c r="B514" s="1390" t="s">
        <v>1484</v>
      </c>
      <c r="C514" s="1391" t="s">
        <v>521</v>
      </c>
      <c r="D514" s="1392">
        <v>1</v>
      </c>
      <c r="E514" s="1288">
        <v>1000</v>
      </c>
      <c r="F514" s="1399">
        <f t="shared" si="16"/>
        <v>1000</v>
      </c>
    </row>
    <row r="515" spans="1:6" ht="39.6">
      <c r="A515" s="1372" t="s">
        <v>559</v>
      </c>
      <c r="B515" s="1390" t="s">
        <v>1485</v>
      </c>
      <c r="C515" s="1391" t="s">
        <v>521</v>
      </c>
      <c r="D515" s="1392">
        <v>1</v>
      </c>
      <c r="E515" s="1288">
        <v>2000</v>
      </c>
      <c r="F515" s="1399">
        <f t="shared" si="16"/>
        <v>2000</v>
      </c>
    </row>
    <row r="516" spans="1:6">
      <c r="A516" s="1442"/>
      <c r="B516" s="1406" t="s">
        <v>1479</v>
      </c>
      <c r="C516" s="1443"/>
      <c r="D516" s="1443"/>
      <c r="E516" s="1444"/>
      <c r="F516" s="1445">
        <f>SUM(F508:F515)</f>
        <v>12600</v>
      </c>
    </row>
    <row r="517" spans="1:6">
      <c r="A517" s="1361" t="s">
        <v>587</v>
      </c>
      <c r="B517" s="1408" t="s">
        <v>1487</v>
      </c>
      <c r="C517" s="1387"/>
      <c r="D517" s="1409"/>
      <c r="E517" s="1388"/>
      <c r="F517" s="1434"/>
    </row>
    <row r="518" spans="1:6" ht="39.6">
      <c r="A518" s="1372"/>
      <c r="B518" s="1390" t="s">
        <v>1488</v>
      </c>
      <c r="C518" s="1391"/>
      <c r="D518" s="1391"/>
      <c r="E518" s="1398"/>
      <c r="F518" s="1399"/>
    </row>
    <row r="519" spans="1:6" ht="158.4">
      <c r="A519" s="1372" t="s">
        <v>1441</v>
      </c>
      <c r="B519" s="1390" t="s">
        <v>1489</v>
      </c>
      <c r="C519" s="1391" t="s">
        <v>521</v>
      </c>
      <c r="D519" s="1391">
        <v>1</v>
      </c>
      <c r="E519" s="1288">
        <v>1500</v>
      </c>
      <c r="F519" s="1399">
        <f>E519*D519</f>
        <v>1500</v>
      </c>
    </row>
    <row r="520" spans="1:6" ht="26.4">
      <c r="A520" s="1372" t="s">
        <v>1882</v>
      </c>
      <c r="B520" s="1390" t="s">
        <v>1490</v>
      </c>
      <c r="C520" s="1391" t="s">
        <v>521</v>
      </c>
      <c r="D520" s="1391">
        <v>1</v>
      </c>
      <c r="E520" s="1288">
        <v>155</v>
      </c>
      <c r="F520" s="1399">
        <f>E520*D520</f>
        <v>155</v>
      </c>
    </row>
    <row r="521" spans="1:6">
      <c r="A521" s="1372"/>
      <c r="B521" s="1406" t="s">
        <v>1486</v>
      </c>
      <c r="C521" s="1391"/>
      <c r="D521" s="1391"/>
      <c r="E521" s="1398"/>
      <c r="F521" s="1433">
        <f>SUM(F519:F520)</f>
        <v>1655</v>
      </c>
    </row>
    <row r="522" spans="1:6">
      <c r="A522" s="1372"/>
      <c r="B522" s="1390"/>
      <c r="C522" s="1391"/>
      <c r="D522" s="1391"/>
      <c r="E522" s="1398"/>
      <c r="F522" s="1449"/>
    </row>
    <row r="523" spans="1:6">
      <c r="A523" s="1372"/>
      <c r="B523" s="1390"/>
      <c r="C523" s="1391"/>
      <c r="D523" s="1391"/>
      <c r="E523" s="1398"/>
      <c r="F523" s="1449"/>
    </row>
    <row r="524" spans="1:6">
      <c r="A524" s="1372"/>
      <c r="B524" s="1390"/>
      <c r="C524" s="1391"/>
      <c r="D524" s="1391"/>
      <c r="E524" s="1398"/>
      <c r="F524" s="1449"/>
    </row>
    <row r="525" spans="1:6" ht="13.8" thickBot="1">
      <c r="A525" s="1622" t="s">
        <v>2251</v>
      </c>
      <c r="B525" s="1623"/>
      <c r="C525" s="1623"/>
      <c r="D525" s="1623"/>
      <c r="E525" s="1623"/>
      <c r="F525" s="1624"/>
    </row>
    <row r="526" spans="1:6">
      <c r="A526" s="1415" t="s">
        <v>893</v>
      </c>
      <c r="B526" s="1613" t="s">
        <v>685</v>
      </c>
      <c r="C526" s="1614"/>
      <c r="D526" s="1614"/>
      <c r="E526" s="1615"/>
      <c r="F526" s="1450" t="s">
        <v>689</v>
      </c>
    </row>
    <row r="527" spans="1:6">
      <c r="A527" s="1451" t="s">
        <v>416</v>
      </c>
      <c r="B527" s="1619" t="s">
        <v>898</v>
      </c>
      <c r="C527" s="1620"/>
      <c r="D527" s="1620"/>
      <c r="E527" s="1621"/>
      <c r="F527" s="1452">
        <f>F11</f>
        <v>3300</v>
      </c>
    </row>
    <row r="528" spans="1:6">
      <c r="A528" s="1451" t="s">
        <v>421</v>
      </c>
      <c r="B528" s="1619" t="s">
        <v>904</v>
      </c>
      <c r="C528" s="1620"/>
      <c r="D528" s="1620"/>
      <c r="E528" s="1621"/>
      <c r="F528" s="1452">
        <f>F46</f>
        <v>21825</v>
      </c>
    </row>
    <row r="529" spans="1:6">
      <c r="A529" s="1451" t="s">
        <v>434</v>
      </c>
      <c r="B529" s="1619" t="s">
        <v>944</v>
      </c>
      <c r="C529" s="1620"/>
      <c r="D529" s="1620"/>
      <c r="E529" s="1621"/>
      <c r="F529" s="1452">
        <f>F118</f>
        <v>43882</v>
      </c>
    </row>
    <row r="530" spans="1:6">
      <c r="A530" s="1451" t="s">
        <v>439</v>
      </c>
      <c r="B530" s="1619" t="s">
        <v>1491</v>
      </c>
      <c r="C530" s="1620"/>
      <c r="D530" s="1620"/>
      <c r="E530" s="1621"/>
      <c r="F530" s="1452">
        <f>F153</f>
        <v>30005.829999999998</v>
      </c>
    </row>
    <row r="531" spans="1:6">
      <c r="A531" s="1451" t="s">
        <v>442</v>
      </c>
      <c r="B531" s="1619" t="s">
        <v>1129</v>
      </c>
      <c r="C531" s="1620"/>
      <c r="D531" s="1620"/>
      <c r="E531" s="1621"/>
      <c r="F531" s="1452">
        <f>F180</f>
        <v>13206</v>
      </c>
    </row>
    <row r="532" spans="1:6">
      <c r="A532" s="1451" t="s">
        <v>497</v>
      </c>
      <c r="B532" s="1619" t="s">
        <v>1144</v>
      </c>
      <c r="C532" s="1620"/>
      <c r="D532" s="1620"/>
      <c r="E532" s="1621"/>
      <c r="F532" s="1452">
        <f>F189</f>
        <v>5132</v>
      </c>
    </row>
    <row r="533" spans="1:6">
      <c r="A533" s="1451" t="s">
        <v>499</v>
      </c>
      <c r="B533" s="1619" t="str">
        <f>B190</f>
        <v>AGREGTSKO POSTROJENJE, 65kVA/52kW</v>
      </c>
      <c r="C533" s="1620"/>
      <c r="D533" s="1620"/>
      <c r="E533" s="1621"/>
      <c r="F533" s="1452">
        <f>F215</f>
        <v>17042</v>
      </c>
    </row>
    <row r="534" spans="1:6">
      <c r="A534" s="1451" t="s">
        <v>559</v>
      </c>
      <c r="B534" s="1619" t="s">
        <v>1172</v>
      </c>
      <c r="C534" s="1620"/>
      <c r="D534" s="1620"/>
      <c r="E534" s="1621"/>
      <c r="F534" s="1452">
        <f>F248</f>
        <v>2500</v>
      </c>
    </row>
    <row r="535" spans="1:6">
      <c r="A535" s="1451" t="s">
        <v>562</v>
      </c>
      <c r="B535" s="1619" t="s">
        <v>1202</v>
      </c>
      <c r="C535" s="1620"/>
      <c r="D535" s="1620"/>
      <c r="E535" s="1621"/>
      <c r="F535" s="1452">
        <f>F298</f>
        <v>14708</v>
      </c>
    </row>
    <row r="536" spans="1:6">
      <c r="A536" s="1451" t="s">
        <v>565</v>
      </c>
      <c r="B536" s="1619" t="s">
        <v>1272</v>
      </c>
      <c r="C536" s="1620"/>
      <c r="D536" s="1620"/>
      <c r="E536" s="1621"/>
      <c r="F536" s="1452">
        <f>F334</f>
        <v>10620.25</v>
      </c>
    </row>
    <row r="537" spans="1:6">
      <c r="A537" s="1451" t="s">
        <v>568</v>
      </c>
      <c r="B537" s="1619" t="s">
        <v>1323</v>
      </c>
      <c r="C537" s="1620"/>
      <c r="D537" s="1620"/>
      <c r="E537" s="1621"/>
      <c r="F537" s="1452">
        <f>F371</f>
        <v>7322.5</v>
      </c>
    </row>
    <row r="538" spans="1:6">
      <c r="A538" s="1451" t="s">
        <v>570</v>
      </c>
      <c r="B538" s="1619" t="s">
        <v>1382</v>
      </c>
      <c r="C538" s="1620"/>
      <c r="D538" s="1620"/>
      <c r="E538" s="1621"/>
      <c r="F538" s="1452">
        <f>F385</f>
        <v>7250</v>
      </c>
    </row>
    <row r="539" spans="1:6">
      <c r="A539" s="1451" t="s">
        <v>575</v>
      </c>
      <c r="B539" s="1619" t="s">
        <v>1395</v>
      </c>
      <c r="C539" s="1620"/>
      <c r="D539" s="1620"/>
      <c r="E539" s="1621"/>
      <c r="F539" s="1452">
        <f>F456</f>
        <v>26287</v>
      </c>
    </row>
    <row r="540" spans="1:6">
      <c r="A540" s="1451" t="s">
        <v>578</v>
      </c>
      <c r="B540" s="1619" t="s">
        <v>1440</v>
      </c>
      <c r="C540" s="1620"/>
      <c r="D540" s="1620"/>
      <c r="E540" s="1621"/>
      <c r="F540" s="1452">
        <f>F493</f>
        <v>22295</v>
      </c>
    </row>
    <row r="541" spans="1:6">
      <c r="A541" s="1451" t="s">
        <v>581</v>
      </c>
      <c r="B541" s="1619" t="s">
        <v>1468</v>
      </c>
      <c r="C541" s="1620"/>
      <c r="D541" s="1620"/>
      <c r="E541" s="1621"/>
      <c r="F541" s="1452">
        <f>F506</f>
        <v>10040</v>
      </c>
    </row>
    <row r="542" spans="1:6">
      <c r="A542" s="1451" t="s">
        <v>584</v>
      </c>
      <c r="B542" s="1619" t="s">
        <v>1480</v>
      </c>
      <c r="C542" s="1620"/>
      <c r="D542" s="1620"/>
      <c r="E542" s="1621"/>
      <c r="F542" s="1452">
        <f>F516</f>
        <v>12600</v>
      </c>
    </row>
    <row r="543" spans="1:6">
      <c r="A543" s="1451" t="s">
        <v>587</v>
      </c>
      <c r="B543" s="1619" t="s">
        <v>1487</v>
      </c>
      <c r="C543" s="1620"/>
      <c r="D543" s="1620"/>
      <c r="E543" s="1621"/>
      <c r="F543" s="1452">
        <f>F521</f>
        <v>1655</v>
      </c>
    </row>
    <row r="544" spans="1:6" ht="13.8" thickBot="1">
      <c r="A544" s="1453"/>
      <c r="B544" s="1616" t="s">
        <v>1492</v>
      </c>
      <c r="C544" s="1617"/>
      <c r="D544" s="1617"/>
      <c r="E544" s="1618"/>
      <c r="F544" s="1454">
        <f>SUM(F527:F543)</f>
        <v>249670.58000000002</v>
      </c>
    </row>
  </sheetData>
  <sheetProtection algorithmName="SHA-512" hashValue="knOZt3JnMwGH8miwBIR0EM6aTnc4gu/yEtxfuWzW+u1BBVjsE//2lVIIoRRoYbnaANhJU0dGzHYFSFCC1rZ2XA==" saltValue="zGXcCtXLQhms41tl7gpy6g==" spinCount="100000" sheet="1" objects="1" scenarios="1"/>
  <mergeCells count="21">
    <mergeCell ref="B541:E541"/>
    <mergeCell ref="B542:E542"/>
    <mergeCell ref="B543:E543"/>
    <mergeCell ref="B544:E544"/>
    <mergeCell ref="B536:E536"/>
    <mergeCell ref="B537:E537"/>
    <mergeCell ref="B538:E538"/>
    <mergeCell ref="B539:E539"/>
    <mergeCell ref="B540:E540"/>
    <mergeCell ref="B535:E535"/>
    <mergeCell ref="A2:F2"/>
    <mergeCell ref="A525:F525"/>
    <mergeCell ref="B526:E526"/>
    <mergeCell ref="B527:E527"/>
    <mergeCell ref="B528:E528"/>
    <mergeCell ref="B529:E529"/>
    <mergeCell ref="B530:E530"/>
    <mergeCell ref="B531:E531"/>
    <mergeCell ref="B532:E532"/>
    <mergeCell ref="B533:E533"/>
    <mergeCell ref="B534:E534"/>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rowBreaks count="6" manualBreakCount="6">
    <brk id="153" max="5" man="1"/>
    <brk id="189" max="5" man="1"/>
    <brk id="205" max="5" man="1"/>
    <brk id="248" max="5" man="1"/>
    <brk id="371" max="5" man="1"/>
    <brk id="506" max="5"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7" tint="0.39997558519241921"/>
  </sheetPr>
  <dimension ref="A1:F7"/>
  <sheetViews>
    <sheetView zoomScale="85" zoomScaleNormal="85" zoomScaleSheetLayoutView="115" workbookViewId="0">
      <selection activeCell="E18" sqref="E18"/>
    </sheetView>
  </sheetViews>
  <sheetFormatPr defaultRowHeight="13.2"/>
  <cols>
    <col min="2" max="2" width="40.6640625" customWidth="1"/>
    <col min="6" max="6" width="27.5546875" customWidth="1"/>
  </cols>
  <sheetData>
    <row r="1" spans="1:6" s="279" customFormat="1" ht="49.5" customHeight="1">
      <c r="A1" s="276"/>
      <c r="B1" s="277"/>
      <c r="C1" s="277"/>
      <c r="D1" s="277"/>
      <c r="E1" s="277"/>
      <c r="F1" s="278"/>
    </row>
    <row r="2" spans="1:6" ht="13.8" thickBot="1"/>
    <row r="3" spans="1:6" s="279" customFormat="1" ht="32.25" customHeight="1" thickBot="1">
      <c r="A3" s="1631" t="s">
        <v>1493</v>
      </c>
      <c r="B3" s="1632"/>
      <c r="C3" s="1632"/>
      <c r="D3" s="1632"/>
      <c r="E3" s="1632"/>
      <c r="F3" s="1633"/>
    </row>
    <row r="4" spans="1:6" s="279" customFormat="1">
      <c r="A4" s="275" t="s">
        <v>893</v>
      </c>
      <c r="B4" s="1634" t="s">
        <v>685</v>
      </c>
      <c r="C4" s="1635"/>
      <c r="D4" s="1635"/>
      <c r="E4" s="1636"/>
      <c r="F4" s="281" t="s">
        <v>1494</v>
      </c>
    </row>
    <row r="5" spans="1:6" s="279" customFormat="1">
      <c r="A5" s="282" t="s">
        <v>416</v>
      </c>
      <c r="B5" s="1625" t="s">
        <v>683</v>
      </c>
      <c r="C5" s="1626"/>
      <c r="D5" s="1626"/>
      <c r="E5" s="1627"/>
      <c r="F5" s="284">
        <f>'ELEKTRO E.1'!F175</f>
        <v>84624</v>
      </c>
    </row>
    <row r="6" spans="1:6" s="279" customFormat="1" ht="13.8" thickBot="1">
      <c r="A6" s="282" t="s">
        <v>421</v>
      </c>
      <c r="B6" s="1625" t="s">
        <v>897</v>
      </c>
      <c r="C6" s="1626"/>
      <c r="D6" s="1626"/>
      <c r="E6" s="1627"/>
      <c r="F6" s="285">
        <f>'ELEKTRO E.2'!F544</f>
        <v>249670.58000000002</v>
      </c>
    </row>
    <row r="7" spans="1:6" s="279" customFormat="1" ht="16.2" thickBot="1">
      <c r="A7" s="283"/>
      <c r="B7" s="1628" t="s">
        <v>1495</v>
      </c>
      <c r="C7" s="1629"/>
      <c r="D7" s="1629"/>
      <c r="E7" s="1630"/>
      <c r="F7" s="286">
        <f>SUM(F5:F6)</f>
        <v>334294.58</v>
      </c>
    </row>
  </sheetData>
  <sheetProtection algorithmName="SHA-512" hashValue="FSHGvtno3KNgflfsx/+If2ELyGM9bCt4LYS5+5Emp2ipH71VYKGuGKx6yQ/KdJmfw3/NWH6VNYxKuQ2d/dAV9Q==" saltValue="QoVnHxAgThLbTBwlgUPSow==" spinCount="100000" sheet="1" objects="1" scenarios="1"/>
  <mergeCells count="5">
    <mergeCell ref="B5:E5"/>
    <mergeCell ref="B6:E6"/>
    <mergeCell ref="B7:E7"/>
    <mergeCell ref="A3:F3"/>
    <mergeCell ref="B4:E4"/>
  </mergeCells>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2" tint="-0.249977111117893"/>
  </sheetPr>
  <dimension ref="A1:GU436"/>
  <sheetViews>
    <sheetView topLeftCell="A301" zoomScaleNormal="100" zoomScaleSheetLayoutView="130" workbookViewId="0">
      <selection activeCell="D321" sqref="D321"/>
    </sheetView>
  </sheetViews>
  <sheetFormatPr defaultColWidth="11.5546875" defaultRowHeight="13.2"/>
  <cols>
    <col min="1" max="1" width="6.6640625" style="1458" customWidth="1"/>
    <col min="2" max="2" width="55.6640625" style="306" customWidth="1"/>
    <col min="3" max="4" width="8.6640625" style="306" customWidth="1"/>
    <col min="5" max="5" width="12.6640625" style="1464" customWidth="1"/>
    <col min="6" max="6" width="14.6640625" style="905" customWidth="1"/>
    <col min="7" max="7" width="14.44140625" style="306" bestFit="1" customWidth="1"/>
    <col min="8" max="16384" width="11.5546875" style="306"/>
  </cols>
  <sheetData>
    <row r="1" spans="1:10" ht="36" customHeight="1" thickBot="1">
      <c r="B1" s="1459" t="s">
        <v>2291</v>
      </c>
      <c r="C1" s="1350" t="s">
        <v>686</v>
      </c>
      <c r="D1" s="1351" t="s">
        <v>687</v>
      </c>
      <c r="E1" s="1352" t="s">
        <v>688</v>
      </c>
      <c r="F1" s="1353" t="s">
        <v>689</v>
      </c>
      <c r="G1" s="1460" t="s">
        <v>2523</v>
      </c>
    </row>
    <row r="2" spans="1:10">
      <c r="A2" s="308" t="s">
        <v>1497</v>
      </c>
      <c r="B2" s="338" t="s">
        <v>1498</v>
      </c>
      <c r="C2" s="309"/>
      <c r="D2" s="309"/>
      <c r="E2" s="1461"/>
      <c r="F2" s="1462"/>
      <c r="G2" s="1463"/>
      <c r="H2" s="1463"/>
      <c r="I2" s="1463"/>
      <c r="J2" s="1463"/>
    </row>
    <row r="3" spans="1:10" ht="79.2">
      <c r="B3" s="310" t="s">
        <v>1499</v>
      </c>
    </row>
    <row r="4" spans="1:10" ht="52.8">
      <c r="B4" s="310" t="s">
        <v>1500</v>
      </c>
    </row>
    <row r="5" spans="1:10" ht="92.4">
      <c r="B5" s="310" t="s">
        <v>1501</v>
      </c>
    </row>
    <row r="6" spans="1:10" ht="79.2">
      <c r="B6" s="310" t="s">
        <v>1502</v>
      </c>
    </row>
    <row r="7" spans="1:10" ht="105.6">
      <c r="B7" s="310" t="s">
        <v>2560</v>
      </c>
    </row>
    <row r="8" spans="1:10" ht="66">
      <c r="B8" s="310" t="s">
        <v>1503</v>
      </c>
    </row>
    <row r="9" spans="1:10" ht="52.8">
      <c r="B9" s="310" t="s">
        <v>2115</v>
      </c>
    </row>
    <row r="10" spans="1:10" ht="79.2">
      <c r="B10" s="310" t="s">
        <v>2116</v>
      </c>
    </row>
    <row r="11" spans="1:10" ht="92.4">
      <c r="B11" s="311" t="s">
        <v>1504</v>
      </c>
    </row>
    <row r="12" spans="1:10" ht="158.4">
      <c r="B12" s="310" t="s">
        <v>1505</v>
      </c>
    </row>
    <row r="13" spans="1:10" ht="92.4">
      <c r="B13" s="310" t="s">
        <v>1506</v>
      </c>
    </row>
    <row r="14" spans="1:10" ht="66">
      <c r="B14" s="310" t="s">
        <v>1507</v>
      </c>
    </row>
    <row r="15" spans="1:10" ht="39.6">
      <c r="B15" s="310" t="s">
        <v>1508</v>
      </c>
      <c r="C15" s="312"/>
      <c r="D15" s="312"/>
    </row>
    <row r="16" spans="1:10" ht="79.2">
      <c r="A16" s="313"/>
      <c r="B16" s="310" t="s">
        <v>1509</v>
      </c>
      <c r="C16" s="314"/>
      <c r="D16" s="315"/>
      <c r="E16" s="1465"/>
      <c r="F16" s="1466"/>
    </row>
    <row r="17" spans="1:6" ht="92.4">
      <c r="A17" s="313"/>
      <c r="B17" s="310" t="s">
        <v>2117</v>
      </c>
      <c r="C17" s="314"/>
      <c r="D17" s="315"/>
      <c r="E17" s="1465"/>
      <c r="F17" s="1466"/>
    </row>
    <row r="18" spans="1:6" ht="52.8">
      <c r="A18" s="313"/>
      <c r="B18" s="310" t="s">
        <v>1510</v>
      </c>
      <c r="C18" s="314"/>
      <c r="D18" s="315"/>
      <c r="E18" s="1465"/>
      <c r="F18" s="1466"/>
    </row>
    <row r="19" spans="1:6" ht="39.6">
      <c r="A19" s="313"/>
      <c r="B19" s="310" t="s">
        <v>1511</v>
      </c>
      <c r="C19" s="314"/>
      <c r="D19" s="315"/>
      <c r="E19" s="1465"/>
      <c r="F19" s="1466"/>
    </row>
    <row r="20" spans="1:6" ht="39.6">
      <c r="A20" s="313"/>
      <c r="B20" s="310" t="s">
        <v>1512</v>
      </c>
      <c r="C20" s="314"/>
      <c r="D20" s="315"/>
      <c r="E20" s="1465"/>
      <c r="F20" s="1466"/>
    </row>
    <row r="21" spans="1:6" ht="39.6">
      <c r="A21" s="313"/>
      <c r="B21" s="310" t="s">
        <v>1513</v>
      </c>
      <c r="C21" s="314"/>
      <c r="D21" s="315"/>
      <c r="E21" s="1465"/>
      <c r="F21" s="1466"/>
    </row>
    <row r="22" spans="1:6">
      <c r="A22" s="313"/>
      <c r="B22" s="310"/>
      <c r="C22" s="314"/>
      <c r="D22" s="315"/>
      <c r="E22" s="1465"/>
      <c r="F22" s="1466"/>
    </row>
    <row r="23" spans="1:6">
      <c r="A23" s="313"/>
      <c r="B23" s="310"/>
      <c r="C23" s="314"/>
      <c r="D23" s="315"/>
      <c r="E23" s="1465"/>
      <c r="F23" s="1466"/>
    </row>
    <row r="24" spans="1:6">
      <c r="A24" s="308" t="s">
        <v>1514</v>
      </c>
      <c r="B24" s="338" t="s">
        <v>1515</v>
      </c>
      <c r="C24" s="309"/>
      <c r="D24" s="309"/>
      <c r="E24" s="1461"/>
      <c r="F24" s="1462"/>
    </row>
    <row r="25" spans="1:6">
      <c r="A25" s="316"/>
      <c r="B25" s="339"/>
      <c r="C25" s="315"/>
      <c r="D25" s="315"/>
      <c r="E25" s="1465"/>
      <c r="F25" s="1466"/>
    </row>
    <row r="26" spans="1:6">
      <c r="A26" s="1467">
        <v>1</v>
      </c>
      <c r="B26" s="317" t="s">
        <v>1516</v>
      </c>
      <c r="C26" s="315"/>
      <c r="D26" s="318"/>
      <c r="E26" s="1468"/>
      <c r="F26" s="1469"/>
    </row>
    <row r="27" spans="1:6">
      <c r="A27" s="1467"/>
      <c r="B27" s="310"/>
      <c r="C27" s="315"/>
      <c r="D27" s="318"/>
      <c r="E27" s="1468"/>
      <c r="F27" s="1469"/>
    </row>
    <row r="28" spans="1:6">
      <c r="A28" s="1467"/>
      <c r="B28" s="310" t="s">
        <v>2135</v>
      </c>
      <c r="C28" s="314"/>
      <c r="D28" s="319"/>
      <c r="E28" s="1468" t="s">
        <v>140</v>
      </c>
      <c r="F28" s="1469"/>
    </row>
    <row r="29" spans="1:6">
      <c r="A29" s="1467"/>
      <c r="B29" s="319"/>
      <c r="C29" s="314"/>
      <c r="D29" s="318"/>
      <c r="E29" s="1468"/>
      <c r="F29" s="1469"/>
    </row>
    <row r="30" spans="1:6" ht="79.2">
      <c r="A30" s="1467"/>
      <c r="B30" s="319" t="s">
        <v>1517</v>
      </c>
      <c r="C30" s="314"/>
      <c r="D30" s="318"/>
      <c r="E30" s="1468"/>
      <c r="F30" s="1469"/>
    </row>
    <row r="31" spans="1:6" ht="39.6">
      <c r="A31" s="1467"/>
      <c r="B31" s="319" t="s">
        <v>1518</v>
      </c>
      <c r="C31" s="315"/>
      <c r="D31" s="318"/>
      <c r="E31" s="1468"/>
      <c r="F31" s="1469"/>
    </row>
    <row r="32" spans="1:6">
      <c r="A32" s="1467"/>
      <c r="B32" s="319"/>
      <c r="C32" s="315"/>
      <c r="D32" s="318"/>
      <c r="E32" s="1468"/>
      <c r="F32" s="1469"/>
    </row>
    <row r="33" spans="1:6" ht="66">
      <c r="A33" s="1467"/>
      <c r="B33" s="320" t="s">
        <v>1519</v>
      </c>
      <c r="C33" s="315"/>
      <c r="D33" s="318"/>
      <c r="E33" s="1468"/>
      <c r="F33" s="1469"/>
    </row>
    <row r="34" spans="1:6" ht="26.4">
      <c r="A34" s="1467"/>
      <c r="B34" s="321" t="s">
        <v>1520</v>
      </c>
      <c r="C34" s="315"/>
      <c r="D34" s="318"/>
      <c r="E34" s="1468"/>
      <c r="F34" s="1469"/>
    </row>
    <row r="35" spans="1:6">
      <c r="A35" s="1467"/>
      <c r="B35" s="319"/>
      <c r="C35" s="315"/>
      <c r="D35" s="318"/>
      <c r="E35" s="1468"/>
      <c r="F35" s="1469"/>
    </row>
    <row r="36" spans="1:6">
      <c r="A36" s="1467"/>
      <c r="B36" s="319" t="s">
        <v>1521</v>
      </c>
      <c r="C36" s="315" t="s">
        <v>519</v>
      </c>
      <c r="D36" s="318">
        <v>500</v>
      </c>
      <c r="E36" s="1501">
        <f>[1]KRAJOBRAZ!E36</f>
        <v>2</v>
      </c>
      <c r="F36" s="1469">
        <f>D36*E36</f>
        <v>1000</v>
      </c>
    </row>
    <row r="37" spans="1:6">
      <c r="A37" s="1467"/>
      <c r="B37" s="319"/>
      <c r="C37" s="315"/>
      <c r="D37" s="318"/>
      <c r="E37" s="1468"/>
      <c r="F37" s="1469"/>
    </row>
    <row r="38" spans="1:6">
      <c r="A38" s="1467"/>
      <c r="B38" s="319"/>
      <c r="C38" s="315"/>
      <c r="D38" s="318"/>
      <c r="E38" s="1468"/>
      <c r="F38" s="1469"/>
    </row>
    <row r="39" spans="1:6">
      <c r="A39" s="1467">
        <v>2</v>
      </c>
      <c r="B39" s="317" t="s">
        <v>1522</v>
      </c>
      <c r="C39" s="315"/>
      <c r="D39" s="318"/>
      <c r="E39" s="1468"/>
      <c r="F39" s="1469"/>
    </row>
    <row r="40" spans="1:6">
      <c r="A40" s="1467"/>
      <c r="B40" s="310"/>
      <c r="C40" s="315"/>
      <c r="D40" s="318"/>
      <c r="E40" s="1468"/>
      <c r="F40" s="1469"/>
    </row>
    <row r="41" spans="1:6">
      <c r="A41" s="1467"/>
      <c r="B41" s="310" t="s">
        <v>2136</v>
      </c>
      <c r="C41" s="314"/>
      <c r="D41" s="319"/>
      <c r="E41" s="1468" t="s">
        <v>140</v>
      </c>
      <c r="F41" s="1469"/>
    </row>
    <row r="42" spans="1:6">
      <c r="A42" s="1467"/>
      <c r="B42" s="319"/>
      <c r="C42" s="314"/>
      <c r="D42" s="318"/>
      <c r="E42" s="1468"/>
      <c r="F42" s="1469"/>
    </row>
    <row r="43" spans="1:6" ht="39.6">
      <c r="A43" s="1467"/>
      <c r="B43" s="319" t="s">
        <v>1523</v>
      </c>
      <c r="C43" s="314"/>
      <c r="D43" s="318"/>
      <c r="E43" s="1468"/>
      <c r="F43" s="1469"/>
    </row>
    <row r="44" spans="1:6" ht="39.6">
      <c r="A44" s="1467"/>
      <c r="B44" s="319" t="s">
        <v>1518</v>
      </c>
      <c r="C44" s="315"/>
      <c r="D44" s="318"/>
      <c r="E44" s="1468"/>
      <c r="F44" s="1469"/>
    </row>
    <row r="45" spans="1:6">
      <c r="A45" s="1467"/>
      <c r="B45" s="319"/>
      <c r="C45" s="315"/>
      <c r="D45" s="318"/>
      <c r="E45" s="1468"/>
      <c r="F45" s="1469"/>
    </row>
    <row r="46" spans="1:6" ht="66">
      <c r="A46" s="1467"/>
      <c r="B46" s="320" t="s">
        <v>1519</v>
      </c>
      <c r="C46" s="315"/>
      <c r="D46" s="318"/>
      <c r="E46" s="1468"/>
      <c r="F46" s="1469"/>
    </row>
    <row r="47" spans="1:6" ht="26.4">
      <c r="A47" s="1467"/>
      <c r="B47" s="321" t="s">
        <v>1520</v>
      </c>
      <c r="C47" s="315"/>
      <c r="D47" s="318"/>
      <c r="E47" s="1468"/>
      <c r="F47" s="1469"/>
    </row>
    <row r="48" spans="1:6">
      <c r="A48" s="1467"/>
      <c r="B48" s="319"/>
      <c r="C48" s="315"/>
      <c r="D48" s="318"/>
      <c r="E48" s="1468"/>
      <c r="F48" s="1469"/>
    </row>
    <row r="49" spans="1:6">
      <c r="A49" s="1467"/>
      <c r="B49" s="319" t="s">
        <v>1521</v>
      </c>
      <c r="C49" s="315" t="s">
        <v>519</v>
      </c>
      <c r="D49" s="318">
        <v>353</v>
      </c>
      <c r="E49" s="1501">
        <f>[1]KRAJOBRAZ!E49</f>
        <v>2</v>
      </c>
      <c r="F49" s="1469">
        <f>D49*E49</f>
        <v>706</v>
      </c>
    </row>
    <row r="50" spans="1:6">
      <c r="A50" s="1467"/>
      <c r="B50" s="319"/>
      <c r="C50" s="315"/>
      <c r="D50" s="318"/>
      <c r="E50" s="1468"/>
      <c r="F50" s="1469"/>
    </row>
    <row r="51" spans="1:6">
      <c r="A51" s="1467">
        <v>3</v>
      </c>
      <c r="B51" s="317" t="s">
        <v>1524</v>
      </c>
      <c r="C51" s="315"/>
      <c r="D51" s="318"/>
      <c r="E51" s="1468"/>
      <c r="F51" s="1469"/>
    </row>
    <row r="52" spans="1:6">
      <c r="A52" s="1467"/>
      <c r="B52" s="317"/>
      <c r="C52" s="315"/>
      <c r="D52" s="318"/>
      <c r="E52" s="1468"/>
      <c r="F52" s="1469"/>
    </row>
    <row r="53" spans="1:6" ht="26.4">
      <c r="A53" s="1467"/>
      <c r="B53" s="321" t="s">
        <v>1525</v>
      </c>
      <c r="C53" s="315"/>
      <c r="D53" s="318"/>
      <c r="E53" s="1468"/>
      <c r="F53" s="1469"/>
    </row>
    <row r="54" spans="1:6" ht="39.6">
      <c r="A54" s="1467"/>
      <c r="B54" s="321" t="s">
        <v>1526</v>
      </c>
      <c r="C54" s="315"/>
      <c r="D54" s="318"/>
      <c r="E54" s="1468"/>
      <c r="F54" s="1469"/>
    </row>
    <row r="55" spans="1:6" ht="26.4">
      <c r="A55" s="1467"/>
      <c r="B55" s="321" t="s">
        <v>1520</v>
      </c>
      <c r="C55" s="315"/>
      <c r="D55" s="318"/>
      <c r="E55" s="1468"/>
      <c r="F55" s="1469"/>
    </row>
    <row r="56" spans="1:6">
      <c r="A56" s="1467"/>
      <c r="B56" s="1458"/>
      <c r="C56" s="315"/>
      <c r="D56" s="318"/>
      <c r="E56" s="1468"/>
      <c r="F56" s="1469"/>
    </row>
    <row r="57" spans="1:6">
      <c r="A57" s="1467"/>
      <c r="B57" s="320" t="s">
        <v>1527</v>
      </c>
      <c r="C57" s="322" t="s">
        <v>29</v>
      </c>
      <c r="D57" s="315">
        <v>2</v>
      </c>
      <c r="E57" s="1501">
        <f>[1]KRAJOBRAZ!E57</f>
        <v>200</v>
      </c>
      <c r="F57" s="1469">
        <f>D57*E57</f>
        <v>400</v>
      </c>
    </row>
    <row r="58" spans="1:6">
      <c r="A58" s="1467"/>
      <c r="B58" s="317"/>
      <c r="C58" s="315"/>
      <c r="D58" s="318"/>
      <c r="E58" s="1468"/>
      <c r="F58" s="1469"/>
    </row>
    <row r="59" spans="1:6">
      <c r="A59" s="314"/>
      <c r="B59" s="310"/>
      <c r="C59" s="314"/>
      <c r="D59" s="318"/>
      <c r="E59" s="1468"/>
      <c r="F59" s="1469"/>
    </row>
    <row r="60" spans="1:6">
      <c r="A60" s="323"/>
      <c r="B60" s="324" t="s">
        <v>1528</v>
      </c>
      <c r="C60" s="323"/>
      <c r="D60" s="325"/>
      <c r="E60" s="1470"/>
      <c r="F60" s="1471">
        <f>SUM(F26:F57)</f>
        <v>2106</v>
      </c>
    </row>
    <row r="61" spans="1:6">
      <c r="A61" s="1467"/>
      <c r="B61" s="310"/>
      <c r="C61" s="315"/>
      <c r="D61" s="318"/>
      <c r="E61" s="1468"/>
      <c r="F61" s="1469"/>
    </row>
    <row r="62" spans="1:6">
      <c r="A62" s="313"/>
      <c r="B62" s="314"/>
      <c r="C62" s="315"/>
      <c r="D62" s="318"/>
      <c r="E62" s="1465"/>
      <c r="F62" s="1466"/>
    </row>
    <row r="63" spans="1:6">
      <c r="A63" s="313"/>
      <c r="B63" s="314"/>
      <c r="C63" s="314"/>
      <c r="D63" s="318"/>
      <c r="E63" s="1465"/>
      <c r="F63" s="1466"/>
    </row>
    <row r="64" spans="1:6">
      <c r="A64" s="308" t="s">
        <v>1529</v>
      </c>
      <c r="B64" s="338" t="s">
        <v>427</v>
      </c>
      <c r="C64" s="309"/>
      <c r="D64" s="326"/>
      <c r="E64" s="1461"/>
      <c r="F64" s="1462"/>
    </row>
    <row r="65" spans="1:6">
      <c r="A65" s="316"/>
      <c r="B65" s="339"/>
      <c r="C65" s="315"/>
      <c r="D65" s="318"/>
      <c r="E65" s="1465"/>
      <c r="F65" s="1466"/>
    </row>
    <row r="66" spans="1:6">
      <c r="A66" s="313"/>
      <c r="B66" s="314"/>
      <c r="C66" s="314"/>
      <c r="D66" s="318"/>
      <c r="E66" s="1468"/>
      <c r="F66" s="1469"/>
    </row>
    <row r="67" spans="1:6">
      <c r="A67" s="1467">
        <v>1</v>
      </c>
      <c r="B67" s="317" t="s">
        <v>1530</v>
      </c>
      <c r="C67" s="314"/>
      <c r="D67" s="318"/>
      <c r="E67" s="1468"/>
      <c r="F67" s="1469"/>
    </row>
    <row r="68" spans="1:6" ht="79.2">
      <c r="A68" s="313"/>
      <c r="B68" s="319" t="s">
        <v>2137</v>
      </c>
      <c r="C68" s="314"/>
      <c r="D68" s="318"/>
      <c r="E68" s="1468"/>
      <c r="F68" s="1469"/>
    </row>
    <row r="69" spans="1:6" ht="39.6">
      <c r="A69" s="313"/>
      <c r="B69" s="321" t="s">
        <v>1531</v>
      </c>
      <c r="C69" s="314"/>
      <c r="D69" s="318"/>
      <c r="E69" s="1468"/>
      <c r="F69" s="1469"/>
    </row>
    <row r="70" spans="1:6">
      <c r="A70" s="313"/>
      <c r="B70" s="314"/>
      <c r="C70" s="314"/>
      <c r="D70" s="318"/>
      <c r="E70" s="1468"/>
      <c r="F70" s="1469"/>
    </row>
    <row r="71" spans="1:6">
      <c r="A71" s="313"/>
      <c r="B71" s="1472" t="s">
        <v>1532</v>
      </c>
      <c r="C71" s="315" t="s">
        <v>517</v>
      </c>
      <c r="D71" s="318">
        <v>25.7</v>
      </c>
      <c r="E71" s="1501">
        <f>[1]KRAJOBRAZ!E71</f>
        <v>100</v>
      </c>
      <c r="F71" s="1469">
        <f>D71*E71</f>
        <v>2570</v>
      </c>
    </row>
    <row r="72" spans="1:6">
      <c r="A72" s="313"/>
      <c r="B72" s="314"/>
      <c r="C72" s="314"/>
      <c r="D72" s="318"/>
      <c r="E72" s="1468"/>
      <c r="F72" s="1469"/>
    </row>
    <row r="73" spans="1:6" ht="26.4">
      <c r="A73" s="1467">
        <v>2</v>
      </c>
      <c r="B73" s="317" t="s">
        <v>1533</v>
      </c>
      <c r="C73" s="314"/>
      <c r="D73" s="318"/>
      <c r="E73" s="1468"/>
      <c r="F73" s="1469"/>
    </row>
    <row r="74" spans="1:6" ht="66">
      <c r="A74" s="313"/>
      <c r="B74" s="319" t="s">
        <v>2138</v>
      </c>
      <c r="C74" s="319"/>
      <c r="D74" s="318"/>
      <c r="E74" s="1468"/>
      <c r="F74" s="1469"/>
    </row>
    <row r="75" spans="1:6" ht="39.6">
      <c r="A75" s="313"/>
      <c r="B75" s="319" t="s">
        <v>1534</v>
      </c>
      <c r="C75" s="319"/>
      <c r="D75" s="318"/>
      <c r="E75" s="1468"/>
      <c r="F75" s="1469"/>
    </row>
    <row r="76" spans="1:6" ht="26.4">
      <c r="A76" s="313"/>
      <c r="B76" s="319" t="s">
        <v>1535</v>
      </c>
      <c r="C76" s="319"/>
      <c r="D76" s="318"/>
      <c r="E76" s="1468"/>
      <c r="F76" s="1469"/>
    </row>
    <row r="77" spans="1:6">
      <c r="A77" s="313"/>
      <c r="B77" s="319"/>
      <c r="C77" s="319"/>
      <c r="D77" s="318"/>
      <c r="E77" s="1468"/>
      <c r="F77" s="1469"/>
    </row>
    <row r="78" spans="1:6">
      <c r="A78" s="313"/>
      <c r="B78" s="327" t="s">
        <v>1536</v>
      </c>
      <c r="C78" s="319"/>
      <c r="D78" s="318"/>
      <c r="E78" s="1468"/>
      <c r="F78" s="1469"/>
    </row>
    <row r="79" spans="1:6">
      <c r="A79" s="313"/>
      <c r="B79" s="319" t="s">
        <v>1537</v>
      </c>
      <c r="C79" s="315" t="s">
        <v>517</v>
      </c>
      <c r="D79" s="318">
        <v>48.2</v>
      </c>
      <c r="E79" s="1501">
        <f>[1]KRAJOBRAZ!E79</f>
        <v>50</v>
      </c>
      <c r="F79" s="1469">
        <f>D79*E79</f>
        <v>2410</v>
      </c>
    </row>
    <row r="80" spans="1:6">
      <c r="A80" s="313"/>
      <c r="B80" s="319"/>
      <c r="C80" s="315"/>
      <c r="D80" s="318"/>
      <c r="E80" s="1468"/>
      <c r="F80" s="1469"/>
    </row>
    <row r="81" spans="1:6">
      <c r="A81" s="313"/>
      <c r="B81" s="314"/>
      <c r="C81" s="314"/>
      <c r="D81" s="318"/>
      <c r="E81" s="1468"/>
      <c r="F81" s="1469"/>
    </row>
    <row r="82" spans="1:6">
      <c r="A82" s="1467">
        <v>3</v>
      </c>
      <c r="B82" s="310" t="s">
        <v>1538</v>
      </c>
      <c r="C82" s="314"/>
      <c r="D82" s="318"/>
      <c r="E82" s="1468"/>
      <c r="F82" s="1469"/>
    </row>
    <row r="83" spans="1:6" ht="39.6">
      <c r="A83" s="313"/>
      <c r="B83" s="319" t="s">
        <v>1539</v>
      </c>
      <c r="C83" s="319"/>
      <c r="D83" s="318"/>
      <c r="E83" s="1468"/>
      <c r="F83" s="1469"/>
    </row>
    <row r="84" spans="1:6">
      <c r="A84" s="313"/>
      <c r="B84" s="319"/>
      <c r="C84" s="319"/>
      <c r="D84" s="318"/>
      <c r="E84" s="1468"/>
      <c r="F84" s="1469"/>
    </row>
    <row r="85" spans="1:6">
      <c r="A85" s="313"/>
      <c r="B85" s="327" t="s">
        <v>1536</v>
      </c>
      <c r="C85" s="315" t="s">
        <v>517</v>
      </c>
      <c r="D85" s="315">
        <v>16.7</v>
      </c>
      <c r="E85" s="1501">
        <f>[1]KRAJOBRAZ!E85</f>
        <v>50</v>
      </c>
      <c r="F85" s="1469">
        <f>D85*E85</f>
        <v>835</v>
      </c>
    </row>
    <row r="86" spans="1:6">
      <c r="A86" s="313"/>
      <c r="B86" s="327"/>
      <c r="C86" s="315"/>
      <c r="D86" s="315"/>
      <c r="E86" s="1468"/>
      <c r="F86" s="1469"/>
    </row>
    <row r="87" spans="1:6">
      <c r="A87" s="313"/>
      <c r="B87" s="314"/>
      <c r="C87" s="315"/>
      <c r="D87" s="318"/>
      <c r="E87" s="1468"/>
      <c r="F87" s="1469"/>
    </row>
    <row r="88" spans="1:6">
      <c r="A88" s="1467">
        <v>4</v>
      </c>
      <c r="B88" s="310" t="s">
        <v>1540</v>
      </c>
      <c r="C88" s="315"/>
      <c r="D88" s="318"/>
      <c r="E88" s="1468"/>
      <c r="F88" s="1469"/>
    </row>
    <row r="89" spans="1:6" ht="39.6">
      <c r="A89" s="313"/>
      <c r="B89" s="319" t="s">
        <v>1541</v>
      </c>
      <c r="C89" s="315"/>
      <c r="D89" s="318"/>
      <c r="E89" s="1468"/>
      <c r="F89" s="1469"/>
    </row>
    <row r="90" spans="1:6">
      <c r="A90" s="313"/>
      <c r="B90" s="327" t="s">
        <v>1542</v>
      </c>
      <c r="C90" s="315" t="s">
        <v>517</v>
      </c>
      <c r="D90" s="318">
        <v>64.900000000000006</v>
      </c>
      <c r="E90" s="1501">
        <f>[1]KRAJOBRAZ!E90</f>
        <v>20</v>
      </c>
      <c r="F90" s="1469">
        <f>D90*E90</f>
        <v>1298</v>
      </c>
    </row>
    <row r="91" spans="1:6" ht="26.4">
      <c r="A91" s="313"/>
      <c r="B91" s="319" t="s">
        <v>1543</v>
      </c>
      <c r="C91" s="315"/>
      <c r="D91" s="318"/>
      <c r="E91" s="1468"/>
      <c r="F91" s="1469"/>
    </row>
    <row r="92" spans="1:6">
      <c r="A92" s="313"/>
      <c r="B92" s="314"/>
      <c r="C92" s="315"/>
      <c r="D92" s="318"/>
      <c r="E92" s="1468"/>
      <c r="F92" s="1469"/>
    </row>
    <row r="93" spans="1:6">
      <c r="A93" s="1473"/>
      <c r="B93" s="324" t="s">
        <v>1544</v>
      </c>
      <c r="C93" s="323"/>
      <c r="D93" s="325"/>
      <c r="E93" s="1474"/>
      <c r="F93" s="1471">
        <f>SUM(F71:F90)</f>
        <v>7113</v>
      </c>
    </row>
    <row r="94" spans="1:6">
      <c r="A94" s="1475"/>
      <c r="B94" s="1476"/>
      <c r="C94" s="309"/>
      <c r="D94" s="326"/>
      <c r="E94" s="1477"/>
      <c r="F94" s="1478"/>
    </row>
    <row r="95" spans="1:6">
      <c r="A95" s="313"/>
      <c r="B95" s="314"/>
      <c r="C95" s="315"/>
      <c r="D95" s="318"/>
      <c r="E95" s="1465"/>
      <c r="F95" s="1466"/>
    </row>
    <row r="96" spans="1:6">
      <c r="A96" s="313"/>
      <c r="B96" s="314"/>
      <c r="C96" s="315"/>
      <c r="D96" s="318"/>
      <c r="E96" s="1465"/>
      <c r="F96" s="1466"/>
    </row>
    <row r="97" spans="1:6">
      <c r="A97" s="313"/>
      <c r="B97" s="314"/>
      <c r="C97" s="315"/>
      <c r="D97" s="318"/>
      <c r="E97" s="1465"/>
      <c r="F97" s="1466"/>
    </row>
    <row r="98" spans="1:6">
      <c r="A98" s="308" t="s">
        <v>1545</v>
      </c>
      <c r="B98" s="340" t="s">
        <v>1546</v>
      </c>
      <c r="C98" s="309"/>
      <c r="D98" s="326"/>
      <c r="E98" s="1461"/>
      <c r="F98" s="1462"/>
    </row>
    <row r="99" spans="1:6">
      <c r="A99" s="313"/>
      <c r="B99" s="314"/>
      <c r="C99" s="315"/>
      <c r="D99" s="318"/>
      <c r="E99" s="1465"/>
      <c r="F99" s="1466"/>
    </row>
    <row r="100" spans="1:6" s="330" customFormat="1">
      <c r="A100" s="1467">
        <v>1</v>
      </c>
      <c r="B100" s="317" t="s">
        <v>1547</v>
      </c>
      <c r="C100" s="328"/>
      <c r="D100" s="329"/>
      <c r="E100" s="1479"/>
      <c r="F100" s="1480"/>
    </row>
    <row r="101" spans="1:6" ht="132">
      <c r="A101" s="1467"/>
      <c r="B101" s="319" t="s">
        <v>2118</v>
      </c>
      <c r="C101" s="315"/>
      <c r="D101" s="318"/>
      <c r="E101" s="1465"/>
      <c r="F101" s="1466"/>
    </row>
    <row r="102" spans="1:6">
      <c r="A102" s="313"/>
      <c r="B102" s="1458"/>
      <c r="C102" s="315"/>
      <c r="D102" s="331"/>
      <c r="E102" s="1481"/>
      <c r="F102" s="1482"/>
    </row>
    <row r="103" spans="1:6">
      <c r="A103" s="332"/>
      <c r="B103" s="327" t="s">
        <v>2139</v>
      </c>
      <c r="C103" s="315" t="s">
        <v>519</v>
      </c>
      <c r="D103" s="318">
        <v>25.5</v>
      </c>
      <c r="E103" s="1501">
        <f>[1]KRAJOBRAZ!E103</f>
        <v>100</v>
      </c>
      <c r="F103" s="1469">
        <f>D103*E103</f>
        <v>2550</v>
      </c>
    </row>
    <row r="104" spans="1:6" ht="39.6">
      <c r="A104" s="313"/>
      <c r="B104" s="321" t="s">
        <v>1548</v>
      </c>
      <c r="C104" s="315"/>
      <c r="D104" s="318"/>
      <c r="E104" s="1465"/>
      <c r="F104" s="1466"/>
    </row>
    <row r="105" spans="1:6">
      <c r="A105" s="313"/>
      <c r="B105" s="319" t="s">
        <v>1549</v>
      </c>
      <c r="C105" s="315"/>
      <c r="D105" s="318"/>
      <c r="E105" s="1465"/>
      <c r="F105" s="1466"/>
    </row>
    <row r="106" spans="1:6" ht="26.4">
      <c r="A106" s="313"/>
      <c r="B106" s="319" t="s">
        <v>1535</v>
      </c>
      <c r="C106" s="315"/>
      <c r="D106" s="318"/>
      <c r="E106" s="1465"/>
      <c r="F106" s="1466"/>
    </row>
    <row r="107" spans="1:6">
      <c r="A107" s="313"/>
      <c r="B107" s="327" t="s">
        <v>1550</v>
      </c>
      <c r="C107" s="315" t="s">
        <v>530</v>
      </c>
      <c r="D107" s="318">
        <v>33.799999999999997</v>
      </c>
      <c r="E107" s="1501">
        <f>[1]KRAJOBRAZ!E107</f>
        <v>20</v>
      </c>
      <c r="F107" s="1469">
        <f>D107*E107</f>
        <v>676</v>
      </c>
    </row>
    <row r="108" spans="1:6">
      <c r="A108" s="313"/>
      <c r="B108" s="319"/>
      <c r="C108" s="315"/>
      <c r="D108" s="318"/>
      <c r="E108" s="1465"/>
      <c r="F108" s="1466"/>
    </row>
    <row r="109" spans="1:6">
      <c r="A109" s="313"/>
      <c r="B109" s="319"/>
      <c r="C109" s="315"/>
      <c r="D109" s="318"/>
      <c r="E109" s="1465"/>
      <c r="F109" s="1466"/>
    </row>
    <row r="110" spans="1:6">
      <c r="A110" s="313"/>
      <c r="B110" s="314"/>
      <c r="C110" s="315"/>
      <c r="D110" s="318"/>
      <c r="E110" s="1465"/>
      <c r="F110" s="1466"/>
    </row>
    <row r="111" spans="1:6">
      <c r="A111" s="1473"/>
      <c r="B111" s="324" t="s">
        <v>1551</v>
      </c>
      <c r="C111" s="323"/>
      <c r="D111" s="325"/>
      <c r="E111" s="1470"/>
      <c r="F111" s="1483">
        <f>SUM(F103:F107)</f>
        <v>3226</v>
      </c>
    </row>
    <row r="112" spans="1:6">
      <c r="A112" s="1475"/>
      <c r="B112" s="1476"/>
      <c r="C112" s="309"/>
      <c r="D112" s="326"/>
      <c r="E112" s="1461"/>
      <c r="F112" s="1462"/>
    </row>
    <row r="113" spans="1:6">
      <c r="A113" s="313"/>
      <c r="B113" s="314"/>
      <c r="C113" s="315"/>
      <c r="D113" s="318"/>
      <c r="E113" s="1465"/>
      <c r="F113" s="1466"/>
    </row>
    <row r="114" spans="1:6">
      <c r="A114" s="313"/>
      <c r="B114" s="314"/>
      <c r="C114" s="315"/>
      <c r="D114" s="318"/>
      <c r="E114" s="1465"/>
      <c r="F114" s="1466"/>
    </row>
    <row r="115" spans="1:6">
      <c r="A115" s="313"/>
      <c r="B115" s="314"/>
      <c r="C115" s="315"/>
      <c r="D115" s="318"/>
      <c r="E115" s="1465"/>
      <c r="F115" s="1466"/>
    </row>
    <row r="116" spans="1:6">
      <c r="A116" s="308" t="s">
        <v>1552</v>
      </c>
      <c r="B116" s="338" t="s">
        <v>1553</v>
      </c>
      <c r="C116" s="309"/>
      <c r="D116" s="326"/>
      <c r="E116" s="1461"/>
      <c r="F116" s="1462"/>
    </row>
    <row r="117" spans="1:6">
      <c r="A117" s="313"/>
      <c r="B117" s="314"/>
      <c r="C117" s="315"/>
      <c r="D117" s="318"/>
      <c r="E117" s="1465"/>
      <c r="F117" s="1466"/>
    </row>
    <row r="118" spans="1:6">
      <c r="A118" s="1467">
        <v>1</v>
      </c>
      <c r="B118" s="310" t="s">
        <v>1554</v>
      </c>
      <c r="C118" s="315"/>
      <c r="D118" s="318"/>
      <c r="E118" s="1465"/>
      <c r="F118" s="1466"/>
    </row>
    <row r="119" spans="1:6" ht="66">
      <c r="A119" s="313"/>
      <c r="B119" s="321" t="s">
        <v>1555</v>
      </c>
      <c r="C119" s="315"/>
      <c r="D119" s="318"/>
      <c r="E119" s="1465"/>
      <c r="F119" s="1466"/>
    </row>
    <row r="120" spans="1:6" ht="39.6">
      <c r="A120" s="313"/>
      <c r="B120" s="319" t="s">
        <v>2119</v>
      </c>
      <c r="C120" s="315"/>
      <c r="D120" s="318"/>
      <c r="E120" s="1465"/>
      <c r="F120" s="1466"/>
    </row>
    <row r="121" spans="1:6">
      <c r="A121" s="313"/>
      <c r="B121" s="319" t="s">
        <v>1556</v>
      </c>
      <c r="C121" s="315"/>
      <c r="D121" s="318"/>
      <c r="E121" s="1465"/>
      <c r="F121" s="1466"/>
    </row>
    <row r="122" spans="1:6">
      <c r="A122" s="313"/>
      <c r="B122" s="314"/>
      <c r="C122" s="315"/>
      <c r="D122" s="318"/>
      <c r="E122" s="1465"/>
      <c r="F122" s="1466"/>
    </row>
    <row r="123" spans="1:6">
      <c r="A123" s="313"/>
      <c r="B123" s="319" t="s">
        <v>1557</v>
      </c>
      <c r="C123" s="315" t="s">
        <v>29</v>
      </c>
      <c r="D123" s="318">
        <v>2</v>
      </c>
      <c r="E123" s="1502">
        <f>[1]KRAJOBRAZ!E123</f>
        <v>550</v>
      </c>
      <c r="F123" s="1466">
        <f>D123*E123</f>
        <v>1100</v>
      </c>
    </row>
    <row r="124" spans="1:6">
      <c r="A124" s="313"/>
      <c r="B124" s="319"/>
      <c r="C124" s="315"/>
      <c r="D124" s="318"/>
      <c r="E124" s="1465"/>
      <c r="F124" s="1466"/>
    </row>
    <row r="125" spans="1:6">
      <c r="A125" s="313"/>
      <c r="B125" s="319"/>
      <c r="C125" s="315"/>
      <c r="D125" s="318"/>
      <c r="E125" s="1465"/>
      <c r="F125" s="1466"/>
    </row>
    <row r="126" spans="1:6">
      <c r="A126" s="1467">
        <v>2</v>
      </c>
      <c r="B126" s="310" t="s">
        <v>1558</v>
      </c>
      <c r="C126" s="315"/>
      <c r="D126" s="318"/>
      <c r="E126" s="1465"/>
      <c r="F126" s="1466"/>
    </row>
    <row r="127" spans="1:6" ht="92.4">
      <c r="A127" s="1467"/>
      <c r="B127" s="321" t="s">
        <v>1559</v>
      </c>
      <c r="C127" s="315"/>
      <c r="D127" s="318"/>
      <c r="E127" s="1465"/>
      <c r="F127" s="1466"/>
    </row>
    <row r="128" spans="1:6" ht="39.6">
      <c r="A128" s="1467"/>
      <c r="B128" s="321" t="s">
        <v>2120</v>
      </c>
      <c r="C128" s="315"/>
      <c r="D128" s="318"/>
      <c r="E128" s="1465"/>
      <c r="F128" s="1466"/>
    </row>
    <row r="129" spans="1:6" ht="39.6">
      <c r="A129" s="1467"/>
      <c r="B129" s="858" t="s">
        <v>2119</v>
      </c>
      <c r="C129" s="315"/>
      <c r="D129" s="318"/>
      <c r="E129" s="1465"/>
      <c r="F129" s="1466"/>
    </row>
    <row r="130" spans="1:6">
      <c r="A130" s="313"/>
      <c r="B130" s="319" t="s">
        <v>1560</v>
      </c>
      <c r="C130" s="315"/>
      <c r="D130" s="318"/>
      <c r="E130" s="1465"/>
      <c r="F130" s="1466"/>
    </row>
    <row r="131" spans="1:6">
      <c r="A131" s="313"/>
      <c r="B131" s="314"/>
      <c r="C131" s="315"/>
      <c r="D131" s="318"/>
      <c r="E131" s="1465"/>
      <c r="F131" s="1466"/>
    </row>
    <row r="132" spans="1:6">
      <c r="A132" s="313"/>
      <c r="B132" s="319" t="s">
        <v>1561</v>
      </c>
      <c r="C132" s="315" t="s">
        <v>29</v>
      </c>
      <c r="D132" s="318">
        <v>1</v>
      </c>
      <c r="E132" s="1502">
        <f>[1]KRAJOBRAZ!E132</f>
        <v>1000</v>
      </c>
      <c r="F132" s="1466">
        <f>D132*E132</f>
        <v>1000</v>
      </c>
    </row>
    <row r="133" spans="1:6">
      <c r="A133" s="313"/>
      <c r="B133" s="319"/>
      <c r="C133" s="315"/>
      <c r="D133" s="318"/>
      <c r="E133" s="1465"/>
      <c r="F133" s="1466"/>
    </row>
    <row r="134" spans="1:6">
      <c r="A134" s="313">
        <v>3</v>
      </c>
      <c r="B134" s="317" t="s">
        <v>1562</v>
      </c>
      <c r="C134" s="315"/>
      <c r="D134" s="318"/>
      <c r="E134" s="1465"/>
      <c r="F134" s="1466"/>
    </row>
    <row r="135" spans="1:6" ht="231" customHeight="1">
      <c r="A135" s="313"/>
      <c r="B135" s="858" t="s">
        <v>2292</v>
      </c>
      <c r="C135" s="315"/>
      <c r="D135" s="318"/>
      <c r="E135" s="1465"/>
      <c r="F135" s="1466"/>
    </row>
    <row r="136" spans="1:6" ht="105.6">
      <c r="A136" s="313"/>
      <c r="B136" s="319" t="s">
        <v>2121</v>
      </c>
      <c r="C136" s="315"/>
      <c r="D136" s="318"/>
      <c r="E136" s="1465"/>
      <c r="F136" s="1466"/>
    </row>
    <row r="137" spans="1:6" ht="26.4">
      <c r="A137" s="313"/>
      <c r="B137" s="319" t="s">
        <v>1563</v>
      </c>
      <c r="C137" s="315"/>
      <c r="D137" s="318"/>
      <c r="E137" s="1465"/>
      <c r="F137" s="1466"/>
    </row>
    <row r="138" spans="1:6">
      <c r="A138" s="313"/>
      <c r="B138" s="319" t="s">
        <v>1564</v>
      </c>
      <c r="C138" s="315"/>
      <c r="D138" s="318"/>
      <c r="E138" s="1465"/>
      <c r="F138" s="1466"/>
    </row>
    <row r="139" spans="1:6">
      <c r="A139" s="313"/>
      <c r="B139" s="314"/>
      <c r="C139" s="315"/>
      <c r="D139" s="318"/>
      <c r="E139" s="1465"/>
      <c r="F139" s="1466"/>
    </row>
    <row r="140" spans="1:6" ht="26.4">
      <c r="A140" s="313"/>
      <c r="B140" s="319" t="s">
        <v>1565</v>
      </c>
      <c r="C140" s="315" t="s">
        <v>29</v>
      </c>
      <c r="D140" s="318">
        <v>1</v>
      </c>
      <c r="E140" s="1502">
        <f>[1]KRAJOBRAZ!E140</f>
        <v>1500</v>
      </c>
      <c r="F140" s="1466">
        <f>D140*E140</f>
        <v>1500</v>
      </c>
    </row>
    <row r="141" spans="1:6">
      <c r="A141" s="1467"/>
      <c r="B141" s="319"/>
      <c r="C141" s="315"/>
      <c r="D141" s="318"/>
      <c r="E141" s="1465"/>
      <c r="F141" s="1466"/>
    </row>
    <row r="142" spans="1:6">
      <c r="A142" s="313"/>
      <c r="B142" s="319"/>
      <c r="C142" s="315"/>
      <c r="D142" s="318"/>
      <c r="E142" s="1465"/>
      <c r="F142" s="1466"/>
    </row>
    <row r="143" spans="1:6">
      <c r="A143" s="313">
        <v>4</v>
      </c>
      <c r="B143" s="317" t="s">
        <v>1566</v>
      </c>
      <c r="C143" s="315"/>
      <c r="D143" s="318"/>
      <c r="E143" s="1465"/>
      <c r="F143" s="1466"/>
    </row>
    <row r="144" spans="1:6" ht="171.75" customHeight="1">
      <c r="A144" s="313"/>
      <c r="B144" s="494" t="s">
        <v>2122</v>
      </c>
      <c r="C144" s="315"/>
      <c r="D144" s="318"/>
      <c r="E144" s="1465"/>
      <c r="F144" s="1466"/>
    </row>
    <row r="145" spans="1:6" ht="66">
      <c r="A145" s="313"/>
      <c r="B145" s="319" t="s">
        <v>2123</v>
      </c>
      <c r="C145" s="315"/>
      <c r="D145" s="318"/>
      <c r="E145" s="1465"/>
      <c r="F145" s="1466"/>
    </row>
    <row r="146" spans="1:6">
      <c r="A146" s="313"/>
      <c r="B146" s="319" t="s">
        <v>1567</v>
      </c>
      <c r="C146" s="315"/>
      <c r="D146" s="318"/>
      <c r="E146" s="1465"/>
      <c r="F146" s="1466"/>
    </row>
    <row r="147" spans="1:6">
      <c r="A147" s="1467"/>
      <c r="B147" s="319"/>
      <c r="C147" s="315"/>
      <c r="D147" s="318"/>
      <c r="E147" s="1465"/>
      <c r="F147" s="1466"/>
    </row>
    <row r="148" spans="1:6" ht="26.4">
      <c r="A148" s="313"/>
      <c r="B148" s="319" t="s">
        <v>1568</v>
      </c>
      <c r="C148" s="315" t="s">
        <v>29</v>
      </c>
      <c r="D148" s="318">
        <v>2</v>
      </c>
      <c r="E148" s="1502">
        <f>[1]KRAJOBRAZ!E148</f>
        <v>500</v>
      </c>
      <c r="F148" s="1466">
        <f>D148*E148</f>
        <v>1000</v>
      </c>
    </row>
    <row r="149" spans="1:6">
      <c r="A149" s="1467"/>
      <c r="B149" s="319"/>
      <c r="C149" s="315"/>
      <c r="D149" s="318"/>
      <c r="E149" s="1465"/>
      <c r="F149" s="1466"/>
    </row>
    <row r="150" spans="1:6" s="330" customFormat="1">
      <c r="A150" s="313">
        <v>6</v>
      </c>
      <c r="B150" s="317" t="s">
        <v>1569</v>
      </c>
      <c r="C150" s="328"/>
      <c r="D150" s="329"/>
      <c r="E150" s="1479"/>
      <c r="F150" s="1480"/>
    </row>
    <row r="151" spans="1:6" ht="145.19999999999999">
      <c r="A151" s="313"/>
      <c r="B151" s="321" t="s">
        <v>2124</v>
      </c>
      <c r="C151" s="315"/>
      <c r="D151" s="318"/>
      <c r="E151" s="1465"/>
      <c r="F151" s="1466"/>
    </row>
    <row r="152" spans="1:6" ht="66">
      <c r="A152" s="313"/>
      <c r="B152" s="321" t="s">
        <v>2125</v>
      </c>
      <c r="C152" s="315"/>
      <c r="D152" s="318"/>
      <c r="E152" s="1465"/>
      <c r="F152" s="1466"/>
    </row>
    <row r="153" spans="1:6" ht="92.4">
      <c r="A153" s="313"/>
      <c r="B153" s="321" t="s">
        <v>2126</v>
      </c>
      <c r="C153" s="315"/>
      <c r="D153" s="318"/>
      <c r="E153" s="1465"/>
      <c r="F153" s="1466"/>
    </row>
    <row r="154" spans="1:6" ht="79.2">
      <c r="A154" s="313"/>
      <c r="B154" s="321" t="s">
        <v>1570</v>
      </c>
      <c r="C154" s="315"/>
      <c r="D154" s="318"/>
      <c r="E154" s="1465"/>
      <c r="F154" s="1466"/>
    </row>
    <row r="155" spans="1:6">
      <c r="A155" s="313"/>
      <c r="B155" s="319" t="s">
        <v>1571</v>
      </c>
      <c r="C155" s="315"/>
      <c r="D155" s="318"/>
      <c r="E155" s="1465"/>
      <c r="F155" s="1466"/>
    </row>
    <row r="156" spans="1:6">
      <c r="A156" s="313"/>
      <c r="B156" s="314"/>
      <c r="C156" s="315"/>
      <c r="D156" s="318"/>
      <c r="E156" s="1465"/>
      <c r="F156" s="1466"/>
    </row>
    <row r="157" spans="1:6" ht="26.4">
      <c r="A157" s="313"/>
      <c r="B157" s="319" t="s">
        <v>1572</v>
      </c>
      <c r="C157" s="315" t="s">
        <v>29</v>
      </c>
      <c r="D157" s="318">
        <v>4</v>
      </c>
      <c r="E157" s="1502">
        <f>[1]KRAJOBRAZ!E157</f>
        <v>800</v>
      </c>
      <c r="F157" s="1466">
        <f t="shared" ref="F157" si="0">D157*E157</f>
        <v>3200</v>
      </c>
    </row>
    <row r="158" spans="1:6">
      <c r="A158" s="1467"/>
      <c r="B158" s="319"/>
      <c r="C158" s="315"/>
      <c r="D158" s="318"/>
      <c r="E158" s="1465"/>
      <c r="F158" s="1466"/>
    </row>
    <row r="159" spans="1:6">
      <c r="A159" s="313">
        <v>7</v>
      </c>
      <c r="B159" s="310" t="s">
        <v>1573</v>
      </c>
      <c r="C159" s="315"/>
      <c r="D159" s="318"/>
      <c r="E159" s="1465"/>
      <c r="F159" s="1466"/>
    </row>
    <row r="160" spans="1:6" ht="171.6">
      <c r="A160" s="313"/>
      <c r="B160" s="319" t="s">
        <v>2127</v>
      </c>
      <c r="C160" s="315"/>
      <c r="D160" s="318"/>
      <c r="E160" s="1465"/>
      <c r="F160" s="1466"/>
    </row>
    <row r="161" spans="1:6" ht="26.4">
      <c r="A161" s="313"/>
      <c r="B161" s="319" t="s">
        <v>2128</v>
      </c>
      <c r="C161" s="315"/>
      <c r="D161" s="318"/>
      <c r="E161" s="1465"/>
      <c r="F161" s="1466"/>
    </row>
    <row r="162" spans="1:6" ht="26.4">
      <c r="A162" s="313"/>
      <c r="B162" s="319" t="s">
        <v>1574</v>
      </c>
      <c r="C162" s="315"/>
      <c r="D162" s="318"/>
      <c r="E162" s="1465"/>
      <c r="F162" s="1466"/>
    </row>
    <row r="163" spans="1:6">
      <c r="A163" s="313"/>
      <c r="B163" s="319" t="s">
        <v>1575</v>
      </c>
      <c r="C163" s="315"/>
      <c r="D163" s="318"/>
      <c r="E163" s="1465"/>
      <c r="F163" s="1466"/>
    </row>
    <row r="164" spans="1:6">
      <c r="A164" s="313"/>
      <c r="B164" s="1458"/>
      <c r="C164" s="315"/>
      <c r="D164" s="318"/>
      <c r="E164" s="1465"/>
      <c r="F164" s="1466"/>
    </row>
    <row r="165" spans="1:6" ht="26.4">
      <c r="A165" s="1467"/>
      <c r="B165" s="319" t="s">
        <v>1576</v>
      </c>
      <c r="C165" s="315" t="s">
        <v>29</v>
      </c>
      <c r="D165" s="318">
        <v>3</v>
      </c>
      <c r="E165" s="1502">
        <f>[1]KRAJOBRAZ!E165</f>
        <v>400</v>
      </c>
      <c r="F165" s="1466">
        <f t="shared" ref="F165" si="1">D165*E165</f>
        <v>1200</v>
      </c>
    </row>
    <row r="166" spans="1:6">
      <c r="A166" s="313"/>
      <c r="B166" s="319"/>
      <c r="C166" s="315"/>
      <c r="D166" s="318"/>
      <c r="E166" s="1465"/>
      <c r="F166" s="1466"/>
    </row>
    <row r="167" spans="1:6">
      <c r="A167" s="313"/>
      <c r="B167" s="310"/>
      <c r="C167" s="315"/>
      <c r="D167" s="318"/>
      <c r="E167" s="1465"/>
      <c r="F167" s="1466"/>
    </row>
    <row r="168" spans="1:6">
      <c r="A168" s="313">
        <v>8</v>
      </c>
      <c r="B168" s="317" t="s">
        <v>1577</v>
      </c>
      <c r="C168" s="315"/>
      <c r="D168" s="318"/>
      <c r="E168" s="1465"/>
      <c r="F168" s="1466"/>
    </row>
    <row r="169" spans="1:6" ht="105.6">
      <c r="A169" s="313"/>
      <c r="B169" s="319" t="s">
        <v>2129</v>
      </c>
      <c r="C169" s="315"/>
      <c r="D169" s="318"/>
      <c r="E169" s="1465"/>
      <c r="F169" s="1466"/>
    </row>
    <row r="170" spans="1:6">
      <c r="A170" s="313"/>
      <c r="B170" s="319" t="s">
        <v>1578</v>
      </c>
      <c r="C170" s="315"/>
      <c r="D170" s="318"/>
      <c r="E170" s="1465"/>
      <c r="F170" s="1466"/>
    </row>
    <row r="171" spans="1:6">
      <c r="A171" s="313"/>
      <c r="B171" s="314"/>
      <c r="C171" s="315"/>
      <c r="D171" s="318"/>
      <c r="E171" s="1465"/>
      <c r="F171" s="1466"/>
    </row>
    <row r="172" spans="1:6">
      <c r="A172" s="313"/>
      <c r="B172" s="319" t="s">
        <v>1579</v>
      </c>
      <c r="C172" s="315" t="s">
        <v>29</v>
      </c>
      <c r="D172" s="318">
        <v>22</v>
      </c>
      <c r="E172" s="1502">
        <f>[1]KRAJOBRAZ!E172</f>
        <v>200</v>
      </c>
      <c r="F172" s="1466">
        <f t="shared" ref="F172" si="2">D172*E172</f>
        <v>4400</v>
      </c>
    </row>
    <row r="173" spans="1:6">
      <c r="A173" s="313"/>
      <c r="B173" s="319"/>
      <c r="C173" s="315"/>
      <c r="D173" s="318"/>
      <c r="E173" s="1465"/>
      <c r="F173" s="1466"/>
    </row>
    <row r="174" spans="1:6">
      <c r="A174" s="313"/>
      <c r="B174" s="319"/>
      <c r="C174" s="315"/>
      <c r="D174" s="318"/>
      <c r="E174" s="1465"/>
      <c r="F174" s="1466"/>
    </row>
    <row r="175" spans="1:6">
      <c r="A175" s="313">
        <v>9</v>
      </c>
      <c r="B175" s="317" t="s">
        <v>1580</v>
      </c>
      <c r="C175" s="315"/>
      <c r="D175" s="318"/>
      <c r="E175" s="1465"/>
      <c r="F175" s="1466"/>
    </row>
    <row r="176" spans="1:6" ht="79.2">
      <c r="A176" s="313"/>
      <c r="B176" s="319" t="s">
        <v>1581</v>
      </c>
      <c r="C176" s="315"/>
      <c r="D176" s="318"/>
      <c r="E176" s="1465"/>
      <c r="F176" s="1466"/>
    </row>
    <row r="177" spans="1:6" ht="66">
      <c r="A177" s="313"/>
      <c r="B177" s="858" t="s">
        <v>2130</v>
      </c>
      <c r="C177" s="315"/>
      <c r="D177" s="318"/>
      <c r="E177" s="1465"/>
      <c r="F177" s="1466"/>
    </row>
    <row r="178" spans="1:6">
      <c r="B178" s="319" t="s">
        <v>1582</v>
      </c>
    </row>
    <row r="179" spans="1:6">
      <c r="A179" s="313"/>
      <c r="B179" s="310"/>
      <c r="C179" s="315"/>
      <c r="D179" s="318"/>
      <c r="E179" s="1465"/>
      <c r="F179" s="1466"/>
    </row>
    <row r="180" spans="1:6">
      <c r="A180" s="313"/>
      <c r="B180" s="319" t="s">
        <v>1583</v>
      </c>
      <c r="C180" s="315" t="s">
        <v>29</v>
      </c>
      <c r="D180" s="318">
        <v>1</v>
      </c>
      <c r="E180" s="1502">
        <f>[1]KRAJOBRAZ!E180</f>
        <v>1000</v>
      </c>
      <c r="F180" s="1466">
        <f t="shared" ref="F180" si="3">D180*E180</f>
        <v>1000</v>
      </c>
    </row>
    <row r="181" spans="1:6">
      <c r="A181" s="313"/>
      <c r="B181" s="319"/>
      <c r="C181" s="315"/>
      <c r="D181" s="318"/>
      <c r="E181" s="1465"/>
      <c r="F181" s="1466"/>
    </row>
    <row r="182" spans="1:6">
      <c r="A182" s="313">
        <v>10</v>
      </c>
      <c r="B182" s="310" t="s">
        <v>1584</v>
      </c>
      <c r="C182" s="315"/>
      <c r="D182" s="318"/>
      <c r="E182" s="1465"/>
      <c r="F182" s="1466"/>
    </row>
    <row r="183" spans="1:6" ht="52.8">
      <c r="A183" s="313"/>
      <c r="B183" s="319" t="s">
        <v>1585</v>
      </c>
      <c r="C183" s="315"/>
      <c r="D183" s="318"/>
      <c r="E183" s="1465"/>
      <c r="F183" s="1466"/>
    </row>
    <row r="184" spans="1:6" ht="39.6">
      <c r="A184" s="1484"/>
      <c r="B184" s="319" t="s">
        <v>1586</v>
      </c>
      <c r="C184" s="315"/>
      <c r="D184" s="318"/>
      <c r="E184" s="1465"/>
      <c r="F184" s="1466"/>
    </row>
    <row r="185" spans="1:6" ht="26.4">
      <c r="A185" s="1484"/>
      <c r="B185" s="319" t="s">
        <v>1587</v>
      </c>
      <c r="C185" s="315"/>
      <c r="D185" s="318"/>
      <c r="E185" s="1465"/>
      <c r="F185" s="1466"/>
    </row>
    <row r="186" spans="1:6">
      <c r="A186" s="1484"/>
      <c r="B186" s="319"/>
      <c r="C186" s="315"/>
      <c r="D186" s="318"/>
      <c r="E186" s="1465"/>
      <c r="F186" s="1466"/>
    </row>
    <row r="187" spans="1:6" ht="66">
      <c r="A187" s="1484"/>
      <c r="B187" s="321" t="s">
        <v>1588</v>
      </c>
      <c r="C187" s="315"/>
      <c r="D187" s="318"/>
      <c r="E187" s="1465"/>
      <c r="F187" s="1466"/>
    </row>
    <row r="188" spans="1:6" ht="39.6">
      <c r="A188" s="1484"/>
      <c r="B188" s="319" t="s">
        <v>2119</v>
      </c>
      <c r="C188" s="315"/>
      <c r="D188" s="318"/>
      <c r="E188" s="1465"/>
      <c r="F188" s="1466"/>
    </row>
    <row r="189" spans="1:6">
      <c r="A189" s="1484"/>
      <c r="B189" s="319" t="s">
        <v>1589</v>
      </c>
      <c r="C189" s="315"/>
      <c r="D189" s="318"/>
      <c r="E189" s="1465"/>
      <c r="F189" s="1466"/>
    </row>
    <row r="190" spans="1:6">
      <c r="A190" s="1484"/>
      <c r="B190" s="319"/>
      <c r="C190" s="315"/>
      <c r="D190" s="318"/>
      <c r="E190" s="1465"/>
      <c r="F190" s="1466"/>
    </row>
    <row r="191" spans="1:6">
      <c r="A191" s="1484"/>
      <c r="B191" s="319" t="s">
        <v>1583</v>
      </c>
      <c r="C191" s="315" t="s">
        <v>29</v>
      </c>
      <c r="D191" s="318">
        <v>3</v>
      </c>
      <c r="E191" s="1502">
        <f>[1]KRAJOBRAZ!E191</f>
        <v>2850</v>
      </c>
      <c r="F191" s="1466">
        <f t="shared" ref="F191" si="4">D191*E191</f>
        <v>8550</v>
      </c>
    </row>
    <row r="192" spans="1:6">
      <c r="A192" s="1484"/>
      <c r="B192" s="319"/>
      <c r="C192" s="315"/>
      <c r="D192" s="318"/>
      <c r="E192" s="1465"/>
      <c r="F192" s="1466"/>
    </row>
    <row r="193" spans="1:6" ht="66">
      <c r="A193" s="1484"/>
      <c r="B193" s="321" t="s">
        <v>1590</v>
      </c>
      <c r="C193" s="315"/>
      <c r="D193" s="318"/>
      <c r="E193" s="1465"/>
      <c r="F193" s="1466"/>
    </row>
    <row r="194" spans="1:6" ht="52.8">
      <c r="A194" s="1484"/>
      <c r="B194" s="319" t="s">
        <v>2131</v>
      </c>
      <c r="C194" s="315"/>
      <c r="D194" s="318"/>
      <c r="E194" s="1465"/>
      <c r="F194" s="1466"/>
    </row>
    <row r="195" spans="1:6">
      <c r="A195" s="1484"/>
      <c r="B195" s="319" t="s">
        <v>1591</v>
      </c>
      <c r="C195" s="315"/>
      <c r="D195" s="318"/>
      <c r="E195" s="1465"/>
      <c r="F195" s="1466"/>
    </row>
    <row r="196" spans="1:6">
      <c r="A196" s="1484"/>
      <c r="B196" s="319"/>
      <c r="C196" s="315"/>
      <c r="D196" s="318"/>
      <c r="E196" s="1465"/>
      <c r="F196" s="1466"/>
    </row>
    <row r="197" spans="1:6">
      <c r="A197" s="1484"/>
      <c r="B197" s="319" t="s">
        <v>1592</v>
      </c>
      <c r="C197" s="315" t="s">
        <v>29</v>
      </c>
      <c r="D197" s="318">
        <v>10</v>
      </c>
      <c r="E197" s="1502">
        <f>[1]KRAJOBRAZ!E197</f>
        <v>100</v>
      </c>
      <c r="F197" s="1466">
        <f>D197*E197</f>
        <v>1000</v>
      </c>
    </row>
    <row r="198" spans="1:6">
      <c r="A198" s="1484"/>
      <c r="B198" s="319"/>
      <c r="C198" s="315"/>
      <c r="D198" s="318"/>
      <c r="E198" s="1465"/>
      <c r="F198" s="1466"/>
    </row>
    <row r="199" spans="1:6" s="330" customFormat="1">
      <c r="A199" s="313">
        <v>11</v>
      </c>
      <c r="B199" s="317" t="s">
        <v>1593</v>
      </c>
      <c r="C199" s="328"/>
      <c r="D199" s="329"/>
      <c r="E199" s="1479"/>
      <c r="F199" s="1480"/>
    </row>
    <row r="200" spans="1:6" ht="184.8">
      <c r="A200" s="1484"/>
      <c r="B200" s="321" t="s">
        <v>2132</v>
      </c>
      <c r="C200" s="315"/>
      <c r="D200" s="318"/>
      <c r="E200" s="1465"/>
      <c r="F200" s="1466"/>
    </row>
    <row r="201" spans="1:6">
      <c r="A201" s="1484"/>
      <c r="B201" s="319" t="s">
        <v>1594</v>
      </c>
      <c r="C201" s="315"/>
      <c r="D201" s="318"/>
      <c r="E201" s="1465"/>
      <c r="F201" s="1466"/>
    </row>
    <row r="202" spans="1:6">
      <c r="A202" s="1484"/>
      <c r="B202" s="319"/>
      <c r="C202" s="315"/>
      <c r="D202" s="318"/>
      <c r="E202" s="1465"/>
      <c r="F202" s="1466"/>
    </row>
    <row r="203" spans="1:6">
      <c r="A203" s="1484"/>
      <c r="B203" s="319" t="s">
        <v>1595</v>
      </c>
      <c r="C203" s="315" t="s">
        <v>29</v>
      </c>
      <c r="D203" s="318">
        <v>1</v>
      </c>
      <c r="E203" s="1502">
        <f>[1]KRAJOBRAZ!E203</f>
        <v>1900</v>
      </c>
      <c r="F203" s="1466">
        <f>D203*E203</f>
        <v>1900</v>
      </c>
    </row>
    <row r="204" spans="1:6">
      <c r="A204" s="1484"/>
      <c r="B204" s="319"/>
      <c r="C204" s="315"/>
      <c r="D204" s="318"/>
      <c r="E204" s="1465"/>
      <c r="F204" s="1466"/>
    </row>
    <row r="205" spans="1:6" ht="153.75" customHeight="1">
      <c r="A205" s="1484"/>
      <c r="B205" s="494" t="s">
        <v>2133</v>
      </c>
      <c r="C205" s="315"/>
      <c r="D205" s="318"/>
      <c r="E205" s="1465"/>
      <c r="F205" s="1466"/>
    </row>
    <row r="206" spans="1:6">
      <c r="A206" s="1484"/>
      <c r="B206" s="319" t="s">
        <v>1596</v>
      </c>
      <c r="C206" s="315"/>
      <c r="D206" s="318"/>
      <c r="E206" s="1465"/>
      <c r="F206" s="1466"/>
    </row>
    <row r="207" spans="1:6">
      <c r="A207" s="1484"/>
      <c r="B207" s="319"/>
      <c r="C207" s="315"/>
      <c r="D207" s="318"/>
      <c r="E207" s="1465"/>
      <c r="F207" s="1466"/>
    </row>
    <row r="208" spans="1:6">
      <c r="A208" s="1484"/>
      <c r="B208" s="319" t="s">
        <v>1583</v>
      </c>
      <c r="C208" s="315" t="s">
        <v>29</v>
      </c>
      <c r="D208" s="318">
        <v>2</v>
      </c>
      <c r="E208" s="1502">
        <f>[1]KRAJOBRAZ!E208</f>
        <v>1950</v>
      </c>
      <c r="F208" s="1466">
        <f>D208*E208</f>
        <v>3900</v>
      </c>
    </row>
    <row r="209" spans="1:6">
      <c r="A209" s="1484"/>
      <c r="B209" s="314"/>
      <c r="C209" s="315"/>
      <c r="D209" s="315"/>
      <c r="E209" s="1465"/>
    </row>
    <row r="210" spans="1:6">
      <c r="A210" s="1485"/>
      <c r="B210" s="314"/>
      <c r="C210" s="309"/>
      <c r="D210" s="309"/>
      <c r="E210" s="1461"/>
      <c r="F210" s="1462"/>
    </row>
    <row r="211" spans="1:6">
      <c r="A211" s="1484"/>
      <c r="B211" s="324" t="s">
        <v>1597</v>
      </c>
      <c r="C211" s="315"/>
      <c r="D211" s="315"/>
      <c r="E211" s="1465"/>
      <c r="F211" s="1466">
        <f>SUM(F123:F208)</f>
        <v>29750</v>
      </c>
    </row>
    <row r="212" spans="1:6">
      <c r="A212" s="1475"/>
      <c r="B212" s="1476"/>
      <c r="C212" s="309"/>
      <c r="D212" s="326"/>
      <c r="E212" s="1477"/>
      <c r="F212" s="1478"/>
    </row>
    <row r="213" spans="1:6">
      <c r="A213" s="308" t="s">
        <v>1598</v>
      </c>
      <c r="B213" s="338" t="s">
        <v>1599</v>
      </c>
      <c r="C213" s="309"/>
      <c r="D213" s="326"/>
      <c r="E213" s="1461"/>
      <c r="F213" s="1462"/>
    </row>
    <row r="214" spans="1:6">
      <c r="A214" s="1484"/>
      <c r="B214" s="314"/>
      <c r="C214" s="315"/>
      <c r="D214" s="315"/>
      <c r="E214" s="1465"/>
      <c r="F214" s="1466"/>
    </row>
    <row r="215" spans="1:6">
      <c r="A215" s="1484"/>
      <c r="B215" s="319" t="s">
        <v>1600</v>
      </c>
      <c r="C215" s="315"/>
      <c r="D215" s="315"/>
      <c r="E215" s="1465"/>
      <c r="F215" s="1466"/>
    </row>
    <row r="216" spans="1:6">
      <c r="A216" s="1484"/>
      <c r="B216" s="319"/>
      <c r="C216" s="315"/>
      <c r="D216" s="315"/>
      <c r="E216" s="1465"/>
      <c r="F216" s="1466"/>
    </row>
    <row r="217" spans="1:6" ht="58.5" customHeight="1">
      <c r="A217" s="1484"/>
      <c r="B217" s="858" t="s">
        <v>2134</v>
      </c>
      <c r="C217" s="315"/>
      <c r="D217" s="315"/>
      <c r="E217" s="1465"/>
      <c r="F217" s="1466"/>
    </row>
    <row r="218" spans="1:6" ht="26.4">
      <c r="A218" s="1484"/>
      <c r="B218" s="319" t="s">
        <v>1601</v>
      </c>
      <c r="C218" s="315"/>
      <c r="D218" s="315"/>
      <c r="E218" s="1465"/>
      <c r="F218" s="1466"/>
    </row>
    <row r="219" spans="1:6">
      <c r="A219" s="1484"/>
      <c r="B219" s="314"/>
      <c r="C219" s="315"/>
      <c r="D219" s="315"/>
      <c r="E219" s="1465"/>
      <c r="F219" s="1466"/>
    </row>
    <row r="220" spans="1:6">
      <c r="A220" s="1484"/>
      <c r="B220" s="319" t="s">
        <v>1602</v>
      </c>
      <c r="C220" s="315"/>
      <c r="D220" s="315"/>
      <c r="E220" s="1465"/>
      <c r="F220" s="1466"/>
    </row>
    <row r="221" spans="1:6" ht="66">
      <c r="A221" s="1484"/>
      <c r="B221" s="319" t="s">
        <v>1603</v>
      </c>
      <c r="C221" s="315"/>
      <c r="D221" s="315"/>
      <c r="E221" s="1465"/>
      <c r="F221" s="1466"/>
    </row>
    <row r="222" spans="1:6" ht="26.4">
      <c r="A222" s="1484"/>
      <c r="B222" s="319" t="s">
        <v>1604</v>
      </c>
      <c r="C222" s="315"/>
      <c r="D222" s="315"/>
      <c r="E222" s="1465"/>
      <c r="F222" s="1466"/>
    </row>
    <row r="223" spans="1:6">
      <c r="A223" s="1484"/>
      <c r="C223" s="315"/>
      <c r="D223" s="315"/>
      <c r="E223" s="1465"/>
      <c r="F223" s="1466"/>
    </row>
    <row r="224" spans="1:6">
      <c r="A224" s="1484"/>
      <c r="B224" s="320" t="s">
        <v>2140</v>
      </c>
      <c r="C224" s="315" t="s">
        <v>29</v>
      </c>
      <c r="D224" s="318">
        <v>1</v>
      </c>
      <c r="E224" s="1502">
        <f>[1]KRAJOBRAZ!E224</f>
        <v>200</v>
      </c>
      <c r="F224" s="1466">
        <f>D224*E224</f>
        <v>200</v>
      </c>
    </row>
    <row r="225" spans="1:6">
      <c r="A225" s="1484"/>
      <c r="B225" s="320" t="s">
        <v>2141</v>
      </c>
      <c r="C225" s="315" t="s">
        <v>29</v>
      </c>
      <c r="D225" s="318">
        <v>3</v>
      </c>
      <c r="E225" s="1502">
        <f>[1]KRAJOBRAZ!E225</f>
        <v>200</v>
      </c>
      <c r="F225" s="1466">
        <f t="shared" ref="F225:F227" si="5">D225*E225</f>
        <v>600</v>
      </c>
    </row>
    <row r="226" spans="1:6">
      <c r="A226" s="1484"/>
      <c r="B226" s="320" t="s">
        <v>2142</v>
      </c>
      <c r="C226" s="315" t="s">
        <v>29</v>
      </c>
      <c r="D226" s="318">
        <v>1</v>
      </c>
      <c r="E226" s="1502">
        <f>[1]KRAJOBRAZ!E226</f>
        <v>200</v>
      </c>
      <c r="F226" s="1466">
        <f t="shared" si="5"/>
        <v>200</v>
      </c>
    </row>
    <row r="227" spans="1:6">
      <c r="A227" s="1484"/>
      <c r="B227" s="320" t="s">
        <v>2143</v>
      </c>
      <c r="C227" s="315" t="s">
        <v>29</v>
      </c>
      <c r="D227" s="318">
        <v>2</v>
      </c>
      <c r="E227" s="1502">
        <f>[1]KRAJOBRAZ!E227</f>
        <v>200</v>
      </c>
      <c r="F227" s="1466">
        <f t="shared" si="5"/>
        <v>400</v>
      </c>
    </row>
    <row r="228" spans="1:6">
      <c r="A228" s="1484"/>
      <c r="C228" s="315"/>
      <c r="D228" s="315"/>
      <c r="E228" s="1465"/>
      <c r="F228" s="1466"/>
    </row>
    <row r="229" spans="1:6">
      <c r="A229" s="1484"/>
      <c r="B229" s="319" t="s">
        <v>1605</v>
      </c>
      <c r="C229" s="315"/>
      <c r="D229" s="315"/>
      <c r="E229" s="1465"/>
      <c r="F229" s="1466"/>
    </row>
    <row r="230" spans="1:6">
      <c r="A230" s="1484"/>
      <c r="B230" s="319"/>
      <c r="C230" s="315"/>
      <c r="D230" s="315"/>
      <c r="E230" s="1465"/>
      <c r="F230" s="1466"/>
    </row>
    <row r="231" spans="1:6" ht="52.8">
      <c r="A231" s="1484"/>
      <c r="B231" s="319" t="s">
        <v>1606</v>
      </c>
      <c r="C231" s="315"/>
      <c r="D231" s="315"/>
      <c r="E231" s="1465"/>
      <c r="F231" s="1466"/>
    </row>
    <row r="232" spans="1:6">
      <c r="A232" s="1484"/>
      <c r="B232" s="319"/>
      <c r="C232" s="315"/>
      <c r="D232" s="315"/>
      <c r="E232" s="1465"/>
      <c r="F232" s="1466"/>
    </row>
    <row r="233" spans="1:6">
      <c r="A233" s="1484"/>
      <c r="B233" s="319" t="s">
        <v>2144</v>
      </c>
      <c r="C233" s="315" t="s">
        <v>29</v>
      </c>
      <c r="D233" s="318">
        <v>13</v>
      </c>
      <c r="E233" s="1502">
        <f>[1]KRAJOBRAZ!E233</f>
        <v>50</v>
      </c>
      <c r="F233" s="1466">
        <f t="shared" ref="F233:F238" si="6">D233*E233</f>
        <v>650</v>
      </c>
    </row>
    <row r="234" spans="1:6">
      <c r="A234" s="1484"/>
      <c r="B234" s="319" t="s">
        <v>2145</v>
      </c>
      <c r="C234" s="315" t="s">
        <v>29</v>
      </c>
      <c r="D234" s="318">
        <v>10</v>
      </c>
      <c r="E234" s="1502">
        <f>[1]KRAJOBRAZ!E234</f>
        <v>50</v>
      </c>
      <c r="F234" s="1466">
        <f t="shared" si="6"/>
        <v>500</v>
      </c>
    </row>
    <row r="235" spans="1:6">
      <c r="A235" s="1484"/>
      <c r="B235" s="319" t="s">
        <v>2146</v>
      </c>
      <c r="C235" s="315" t="s">
        <v>29</v>
      </c>
      <c r="D235" s="318">
        <v>16</v>
      </c>
      <c r="E235" s="1502">
        <f>[1]KRAJOBRAZ!E235</f>
        <v>50</v>
      </c>
      <c r="F235" s="1466">
        <f t="shared" si="6"/>
        <v>800</v>
      </c>
    </row>
    <row r="236" spans="1:6">
      <c r="A236" s="1484"/>
      <c r="B236" s="319" t="s">
        <v>2147</v>
      </c>
      <c r="C236" s="315" t="s">
        <v>29</v>
      </c>
      <c r="D236" s="318">
        <v>8</v>
      </c>
      <c r="E236" s="1502">
        <f>[1]KRAJOBRAZ!E236</f>
        <v>20</v>
      </c>
      <c r="F236" s="1466">
        <f t="shared" si="6"/>
        <v>160</v>
      </c>
    </row>
    <row r="237" spans="1:6">
      <c r="A237" s="1484"/>
      <c r="B237" s="320" t="s">
        <v>2148</v>
      </c>
      <c r="C237" s="315" t="s">
        <v>29</v>
      </c>
      <c r="D237" s="318">
        <v>20</v>
      </c>
      <c r="E237" s="1502">
        <f>[1]KRAJOBRAZ!E237</f>
        <v>20</v>
      </c>
      <c r="F237" s="1466">
        <f t="shared" si="6"/>
        <v>400</v>
      </c>
    </row>
    <row r="238" spans="1:6">
      <c r="A238" s="1484"/>
      <c r="B238" s="320" t="s">
        <v>2149</v>
      </c>
      <c r="C238" s="315" t="s">
        <v>29</v>
      </c>
      <c r="D238" s="318">
        <v>57</v>
      </c>
      <c r="E238" s="1502">
        <f>[1]KRAJOBRAZ!E238</f>
        <v>20</v>
      </c>
      <c r="F238" s="1466">
        <f t="shared" si="6"/>
        <v>1140</v>
      </c>
    </row>
    <row r="239" spans="1:6">
      <c r="A239" s="1484"/>
      <c r="B239" s="320" t="s">
        <v>2150</v>
      </c>
      <c r="C239" s="315" t="s">
        <v>29</v>
      </c>
      <c r="D239" s="318">
        <v>60</v>
      </c>
      <c r="E239" s="1502">
        <f>[1]KRAJOBRAZ!E239</f>
        <v>20</v>
      </c>
      <c r="F239" s="1466">
        <f>D239*E239</f>
        <v>1200</v>
      </c>
    </row>
    <row r="240" spans="1:6">
      <c r="A240" s="1484"/>
      <c r="B240" s="319" t="s">
        <v>2151</v>
      </c>
      <c r="C240" s="315" t="s">
        <v>29</v>
      </c>
      <c r="D240" s="318">
        <v>1</v>
      </c>
      <c r="E240" s="1502">
        <f>[1]KRAJOBRAZ!E240</f>
        <v>50</v>
      </c>
      <c r="F240" s="1466">
        <f>D240*E240</f>
        <v>50</v>
      </c>
    </row>
    <row r="241" spans="1:6">
      <c r="A241" s="1484"/>
      <c r="B241" s="319" t="s">
        <v>2152</v>
      </c>
      <c r="C241" s="315" t="s">
        <v>29</v>
      </c>
      <c r="D241" s="318">
        <v>3</v>
      </c>
      <c r="E241" s="1502">
        <f>[1]KRAJOBRAZ!E241</f>
        <v>50</v>
      </c>
      <c r="F241" s="1466">
        <f>D241*E241</f>
        <v>150</v>
      </c>
    </row>
    <row r="242" spans="1:6">
      <c r="A242" s="1484"/>
      <c r="C242" s="315"/>
      <c r="D242" s="318"/>
      <c r="E242" s="1465"/>
      <c r="F242" s="1466"/>
    </row>
    <row r="243" spans="1:6">
      <c r="A243" s="1484"/>
      <c r="B243" s="319" t="s">
        <v>1607</v>
      </c>
      <c r="C243" s="315"/>
      <c r="D243" s="315"/>
      <c r="E243" s="1465"/>
      <c r="F243" s="1466"/>
    </row>
    <row r="244" spans="1:6">
      <c r="A244" s="1484"/>
      <c r="B244" s="319"/>
      <c r="C244" s="315"/>
      <c r="D244" s="315"/>
      <c r="E244" s="1465"/>
      <c r="F244" s="1466"/>
    </row>
    <row r="245" spans="1:6" ht="52.8">
      <c r="A245" s="1484"/>
      <c r="B245" s="319" t="s">
        <v>1606</v>
      </c>
      <c r="C245" s="315"/>
      <c r="D245" s="315"/>
      <c r="E245" s="1465"/>
      <c r="F245" s="1466"/>
    </row>
    <row r="246" spans="1:6">
      <c r="A246" s="1484"/>
      <c r="B246" s="319"/>
      <c r="C246" s="315"/>
      <c r="D246" s="315"/>
      <c r="E246" s="1465"/>
      <c r="F246" s="1466"/>
    </row>
    <row r="247" spans="1:6">
      <c r="A247" s="1484"/>
      <c r="B247" s="333" t="s">
        <v>1608</v>
      </c>
      <c r="C247" s="315" t="s">
        <v>29</v>
      </c>
      <c r="D247" s="318">
        <v>75</v>
      </c>
      <c r="E247" s="1502">
        <f>[1]KRAJOBRAZ!E247</f>
        <v>10</v>
      </c>
      <c r="F247" s="1466">
        <f t="shared" ref="F247:F250" si="7">D247*E247</f>
        <v>750</v>
      </c>
    </row>
    <row r="248" spans="1:6">
      <c r="A248" s="1484"/>
      <c r="B248" s="333" t="s">
        <v>1609</v>
      </c>
      <c r="C248" s="315" t="s">
        <v>29</v>
      </c>
      <c r="D248" s="318">
        <v>71</v>
      </c>
      <c r="E248" s="1502">
        <f>[1]KRAJOBRAZ!E248</f>
        <v>10</v>
      </c>
      <c r="F248" s="1466">
        <f t="shared" si="7"/>
        <v>710</v>
      </c>
    </row>
    <row r="249" spans="1:6">
      <c r="A249" s="1484"/>
      <c r="B249" s="333" t="s">
        <v>1610</v>
      </c>
      <c r="C249" s="315" t="s">
        <v>29</v>
      </c>
      <c r="D249" s="318">
        <v>54</v>
      </c>
      <c r="E249" s="1502">
        <f>[1]KRAJOBRAZ!E249</f>
        <v>10</v>
      </c>
      <c r="F249" s="1466">
        <f t="shared" si="7"/>
        <v>540</v>
      </c>
    </row>
    <row r="250" spans="1:6">
      <c r="A250" s="1484"/>
      <c r="B250" s="333" t="s">
        <v>1611</v>
      </c>
      <c r="C250" s="315" t="s">
        <v>29</v>
      </c>
      <c r="D250" s="318">
        <v>76</v>
      </c>
      <c r="E250" s="1502">
        <f>[1]KRAJOBRAZ!E250</f>
        <v>10</v>
      </c>
      <c r="F250" s="1466">
        <f t="shared" si="7"/>
        <v>760</v>
      </c>
    </row>
    <row r="251" spans="1:6">
      <c r="A251" s="1484"/>
      <c r="B251" s="333" t="s">
        <v>1612</v>
      </c>
      <c r="C251" s="315" t="s">
        <v>29</v>
      </c>
      <c r="D251" s="318">
        <v>52</v>
      </c>
      <c r="E251" s="1502">
        <f>[1]KRAJOBRAZ!E251</f>
        <v>10</v>
      </c>
      <c r="F251" s="1466">
        <f>D251*E251</f>
        <v>520</v>
      </c>
    </row>
    <row r="252" spans="1:6">
      <c r="A252" s="1484"/>
      <c r="B252" s="333" t="s">
        <v>1613</v>
      </c>
      <c r="C252" s="315" t="s">
        <v>29</v>
      </c>
      <c r="D252" s="318">
        <v>44</v>
      </c>
      <c r="E252" s="1502">
        <f>[1]KRAJOBRAZ!E252</f>
        <v>10</v>
      </c>
      <c r="F252" s="1466">
        <f>D252*E252</f>
        <v>440</v>
      </c>
    </row>
    <row r="253" spans="1:6">
      <c r="A253" s="1484"/>
      <c r="B253" s="1486" t="s">
        <v>1614</v>
      </c>
      <c r="C253" s="1487" t="s">
        <v>29</v>
      </c>
      <c r="D253" s="1488">
        <v>44</v>
      </c>
      <c r="E253" s="1502">
        <f>[1]KRAJOBRAZ!E253</f>
        <v>10</v>
      </c>
      <c r="F253" s="1466">
        <f>D253*E253</f>
        <v>440</v>
      </c>
    </row>
    <row r="254" spans="1:6">
      <c r="A254" s="1484"/>
      <c r="B254" s="333"/>
      <c r="C254" s="315"/>
      <c r="D254" s="318"/>
      <c r="E254" s="1465"/>
      <c r="F254" s="1466"/>
    </row>
    <row r="255" spans="1:6">
      <c r="A255" s="1484"/>
      <c r="B255" s="324" t="s">
        <v>1615</v>
      </c>
      <c r="C255" s="315"/>
      <c r="D255" s="315"/>
      <c r="E255" s="1465"/>
      <c r="F255" s="1466">
        <f>SUM(F223:F254)</f>
        <v>10610</v>
      </c>
    </row>
    <row r="256" spans="1:6">
      <c r="A256" s="1484"/>
      <c r="B256" s="314"/>
      <c r="C256" s="315"/>
      <c r="D256" s="315"/>
      <c r="E256" s="1465"/>
      <c r="F256" s="1466"/>
    </row>
    <row r="257" spans="1:6">
      <c r="A257" s="308" t="s">
        <v>1616</v>
      </c>
      <c r="B257" s="338" t="s">
        <v>1617</v>
      </c>
      <c r="C257" s="309"/>
      <c r="D257" s="326"/>
      <c r="E257" s="1461"/>
      <c r="F257" s="1462"/>
    </row>
    <row r="258" spans="1:6">
      <c r="A258" s="316"/>
      <c r="B258" s="319" t="s">
        <v>1618</v>
      </c>
      <c r="C258" s="315"/>
      <c r="D258" s="318"/>
      <c r="E258" s="1465"/>
      <c r="F258" s="1466"/>
    </row>
    <row r="259" spans="1:6" ht="26.4">
      <c r="A259" s="316"/>
      <c r="B259" s="319" t="s">
        <v>1619</v>
      </c>
      <c r="C259" s="315"/>
      <c r="D259" s="318"/>
      <c r="E259" s="1465"/>
      <c r="F259" s="1466"/>
    </row>
    <row r="260" spans="1:6" ht="39.6">
      <c r="A260" s="316"/>
      <c r="B260" s="319" t="s">
        <v>1620</v>
      </c>
      <c r="C260" s="315"/>
      <c r="D260" s="318"/>
      <c r="E260" s="1465"/>
      <c r="F260" s="1466"/>
    </row>
    <row r="261" spans="1:6">
      <c r="A261" s="316"/>
      <c r="B261" s="339"/>
      <c r="C261" s="315"/>
      <c r="D261" s="318"/>
      <c r="E261" s="1465"/>
      <c r="F261" s="1466"/>
    </row>
    <row r="262" spans="1:6" ht="66">
      <c r="A262" s="316"/>
      <c r="B262" s="319" t="s">
        <v>2153</v>
      </c>
      <c r="C262" s="315" t="s">
        <v>1621</v>
      </c>
      <c r="D262" s="318">
        <v>1810</v>
      </c>
      <c r="E262" s="1502">
        <f>[1]KRAJOBRAZ!E262</f>
        <v>1</v>
      </c>
      <c r="F262" s="1466">
        <f>D262*E262</f>
        <v>1810</v>
      </c>
    </row>
    <row r="263" spans="1:6">
      <c r="A263" s="316"/>
      <c r="C263" s="315"/>
      <c r="D263" s="318"/>
      <c r="E263" s="1465"/>
      <c r="F263" s="1466"/>
    </row>
    <row r="264" spans="1:6" ht="66">
      <c r="A264" s="316"/>
      <c r="B264" s="320" t="s">
        <v>1622</v>
      </c>
      <c r="C264" s="315" t="s">
        <v>1621</v>
      </c>
      <c r="D264" s="318">
        <v>350</v>
      </c>
      <c r="E264" s="1502">
        <f>[1]KRAJOBRAZ!E264</f>
        <v>2</v>
      </c>
      <c r="F264" s="1466">
        <f>D264*E264</f>
        <v>700</v>
      </c>
    </row>
    <row r="265" spans="1:6">
      <c r="A265" s="316"/>
      <c r="C265" s="315"/>
      <c r="D265" s="318"/>
      <c r="E265" s="1465"/>
      <c r="F265" s="1466"/>
    </row>
    <row r="266" spans="1:6" ht="79.2">
      <c r="A266" s="316"/>
      <c r="B266" s="319" t="s">
        <v>1623</v>
      </c>
      <c r="C266" s="315" t="s">
        <v>1621</v>
      </c>
      <c r="D266" s="318">
        <v>18000</v>
      </c>
      <c r="E266" s="1502">
        <f>[1]KRAJOBRAZ!E266</f>
        <v>0.2</v>
      </c>
      <c r="F266" s="1466">
        <f>D266*E266</f>
        <v>3600</v>
      </c>
    </row>
    <row r="267" spans="1:6">
      <c r="A267" s="326"/>
      <c r="B267" s="326"/>
      <c r="C267" s="326"/>
      <c r="D267" s="326"/>
      <c r="E267" s="1290"/>
      <c r="F267" s="950"/>
    </row>
    <row r="268" spans="1:6">
      <c r="A268" s="1484"/>
      <c r="B268" s="319" t="s">
        <v>1624</v>
      </c>
      <c r="C268" s="315"/>
      <c r="D268" s="315"/>
      <c r="E268" s="1465"/>
      <c r="F268" s="1466">
        <f>SUM(F262:F266)</f>
        <v>6110</v>
      </c>
    </row>
    <row r="269" spans="1:6">
      <c r="A269" s="1484"/>
      <c r="B269" s="339"/>
      <c r="C269" s="315"/>
      <c r="D269" s="315"/>
      <c r="E269" s="1465"/>
      <c r="F269" s="1466"/>
    </row>
    <row r="270" spans="1:6">
      <c r="A270" s="316"/>
      <c r="C270" s="315"/>
      <c r="D270" s="318"/>
      <c r="E270" s="1465"/>
      <c r="F270" s="1466"/>
    </row>
    <row r="271" spans="1:6">
      <c r="A271" s="316"/>
      <c r="B271" s="319"/>
      <c r="C271" s="315"/>
      <c r="D271" s="318"/>
      <c r="E271" s="1465"/>
      <c r="F271" s="1466"/>
    </row>
    <row r="272" spans="1:6">
      <c r="A272" s="308" t="s">
        <v>1625</v>
      </c>
      <c r="B272" s="338" t="s">
        <v>1626</v>
      </c>
      <c r="C272" s="309"/>
      <c r="D272" s="326"/>
      <c r="E272" s="1461"/>
      <c r="F272" s="1462"/>
    </row>
    <row r="273" spans="1:6">
      <c r="A273" s="1484"/>
      <c r="B273" s="339"/>
      <c r="C273" s="315"/>
      <c r="D273" s="315"/>
      <c r="E273" s="1465"/>
      <c r="F273" s="1466"/>
    </row>
    <row r="274" spans="1:6" ht="118.8">
      <c r="A274" s="1484"/>
      <c r="B274" s="319" t="s">
        <v>1627</v>
      </c>
      <c r="C274" s="315" t="s">
        <v>29</v>
      </c>
      <c r="D274" s="318">
        <v>7</v>
      </c>
      <c r="E274" s="1502">
        <f>[1]KRAJOBRAZ!E274</f>
        <v>100</v>
      </c>
      <c r="F274" s="1466">
        <f>D274*E274</f>
        <v>700</v>
      </c>
    </row>
    <row r="275" spans="1:6">
      <c r="A275" s="1484"/>
      <c r="C275" s="315"/>
      <c r="D275" s="315"/>
      <c r="E275" s="1465"/>
      <c r="F275" s="1466"/>
    </row>
    <row r="276" spans="1:6" ht="66">
      <c r="A276" s="1484"/>
      <c r="B276" s="319" t="s">
        <v>1628</v>
      </c>
      <c r="C276" s="315" t="s">
        <v>29</v>
      </c>
      <c r="D276" s="318">
        <v>178</v>
      </c>
      <c r="E276" s="1502">
        <f>[1]KRAJOBRAZ!E276</f>
        <v>15</v>
      </c>
      <c r="F276" s="1466">
        <f>D276*E276</f>
        <v>2670</v>
      </c>
    </row>
    <row r="277" spans="1:6">
      <c r="A277" s="1484"/>
      <c r="C277" s="315"/>
      <c r="D277" s="318"/>
      <c r="E277" s="1465"/>
      <c r="F277" s="1466"/>
    </row>
    <row r="278" spans="1:6" ht="66">
      <c r="A278" s="1484"/>
      <c r="B278" s="319" t="s">
        <v>1629</v>
      </c>
      <c r="C278" s="315" t="s">
        <v>29</v>
      </c>
      <c r="D278" s="318">
        <v>422</v>
      </c>
      <c r="E278" s="1502">
        <f>[1]KRAJOBRAZ!E278</f>
        <v>8</v>
      </c>
      <c r="F278" s="1466">
        <f>D278*E278</f>
        <v>3376</v>
      </c>
    </row>
    <row r="279" spans="1:6">
      <c r="A279" s="1484"/>
      <c r="C279" s="315"/>
      <c r="D279" s="318"/>
      <c r="E279" s="1465"/>
      <c r="F279" s="1466"/>
    </row>
    <row r="280" spans="1:6" ht="52.8">
      <c r="A280" s="1484"/>
      <c r="B280" s="319" t="s">
        <v>1630</v>
      </c>
      <c r="C280" s="315" t="s">
        <v>29</v>
      </c>
      <c r="D280" s="318">
        <v>21</v>
      </c>
      <c r="E280" s="1502">
        <f>[1]KRAJOBRAZ!E280</f>
        <v>20</v>
      </c>
      <c r="F280" s="1466">
        <f>D280*E280</f>
        <v>420</v>
      </c>
    </row>
    <row r="281" spans="1:6">
      <c r="A281" s="1484"/>
      <c r="C281" s="315"/>
      <c r="D281" s="318"/>
      <c r="E281" s="1465"/>
      <c r="F281" s="1466"/>
    </row>
    <row r="282" spans="1:6" ht="52.8">
      <c r="A282" s="1484"/>
      <c r="B282" s="319" t="s">
        <v>1631</v>
      </c>
      <c r="C282" s="315" t="s">
        <v>29</v>
      </c>
      <c r="D282" s="318">
        <v>7</v>
      </c>
      <c r="E282" s="1502">
        <f>[1]KRAJOBRAZ!E282</f>
        <v>20</v>
      </c>
      <c r="F282" s="1466">
        <f>D282*E282</f>
        <v>140</v>
      </c>
    </row>
    <row r="283" spans="1:6">
      <c r="A283" s="1484"/>
      <c r="B283" s="319"/>
      <c r="C283" s="315"/>
      <c r="D283" s="315"/>
      <c r="E283" s="1465"/>
      <c r="F283" s="1466"/>
    </row>
    <row r="284" spans="1:6">
      <c r="A284" s="326"/>
      <c r="B284" s="326"/>
      <c r="C284" s="326"/>
      <c r="D284" s="326"/>
      <c r="E284" s="1290"/>
      <c r="F284" s="950"/>
    </row>
    <row r="285" spans="1:6">
      <c r="A285" s="1484"/>
      <c r="B285" s="319" t="s">
        <v>1632</v>
      </c>
      <c r="C285" s="315"/>
      <c r="D285" s="315"/>
      <c r="E285" s="1465"/>
      <c r="F285" s="1466">
        <f>SUM(F274:F282)</f>
        <v>7306</v>
      </c>
    </row>
    <row r="286" spans="1:6">
      <c r="A286" s="1484"/>
      <c r="B286" s="314"/>
      <c r="C286" s="315"/>
      <c r="D286" s="315"/>
      <c r="E286" s="1465"/>
      <c r="F286" s="1466"/>
    </row>
    <row r="287" spans="1:6">
      <c r="A287" s="1484"/>
      <c r="B287" s="314"/>
      <c r="C287" s="315"/>
      <c r="D287" s="315"/>
      <c r="E287" s="1465"/>
      <c r="F287" s="1466"/>
    </row>
    <row r="288" spans="1:6">
      <c r="A288" s="1484"/>
      <c r="B288" s="319"/>
      <c r="C288" s="315"/>
      <c r="D288" s="315"/>
      <c r="E288" s="1465"/>
      <c r="F288" s="1466"/>
    </row>
    <row r="289" spans="1:6">
      <c r="A289" s="308" t="s">
        <v>1633</v>
      </c>
      <c r="B289" s="338" t="s">
        <v>1634</v>
      </c>
      <c r="C289" s="309"/>
      <c r="D289" s="326"/>
      <c r="E289" s="1461"/>
      <c r="F289" s="1462"/>
    </row>
    <row r="290" spans="1:6">
      <c r="A290" s="316"/>
      <c r="B290" s="314"/>
      <c r="C290" s="315"/>
      <c r="D290" s="318"/>
      <c r="E290" s="1465"/>
      <c r="F290" s="1466"/>
    </row>
    <row r="291" spans="1:6" ht="132">
      <c r="A291" s="316"/>
      <c r="B291" s="319" t="s">
        <v>2154</v>
      </c>
      <c r="C291" s="315" t="s">
        <v>519</v>
      </c>
      <c r="D291" s="318">
        <v>362</v>
      </c>
      <c r="E291" s="1502">
        <f>[1]KRAJOBRAZ!E291</f>
        <v>5</v>
      </c>
      <c r="F291" s="1466">
        <f>D291*E291</f>
        <v>1810</v>
      </c>
    </row>
    <row r="292" spans="1:6">
      <c r="A292" s="316"/>
      <c r="C292" s="315"/>
      <c r="D292" s="318"/>
      <c r="E292" s="1465"/>
      <c r="F292" s="1466"/>
    </row>
    <row r="293" spans="1:6" ht="39.6">
      <c r="A293" s="316"/>
      <c r="B293" s="319" t="s">
        <v>2155</v>
      </c>
      <c r="C293" s="315" t="s">
        <v>30</v>
      </c>
      <c r="D293" s="318">
        <v>18.100000000000001</v>
      </c>
      <c r="E293" s="1502">
        <f>[1]KRAJOBRAZ!E293</f>
        <v>100</v>
      </c>
      <c r="F293" s="1466">
        <f>D293*E293</f>
        <v>1810.0000000000002</v>
      </c>
    </row>
    <row r="294" spans="1:6">
      <c r="A294" s="316"/>
      <c r="C294" s="315"/>
      <c r="D294" s="318"/>
      <c r="E294" s="1465"/>
      <c r="F294" s="1466"/>
    </row>
    <row r="295" spans="1:6">
      <c r="A295" s="316"/>
      <c r="B295" s="319" t="s">
        <v>1635</v>
      </c>
      <c r="C295" s="315"/>
      <c r="D295" s="318"/>
      <c r="E295" s="1465"/>
      <c r="F295" s="1466"/>
    </row>
    <row r="296" spans="1:6">
      <c r="A296" s="1484"/>
      <c r="C296" s="315"/>
      <c r="D296" s="315"/>
      <c r="E296" s="1465"/>
      <c r="F296" s="1466"/>
    </row>
    <row r="297" spans="1:6">
      <c r="A297" s="1485"/>
      <c r="B297" s="339"/>
      <c r="C297" s="309"/>
      <c r="D297" s="309"/>
      <c r="E297" s="1461"/>
      <c r="F297" s="1462"/>
    </row>
    <row r="298" spans="1:6">
      <c r="A298" s="1484"/>
      <c r="B298" s="324" t="s">
        <v>1636</v>
      </c>
      <c r="C298" s="315"/>
      <c r="D298" s="315"/>
      <c r="E298" s="1465"/>
      <c r="F298" s="1466">
        <f>SUM(F291:F293)</f>
        <v>3620</v>
      </c>
    </row>
    <row r="299" spans="1:6">
      <c r="A299" s="1484"/>
      <c r="B299" s="319"/>
      <c r="C299" s="315"/>
      <c r="D299" s="315"/>
      <c r="E299" s="1465"/>
      <c r="F299" s="1466"/>
    </row>
    <row r="300" spans="1:6">
      <c r="A300" s="1484"/>
      <c r="B300" s="319"/>
      <c r="C300" s="315"/>
      <c r="D300" s="315"/>
      <c r="E300" s="1465"/>
      <c r="F300" s="1466"/>
    </row>
    <row r="301" spans="1:6">
      <c r="A301" s="1484"/>
      <c r="B301" s="319"/>
      <c r="C301" s="315"/>
      <c r="D301" s="315"/>
      <c r="E301" s="1465"/>
      <c r="F301" s="1466"/>
    </row>
    <row r="302" spans="1:6">
      <c r="A302" s="1484"/>
      <c r="C302" s="315"/>
      <c r="D302" s="315"/>
      <c r="E302" s="1465"/>
      <c r="F302" s="1466"/>
    </row>
    <row r="303" spans="1:6">
      <c r="A303" s="1484"/>
      <c r="B303" s="314"/>
      <c r="C303" s="315"/>
      <c r="D303" s="315"/>
      <c r="E303" s="1465"/>
      <c r="F303" s="1466"/>
    </row>
    <row r="304" spans="1:6" ht="13.8" thickBot="1">
      <c r="A304" s="334"/>
      <c r="B304" s="341" t="s">
        <v>483</v>
      </c>
      <c r="C304" s="334"/>
      <c r="D304" s="1489"/>
      <c r="E304" s="1490"/>
      <c r="F304" s="951"/>
    </row>
    <row r="305" spans="1:203" ht="13.8" thickTop="1">
      <c r="A305" s="315"/>
      <c r="B305" s="314"/>
      <c r="C305" s="315"/>
      <c r="D305" s="1491"/>
      <c r="E305" s="1492"/>
      <c r="F305" s="952"/>
    </row>
    <row r="306" spans="1:203">
      <c r="A306" s="1484"/>
      <c r="B306" s="314"/>
      <c r="C306" s="315"/>
      <c r="D306" s="315"/>
      <c r="E306" s="1465"/>
      <c r="F306" s="1466"/>
    </row>
    <row r="307" spans="1:203">
      <c r="A307" s="1484"/>
      <c r="B307" s="1493"/>
      <c r="C307" s="315"/>
      <c r="D307" s="315"/>
      <c r="E307" s="1465"/>
      <c r="F307" s="1466"/>
    </row>
    <row r="308" spans="1:203" s="1494" customFormat="1">
      <c r="A308" s="335" t="s">
        <v>1514</v>
      </c>
      <c r="B308" s="319" t="s">
        <v>1515</v>
      </c>
      <c r="C308" s="315"/>
      <c r="D308" s="315"/>
      <c r="E308" s="1465"/>
      <c r="F308" s="1466">
        <f>MAX(F60)</f>
        <v>2106</v>
      </c>
      <c r="G308" s="306"/>
      <c r="H308" s="306"/>
      <c r="I308" s="306"/>
      <c r="J308" s="306"/>
      <c r="K308" s="306"/>
      <c r="L308" s="306"/>
      <c r="M308" s="306"/>
      <c r="N308" s="306"/>
      <c r="O308" s="306"/>
      <c r="P308" s="306"/>
      <c r="Q308" s="306"/>
      <c r="R308" s="306"/>
      <c r="S308" s="306"/>
      <c r="T308" s="306"/>
      <c r="U308" s="306"/>
      <c r="V308" s="306"/>
      <c r="W308" s="306"/>
      <c r="X308" s="306"/>
      <c r="Y308" s="306"/>
      <c r="Z308" s="306"/>
      <c r="AA308" s="306"/>
      <c r="AB308" s="306"/>
      <c r="AC308" s="306"/>
      <c r="AD308" s="306"/>
      <c r="AE308" s="306"/>
      <c r="AF308" s="306"/>
      <c r="AG308" s="306"/>
      <c r="AH308" s="306"/>
      <c r="AI308" s="306"/>
      <c r="AJ308" s="306"/>
      <c r="AK308" s="306"/>
      <c r="AL308" s="306"/>
      <c r="AM308" s="306"/>
      <c r="AN308" s="306"/>
      <c r="AO308" s="306"/>
      <c r="AP308" s="306"/>
      <c r="AQ308" s="306"/>
      <c r="AR308" s="306"/>
      <c r="AS308" s="306"/>
      <c r="AT308" s="306"/>
      <c r="AU308" s="306"/>
      <c r="AV308" s="306"/>
      <c r="AW308" s="306"/>
      <c r="AX308" s="306"/>
      <c r="AY308" s="306"/>
      <c r="AZ308" s="306"/>
      <c r="BA308" s="306"/>
      <c r="BB308" s="306"/>
      <c r="BC308" s="306"/>
      <c r="BD308" s="306"/>
      <c r="BE308" s="306"/>
      <c r="BF308" s="306"/>
      <c r="BG308" s="306"/>
      <c r="BH308" s="306"/>
      <c r="BI308" s="306"/>
      <c r="BJ308" s="306"/>
      <c r="BK308" s="306"/>
      <c r="BL308" s="306"/>
      <c r="BM308" s="306"/>
      <c r="BN308" s="306"/>
      <c r="BO308" s="306"/>
      <c r="BP308" s="306"/>
      <c r="BQ308" s="306"/>
      <c r="BR308" s="306"/>
      <c r="BS308" s="306"/>
      <c r="BT308" s="306"/>
      <c r="BU308" s="306"/>
      <c r="BV308" s="306"/>
      <c r="BW308" s="306"/>
      <c r="BX308" s="306"/>
      <c r="BY308" s="306"/>
      <c r="BZ308" s="306"/>
      <c r="CA308" s="306"/>
      <c r="CB308" s="306"/>
      <c r="CC308" s="306"/>
      <c r="CD308" s="306"/>
      <c r="CE308" s="306"/>
      <c r="CF308" s="306"/>
      <c r="CG308" s="306"/>
      <c r="CH308" s="306"/>
      <c r="CI308" s="306"/>
      <c r="CJ308" s="306"/>
      <c r="CK308" s="306"/>
      <c r="CL308" s="306"/>
      <c r="CM308" s="306"/>
      <c r="CN308" s="306"/>
      <c r="CO308" s="306"/>
      <c r="CP308" s="306"/>
      <c r="CQ308" s="306"/>
      <c r="CR308" s="306"/>
      <c r="CS308" s="306"/>
      <c r="CT308" s="306"/>
      <c r="CU308" s="306"/>
      <c r="CV308" s="306"/>
      <c r="CW308" s="306"/>
      <c r="CX308" s="306"/>
      <c r="CY308" s="306"/>
      <c r="CZ308" s="306"/>
      <c r="DA308" s="306"/>
      <c r="DB308" s="306"/>
      <c r="DC308" s="306"/>
      <c r="DD308" s="306"/>
      <c r="DE308" s="306"/>
      <c r="DF308" s="306"/>
      <c r="DG308" s="306"/>
      <c r="DH308" s="306"/>
      <c r="DI308" s="306"/>
      <c r="DJ308" s="306"/>
      <c r="DK308" s="306"/>
      <c r="DL308" s="306"/>
      <c r="DM308" s="306"/>
      <c r="DN308" s="306"/>
      <c r="DO308" s="306"/>
      <c r="DP308" s="306"/>
      <c r="DQ308" s="306"/>
      <c r="DR308" s="306"/>
      <c r="DS308" s="306"/>
      <c r="DT308" s="306"/>
      <c r="DU308" s="306"/>
      <c r="DV308" s="306"/>
      <c r="DW308" s="306"/>
      <c r="DX308" s="306"/>
      <c r="DY308" s="306"/>
      <c r="DZ308" s="306"/>
      <c r="EA308" s="306"/>
      <c r="EB308" s="306"/>
      <c r="EC308" s="306"/>
      <c r="ED308" s="306"/>
      <c r="EE308" s="306"/>
      <c r="EF308" s="306"/>
      <c r="EG308" s="306"/>
      <c r="EH308" s="306"/>
      <c r="EI308" s="306"/>
      <c r="EJ308" s="306"/>
      <c r="EK308" s="306"/>
      <c r="EL308" s="306"/>
      <c r="EM308" s="306"/>
      <c r="EN308" s="306"/>
      <c r="EO308" s="306"/>
      <c r="EP308" s="306"/>
      <c r="EQ308" s="306"/>
      <c r="ER308" s="306"/>
      <c r="ES308" s="306"/>
      <c r="ET308" s="306"/>
      <c r="EU308" s="306"/>
      <c r="EV308" s="306"/>
      <c r="EW308" s="306"/>
      <c r="EX308" s="306"/>
      <c r="EY308" s="306"/>
      <c r="EZ308" s="306"/>
      <c r="FA308" s="306"/>
      <c r="FB308" s="306"/>
      <c r="FC308" s="306"/>
      <c r="FD308" s="306"/>
      <c r="FE308" s="306"/>
      <c r="FF308" s="306"/>
      <c r="FG308" s="306"/>
      <c r="FH308" s="306"/>
      <c r="FI308" s="306"/>
      <c r="FJ308" s="306"/>
      <c r="FK308" s="306"/>
      <c r="FL308" s="306"/>
      <c r="FM308" s="306"/>
      <c r="FN308" s="306"/>
      <c r="FO308" s="306"/>
      <c r="FP308" s="306"/>
      <c r="FQ308" s="306"/>
      <c r="FR308" s="306"/>
      <c r="FS308" s="306"/>
      <c r="FT308" s="306"/>
      <c r="FU308" s="306"/>
      <c r="FV308" s="306"/>
      <c r="FW308" s="306"/>
      <c r="FX308" s="306"/>
      <c r="FY308" s="306"/>
      <c r="FZ308" s="306"/>
      <c r="GA308" s="306"/>
      <c r="GB308" s="306"/>
      <c r="GC308" s="306"/>
      <c r="GD308" s="306"/>
      <c r="GE308" s="306"/>
      <c r="GF308" s="306"/>
      <c r="GG308" s="306"/>
      <c r="GH308" s="306"/>
      <c r="GI308" s="306"/>
      <c r="GJ308" s="306"/>
      <c r="GK308" s="306"/>
      <c r="GL308" s="306"/>
      <c r="GM308" s="306"/>
      <c r="GN308" s="306"/>
      <c r="GO308" s="306"/>
      <c r="GP308" s="306"/>
      <c r="GQ308" s="306"/>
      <c r="GR308" s="306"/>
      <c r="GS308" s="306"/>
      <c r="GT308" s="306"/>
      <c r="GU308" s="306"/>
    </row>
    <row r="309" spans="1:203">
      <c r="A309" s="335" t="s">
        <v>1529</v>
      </c>
      <c r="B309" s="319" t="s">
        <v>427</v>
      </c>
      <c r="C309" s="315"/>
      <c r="D309" s="315"/>
      <c r="E309" s="1465"/>
      <c r="F309" s="1466">
        <f>MAX(F93)</f>
        <v>7113</v>
      </c>
    </row>
    <row r="310" spans="1:203">
      <c r="A310" s="335" t="s">
        <v>1545</v>
      </c>
      <c r="B310" s="319" t="s">
        <v>1546</v>
      </c>
      <c r="C310" s="315"/>
      <c r="D310" s="315"/>
      <c r="E310" s="1465"/>
      <c r="F310" s="1466">
        <f>MAX(F111)</f>
        <v>3226</v>
      </c>
    </row>
    <row r="311" spans="1:203">
      <c r="A311" s="335" t="s">
        <v>1552</v>
      </c>
      <c r="B311" s="319" t="s">
        <v>1553</v>
      </c>
      <c r="C311" s="315"/>
      <c r="D311" s="315"/>
      <c r="E311" s="1465"/>
      <c r="F311" s="1466">
        <f>MAX(F211)</f>
        <v>29750</v>
      </c>
    </row>
    <row r="312" spans="1:203">
      <c r="A312" s="335" t="s">
        <v>1598</v>
      </c>
      <c r="B312" s="319" t="s">
        <v>1599</v>
      </c>
      <c r="C312" s="315"/>
      <c r="D312" s="315"/>
      <c r="E312" s="1465"/>
      <c r="F312" s="1466">
        <f>MAX(F255)</f>
        <v>10610</v>
      </c>
    </row>
    <row r="313" spans="1:203">
      <c r="A313" s="335" t="s">
        <v>1616</v>
      </c>
      <c r="B313" s="319" t="s">
        <v>1617</v>
      </c>
      <c r="C313" s="315"/>
      <c r="D313" s="315"/>
      <c r="E313" s="1465"/>
      <c r="F313" s="1466">
        <f>MAX(F268)</f>
        <v>6110</v>
      </c>
    </row>
    <row r="314" spans="1:203">
      <c r="A314" s="335" t="s">
        <v>1625</v>
      </c>
      <c r="B314" s="319" t="s">
        <v>1626</v>
      </c>
      <c r="C314" s="315"/>
      <c r="D314" s="315"/>
      <c r="E314" s="1465"/>
      <c r="F314" s="1466">
        <f>MAX(F285)</f>
        <v>7306</v>
      </c>
    </row>
    <row r="315" spans="1:203">
      <c r="A315" s="335" t="s">
        <v>1633</v>
      </c>
      <c r="B315" s="319" t="s">
        <v>1634</v>
      </c>
      <c r="C315" s="315"/>
      <c r="D315" s="315"/>
      <c r="E315" s="1465"/>
      <c r="F315" s="1466">
        <f>MAX(F298)</f>
        <v>3620</v>
      </c>
    </row>
    <row r="316" spans="1:203">
      <c r="A316" s="335"/>
      <c r="B316" s="319"/>
      <c r="C316" s="315"/>
      <c r="D316" s="315"/>
      <c r="E316" s="1465"/>
      <c r="F316" s="1466"/>
    </row>
    <row r="317" spans="1:203">
      <c r="A317" s="335"/>
      <c r="B317" s="319"/>
      <c r="C317" s="315"/>
      <c r="D317" s="315"/>
      <c r="E317" s="1465"/>
      <c r="F317" s="1466"/>
    </row>
    <row r="318" spans="1:203" ht="17.850000000000001" customHeight="1">
      <c r="A318" s="335"/>
      <c r="B318" s="319" t="s">
        <v>1637</v>
      </c>
      <c r="C318" s="315"/>
      <c r="D318" s="315"/>
      <c r="E318" s="1465"/>
      <c r="F318" s="1466">
        <f>SUM(F308:F315)</f>
        <v>69841</v>
      </c>
    </row>
    <row r="319" spans="1:203">
      <c r="A319" s="1484"/>
      <c r="C319" s="315"/>
      <c r="D319" s="315"/>
      <c r="E319" s="1468"/>
      <c r="F319" s="1469"/>
    </row>
    <row r="320" spans="1:203">
      <c r="A320" s="1484"/>
      <c r="C320" s="314"/>
      <c r="D320" s="315"/>
      <c r="E320" s="1468"/>
      <c r="F320" s="1469"/>
    </row>
    <row r="321" spans="1:5">
      <c r="A321" s="336"/>
      <c r="D321" s="312"/>
    </row>
    <row r="322" spans="1:5">
      <c r="B322" s="314"/>
      <c r="D322" s="312"/>
    </row>
    <row r="323" spans="1:5">
      <c r="B323" s="314"/>
      <c r="C323" s="337"/>
      <c r="D323" s="312"/>
      <c r="E323" s="763"/>
    </row>
    <row r="324" spans="1:5" ht="58.95" customHeight="1">
      <c r="B324" s="1495"/>
      <c r="C324" s="337"/>
      <c r="D324" s="312"/>
    </row>
    <row r="325" spans="1:5">
      <c r="C325" s="337"/>
      <c r="D325" s="312"/>
    </row>
    <row r="326" spans="1:5">
      <c r="B326" s="1495"/>
      <c r="C326" s="337"/>
      <c r="D326" s="312"/>
    </row>
    <row r="327" spans="1:5">
      <c r="C327" s="337"/>
      <c r="D327" s="312"/>
    </row>
    <row r="328" spans="1:5">
      <c r="B328" s="1495"/>
      <c r="C328" s="337"/>
      <c r="D328" s="312"/>
      <c r="E328" s="763"/>
    </row>
    <row r="329" spans="1:5">
      <c r="A329" s="336"/>
      <c r="C329" s="337"/>
      <c r="D329" s="312"/>
    </row>
    <row r="330" spans="1:5">
      <c r="B330" s="1495"/>
      <c r="C330" s="337"/>
      <c r="D330" s="312"/>
    </row>
    <row r="331" spans="1:5">
      <c r="C331" s="1496"/>
      <c r="D331" s="312"/>
    </row>
    <row r="332" spans="1:5" ht="61.95" customHeight="1">
      <c r="B332" s="1495"/>
      <c r="C332" s="337"/>
      <c r="D332" s="312"/>
      <c r="E332" s="763"/>
    </row>
    <row r="333" spans="1:5">
      <c r="A333" s="336"/>
      <c r="C333" s="337"/>
      <c r="D333" s="312"/>
    </row>
    <row r="334" spans="1:5">
      <c r="B334" s="1495"/>
      <c r="C334" s="337"/>
      <c r="D334" s="312"/>
    </row>
    <row r="335" spans="1:5">
      <c r="C335" s="337"/>
      <c r="D335" s="312"/>
    </row>
    <row r="336" spans="1:5">
      <c r="B336" s="1495"/>
      <c r="C336" s="337"/>
      <c r="D336" s="312"/>
    </row>
    <row r="337" spans="1:5">
      <c r="C337" s="337"/>
      <c r="D337" s="312"/>
      <c r="E337" s="763"/>
    </row>
    <row r="338" spans="1:5" ht="147.75" customHeight="1">
      <c r="B338" s="1495"/>
      <c r="C338" s="337"/>
      <c r="D338" s="312"/>
    </row>
    <row r="339" spans="1:5">
      <c r="C339" s="337"/>
      <c r="D339" s="312"/>
    </row>
    <row r="340" spans="1:5">
      <c r="B340" s="1495"/>
      <c r="C340" s="1496"/>
      <c r="D340" s="312"/>
    </row>
    <row r="341" spans="1:5">
      <c r="B341" s="1495"/>
      <c r="C341" s="337"/>
      <c r="D341" s="312"/>
      <c r="E341" s="763"/>
    </row>
    <row r="342" spans="1:5">
      <c r="B342" s="1495"/>
      <c r="C342" s="337"/>
      <c r="D342" s="312"/>
    </row>
    <row r="343" spans="1:5">
      <c r="C343" s="337"/>
      <c r="D343" s="312"/>
    </row>
    <row r="344" spans="1:5">
      <c r="B344" s="1497"/>
      <c r="C344" s="337"/>
      <c r="D344" s="312"/>
    </row>
    <row r="345" spans="1:5">
      <c r="A345" s="1498"/>
      <c r="B345" s="1497"/>
      <c r="C345" s="337"/>
      <c r="D345" s="312"/>
    </row>
    <row r="346" spans="1:5">
      <c r="A346" s="1498"/>
      <c r="D346" s="312"/>
    </row>
    <row r="347" spans="1:5">
      <c r="A347" s="1498"/>
      <c r="B347" s="1497"/>
      <c r="D347" s="312"/>
    </row>
    <row r="348" spans="1:5">
      <c r="A348" s="1498"/>
      <c r="B348" s="1497"/>
      <c r="D348" s="312"/>
    </row>
    <row r="349" spans="1:5">
      <c r="A349" s="1498"/>
      <c r="B349" s="1497"/>
      <c r="D349" s="312"/>
    </row>
    <row r="350" spans="1:5">
      <c r="B350" s="1497"/>
      <c r="D350" s="312"/>
    </row>
    <row r="351" spans="1:5">
      <c r="B351" s="1497"/>
      <c r="D351" s="312"/>
    </row>
    <row r="352" spans="1:5">
      <c r="D352" s="312"/>
    </row>
    <row r="353" spans="1:4">
      <c r="D353" s="312"/>
    </row>
    <row r="354" spans="1:4">
      <c r="D354" s="312"/>
    </row>
    <row r="355" spans="1:4">
      <c r="B355" s="1495"/>
      <c r="D355" s="312"/>
    </row>
    <row r="356" spans="1:4">
      <c r="D356" s="312"/>
    </row>
    <row r="357" spans="1:4">
      <c r="D357" s="312"/>
    </row>
    <row r="358" spans="1:4">
      <c r="D358" s="312"/>
    </row>
    <row r="359" spans="1:4">
      <c r="C359" s="1496"/>
      <c r="D359" s="312"/>
    </row>
    <row r="360" spans="1:4">
      <c r="D360" s="312"/>
    </row>
    <row r="361" spans="1:4">
      <c r="D361" s="312"/>
    </row>
    <row r="362" spans="1:4">
      <c r="A362" s="336"/>
      <c r="C362" s="312"/>
      <c r="D362" s="312"/>
    </row>
    <row r="363" spans="1:4">
      <c r="A363" s="336"/>
      <c r="C363" s="312"/>
      <c r="D363" s="312"/>
    </row>
    <row r="364" spans="1:4">
      <c r="A364" s="336"/>
      <c r="C364" s="312"/>
      <c r="D364" s="312"/>
    </row>
    <row r="365" spans="1:4">
      <c r="A365" s="336"/>
      <c r="C365" s="312"/>
      <c r="D365" s="312"/>
    </row>
    <row r="366" spans="1:4">
      <c r="A366" s="336"/>
      <c r="C366" s="312"/>
      <c r="D366" s="312"/>
    </row>
    <row r="367" spans="1:4">
      <c r="D367" s="312"/>
    </row>
    <row r="368" spans="1:4">
      <c r="A368" s="336"/>
      <c r="C368" s="312"/>
      <c r="D368" s="312"/>
    </row>
    <row r="369" spans="1:4">
      <c r="A369" s="336"/>
      <c r="C369" s="312"/>
      <c r="D369" s="312"/>
    </row>
    <row r="370" spans="1:4">
      <c r="A370" s="336"/>
      <c r="C370" s="312"/>
      <c r="D370" s="312"/>
    </row>
    <row r="371" spans="1:4">
      <c r="A371" s="336"/>
      <c r="C371" s="312"/>
      <c r="D371" s="312"/>
    </row>
    <row r="372" spans="1:4">
      <c r="A372" s="336"/>
      <c r="C372" s="312"/>
      <c r="D372" s="312"/>
    </row>
    <row r="373" spans="1:4">
      <c r="A373" s="336"/>
      <c r="C373" s="312"/>
      <c r="D373" s="312"/>
    </row>
    <row r="374" spans="1:4">
      <c r="A374" s="1499"/>
      <c r="C374" s="312"/>
      <c r="D374" s="312"/>
    </row>
    <row r="375" spans="1:4">
      <c r="A375" s="336"/>
      <c r="C375" s="312"/>
      <c r="D375" s="312"/>
    </row>
    <row r="376" spans="1:4">
      <c r="A376" s="336"/>
      <c r="C376" s="312"/>
      <c r="D376" s="312"/>
    </row>
    <row r="377" spans="1:4">
      <c r="A377" s="336"/>
      <c r="C377" s="312"/>
      <c r="D377" s="312"/>
    </row>
    <row r="378" spans="1:4">
      <c r="A378" s="336"/>
      <c r="C378" s="312"/>
      <c r="D378" s="312"/>
    </row>
    <row r="379" spans="1:4">
      <c r="A379" s="336"/>
      <c r="C379" s="312"/>
      <c r="D379" s="312"/>
    </row>
    <row r="380" spans="1:4">
      <c r="C380" s="312"/>
      <c r="D380" s="312"/>
    </row>
    <row r="381" spans="1:4">
      <c r="C381" s="312"/>
      <c r="D381" s="312"/>
    </row>
    <row r="382" spans="1:4">
      <c r="C382" s="312"/>
      <c r="D382" s="312"/>
    </row>
    <row r="383" spans="1:4">
      <c r="C383" s="312"/>
      <c r="D383" s="312"/>
    </row>
    <row r="384" spans="1:4">
      <c r="A384" s="336"/>
      <c r="C384" s="312"/>
      <c r="D384" s="312"/>
    </row>
    <row r="385" spans="1:4">
      <c r="A385" s="336"/>
      <c r="C385" s="312"/>
      <c r="D385" s="312"/>
    </row>
    <row r="386" spans="1:4">
      <c r="A386" s="336"/>
      <c r="C386" s="312"/>
      <c r="D386" s="312"/>
    </row>
    <row r="387" spans="1:4">
      <c r="A387" s="336"/>
      <c r="C387" s="312"/>
      <c r="D387" s="312"/>
    </row>
    <row r="388" spans="1:4">
      <c r="A388" s="336"/>
      <c r="C388" s="312"/>
      <c r="D388" s="312"/>
    </row>
    <row r="389" spans="1:4">
      <c r="A389" s="336"/>
      <c r="C389" s="312"/>
      <c r="D389" s="312"/>
    </row>
    <row r="390" spans="1:4">
      <c r="A390" s="1499"/>
      <c r="C390" s="312"/>
      <c r="D390" s="312"/>
    </row>
    <row r="391" spans="1:4">
      <c r="A391" s="336"/>
      <c r="C391" s="312"/>
      <c r="D391" s="312"/>
    </row>
    <row r="392" spans="1:4">
      <c r="A392" s="336"/>
      <c r="C392" s="312"/>
      <c r="D392" s="312"/>
    </row>
    <row r="393" spans="1:4">
      <c r="D393" s="312"/>
    </row>
    <row r="394" spans="1:4">
      <c r="A394" s="336"/>
      <c r="C394" s="312"/>
      <c r="D394" s="312"/>
    </row>
    <row r="395" spans="1:4">
      <c r="C395" s="312"/>
      <c r="D395" s="312"/>
    </row>
    <row r="396" spans="1:4">
      <c r="C396" s="312"/>
      <c r="D396" s="312"/>
    </row>
    <row r="397" spans="1:4">
      <c r="C397" s="312"/>
      <c r="D397" s="312"/>
    </row>
    <row r="398" spans="1:4">
      <c r="C398" s="312"/>
      <c r="D398" s="312"/>
    </row>
    <row r="399" spans="1:4">
      <c r="C399" s="312"/>
      <c r="D399" s="312"/>
    </row>
    <row r="400" spans="1:4">
      <c r="A400" s="336"/>
      <c r="C400" s="312"/>
      <c r="D400" s="312"/>
    </row>
    <row r="401" spans="1:4">
      <c r="C401" s="312"/>
      <c r="D401" s="312"/>
    </row>
    <row r="402" spans="1:4">
      <c r="C402" s="312"/>
      <c r="D402" s="312"/>
    </row>
    <row r="403" spans="1:4">
      <c r="C403" s="312"/>
      <c r="D403" s="312"/>
    </row>
    <row r="404" spans="1:4">
      <c r="C404" s="312"/>
      <c r="D404" s="312"/>
    </row>
    <row r="405" spans="1:4">
      <c r="C405" s="312"/>
      <c r="D405" s="312"/>
    </row>
    <row r="406" spans="1:4">
      <c r="A406" s="336"/>
      <c r="C406" s="312"/>
      <c r="D406" s="312"/>
    </row>
    <row r="407" spans="1:4">
      <c r="C407" s="312"/>
      <c r="D407" s="312"/>
    </row>
    <row r="408" spans="1:4">
      <c r="A408" s="336"/>
      <c r="C408" s="312"/>
      <c r="D408" s="312"/>
    </row>
    <row r="409" spans="1:4">
      <c r="A409" s="336"/>
      <c r="C409" s="312"/>
      <c r="D409" s="312"/>
    </row>
    <row r="410" spans="1:4">
      <c r="C410" s="312"/>
      <c r="D410" s="312"/>
    </row>
    <row r="411" spans="1:4">
      <c r="C411" s="312"/>
      <c r="D411" s="312"/>
    </row>
    <row r="412" spans="1:4">
      <c r="C412" s="312"/>
      <c r="D412" s="312"/>
    </row>
    <row r="413" spans="1:4">
      <c r="B413" s="1500"/>
      <c r="C413" s="312"/>
      <c r="D413" s="312"/>
    </row>
    <row r="414" spans="1:4">
      <c r="C414" s="312"/>
      <c r="D414" s="312"/>
    </row>
    <row r="415" spans="1:4">
      <c r="A415" s="336"/>
      <c r="C415" s="312"/>
      <c r="D415" s="312"/>
    </row>
    <row r="416" spans="1:4">
      <c r="C416" s="312"/>
      <c r="D416" s="312"/>
    </row>
    <row r="417" spans="1:4">
      <c r="C417" s="312"/>
      <c r="D417" s="312"/>
    </row>
    <row r="418" spans="1:4">
      <c r="C418" s="312"/>
      <c r="D418" s="312"/>
    </row>
    <row r="419" spans="1:4">
      <c r="C419" s="312"/>
      <c r="D419" s="312"/>
    </row>
    <row r="420" spans="1:4">
      <c r="C420" s="312"/>
      <c r="D420" s="312"/>
    </row>
    <row r="421" spans="1:4">
      <c r="A421" s="336"/>
      <c r="C421" s="312"/>
      <c r="D421" s="312"/>
    </row>
    <row r="422" spans="1:4">
      <c r="C422" s="312"/>
      <c r="D422" s="312"/>
    </row>
    <row r="423" spans="1:4">
      <c r="A423" s="336"/>
      <c r="C423" s="312"/>
      <c r="D423" s="312"/>
    </row>
    <row r="424" spans="1:4">
      <c r="D424" s="312"/>
    </row>
    <row r="425" spans="1:4">
      <c r="D425" s="312"/>
    </row>
    <row r="426" spans="1:4">
      <c r="D426" s="312"/>
    </row>
    <row r="427" spans="1:4">
      <c r="D427" s="312"/>
    </row>
    <row r="428" spans="1:4">
      <c r="D428" s="312"/>
    </row>
    <row r="429" spans="1:4">
      <c r="D429" s="312"/>
    </row>
    <row r="430" spans="1:4">
      <c r="D430" s="312"/>
    </row>
    <row r="431" spans="1:4">
      <c r="D431" s="312"/>
    </row>
    <row r="432" spans="1:4">
      <c r="D432" s="312"/>
    </row>
    <row r="433" spans="4:4">
      <c r="D433" s="312"/>
    </row>
    <row r="434" spans="4:4">
      <c r="D434" s="312"/>
    </row>
    <row r="435" spans="4:4">
      <c r="D435" s="312"/>
    </row>
    <row r="436" spans="4:4">
      <c r="D436" s="312"/>
    </row>
  </sheetData>
  <sheetProtection algorithmName="SHA-512" hashValue="G+ysCNqTXuli1NFDW32IVCsPcynoc6G+YzdGrS+SWEhyKJQ4wGQta4Zji+m0IpWb954N26HAVBmY8dk5OcRFqw==" saltValue="Oekz6BhcCyts7GX1XLSqPg==" spinCount="100000" sheet="1" objects="1" scenarios="1"/>
  <pageMargins left="0.7583333333333333" right="0.39374999999999999" top="0.88958333333333328" bottom="0.59055118110236227" header="0" footer="0"/>
  <pageSetup paperSize="9" scale="70" orientation="portrait" horizontalDpi="4294967293"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rowBreaks count="4" manualBreakCount="4">
    <brk id="38" max="16383" man="1"/>
    <brk id="81" max="16383" man="1"/>
    <brk id="125" max="16383" man="1"/>
    <brk id="30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2:G226"/>
  <sheetViews>
    <sheetView topLeftCell="A47" zoomScale="70" zoomScaleNormal="70" workbookViewId="0">
      <selection activeCell="G54" sqref="G54"/>
    </sheetView>
  </sheetViews>
  <sheetFormatPr defaultRowHeight="15.6"/>
  <cols>
    <col min="1" max="1" width="6.6640625" style="981" customWidth="1"/>
    <col min="2" max="2" width="66.6640625" style="987" customWidth="1"/>
    <col min="3" max="3" width="7.6640625" style="983" customWidth="1"/>
    <col min="4" max="4" width="7.88671875" style="966" customWidth="1"/>
    <col min="5" max="5" width="14.44140625" style="1292" customWidth="1"/>
    <col min="6" max="6" width="21.5546875" style="1311" customWidth="1"/>
    <col min="7" max="7" width="10.109375" style="955" bestFit="1" customWidth="1"/>
    <col min="8" max="8" width="45.5546875" style="955" customWidth="1"/>
    <col min="9" max="9" width="9.109375" style="955"/>
    <col min="10" max="10" width="7.109375" style="955" customWidth="1"/>
    <col min="11" max="256" width="9.109375" style="955"/>
    <col min="257" max="257" width="6.6640625" style="955" customWidth="1"/>
    <col min="258" max="258" width="66.6640625" style="955" customWidth="1"/>
    <col min="259" max="259" width="7.6640625" style="955" customWidth="1"/>
    <col min="260" max="260" width="7.88671875" style="955" customWidth="1"/>
    <col min="261" max="261" width="14.44140625" style="955" customWidth="1"/>
    <col min="262" max="262" width="21.5546875" style="955" customWidth="1"/>
    <col min="263" max="263" width="10.109375" style="955" bestFit="1" customWidth="1"/>
    <col min="264" max="264" width="45.5546875" style="955" customWidth="1"/>
    <col min="265" max="265" width="9.109375" style="955"/>
    <col min="266" max="266" width="7.109375" style="955" customWidth="1"/>
    <col min="267" max="512" width="9.109375" style="955"/>
    <col min="513" max="513" width="6.6640625" style="955" customWidth="1"/>
    <col min="514" max="514" width="66.6640625" style="955" customWidth="1"/>
    <col min="515" max="515" width="7.6640625" style="955" customWidth="1"/>
    <col min="516" max="516" width="7.88671875" style="955" customWidth="1"/>
    <col min="517" max="517" width="14.44140625" style="955" customWidth="1"/>
    <col min="518" max="518" width="21.5546875" style="955" customWidth="1"/>
    <col min="519" max="519" width="10.109375" style="955" bestFit="1" customWidth="1"/>
    <col min="520" max="520" width="45.5546875" style="955" customWidth="1"/>
    <col min="521" max="521" width="9.109375" style="955"/>
    <col min="522" max="522" width="7.109375" style="955" customWidth="1"/>
    <col min="523" max="768" width="9.109375" style="955"/>
    <col min="769" max="769" width="6.6640625" style="955" customWidth="1"/>
    <col min="770" max="770" width="66.6640625" style="955" customWidth="1"/>
    <col min="771" max="771" width="7.6640625" style="955" customWidth="1"/>
    <col min="772" max="772" width="7.88671875" style="955" customWidth="1"/>
    <col min="773" max="773" width="14.44140625" style="955" customWidth="1"/>
    <col min="774" max="774" width="21.5546875" style="955" customWidth="1"/>
    <col min="775" max="775" width="10.109375" style="955" bestFit="1" customWidth="1"/>
    <col min="776" max="776" width="45.5546875" style="955" customWidth="1"/>
    <col min="777" max="777" width="9.109375" style="955"/>
    <col min="778" max="778" width="7.109375" style="955" customWidth="1"/>
    <col min="779" max="1024" width="9.109375" style="955"/>
    <col min="1025" max="1025" width="6.6640625" style="955" customWidth="1"/>
    <col min="1026" max="1026" width="66.6640625" style="955" customWidth="1"/>
    <col min="1027" max="1027" width="7.6640625" style="955" customWidth="1"/>
    <col min="1028" max="1028" width="7.88671875" style="955" customWidth="1"/>
    <col min="1029" max="1029" width="14.44140625" style="955" customWidth="1"/>
    <col min="1030" max="1030" width="21.5546875" style="955" customWidth="1"/>
    <col min="1031" max="1031" width="10.109375" style="955" bestFit="1" customWidth="1"/>
    <col min="1032" max="1032" width="45.5546875" style="955" customWidth="1"/>
    <col min="1033" max="1033" width="9.109375" style="955"/>
    <col min="1034" max="1034" width="7.109375" style="955" customWidth="1"/>
    <col min="1035" max="1280" width="9.109375" style="955"/>
    <col min="1281" max="1281" width="6.6640625" style="955" customWidth="1"/>
    <col min="1282" max="1282" width="66.6640625" style="955" customWidth="1"/>
    <col min="1283" max="1283" width="7.6640625" style="955" customWidth="1"/>
    <col min="1284" max="1284" width="7.88671875" style="955" customWidth="1"/>
    <col min="1285" max="1285" width="14.44140625" style="955" customWidth="1"/>
    <col min="1286" max="1286" width="21.5546875" style="955" customWidth="1"/>
    <col min="1287" max="1287" width="10.109375" style="955" bestFit="1" customWidth="1"/>
    <col min="1288" max="1288" width="45.5546875" style="955" customWidth="1"/>
    <col min="1289" max="1289" width="9.109375" style="955"/>
    <col min="1290" max="1290" width="7.109375" style="955" customWidth="1"/>
    <col min="1291" max="1536" width="9.109375" style="955"/>
    <col min="1537" max="1537" width="6.6640625" style="955" customWidth="1"/>
    <col min="1538" max="1538" width="66.6640625" style="955" customWidth="1"/>
    <col min="1539" max="1539" width="7.6640625" style="955" customWidth="1"/>
    <col min="1540" max="1540" width="7.88671875" style="955" customWidth="1"/>
    <col min="1541" max="1541" width="14.44140625" style="955" customWidth="1"/>
    <col min="1542" max="1542" width="21.5546875" style="955" customWidth="1"/>
    <col min="1543" max="1543" width="10.109375" style="955" bestFit="1" customWidth="1"/>
    <col min="1544" max="1544" width="45.5546875" style="955" customWidth="1"/>
    <col min="1545" max="1545" width="9.109375" style="955"/>
    <col min="1546" max="1546" width="7.109375" style="955" customWidth="1"/>
    <col min="1547" max="1792" width="9.109375" style="955"/>
    <col min="1793" max="1793" width="6.6640625" style="955" customWidth="1"/>
    <col min="1794" max="1794" width="66.6640625" style="955" customWidth="1"/>
    <col min="1795" max="1795" width="7.6640625" style="955" customWidth="1"/>
    <col min="1796" max="1796" width="7.88671875" style="955" customWidth="1"/>
    <col min="1797" max="1797" width="14.44140625" style="955" customWidth="1"/>
    <col min="1798" max="1798" width="21.5546875" style="955" customWidth="1"/>
    <col min="1799" max="1799" width="10.109375" style="955" bestFit="1" customWidth="1"/>
    <col min="1800" max="1800" width="45.5546875" style="955" customWidth="1"/>
    <col min="1801" max="1801" width="9.109375" style="955"/>
    <col min="1802" max="1802" width="7.109375" style="955" customWidth="1"/>
    <col min="1803" max="2048" width="9.109375" style="955"/>
    <col min="2049" max="2049" width="6.6640625" style="955" customWidth="1"/>
    <col min="2050" max="2050" width="66.6640625" style="955" customWidth="1"/>
    <col min="2051" max="2051" width="7.6640625" style="955" customWidth="1"/>
    <col min="2052" max="2052" width="7.88671875" style="955" customWidth="1"/>
    <col min="2053" max="2053" width="14.44140625" style="955" customWidth="1"/>
    <col min="2054" max="2054" width="21.5546875" style="955" customWidth="1"/>
    <col min="2055" max="2055" width="10.109375" style="955" bestFit="1" customWidth="1"/>
    <col min="2056" max="2056" width="45.5546875" style="955" customWidth="1"/>
    <col min="2057" max="2057" width="9.109375" style="955"/>
    <col min="2058" max="2058" width="7.109375" style="955" customWidth="1"/>
    <col min="2059" max="2304" width="9.109375" style="955"/>
    <col min="2305" max="2305" width="6.6640625" style="955" customWidth="1"/>
    <col min="2306" max="2306" width="66.6640625" style="955" customWidth="1"/>
    <col min="2307" max="2307" width="7.6640625" style="955" customWidth="1"/>
    <col min="2308" max="2308" width="7.88671875" style="955" customWidth="1"/>
    <col min="2309" max="2309" width="14.44140625" style="955" customWidth="1"/>
    <col min="2310" max="2310" width="21.5546875" style="955" customWidth="1"/>
    <col min="2311" max="2311" width="10.109375" style="955" bestFit="1" customWidth="1"/>
    <col min="2312" max="2312" width="45.5546875" style="955" customWidth="1"/>
    <col min="2313" max="2313" width="9.109375" style="955"/>
    <col min="2314" max="2314" width="7.109375" style="955" customWidth="1"/>
    <col min="2315" max="2560" width="9.109375" style="955"/>
    <col min="2561" max="2561" width="6.6640625" style="955" customWidth="1"/>
    <col min="2562" max="2562" width="66.6640625" style="955" customWidth="1"/>
    <col min="2563" max="2563" width="7.6640625" style="955" customWidth="1"/>
    <col min="2564" max="2564" width="7.88671875" style="955" customWidth="1"/>
    <col min="2565" max="2565" width="14.44140625" style="955" customWidth="1"/>
    <col min="2566" max="2566" width="21.5546875" style="955" customWidth="1"/>
    <col min="2567" max="2567" width="10.109375" style="955" bestFit="1" customWidth="1"/>
    <col min="2568" max="2568" width="45.5546875" style="955" customWidth="1"/>
    <col min="2569" max="2569" width="9.109375" style="955"/>
    <col min="2570" max="2570" width="7.109375" style="955" customWidth="1"/>
    <col min="2571" max="2816" width="9.109375" style="955"/>
    <col min="2817" max="2817" width="6.6640625" style="955" customWidth="1"/>
    <col min="2818" max="2818" width="66.6640625" style="955" customWidth="1"/>
    <col min="2819" max="2819" width="7.6640625" style="955" customWidth="1"/>
    <col min="2820" max="2820" width="7.88671875" style="955" customWidth="1"/>
    <col min="2821" max="2821" width="14.44140625" style="955" customWidth="1"/>
    <col min="2822" max="2822" width="21.5546875" style="955" customWidth="1"/>
    <col min="2823" max="2823" width="10.109375" style="955" bestFit="1" customWidth="1"/>
    <col min="2824" max="2824" width="45.5546875" style="955" customWidth="1"/>
    <col min="2825" max="2825" width="9.109375" style="955"/>
    <col min="2826" max="2826" width="7.109375" style="955" customWidth="1"/>
    <col min="2827" max="3072" width="9.109375" style="955"/>
    <col min="3073" max="3073" width="6.6640625" style="955" customWidth="1"/>
    <col min="3074" max="3074" width="66.6640625" style="955" customWidth="1"/>
    <col min="3075" max="3075" width="7.6640625" style="955" customWidth="1"/>
    <col min="3076" max="3076" width="7.88671875" style="955" customWidth="1"/>
    <col min="3077" max="3077" width="14.44140625" style="955" customWidth="1"/>
    <col min="3078" max="3078" width="21.5546875" style="955" customWidth="1"/>
    <col min="3079" max="3079" width="10.109375" style="955" bestFit="1" customWidth="1"/>
    <col min="3080" max="3080" width="45.5546875" style="955" customWidth="1"/>
    <col min="3081" max="3081" width="9.109375" style="955"/>
    <col min="3082" max="3082" width="7.109375" style="955" customWidth="1"/>
    <col min="3083" max="3328" width="9.109375" style="955"/>
    <col min="3329" max="3329" width="6.6640625" style="955" customWidth="1"/>
    <col min="3330" max="3330" width="66.6640625" style="955" customWidth="1"/>
    <col min="3331" max="3331" width="7.6640625" style="955" customWidth="1"/>
    <col min="3332" max="3332" width="7.88671875" style="955" customWidth="1"/>
    <col min="3333" max="3333" width="14.44140625" style="955" customWidth="1"/>
    <col min="3334" max="3334" width="21.5546875" style="955" customWidth="1"/>
    <col min="3335" max="3335" width="10.109375" style="955" bestFit="1" customWidth="1"/>
    <col min="3336" max="3336" width="45.5546875" style="955" customWidth="1"/>
    <col min="3337" max="3337" width="9.109375" style="955"/>
    <col min="3338" max="3338" width="7.109375" style="955" customWidth="1"/>
    <col min="3339" max="3584" width="9.109375" style="955"/>
    <col min="3585" max="3585" width="6.6640625" style="955" customWidth="1"/>
    <col min="3586" max="3586" width="66.6640625" style="955" customWidth="1"/>
    <col min="3587" max="3587" width="7.6640625" style="955" customWidth="1"/>
    <col min="3588" max="3588" width="7.88671875" style="955" customWidth="1"/>
    <col min="3589" max="3589" width="14.44140625" style="955" customWidth="1"/>
    <col min="3590" max="3590" width="21.5546875" style="955" customWidth="1"/>
    <col min="3591" max="3591" width="10.109375" style="955" bestFit="1" customWidth="1"/>
    <col min="3592" max="3592" width="45.5546875" style="955" customWidth="1"/>
    <col min="3593" max="3593" width="9.109375" style="955"/>
    <col min="3594" max="3594" width="7.109375" style="955" customWidth="1"/>
    <col min="3595" max="3840" width="9.109375" style="955"/>
    <col min="3841" max="3841" width="6.6640625" style="955" customWidth="1"/>
    <col min="3842" max="3842" width="66.6640625" style="955" customWidth="1"/>
    <col min="3843" max="3843" width="7.6640625" style="955" customWidth="1"/>
    <col min="3844" max="3844" width="7.88671875" style="955" customWidth="1"/>
    <col min="3845" max="3845" width="14.44140625" style="955" customWidth="1"/>
    <col min="3846" max="3846" width="21.5546875" style="955" customWidth="1"/>
    <col min="3847" max="3847" width="10.109375" style="955" bestFit="1" customWidth="1"/>
    <col min="3848" max="3848" width="45.5546875" style="955" customWidth="1"/>
    <col min="3849" max="3849" width="9.109375" style="955"/>
    <col min="3850" max="3850" width="7.109375" style="955" customWidth="1"/>
    <col min="3851" max="4096" width="9.109375" style="955"/>
    <col min="4097" max="4097" width="6.6640625" style="955" customWidth="1"/>
    <col min="4098" max="4098" width="66.6640625" style="955" customWidth="1"/>
    <col min="4099" max="4099" width="7.6640625" style="955" customWidth="1"/>
    <col min="4100" max="4100" width="7.88671875" style="955" customWidth="1"/>
    <col min="4101" max="4101" width="14.44140625" style="955" customWidth="1"/>
    <col min="4102" max="4102" width="21.5546875" style="955" customWidth="1"/>
    <col min="4103" max="4103" width="10.109375" style="955" bestFit="1" customWidth="1"/>
    <col min="4104" max="4104" width="45.5546875" style="955" customWidth="1"/>
    <col min="4105" max="4105" width="9.109375" style="955"/>
    <col min="4106" max="4106" width="7.109375" style="955" customWidth="1"/>
    <col min="4107" max="4352" width="9.109375" style="955"/>
    <col min="4353" max="4353" width="6.6640625" style="955" customWidth="1"/>
    <col min="4354" max="4354" width="66.6640625" style="955" customWidth="1"/>
    <col min="4355" max="4355" width="7.6640625" style="955" customWidth="1"/>
    <col min="4356" max="4356" width="7.88671875" style="955" customWidth="1"/>
    <col min="4357" max="4357" width="14.44140625" style="955" customWidth="1"/>
    <col min="4358" max="4358" width="21.5546875" style="955" customWidth="1"/>
    <col min="4359" max="4359" width="10.109375" style="955" bestFit="1" customWidth="1"/>
    <col min="4360" max="4360" width="45.5546875" style="955" customWidth="1"/>
    <col min="4361" max="4361" width="9.109375" style="955"/>
    <col min="4362" max="4362" width="7.109375" style="955" customWidth="1"/>
    <col min="4363" max="4608" width="9.109375" style="955"/>
    <col min="4609" max="4609" width="6.6640625" style="955" customWidth="1"/>
    <col min="4610" max="4610" width="66.6640625" style="955" customWidth="1"/>
    <col min="4611" max="4611" width="7.6640625" style="955" customWidth="1"/>
    <col min="4612" max="4612" width="7.88671875" style="955" customWidth="1"/>
    <col min="4613" max="4613" width="14.44140625" style="955" customWidth="1"/>
    <col min="4614" max="4614" width="21.5546875" style="955" customWidth="1"/>
    <col min="4615" max="4615" width="10.109375" style="955" bestFit="1" customWidth="1"/>
    <col min="4616" max="4616" width="45.5546875" style="955" customWidth="1"/>
    <col min="4617" max="4617" width="9.109375" style="955"/>
    <col min="4618" max="4618" width="7.109375" style="955" customWidth="1"/>
    <col min="4619" max="4864" width="9.109375" style="955"/>
    <col min="4865" max="4865" width="6.6640625" style="955" customWidth="1"/>
    <col min="4866" max="4866" width="66.6640625" style="955" customWidth="1"/>
    <col min="4867" max="4867" width="7.6640625" style="955" customWidth="1"/>
    <col min="4868" max="4868" width="7.88671875" style="955" customWidth="1"/>
    <col min="4869" max="4869" width="14.44140625" style="955" customWidth="1"/>
    <col min="4870" max="4870" width="21.5546875" style="955" customWidth="1"/>
    <col min="4871" max="4871" width="10.109375" style="955" bestFit="1" customWidth="1"/>
    <col min="4872" max="4872" width="45.5546875" style="955" customWidth="1"/>
    <col min="4873" max="4873" width="9.109375" style="955"/>
    <col min="4874" max="4874" width="7.109375" style="955" customWidth="1"/>
    <col min="4875" max="5120" width="9.109375" style="955"/>
    <col min="5121" max="5121" width="6.6640625" style="955" customWidth="1"/>
    <col min="5122" max="5122" width="66.6640625" style="955" customWidth="1"/>
    <col min="5123" max="5123" width="7.6640625" style="955" customWidth="1"/>
    <col min="5124" max="5124" width="7.88671875" style="955" customWidth="1"/>
    <col min="5125" max="5125" width="14.44140625" style="955" customWidth="1"/>
    <col min="5126" max="5126" width="21.5546875" style="955" customWidth="1"/>
    <col min="5127" max="5127" width="10.109375" style="955" bestFit="1" customWidth="1"/>
    <col min="5128" max="5128" width="45.5546875" style="955" customWidth="1"/>
    <col min="5129" max="5129" width="9.109375" style="955"/>
    <col min="5130" max="5130" width="7.109375" style="955" customWidth="1"/>
    <col min="5131" max="5376" width="9.109375" style="955"/>
    <col min="5377" max="5377" width="6.6640625" style="955" customWidth="1"/>
    <col min="5378" max="5378" width="66.6640625" style="955" customWidth="1"/>
    <col min="5379" max="5379" width="7.6640625" style="955" customWidth="1"/>
    <col min="5380" max="5380" width="7.88671875" style="955" customWidth="1"/>
    <col min="5381" max="5381" width="14.44140625" style="955" customWidth="1"/>
    <col min="5382" max="5382" width="21.5546875" style="955" customWidth="1"/>
    <col min="5383" max="5383" width="10.109375" style="955" bestFit="1" customWidth="1"/>
    <col min="5384" max="5384" width="45.5546875" style="955" customWidth="1"/>
    <col min="5385" max="5385" width="9.109375" style="955"/>
    <col min="5386" max="5386" width="7.109375" style="955" customWidth="1"/>
    <col min="5387" max="5632" width="9.109375" style="955"/>
    <col min="5633" max="5633" width="6.6640625" style="955" customWidth="1"/>
    <col min="5634" max="5634" width="66.6640625" style="955" customWidth="1"/>
    <col min="5635" max="5635" width="7.6640625" style="955" customWidth="1"/>
    <col min="5636" max="5636" width="7.88671875" style="955" customWidth="1"/>
    <col min="5637" max="5637" width="14.44140625" style="955" customWidth="1"/>
    <col min="5638" max="5638" width="21.5546875" style="955" customWidth="1"/>
    <col min="5639" max="5639" width="10.109375" style="955" bestFit="1" customWidth="1"/>
    <col min="5640" max="5640" width="45.5546875" style="955" customWidth="1"/>
    <col min="5641" max="5641" width="9.109375" style="955"/>
    <col min="5642" max="5642" width="7.109375" style="955" customWidth="1"/>
    <col min="5643" max="5888" width="9.109375" style="955"/>
    <col min="5889" max="5889" width="6.6640625" style="955" customWidth="1"/>
    <col min="5890" max="5890" width="66.6640625" style="955" customWidth="1"/>
    <col min="5891" max="5891" width="7.6640625" style="955" customWidth="1"/>
    <col min="5892" max="5892" width="7.88671875" style="955" customWidth="1"/>
    <col min="5893" max="5893" width="14.44140625" style="955" customWidth="1"/>
    <col min="5894" max="5894" width="21.5546875" style="955" customWidth="1"/>
    <col min="5895" max="5895" width="10.109375" style="955" bestFit="1" customWidth="1"/>
    <col min="5896" max="5896" width="45.5546875" style="955" customWidth="1"/>
    <col min="5897" max="5897" width="9.109375" style="955"/>
    <col min="5898" max="5898" width="7.109375" style="955" customWidth="1"/>
    <col min="5899" max="6144" width="9.109375" style="955"/>
    <col min="6145" max="6145" width="6.6640625" style="955" customWidth="1"/>
    <col min="6146" max="6146" width="66.6640625" style="955" customWidth="1"/>
    <col min="6147" max="6147" width="7.6640625" style="955" customWidth="1"/>
    <col min="6148" max="6148" width="7.88671875" style="955" customWidth="1"/>
    <col min="6149" max="6149" width="14.44140625" style="955" customWidth="1"/>
    <col min="6150" max="6150" width="21.5546875" style="955" customWidth="1"/>
    <col min="6151" max="6151" width="10.109375" style="955" bestFit="1" customWidth="1"/>
    <col min="6152" max="6152" width="45.5546875" style="955" customWidth="1"/>
    <col min="6153" max="6153" width="9.109375" style="955"/>
    <col min="6154" max="6154" width="7.109375" style="955" customWidth="1"/>
    <col min="6155" max="6400" width="9.109375" style="955"/>
    <col min="6401" max="6401" width="6.6640625" style="955" customWidth="1"/>
    <col min="6402" max="6402" width="66.6640625" style="955" customWidth="1"/>
    <col min="6403" max="6403" width="7.6640625" style="955" customWidth="1"/>
    <col min="6404" max="6404" width="7.88671875" style="955" customWidth="1"/>
    <col min="6405" max="6405" width="14.44140625" style="955" customWidth="1"/>
    <col min="6406" max="6406" width="21.5546875" style="955" customWidth="1"/>
    <col min="6407" max="6407" width="10.109375" style="955" bestFit="1" customWidth="1"/>
    <col min="6408" max="6408" width="45.5546875" style="955" customWidth="1"/>
    <col min="6409" max="6409" width="9.109375" style="955"/>
    <col min="6410" max="6410" width="7.109375" style="955" customWidth="1"/>
    <col min="6411" max="6656" width="9.109375" style="955"/>
    <col min="6657" max="6657" width="6.6640625" style="955" customWidth="1"/>
    <col min="6658" max="6658" width="66.6640625" style="955" customWidth="1"/>
    <col min="6659" max="6659" width="7.6640625" style="955" customWidth="1"/>
    <col min="6660" max="6660" width="7.88671875" style="955" customWidth="1"/>
    <col min="6661" max="6661" width="14.44140625" style="955" customWidth="1"/>
    <col min="6662" max="6662" width="21.5546875" style="955" customWidth="1"/>
    <col min="6663" max="6663" width="10.109375" style="955" bestFit="1" customWidth="1"/>
    <col min="6664" max="6664" width="45.5546875" style="955" customWidth="1"/>
    <col min="6665" max="6665" width="9.109375" style="955"/>
    <col min="6666" max="6666" width="7.109375" style="955" customWidth="1"/>
    <col min="6667" max="6912" width="9.109375" style="955"/>
    <col min="6913" max="6913" width="6.6640625" style="955" customWidth="1"/>
    <col min="6914" max="6914" width="66.6640625" style="955" customWidth="1"/>
    <col min="6915" max="6915" width="7.6640625" style="955" customWidth="1"/>
    <col min="6916" max="6916" width="7.88671875" style="955" customWidth="1"/>
    <col min="6917" max="6917" width="14.44140625" style="955" customWidth="1"/>
    <col min="6918" max="6918" width="21.5546875" style="955" customWidth="1"/>
    <col min="6919" max="6919" width="10.109375" style="955" bestFit="1" customWidth="1"/>
    <col min="6920" max="6920" width="45.5546875" style="955" customWidth="1"/>
    <col min="6921" max="6921" width="9.109375" style="955"/>
    <col min="6922" max="6922" width="7.109375" style="955" customWidth="1"/>
    <col min="6923" max="7168" width="9.109375" style="955"/>
    <col min="7169" max="7169" width="6.6640625" style="955" customWidth="1"/>
    <col min="7170" max="7170" width="66.6640625" style="955" customWidth="1"/>
    <col min="7171" max="7171" width="7.6640625" style="955" customWidth="1"/>
    <col min="7172" max="7172" width="7.88671875" style="955" customWidth="1"/>
    <col min="7173" max="7173" width="14.44140625" style="955" customWidth="1"/>
    <col min="7174" max="7174" width="21.5546875" style="955" customWidth="1"/>
    <col min="7175" max="7175" width="10.109375" style="955" bestFit="1" customWidth="1"/>
    <col min="7176" max="7176" width="45.5546875" style="955" customWidth="1"/>
    <col min="7177" max="7177" width="9.109375" style="955"/>
    <col min="7178" max="7178" width="7.109375" style="955" customWidth="1"/>
    <col min="7179" max="7424" width="9.109375" style="955"/>
    <col min="7425" max="7425" width="6.6640625" style="955" customWidth="1"/>
    <col min="7426" max="7426" width="66.6640625" style="955" customWidth="1"/>
    <col min="7427" max="7427" width="7.6640625" style="955" customWidth="1"/>
    <col min="7428" max="7428" width="7.88671875" style="955" customWidth="1"/>
    <col min="7429" max="7429" width="14.44140625" style="955" customWidth="1"/>
    <col min="7430" max="7430" width="21.5546875" style="955" customWidth="1"/>
    <col min="7431" max="7431" width="10.109375" style="955" bestFit="1" customWidth="1"/>
    <col min="7432" max="7432" width="45.5546875" style="955" customWidth="1"/>
    <col min="7433" max="7433" width="9.109375" style="955"/>
    <col min="7434" max="7434" width="7.109375" style="955" customWidth="1"/>
    <col min="7435" max="7680" width="9.109375" style="955"/>
    <col min="7681" max="7681" width="6.6640625" style="955" customWidth="1"/>
    <col min="7682" max="7682" width="66.6640625" style="955" customWidth="1"/>
    <col min="7683" max="7683" width="7.6640625" style="955" customWidth="1"/>
    <col min="7684" max="7684" width="7.88671875" style="955" customWidth="1"/>
    <col min="7685" max="7685" width="14.44140625" style="955" customWidth="1"/>
    <col min="7686" max="7686" width="21.5546875" style="955" customWidth="1"/>
    <col min="7687" max="7687" width="10.109375" style="955" bestFit="1" customWidth="1"/>
    <col min="7688" max="7688" width="45.5546875" style="955" customWidth="1"/>
    <col min="7689" max="7689" width="9.109375" style="955"/>
    <col min="7690" max="7690" width="7.109375" style="955" customWidth="1"/>
    <col min="7691" max="7936" width="9.109375" style="955"/>
    <col min="7937" max="7937" width="6.6640625" style="955" customWidth="1"/>
    <col min="7938" max="7938" width="66.6640625" style="955" customWidth="1"/>
    <col min="7939" max="7939" width="7.6640625" style="955" customWidth="1"/>
    <col min="7940" max="7940" width="7.88671875" style="955" customWidth="1"/>
    <col min="7941" max="7941" width="14.44140625" style="955" customWidth="1"/>
    <col min="7942" max="7942" width="21.5546875" style="955" customWidth="1"/>
    <col min="7943" max="7943" width="10.109375" style="955" bestFit="1" customWidth="1"/>
    <col min="7944" max="7944" width="45.5546875" style="955" customWidth="1"/>
    <col min="7945" max="7945" width="9.109375" style="955"/>
    <col min="7946" max="7946" width="7.109375" style="955" customWidth="1"/>
    <col min="7947" max="8192" width="9.109375" style="955"/>
    <col min="8193" max="8193" width="6.6640625" style="955" customWidth="1"/>
    <col min="8194" max="8194" width="66.6640625" style="955" customWidth="1"/>
    <col min="8195" max="8195" width="7.6640625" style="955" customWidth="1"/>
    <col min="8196" max="8196" width="7.88671875" style="955" customWidth="1"/>
    <col min="8197" max="8197" width="14.44140625" style="955" customWidth="1"/>
    <col min="8198" max="8198" width="21.5546875" style="955" customWidth="1"/>
    <col min="8199" max="8199" width="10.109375" style="955" bestFit="1" customWidth="1"/>
    <col min="8200" max="8200" width="45.5546875" style="955" customWidth="1"/>
    <col min="8201" max="8201" width="9.109375" style="955"/>
    <col min="8202" max="8202" width="7.109375" style="955" customWidth="1"/>
    <col min="8203" max="8448" width="9.109375" style="955"/>
    <col min="8449" max="8449" width="6.6640625" style="955" customWidth="1"/>
    <col min="8450" max="8450" width="66.6640625" style="955" customWidth="1"/>
    <col min="8451" max="8451" width="7.6640625" style="955" customWidth="1"/>
    <col min="8452" max="8452" width="7.88671875" style="955" customWidth="1"/>
    <col min="8453" max="8453" width="14.44140625" style="955" customWidth="1"/>
    <col min="8454" max="8454" width="21.5546875" style="955" customWidth="1"/>
    <col min="8455" max="8455" width="10.109375" style="955" bestFit="1" customWidth="1"/>
    <col min="8456" max="8456" width="45.5546875" style="955" customWidth="1"/>
    <col min="8457" max="8457" width="9.109375" style="955"/>
    <col min="8458" max="8458" width="7.109375" style="955" customWidth="1"/>
    <col min="8459" max="8704" width="9.109375" style="955"/>
    <col min="8705" max="8705" width="6.6640625" style="955" customWidth="1"/>
    <col min="8706" max="8706" width="66.6640625" style="955" customWidth="1"/>
    <col min="8707" max="8707" width="7.6640625" style="955" customWidth="1"/>
    <col min="8708" max="8708" width="7.88671875" style="955" customWidth="1"/>
    <col min="8709" max="8709" width="14.44140625" style="955" customWidth="1"/>
    <col min="8710" max="8710" width="21.5546875" style="955" customWidth="1"/>
    <col min="8711" max="8711" width="10.109375" style="955" bestFit="1" customWidth="1"/>
    <col min="8712" max="8712" width="45.5546875" style="955" customWidth="1"/>
    <col min="8713" max="8713" width="9.109375" style="955"/>
    <col min="8714" max="8714" width="7.109375" style="955" customWidth="1"/>
    <col min="8715" max="8960" width="9.109375" style="955"/>
    <col min="8961" max="8961" width="6.6640625" style="955" customWidth="1"/>
    <col min="8962" max="8962" width="66.6640625" style="955" customWidth="1"/>
    <col min="8963" max="8963" width="7.6640625" style="955" customWidth="1"/>
    <col min="8964" max="8964" width="7.88671875" style="955" customWidth="1"/>
    <col min="8965" max="8965" width="14.44140625" style="955" customWidth="1"/>
    <col min="8966" max="8966" width="21.5546875" style="955" customWidth="1"/>
    <col min="8967" max="8967" width="10.109375" style="955" bestFit="1" customWidth="1"/>
    <col min="8968" max="8968" width="45.5546875" style="955" customWidth="1"/>
    <col min="8969" max="8969" width="9.109375" style="955"/>
    <col min="8970" max="8970" width="7.109375" style="955" customWidth="1"/>
    <col min="8971" max="9216" width="9.109375" style="955"/>
    <col min="9217" max="9217" width="6.6640625" style="955" customWidth="1"/>
    <col min="9218" max="9218" width="66.6640625" style="955" customWidth="1"/>
    <col min="9219" max="9219" width="7.6640625" style="955" customWidth="1"/>
    <col min="9220" max="9220" width="7.88671875" style="955" customWidth="1"/>
    <col min="9221" max="9221" width="14.44140625" style="955" customWidth="1"/>
    <col min="9222" max="9222" width="21.5546875" style="955" customWidth="1"/>
    <col min="9223" max="9223" width="10.109375" style="955" bestFit="1" customWidth="1"/>
    <col min="9224" max="9224" width="45.5546875" style="955" customWidth="1"/>
    <col min="9225" max="9225" width="9.109375" style="955"/>
    <col min="9226" max="9226" width="7.109375" style="955" customWidth="1"/>
    <col min="9227" max="9472" width="9.109375" style="955"/>
    <col min="9473" max="9473" width="6.6640625" style="955" customWidth="1"/>
    <col min="9474" max="9474" width="66.6640625" style="955" customWidth="1"/>
    <col min="9475" max="9475" width="7.6640625" style="955" customWidth="1"/>
    <col min="9476" max="9476" width="7.88671875" style="955" customWidth="1"/>
    <col min="9477" max="9477" width="14.44140625" style="955" customWidth="1"/>
    <col min="9478" max="9478" width="21.5546875" style="955" customWidth="1"/>
    <col min="9479" max="9479" width="10.109375" style="955" bestFit="1" customWidth="1"/>
    <col min="9480" max="9480" width="45.5546875" style="955" customWidth="1"/>
    <col min="9481" max="9481" width="9.109375" style="955"/>
    <col min="9482" max="9482" width="7.109375" style="955" customWidth="1"/>
    <col min="9483" max="9728" width="9.109375" style="955"/>
    <col min="9729" max="9729" width="6.6640625" style="955" customWidth="1"/>
    <col min="9730" max="9730" width="66.6640625" style="955" customWidth="1"/>
    <col min="9731" max="9731" width="7.6640625" style="955" customWidth="1"/>
    <col min="9732" max="9732" width="7.88671875" style="955" customWidth="1"/>
    <col min="9733" max="9733" width="14.44140625" style="955" customWidth="1"/>
    <col min="9734" max="9734" width="21.5546875" style="955" customWidth="1"/>
    <col min="9735" max="9735" width="10.109375" style="955" bestFit="1" customWidth="1"/>
    <col min="9736" max="9736" width="45.5546875" style="955" customWidth="1"/>
    <col min="9737" max="9737" width="9.109375" style="955"/>
    <col min="9738" max="9738" width="7.109375" style="955" customWidth="1"/>
    <col min="9739" max="9984" width="9.109375" style="955"/>
    <col min="9985" max="9985" width="6.6640625" style="955" customWidth="1"/>
    <col min="9986" max="9986" width="66.6640625" style="955" customWidth="1"/>
    <col min="9987" max="9987" width="7.6640625" style="955" customWidth="1"/>
    <col min="9988" max="9988" width="7.88671875" style="955" customWidth="1"/>
    <col min="9989" max="9989" width="14.44140625" style="955" customWidth="1"/>
    <col min="9990" max="9990" width="21.5546875" style="955" customWidth="1"/>
    <col min="9991" max="9991" width="10.109375" style="955" bestFit="1" customWidth="1"/>
    <col min="9992" max="9992" width="45.5546875" style="955" customWidth="1"/>
    <col min="9993" max="9993" width="9.109375" style="955"/>
    <col min="9994" max="9994" width="7.109375" style="955" customWidth="1"/>
    <col min="9995" max="10240" width="9.109375" style="955"/>
    <col min="10241" max="10241" width="6.6640625" style="955" customWidth="1"/>
    <col min="10242" max="10242" width="66.6640625" style="955" customWidth="1"/>
    <col min="10243" max="10243" width="7.6640625" style="955" customWidth="1"/>
    <col min="10244" max="10244" width="7.88671875" style="955" customWidth="1"/>
    <col min="10245" max="10245" width="14.44140625" style="955" customWidth="1"/>
    <col min="10246" max="10246" width="21.5546875" style="955" customWidth="1"/>
    <col min="10247" max="10247" width="10.109375" style="955" bestFit="1" customWidth="1"/>
    <col min="10248" max="10248" width="45.5546875" style="955" customWidth="1"/>
    <col min="10249" max="10249" width="9.109375" style="955"/>
    <col min="10250" max="10250" width="7.109375" style="955" customWidth="1"/>
    <col min="10251" max="10496" width="9.109375" style="955"/>
    <col min="10497" max="10497" width="6.6640625" style="955" customWidth="1"/>
    <col min="10498" max="10498" width="66.6640625" style="955" customWidth="1"/>
    <col min="10499" max="10499" width="7.6640625" style="955" customWidth="1"/>
    <col min="10500" max="10500" width="7.88671875" style="955" customWidth="1"/>
    <col min="10501" max="10501" width="14.44140625" style="955" customWidth="1"/>
    <col min="10502" max="10502" width="21.5546875" style="955" customWidth="1"/>
    <col min="10503" max="10503" width="10.109375" style="955" bestFit="1" customWidth="1"/>
    <col min="10504" max="10504" width="45.5546875" style="955" customWidth="1"/>
    <col min="10505" max="10505" width="9.109375" style="955"/>
    <col min="10506" max="10506" width="7.109375" style="955" customWidth="1"/>
    <col min="10507" max="10752" width="9.109375" style="955"/>
    <col min="10753" max="10753" width="6.6640625" style="955" customWidth="1"/>
    <col min="10754" max="10754" width="66.6640625" style="955" customWidth="1"/>
    <col min="10755" max="10755" width="7.6640625" style="955" customWidth="1"/>
    <col min="10756" max="10756" width="7.88671875" style="955" customWidth="1"/>
    <col min="10757" max="10757" width="14.44140625" style="955" customWidth="1"/>
    <col min="10758" max="10758" width="21.5546875" style="955" customWidth="1"/>
    <col min="10759" max="10759" width="10.109375" style="955" bestFit="1" customWidth="1"/>
    <col min="10760" max="10760" width="45.5546875" style="955" customWidth="1"/>
    <col min="10761" max="10761" width="9.109375" style="955"/>
    <col min="10762" max="10762" width="7.109375" style="955" customWidth="1"/>
    <col min="10763" max="11008" width="9.109375" style="955"/>
    <col min="11009" max="11009" width="6.6640625" style="955" customWidth="1"/>
    <col min="11010" max="11010" width="66.6640625" style="955" customWidth="1"/>
    <col min="11011" max="11011" width="7.6640625" style="955" customWidth="1"/>
    <col min="11012" max="11012" width="7.88671875" style="955" customWidth="1"/>
    <col min="11013" max="11013" width="14.44140625" style="955" customWidth="1"/>
    <col min="11014" max="11014" width="21.5546875" style="955" customWidth="1"/>
    <col min="11015" max="11015" width="10.109375" style="955" bestFit="1" customWidth="1"/>
    <col min="11016" max="11016" width="45.5546875" style="955" customWidth="1"/>
    <col min="11017" max="11017" width="9.109375" style="955"/>
    <col min="11018" max="11018" width="7.109375" style="955" customWidth="1"/>
    <col min="11019" max="11264" width="9.109375" style="955"/>
    <col min="11265" max="11265" width="6.6640625" style="955" customWidth="1"/>
    <col min="11266" max="11266" width="66.6640625" style="955" customWidth="1"/>
    <col min="11267" max="11267" width="7.6640625" style="955" customWidth="1"/>
    <col min="11268" max="11268" width="7.88671875" style="955" customWidth="1"/>
    <col min="11269" max="11269" width="14.44140625" style="955" customWidth="1"/>
    <col min="11270" max="11270" width="21.5546875" style="955" customWidth="1"/>
    <col min="11271" max="11271" width="10.109375" style="955" bestFit="1" customWidth="1"/>
    <col min="11272" max="11272" width="45.5546875" style="955" customWidth="1"/>
    <col min="11273" max="11273" width="9.109375" style="955"/>
    <col min="11274" max="11274" width="7.109375" style="955" customWidth="1"/>
    <col min="11275" max="11520" width="9.109375" style="955"/>
    <col min="11521" max="11521" width="6.6640625" style="955" customWidth="1"/>
    <col min="11522" max="11522" width="66.6640625" style="955" customWidth="1"/>
    <col min="11523" max="11523" width="7.6640625" style="955" customWidth="1"/>
    <col min="11524" max="11524" width="7.88671875" style="955" customWidth="1"/>
    <col min="11525" max="11525" width="14.44140625" style="955" customWidth="1"/>
    <col min="11526" max="11526" width="21.5546875" style="955" customWidth="1"/>
    <col min="11527" max="11527" width="10.109375" style="955" bestFit="1" customWidth="1"/>
    <col min="11528" max="11528" width="45.5546875" style="955" customWidth="1"/>
    <col min="11529" max="11529" width="9.109375" style="955"/>
    <col min="11530" max="11530" width="7.109375" style="955" customWidth="1"/>
    <col min="11531" max="11776" width="9.109375" style="955"/>
    <col min="11777" max="11777" width="6.6640625" style="955" customWidth="1"/>
    <col min="11778" max="11778" width="66.6640625" style="955" customWidth="1"/>
    <col min="11779" max="11779" width="7.6640625" style="955" customWidth="1"/>
    <col min="11780" max="11780" width="7.88671875" style="955" customWidth="1"/>
    <col min="11781" max="11781" width="14.44140625" style="955" customWidth="1"/>
    <col min="11782" max="11782" width="21.5546875" style="955" customWidth="1"/>
    <col min="11783" max="11783" width="10.109375" style="955" bestFit="1" customWidth="1"/>
    <col min="11784" max="11784" width="45.5546875" style="955" customWidth="1"/>
    <col min="11785" max="11785" width="9.109375" style="955"/>
    <col min="11786" max="11786" width="7.109375" style="955" customWidth="1"/>
    <col min="11787" max="12032" width="9.109375" style="955"/>
    <col min="12033" max="12033" width="6.6640625" style="955" customWidth="1"/>
    <col min="12034" max="12034" width="66.6640625" style="955" customWidth="1"/>
    <col min="12035" max="12035" width="7.6640625" style="955" customWidth="1"/>
    <col min="12036" max="12036" width="7.88671875" style="955" customWidth="1"/>
    <col min="12037" max="12037" width="14.44140625" style="955" customWidth="1"/>
    <col min="12038" max="12038" width="21.5546875" style="955" customWidth="1"/>
    <col min="12039" max="12039" width="10.109375" style="955" bestFit="1" customWidth="1"/>
    <col min="12040" max="12040" width="45.5546875" style="955" customWidth="1"/>
    <col min="12041" max="12041" width="9.109375" style="955"/>
    <col min="12042" max="12042" width="7.109375" style="955" customWidth="1"/>
    <col min="12043" max="12288" width="9.109375" style="955"/>
    <col min="12289" max="12289" width="6.6640625" style="955" customWidth="1"/>
    <col min="12290" max="12290" width="66.6640625" style="955" customWidth="1"/>
    <col min="12291" max="12291" width="7.6640625" style="955" customWidth="1"/>
    <col min="12292" max="12292" width="7.88671875" style="955" customWidth="1"/>
    <col min="12293" max="12293" width="14.44140625" style="955" customWidth="1"/>
    <col min="12294" max="12294" width="21.5546875" style="955" customWidth="1"/>
    <col min="12295" max="12295" width="10.109375" style="955" bestFit="1" customWidth="1"/>
    <col min="12296" max="12296" width="45.5546875" style="955" customWidth="1"/>
    <col min="12297" max="12297" width="9.109375" style="955"/>
    <col min="12298" max="12298" width="7.109375" style="955" customWidth="1"/>
    <col min="12299" max="12544" width="9.109375" style="955"/>
    <col min="12545" max="12545" width="6.6640625" style="955" customWidth="1"/>
    <col min="12546" max="12546" width="66.6640625" style="955" customWidth="1"/>
    <col min="12547" max="12547" width="7.6640625" style="955" customWidth="1"/>
    <col min="12548" max="12548" width="7.88671875" style="955" customWidth="1"/>
    <col min="12549" max="12549" width="14.44140625" style="955" customWidth="1"/>
    <col min="12550" max="12550" width="21.5546875" style="955" customWidth="1"/>
    <col min="12551" max="12551" width="10.109375" style="955" bestFit="1" customWidth="1"/>
    <col min="12552" max="12552" width="45.5546875" style="955" customWidth="1"/>
    <col min="12553" max="12553" width="9.109375" style="955"/>
    <col min="12554" max="12554" width="7.109375" style="955" customWidth="1"/>
    <col min="12555" max="12800" width="9.109375" style="955"/>
    <col min="12801" max="12801" width="6.6640625" style="955" customWidth="1"/>
    <col min="12802" max="12802" width="66.6640625" style="955" customWidth="1"/>
    <col min="12803" max="12803" width="7.6640625" style="955" customWidth="1"/>
    <col min="12804" max="12804" width="7.88671875" style="955" customWidth="1"/>
    <col min="12805" max="12805" width="14.44140625" style="955" customWidth="1"/>
    <col min="12806" max="12806" width="21.5546875" style="955" customWidth="1"/>
    <col min="12807" max="12807" width="10.109375" style="955" bestFit="1" customWidth="1"/>
    <col min="12808" max="12808" width="45.5546875" style="955" customWidth="1"/>
    <col min="12809" max="12809" width="9.109375" style="955"/>
    <col min="12810" max="12810" width="7.109375" style="955" customWidth="1"/>
    <col min="12811" max="13056" width="9.109375" style="955"/>
    <col min="13057" max="13057" width="6.6640625" style="955" customWidth="1"/>
    <col min="13058" max="13058" width="66.6640625" style="955" customWidth="1"/>
    <col min="13059" max="13059" width="7.6640625" style="955" customWidth="1"/>
    <col min="13060" max="13060" width="7.88671875" style="955" customWidth="1"/>
    <col min="13061" max="13061" width="14.44140625" style="955" customWidth="1"/>
    <col min="13062" max="13062" width="21.5546875" style="955" customWidth="1"/>
    <col min="13063" max="13063" width="10.109375" style="955" bestFit="1" customWidth="1"/>
    <col min="13064" max="13064" width="45.5546875" style="955" customWidth="1"/>
    <col min="13065" max="13065" width="9.109375" style="955"/>
    <col min="13066" max="13066" width="7.109375" style="955" customWidth="1"/>
    <col min="13067" max="13312" width="9.109375" style="955"/>
    <col min="13313" max="13313" width="6.6640625" style="955" customWidth="1"/>
    <col min="13314" max="13314" width="66.6640625" style="955" customWidth="1"/>
    <col min="13315" max="13315" width="7.6640625" style="955" customWidth="1"/>
    <col min="13316" max="13316" width="7.88671875" style="955" customWidth="1"/>
    <col min="13317" max="13317" width="14.44140625" style="955" customWidth="1"/>
    <col min="13318" max="13318" width="21.5546875" style="955" customWidth="1"/>
    <col min="13319" max="13319" width="10.109375" style="955" bestFit="1" customWidth="1"/>
    <col min="13320" max="13320" width="45.5546875" style="955" customWidth="1"/>
    <col min="13321" max="13321" width="9.109375" style="955"/>
    <col min="13322" max="13322" width="7.109375" style="955" customWidth="1"/>
    <col min="13323" max="13568" width="9.109375" style="955"/>
    <col min="13569" max="13569" width="6.6640625" style="955" customWidth="1"/>
    <col min="13570" max="13570" width="66.6640625" style="955" customWidth="1"/>
    <col min="13571" max="13571" width="7.6640625" style="955" customWidth="1"/>
    <col min="13572" max="13572" width="7.88671875" style="955" customWidth="1"/>
    <col min="13573" max="13573" width="14.44140625" style="955" customWidth="1"/>
    <col min="13574" max="13574" width="21.5546875" style="955" customWidth="1"/>
    <col min="13575" max="13575" width="10.109375" style="955" bestFit="1" customWidth="1"/>
    <col min="13576" max="13576" width="45.5546875" style="955" customWidth="1"/>
    <col min="13577" max="13577" width="9.109375" style="955"/>
    <col min="13578" max="13578" width="7.109375" style="955" customWidth="1"/>
    <col min="13579" max="13824" width="9.109375" style="955"/>
    <col min="13825" max="13825" width="6.6640625" style="955" customWidth="1"/>
    <col min="13826" max="13826" width="66.6640625" style="955" customWidth="1"/>
    <col min="13827" max="13827" width="7.6640625" style="955" customWidth="1"/>
    <col min="13828" max="13828" width="7.88671875" style="955" customWidth="1"/>
    <col min="13829" max="13829" width="14.44140625" style="955" customWidth="1"/>
    <col min="13830" max="13830" width="21.5546875" style="955" customWidth="1"/>
    <col min="13831" max="13831" width="10.109375" style="955" bestFit="1" customWidth="1"/>
    <col min="13832" max="13832" width="45.5546875" style="955" customWidth="1"/>
    <col min="13833" max="13833" width="9.109375" style="955"/>
    <col min="13834" max="13834" width="7.109375" style="955" customWidth="1"/>
    <col min="13835" max="14080" width="9.109375" style="955"/>
    <col min="14081" max="14081" width="6.6640625" style="955" customWidth="1"/>
    <col min="14082" max="14082" width="66.6640625" style="955" customWidth="1"/>
    <col min="14083" max="14083" width="7.6640625" style="955" customWidth="1"/>
    <col min="14084" max="14084" width="7.88671875" style="955" customWidth="1"/>
    <col min="14085" max="14085" width="14.44140625" style="955" customWidth="1"/>
    <col min="14086" max="14086" width="21.5546875" style="955" customWidth="1"/>
    <col min="14087" max="14087" width="10.109375" style="955" bestFit="1" customWidth="1"/>
    <col min="14088" max="14088" width="45.5546875" style="955" customWidth="1"/>
    <col min="14089" max="14089" width="9.109375" style="955"/>
    <col min="14090" max="14090" width="7.109375" style="955" customWidth="1"/>
    <col min="14091" max="14336" width="9.109375" style="955"/>
    <col min="14337" max="14337" width="6.6640625" style="955" customWidth="1"/>
    <col min="14338" max="14338" width="66.6640625" style="955" customWidth="1"/>
    <col min="14339" max="14339" width="7.6640625" style="955" customWidth="1"/>
    <col min="14340" max="14340" width="7.88671875" style="955" customWidth="1"/>
    <col min="14341" max="14341" width="14.44140625" style="955" customWidth="1"/>
    <col min="14342" max="14342" width="21.5546875" style="955" customWidth="1"/>
    <col min="14343" max="14343" width="10.109375" style="955" bestFit="1" customWidth="1"/>
    <col min="14344" max="14344" width="45.5546875" style="955" customWidth="1"/>
    <col min="14345" max="14345" width="9.109375" style="955"/>
    <col min="14346" max="14346" width="7.109375" style="955" customWidth="1"/>
    <col min="14347" max="14592" width="9.109375" style="955"/>
    <col min="14593" max="14593" width="6.6640625" style="955" customWidth="1"/>
    <col min="14594" max="14594" width="66.6640625" style="955" customWidth="1"/>
    <col min="14595" max="14595" width="7.6640625" style="955" customWidth="1"/>
    <col min="14596" max="14596" width="7.88671875" style="955" customWidth="1"/>
    <col min="14597" max="14597" width="14.44140625" style="955" customWidth="1"/>
    <col min="14598" max="14598" width="21.5546875" style="955" customWidth="1"/>
    <col min="14599" max="14599" width="10.109375" style="955" bestFit="1" customWidth="1"/>
    <col min="14600" max="14600" width="45.5546875" style="955" customWidth="1"/>
    <col min="14601" max="14601" width="9.109375" style="955"/>
    <col min="14602" max="14602" width="7.109375" style="955" customWidth="1"/>
    <col min="14603" max="14848" width="9.109375" style="955"/>
    <col min="14849" max="14849" width="6.6640625" style="955" customWidth="1"/>
    <col min="14850" max="14850" width="66.6640625" style="955" customWidth="1"/>
    <col min="14851" max="14851" width="7.6640625" style="955" customWidth="1"/>
    <col min="14852" max="14852" width="7.88671875" style="955" customWidth="1"/>
    <col min="14853" max="14853" width="14.44140625" style="955" customWidth="1"/>
    <col min="14854" max="14854" width="21.5546875" style="955" customWidth="1"/>
    <col min="14855" max="14855" width="10.109375" style="955" bestFit="1" customWidth="1"/>
    <col min="14856" max="14856" width="45.5546875" style="955" customWidth="1"/>
    <col min="14857" max="14857" width="9.109375" style="955"/>
    <col min="14858" max="14858" width="7.109375" style="955" customWidth="1"/>
    <col min="14859" max="15104" width="9.109375" style="955"/>
    <col min="15105" max="15105" width="6.6640625" style="955" customWidth="1"/>
    <col min="15106" max="15106" width="66.6640625" style="955" customWidth="1"/>
    <col min="15107" max="15107" width="7.6640625" style="955" customWidth="1"/>
    <col min="15108" max="15108" width="7.88671875" style="955" customWidth="1"/>
    <col min="15109" max="15109" width="14.44140625" style="955" customWidth="1"/>
    <col min="15110" max="15110" width="21.5546875" style="955" customWidth="1"/>
    <col min="15111" max="15111" width="10.109375" style="955" bestFit="1" customWidth="1"/>
    <col min="15112" max="15112" width="45.5546875" style="955" customWidth="1"/>
    <col min="15113" max="15113" width="9.109375" style="955"/>
    <col min="15114" max="15114" width="7.109375" style="955" customWidth="1"/>
    <col min="15115" max="15360" width="9.109375" style="955"/>
    <col min="15361" max="15361" width="6.6640625" style="955" customWidth="1"/>
    <col min="15362" max="15362" width="66.6640625" style="955" customWidth="1"/>
    <col min="15363" max="15363" width="7.6640625" style="955" customWidth="1"/>
    <col min="15364" max="15364" width="7.88671875" style="955" customWidth="1"/>
    <col min="15365" max="15365" width="14.44140625" style="955" customWidth="1"/>
    <col min="15366" max="15366" width="21.5546875" style="955" customWidth="1"/>
    <col min="15367" max="15367" width="10.109375" style="955" bestFit="1" customWidth="1"/>
    <col min="15368" max="15368" width="45.5546875" style="955" customWidth="1"/>
    <col min="15369" max="15369" width="9.109375" style="955"/>
    <col min="15370" max="15370" width="7.109375" style="955" customWidth="1"/>
    <col min="15371" max="15616" width="9.109375" style="955"/>
    <col min="15617" max="15617" width="6.6640625" style="955" customWidth="1"/>
    <col min="15618" max="15618" width="66.6640625" style="955" customWidth="1"/>
    <col min="15619" max="15619" width="7.6640625" style="955" customWidth="1"/>
    <col min="15620" max="15620" width="7.88671875" style="955" customWidth="1"/>
    <col min="15621" max="15621" width="14.44140625" style="955" customWidth="1"/>
    <col min="15622" max="15622" width="21.5546875" style="955" customWidth="1"/>
    <col min="15623" max="15623" width="10.109375" style="955" bestFit="1" customWidth="1"/>
    <col min="15624" max="15624" width="45.5546875" style="955" customWidth="1"/>
    <col min="15625" max="15625" width="9.109375" style="955"/>
    <col min="15626" max="15626" width="7.109375" style="955" customWidth="1"/>
    <col min="15627" max="15872" width="9.109375" style="955"/>
    <col min="15873" max="15873" width="6.6640625" style="955" customWidth="1"/>
    <col min="15874" max="15874" width="66.6640625" style="955" customWidth="1"/>
    <col min="15875" max="15875" width="7.6640625" style="955" customWidth="1"/>
    <col min="15876" max="15876" width="7.88671875" style="955" customWidth="1"/>
    <col min="15877" max="15877" width="14.44140625" style="955" customWidth="1"/>
    <col min="15878" max="15878" width="21.5546875" style="955" customWidth="1"/>
    <col min="15879" max="15879" width="10.109375" style="955" bestFit="1" customWidth="1"/>
    <col min="15880" max="15880" width="45.5546875" style="955" customWidth="1"/>
    <col min="15881" max="15881" width="9.109375" style="955"/>
    <col min="15882" max="15882" width="7.109375" style="955" customWidth="1"/>
    <col min="15883" max="16128" width="9.109375" style="955"/>
    <col min="16129" max="16129" width="6.6640625" style="955" customWidth="1"/>
    <col min="16130" max="16130" width="66.6640625" style="955" customWidth="1"/>
    <col min="16131" max="16131" width="7.6640625" style="955" customWidth="1"/>
    <col min="16132" max="16132" width="7.88671875" style="955" customWidth="1"/>
    <col min="16133" max="16133" width="14.44140625" style="955" customWidth="1"/>
    <col min="16134" max="16134" width="21.5546875" style="955" customWidth="1"/>
    <col min="16135" max="16135" width="10.109375" style="955" bestFit="1" customWidth="1"/>
    <col min="16136" max="16136" width="45.5546875" style="955" customWidth="1"/>
    <col min="16137" max="16137" width="9.109375" style="955"/>
    <col min="16138" max="16138" width="7.109375" style="955" customWidth="1"/>
    <col min="16139" max="16384" width="9.109375" style="955"/>
  </cols>
  <sheetData>
    <row r="2" spans="1:7" ht="73.2" customHeight="1">
      <c r="A2" s="1637" t="s">
        <v>2319</v>
      </c>
      <c r="B2" s="1637"/>
      <c r="C2" s="1637"/>
      <c r="D2" s="1637"/>
      <c r="E2" s="1637"/>
      <c r="F2" s="1637"/>
    </row>
    <row r="3" spans="1:7" s="961" customFormat="1" ht="18">
      <c r="A3" s="956" t="s">
        <v>1514</v>
      </c>
      <c r="B3" s="957" t="s">
        <v>2315</v>
      </c>
      <c r="C3" s="958"/>
      <c r="D3" s="959"/>
      <c r="E3" s="1291"/>
      <c r="F3" s="1300"/>
    </row>
    <row r="4" spans="1:7">
      <c r="A4" s="985"/>
      <c r="B4" s="991"/>
      <c r="C4" s="964"/>
      <c r="D4" s="965"/>
      <c r="F4" s="1301"/>
    </row>
    <row r="5" spans="1:7">
      <c r="A5" s="985" t="s">
        <v>1995</v>
      </c>
      <c r="B5" s="991" t="s">
        <v>1553</v>
      </c>
      <c r="C5" s="964"/>
      <c r="D5" s="965"/>
      <c r="F5" s="1301"/>
    </row>
    <row r="6" spans="1:7" ht="16.2" thickBot="1">
      <c r="A6" s="985"/>
      <c r="B6" s="991"/>
      <c r="C6" s="964"/>
      <c r="D6" s="965"/>
      <c r="F6" s="1301"/>
    </row>
    <row r="7" spans="1:7" ht="45" customHeight="1" thickBot="1">
      <c r="A7" s="994" t="s">
        <v>2320</v>
      </c>
      <c r="B7" s="995" t="s">
        <v>2321</v>
      </c>
      <c r="C7" s="996" t="s">
        <v>2322</v>
      </c>
      <c r="D7" s="997" t="s">
        <v>2323</v>
      </c>
      <c r="E7" s="1293" t="s">
        <v>2324</v>
      </c>
      <c r="F7" s="1302" t="s">
        <v>2325</v>
      </c>
      <c r="G7" s="1190" t="s">
        <v>2523</v>
      </c>
    </row>
    <row r="8" spans="1:7" ht="45.75" customHeight="1">
      <c r="A8" s="998">
        <v>1</v>
      </c>
      <c r="B8" s="999" t="s">
        <v>2326</v>
      </c>
      <c r="C8" s="1000" t="s">
        <v>29</v>
      </c>
      <c r="D8" s="1000">
        <v>1</v>
      </c>
      <c r="E8" s="1312">
        <f>'[1]TZ PP '!E8</f>
        <v>480</v>
      </c>
      <c r="F8" s="1303">
        <f>E8*D8</f>
        <v>480</v>
      </c>
    </row>
    <row r="9" spans="1:7" ht="48.75" customHeight="1">
      <c r="A9" s="998">
        <v>2</v>
      </c>
      <c r="B9" s="999" t="s">
        <v>2327</v>
      </c>
      <c r="C9" s="1000" t="s">
        <v>29</v>
      </c>
      <c r="D9" s="1000">
        <v>15</v>
      </c>
      <c r="E9" s="1312">
        <f>'[1]TZ PP '!E9</f>
        <v>155</v>
      </c>
      <c r="F9" s="1303">
        <f t="shared" ref="F9:F30" si="0">E9*D9</f>
        <v>2325</v>
      </c>
      <c r="G9" s="1002"/>
    </row>
    <row r="10" spans="1:7" ht="342.75" customHeight="1">
      <c r="A10" s="998">
        <v>3</v>
      </c>
      <c r="B10" s="1003" t="s">
        <v>2328</v>
      </c>
      <c r="C10" s="1000" t="s">
        <v>29</v>
      </c>
      <c r="D10" s="1000">
        <v>1</v>
      </c>
      <c r="E10" s="1312">
        <f>'[1]TZ PP '!E10</f>
        <v>2570</v>
      </c>
      <c r="F10" s="1303">
        <f t="shared" si="0"/>
        <v>2570</v>
      </c>
      <c r="G10" s="1002"/>
    </row>
    <row r="11" spans="1:7" ht="58.5" customHeight="1">
      <c r="A11" s="998">
        <v>4</v>
      </c>
      <c r="B11" s="1004" t="s">
        <v>2329</v>
      </c>
      <c r="C11" s="1000" t="s">
        <v>29</v>
      </c>
      <c r="D11" s="1000">
        <v>1</v>
      </c>
      <c r="E11" s="1312">
        <f>'[1]TZ PP '!E11</f>
        <v>10</v>
      </c>
      <c r="F11" s="1303">
        <f t="shared" si="0"/>
        <v>10</v>
      </c>
    </row>
    <row r="12" spans="1:7" ht="69.75" customHeight="1">
      <c r="A12" s="998">
        <v>5</v>
      </c>
      <c r="B12" s="999" t="s">
        <v>2330</v>
      </c>
      <c r="C12" s="1000" t="s">
        <v>29</v>
      </c>
      <c r="D12" s="1000">
        <v>1</v>
      </c>
      <c r="E12" s="1312">
        <f>'[1]TZ PP '!E12</f>
        <v>273</v>
      </c>
      <c r="F12" s="1303">
        <f t="shared" si="0"/>
        <v>273</v>
      </c>
    </row>
    <row r="13" spans="1:7" ht="54.75" customHeight="1">
      <c r="A13" s="998">
        <v>6</v>
      </c>
      <c r="B13" s="1005" t="s">
        <v>2331</v>
      </c>
      <c r="C13" s="1000" t="s">
        <v>29</v>
      </c>
      <c r="D13" s="1000">
        <v>1</v>
      </c>
      <c r="E13" s="1312">
        <f>'[1]TZ PP '!E13</f>
        <v>135</v>
      </c>
      <c r="F13" s="1303">
        <f t="shared" si="0"/>
        <v>135</v>
      </c>
    </row>
    <row r="14" spans="1:7" ht="72.75" customHeight="1">
      <c r="A14" s="998">
        <v>7</v>
      </c>
      <c r="B14" s="1005" t="s">
        <v>2332</v>
      </c>
      <c r="C14" s="1000" t="s">
        <v>29</v>
      </c>
      <c r="D14" s="1000">
        <v>1</v>
      </c>
      <c r="E14" s="1312">
        <f>'[1]TZ PP '!E14</f>
        <v>244</v>
      </c>
      <c r="F14" s="1303">
        <f t="shared" si="0"/>
        <v>244</v>
      </c>
    </row>
    <row r="15" spans="1:7" ht="122.25" customHeight="1">
      <c r="A15" s="998">
        <v>8</v>
      </c>
      <c r="B15" s="1005" t="s">
        <v>2333</v>
      </c>
      <c r="C15" s="1000" t="s">
        <v>29</v>
      </c>
      <c r="D15" s="1000">
        <v>1</v>
      </c>
      <c r="E15" s="1312">
        <f>'[1]TZ PP '!E15</f>
        <v>23</v>
      </c>
      <c r="F15" s="1303">
        <f t="shared" si="0"/>
        <v>23</v>
      </c>
    </row>
    <row r="16" spans="1:7" ht="120" customHeight="1">
      <c r="A16" s="998">
        <v>9</v>
      </c>
      <c r="B16" s="1005" t="s">
        <v>2334</v>
      </c>
      <c r="C16" s="1000" t="s">
        <v>29</v>
      </c>
      <c r="D16" s="1000">
        <v>1</v>
      </c>
      <c r="E16" s="1312">
        <f>'[1]TZ PP '!E16</f>
        <v>12</v>
      </c>
      <c r="F16" s="1303">
        <f t="shared" si="0"/>
        <v>12</v>
      </c>
    </row>
    <row r="17" spans="1:7" ht="89.25" customHeight="1">
      <c r="A17" s="998">
        <v>10</v>
      </c>
      <c r="B17" s="1005" t="s">
        <v>2335</v>
      </c>
      <c r="C17" s="1000" t="s">
        <v>29</v>
      </c>
      <c r="D17" s="1000">
        <v>1</v>
      </c>
      <c r="E17" s="1312">
        <f>'[1]TZ PP '!E17</f>
        <v>9</v>
      </c>
      <c r="F17" s="1303">
        <f t="shared" si="0"/>
        <v>9</v>
      </c>
    </row>
    <row r="18" spans="1:7" ht="204" customHeight="1">
      <c r="A18" s="998">
        <v>11</v>
      </c>
      <c r="B18" s="1006" t="s">
        <v>2336</v>
      </c>
      <c r="C18" s="1007" t="s">
        <v>29</v>
      </c>
      <c r="D18" s="1007">
        <v>1</v>
      </c>
      <c r="E18" s="1312">
        <f>'[1]TZ PP '!E18</f>
        <v>284</v>
      </c>
      <c r="F18" s="1303">
        <f t="shared" si="0"/>
        <v>284</v>
      </c>
    </row>
    <row r="19" spans="1:7" ht="171.75" customHeight="1">
      <c r="A19" s="998">
        <v>12</v>
      </c>
      <c r="B19" s="1006" t="s">
        <v>2558</v>
      </c>
      <c r="C19" s="1007" t="s">
        <v>29</v>
      </c>
      <c r="D19" s="1007">
        <v>1</v>
      </c>
      <c r="E19" s="1312">
        <f>'[1]TZ PP '!E19</f>
        <v>492</v>
      </c>
      <c r="F19" s="1303">
        <f t="shared" si="0"/>
        <v>492</v>
      </c>
    </row>
    <row r="20" spans="1:7" ht="120" customHeight="1">
      <c r="A20" s="998">
        <v>13</v>
      </c>
      <c r="B20" s="999" t="s">
        <v>2337</v>
      </c>
      <c r="C20" s="1000" t="s">
        <v>29</v>
      </c>
      <c r="D20" s="1000">
        <v>1</v>
      </c>
      <c r="E20" s="1312">
        <f>'[1]TZ PP '!E20</f>
        <v>377</v>
      </c>
      <c r="F20" s="1303">
        <f t="shared" si="0"/>
        <v>377</v>
      </c>
    </row>
    <row r="21" spans="1:7" ht="216" customHeight="1">
      <c r="A21" s="998">
        <v>14</v>
      </c>
      <c r="B21" s="1004" t="s">
        <v>2338</v>
      </c>
      <c r="C21" s="1000" t="s">
        <v>29</v>
      </c>
      <c r="D21" s="1000">
        <v>10</v>
      </c>
      <c r="E21" s="1312">
        <f>'[1]TZ PP '!E21</f>
        <v>84</v>
      </c>
      <c r="F21" s="1303">
        <f t="shared" si="0"/>
        <v>840</v>
      </c>
    </row>
    <row r="22" spans="1:7" ht="174.75" customHeight="1">
      <c r="A22" s="998">
        <v>15</v>
      </c>
      <c r="B22" s="1004" t="s">
        <v>2339</v>
      </c>
      <c r="C22" s="1000" t="s">
        <v>29</v>
      </c>
      <c r="D22" s="1000">
        <v>2</v>
      </c>
      <c r="E22" s="1312">
        <f>'[1]TZ PP '!E22</f>
        <v>64</v>
      </c>
      <c r="F22" s="1303">
        <f t="shared" si="0"/>
        <v>128</v>
      </c>
    </row>
    <row r="23" spans="1:7" ht="105.75" customHeight="1">
      <c r="A23" s="998">
        <v>16</v>
      </c>
      <c r="B23" s="1004" t="s">
        <v>2340</v>
      </c>
      <c r="C23" s="1000" t="s">
        <v>29</v>
      </c>
      <c r="D23" s="1000">
        <v>8</v>
      </c>
      <c r="E23" s="1312">
        <f>'[1]TZ PP '!E23</f>
        <v>7</v>
      </c>
      <c r="F23" s="1303">
        <f t="shared" si="0"/>
        <v>56</v>
      </c>
    </row>
    <row r="24" spans="1:7" ht="102.75" customHeight="1">
      <c r="A24" s="998">
        <v>17</v>
      </c>
      <c r="B24" s="1004" t="s">
        <v>2341</v>
      </c>
      <c r="C24" s="1000" t="s">
        <v>29</v>
      </c>
      <c r="D24" s="1000">
        <v>2</v>
      </c>
      <c r="E24" s="1312">
        <f>'[1]TZ PP '!E24</f>
        <v>39</v>
      </c>
      <c r="F24" s="1303">
        <f t="shared" si="0"/>
        <v>78</v>
      </c>
    </row>
    <row r="25" spans="1:7" ht="260.25" customHeight="1">
      <c r="A25" s="998">
        <v>18</v>
      </c>
      <c r="B25" s="999" t="s">
        <v>2342</v>
      </c>
      <c r="C25" s="1000" t="s">
        <v>29</v>
      </c>
      <c r="D25" s="1000">
        <v>1</v>
      </c>
      <c r="E25" s="1312">
        <f>'[1]TZ PP '!E25</f>
        <v>95</v>
      </c>
      <c r="F25" s="1303">
        <f t="shared" si="0"/>
        <v>95</v>
      </c>
    </row>
    <row r="26" spans="1:7" ht="57" customHeight="1">
      <c r="A26" s="998">
        <v>19</v>
      </c>
      <c r="B26" s="999" t="s">
        <v>2343</v>
      </c>
      <c r="C26" s="1000" t="s">
        <v>29</v>
      </c>
      <c r="D26" s="1000">
        <v>1</v>
      </c>
      <c r="E26" s="1312">
        <f>'[1]TZ PP '!E26</f>
        <v>10</v>
      </c>
      <c r="F26" s="1303">
        <f t="shared" si="0"/>
        <v>10</v>
      </c>
    </row>
    <row r="27" spans="1:7" ht="182.25" customHeight="1">
      <c r="A27" s="998">
        <v>20</v>
      </c>
      <c r="B27" s="999" t="s">
        <v>2344</v>
      </c>
      <c r="C27" s="1000" t="s">
        <v>29</v>
      </c>
      <c r="D27" s="1000">
        <v>1</v>
      </c>
      <c r="E27" s="1312">
        <f>'[1]TZ PP '!E27</f>
        <v>145</v>
      </c>
      <c r="F27" s="1303">
        <f t="shared" si="0"/>
        <v>145</v>
      </c>
    </row>
    <row r="28" spans="1:7" ht="120" customHeight="1">
      <c r="A28" s="998">
        <v>21</v>
      </c>
      <c r="B28" s="999" t="s">
        <v>2345</v>
      </c>
      <c r="C28" s="1008" t="s">
        <v>29</v>
      </c>
      <c r="D28" s="1009">
        <v>4</v>
      </c>
      <c r="E28" s="1312">
        <f>'[1]TZ PP '!E28</f>
        <v>133</v>
      </c>
      <c r="F28" s="1303">
        <f t="shared" si="0"/>
        <v>532</v>
      </c>
      <c r="G28" s="1002"/>
    </row>
    <row r="29" spans="1:7" ht="156" customHeight="1">
      <c r="A29" s="998">
        <v>22</v>
      </c>
      <c r="B29" s="999" t="s">
        <v>2346</v>
      </c>
      <c r="C29" s="1008" t="s">
        <v>29</v>
      </c>
      <c r="D29" s="1009">
        <v>1</v>
      </c>
      <c r="E29" s="1312">
        <f>'[1]TZ PP '!E29</f>
        <v>24</v>
      </c>
      <c r="F29" s="1303">
        <f t="shared" si="0"/>
        <v>24</v>
      </c>
      <c r="G29" s="1002"/>
    </row>
    <row r="30" spans="1:7" ht="51" customHeight="1">
      <c r="A30" s="998">
        <v>23</v>
      </c>
      <c r="B30" s="1004" t="s">
        <v>2347</v>
      </c>
      <c r="C30" s="1000" t="s">
        <v>27</v>
      </c>
      <c r="D30" s="1000">
        <v>1</v>
      </c>
      <c r="E30" s="1312">
        <f>'[1]TZ PP '!E30</f>
        <v>500</v>
      </c>
      <c r="F30" s="1303">
        <f t="shared" si="0"/>
        <v>500</v>
      </c>
    </row>
    <row r="31" spans="1:7" ht="25.2" customHeight="1">
      <c r="A31" s="1010"/>
      <c r="B31" s="1011" t="s">
        <v>1597</v>
      </c>
      <c r="C31" s="1012"/>
      <c r="D31" s="1013"/>
      <c r="E31" s="1294"/>
      <c r="F31" s="1304">
        <f>SUM(F8:F30)</f>
        <v>9642</v>
      </c>
    </row>
    <row r="32" spans="1:7">
      <c r="A32" s="1014"/>
      <c r="B32" s="1015"/>
      <c r="C32" s="1016"/>
      <c r="D32" s="1017"/>
      <c r="E32" s="1295"/>
      <c r="F32" s="1305"/>
    </row>
    <row r="33" spans="1:6" ht="25.95" customHeight="1">
      <c r="A33" s="1018" t="s">
        <v>2001</v>
      </c>
      <c r="B33" s="1019" t="s">
        <v>2348</v>
      </c>
      <c r="C33" s="1012"/>
      <c r="D33" s="1013"/>
      <c r="E33" s="1294"/>
      <c r="F33" s="1306"/>
    </row>
    <row r="34" spans="1:6" s="1002" customFormat="1" ht="30" customHeight="1">
      <c r="A34" s="1020">
        <v>1</v>
      </c>
      <c r="B34" s="1021" t="s">
        <v>2349</v>
      </c>
      <c r="C34" s="1000" t="s">
        <v>29</v>
      </c>
      <c r="D34" s="1022">
        <v>1</v>
      </c>
      <c r="E34" s="1312">
        <f>'[1]TZ PP '!E34</f>
        <v>200</v>
      </c>
      <c r="F34" s="1303">
        <f t="shared" ref="F34:F51" si="1">E34*D34</f>
        <v>200</v>
      </c>
    </row>
    <row r="35" spans="1:6" s="1002" customFormat="1" ht="30" customHeight="1">
      <c r="A35" s="1020">
        <v>2</v>
      </c>
      <c r="B35" s="1021" t="s">
        <v>2350</v>
      </c>
      <c r="C35" s="1000" t="s">
        <v>29</v>
      </c>
      <c r="D35" s="1022">
        <v>2</v>
      </c>
      <c r="E35" s="1312">
        <f>'[1]TZ PP '!E35</f>
        <v>100</v>
      </c>
      <c r="F35" s="1303">
        <f t="shared" si="1"/>
        <v>200</v>
      </c>
    </row>
    <row r="36" spans="1:6" s="1002" customFormat="1" ht="30" customHeight="1">
      <c r="A36" s="1020">
        <v>3</v>
      </c>
      <c r="B36" s="1021" t="s">
        <v>2351</v>
      </c>
      <c r="C36" s="1000" t="s">
        <v>29</v>
      </c>
      <c r="D36" s="1022">
        <v>1</v>
      </c>
      <c r="E36" s="1312">
        <f>'[1]TZ PP '!E36</f>
        <v>100</v>
      </c>
      <c r="F36" s="1303">
        <f t="shared" si="1"/>
        <v>100</v>
      </c>
    </row>
    <row r="37" spans="1:6" s="1002" customFormat="1" ht="30" customHeight="1">
      <c r="A37" s="1020">
        <v>4</v>
      </c>
      <c r="B37" s="1021" t="s">
        <v>2352</v>
      </c>
      <c r="C37" s="1000" t="s">
        <v>29</v>
      </c>
      <c r="D37" s="1022">
        <v>2</v>
      </c>
      <c r="E37" s="1312">
        <f>'[1]TZ PP '!E37</f>
        <v>100</v>
      </c>
      <c r="F37" s="1303">
        <f t="shared" si="1"/>
        <v>200</v>
      </c>
    </row>
    <row r="38" spans="1:6" s="1002" customFormat="1" ht="30" customHeight="1">
      <c r="A38" s="1020">
        <v>5</v>
      </c>
      <c r="B38" s="1021" t="s">
        <v>2353</v>
      </c>
      <c r="C38" s="1000" t="s">
        <v>29</v>
      </c>
      <c r="D38" s="1022">
        <v>4</v>
      </c>
      <c r="E38" s="1312">
        <f>'[1]TZ PP '!E38</f>
        <v>100</v>
      </c>
      <c r="F38" s="1303">
        <f>E38*D38</f>
        <v>400</v>
      </c>
    </row>
    <row r="39" spans="1:6" s="1002" customFormat="1" ht="30" customHeight="1">
      <c r="A39" s="1020">
        <v>6</v>
      </c>
      <c r="B39" s="1021" t="s">
        <v>2354</v>
      </c>
      <c r="C39" s="1000" t="s">
        <v>29</v>
      </c>
      <c r="D39" s="1022">
        <v>10</v>
      </c>
      <c r="E39" s="1312">
        <f>'[1]TZ PP '!E39</f>
        <v>30</v>
      </c>
      <c r="F39" s="1303">
        <f t="shared" si="1"/>
        <v>300</v>
      </c>
    </row>
    <row r="40" spans="1:6" s="1002" customFormat="1" ht="30" customHeight="1">
      <c r="A40" s="1020">
        <v>7</v>
      </c>
      <c r="B40" s="1021" t="s">
        <v>2355</v>
      </c>
      <c r="C40" s="1000" t="s">
        <v>29</v>
      </c>
      <c r="D40" s="1022">
        <v>2</v>
      </c>
      <c r="E40" s="1312">
        <f>'[1]TZ PP '!E40</f>
        <v>200</v>
      </c>
      <c r="F40" s="1303">
        <f t="shared" si="1"/>
        <v>400</v>
      </c>
    </row>
    <row r="41" spans="1:6" s="1002" customFormat="1" ht="30" customHeight="1">
      <c r="A41" s="1020">
        <v>8</v>
      </c>
      <c r="B41" s="1021" t="s">
        <v>2356</v>
      </c>
      <c r="C41" s="1000" t="s">
        <v>29</v>
      </c>
      <c r="D41" s="1022">
        <v>2</v>
      </c>
      <c r="E41" s="1312">
        <f>'[1]TZ PP '!E41</f>
        <v>50</v>
      </c>
      <c r="F41" s="1303">
        <f t="shared" si="1"/>
        <v>100</v>
      </c>
    </row>
    <row r="42" spans="1:6" s="1002" customFormat="1" ht="30" customHeight="1">
      <c r="A42" s="1020">
        <v>9</v>
      </c>
      <c r="B42" s="1021" t="s">
        <v>2357</v>
      </c>
      <c r="C42" s="1000" t="s">
        <v>29</v>
      </c>
      <c r="D42" s="1022">
        <v>1</v>
      </c>
      <c r="E42" s="1312">
        <f>'[1]TZ PP '!E42</f>
        <v>50</v>
      </c>
      <c r="F42" s="1303">
        <f t="shared" si="1"/>
        <v>50</v>
      </c>
    </row>
    <row r="43" spans="1:6" s="1002" customFormat="1" ht="30" customHeight="1">
      <c r="A43" s="1020">
        <v>10</v>
      </c>
      <c r="B43" s="1021" t="s">
        <v>2358</v>
      </c>
      <c r="C43" s="1000" t="s">
        <v>29</v>
      </c>
      <c r="D43" s="1022">
        <v>1</v>
      </c>
      <c r="E43" s="1312">
        <f>'[1]TZ PP '!E43</f>
        <v>50</v>
      </c>
      <c r="F43" s="1303">
        <f t="shared" si="1"/>
        <v>50</v>
      </c>
    </row>
    <row r="44" spans="1:6" s="1002" customFormat="1" ht="30" customHeight="1">
      <c r="A44" s="1020">
        <v>11</v>
      </c>
      <c r="B44" s="1021" t="s">
        <v>2359</v>
      </c>
      <c r="C44" s="1000" t="s">
        <v>29</v>
      </c>
      <c r="D44" s="1022">
        <v>1</v>
      </c>
      <c r="E44" s="1312">
        <f>'[1]TZ PP '!E44</f>
        <v>100</v>
      </c>
      <c r="F44" s="1303">
        <f t="shared" si="1"/>
        <v>100</v>
      </c>
    </row>
    <row r="45" spans="1:6" s="1002" customFormat="1" ht="30" customHeight="1">
      <c r="A45" s="1020">
        <v>12</v>
      </c>
      <c r="B45" s="1021" t="s">
        <v>2360</v>
      </c>
      <c r="C45" s="1000" t="s">
        <v>29</v>
      </c>
      <c r="D45" s="1022">
        <v>1</v>
      </c>
      <c r="E45" s="1312">
        <f>'[1]TZ PP '!E45</f>
        <v>100</v>
      </c>
      <c r="F45" s="1303">
        <f t="shared" si="1"/>
        <v>100</v>
      </c>
    </row>
    <row r="46" spans="1:6" s="1002" customFormat="1" ht="30" customHeight="1">
      <c r="A46" s="1020">
        <v>13</v>
      </c>
      <c r="B46" s="1021" t="s">
        <v>2361</v>
      </c>
      <c r="C46" s="1000" t="s">
        <v>29</v>
      </c>
      <c r="D46" s="1022">
        <v>1</v>
      </c>
      <c r="E46" s="1312">
        <f>'[1]TZ PP '!E46</f>
        <v>100</v>
      </c>
      <c r="F46" s="1303">
        <f>E46*D46</f>
        <v>100</v>
      </c>
    </row>
    <row r="47" spans="1:6" s="1002" customFormat="1" ht="30" customHeight="1">
      <c r="A47" s="1020">
        <v>14</v>
      </c>
      <c r="B47" s="1021" t="s">
        <v>2362</v>
      </c>
      <c r="C47" s="1000" t="s">
        <v>29</v>
      </c>
      <c r="D47" s="1022">
        <v>1</v>
      </c>
      <c r="E47" s="1312">
        <f>'[1]TZ PP '!E47</f>
        <v>1760</v>
      </c>
      <c r="F47" s="1303">
        <f t="shared" si="1"/>
        <v>1760</v>
      </c>
    </row>
    <row r="48" spans="1:6" s="1002" customFormat="1" ht="30" customHeight="1">
      <c r="A48" s="1020">
        <v>15</v>
      </c>
      <c r="B48" s="1021" t="s">
        <v>2363</v>
      </c>
      <c r="C48" s="1000" t="s">
        <v>29</v>
      </c>
      <c r="D48" s="1022">
        <v>1</v>
      </c>
      <c r="E48" s="1312">
        <f>'[1]TZ PP '!E48</f>
        <v>1890</v>
      </c>
      <c r="F48" s="1303">
        <f t="shared" si="1"/>
        <v>1890</v>
      </c>
    </row>
    <row r="49" spans="1:6" s="1002" customFormat="1" ht="30" customHeight="1">
      <c r="A49" s="1020">
        <v>16</v>
      </c>
      <c r="B49" s="1021" t="s">
        <v>2364</v>
      </c>
      <c r="C49" s="1000" t="s">
        <v>27</v>
      </c>
      <c r="D49" s="1022">
        <v>1</v>
      </c>
      <c r="E49" s="1312">
        <f>'[1]TZ PP '!E49</f>
        <v>740</v>
      </c>
      <c r="F49" s="1303">
        <f t="shared" si="1"/>
        <v>740</v>
      </c>
    </row>
    <row r="50" spans="1:6" ht="46.8">
      <c r="A50" s="1020">
        <v>17</v>
      </c>
      <c r="B50" s="1004" t="s">
        <v>2365</v>
      </c>
      <c r="C50" s="1000" t="s">
        <v>27</v>
      </c>
      <c r="D50" s="1022">
        <v>1</v>
      </c>
      <c r="E50" s="1312">
        <f>'[1]TZ PP '!E50</f>
        <v>140</v>
      </c>
      <c r="F50" s="1303">
        <f t="shared" si="1"/>
        <v>140</v>
      </c>
    </row>
    <row r="51" spans="1:6" ht="46.95" customHeight="1">
      <c r="A51" s="1020">
        <v>18</v>
      </c>
      <c r="B51" s="1004" t="s">
        <v>2366</v>
      </c>
      <c r="C51" s="1000" t="s">
        <v>29</v>
      </c>
      <c r="D51" s="1022">
        <v>1</v>
      </c>
      <c r="E51" s="1312">
        <f>'[1]TZ PP '!E51</f>
        <v>500</v>
      </c>
      <c r="F51" s="1303">
        <f t="shared" si="1"/>
        <v>500</v>
      </c>
    </row>
    <row r="52" spans="1:6">
      <c r="A52" s="1010"/>
      <c r="B52" s="1011" t="s">
        <v>2367</v>
      </c>
      <c r="C52" s="1012"/>
      <c r="D52" s="1013"/>
      <c r="E52" s="1294"/>
      <c r="F52" s="1304">
        <f>SUM(F34:F51)</f>
        <v>7330</v>
      </c>
    </row>
    <row r="53" spans="1:6">
      <c r="A53" s="1014"/>
      <c r="B53" s="1015"/>
      <c r="C53" s="1016"/>
      <c r="D53" s="1017"/>
      <c r="E53" s="1295"/>
      <c r="F53" s="1305"/>
    </row>
    <row r="54" spans="1:6">
      <c r="A54" s="1014"/>
      <c r="B54" s="1015"/>
      <c r="C54" s="1016"/>
      <c r="D54" s="1017"/>
      <c r="E54" s="1295"/>
      <c r="F54" s="1305"/>
    </row>
    <row r="55" spans="1:6">
      <c r="A55" s="962"/>
      <c r="B55" s="963"/>
      <c r="C55" s="964"/>
      <c r="D55" s="965"/>
      <c r="F55" s="1301"/>
    </row>
    <row r="56" spans="1:6" ht="18">
      <c r="A56" s="1638" t="s">
        <v>2368</v>
      </c>
      <c r="B56" s="1638"/>
      <c r="C56" s="1638"/>
      <c r="D56" s="1638"/>
      <c r="E56" s="1638"/>
      <c r="F56" s="1638"/>
    </row>
    <row r="57" spans="1:6">
      <c r="A57" s="962"/>
      <c r="B57" s="963"/>
      <c r="C57" s="964"/>
      <c r="D57" s="965"/>
      <c r="F57" s="1301"/>
    </row>
    <row r="58" spans="1:6">
      <c r="A58" s="967" t="s">
        <v>1995</v>
      </c>
      <c r="B58" s="968" t="s">
        <v>1553</v>
      </c>
      <c r="C58" s="964"/>
      <c r="D58" s="969"/>
      <c r="E58" s="1296"/>
      <c r="F58" s="1307">
        <f>F31</f>
        <v>9642</v>
      </c>
    </row>
    <row r="59" spans="1:6">
      <c r="A59" s="967"/>
      <c r="B59" s="968"/>
      <c r="C59" s="964"/>
      <c r="D59" s="965"/>
      <c r="F59" s="1301"/>
    </row>
    <row r="60" spans="1:6">
      <c r="A60" s="967" t="s">
        <v>2001</v>
      </c>
      <c r="B60" s="968" t="s">
        <v>2348</v>
      </c>
      <c r="C60" s="964"/>
      <c r="D60" s="969"/>
      <c r="E60" s="1296"/>
      <c r="F60" s="1307">
        <f>F52</f>
        <v>7330</v>
      </c>
    </row>
    <row r="61" spans="1:6">
      <c r="A61" s="967"/>
      <c r="B61" s="968"/>
      <c r="C61" s="964"/>
      <c r="D61" s="965"/>
      <c r="F61" s="1301"/>
    </row>
    <row r="62" spans="1:6" ht="5.4" customHeight="1">
      <c r="A62" s="1023"/>
      <c r="B62" s="1024"/>
      <c r="C62" s="1025"/>
      <c r="D62" s="969"/>
      <c r="E62" s="1296"/>
      <c r="F62" s="1308"/>
    </row>
    <row r="63" spans="1:6" ht="18">
      <c r="A63" s="962"/>
      <c r="B63" s="1639" t="s">
        <v>2369</v>
      </c>
      <c r="C63" s="1640"/>
      <c r="D63" s="1026"/>
      <c r="E63" s="1297"/>
      <c r="F63" s="1309">
        <f>SUM(F58:F62)</f>
        <v>16972</v>
      </c>
    </row>
    <row r="64" spans="1:6">
      <c r="A64" s="962"/>
      <c r="B64" s="968"/>
      <c r="C64" s="977"/>
      <c r="D64" s="978"/>
      <c r="E64" s="1298"/>
      <c r="F64" s="1310"/>
    </row>
    <row r="65" spans="1:6" ht="22.2" customHeight="1">
      <c r="A65" s="962"/>
      <c r="B65" s="963"/>
      <c r="C65" s="964"/>
      <c r="D65" s="965"/>
      <c r="F65" s="1301"/>
    </row>
    <row r="66" spans="1:6">
      <c r="B66" s="982"/>
    </row>
    <row r="67" spans="1:6">
      <c r="B67" s="984"/>
    </row>
    <row r="68" spans="1:6">
      <c r="A68" s="985"/>
      <c r="B68" s="986"/>
    </row>
    <row r="69" spans="1:6">
      <c r="A69" s="985"/>
      <c r="B69" s="986"/>
    </row>
    <row r="70" spans="1:6">
      <c r="A70" s="985"/>
      <c r="B70" s="986"/>
    </row>
    <row r="71" spans="1:6">
      <c r="A71" s="985"/>
      <c r="B71" s="986"/>
    </row>
    <row r="73" spans="1:6">
      <c r="A73" s="985"/>
      <c r="B73" s="986"/>
      <c r="E73" s="1299"/>
      <c r="F73" s="1301"/>
    </row>
    <row r="74" spans="1:6">
      <c r="A74" s="985"/>
      <c r="B74" s="986"/>
    </row>
    <row r="76" spans="1:6">
      <c r="A76" s="985"/>
      <c r="B76" s="986"/>
    </row>
    <row r="77" spans="1:6">
      <c r="A77" s="985"/>
      <c r="B77" s="986"/>
    </row>
    <row r="79" spans="1:6">
      <c r="A79" s="985"/>
      <c r="B79" s="986"/>
    </row>
    <row r="80" spans="1:6">
      <c r="A80" s="985"/>
      <c r="B80" s="986"/>
    </row>
    <row r="82" spans="1:2">
      <c r="A82" s="985"/>
      <c r="B82" s="986"/>
    </row>
    <row r="83" spans="1:2">
      <c r="A83" s="985"/>
      <c r="B83" s="986"/>
    </row>
    <row r="84" spans="1:2">
      <c r="A84" s="985"/>
      <c r="B84" s="986"/>
    </row>
    <row r="85" spans="1:2">
      <c r="A85" s="985"/>
      <c r="B85" s="986"/>
    </row>
    <row r="86" spans="1:2">
      <c r="A86" s="985"/>
      <c r="B86" s="986"/>
    </row>
    <row r="87" spans="1:2">
      <c r="A87" s="985"/>
      <c r="B87" s="986"/>
    </row>
    <row r="88" spans="1:2">
      <c r="A88" s="985"/>
      <c r="B88" s="986"/>
    </row>
    <row r="89" spans="1:2">
      <c r="A89" s="985"/>
      <c r="B89" s="986"/>
    </row>
    <row r="90" spans="1:2">
      <c r="A90" s="985"/>
      <c r="B90" s="986"/>
    </row>
    <row r="91" spans="1:2">
      <c r="A91" s="985"/>
      <c r="B91" s="986"/>
    </row>
    <row r="92" spans="1:2">
      <c r="A92" s="985"/>
      <c r="B92" s="986"/>
    </row>
    <row r="93" spans="1:2">
      <c r="A93" s="985"/>
      <c r="B93" s="986"/>
    </row>
    <row r="94" spans="1:2">
      <c r="A94" s="985"/>
      <c r="B94" s="986"/>
    </row>
    <row r="95" spans="1:2">
      <c r="A95" s="985"/>
      <c r="B95" s="986"/>
    </row>
    <row r="96" spans="1:2">
      <c r="A96" s="985"/>
      <c r="B96" s="986"/>
    </row>
    <row r="97" spans="1:2">
      <c r="A97" s="985"/>
      <c r="B97" s="986"/>
    </row>
    <row r="98" spans="1:2">
      <c r="A98" s="985"/>
      <c r="B98" s="986"/>
    </row>
    <row r="99" spans="1:2">
      <c r="A99" s="985"/>
      <c r="B99" s="986"/>
    </row>
    <row r="100" spans="1:2">
      <c r="A100" s="985"/>
      <c r="B100" s="986"/>
    </row>
    <row r="101" spans="1:2">
      <c r="A101" s="985"/>
      <c r="B101" s="986"/>
    </row>
    <row r="102" spans="1:2">
      <c r="A102" s="985"/>
      <c r="B102" s="986"/>
    </row>
    <row r="103" spans="1:2">
      <c r="A103" s="985"/>
      <c r="B103" s="986"/>
    </row>
    <row r="104" spans="1:2">
      <c r="A104" s="985"/>
      <c r="B104" s="986"/>
    </row>
    <row r="105" spans="1:2">
      <c r="A105" s="985"/>
      <c r="B105" s="986"/>
    </row>
    <row r="106" spans="1:2">
      <c r="A106" s="985"/>
      <c r="B106" s="986"/>
    </row>
    <row r="107" spans="1:2">
      <c r="A107" s="985"/>
      <c r="B107" s="986"/>
    </row>
    <row r="108" spans="1:2">
      <c r="A108" s="985"/>
      <c r="B108" s="986"/>
    </row>
    <row r="109" spans="1:2">
      <c r="A109" s="985"/>
      <c r="B109" s="986"/>
    </row>
    <row r="110" spans="1:2">
      <c r="A110" s="985"/>
      <c r="B110" s="986"/>
    </row>
    <row r="111" spans="1:2">
      <c r="A111" s="985"/>
      <c r="B111" s="986"/>
    </row>
    <row r="112" spans="1:2">
      <c r="A112" s="985"/>
      <c r="B112" s="986"/>
    </row>
    <row r="113" spans="1:2">
      <c r="A113" s="985"/>
      <c r="B113" s="986"/>
    </row>
    <row r="114" spans="1:2">
      <c r="B114" s="988"/>
    </row>
    <row r="115" spans="1:2">
      <c r="B115" s="989"/>
    </row>
    <row r="116" spans="1:2">
      <c r="B116" s="989"/>
    </row>
    <row r="117" spans="1:2">
      <c r="B117" s="990"/>
    </row>
    <row r="118" spans="1:2">
      <c r="B118" s="989"/>
    </row>
    <row r="119" spans="1:2">
      <c r="B119" s="989"/>
    </row>
    <row r="120" spans="1:2">
      <c r="B120" s="988"/>
    </row>
    <row r="121" spans="1:2">
      <c r="B121" s="989"/>
    </row>
    <row r="122" spans="1:2">
      <c r="B122" s="989"/>
    </row>
    <row r="123" spans="1:2">
      <c r="B123" s="988"/>
    </row>
    <row r="124" spans="1:2">
      <c r="B124" s="989"/>
    </row>
    <row r="125" spans="1:2">
      <c r="B125" s="989"/>
    </row>
    <row r="126" spans="1:2">
      <c r="B126" s="988"/>
    </row>
    <row r="127" spans="1:2">
      <c r="B127" s="988"/>
    </row>
    <row r="128" spans="1:2">
      <c r="B128" s="988"/>
    </row>
    <row r="129" spans="1:2">
      <c r="B129" s="988"/>
    </row>
    <row r="130" spans="1:2">
      <c r="B130" s="988"/>
    </row>
    <row r="131" spans="1:2">
      <c r="A131" s="985"/>
      <c r="B131" s="986"/>
    </row>
    <row r="132" spans="1:2">
      <c r="A132" s="985"/>
      <c r="B132" s="986"/>
    </row>
    <row r="133" spans="1:2">
      <c r="B133" s="988"/>
    </row>
    <row r="134" spans="1:2">
      <c r="A134" s="985"/>
      <c r="B134" s="986"/>
    </row>
    <row r="135" spans="1:2">
      <c r="A135" s="985"/>
      <c r="B135" s="986"/>
    </row>
    <row r="136" spans="1:2">
      <c r="A136" s="985"/>
      <c r="B136" s="986"/>
    </row>
    <row r="137" spans="1:2">
      <c r="A137" s="985"/>
      <c r="B137" s="986"/>
    </row>
    <row r="138" spans="1:2">
      <c r="A138" s="985"/>
      <c r="B138" s="986"/>
    </row>
    <row r="139" spans="1:2">
      <c r="A139" s="985"/>
      <c r="B139" s="986"/>
    </row>
    <row r="140" spans="1:2">
      <c r="A140" s="985"/>
      <c r="B140" s="986"/>
    </row>
    <row r="141" spans="1:2">
      <c r="A141" s="985"/>
      <c r="B141" s="986"/>
    </row>
    <row r="142" spans="1:2">
      <c r="A142" s="985"/>
      <c r="B142" s="986"/>
    </row>
    <row r="143" spans="1:2">
      <c r="A143" s="985"/>
      <c r="B143" s="986"/>
    </row>
    <row r="144" spans="1:2">
      <c r="A144" s="985"/>
      <c r="B144" s="986"/>
    </row>
    <row r="145" spans="1:2">
      <c r="A145" s="985"/>
      <c r="B145" s="986"/>
    </row>
    <row r="146" spans="1:2">
      <c r="A146" s="985"/>
      <c r="B146" s="986"/>
    </row>
    <row r="147" spans="1:2">
      <c r="A147" s="985"/>
      <c r="B147" s="986"/>
    </row>
    <row r="148" spans="1:2">
      <c r="A148" s="985"/>
      <c r="B148" s="986"/>
    </row>
    <row r="149" spans="1:2">
      <c r="A149" s="985"/>
      <c r="B149" s="986"/>
    </row>
    <row r="150" spans="1:2">
      <c r="A150" s="985"/>
      <c r="B150" s="986"/>
    </row>
    <row r="151" spans="1:2">
      <c r="A151" s="985"/>
      <c r="B151" s="986"/>
    </row>
    <row r="152" spans="1:2">
      <c r="A152" s="985"/>
      <c r="B152" s="986"/>
    </row>
    <row r="153" spans="1:2">
      <c r="A153" s="985"/>
      <c r="B153" s="986"/>
    </row>
    <row r="154" spans="1:2">
      <c r="A154" s="985"/>
      <c r="B154" s="986"/>
    </row>
    <row r="155" spans="1:2">
      <c r="A155" s="985"/>
      <c r="B155" s="986"/>
    </row>
    <row r="156" spans="1:2">
      <c r="A156" s="985"/>
      <c r="B156" s="986"/>
    </row>
    <row r="157" spans="1:2">
      <c r="A157" s="985"/>
      <c r="B157" s="986"/>
    </row>
    <row r="158" spans="1:2">
      <c r="A158" s="985"/>
      <c r="B158" s="986"/>
    </row>
    <row r="159" spans="1:2">
      <c r="A159" s="985"/>
      <c r="B159" s="986"/>
    </row>
    <row r="160" spans="1:2">
      <c r="A160" s="985"/>
      <c r="B160" s="986"/>
    </row>
    <row r="161" spans="1:6">
      <c r="A161" s="985"/>
      <c r="B161" s="986"/>
    </row>
    <row r="162" spans="1:6">
      <c r="A162" s="985"/>
      <c r="B162" s="986"/>
    </row>
    <row r="163" spans="1:6">
      <c r="A163" s="985"/>
      <c r="B163" s="991"/>
    </row>
    <row r="164" spans="1:6">
      <c r="A164" s="985"/>
      <c r="B164" s="991"/>
    </row>
    <row r="165" spans="1:6">
      <c r="A165" s="992"/>
      <c r="B165" s="993"/>
    </row>
    <row r="168" spans="1:6">
      <c r="E168" s="1299"/>
      <c r="F168" s="1301"/>
    </row>
    <row r="209" spans="1:6">
      <c r="A209" s="985"/>
      <c r="B209" s="991"/>
    </row>
    <row r="218" spans="1:6">
      <c r="E218" s="1299"/>
      <c r="F218" s="1301"/>
    </row>
    <row r="222" spans="1:6">
      <c r="B222" s="963"/>
      <c r="C222" s="964"/>
      <c r="D222" s="965"/>
    </row>
    <row r="223" spans="1:6">
      <c r="B223" s="963"/>
      <c r="C223" s="964"/>
      <c r="D223" s="965"/>
    </row>
    <row r="224" spans="1:6">
      <c r="B224" s="963"/>
      <c r="C224" s="964"/>
      <c r="D224" s="965"/>
    </row>
    <row r="225" spans="1:7">
      <c r="B225" s="963"/>
      <c r="C225" s="964"/>
      <c r="D225" s="965"/>
    </row>
    <row r="226" spans="1:7" s="966" customFormat="1">
      <c r="A226" s="981"/>
      <c r="B226" s="963"/>
      <c r="C226" s="964"/>
      <c r="D226" s="965"/>
      <c r="E226" s="1292"/>
      <c r="F226" s="1311"/>
      <c r="G226" s="955"/>
    </row>
  </sheetData>
  <sheetProtection algorithmName="SHA-512" hashValue="5fItKORu0+rQc56FdgeCD1KACn4H2GlCrjDA2k4sfdduOANzoRZ72hn3Pf2ZjfK1R0qnpIja3NJkDralKANgZA==" saltValue="3y+80snP+xMdvZ8FOIemGg==" spinCount="100000" sheet="1" objects="1" scenarios="1"/>
  <mergeCells count="3">
    <mergeCell ref="A2:F2"/>
    <mergeCell ref="A56:F56"/>
    <mergeCell ref="B63:C63"/>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2:G235"/>
  <sheetViews>
    <sheetView topLeftCell="A71" zoomScale="70" zoomScaleNormal="70" workbookViewId="0">
      <selection activeCell="F88" sqref="F88"/>
    </sheetView>
  </sheetViews>
  <sheetFormatPr defaultRowHeight="15.6"/>
  <cols>
    <col min="1" max="1" width="6.6640625" style="1088" customWidth="1"/>
    <col min="2" max="2" width="65.33203125" style="1089" customWidth="1"/>
    <col min="3" max="3" width="9.33203125" style="1087" customWidth="1"/>
    <col min="4" max="4" width="7.88671875" style="1038" customWidth="1"/>
    <col min="5" max="5" width="14.44140625" style="1038" customWidth="1"/>
    <col min="6" max="6" width="21.5546875" style="1038" customWidth="1"/>
    <col min="7" max="7" width="10.109375" style="1027" bestFit="1" customWidth="1"/>
    <col min="8" max="256" width="9.109375" style="1027"/>
    <col min="257" max="257" width="6.6640625" style="1027" customWidth="1"/>
    <col min="258" max="258" width="65.33203125" style="1027" customWidth="1"/>
    <col min="259" max="259" width="9.33203125" style="1027" customWidth="1"/>
    <col min="260" max="260" width="7.88671875" style="1027" customWidth="1"/>
    <col min="261" max="261" width="14.44140625" style="1027" customWidth="1"/>
    <col min="262" max="262" width="21.5546875" style="1027" customWidth="1"/>
    <col min="263" max="263" width="10.109375" style="1027" bestFit="1" customWidth="1"/>
    <col min="264" max="512" width="9.109375" style="1027"/>
    <col min="513" max="513" width="6.6640625" style="1027" customWidth="1"/>
    <col min="514" max="514" width="65.33203125" style="1027" customWidth="1"/>
    <col min="515" max="515" width="9.33203125" style="1027" customWidth="1"/>
    <col min="516" max="516" width="7.88671875" style="1027" customWidth="1"/>
    <col min="517" max="517" width="14.44140625" style="1027" customWidth="1"/>
    <col min="518" max="518" width="21.5546875" style="1027" customWidth="1"/>
    <col min="519" max="519" width="10.109375" style="1027" bestFit="1" customWidth="1"/>
    <col min="520" max="768" width="9.109375" style="1027"/>
    <col min="769" max="769" width="6.6640625" style="1027" customWidth="1"/>
    <col min="770" max="770" width="65.33203125" style="1027" customWidth="1"/>
    <col min="771" max="771" width="9.33203125" style="1027" customWidth="1"/>
    <col min="772" max="772" width="7.88671875" style="1027" customWidth="1"/>
    <col min="773" max="773" width="14.44140625" style="1027" customWidth="1"/>
    <col min="774" max="774" width="21.5546875" style="1027" customWidth="1"/>
    <col min="775" max="775" width="10.109375" style="1027" bestFit="1" customWidth="1"/>
    <col min="776" max="1024" width="9.109375" style="1027"/>
    <col min="1025" max="1025" width="6.6640625" style="1027" customWidth="1"/>
    <col min="1026" max="1026" width="65.33203125" style="1027" customWidth="1"/>
    <col min="1027" max="1027" width="9.33203125" style="1027" customWidth="1"/>
    <col min="1028" max="1028" width="7.88671875" style="1027" customWidth="1"/>
    <col min="1029" max="1029" width="14.44140625" style="1027" customWidth="1"/>
    <col min="1030" max="1030" width="21.5546875" style="1027" customWidth="1"/>
    <col min="1031" max="1031" width="10.109375" style="1027" bestFit="1" customWidth="1"/>
    <col min="1032" max="1280" width="9.109375" style="1027"/>
    <col min="1281" max="1281" width="6.6640625" style="1027" customWidth="1"/>
    <col min="1282" max="1282" width="65.33203125" style="1027" customWidth="1"/>
    <col min="1283" max="1283" width="9.33203125" style="1027" customWidth="1"/>
    <col min="1284" max="1284" width="7.88671875" style="1027" customWidth="1"/>
    <col min="1285" max="1285" width="14.44140625" style="1027" customWidth="1"/>
    <col min="1286" max="1286" width="21.5546875" style="1027" customWidth="1"/>
    <col min="1287" max="1287" width="10.109375" style="1027" bestFit="1" customWidth="1"/>
    <col min="1288" max="1536" width="9.109375" style="1027"/>
    <col min="1537" max="1537" width="6.6640625" style="1027" customWidth="1"/>
    <col min="1538" max="1538" width="65.33203125" style="1027" customWidth="1"/>
    <col min="1539" max="1539" width="9.33203125" style="1027" customWidth="1"/>
    <col min="1540" max="1540" width="7.88671875" style="1027" customWidth="1"/>
    <col min="1541" max="1541" width="14.44140625" style="1027" customWidth="1"/>
    <col min="1542" max="1542" width="21.5546875" style="1027" customWidth="1"/>
    <col min="1543" max="1543" width="10.109375" style="1027" bestFit="1" customWidth="1"/>
    <col min="1544" max="1792" width="9.109375" style="1027"/>
    <col min="1793" max="1793" width="6.6640625" style="1027" customWidth="1"/>
    <col min="1794" max="1794" width="65.33203125" style="1027" customWidth="1"/>
    <col min="1795" max="1795" width="9.33203125" style="1027" customWidth="1"/>
    <col min="1796" max="1796" width="7.88671875" style="1027" customWidth="1"/>
    <col min="1797" max="1797" width="14.44140625" style="1027" customWidth="1"/>
    <col min="1798" max="1798" width="21.5546875" style="1027" customWidth="1"/>
    <col min="1799" max="1799" width="10.109375" style="1027" bestFit="1" customWidth="1"/>
    <col min="1800" max="2048" width="9.109375" style="1027"/>
    <col min="2049" max="2049" width="6.6640625" style="1027" customWidth="1"/>
    <col min="2050" max="2050" width="65.33203125" style="1027" customWidth="1"/>
    <col min="2051" max="2051" width="9.33203125" style="1027" customWidth="1"/>
    <col min="2052" max="2052" width="7.88671875" style="1027" customWidth="1"/>
    <col min="2053" max="2053" width="14.44140625" style="1027" customWidth="1"/>
    <col min="2054" max="2054" width="21.5546875" style="1027" customWidth="1"/>
    <col min="2055" max="2055" width="10.109375" style="1027" bestFit="1" customWidth="1"/>
    <col min="2056" max="2304" width="9.109375" style="1027"/>
    <col min="2305" max="2305" width="6.6640625" style="1027" customWidth="1"/>
    <col min="2306" max="2306" width="65.33203125" style="1027" customWidth="1"/>
    <col min="2307" max="2307" width="9.33203125" style="1027" customWidth="1"/>
    <col min="2308" max="2308" width="7.88671875" style="1027" customWidth="1"/>
    <col min="2309" max="2309" width="14.44140625" style="1027" customWidth="1"/>
    <col min="2310" max="2310" width="21.5546875" style="1027" customWidth="1"/>
    <col min="2311" max="2311" width="10.109375" style="1027" bestFit="1" customWidth="1"/>
    <col min="2312" max="2560" width="9.109375" style="1027"/>
    <col min="2561" max="2561" width="6.6640625" style="1027" customWidth="1"/>
    <col min="2562" max="2562" width="65.33203125" style="1027" customWidth="1"/>
    <col min="2563" max="2563" width="9.33203125" style="1027" customWidth="1"/>
    <col min="2564" max="2564" width="7.88671875" style="1027" customWidth="1"/>
    <col min="2565" max="2565" width="14.44140625" style="1027" customWidth="1"/>
    <col min="2566" max="2566" width="21.5546875" style="1027" customWidth="1"/>
    <col min="2567" max="2567" width="10.109375" style="1027" bestFit="1" customWidth="1"/>
    <col min="2568" max="2816" width="9.109375" style="1027"/>
    <col min="2817" max="2817" width="6.6640625" style="1027" customWidth="1"/>
    <col min="2818" max="2818" width="65.33203125" style="1027" customWidth="1"/>
    <col min="2819" max="2819" width="9.33203125" style="1027" customWidth="1"/>
    <col min="2820" max="2820" width="7.88671875" style="1027" customWidth="1"/>
    <col min="2821" max="2821" width="14.44140625" style="1027" customWidth="1"/>
    <col min="2822" max="2822" width="21.5546875" style="1027" customWidth="1"/>
    <col min="2823" max="2823" width="10.109375" style="1027" bestFit="1" customWidth="1"/>
    <col min="2824" max="3072" width="9.109375" style="1027"/>
    <col min="3073" max="3073" width="6.6640625" style="1027" customWidth="1"/>
    <col min="3074" max="3074" width="65.33203125" style="1027" customWidth="1"/>
    <col min="3075" max="3075" width="9.33203125" style="1027" customWidth="1"/>
    <col min="3076" max="3076" width="7.88671875" style="1027" customWidth="1"/>
    <col min="3077" max="3077" width="14.44140625" style="1027" customWidth="1"/>
    <col min="3078" max="3078" width="21.5546875" style="1027" customWidth="1"/>
    <col min="3079" max="3079" width="10.109375" style="1027" bestFit="1" customWidth="1"/>
    <col min="3080" max="3328" width="9.109375" style="1027"/>
    <col min="3329" max="3329" width="6.6640625" style="1027" customWidth="1"/>
    <col min="3330" max="3330" width="65.33203125" style="1027" customWidth="1"/>
    <col min="3331" max="3331" width="9.33203125" style="1027" customWidth="1"/>
    <col min="3332" max="3332" width="7.88671875" style="1027" customWidth="1"/>
    <col min="3333" max="3333" width="14.44140625" style="1027" customWidth="1"/>
    <col min="3334" max="3334" width="21.5546875" style="1027" customWidth="1"/>
    <col min="3335" max="3335" width="10.109375" style="1027" bestFit="1" customWidth="1"/>
    <col min="3336" max="3584" width="9.109375" style="1027"/>
    <col min="3585" max="3585" width="6.6640625" style="1027" customWidth="1"/>
    <col min="3586" max="3586" width="65.33203125" style="1027" customWidth="1"/>
    <col min="3587" max="3587" width="9.33203125" style="1027" customWidth="1"/>
    <col min="3588" max="3588" width="7.88671875" style="1027" customWidth="1"/>
    <col min="3589" max="3589" width="14.44140625" style="1027" customWidth="1"/>
    <col min="3590" max="3590" width="21.5546875" style="1027" customWidth="1"/>
    <col min="3591" max="3591" width="10.109375" style="1027" bestFit="1" customWidth="1"/>
    <col min="3592" max="3840" width="9.109375" style="1027"/>
    <col min="3841" max="3841" width="6.6640625" style="1027" customWidth="1"/>
    <col min="3842" max="3842" width="65.33203125" style="1027" customWidth="1"/>
    <col min="3843" max="3843" width="9.33203125" style="1027" customWidth="1"/>
    <col min="3844" max="3844" width="7.88671875" style="1027" customWidth="1"/>
    <col min="3845" max="3845" width="14.44140625" style="1027" customWidth="1"/>
    <col min="3846" max="3846" width="21.5546875" style="1027" customWidth="1"/>
    <col min="3847" max="3847" width="10.109375" style="1027" bestFit="1" customWidth="1"/>
    <col min="3848" max="4096" width="9.109375" style="1027"/>
    <col min="4097" max="4097" width="6.6640625" style="1027" customWidth="1"/>
    <col min="4098" max="4098" width="65.33203125" style="1027" customWidth="1"/>
    <col min="4099" max="4099" width="9.33203125" style="1027" customWidth="1"/>
    <col min="4100" max="4100" width="7.88671875" style="1027" customWidth="1"/>
    <col min="4101" max="4101" width="14.44140625" style="1027" customWidth="1"/>
    <col min="4102" max="4102" width="21.5546875" style="1027" customWidth="1"/>
    <col min="4103" max="4103" width="10.109375" style="1027" bestFit="1" customWidth="1"/>
    <col min="4104" max="4352" width="9.109375" style="1027"/>
    <col min="4353" max="4353" width="6.6640625" style="1027" customWidth="1"/>
    <col min="4354" max="4354" width="65.33203125" style="1027" customWidth="1"/>
    <col min="4355" max="4355" width="9.33203125" style="1027" customWidth="1"/>
    <col min="4356" max="4356" width="7.88671875" style="1027" customWidth="1"/>
    <col min="4357" max="4357" width="14.44140625" style="1027" customWidth="1"/>
    <col min="4358" max="4358" width="21.5546875" style="1027" customWidth="1"/>
    <col min="4359" max="4359" width="10.109375" style="1027" bestFit="1" customWidth="1"/>
    <col min="4360" max="4608" width="9.109375" style="1027"/>
    <col min="4609" max="4609" width="6.6640625" style="1027" customWidth="1"/>
    <col min="4610" max="4610" width="65.33203125" style="1027" customWidth="1"/>
    <col min="4611" max="4611" width="9.33203125" style="1027" customWidth="1"/>
    <col min="4612" max="4612" width="7.88671875" style="1027" customWidth="1"/>
    <col min="4613" max="4613" width="14.44140625" style="1027" customWidth="1"/>
    <col min="4614" max="4614" width="21.5546875" style="1027" customWidth="1"/>
    <col min="4615" max="4615" width="10.109375" style="1027" bestFit="1" customWidth="1"/>
    <col min="4616" max="4864" width="9.109375" style="1027"/>
    <col min="4865" max="4865" width="6.6640625" style="1027" customWidth="1"/>
    <col min="4866" max="4866" width="65.33203125" style="1027" customWidth="1"/>
    <col min="4867" max="4867" width="9.33203125" style="1027" customWidth="1"/>
    <col min="4868" max="4868" width="7.88671875" style="1027" customWidth="1"/>
    <col min="4869" max="4869" width="14.44140625" style="1027" customWidth="1"/>
    <col min="4870" max="4870" width="21.5546875" style="1027" customWidth="1"/>
    <col min="4871" max="4871" width="10.109375" style="1027" bestFit="1" customWidth="1"/>
    <col min="4872" max="5120" width="9.109375" style="1027"/>
    <col min="5121" max="5121" width="6.6640625" style="1027" customWidth="1"/>
    <col min="5122" max="5122" width="65.33203125" style="1027" customWidth="1"/>
    <col min="5123" max="5123" width="9.33203125" style="1027" customWidth="1"/>
    <col min="5124" max="5124" width="7.88671875" style="1027" customWidth="1"/>
    <col min="5125" max="5125" width="14.44140625" style="1027" customWidth="1"/>
    <col min="5126" max="5126" width="21.5546875" style="1027" customWidth="1"/>
    <col min="5127" max="5127" width="10.109375" style="1027" bestFit="1" customWidth="1"/>
    <col min="5128" max="5376" width="9.109375" style="1027"/>
    <col min="5377" max="5377" width="6.6640625" style="1027" customWidth="1"/>
    <col min="5378" max="5378" width="65.33203125" style="1027" customWidth="1"/>
    <col min="5379" max="5379" width="9.33203125" style="1027" customWidth="1"/>
    <col min="5380" max="5380" width="7.88671875" style="1027" customWidth="1"/>
    <col min="5381" max="5381" width="14.44140625" style="1027" customWidth="1"/>
    <col min="5382" max="5382" width="21.5546875" style="1027" customWidth="1"/>
    <col min="5383" max="5383" width="10.109375" style="1027" bestFit="1" customWidth="1"/>
    <col min="5384" max="5632" width="9.109375" style="1027"/>
    <col min="5633" max="5633" width="6.6640625" style="1027" customWidth="1"/>
    <col min="5634" max="5634" width="65.33203125" style="1027" customWidth="1"/>
    <col min="5635" max="5635" width="9.33203125" style="1027" customWidth="1"/>
    <col min="5636" max="5636" width="7.88671875" style="1027" customWidth="1"/>
    <col min="5637" max="5637" width="14.44140625" style="1027" customWidth="1"/>
    <col min="5638" max="5638" width="21.5546875" style="1027" customWidth="1"/>
    <col min="5639" max="5639" width="10.109375" style="1027" bestFit="1" customWidth="1"/>
    <col min="5640" max="5888" width="9.109375" style="1027"/>
    <col min="5889" max="5889" width="6.6640625" style="1027" customWidth="1"/>
    <col min="5890" max="5890" width="65.33203125" style="1027" customWidth="1"/>
    <col min="5891" max="5891" width="9.33203125" style="1027" customWidth="1"/>
    <col min="5892" max="5892" width="7.88671875" style="1027" customWidth="1"/>
    <col min="5893" max="5893" width="14.44140625" style="1027" customWidth="1"/>
    <col min="5894" max="5894" width="21.5546875" style="1027" customWidth="1"/>
    <col min="5895" max="5895" width="10.109375" style="1027" bestFit="1" customWidth="1"/>
    <col min="5896" max="6144" width="9.109375" style="1027"/>
    <col min="6145" max="6145" width="6.6640625" style="1027" customWidth="1"/>
    <col min="6146" max="6146" width="65.33203125" style="1027" customWidth="1"/>
    <col min="6147" max="6147" width="9.33203125" style="1027" customWidth="1"/>
    <col min="6148" max="6148" width="7.88671875" style="1027" customWidth="1"/>
    <col min="6149" max="6149" width="14.44140625" style="1027" customWidth="1"/>
    <col min="6150" max="6150" width="21.5546875" style="1027" customWidth="1"/>
    <col min="6151" max="6151" width="10.109375" style="1027" bestFit="1" customWidth="1"/>
    <col min="6152" max="6400" width="9.109375" style="1027"/>
    <col min="6401" max="6401" width="6.6640625" style="1027" customWidth="1"/>
    <col min="6402" max="6402" width="65.33203125" style="1027" customWidth="1"/>
    <col min="6403" max="6403" width="9.33203125" style="1027" customWidth="1"/>
    <col min="6404" max="6404" width="7.88671875" style="1027" customWidth="1"/>
    <col min="6405" max="6405" width="14.44140625" style="1027" customWidth="1"/>
    <col min="6406" max="6406" width="21.5546875" style="1027" customWidth="1"/>
    <col min="6407" max="6407" width="10.109375" style="1027" bestFit="1" customWidth="1"/>
    <col min="6408" max="6656" width="9.109375" style="1027"/>
    <col min="6657" max="6657" width="6.6640625" style="1027" customWidth="1"/>
    <col min="6658" max="6658" width="65.33203125" style="1027" customWidth="1"/>
    <col min="6659" max="6659" width="9.33203125" style="1027" customWidth="1"/>
    <col min="6660" max="6660" width="7.88671875" style="1027" customWidth="1"/>
    <col min="6661" max="6661" width="14.44140625" style="1027" customWidth="1"/>
    <col min="6662" max="6662" width="21.5546875" style="1027" customWidth="1"/>
    <col min="6663" max="6663" width="10.109375" style="1027" bestFit="1" customWidth="1"/>
    <col min="6664" max="6912" width="9.109375" style="1027"/>
    <col min="6913" max="6913" width="6.6640625" style="1027" customWidth="1"/>
    <col min="6914" max="6914" width="65.33203125" style="1027" customWidth="1"/>
    <col min="6915" max="6915" width="9.33203125" style="1027" customWidth="1"/>
    <col min="6916" max="6916" width="7.88671875" style="1027" customWidth="1"/>
    <col min="6917" max="6917" width="14.44140625" style="1027" customWidth="1"/>
    <col min="6918" max="6918" width="21.5546875" style="1027" customWidth="1"/>
    <col min="6919" max="6919" width="10.109375" style="1027" bestFit="1" customWidth="1"/>
    <col min="6920" max="7168" width="9.109375" style="1027"/>
    <col min="7169" max="7169" width="6.6640625" style="1027" customWidth="1"/>
    <col min="7170" max="7170" width="65.33203125" style="1027" customWidth="1"/>
    <col min="7171" max="7171" width="9.33203125" style="1027" customWidth="1"/>
    <col min="7172" max="7172" width="7.88671875" style="1027" customWidth="1"/>
    <col min="7173" max="7173" width="14.44140625" style="1027" customWidth="1"/>
    <col min="7174" max="7174" width="21.5546875" style="1027" customWidth="1"/>
    <col min="7175" max="7175" width="10.109375" style="1027" bestFit="1" customWidth="1"/>
    <col min="7176" max="7424" width="9.109375" style="1027"/>
    <col min="7425" max="7425" width="6.6640625" style="1027" customWidth="1"/>
    <col min="7426" max="7426" width="65.33203125" style="1027" customWidth="1"/>
    <col min="7427" max="7427" width="9.33203125" style="1027" customWidth="1"/>
    <col min="7428" max="7428" width="7.88671875" style="1027" customWidth="1"/>
    <col min="7429" max="7429" width="14.44140625" style="1027" customWidth="1"/>
    <col min="7430" max="7430" width="21.5546875" style="1027" customWidth="1"/>
    <col min="7431" max="7431" width="10.109375" style="1027" bestFit="1" customWidth="1"/>
    <col min="7432" max="7680" width="9.109375" style="1027"/>
    <col min="7681" max="7681" width="6.6640625" style="1027" customWidth="1"/>
    <col min="7682" max="7682" width="65.33203125" style="1027" customWidth="1"/>
    <col min="7683" max="7683" width="9.33203125" style="1027" customWidth="1"/>
    <col min="7684" max="7684" width="7.88671875" style="1027" customWidth="1"/>
    <col min="7685" max="7685" width="14.44140625" style="1027" customWidth="1"/>
    <col min="7686" max="7686" width="21.5546875" style="1027" customWidth="1"/>
    <col min="7687" max="7687" width="10.109375" style="1027" bestFit="1" customWidth="1"/>
    <col min="7688" max="7936" width="9.109375" style="1027"/>
    <col min="7937" max="7937" width="6.6640625" style="1027" customWidth="1"/>
    <col min="7938" max="7938" width="65.33203125" style="1027" customWidth="1"/>
    <col min="7939" max="7939" width="9.33203125" style="1027" customWidth="1"/>
    <col min="7940" max="7940" width="7.88671875" style="1027" customWidth="1"/>
    <col min="7941" max="7941" width="14.44140625" style="1027" customWidth="1"/>
    <col min="7942" max="7942" width="21.5546875" style="1027" customWidth="1"/>
    <col min="7943" max="7943" width="10.109375" style="1027" bestFit="1" customWidth="1"/>
    <col min="7944" max="8192" width="9.109375" style="1027"/>
    <col min="8193" max="8193" width="6.6640625" style="1027" customWidth="1"/>
    <col min="8194" max="8194" width="65.33203125" style="1027" customWidth="1"/>
    <col min="8195" max="8195" width="9.33203125" style="1027" customWidth="1"/>
    <col min="8196" max="8196" width="7.88671875" style="1027" customWidth="1"/>
    <col min="8197" max="8197" width="14.44140625" style="1027" customWidth="1"/>
    <col min="8198" max="8198" width="21.5546875" style="1027" customWidth="1"/>
    <col min="8199" max="8199" width="10.109375" style="1027" bestFit="1" customWidth="1"/>
    <col min="8200" max="8448" width="9.109375" style="1027"/>
    <col min="8449" max="8449" width="6.6640625" style="1027" customWidth="1"/>
    <col min="8450" max="8450" width="65.33203125" style="1027" customWidth="1"/>
    <col min="8451" max="8451" width="9.33203125" style="1027" customWidth="1"/>
    <col min="8452" max="8452" width="7.88671875" style="1027" customWidth="1"/>
    <col min="8453" max="8453" width="14.44140625" style="1027" customWidth="1"/>
    <col min="8454" max="8454" width="21.5546875" style="1027" customWidth="1"/>
    <col min="8455" max="8455" width="10.109375" style="1027" bestFit="1" customWidth="1"/>
    <col min="8456" max="8704" width="9.109375" style="1027"/>
    <col min="8705" max="8705" width="6.6640625" style="1027" customWidth="1"/>
    <col min="8706" max="8706" width="65.33203125" style="1027" customWidth="1"/>
    <col min="8707" max="8707" width="9.33203125" style="1027" customWidth="1"/>
    <col min="8708" max="8708" width="7.88671875" style="1027" customWidth="1"/>
    <col min="8709" max="8709" width="14.44140625" style="1027" customWidth="1"/>
    <col min="8710" max="8710" width="21.5546875" style="1027" customWidth="1"/>
    <col min="8711" max="8711" width="10.109375" style="1027" bestFit="1" customWidth="1"/>
    <col min="8712" max="8960" width="9.109375" style="1027"/>
    <col min="8961" max="8961" width="6.6640625" style="1027" customWidth="1"/>
    <col min="8962" max="8962" width="65.33203125" style="1027" customWidth="1"/>
    <col min="8963" max="8963" width="9.33203125" style="1027" customWidth="1"/>
    <col min="8964" max="8964" width="7.88671875" style="1027" customWidth="1"/>
    <col min="8965" max="8965" width="14.44140625" style="1027" customWidth="1"/>
    <col min="8966" max="8966" width="21.5546875" style="1027" customWidth="1"/>
    <col min="8967" max="8967" width="10.109375" style="1027" bestFit="1" customWidth="1"/>
    <col min="8968" max="9216" width="9.109375" style="1027"/>
    <col min="9217" max="9217" width="6.6640625" style="1027" customWidth="1"/>
    <col min="9218" max="9218" width="65.33203125" style="1027" customWidth="1"/>
    <col min="9219" max="9219" width="9.33203125" style="1027" customWidth="1"/>
    <col min="9220" max="9220" width="7.88671875" style="1027" customWidth="1"/>
    <col min="9221" max="9221" width="14.44140625" style="1027" customWidth="1"/>
    <col min="9222" max="9222" width="21.5546875" style="1027" customWidth="1"/>
    <col min="9223" max="9223" width="10.109375" style="1027" bestFit="1" customWidth="1"/>
    <col min="9224" max="9472" width="9.109375" style="1027"/>
    <col min="9473" max="9473" width="6.6640625" style="1027" customWidth="1"/>
    <col min="9474" max="9474" width="65.33203125" style="1027" customWidth="1"/>
    <col min="9475" max="9475" width="9.33203125" style="1027" customWidth="1"/>
    <col min="9476" max="9476" width="7.88671875" style="1027" customWidth="1"/>
    <col min="9477" max="9477" width="14.44140625" style="1027" customWidth="1"/>
    <col min="9478" max="9478" width="21.5546875" style="1027" customWidth="1"/>
    <col min="9479" max="9479" width="10.109375" style="1027" bestFit="1" customWidth="1"/>
    <col min="9480" max="9728" width="9.109375" style="1027"/>
    <col min="9729" max="9729" width="6.6640625" style="1027" customWidth="1"/>
    <col min="9730" max="9730" width="65.33203125" style="1027" customWidth="1"/>
    <col min="9731" max="9731" width="9.33203125" style="1027" customWidth="1"/>
    <col min="9732" max="9732" width="7.88671875" style="1027" customWidth="1"/>
    <col min="9733" max="9733" width="14.44140625" style="1027" customWidth="1"/>
    <col min="9734" max="9734" width="21.5546875" style="1027" customWidth="1"/>
    <col min="9735" max="9735" width="10.109375" style="1027" bestFit="1" customWidth="1"/>
    <col min="9736" max="9984" width="9.109375" style="1027"/>
    <col min="9985" max="9985" width="6.6640625" style="1027" customWidth="1"/>
    <col min="9986" max="9986" width="65.33203125" style="1027" customWidth="1"/>
    <col min="9987" max="9987" width="9.33203125" style="1027" customWidth="1"/>
    <col min="9988" max="9988" width="7.88671875" style="1027" customWidth="1"/>
    <col min="9989" max="9989" width="14.44140625" style="1027" customWidth="1"/>
    <col min="9990" max="9990" width="21.5546875" style="1027" customWidth="1"/>
    <col min="9991" max="9991" width="10.109375" style="1027" bestFit="1" customWidth="1"/>
    <col min="9992" max="10240" width="9.109375" style="1027"/>
    <col min="10241" max="10241" width="6.6640625" style="1027" customWidth="1"/>
    <col min="10242" max="10242" width="65.33203125" style="1027" customWidth="1"/>
    <col min="10243" max="10243" width="9.33203125" style="1027" customWidth="1"/>
    <col min="10244" max="10244" width="7.88671875" style="1027" customWidth="1"/>
    <col min="10245" max="10245" width="14.44140625" style="1027" customWidth="1"/>
    <col min="10246" max="10246" width="21.5546875" style="1027" customWidth="1"/>
    <col min="10247" max="10247" width="10.109375" style="1027" bestFit="1" customWidth="1"/>
    <col min="10248" max="10496" width="9.109375" style="1027"/>
    <col min="10497" max="10497" width="6.6640625" style="1027" customWidth="1"/>
    <col min="10498" max="10498" width="65.33203125" style="1027" customWidth="1"/>
    <col min="10499" max="10499" width="9.33203125" style="1027" customWidth="1"/>
    <col min="10500" max="10500" width="7.88671875" style="1027" customWidth="1"/>
    <col min="10501" max="10501" width="14.44140625" style="1027" customWidth="1"/>
    <col min="10502" max="10502" width="21.5546875" style="1027" customWidth="1"/>
    <col min="10503" max="10503" width="10.109375" style="1027" bestFit="1" customWidth="1"/>
    <col min="10504" max="10752" width="9.109375" style="1027"/>
    <col min="10753" max="10753" width="6.6640625" style="1027" customWidth="1"/>
    <col min="10754" max="10754" width="65.33203125" style="1027" customWidth="1"/>
    <col min="10755" max="10755" width="9.33203125" style="1027" customWidth="1"/>
    <col min="10756" max="10756" width="7.88671875" style="1027" customWidth="1"/>
    <col min="10757" max="10757" width="14.44140625" style="1027" customWidth="1"/>
    <col min="10758" max="10758" width="21.5546875" style="1027" customWidth="1"/>
    <col min="10759" max="10759" width="10.109375" style="1027" bestFit="1" customWidth="1"/>
    <col min="10760" max="11008" width="9.109375" style="1027"/>
    <col min="11009" max="11009" width="6.6640625" style="1027" customWidth="1"/>
    <col min="11010" max="11010" width="65.33203125" style="1027" customWidth="1"/>
    <col min="11011" max="11011" width="9.33203125" style="1027" customWidth="1"/>
    <col min="11012" max="11012" width="7.88671875" style="1027" customWidth="1"/>
    <col min="11013" max="11013" width="14.44140625" style="1027" customWidth="1"/>
    <col min="11014" max="11014" width="21.5546875" style="1027" customWidth="1"/>
    <col min="11015" max="11015" width="10.109375" style="1027" bestFit="1" customWidth="1"/>
    <col min="11016" max="11264" width="9.109375" style="1027"/>
    <col min="11265" max="11265" width="6.6640625" style="1027" customWidth="1"/>
    <col min="11266" max="11266" width="65.33203125" style="1027" customWidth="1"/>
    <col min="11267" max="11267" width="9.33203125" style="1027" customWidth="1"/>
    <col min="11268" max="11268" width="7.88671875" style="1027" customWidth="1"/>
    <col min="11269" max="11269" width="14.44140625" style="1027" customWidth="1"/>
    <col min="11270" max="11270" width="21.5546875" style="1027" customWidth="1"/>
    <col min="11271" max="11271" width="10.109375" style="1027" bestFit="1" customWidth="1"/>
    <col min="11272" max="11520" width="9.109375" style="1027"/>
    <col min="11521" max="11521" width="6.6640625" style="1027" customWidth="1"/>
    <col min="11522" max="11522" width="65.33203125" style="1027" customWidth="1"/>
    <col min="11523" max="11523" width="9.33203125" style="1027" customWidth="1"/>
    <col min="11524" max="11524" width="7.88671875" style="1027" customWidth="1"/>
    <col min="11525" max="11525" width="14.44140625" style="1027" customWidth="1"/>
    <col min="11526" max="11526" width="21.5546875" style="1027" customWidth="1"/>
    <col min="11527" max="11527" width="10.109375" style="1027" bestFit="1" customWidth="1"/>
    <col min="11528" max="11776" width="9.109375" style="1027"/>
    <col min="11777" max="11777" width="6.6640625" style="1027" customWidth="1"/>
    <col min="11778" max="11778" width="65.33203125" style="1027" customWidth="1"/>
    <col min="11779" max="11779" width="9.33203125" style="1027" customWidth="1"/>
    <col min="11780" max="11780" width="7.88671875" style="1027" customWidth="1"/>
    <col min="11781" max="11781" width="14.44140625" style="1027" customWidth="1"/>
    <col min="11782" max="11782" width="21.5546875" style="1027" customWidth="1"/>
    <col min="11783" max="11783" width="10.109375" style="1027" bestFit="1" customWidth="1"/>
    <col min="11784" max="12032" width="9.109375" style="1027"/>
    <col min="12033" max="12033" width="6.6640625" style="1027" customWidth="1"/>
    <col min="12034" max="12034" width="65.33203125" style="1027" customWidth="1"/>
    <col min="12035" max="12035" width="9.33203125" style="1027" customWidth="1"/>
    <col min="12036" max="12036" width="7.88671875" style="1027" customWidth="1"/>
    <col min="12037" max="12037" width="14.44140625" style="1027" customWidth="1"/>
    <col min="12038" max="12038" width="21.5546875" style="1027" customWidth="1"/>
    <col min="12039" max="12039" width="10.109375" style="1027" bestFit="1" customWidth="1"/>
    <col min="12040" max="12288" width="9.109375" style="1027"/>
    <col min="12289" max="12289" width="6.6640625" style="1027" customWidth="1"/>
    <col min="12290" max="12290" width="65.33203125" style="1027" customWidth="1"/>
    <col min="12291" max="12291" width="9.33203125" style="1027" customWidth="1"/>
    <col min="12292" max="12292" width="7.88671875" style="1027" customWidth="1"/>
    <col min="12293" max="12293" width="14.44140625" style="1027" customWidth="1"/>
    <col min="12294" max="12294" width="21.5546875" style="1027" customWidth="1"/>
    <col min="12295" max="12295" width="10.109375" style="1027" bestFit="1" customWidth="1"/>
    <col min="12296" max="12544" width="9.109375" style="1027"/>
    <col min="12545" max="12545" width="6.6640625" style="1027" customWidth="1"/>
    <col min="12546" max="12546" width="65.33203125" style="1027" customWidth="1"/>
    <col min="12547" max="12547" width="9.33203125" style="1027" customWidth="1"/>
    <col min="12548" max="12548" width="7.88671875" style="1027" customWidth="1"/>
    <col min="12549" max="12549" width="14.44140625" style="1027" customWidth="1"/>
    <col min="12550" max="12550" width="21.5546875" style="1027" customWidth="1"/>
    <col min="12551" max="12551" width="10.109375" style="1027" bestFit="1" customWidth="1"/>
    <col min="12552" max="12800" width="9.109375" style="1027"/>
    <col min="12801" max="12801" width="6.6640625" style="1027" customWidth="1"/>
    <col min="12802" max="12802" width="65.33203125" style="1027" customWidth="1"/>
    <col min="12803" max="12803" width="9.33203125" style="1027" customWidth="1"/>
    <col min="12804" max="12804" width="7.88671875" style="1027" customWidth="1"/>
    <col min="12805" max="12805" width="14.44140625" style="1027" customWidth="1"/>
    <col min="12806" max="12806" width="21.5546875" style="1027" customWidth="1"/>
    <col min="12807" max="12807" width="10.109375" style="1027" bestFit="1" customWidth="1"/>
    <col min="12808" max="13056" width="9.109375" style="1027"/>
    <col min="13057" max="13057" width="6.6640625" style="1027" customWidth="1"/>
    <col min="13058" max="13058" width="65.33203125" style="1027" customWidth="1"/>
    <col min="13059" max="13059" width="9.33203125" style="1027" customWidth="1"/>
    <col min="13060" max="13060" width="7.88671875" style="1027" customWidth="1"/>
    <col min="13061" max="13061" width="14.44140625" style="1027" customWidth="1"/>
    <col min="13062" max="13062" width="21.5546875" style="1027" customWidth="1"/>
    <col min="13063" max="13063" width="10.109375" style="1027" bestFit="1" customWidth="1"/>
    <col min="13064" max="13312" width="9.109375" style="1027"/>
    <col min="13313" max="13313" width="6.6640625" style="1027" customWidth="1"/>
    <col min="13314" max="13314" width="65.33203125" style="1027" customWidth="1"/>
    <col min="13315" max="13315" width="9.33203125" style="1027" customWidth="1"/>
    <col min="13316" max="13316" width="7.88671875" style="1027" customWidth="1"/>
    <col min="13317" max="13317" width="14.44140625" style="1027" customWidth="1"/>
    <col min="13318" max="13318" width="21.5546875" style="1027" customWidth="1"/>
    <col min="13319" max="13319" width="10.109375" style="1027" bestFit="1" customWidth="1"/>
    <col min="13320" max="13568" width="9.109375" style="1027"/>
    <col min="13569" max="13569" width="6.6640625" style="1027" customWidth="1"/>
    <col min="13570" max="13570" width="65.33203125" style="1027" customWidth="1"/>
    <col min="13571" max="13571" width="9.33203125" style="1027" customWidth="1"/>
    <col min="13572" max="13572" width="7.88671875" style="1027" customWidth="1"/>
    <col min="13573" max="13573" width="14.44140625" style="1027" customWidth="1"/>
    <col min="13574" max="13574" width="21.5546875" style="1027" customWidth="1"/>
    <col min="13575" max="13575" width="10.109375" style="1027" bestFit="1" customWidth="1"/>
    <col min="13576" max="13824" width="9.109375" style="1027"/>
    <col min="13825" max="13825" width="6.6640625" style="1027" customWidth="1"/>
    <col min="13826" max="13826" width="65.33203125" style="1027" customWidth="1"/>
    <col min="13827" max="13827" width="9.33203125" style="1027" customWidth="1"/>
    <col min="13828" max="13828" width="7.88671875" style="1027" customWidth="1"/>
    <col min="13829" max="13829" width="14.44140625" style="1027" customWidth="1"/>
    <col min="13830" max="13830" width="21.5546875" style="1027" customWidth="1"/>
    <col min="13831" max="13831" width="10.109375" style="1027" bestFit="1" customWidth="1"/>
    <col min="13832" max="14080" width="9.109375" style="1027"/>
    <col min="14081" max="14081" width="6.6640625" style="1027" customWidth="1"/>
    <col min="14082" max="14082" width="65.33203125" style="1027" customWidth="1"/>
    <col min="14083" max="14083" width="9.33203125" style="1027" customWidth="1"/>
    <col min="14084" max="14084" width="7.88671875" style="1027" customWidth="1"/>
    <col min="14085" max="14085" width="14.44140625" style="1027" customWidth="1"/>
    <col min="14086" max="14086" width="21.5546875" style="1027" customWidth="1"/>
    <col min="14087" max="14087" width="10.109375" style="1027" bestFit="1" customWidth="1"/>
    <col min="14088" max="14336" width="9.109375" style="1027"/>
    <col min="14337" max="14337" width="6.6640625" style="1027" customWidth="1"/>
    <col min="14338" max="14338" width="65.33203125" style="1027" customWidth="1"/>
    <col min="14339" max="14339" width="9.33203125" style="1027" customWidth="1"/>
    <col min="14340" max="14340" width="7.88671875" style="1027" customWidth="1"/>
    <col min="14341" max="14341" width="14.44140625" style="1027" customWidth="1"/>
    <col min="14342" max="14342" width="21.5546875" style="1027" customWidth="1"/>
    <col min="14343" max="14343" width="10.109375" style="1027" bestFit="1" customWidth="1"/>
    <col min="14344" max="14592" width="9.109375" style="1027"/>
    <col min="14593" max="14593" width="6.6640625" style="1027" customWidth="1"/>
    <col min="14594" max="14594" width="65.33203125" style="1027" customWidth="1"/>
    <col min="14595" max="14595" width="9.33203125" style="1027" customWidth="1"/>
    <col min="14596" max="14596" width="7.88671875" style="1027" customWidth="1"/>
    <col min="14597" max="14597" width="14.44140625" style="1027" customWidth="1"/>
    <col min="14598" max="14598" width="21.5546875" style="1027" customWidth="1"/>
    <col min="14599" max="14599" width="10.109375" style="1027" bestFit="1" customWidth="1"/>
    <col min="14600" max="14848" width="9.109375" style="1027"/>
    <col min="14849" max="14849" width="6.6640625" style="1027" customWidth="1"/>
    <col min="14850" max="14850" width="65.33203125" style="1027" customWidth="1"/>
    <col min="14851" max="14851" width="9.33203125" style="1027" customWidth="1"/>
    <col min="14852" max="14852" width="7.88671875" style="1027" customWidth="1"/>
    <col min="14853" max="14853" width="14.44140625" style="1027" customWidth="1"/>
    <col min="14854" max="14854" width="21.5546875" style="1027" customWidth="1"/>
    <col min="14855" max="14855" width="10.109375" style="1027" bestFit="1" customWidth="1"/>
    <col min="14856" max="15104" width="9.109375" style="1027"/>
    <col min="15105" max="15105" width="6.6640625" style="1027" customWidth="1"/>
    <col min="15106" max="15106" width="65.33203125" style="1027" customWidth="1"/>
    <col min="15107" max="15107" width="9.33203125" style="1027" customWidth="1"/>
    <col min="15108" max="15108" width="7.88671875" style="1027" customWidth="1"/>
    <col min="15109" max="15109" width="14.44140625" style="1027" customWidth="1"/>
    <col min="15110" max="15110" width="21.5546875" style="1027" customWidth="1"/>
    <col min="15111" max="15111" width="10.109375" style="1027" bestFit="1" customWidth="1"/>
    <col min="15112" max="15360" width="9.109375" style="1027"/>
    <col min="15361" max="15361" width="6.6640625" style="1027" customWidth="1"/>
    <col min="15362" max="15362" width="65.33203125" style="1027" customWidth="1"/>
    <col min="15363" max="15363" width="9.33203125" style="1027" customWidth="1"/>
    <col min="15364" max="15364" width="7.88671875" style="1027" customWidth="1"/>
    <col min="15365" max="15365" width="14.44140625" style="1027" customWidth="1"/>
    <col min="15366" max="15366" width="21.5546875" style="1027" customWidth="1"/>
    <col min="15367" max="15367" width="10.109375" style="1027" bestFit="1" customWidth="1"/>
    <col min="15368" max="15616" width="9.109375" style="1027"/>
    <col min="15617" max="15617" width="6.6640625" style="1027" customWidth="1"/>
    <col min="15618" max="15618" width="65.33203125" style="1027" customWidth="1"/>
    <col min="15619" max="15619" width="9.33203125" style="1027" customWidth="1"/>
    <col min="15620" max="15620" width="7.88671875" style="1027" customWidth="1"/>
    <col min="15621" max="15621" width="14.44140625" style="1027" customWidth="1"/>
    <col min="15622" max="15622" width="21.5546875" style="1027" customWidth="1"/>
    <col min="15623" max="15623" width="10.109375" style="1027" bestFit="1" customWidth="1"/>
    <col min="15624" max="15872" width="9.109375" style="1027"/>
    <col min="15873" max="15873" width="6.6640625" style="1027" customWidth="1"/>
    <col min="15874" max="15874" width="65.33203125" style="1027" customWidth="1"/>
    <col min="15875" max="15875" width="9.33203125" style="1027" customWidth="1"/>
    <col min="15876" max="15876" width="7.88671875" style="1027" customWidth="1"/>
    <col min="15877" max="15877" width="14.44140625" style="1027" customWidth="1"/>
    <col min="15878" max="15878" width="21.5546875" style="1027" customWidth="1"/>
    <col min="15879" max="15879" width="10.109375" style="1027" bestFit="1" customWidth="1"/>
    <col min="15880" max="16128" width="9.109375" style="1027"/>
    <col min="16129" max="16129" width="6.6640625" style="1027" customWidth="1"/>
    <col min="16130" max="16130" width="65.33203125" style="1027" customWidth="1"/>
    <col min="16131" max="16131" width="9.33203125" style="1027" customWidth="1"/>
    <col min="16132" max="16132" width="7.88671875" style="1027" customWidth="1"/>
    <col min="16133" max="16133" width="14.44140625" style="1027" customWidth="1"/>
    <col min="16134" max="16134" width="21.5546875" style="1027" customWidth="1"/>
    <col min="16135" max="16135" width="10.109375" style="1027" bestFit="1" customWidth="1"/>
    <col min="16136" max="16384" width="9.109375" style="1027"/>
  </cols>
  <sheetData>
    <row r="2" spans="1:7" ht="73.2" customHeight="1">
      <c r="A2" s="1637" t="s">
        <v>2319</v>
      </c>
      <c r="B2" s="1637"/>
      <c r="C2" s="1637"/>
      <c r="D2" s="1637"/>
      <c r="E2" s="1637"/>
      <c r="F2" s="1637"/>
    </row>
    <row r="3" spans="1:7" s="1033" customFormat="1" ht="18">
      <c r="A3" s="1028" t="s">
        <v>1529</v>
      </c>
      <c r="B3" s="1029" t="s">
        <v>2316</v>
      </c>
      <c r="C3" s="1030"/>
      <c r="D3" s="1031"/>
      <c r="E3" s="1032"/>
      <c r="F3" s="1031"/>
    </row>
    <row r="4" spans="1:7">
      <c r="A4" s="1034"/>
      <c r="B4" s="1035"/>
      <c r="C4" s="1036"/>
      <c r="D4" s="1037"/>
      <c r="F4" s="1037"/>
    </row>
    <row r="5" spans="1:7">
      <c r="A5" s="1034" t="s">
        <v>1995</v>
      </c>
      <c r="B5" s="1035" t="s">
        <v>1553</v>
      </c>
      <c r="C5" s="1036"/>
      <c r="D5" s="1037"/>
      <c r="F5" s="1037"/>
    </row>
    <row r="6" spans="1:7" ht="16.2" thickBot="1">
      <c r="A6" s="1034"/>
      <c r="B6" s="1035"/>
      <c r="C6" s="1036"/>
      <c r="D6" s="1037"/>
      <c r="F6" s="1037"/>
    </row>
    <row r="7" spans="1:7" ht="45" customHeight="1" thickBot="1">
      <c r="A7" s="1039" t="s">
        <v>2320</v>
      </c>
      <c r="B7" s="1040" t="s">
        <v>2321</v>
      </c>
      <c r="C7" s="1041" t="s">
        <v>2322</v>
      </c>
      <c r="D7" s="1042" t="s">
        <v>2323</v>
      </c>
      <c r="E7" s="1043" t="s">
        <v>2324</v>
      </c>
      <c r="F7" s="1191" t="s">
        <v>2325</v>
      </c>
      <c r="G7" s="1192" t="s">
        <v>2523</v>
      </c>
    </row>
    <row r="8" spans="1:7" ht="390">
      <c r="A8" s="998">
        <v>1</v>
      </c>
      <c r="B8" s="1511" t="s">
        <v>2370</v>
      </c>
      <c r="C8" s="1000" t="s">
        <v>29</v>
      </c>
      <c r="D8" s="1000">
        <v>1</v>
      </c>
      <c r="E8" s="1504">
        <f>'[1]TZ VN'!E8</f>
        <v>1484</v>
      </c>
      <c r="F8" s="1001">
        <f t="shared" ref="F8:F47" si="0">E8*D8</f>
        <v>1484</v>
      </c>
      <c r="G8" s="1044"/>
    </row>
    <row r="9" spans="1:7" ht="45.75" customHeight="1">
      <c r="A9" s="998">
        <v>2</v>
      </c>
      <c r="B9" s="1045" t="s">
        <v>2371</v>
      </c>
      <c r="C9" s="1000" t="s">
        <v>29</v>
      </c>
      <c r="D9" s="1000">
        <v>2</v>
      </c>
      <c r="E9" s="1504">
        <f>'[1]TZ VN'!E9</f>
        <v>212</v>
      </c>
      <c r="F9" s="1001">
        <f t="shared" si="0"/>
        <v>424</v>
      </c>
    </row>
    <row r="10" spans="1:7" ht="360.75" customHeight="1">
      <c r="A10" s="998">
        <v>3</v>
      </c>
      <c r="B10" s="999" t="s">
        <v>2372</v>
      </c>
      <c r="C10" s="1000" t="s">
        <v>29</v>
      </c>
      <c r="D10" s="1000">
        <v>2</v>
      </c>
      <c r="E10" s="1504">
        <f>'[1]TZ VN'!E10</f>
        <v>587</v>
      </c>
      <c r="F10" s="1001">
        <f t="shared" si="0"/>
        <v>1174</v>
      </c>
      <c r="G10" s="1044"/>
    </row>
    <row r="11" spans="1:7" ht="34.5" customHeight="1">
      <c r="A11" s="998">
        <v>4</v>
      </c>
      <c r="B11" s="1046" t="s">
        <v>2373</v>
      </c>
      <c r="C11" s="1000" t="s">
        <v>29</v>
      </c>
      <c r="D11" s="1000">
        <v>1</v>
      </c>
      <c r="E11" s="1504">
        <f>'[1]TZ VN'!E11</f>
        <v>34</v>
      </c>
      <c r="F11" s="1001">
        <f t="shared" si="0"/>
        <v>34</v>
      </c>
      <c r="G11" s="1044"/>
    </row>
    <row r="12" spans="1:7" ht="36.75" customHeight="1">
      <c r="A12" s="998">
        <v>5</v>
      </c>
      <c r="B12" s="1046" t="s">
        <v>2374</v>
      </c>
      <c r="C12" s="1000" t="s">
        <v>29</v>
      </c>
      <c r="D12" s="1000">
        <v>1</v>
      </c>
      <c r="E12" s="1504">
        <f>'[1]TZ VN'!E12</f>
        <v>34</v>
      </c>
      <c r="F12" s="1001">
        <f t="shared" si="0"/>
        <v>34</v>
      </c>
      <c r="G12" s="1044"/>
    </row>
    <row r="13" spans="1:7" ht="39.75" customHeight="1">
      <c r="A13" s="998">
        <v>6</v>
      </c>
      <c r="B13" s="1046" t="s">
        <v>2375</v>
      </c>
      <c r="C13" s="1000" t="s">
        <v>29</v>
      </c>
      <c r="D13" s="1000">
        <v>1</v>
      </c>
      <c r="E13" s="1504">
        <f>'[1]TZ VN'!E13</f>
        <v>34</v>
      </c>
      <c r="F13" s="1001">
        <f t="shared" si="0"/>
        <v>34</v>
      </c>
      <c r="G13" s="1044"/>
    </row>
    <row r="14" spans="1:7" ht="188.25" customHeight="1">
      <c r="A14" s="998">
        <v>7</v>
      </c>
      <c r="B14" s="1005" t="s">
        <v>2376</v>
      </c>
      <c r="C14" s="1000" t="s">
        <v>29</v>
      </c>
      <c r="D14" s="1000">
        <v>1</v>
      </c>
      <c r="E14" s="1504">
        <f>'[1]TZ VN'!E14</f>
        <v>310</v>
      </c>
      <c r="F14" s="1001">
        <f t="shared" si="0"/>
        <v>310</v>
      </c>
      <c r="G14" s="1044"/>
    </row>
    <row r="15" spans="1:7" ht="36.75" customHeight="1">
      <c r="A15" s="998">
        <v>8</v>
      </c>
      <c r="B15" s="1046" t="s">
        <v>2375</v>
      </c>
      <c r="C15" s="1000" t="s">
        <v>29</v>
      </c>
      <c r="D15" s="1000">
        <f>D14</f>
        <v>1</v>
      </c>
      <c r="E15" s="1504">
        <f>'[1]TZ VN'!E15</f>
        <v>10</v>
      </c>
      <c r="F15" s="1001">
        <f t="shared" si="0"/>
        <v>10</v>
      </c>
      <c r="G15" s="1044"/>
    </row>
    <row r="16" spans="1:7" ht="254.25" customHeight="1">
      <c r="A16" s="998">
        <v>9</v>
      </c>
      <c r="B16" s="1005" t="s">
        <v>2377</v>
      </c>
      <c r="C16" s="1000" t="s">
        <v>29</v>
      </c>
      <c r="D16" s="1000">
        <v>1</v>
      </c>
      <c r="E16" s="1504">
        <f>'[1]TZ VN'!E16</f>
        <v>280</v>
      </c>
      <c r="F16" s="1001">
        <f t="shared" si="0"/>
        <v>280</v>
      </c>
      <c r="G16" s="1044"/>
    </row>
    <row r="17" spans="1:7" ht="38.25" customHeight="1">
      <c r="A17" s="998">
        <v>10</v>
      </c>
      <c r="B17" s="1046" t="s">
        <v>2375</v>
      </c>
      <c r="C17" s="1000" t="s">
        <v>29</v>
      </c>
      <c r="D17" s="1000">
        <f>D16</f>
        <v>1</v>
      </c>
      <c r="E17" s="1504">
        <f>'[1]TZ VN'!E17</f>
        <v>10</v>
      </c>
      <c r="F17" s="1001">
        <f t="shared" si="0"/>
        <v>10</v>
      </c>
      <c r="G17" s="1044"/>
    </row>
    <row r="18" spans="1:7" ht="260.25" customHeight="1">
      <c r="A18" s="998">
        <v>11</v>
      </c>
      <c r="B18" s="1005" t="s">
        <v>2378</v>
      </c>
      <c r="C18" s="1000" t="s">
        <v>29</v>
      </c>
      <c r="D18" s="1000">
        <v>1</v>
      </c>
      <c r="E18" s="1504">
        <f>'[1]TZ VN'!E18</f>
        <v>280</v>
      </c>
      <c r="F18" s="1001">
        <f t="shared" si="0"/>
        <v>280</v>
      </c>
      <c r="G18" s="1044"/>
    </row>
    <row r="19" spans="1:7" ht="32.25" customHeight="1">
      <c r="A19" s="998">
        <v>12</v>
      </c>
      <c r="B19" s="1046" t="s">
        <v>2375</v>
      </c>
      <c r="C19" s="1000" t="s">
        <v>29</v>
      </c>
      <c r="D19" s="1000">
        <f>D18</f>
        <v>1</v>
      </c>
      <c r="E19" s="1504">
        <f>'[1]TZ VN'!E19</f>
        <v>10</v>
      </c>
      <c r="F19" s="1001">
        <f t="shared" si="0"/>
        <v>10</v>
      </c>
      <c r="G19" s="1044"/>
    </row>
    <row r="20" spans="1:7" ht="302.25" customHeight="1">
      <c r="A20" s="998">
        <v>13</v>
      </c>
      <c r="B20" s="1005" t="s">
        <v>2379</v>
      </c>
      <c r="C20" s="1000" t="s">
        <v>29</v>
      </c>
      <c r="D20" s="1000">
        <v>1</v>
      </c>
      <c r="E20" s="1504">
        <f>'[1]TZ VN'!E20</f>
        <v>1360</v>
      </c>
      <c r="F20" s="1001">
        <f t="shared" si="0"/>
        <v>1360</v>
      </c>
      <c r="G20" s="1044"/>
    </row>
    <row r="21" spans="1:7" ht="309" customHeight="1">
      <c r="A21" s="998">
        <v>14</v>
      </c>
      <c r="B21" s="1005" t="s">
        <v>2380</v>
      </c>
      <c r="C21" s="1007" t="s">
        <v>29</v>
      </c>
      <c r="D21" s="1007">
        <v>2</v>
      </c>
      <c r="E21" s="1504">
        <f>'[1]TZ VN'!E21</f>
        <v>644</v>
      </c>
      <c r="F21" s="1001">
        <f t="shared" si="0"/>
        <v>1288</v>
      </c>
      <c r="G21" s="1047"/>
    </row>
    <row r="22" spans="1:7" ht="303" customHeight="1">
      <c r="A22" s="998">
        <v>15</v>
      </c>
      <c r="B22" s="1005" t="s">
        <v>2381</v>
      </c>
      <c r="C22" s="1007" t="s">
        <v>29</v>
      </c>
      <c r="D22" s="1007">
        <v>1</v>
      </c>
      <c r="E22" s="1504">
        <f>'[1]TZ VN'!E22</f>
        <v>722</v>
      </c>
      <c r="F22" s="1001">
        <f t="shared" si="0"/>
        <v>722</v>
      </c>
      <c r="G22" s="1044"/>
    </row>
    <row r="23" spans="1:7" ht="38.25" customHeight="1">
      <c r="A23" s="998">
        <v>16</v>
      </c>
      <c r="B23" s="1046" t="s">
        <v>2382</v>
      </c>
      <c r="C23" s="1048" t="s">
        <v>29</v>
      </c>
      <c r="D23" s="1048">
        <f>D22</f>
        <v>1</v>
      </c>
      <c r="E23" s="1505">
        <f>'[1]TZ VN'!E23</f>
        <v>34</v>
      </c>
      <c r="F23" s="1001">
        <f t="shared" si="0"/>
        <v>34</v>
      </c>
      <c r="G23" s="1044"/>
    </row>
    <row r="24" spans="1:7" ht="43.5" customHeight="1">
      <c r="A24" s="998">
        <v>17</v>
      </c>
      <c r="B24" s="1046" t="s">
        <v>2374</v>
      </c>
      <c r="C24" s="1048" t="s">
        <v>29</v>
      </c>
      <c r="D24" s="1048">
        <f>D22</f>
        <v>1</v>
      </c>
      <c r="E24" s="1505">
        <f>'[1]TZ VN'!E24</f>
        <v>34</v>
      </c>
      <c r="F24" s="1001">
        <f t="shared" si="0"/>
        <v>34</v>
      </c>
      <c r="G24" s="1044"/>
    </row>
    <row r="25" spans="1:7" ht="406.5" customHeight="1">
      <c r="A25" s="998">
        <v>18</v>
      </c>
      <c r="B25" s="1005" t="s">
        <v>2383</v>
      </c>
      <c r="C25" s="1007" t="s">
        <v>29</v>
      </c>
      <c r="D25" s="1007">
        <v>1</v>
      </c>
      <c r="E25" s="1504">
        <f>'[1]TZ VN'!E25</f>
        <v>1244</v>
      </c>
      <c r="F25" s="1001">
        <f t="shared" si="0"/>
        <v>1244</v>
      </c>
      <c r="G25" s="1044"/>
    </row>
    <row r="26" spans="1:7" ht="409.5" customHeight="1">
      <c r="A26" s="998">
        <v>19</v>
      </c>
      <c r="B26" s="1005" t="s">
        <v>2384</v>
      </c>
      <c r="C26" s="1007" t="s">
        <v>29</v>
      </c>
      <c r="D26" s="1007">
        <v>1</v>
      </c>
      <c r="E26" s="1504">
        <f>'[1]TZ VN'!E26</f>
        <v>488</v>
      </c>
      <c r="F26" s="1001">
        <f>E26*D26</f>
        <v>488</v>
      </c>
      <c r="G26" s="1044"/>
    </row>
    <row r="27" spans="1:7" ht="296.39999999999998">
      <c r="A27" s="998">
        <v>20</v>
      </c>
      <c r="B27" s="1005" t="s">
        <v>2385</v>
      </c>
      <c r="C27" s="1007" t="s">
        <v>29</v>
      </c>
      <c r="D27" s="1007">
        <v>1</v>
      </c>
      <c r="E27" s="1504">
        <f>'[1]TZ VN'!E27</f>
        <v>460</v>
      </c>
      <c r="F27" s="1001">
        <f>E27*D27</f>
        <v>460</v>
      </c>
      <c r="G27" s="1044"/>
    </row>
    <row r="28" spans="1:7" ht="32.25" customHeight="1">
      <c r="A28" s="998">
        <v>21</v>
      </c>
      <c r="B28" s="1045" t="s">
        <v>2386</v>
      </c>
      <c r="C28" s="1000" t="s">
        <v>29</v>
      </c>
      <c r="D28" s="1000">
        <v>2</v>
      </c>
      <c r="E28" s="1504">
        <f>'[1]TZ VN'!E28</f>
        <v>34</v>
      </c>
      <c r="F28" s="1001">
        <f t="shared" si="0"/>
        <v>68</v>
      </c>
    </row>
    <row r="29" spans="1:7" ht="285.75" customHeight="1">
      <c r="A29" s="998">
        <v>22</v>
      </c>
      <c r="B29" s="1046" t="s">
        <v>2387</v>
      </c>
      <c r="C29" s="1000" t="s">
        <v>29</v>
      </c>
      <c r="D29" s="1000">
        <v>1</v>
      </c>
      <c r="E29" s="1504">
        <f>'[1]TZ VN'!E29</f>
        <v>797</v>
      </c>
      <c r="F29" s="1001">
        <f t="shared" si="0"/>
        <v>797</v>
      </c>
    </row>
    <row r="30" spans="1:7" ht="28.5" customHeight="1">
      <c r="A30" s="998">
        <v>23</v>
      </c>
      <c r="B30" s="1045" t="s">
        <v>2382</v>
      </c>
      <c r="C30" s="1000" t="s">
        <v>29</v>
      </c>
      <c r="D30" s="1000">
        <v>3</v>
      </c>
      <c r="E30" s="1504">
        <f>'[1]TZ VN'!E30</f>
        <v>34</v>
      </c>
      <c r="F30" s="1001">
        <f t="shared" si="0"/>
        <v>102</v>
      </c>
    </row>
    <row r="31" spans="1:7" ht="44.25" customHeight="1">
      <c r="A31" s="998">
        <v>24</v>
      </c>
      <c r="B31" s="1004" t="s">
        <v>2388</v>
      </c>
      <c r="C31" s="1000" t="s">
        <v>29</v>
      </c>
      <c r="D31" s="1000">
        <v>12</v>
      </c>
      <c r="E31" s="1504">
        <f>'[1]TZ VN'!E31</f>
        <v>194</v>
      </c>
      <c r="F31" s="1001">
        <f t="shared" si="0"/>
        <v>2328</v>
      </c>
    </row>
    <row r="32" spans="1:7" s="1049" customFormat="1" ht="165" customHeight="1">
      <c r="A32" s="998">
        <v>25</v>
      </c>
      <c r="B32" s="1004" t="s">
        <v>2389</v>
      </c>
      <c r="C32" s="1022" t="s">
        <v>29</v>
      </c>
      <c r="D32" s="1022">
        <v>1</v>
      </c>
      <c r="E32" s="1506">
        <f>'[1]TZ VN'!E32</f>
        <v>1000</v>
      </c>
      <c r="F32" s="1001">
        <f t="shared" si="0"/>
        <v>1000</v>
      </c>
    </row>
    <row r="33" spans="1:7" ht="195.75" customHeight="1">
      <c r="A33" s="998">
        <v>26</v>
      </c>
      <c r="B33" s="1004" t="s">
        <v>2390</v>
      </c>
      <c r="C33" s="1000" t="s">
        <v>29</v>
      </c>
      <c r="D33" s="1000">
        <v>1</v>
      </c>
      <c r="E33" s="1504">
        <f>'[1]TZ VN'!E33</f>
        <v>500</v>
      </c>
      <c r="F33" s="1001">
        <f t="shared" si="0"/>
        <v>500</v>
      </c>
    </row>
    <row r="34" spans="1:7" ht="146.25" customHeight="1">
      <c r="A34" s="998">
        <v>27</v>
      </c>
      <c r="B34" s="1004" t="s">
        <v>2391</v>
      </c>
      <c r="C34" s="1000" t="s">
        <v>29</v>
      </c>
      <c r="D34" s="1000">
        <v>1</v>
      </c>
      <c r="E34" s="1504">
        <f>'[1]TZ VN'!E34</f>
        <v>500</v>
      </c>
      <c r="F34" s="1001">
        <f t="shared" si="0"/>
        <v>500</v>
      </c>
    </row>
    <row r="35" spans="1:7" ht="124.8">
      <c r="A35" s="998">
        <v>28</v>
      </c>
      <c r="B35" s="1004" t="s">
        <v>2392</v>
      </c>
      <c r="C35" s="1000" t="s">
        <v>29</v>
      </c>
      <c r="D35" s="1000">
        <v>1</v>
      </c>
      <c r="E35" s="1504">
        <f>'[1]TZ VN'!E35</f>
        <v>500</v>
      </c>
      <c r="F35" s="1001">
        <f t="shared" si="0"/>
        <v>500</v>
      </c>
    </row>
    <row r="36" spans="1:7" ht="33.75" customHeight="1">
      <c r="A36" s="998">
        <v>29</v>
      </c>
      <c r="B36" s="1050" t="s">
        <v>2393</v>
      </c>
      <c r="C36" s="1008" t="s">
        <v>29</v>
      </c>
      <c r="D36" s="1009">
        <v>2</v>
      </c>
      <c r="E36" s="1504">
        <f>'[1]TZ VN'!E36</f>
        <v>100</v>
      </c>
      <c r="F36" s="1001">
        <f t="shared" si="0"/>
        <v>200</v>
      </c>
    </row>
    <row r="37" spans="1:7" ht="30.75" customHeight="1">
      <c r="A37" s="998">
        <v>30</v>
      </c>
      <c r="B37" s="1004" t="s">
        <v>2394</v>
      </c>
      <c r="C37" s="1008" t="s">
        <v>29</v>
      </c>
      <c r="D37" s="1009">
        <v>2</v>
      </c>
      <c r="E37" s="1504">
        <f>'[1]TZ VN'!E37</f>
        <v>50</v>
      </c>
      <c r="F37" s="1001">
        <f t="shared" si="0"/>
        <v>100</v>
      </c>
    </row>
    <row r="38" spans="1:7" ht="282.75" customHeight="1">
      <c r="A38" s="998">
        <v>31</v>
      </c>
      <c r="B38" s="1051" t="s">
        <v>2395</v>
      </c>
      <c r="C38" s="1007" t="s">
        <v>29</v>
      </c>
      <c r="D38" s="1007">
        <v>1</v>
      </c>
      <c r="E38" s="1504">
        <f>'[1]TZ VN'!E38</f>
        <v>497</v>
      </c>
      <c r="F38" s="1001">
        <f t="shared" si="0"/>
        <v>497</v>
      </c>
    </row>
    <row r="39" spans="1:7" ht="318.75" customHeight="1">
      <c r="A39" s="998">
        <v>32</v>
      </c>
      <c r="B39" s="1052" t="s">
        <v>2396</v>
      </c>
      <c r="C39" s="1007" t="s">
        <v>29</v>
      </c>
      <c r="D39" s="1007">
        <v>1</v>
      </c>
      <c r="E39" s="1504">
        <f>'[1]TZ VN'!E39</f>
        <v>744</v>
      </c>
      <c r="F39" s="1001">
        <f t="shared" si="0"/>
        <v>744</v>
      </c>
    </row>
    <row r="40" spans="1:7" ht="150.75" customHeight="1">
      <c r="A40" s="998">
        <v>33</v>
      </c>
      <c r="B40" s="1052" t="s">
        <v>2397</v>
      </c>
      <c r="C40" s="1007" t="s">
        <v>29</v>
      </c>
      <c r="D40" s="1007">
        <v>1</v>
      </c>
      <c r="E40" s="1504">
        <f>'[1]TZ VN'!E40</f>
        <v>80</v>
      </c>
      <c r="F40" s="1001">
        <f t="shared" si="0"/>
        <v>80</v>
      </c>
    </row>
    <row r="41" spans="1:7" ht="100.5" customHeight="1">
      <c r="A41" s="998">
        <v>34</v>
      </c>
      <c r="B41" s="1004" t="s">
        <v>2398</v>
      </c>
      <c r="C41" s="1000" t="s">
        <v>29</v>
      </c>
      <c r="D41" s="1000">
        <v>1</v>
      </c>
      <c r="E41" s="1504">
        <f>'[1]TZ VN'!E41</f>
        <v>300</v>
      </c>
      <c r="F41" s="1001">
        <f t="shared" si="0"/>
        <v>300</v>
      </c>
    </row>
    <row r="42" spans="1:7" ht="279" customHeight="1">
      <c r="A42" s="998">
        <v>35</v>
      </c>
      <c r="B42" s="1004" t="s">
        <v>2399</v>
      </c>
      <c r="C42" s="1000" t="s">
        <v>29</v>
      </c>
      <c r="D42" s="1000">
        <v>1</v>
      </c>
      <c r="E42" s="1504">
        <f>'[1]TZ VN'!E42</f>
        <v>2860</v>
      </c>
      <c r="F42" s="1001">
        <f t="shared" si="0"/>
        <v>2860</v>
      </c>
    </row>
    <row r="43" spans="1:7" ht="409.5" customHeight="1">
      <c r="A43" s="1512">
        <v>36</v>
      </c>
      <c r="B43" s="1514" t="s">
        <v>2603</v>
      </c>
      <c r="C43" s="1519"/>
      <c r="D43" s="1519"/>
      <c r="E43" s="1520">
        <f>'[1]TZ VN'!E43</f>
        <v>2000</v>
      </c>
      <c r="F43" s="1521"/>
    </row>
    <row r="44" spans="1:7" ht="305.25" customHeight="1">
      <c r="A44" s="1513"/>
      <c r="B44" s="1515" t="s">
        <v>2400</v>
      </c>
      <c r="C44" s="1516" t="s">
        <v>29</v>
      </c>
      <c r="D44" s="1516">
        <v>1</v>
      </c>
      <c r="E44" s="1517">
        <f>'[1]TZ VN'!E44</f>
        <v>1200</v>
      </c>
      <c r="F44" s="1518">
        <f>E44*D44</f>
        <v>1200</v>
      </c>
    </row>
    <row r="45" spans="1:7" ht="41.4" customHeight="1">
      <c r="A45" s="998">
        <v>37</v>
      </c>
      <c r="B45" s="999" t="s">
        <v>2401</v>
      </c>
      <c r="C45" s="1000" t="s">
        <v>29</v>
      </c>
      <c r="D45" s="1000">
        <v>12</v>
      </c>
      <c r="E45" s="1504">
        <f>'[1]TZ VN'!E45</f>
        <v>54</v>
      </c>
      <c r="F45" s="1001">
        <f t="shared" si="0"/>
        <v>648</v>
      </c>
      <c r="G45" s="1047"/>
    </row>
    <row r="46" spans="1:7" ht="45" customHeight="1">
      <c r="A46" s="998">
        <v>38</v>
      </c>
      <c r="B46" s="1004" t="s">
        <v>2402</v>
      </c>
      <c r="C46" s="1000" t="s">
        <v>29</v>
      </c>
      <c r="D46" s="1000">
        <v>30</v>
      </c>
      <c r="E46" s="1504">
        <f>'[1]TZ VN'!E46</f>
        <v>50</v>
      </c>
      <c r="F46" s="1001">
        <f t="shared" si="0"/>
        <v>1500</v>
      </c>
    </row>
    <row r="47" spans="1:7" ht="45" customHeight="1">
      <c r="A47" s="998">
        <v>39</v>
      </c>
      <c r="B47" s="1004" t="s">
        <v>2347</v>
      </c>
      <c r="C47" s="1000" t="s">
        <v>27</v>
      </c>
      <c r="D47" s="1000">
        <v>1</v>
      </c>
      <c r="E47" s="1504">
        <f>'[1]TZ VN'!E47</f>
        <v>100</v>
      </c>
      <c r="F47" s="1001">
        <f t="shared" si="0"/>
        <v>100</v>
      </c>
    </row>
    <row r="48" spans="1:7">
      <c r="A48" s="1053"/>
      <c r="B48" s="1054" t="s">
        <v>1597</v>
      </c>
      <c r="C48" s="1055"/>
      <c r="D48" s="1056"/>
      <c r="E48" s="1057"/>
      <c r="F48" s="1058">
        <f>SUM(F8:F47)</f>
        <v>23738</v>
      </c>
    </row>
    <row r="49" spans="1:6" ht="25.95" customHeight="1">
      <c r="A49" s="1059"/>
      <c r="B49" s="1060"/>
      <c r="C49" s="1061"/>
      <c r="D49" s="1062"/>
      <c r="E49" s="1063"/>
      <c r="F49" s="1064"/>
    </row>
    <row r="50" spans="1:6" s="1047" customFormat="1" ht="30" customHeight="1">
      <c r="A50" s="1065" t="s">
        <v>2001</v>
      </c>
      <c r="B50" s="1066" t="s">
        <v>2348</v>
      </c>
      <c r="C50" s="1055"/>
      <c r="D50" s="1056"/>
      <c r="E50" s="1057"/>
      <c r="F50" s="1067"/>
    </row>
    <row r="51" spans="1:6" s="1047" customFormat="1" ht="30" customHeight="1">
      <c r="A51" s="1020">
        <v>1</v>
      </c>
      <c r="B51" s="1021" t="s">
        <v>2403</v>
      </c>
      <c r="C51" s="1000" t="s">
        <v>29</v>
      </c>
      <c r="D51" s="1068">
        <v>1</v>
      </c>
      <c r="E51" s="1504">
        <f>'[1]TZ VN'!E51</f>
        <v>50</v>
      </c>
      <c r="F51" s="1001">
        <f t="shared" ref="F51:F69" si="1">E51*D51</f>
        <v>50</v>
      </c>
    </row>
    <row r="52" spans="1:6" s="1047" customFormat="1" ht="30" customHeight="1">
      <c r="A52" s="1020">
        <v>2</v>
      </c>
      <c r="B52" s="1021" t="s">
        <v>2404</v>
      </c>
      <c r="C52" s="1000" t="s">
        <v>29</v>
      </c>
      <c r="D52" s="1068">
        <v>2</v>
      </c>
      <c r="E52" s="1504">
        <f>'[1]TZ VN'!E52</f>
        <v>50</v>
      </c>
      <c r="F52" s="1001">
        <f t="shared" si="1"/>
        <v>100</v>
      </c>
    </row>
    <row r="53" spans="1:6" s="1047" customFormat="1" ht="30" customHeight="1">
      <c r="A53" s="1020">
        <v>3</v>
      </c>
      <c r="B53" s="1021" t="s">
        <v>2405</v>
      </c>
      <c r="C53" s="1000" t="s">
        <v>29</v>
      </c>
      <c r="D53" s="1068">
        <v>2</v>
      </c>
      <c r="E53" s="1504">
        <f>'[1]TZ VN'!E53</f>
        <v>50</v>
      </c>
      <c r="F53" s="1001">
        <f t="shared" si="1"/>
        <v>100</v>
      </c>
    </row>
    <row r="54" spans="1:6" s="1047" customFormat="1" ht="30" customHeight="1">
      <c r="A54" s="1020">
        <v>4</v>
      </c>
      <c r="B54" s="1021" t="s">
        <v>2406</v>
      </c>
      <c r="C54" s="1000" t="s">
        <v>29</v>
      </c>
      <c r="D54" s="1068">
        <v>9</v>
      </c>
      <c r="E54" s="1504">
        <f>'[1]TZ VN'!E54</f>
        <v>50</v>
      </c>
      <c r="F54" s="1001">
        <f t="shared" si="1"/>
        <v>450</v>
      </c>
    </row>
    <row r="55" spans="1:6" s="1047" customFormat="1" ht="30" customHeight="1">
      <c r="A55" s="1020">
        <v>5</v>
      </c>
      <c r="B55" s="1021" t="s">
        <v>2407</v>
      </c>
      <c r="C55" s="1000" t="s">
        <v>29</v>
      </c>
      <c r="D55" s="1068">
        <v>11</v>
      </c>
      <c r="E55" s="1504">
        <f>'[1]TZ VN'!E55</f>
        <v>50</v>
      </c>
      <c r="F55" s="1001">
        <f t="shared" si="1"/>
        <v>550</v>
      </c>
    </row>
    <row r="56" spans="1:6" s="1047" customFormat="1" ht="30" customHeight="1">
      <c r="A56" s="1020">
        <v>6</v>
      </c>
      <c r="B56" s="1021" t="s">
        <v>2408</v>
      </c>
      <c r="C56" s="1000" t="s">
        <v>29</v>
      </c>
      <c r="D56" s="1068">
        <v>3</v>
      </c>
      <c r="E56" s="1504">
        <f>'[1]TZ VN'!E56</f>
        <v>50</v>
      </c>
      <c r="F56" s="1001">
        <f t="shared" si="1"/>
        <v>150</v>
      </c>
    </row>
    <row r="57" spans="1:6" s="1047" customFormat="1" ht="30" customHeight="1">
      <c r="A57" s="1020">
        <v>7</v>
      </c>
      <c r="B57" s="1021" t="s">
        <v>2409</v>
      </c>
      <c r="C57" s="1000" t="s">
        <v>29</v>
      </c>
      <c r="D57" s="1068">
        <v>1</v>
      </c>
      <c r="E57" s="1504">
        <f>'[1]TZ VN'!E57</f>
        <v>50</v>
      </c>
      <c r="F57" s="1001">
        <f>E57*D57</f>
        <v>50</v>
      </c>
    </row>
    <row r="58" spans="1:6" s="1047" customFormat="1" ht="30" customHeight="1">
      <c r="A58" s="1020">
        <v>8</v>
      </c>
      <c r="B58" s="1021" t="s">
        <v>2410</v>
      </c>
      <c r="C58" s="1000" t="s">
        <v>29</v>
      </c>
      <c r="D58" s="1068">
        <v>1</v>
      </c>
      <c r="E58" s="1504">
        <f>'[1]TZ VN'!E58</f>
        <v>50</v>
      </c>
      <c r="F58" s="1001">
        <f>E58*D58</f>
        <v>50</v>
      </c>
    </row>
    <row r="59" spans="1:6" s="1047" customFormat="1" ht="30" customHeight="1">
      <c r="A59" s="1020">
        <v>9</v>
      </c>
      <c r="B59" s="1021" t="s">
        <v>2411</v>
      </c>
      <c r="C59" s="1000" t="s">
        <v>29</v>
      </c>
      <c r="D59" s="1068">
        <v>2</v>
      </c>
      <c r="E59" s="1504">
        <f>'[1]TZ VN'!E59</f>
        <v>50</v>
      </c>
      <c r="F59" s="1001">
        <f t="shared" si="1"/>
        <v>100</v>
      </c>
    </row>
    <row r="60" spans="1:6" s="1047" customFormat="1" ht="30" customHeight="1">
      <c r="A60" s="1020">
        <v>10</v>
      </c>
      <c r="B60" s="1021" t="s">
        <v>2412</v>
      </c>
      <c r="C60" s="1000" t="s">
        <v>29</v>
      </c>
      <c r="D60" s="1068">
        <v>12</v>
      </c>
      <c r="E60" s="1504">
        <f>'[1]TZ VN'!E60</f>
        <v>50</v>
      </c>
      <c r="F60" s="1001">
        <f>E60*D60</f>
        <v>600</v>
      </c>
    </row>
    <row r="61" spans="1:6" s="1047" customFormat="1" ht="30" customHeight="1">
      <c r="A61" s="1020">
        <v>11</v>
      </c>
      <c r="B61" s="1021" t="s">
        <v>2413</v>
      </c>
      <c r="C61" s="1000" t="s">
        <v>29</v>
      </c>
      <c r="D61" s="1068">
        <v>1</v>
      </c>
      <c r="E61" s="1504">
        <f>'[1]TZ VN'!E61</f>
        <v>50</v>
      </c>
      <c r="F61" s="1001">
        <f t="shared" si="1"/>
        <v>50</v>
      </c>
    </row>
    <row r="62" spans="1:6" s="1047" customFormat="1" ht="30" customHeight="1">
      <c r="A62" s="1020">
        <v>12</v>
      </c>
      <c r="B62" s="1021" t="s">
        <v>2414</v>
      </c>
      <c r="C62" s="1000" t="s">
        <v>29</v>
      </c>
      <c r="D62" s="1068">
        <v>1</v>
      </c>
      <c r="E62" s="1504">
        <f>'[1]TZ VN'!E62</f>
        <v>50</v>
      </c>
      <c r="F62" s="1001">
        <f t="shared" si="1"/>
        <v>50</v>
      </c>
    </row>
    <row r="63" spans="1:6" s="1047" customFormat="1" ht="33.75" customHeight="1">
      <c r="A63" s="1020">
        <v>13</v>
      </c>
      <c r="B63" s="1021" t="s">
        <v>2415</v>
      </c>
      <c r="C63" s="1000" t="s">
        <v>521</v>
      </c>
      <c r="D63" s="1068">
        <v>1</v>
      </c>
      <c r="E63" s="1504">
        <f>'[1]TZ VN'!E63</f>
        <v>1860</v>
      </c>
      <c r="F63" s="1001">
        <f t="shared" si="1"/>
        <v>1860</v>
      </c>
    </row>
    <row r="64" spans="1:6" s="1047" customFormat="1" ht="30" customHeight="1">
      <c r="A64" s="1020">
        <v>14</v>
      </c>
      <c r="B64" s="1021" t="s">
        <v>2416</v>
      </c>
      <c r="C64" s="1000" t="s">
        <v>29</v>
      </c>
      <c r="D64" s="1068">
        <v>12</v>
      </c>
      <c r="E64" s="1504">
        <f>'[1]TZ VN'!E64</f>
        <v>50</v>
      </c>
      <c r="F64" s="1001">
        <f t="shared" si="1"/>
        <v>600</v>
      </c>
    </row>
    <row r="65" spans="1:6" s="1047" customFormat="1" ht="30" customHeight="1">
      <c r="A65" s="1020">
        <v>15</v>
      </c>
      <c r="B65" s="1021" t="s">
        <v>2417</v>
      </c>
      <c r="C65" s="1000" t="s">
        <v>29</v>
      </c>
      <c r="D65" s="1000">
        <v>2</v>
      </c>
      <c r="E65" s="1504">
        <f>'[1]TZ VN'!E65</f>
        <v>50</v>
      </c>
      <c r="F65" s="1001">
        <f t="shared" si="1"/>
        <v>100</v>
      </c>
    </row>
    <row r="66" spans="1:6" s="1047" customFormat="1" ht="30" customHeight="1">
      <c r="A66" s="1020">
        <v>16</v>
      </c>
      <c r="B66" s="1021" t="s">
        <v>2418</v>
      </c>
      <c r="C66" s="1000" t="s">
        <v>29</v>
      </c>
      <c r="D66" s="1000">
        <v>2</v>
      </c>
      <c r="E66" s="1504">
        <f>'[1]TZ VN'!E66</f>
        <v>50</v>
      </c>
      <c r="F66" s="1001">
        <f t="shared" si="1"/>
        <v>100</v>
      </c>
    </row>
    <row r="67" spans="1:6" ht="22.5" customHeight="1">
      <c r="A67" s="1020">
        <v>17</v>
      </c>
      <c r="B67" s="1021" t="s">
        <v>2364</v>
      </c>
      <c r="C67" s="1000" t="s">
        <v>27</v>
      </c>
      <c r="D67" s="1000">
        <v>1</v>
      </c>
      <c r="E67" s="1504">
        <f>'[1]TZ VN'!E67</f>
        <v>2580</v>
      </c>
      <c r="F67" s="1001">
        <f t="shared" si="1"/>
        <v>2580</v>
      </c>
    </row>
    <row r="68" spans="1:6" ht="65.25" customHeight="1">
      <c r="A68" s="1020">
        <v>18</v>
      </c>
      <c r="B68" s="1069" t="s">
        <v>2579</v>
      </c>
      <c r="C68" s="1000" t="s">
        <v>27</v>
      </c>
      <c r="D68" s="1000">
        <v>1</v>
      </c>
      <c r="E68" s="1504">
        <f>'[1]TZ VN'!E68</f>
        <v>150</v>
      </c>
      <c r="F68" s="1001">
        <f t="shared" si="1"/>
        <v>150</v>
      </c>
    </row>
    <row r="69" spans="1:6" ht="34.5" customHeight="1">
      <c r="A69" s="1020">
        <v>19</v>
      </c>
      <c r="B69" s="1069" t="s">
        <v>2366</v>
      </c>
      <c r="C69" s="1000" t="s">
        <v>29</v>
      </c>
      <c r="D69" s="1000">
        <v>1</v>
      </c>
      <c r="E69" s="1504">
        <f>'[1]TZ VN'!E69</f>
        <v>500</v>
      </c>
      <c r="F69" s="1001">
        <f t="shared" si="1"/>
        <v>500</v>
      </c>
    </row>
    <row r="70" spans="1:6">
      <c r="A70" s="1053"/>
      <c r="B70" s="1054" t="s">
        <v>2367</v>
      </c>
      <c r="C70" s="1055"/>
      <c r="D70" s="1056"/>
      <c r="E70" s="1503">
        <f>'[1]TZ VN'!E70</f>
        <v>0</v>
      </c>
      <c r="F70" s="1058">
        <f>SUM(F51:F69)</f>
        <v>8190</v>
      </c>
    </row>
    <row r="71" spans="1:6">
      <c r="A71" s="1059"/>
      <c r="B71" s="1060"/>
      <c r="C71" s="1061"/>
      <c r="D71" s="1062"/>
      <c r="E71" s="1070"/>
      <c r="F71" s="1062"/>
    </row>
    <row r="72" spans="1:6">
      <c r="A72" s="1071"/>
      <c r="B72" s="1072"/>
      <c r="C72" s="1036"/>
      <c r="D72" s="1037"/>
      <c r="F72" s="1037"/>
    </row>
    <row r="73" spans="1:6" ht="18">
      <c r="A73" s="1641" t="s">
        <v>2419</v>
      </c>
      <c r="B73" s="1641"/>
      <c r="C73" s="1641"/>
      <c r="D73" s="1641"/>
      <c r="E73" s="1641"/>
      <c r="F73" s="1641"/>
    </row>
    <row r="74" spans="1:6">
      <c r="A74" s="1071"/>
      <c r="B74" s="1072"/>
      <c r="C74" s="1036"/>
      <c r="D74" s="1037"/>
      <c r="F74" s="1037"/>
    </row>
    <row r="75" spans="1:6">
      <c r="A75" s="1073" t="s">
        <v>1995</v>
      </c>
      <c r="B75" s="1074" t="s">
        <v>1553</v>
      </c>
      <c r="C75" s="1036"/>
      <c r="D75" s="1075"/>
      <c r="E75" s="1076"/>
      <c r="F75" s="1077">
        <f>F48</f>
        <v>23738</v>
      </c>
    </row>
    <row r="76" spans="1:6">
      <c r="A76" s="1073"/>
      <c r="B76" s="1074"/>
      <c r="C76" s="1036"/>
      <c r="D76" s="1037"/>
      <c r="F76" s="1078"/>
    </row>
    <row r="77" spans="1:6">
      <c r="A77" s="1073" t="s">
        <v>2001</v>
      </c>
      <c r="B77" s="1074" t="s">
        <v>2348</v>
      </c>
      <c r="C77" s="1036"/>
      <c r="D77" s="1075"/>
      <c r="E77" s="1076"/>
      <c r="F77" s="1077">
        <f>F70</f>
        <v>8190</v>
      </c>
    </row>
    <row r="78" spans="1:6" ht="20.25" customHeight="1">
      <c r="A78" s="1079"/>
      <c r="B78" s="1080"/>
      <c r="C78" s="1081"/>
      <c r="D78" s="1075"/>
      <c r="E78" s="1076"/>
      <c r="F78" s="1082"/>
    </row>
    <row r="79" spans="1:6" ht="18">
      <c r="A79" s="1071"/>
      <c r="B79" s="1642" t="s">
        <v>2420</v>
      </c>
      <c r="C79" s="1640"/>
      <c r="D79" s="1083"/>
      <c r="E79" s="1084"/>
      <c r="F79" s="1085">
        <f>F75+F77</f>
        <v>31928</v>
      </c>
    </row>
    <row r="80" spans="1:6">
      <c r="A80" s="1034"/>
      <c r="B80" s="1086"/>
    </row>
    <row r="82" spans="1:6">
      <c r="A82" s="1034"/>
      <c r="B82" s="1086"/>
      <c r="E82" s="1037"/>
      <c r="F82" s="1037"/>
    </row>
    <row r="83" spans="1:6">
      <c r="A83" s="1034"/>
      <c r="B83" s="1086"/>
    </row>
    <row r="85" spans="1:6">
      <c r="A85" s="1034"/>
      <c r="B85" s="1086"/>
    </row>
    <row r="86" spans="1:6">
      <c r="A86" s="1034"/>
      <c r="B86" s="1086"/>
    </row>
    <row r="88" spans="1:6">
      <c r="A88" s="1034"/>
      <c r="B88" s="1086"/>
    </row>
    <row r="89" spans="1:6">
      <c r="A89" s="1034"/>
      <c r="B89" s="1086"/>
    </row>
    <row r="91" spans="1:6">
      <c r="A91" s="1034"/>
      <c r="B91" s="1086"/>
    </row>
    <row r="92" spans="1:6">
      <c r="A92" s="1034"/>
      <c r="B92" s="1086"/>
    </row>
    <row r="93" spans="1:6">
      <c r="A93" s="1034"/>
      <c r="B93" s="1086"/>
    </row>
    <row r="94" spans="1:6">
      <c r="A94" s="1034"/>
      <c r="B94" s="1086"/>
    </row>
    <row r="95" spans="1:6">
      <c r="A95" s="1034"/>
      <c r="B95" s="1086"/>
    </row>
    <row r="96" spans="1:6">
      <c r="A96" s="1034"/>
      <c r="B96" s="1086"/>
    </row>
    <row r="97" spans="1:2">
      <c r="A97" s="1034"/>
      <c r="B97" s="1086"/>
    </row>
    <row r="98" spans="1:2">
      <c r="A98" s="1034"/>
      <c r="B98" s="1086"/>
    </row>
    <row r="99" spans="1:2">
      <c r="A99" s="1034"/>
      <c r="B99" s="1086"/>
    </row>
    <row r="100" spans="1:2">
      <c r="A100" s="1034"/>
      <c r="B100" s="1086"/>
    </row>
    <row r="101" spans="1:2">
      <c r="A101" s="1034"/>
      <c r="B101" s="1086"/>
    </row>
    <row r="102" spans="1:2">
      <c r="A102" s="1034"/>
      <c r="B102" s="1086"/>
    </row>
    <row r="103" spans="1:2">
      <c r="A103" s="1034"/>
      <c r="B103" s="1086"/>
    </row>
    <row r="104" spans="1:2">
      <c r="A104" s="1034"/>
      <c r="B104" s="1086"/>
    </row>
    <row r="105" spans="1:2">
      <c r="A105" s="1034"/>
      <c r="B105" s="1086"/>
    </row>
    <row r="106" spans="1:2">
      <c r="A106" s="1034"/>
      <c r="B106" s="1086"/>
    </row>
    <row r="107" spans="1:2">
      <c r="A107" s="1034"/>
      <c r="B107" s="1086"/>
    </row>
    <row r="108" spans="1:2">
      <c r="A108" s="1034"/>
      <c r="B108" s="1086"/>
    </row>
    <row r="109" spans="1:2">
      <c r="A109" s="1034"/>
      <c r="B109" s="1086"/>
    </row>
    <row r="110" spans="1:2">
      <c r="A110" s="1034"/>
      <c r="B110" s="1086"/>
    </row>
    <row r="111" spans="1:2">
      <c r="A111" s="1034"/>
      <c r="B111" s="1086"/>
    </row>
    <row r="112" spans="1:2">
      <c r="A112" s="1034"/>
      <c r="B112" s="1086"/>
    </row>
    <row r="113" spans="1:2">
      <c r="A113" s="1034"/>
      <c r="B113" s="1086"/>
    </row>
    <row r="114" spans="1:2">
      <c r="A114" s="1034"/>
      <c r="B114" s="1086"/>
    </row>
    <row r="115" spans="1:2">
      <c r="A115" s="1034"/>
      <c r="B115" s="1086"/>
    </row>
    <row r="116" spans="1:2">
      <c r="A116" s="1034"/>
      <c r="B116" s="1086"/>
    </row>
    <row r="117" spans="1:2">
      <c r="A117" s="1034"/>
      <c r="B117" s="1086"/>
    </row>
    <row r="118" spans="1:2">
      <c r="A118" s="1034"/>
      <c r="B118" s="1086"/>
    </row>
    <row r="119" spans="1:2">
      <c r="A119" s="1034"/>
      <c r="B119" s="1086"/>
    </row>
    <row r="120" spans="1:2">
      <c r="A120" s="1034"/>
      <c r="B120" s="1086"/>
    </row>
    <row r="121" spans="1:2">
      <c r="A121" s="1034"/>
      <c r="B121" s="1086"/>
    </row>
    <row r="122" spans="1:2">
      <c r="A122" s="1034"/>
      <c r="B122" s="1086"/>
    </row>
    <row r="123" spans="1:2">
      <c r="B123" s="1090"/>
    </row>
    <row r="124" spans="1:2">
      <c r="B124" s="1091"/>
    </row>
    <row r="125" spans="1:2">
      <c r="B125" s="1091"/>
    </row>
    <row r="126" spans="1:2">
      <c r="B126" s="1090"/>
    </row>
    <row r="127" spans="1:2">
      <c r="B127" s="1091"/>
    </row>
    <row r="128" spans="1:2">
      <c r="B128" s="1091"/>
    </row>
    <row r="129" spans="1:2">
      <c r="B129" s="1090"/>
    </row>
    <row r="130" spans="1:2">
      <c r="B130" s="1091"/>
    </row>
    <row r="131" spans="1:2">
      <c r="B131" s="1091"/>
    </row>
    <row r="132" spans="1:2">
      <c r="B132" s="1090"/>
    </row>
    <row r="133" spans="1:2">
      <c r="B133" s="1091"/>
    </row>
    <row r="134" spans="1:2">
      <c r="B134" s="1091"/>
    </row>
    <row r="135" spans="1:2">
      <c r="B135" s="1090"/>
    </row>
    <row r="136" spans="1:2">
      <c r="B136" s="1090"/>
    </row>
    <row r="137" spans="1:2">
      <c r="B137" s="1090"/>
    </row>
    <row r="138" spans="1:2">
      <c r="B138" s="1090"/>
    </row>
    <row r="139" spans="1:2">
      <c r="B139" s="1090"/>
    </row>
    <row r="140" spans="1:2">
      <c r="A140" s="1034"/>
      <c r="B140" s="1086"/>
    </row>
    <row r="141" spans="1:2">
      <c r="A141" s="1034"/>
      <c r="B141" s="1086"/>
    </row>
    <row r="142" spans="1:2">
      <c r="B142" s="1090"/>
    </row>
    <row r="143" spans="1:2">
      <c r="A143" s="1034"/>
      <c r="B143" s="1086"/>
    </row>
    <row r="144" spans="1:2">
      <c r="A144" s="1034"/>
      <c r="B144" s="1086"/>
    </row>
    <row r="145" spans="1:2">
      <c r="A145" s="1034"/>
      <c r="B145" s="1086"/>
    </row>
    <row r="146" spans="1:2">
      <c r="A146" s="1034"/>
      <c r="B146" s="1086"/>
    </row>
    <row r="147" spans="1:2">
      <c r="A147" s="1034"/>
      <c r="B147" s="1086"/>
    </row>
    <row r="148" spans="1:2">
      <c r="A148" s="1034"/>
      <c r="B148" s="1086"/>
    </row>
    <row r="149" spans="1:2">
      <c r="A149" s="1034"/>
      <c r="B149" s="1086"/>
    </row>
    <row r="150" spans="1:2">
      <c r="A150" s="1034"/>
      <c r="B150" s="1086"/>
    </row>
    <row r="151" spans="1:2">
      <c r="A151" s="1034"/>
      <c r="B151" s="1086"/>
    </row>
    <row r="152" spans="1:2">
      <c r="A152" s="1034"/>
      <c r="B152" s="1086"/>
    </row>
    <row r="153" spans="1:2">
      <c r="A153" s="1034"/>
      <c r="B153" s="1086"/>
    </row>
    <row r="154" spans="1:2">
      <c r="A154" s="1034"/>
      <c r="B154" s="1086"/>
    </row>
    <row r="155" spans="1:2">
      <c r="A155" s="1034"/>
      <c r="B155" s="1086"/>
    </row>
    <row r="156" spans="1:2">
      <c r="A156" s="1034"/>
      <c r="B156" s="1086"/>
    </row>
    <row r="157" spans="1:2">
      <c r="A157" s="1034"/>
      <c r="B157" s="1086"/>
    </row>
    <row r="158" spans="1:2">
      <c r="A158" s="1034"/>
      <c r="B158" s="1086"/>
    </row>
    <row r="159" spans="1:2">
      <c r="A159" s="1034"/>
      <c r="B159" s="1086"/>
    </row>
    <row r="160" spans="1:2">
      <c r="A160" s="1034"/>
      <c r="B160" s="1086"/>
    </row>
    <row r="161" spans="1:2">
      <c r="A161" s="1034"/>
      <c r="B161" s="1086"/>
    </row>
    <row r="162" spans="1:2">
      <c r="A162" s="1034"/>
      <c r="B162" s="1086"/>
    </row>
    <row r="163" spans="1:2">
      <c r="A163" s="1034"/>
      <c r="B163" s="1086"/>
    </row>
    <row r="164" spans="1:2">
      <c r="A164" s="1034"/>
      <c r="B164" s="1086"/>
    </row>
    <row r="165" spans="1:2">
      <c r="A165" s="1034"/>
      <c r="B165" s="1086"/>
    </row>
    <row r="166" spans="1:2">
      <c r="A166" s="1034"/>
      <c r="B166" s="1086"/>
    </row>
    <row r="167" spans="1:2">
      <c r="A167" s="1034"/>
      <c r="B167" s="1086"/>
    </row>
    <row r="168" spans="1:2">
      <c r="A168" s="1034"/>
      <c r="B168" s="1086"/>
    </row>
    <row r="169" spans="1:2">
      <c r="A169" s="1034"/>
      <c r="B169" s="1086"/>
    </row>
    <row r="170" spans="1:2">
      <c r="A170" s="1034"/>
      <c r="B170" s="1086"/>
    </row>
    <row r="171" spans="1:2">
      <c r="A171" s="1034"/>
      <c r="B171" s="1086"/>
    </row>
    <row r="172" spans="1:2">
      <c r="A172" s="1034"/>
      <c r="B172" s="1035"/>
    </row>
    <row r="173" spans="1:2">
      <c r="A173" s="1034"/>
      <c r="B173" s="1035"/>
    </row>
    <row r="174" spans="1:2">
      <c r="A174" s="1092"/>
      <c r="B174" s="1093"/>
    </row>
    <row r="177" spans="5:6">
      <c r="E177" s="1037"/>
      <c r="F177" s="1037"/>
    </row>
    <row r="218" spans="1:2">
      <c r="A218" s="1034"/>
      <c r="B218" s="1035"/>
    </row>
    <row r="227" spans="1:7">
      <c r="E227" s="1037"/>
      <c r="F227" s="1037"/>
    </row>
    <row r="231" spans="1:7">
      <c r="B231" s="1072"/>
      <c r="C231" s="1036"/>
      <c r="D231" s="1037"/>
    </row>
    <row r="232" spans="1:7">
      <c r="B232" s="1072"/>
      <c r="C232" s="1036"/>
      <c r="D232" s="1037"/>
    </row>
    <row r="233" spans="1:7">
      <c r="B233" s="1072"/>
      <c r="C233" s="1036"/>
      <c r="D233" s="1037"/>
    </row>
    <row r="234" spans="1:7" s="1038" customFormat="1">
      <c r="A234" s="1088"/>
      <c r="B234" s="1072"/>
      <c r="C234" s="1036"/>
      <c r="D234" s="1037"/>
      <c r="G234" s="1027"/>
    </row>
    <row r="235" spans="1:7">
      <c r="B235" s="1072"/>
      <c r="C235" s="1036"/>
      <c r="D235" s="1037"/>
    </row>
  </sheetData>
  <sheetProtection algorithmName="SHA-512" hashValue="nAOFEWaOxotQz4Oizl2JjMaMcXMCXsF/3m/gx4KdiUdFAHGLqFkZhiiP9oO3CYOzjoHYoeRNQbEDKjAWGp09mw==" saltValue="AR6Y3k/k5kmWJ8yh27k9rA==" spinCount="100000" sheet="1" objects="1" scenarios="1"/>
  <mergeCells count="3">
    <mergeCell ref="A2:F2"/>
    <mergeCell ref="A73:F73"/>
    <mergeCell ref="B79:C79"/>
  </mergeCells>
  <pageMargins left="0.7" right="0.7" top="0.75" bottom="0.75" header="0.3" footer="0.3"/>
  <pageSetup orientation="portrait" verticalDpi="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G211"/>
  <sheetViews>
    <sheetView topLeftCell="A33" zoomScale="85" zoomScaleNormal="85" workbookViewId="0">
      <selection activeCell="E50" sqref="E50"/>
    </sheetView>
  </sheetViews>
  <sheetFormatPr defaultRowHeight="15.6"/>
  <cols>
    <col min="1" max="1" width="6.6640625" style="1154" customWidth="1"/>
    <col min="2" max="2" width="66.6640625" style="1160" customWidth="1"/>
    <col min="3" max="3" width="7.6640625" style="1153" customWidth="1"/>
    <col min="4" max="4" width="7.88671875" style="1105" customWidth="1"/>
    <col min="5" max="5" width="14.44140625" style="1105" customWidth="1"/>
    <col min="6" max="6" width="21.5546875" style="1105" customWidth="1"/>
    <col min="7" max="7" width="10.109375" style="1094" bestFit="1" customWidth="1"/>
    <col min="8" max="8" width="7.109375" style="1094" customWidth="1"/>
    <col min="9" max="256" width="9.109375" style="1094"/>
    <col min="257" max="257" width="6.6640625" style="1094" customWidth="1"/>
    <col min="258" max="258" width="66.6640625" style="1094" customWidth="1"/>
    <col min="259" max="259" width="7.6640625" style="1094" customWidth="1"/>
    <col min="260" max="260" width="7.88671875" style="1094" customWidth="1"/>
    <col min="261" max="261" width="14.44140625" style="1094" customWidth="1"/>
    <col min="262" max="262" width="21.5546875" style="1094" customWidth="1"/>
    <col min="263" max="263" width="10.109375" style="1094" bestFit="1" customWidth="1"/>
    <col min="264" max="264" width="7.109375" style="1094" customWidth="1"/>
    <col min="265" max="512" width="9.109375" style="1094"/>
    <col min="513" max="513" width="6.6640625" style="1094" customWidth="1"/>
    <col min="514" max="514" width="66.6640625" style="1094" customWidth="1"/>
    <col min="515" max="515" width="7.6640625" style="1094" customWidth="1"/>
    <col min="516" max="516" width="7.88671875" style="1094" customWidth="1"/>
    <col min="517" max="517" width="14.44140625" style="1094" customWidth="1"/>
    <col min="518" max="518" width="21.5546875" style="1094" customWidth="1"/>
    <col min="519" max="519" width="10.109375" style="1094" bestFit="1" customWidth="1"/>
    <col min="520" max="520" width="7.109375" style="1094" customWidth="1"/>
    <col min="521" max="768" width="9.109375" style="1094"/>
    <col min="769" max="769" width="6.6640625" style="1094" customWidth="1"/>
    <col min="770" max="770" width="66.6640625" style="1094" customWidth="1"/>
    <col min="771" max="771" width="7.6640625" style="1094" customWidth="1"/>
    <col min="772" max="772" width="7.88671875" style="1094" customWidth="1"/>
    <col min="773" max="773" width="14.44140625" style="1094" customWidth="1"/>
    <col min="774" max="774" width="21.5546875" style="1094" customWidth="1"/>
    <col min="775" max="775" width="10.109375" style="1094" bestFit="1" customWidth="1"/>
    <col min="776" max="776" width="7.109375" style="1094" customWidth="1"/>
    <col min="777" max="1024" width="9.109375" style="1094"/>
    <col min="1025" max="1025" width="6.6640625" style="1094" customWidth="1"/>
    <col min="1026" max="1026" width="66.6640625" style="1094" customWidth="1"/>
    <col min="1027" max="1027" width="7.6640625" style="1094" customWidth="1"/>
    <col min="1028" max="1028" width="7.88671875" style="1094" customWidth="1"/>
    <col min="1029" max="1029" width="14.44140625" style="1094" customWidth="1"/>
    <col min="1030" max="1030" width="21.5546875" style="1094" customWidth="1"/>
    <col min="1031" max="1031" width="10.109375" style="1094" bestFit="1" customWidth="1"/>
    <col min="1032" max="1032" width="7.109375" style="1094" customWidth="1"/>
    <col min="1033" max="1280" width="9.109375" style="1094"/>
    <col min="1281" max="1281" width="6.6640625" style="1094" customWidth="1"/>
    <col min="1282" max="1282" width="66.6640625" style="1094" customWidth="1"/>
    <col min="1283" max="1283" width="7.6640625" style="1094" customWidth="1"/>
    <col min="1284" max="1284" width="7.88671875" style="1094" customWidth="1"/>
    <col min="1285" max="1285" width="14.44140625" style="1094" customWidth="1"/>
    <col min="1286" max="1286" width="21.5546875" style="1094" customWidth="1"/>
    <col min="1287" max="1287" width="10.109375" style="1094" bestFit="1" customWidth="1"/>
    <col min="1288" max="1288" width="7.109375" style="1094" customWidth="1"/>
    <col min="1289" max="1536" width="9.109375" style="1094"/>
    <col min="1537" max="1537" width="6.6640625" style="1094" customWidth="1"/>
    <col min="1538" max="1538" width="66.6640625" style="1094" customWidth="1"/>
    <col min="1539" max="1539" width="7.6640625" style="1094" customWidth="1"/>
    <col min="1540" max="1540" width="7.88671875" style="1094" customWidth="1"/>
    <col min="1541" max="1541" width="14.44140625" style="1094" customWidth="1"/>
    <col min="1542" max="1542" width="21.5546875" style="1094" customWidth="1"/>
    <col min="1543" max="1543" width="10.109375" style="1094" bestFit="1" customWidth="1"/>
    <col min="1544" max="1544" width="7.109375" style="1094" customWidth="1"/>
    <col min="1545" max="1792" width="9.109375" style="1094"/>
    <col min="1793" max="1793" width="6.6640625" style="1094" customWidth="1"/>
    <col min="1794" max="1794" width="66.6640625" style="1094" customWidth="1"/>
    <col min="1795" max="1795" width="7.6640625" style="1094" customWidth="1"/>
    <col min="1796" max="1796" width="7.88671875" style="1094" customWidth="1"/>
    <col min="1797" max="1797" width="14.44140625" style="1094" customWidth="1"/>
    <col min="1798" max="1798" width="21.5546875" style="1094" customWidth="1"/>
    <col min="1799" max="1799" width="10.109375" style="1094" bestFit="1" customWidth="1"/>
    <col min="1800" max="1800" width="7.109375" style="1094" customWidth="1"/>
    <col min="1801" max="2048" width="9.109375" style="1094"/>
    <col min="2049" max="2049" width="6.6640625" style="1094" customWidth="1"/>
    <col min="2050" max="2050" width="66.6640625" style="1094" customWidth="1"/>
    <col min="2051" max="2051" width="7.6640625" style="1094" customWidth="1"/>
    <col min="2052" max="2052" width="7.88671875" style="1094" customWidth="1"/>
    <col min="2053" max="2053" width="14.44140625" style="1094" customWidth="1"/>
    <col min="2054" max="2054" width="21.5546875" style="1094" customWidth="1"/>
    <col min="2055" max="2055" width="10.109375" style="1094" bestFit="1" customWidth="1"/>
    <col min="2056" max="2056" width="7.109375" style="1094" customWidth="1"/>
    <col min="2057" max="2304" width="9.109375" style="1094"/>
    <col min="2305" max="2305" width="6.6640625" style="1094" customWidth="1"/>
    <col min="2306" max="2306" width="66.6640625" style="1094" customWidth="1"/>
    <col min="2307" max="2307" width="7.6640625" style="1094" customWidth="1"/>
    <col min="2308" max="2308" width="7.88671875" style="1094" customWidth="1"/>
    <col min="2309" max="2309" width="14.44140625" style="1094" customWidth="1"/>
    <col min="2310" max="2310" width="21.5546875" style="1094" customWidth="1"/>
    <col min="2311" max="2311" width="10.109375" style="1094" bestFit="1" customWidth="1"/>
    <col min="2312" max="2312" width="7.109375" style="1094" customWidth="1"/>
    <col min="2313" max="2560" width="9.109375" style="1094"/>
    <col min="2561" max="2561" width="6.6640625" style="1094" customWidth="1"/>
    <col min="2562" max="2562" width="66.6640625" style="1094" customWidth="1"/>
    <col min="2563" max="2563" width="7.6640625" style="1094" customWidth="1"/>
    <col min="2564" max="2564" width="7.88671875" style="1094" customWidth="1"/>
    <col min="2565" max="2565" width="14.44140625" style="1094" customWidth="1"/>
    <col min="2566" max="2566" width="21.5546875" style="1094" customWidth="1"/>
    <col min="2567" max="2567" width="10.109375" style="1094" bestFit="1" customWidth="1"/>
    <col min="2568" max="2568" width="7.109375" style="1094" customWidth="1"/>
    <col min="2569" max="2816" width="9.109375" style="1094"/>
    <col min="2817" max="2817" width="6.6640625" style="1094" customWidth="1"/>
    <col min="2818" max="2818" width="66.6640625" style="1094" customWidth="1"/>
    <col min="2819" max="2819" width="7.6640625" style="1094" customWidth="1"/>
    <col min="2820" max="2820" width="7.88671875" style="1094" customWidth="1"/>
    <col min="2821" max="2821" width="14.44140625" style="1094" customWidth="1"/>
    <col min="2822" max="2822" width="21.5546875" style="1094" customWidth="1"/>
    <col min="2823" max="2823" width="10.109375" style="1094" bestFit="1" customWidth="1"/>
    <col min="2824" max="2824" width="7.109375" style="1094" customWidth="1"/>
    <col min="2825" max="3072" width="9.109375" style="1094"/>
    <col min="3073" max="3073" width="6.6640625" style="1094" customWidth="1"/>
    <col min="3074" max="3074" width="66.6640625" style="1094" customWidth="1"/>
    <col min="3075" max="3075" width="7.6640625" style="1094" customWidth="1"/>
    <col min="3076" max="3076" width="7.88671875" style="1094" customWidth="1"/>
    <col min="3077" max="3077" width="14.44140625" style="1094" customWidth="1"/>
    <col min="3078" max="3078" width="21.5546875" style="1094" customWidth="1"/>
    <col min="3079" max="3079" width="10.109375" style="1094" bestFit="1" customWidth="1"/>
    <col min="3080" max="3080" width="7.109375" style="1094" customWidth="1"/>
    <col min="3081" max="3328" width="9.109375" style="1094"/>
    <col min="3329" max="3329" width="6.6640625" style="1094" customWidth="1"/>
    <col min="3330" max="3330" width="66.6640625" style="1094" customWidth="1"/>
    <col min="3331" max="3331" width="7.6640625" style="1094" customWidth="1"/>
    <col min="3332" max="3332" width="7.88671875" style="1094" customWidth="1"/>
    <col min="3333" max="3333" width="14.44140625" style="1094" customWidth="1"/>
    <col min="3334" max="3334" width="21.5546875" style="1094" customWidth="1"/>
    <col min="3335" max="3335" width="10.109375" style="1094" bestFit="1" customWidth="1"/>
    <col min="3336" max="3336" width="7.109375" style="1094" customWidth="1"/>
    <col min="3337" max="3584" width="9.109375" style="1094"/>
    <col min="3585" max="3585" width="6.6640625" style="1094" customWidth="1"/>
    <col min="3586" max="3586" width="66.6640625" style="1094" customWidth="1"/>
    <col min="3587" max="3587" width="7.6640625" style="1094" customWidth="1"/>
    <col min="3588" max="3588" width="7.88671875" style="1094" customWidth="1"/>
    <col min="3589" max="3589" width="14.44140625" style="1094" customWidth="1"/>
    <col min="3590" max="3590" width="21.5546875" style="1094" customWidth="1"/>
    <col min="3591" max="3591" width="10.109375" style="1094" bestFit="1" customWidth="1"/>
    <col min="3592" max="3592" width="7.109375" style="1094" customWidth="1"/>
    <col min="3593" max="3840" width="9.109375" style="1094"/>
    <col min="3841" max="3841" width="6.6640625" style="1094" customWidth="1"/>
    <col min="3842" max="3842" width="66.6640625" style="1094" customWidth="1"/>
    <col min="3843" max="3843" width="7.6640625" style="1094" customWidth="1"/>
    <col min="3844" max="3844" width="7.88671875" style="1094" customWidth="1"/>
    <col min="3845" max="3845" width="14.44140625" style="1094" customWidth="1"/>
    <col min="3846" max="3846" width="21.5546875" style="1094" customWidth="1"/>
    <col min="3847" max="3847" width="10.109375" style="1094" bestFit="1" customWidth="1"/>
    <col min="3848" max="3848" width="7.109375" style="1094" customWidth="1"/>
    <col min="3849" max="4096" width="9.109375" style="1094"/>
    <col min="4097" max="4097" width="6.6640625" style="1094" customWidth="1"/>
    <col min="4098" max="4098" width="66.6640625" style="1094" customWidth="1"/>
    <col min="4099" max="4099" width="7.6640625" style="1094" customWidth="1"/>
    <col min="4100" max="4100" width="7.88671875" style="1094" customWidth="1"/>
    <col min="4101" max="4101" width="14.44140625" style="1094" customWidth="1"/>
    <col min="4102" max="4102" width="21.5546875" style="1094" customWidth="1"/>
    <col min="4103" max="4103" width="10.109375" style="1094" bestFit="1" customWidth="1"/>
    <col min="4104" max="4104" width="7.109375" style="1094" customWidth="1"/>
    <col min="4105" max="4352" width="9.109375" style="1094"/>
    <col min="4353" max="4353" width="6.6640625" style="1094" customWidth="1"/>
    <col min="4354" max="4354" width="66.6640625" style="1094" customWidth="1"/>
    <col min="4355" max="4355" width="7.6640625" style="1094" customWidth="1"/>
    <col min="4356" max="4356" width="7.88671875" style="1094" customWidth="1"/>
    <col min="4357" max="4357" width="14.44140625" style="1094" customWidth="1"/>
    <col min="4358" max="4358" width="21.5546875" style="1094" customWidth="1"/>
    <col min="4359" max="4359" width="10.109375" style="1094" bestFit="1" customWidth="1"/>
    <col min="4360" max="4360" width="7.109375" style="1094" customWidth="1"/>
    <col min="4361" max="4608" width="9.109375" style="1094"/>
    <col min="4609" max="4609" width="6.6640625" style="1094" customWidth="1"/>
    <col min="4610" max="4610" width="66.6640625" style="1094" customWidth="1"/>
    <col min="4611" max="4611" width="7.6640625" style="1094" customWidth="1"/>
    <col min="4612" max="4612" width="7.88671875" style="1094" customWidth="1"/>
    <col min="4613" max="4613" width="14.44140625" style="1094" customWidth="1"/>
    <col min="4614" max="4614" width="21.5546875" style="1094" customWidth="1"/>
    <col min="4615" max="4615" width="10.109375" style="1094" bestFit="1" customWidth="1"/>
    <col min="4616" max="4616" width="7.109375" style="1094" customWidth="1"/>
    <col min="4617" max="4864" width="9.109375" style="1094"/>
    <col min="4865" max="4865" width="6.6640625" style="1094" customWidth="1"/>
    <col min="4866" max="4866" width="66.6640625" style="1094" customWidth="1"/>
    <col min="4867" max="4867" width="7.6640625" style="1094" customWidth="1"/>
    <col min="4868" max="4868" width="7.88671875" style="1094" customWidth="1"/>
    <col min="4869" max="4869" width="14.44140625" style="1094" customWidth="1"/>
    <col min="4870" max="4870" width="21.5546875" style="1094" customWidth="1"/>
    <col min="4871" max="4871" width="10.109375" style="1094" bestFit="1" customWidth="1"/>
    <col min="4872" max="4872" width="7.109375" style="1094" customWidth="1"/>
    <col min="4873" max="5120" width="9.109375" style="1094"/>
    <col min="5121" max="5121" width="6.6640625" style="1094" customWidth="1"/>
    <col min="5122" max="5122" width="66.6640625" style="1094" customWidth="1"/>
    <col min="5123" max="5123" width="7.6640625" style="1094" customWidth="1"/>
    <col min="5124" max="5124" width="7.88671875" style="1094" customWidth="1"/>
    <col min="5125" max="5125" width="14.44140625" style="1094" customWidth="1"/>
    <col min="5126" max="5126" width="21.5546875" style="1094" customWidth="1"/>
    <col min="5127" max="5127" width="10.109375" style="1094" bestFit="1" customWidth="1"/>
    <col min="5128" max="5128" width="7.109375" style="1094" customWidth="1"/>
    <col min="5129" max="5376" width="9.109375" style="1094"/>
    <col min="5377" max="5377" width="6.6640625" style="1094" customWidth="1"/>
    <col min="5378" max="5378" width="66.6640625" style="1094" customWidth="1"/>
    <col min="5379" max="5379" width="7.6640625" style="1094" customWidth="1"/>
    <col min="5380" max="5380" width="7.88671875" style="1094" customWidth="1"/>
    <col min="5381" max="5381" width="14.44140625" style="1094" customWidth="1"/>
    <col min="5382" max="5382" width="21.5546875" style="1094" customWidth="1"/>
    <col min="5383" max="5383" width="10.109375" style="1094" bestFit="1" customWidth="1"/>
    <col min="5384" max="5384" width="7.109375" style="1094" customWidth="1"/>
    <col min="5385" max="5632" width="9.109375" style="1094"/>
    <col min="5633" max="5633" width="6.6640625" style="1094" customWidth="1"/>
    <col min="5634" max="5634" width="66.6640625" style="1094" customWidth="1"/>
    <col min="5635" max="5635" width="7.6640625" style="1094" customWidth="1"/>
    <col min="5636" max="5636" width="7.88671875" style="1094" customWidth="1"/>
    <col min="5637" max="5637" width="14.44140625" style="1094" customWidth="1"/>
    <col min="5638" max="5638" width="21.5546875" style="1094" customWidth="1"/>
    <col min="5639" max="5639" width="10.109375" style="1094" bestFit="1" customWidth="1"/>
    <col min="5640" max="5640" width="7.109375" style="1094" customWidth="1"/>
    <col min="5641" max="5888" width="9.109375" style="1094"/>
    <col min="5889" max="5889" width="6.6640625" style="1094" customWidth="1"/>
    <col min="5890" max="5890" width="66.6640625" style="1094" customWidth="1"/>
    <col min="5891" max="5891" width="7.6640625" style="1094" customWidth="1"/>
    <col min="5892" max="5892" width="7.88671875" style="1094" customWidth="1"/>
    <col min="5893" max="5893" width="14.44140625" style="1094" customWidth="1"/>
    <col min="5894" max="5894" width="21.5546875" style="1094" customWidth="1"/>
    <col min="5895" max="5895" width="10.109375" style="1094" bestFit="1" customWidth="1"/>
    <col min="5896" max="5896" width="7.109375" style="1094" customWidth="1"/>
    <col min="5897" max="6144" width="9.109375" style="1094"/>
    <col min="6145" max="6145" width="6.6640625" style="1094" customWidth="1"/>
    <col min="6146" max="6146" width="66.6640625" style="1094" customWidth="1"/>
    <col min="6147" max="6147" width="7.6640625" style="1094" customWidth="1"/>
    <col min="6148" max="6148" width="7.88671875" style="1094" customWidth="1"/>
    <col min="6149" max="6149" width="14.44140625" style="1094" customWidth="1"/>
    <col min="6150" max="6150" width="21.5546875" style="1094" customWidth="1"/>
    <col min="6151" max="6151" width="10.109375" style="1094" bestFit="1" customWidth="1"/>
    <col min="6152" max="6152" width="7.109375" style="1094" customWidth="1"/>
    <col min="6153" max="6400" width="9.109375" style="1094"/>
    <col min="6401" max="6401" width="6.6640625" style="1094" customWidth="1"/>
    <col min="6402" max="6402" width="66.6640625" style="1094" customWidth="1"/>
    <col min="6403" max="6403" width="7.6640625" style="1094" customWidth="1"/>
    <col min="6404" max="6404" width="7.88671875" style="1094" customWidth="1"/>
    <col min="6405" max="6405" width="14.44140625" style="1094" customWidth="1"/>
    <col min="6406" max="6406" width="21.5546875" style="1094" customWidth="1"/>
    <col min="6407" max="6407" width="10.109375" style="1094" bestFit="1" customWidth="1"/>
    <col min="6408" max="6408" width="7.109375" style="1094" customWidth="1"/>
    <col min="6409" max="6656" width="9.109375" style="1094"/>
    <col min="6657" max="6657" width="6.6640625" style="1094" customWidth="1"/>
    <col min="6658" max="6658" width="66.6640625" style="1094" customWidth="1"/>
    <col min="6659" max="6659" width="7.6640625" style="1094" customWidth="1"/>
    <col min="6660" max="6660" width="7.88671875" style="1094" customWidth="1"/>
    <col min="6661" max="6661" width="14.44140625" style="1094" customWidth="1"/>
    <col min="6662" max="6662" width="21.5546875" style="1094" customWidth="1"/>
    <col min="6663" max="6663" width="10.109375" style="1094" bestFit="1" customWidth="1"/>
    <col min="6664" max="6664" width="7.109375" style="1094" customWidth="1"/>
    <col min="6665" max="6912" width="9.109375" style="1094"/>
    <col min="6913" max="6913" width="6.6640625" style="1094" customWidth="1"/>
    <col min="6914" max="6914" width="66.6640625" style="1094" customWidth="1"/>
    <col min="6915" max="6915" width="7.6640625" style="1094" customWidth="1"/>
    <col min="6916" max="6916" width="7.88671875" style="1094" customWidth="1"/>
    <col min="6917" max="6917" width="14.44140625" style="1094" customWidth="1"/>
    <col min="6918" max="6918" width="21.5546875" style="1094" customWidth="1"/>
    <col min="6919" max="6919" width="10.109375" style="1094" bestFit="1" customWidth="1"/>
    <col min="6920" max="6920" width="7.109375" style="1094" customWidth="1"/>
    <col min="6921" max="7168" width="9.109375" style="1094"/>
    <col min="7169" max="7169" width="6.6640625" style="1094" customWidth="1"/>
    <col min="7170" max="7170" width="66.6640625" style="1094" customWidth="1"/>
    <col min="7171" max="7171" width="7.6640625" style="1094" customWidth="1"/>
    <col min="7172" max="7172" width="7.88671875" style="1094" customWidth="1"/>
    <col min="7173" max="7173" width="14.44140625" style="1094" customWidth="1"/>
    <col min="7174" max="7174" width="21.5546875" style="1094" customWidth="1"/>
    <col min="7175" max="7175" width="10.109375" style="1094" bestFit="1" customWidth="1"/>
    <col min="7176" max="7176" width="7.109375" style="1094" customWidth="1"/>
    <col min="7177" max="7424" width="9.109375" style="1094"/>
    <col min="7425" max="7425" width="6.6640625" style="1094" customWidth="1"/>
    <col min="7426" max="7426" width="66.6640625" style="1094" customWidth="1"/>
    <col min="7427" max="7427" width="7.6640625" style="1094" customWidth="1"/>
    <col min="7428" max="7428" width="7.88671875" style="1094" customWidth="1"/>
    <col min="7429" max="7429" width="14.44140625" style="1094" customWidth="1"/>
    <col min="7430" max="7430" width="21.5546875" style="1094" customWidth="1"/>
    <col min="7431" max="7431" width="10.109375" style="1094" bestFit="1" customWidth="1"/>
    <col min="7432" max="7432" width="7.109375" style="1094" customWidth="1"/>
    <col min="7433" max="7680" width="9.109375" style="1094"/>
    <col min="7681" max="7681" width="6.6640625" style="1094" customWidth="1"/>
    <col min="7682" max="7682" width="66.6640625" style="1094" customWidth="1"/>
    <col min="7683" max="7683" width="7.6640625" style="1094" customWidth="1"/>
    <col min="7684" max="7684" width="7.88671875" style="1094" customWidth="1"/>
    <col min="7685" max="7685" width="14.44140625" style="1094" customWidth="1"/>
    <col min="7686" max="7686" width="21.5546875" style="1094" customWidth="1"/>
    <col min="7687" max="7687" width="10.109375" style="1094" bestFit="1" customWidth="1"/>
    <col min="7688" max="7688" width="7.109375" style="1094" customWidth="1"/>
    <col min="7689" max="7936" width="9.109375" style="1094"/>
    <col min="7937" max="7937" width="6.6640625" style="1094" customWidth="1"/>
    <col min="7938" max="7938" width="66.6640625" style="1094" customWidth="1"/>
    <col min="7939" max="7939" width="7.6640625" style="1094" customWidth="1"/>
    <col min="7940" max="7940" width="7.88671875" style="1094" customWidth="1"/>
    <col min="7941" max="7941" width="14.44140625" style="1094" customWidth="1"/>
    <col min="7942" max="7942" width="21.5546875" style="1094" customWidth="1"/>
    <col min="7943" max="7943" width="10.109375" style="1094" bestFit="1" customWidth="1"/>
    <col min="7944" max="7944" width="7.109375" style="1094" customWidth="1"/>
    <col min="7945" max="8192" width="9.109375" style="1094"/>
    <col min="8193" max="8193" width="6.6640625" style="1094" customWidth="1"/>
    <col min="8194" max="8194" width="66.6640625" style="1094" customWidth="1"/>
    <col min="8195" max="8195" width="7.6640625" style="1094" customWidth="1"/>
    <col min="8196" max="8196" width="7.88671875" style="1094" customWidth="1"/>
    <col min="8197" max="8197" width="14.44140625" style="1094" customWidth="1"/>
    <col min="8198" max="8198" width="21.5546875" style="1094" customWidth="1"/>
    <col min="8199" max="8199" width="10.109375" style="1094" bestFit="1" customWidth="1"/>
    <col min="8200" max="8200" width="7.109375" style="1094" customWidth="1"/>
    <col min="8201" max="8448" width="9.109375" style="1094"/>
    <col min="8449" max="8449" width="6.6640625" style="1094" customWidth="1"/>
    <col min="8450" max="8450" width="66.6640625" style="1094" customWidth="1"/>
    <col min="8451" max="8451" width="7.6640625" style="1094" customWidth="1"/>
    <col min="8452" max="8452" width="7.88671875" style="1094" customWidth="1"/>
    <col min="8453" max="8453" width="14.44140625" style="1094" customWidth="1"/>
    <col min="8454" max="8454" width="21.5546875" style="1094" customWidth="1"/>
    <col min="8455" max="8455" width="10.109375" style="1094" bestFit="1" customWidth="1"/>
    <col min="8456" max="8456" width="7.109375" style="1094" customWidth="1"/>
    <col min="8457" max="8704" width="9.109375" style="1094"/>
    <col min="8705" max="8705" width="6.6640625" style="1094" customWidth="1"/>
    <col min="8706" max="8706" width="66.6640625" style="1094" customWidth="1"/>
    <col min="8707" max="8707" width="7.6640625" style="1094" customWidth="1"/>
    <col min="8708" max="8708" width="7.88671875" style="1094" customWidth="1"/>
    <col min="8709" max="8709" width="14.44140625" style="1094" customWidth="1"/>
    <col min="8710" max="8710" width="21.5546875" style="1094" customWidth="1"/>
    <col min="8711" max="8711" width="10.109375" style="1094" bestFit="1" customWidth="1"/>
    <col min="8712" max="8712" width="7.109375" style="1094" customWidth="1"/>
    <col min="8713" max="8960" width="9.109375" style="1094"/>
    <col min="8961" max="8961" width="6.6640625" style="1094" customWidth="1"/>
    <col min="8962" max="8962" width="66.6640625" style="1094" customWidth="1"/>
    <col min="8963" max="8963" width="7.6640625" style="1094" customWidth="1"/>
    <col min="8964" max="8964" width="7.88671875" style="1094" customWidth="1"/>
    <col min="8965" max="8965" width="14.44140625" style="1094" customWidth="1"/>
    <col min="8966" max="8966" width="21.5546875" style="1094" customWidth="1"/>
    <col min="8967" max="8967" width="10.109375" style="1094" bestFit="1" customWidth="1"/>
    <col min="8968" max="8968" width="7.109375" style="1094" customWidth="1"/>
    <col min="8969" max="9216" width="9.109375" style="1094"/>
    <col min="9217" max="9217" width="6.6640625" style="1094" customWidth="1"/>
    <col min="9218" max="9218" width="66.6640625" style="1094" customWidth="1"/>
    <col min="9219" max="9219" width="7.6640625" style="1094" customWidth="1"/>
    <col min="9220" max="9220" width="7.88671875" style="1094" customWidth="1"/>
    <col min="9221" max="9221" width="14.44140625" style="1094" customWidth="1"/>
    <col min="9222" max="9222" width="21.5546875" style="1094" customWidth="1"/>
    <col min="9223" max="9223" width="10.109375" style="1094" bestFit="1" customWidth="1"/>
    <col min="9224" max="9224" width="7.109375" style="1094" customWidth="1"/>
    <col min="9225" max="9472" width="9.109375" style="1094"/>
    <col min="9473" max="9473" width="6.6640625" style="1094" customWidth="1"/>
    <col min="9474" max="9474" width="66.6640625" style="1094" customWidth="1"/>
    <col min="9475" max="9475" width="7.6640625" style="1094" customWidth="1"/>
    <col min="9476" max="9476" width="7.88671875" style="1094" customWidth="1"/>
    <col min="9477" max="9477" width="14.44140625" style="1094" customWidth="1"/>
    <col min="9478" max="9478" width="21.5546875" style="1094" customWidth="1"/>
    <col min="9479" max="9479" width="10.109375" style="1094" bestFit="1" customWidth="1"/>
    <col min="9480" max="9480" width="7.109375" style="1094" customWidth="1"/>
    <col min="9481" max="9728" width="9.109375" style="1094"/>
    <col min="9729" max="9729" width="6.6640625" style="1094" customWidth="1"/>
    <col min="9730" max="9730" width="66.6640625" style="1094" customWidth="1"/>
    <col min="9731" max="9731" width="7.6640625" style="1094" customWidth="1"/>
    <col min="9732" max="9732" width="7.88671875" style="1094" customWidth="1"/>
    <col min="9733" max="9733" width="14.44140625" style="1094" customWidth="1"/>
    <col min="9734" max="9734" width="21.5546875" style="1094" customWidth="1"/>
    <col min="9735" max="9735" width="10.109375" style="1094" bestFit="1" customWidth="1"/>
    <col min="9736" max="9736" width="7.109375" style="1094" customWidth="1"/>
    <col min="9737" max="9984" width="9.109375" style="1094"/>
    <col min="9985" max="9985" width="6.6640625" style="1094" customWidth="1"/>
    <col min="9986" max="9986" width="66.6640625" style="1094" customWidth="1"/>
    <col min="9987" max="9987" width="7.6640625" style="1094" customWidth="1"/>
    <col min="9988" max="9988" width="7.88671875" style="1094" customWidth="1"/>
    <col min="9989" max="9989" width="14.44140625" style="1094" customWidth="1"/>
    <col min="9990" max="9990" width="21.5546875" style="1094" customWidth="1"/>
    <col min="9991" max="9991" width="10.109375" style="1094" bestFit="1" customWidth="1"/>
    <col min="9992" max="9992" width="7.109375" style="1094" customWidth="1"/>
    <col min="9993" max="10240" width="9.109375" style="1094"/>
    <col min="10241" max="10241" width="6.6640625" style="1094" customWidth="1"/>
    <col min="10242" max="10242" width="66.6640625" style="1094" customWidth="1"/>
    <col min="10243" max="10243" width="7.6640625" style="1094" customWidth="1"/>
    <col min="10244" max="10244" width="7.88671875" style="1094" customWidth="1"/>
    <col min="10245" max="10245" width="14.44140625" style="1094" customWidth="1"/>
    <col min="10246" max="10246" width="21.5546875" style="1094" customWidth="1"/>
    <col min="10247" max="10247" width="10.109375" style="1094" bestFit="1" customWidth="1"/>
    <col min="10248" max="10248" width="7.109375" style="1094" customWidth="1"/>
    <col min="10249" max="10496" width="9.109375" style="1094"/>
    <col min="10497" max="10497" width="6.6640625" style="1094" customWidth="1"/>
    <col min="10498" max="10498" width="66.6640625" style="1094" customWidth="1"/>
    <col min="10499" max="10499" width="7.6640625" style="1094" customWidth="1"/>
    <col min="10500" max="10500" width="7.88671875" style="1094" customWidth="1"/>
    <col min="10501" max="10501" width="14.44140625" style="1094" customWidth="1"/>
    <col min="10502" max="10502" width="21.5546875" style="1094" customWidth="1"/>
    <col min="10503" max="10503" width="10.109375" style="1094" bestFit="1" customWidth="1"/>
    <col min="10504" max="10504" width="7.109375" style="1094" customWidth="1"/>
    <col min="10505" max="10752" width="9.109375" style="1094"/>
    <col min="10753" max="10753" width="6.6640625" style="1094" customWidth="1"/>
    <col min="10754" max="10754" width="66.6640625" style="1094" customWidth="1"/>
    <col min="10755" max="10755" width="7.6640625" style="1094" customWidth="1"/>
    <col min="10756" max="10756" width="7.88671875" style="1094" customWidth="1"/>
    <col min="10757" max="10757" width="14.44140625" style="1094" customWidth="1"/>
    <col min="10758" max="10758" width="21.5546875" style="1094" customWidth="1"/>
    <col min="10759" max="10759" width="10.109375" style="1094" bestFit="1" customWidth="1"/>
    <col min="10760" max="10760" width="7.109375" style="1094" customWidth="1"/>
    <col min="10761" max="11008" width="9.109375" style="1094"/>
    <col min="11009" max="11009" width="6.6640625" style="1094" customWidth="1"/>
    <col min="11010" max="11010" width="66.6640625" style="1094" customWidth="1"/>
    <col min="11011" max="11011" width="7.6640625" style="1094" customWidth="1"/>
    <col min="11012" max="11012" width="7.88671875" style="1094" customWidth="1"/>
    <col min="11013" max="11013" width="14.44140625" style="1094" customWidth="1"/>
    <col min="11014" max="11014" width="21.5546875" style="1094" customWidth="1"/>
    <col min="11015" max="11015" width="10.109375" style="1094" bestFit="1" customWidth="1"/>
    <col min="11016" max="11016" width="7.109375" style="1094" customWidth="1"/>
    <col min="11017" max="11264" width="9.109375" style="1094"/>
    <col min="11265" max="11265" width="6.6640625" style="1094" customWidth="1"/>
    <col min="11266" max="11266" width="66.6640625" style="1094" customWidth="1"/>
    <col min="11267" max="11267" width="7.6640625" style="1094" customWidth="1"/>
    <col min="11268" max="11268" width="7.88671875" style="1094" customWidth="1"/>
    <col min="11269" max="11269" width="14.44140625" style="1094" customWidth="1"/>
    <col min="11270" max="11270" width="21.5546875" style="1094" customWidth="1"/>
    <col min="11271" max="11271" width="10.109375" style="1094" bestFit="1" customWidth="1"/>
    <col min="11272" max="11272" width="7.109375" style="1094" customWidth="1"/>
    <col min="11273" max="11520" width="9.109375" style="1094"/>
    <col min="11521" max="11521" width="6.6640625" style="1094" customWidth="1"/>
    <col min="11522" max="11522" width="66.6640625" style="1094" customWidth="1"/>
    <col min="11523" max="11523" width="7.6640625" style="1094" customWidth="1"/>
    <col min="11524" max="11524" width="7.88671875" style="1094" customWidth="1"/>
    <col min="11525" max="11525" width="14.44140625" style="1094" customWidth="1"/>
    <col min="11526" max="11526" width="21.5546875" style="1094" customWidth="1"/>
    <col min="11527" max="11527" width="10.109375" style="1094" bestFit="1" customWidth="1"/>
    <col min="11528" max="11528" width="7.109375" style="1094" customWidth="1"/>
    <col min="11529" max="11776" width="9.109375" style="1094"/>
    <col min="11777" max="11777" width="6.6640625" style="1094" customWidth="1"/>
    <col min="11778" max="11778" width="66.6640625" style="1094" customWidth="1"/>
    <col min="11779" max="11779" width="7.6640625" style="1094" customWidth="1"/>
    <col min="11780" max="11780" width="7.88671875" style="1094" customWidth="1"/>
    <col min="11781" max="11781" width="14.44140625" style="1094" customWidth="1"/>
    <col min="11782" max="11782" width="21.5546875" style="1094" customWidth="1"/>
    <col min="11783" max="11783" width="10.109375" style="1094" bestFit="1" customWidth="1"/>
    <col min="11784" max="11784" width="7.109375" style="1094" customWidth="1"/>
    <col min="11785" max="12032" width="9.109375" style="1094"/>
    <col min="12033" max="12033" width="6.6640625" style="1094" customWidth="1"/>
    <col min="12034" max="12034" width="66.6640625" style="1094" customWidth="1"/>
    <col min="12035" max="12035" width="7.6640625" style="1094" customWidth="1"/>
    <col min="12036" max="12036" width="7.88671875" style="1094" customWidth="1"/>
    <col min="12037" max="12037" width="14.44140625" style="1094" customWidth="1"/>
    <col min="12038" max="12038" width="21.5546875" style="1094" customWidth="1"/>
    <col min="12039" max="12039" width="10.109375" style="1094" bestFit="1" customWidth="1"/>
    <col min="12040" max="12040" width="7.109375" style="1094" customWidth="1"/>
    <col min="12041" max="12288" width="9.109375" style="1094"/>
    <col min="12289" max="12289" width="6.6640625" style="1094" customWidth="1"/>
    <col min="12290" max="12290" width="66.6640625" style="1094" customWidth="1"/>
    <col min="12291" max="12291" width="7.6640625" style="1094" customWidth="1"/>
    <col min="12292" max="12292" width="7.88671875" style="1094" customWidth="1"/>
    <col min="12293" max="12293" width="14.44140625" style="1094" customWidth="1"/>
    <col min="12294" max="12294" width="21.5546875" style="1094" customWidth="1"/>
    <col min="12295" max="12295" width="10.109375" style="1094" bestFit="1" customWidth="1"/>
    <col min="12296" max="12296" width="7.109375" style="1094" customWidth="1"/>
    <col min="12297" max="12544" width="9.109375" style="1094"/>
    <col min="12545" max="12545" width="6.6640625" style="1094" customWidth="1"/>
    <col min="12546" max="12546" width="66.6640625" style="1094" customWidth="1"/>
    <col min="12547" max="12547" width="7.6640625" style="1094" customWidth="1"/>
    <col min="12548" max="12548" width="7.88671875" style="1094" customWidth="1"/>
    <col min="12549" max="12549" width="14.44140625" style="1094" customWidth="1"/>
    <col min="12550" max="12550" width="21.5546875" style="1094" customWidth="1"/>
    <col min="12551" max="12551" width="10.109375" style="1094" bestFit="1" customWidth="1"/>
    <col min="12552" max="12552" width="7.109375" style="1094" customWidth="1"/>
    <col min="12553" max="12800" width="9.109375" style="1094"/>
    <col min="12801" max="12801" width="6.6640625" style="1094" customWidth="1"/>
    <col min="12802" max="12802" width="66.6640625" style="1094" customWidth="1"/>
    <col min="12803" max="12803" width="7.6640625" style="1094" customWidth="1"/>
    <col min="12804" max="12804" width="7.88671875" style="1094" customWidth="1"/>
    <col min="12805" max="12805" width="14.44140625" style="1094" customWidth="1"/>
    <col min="12806" max="12806" width="21.5546875" style="1094" customWidth="1"/>
    <col min="12807" max="12807" width="10.109375" style="1094" bestFit="1" customWidth="1"/>
    <col min="12808" max="12808" width="7.109375" style="1094" customWidth="1"/>
    <col min="12809" max="13056" width="9.109375" style="1094"/>
    <col min="13057" max="13057" width="6.6640625" style="1094" customWidth="1"/>
    <col min="13058" max="13058" width="66.6640625" style="1094" customWidth="1"/>
    <col min="13059" max="13059" width="7.6640625" style="1094" customWidth="1"/>
    <col min="13060" max="13060" width="7.88671875" style="1094" customWidth="1"/>
    <col min="13061" max="13061" width="14.44140625" style="1094" customWidth="1"/>
    <col min="13062" max="13062" width="21.5546875" style="1094" customWidth="1"/>
    <col min="13063" max="13063" width="10.109375" style="1094" bestFit="1" customWidth="1"/>
    <col min="13064" max="13064" width="7.109375" style="1094" customWidth="1"/>
    <col min="13065" max="13312" width="9.109375" style="1094"/>
    <col min="13313" max="13313" width="6.6640625" style="1094" customWidth="1"/>
    <col min="13314" max="13314" width="66.6640625" style="1094" customWidth="1"/>
    <col min="13315" max="13315" width="7.6640625" style="1094" customWidth="1"/>
    <col min="13316" max="13316" width="7.88671875" style="1094" customWidth="1"/>
    <col min="13317" max="13317" width="14.44140625" style="1094" customWidth="1"/>
    <col min="13318" max="13318" width="21.5546875" style="1094" customWidth="1"/>
    <col min="13319" max="13319" width="10.109375" style="1094" bestFit="1" customWidth="1"/>
    <col min="13320" max="13320" width="7.109375" style="1094" customWidth="1"/>
    <col min="13321" max="13568" width="9.109375" style="1094"/>
    <col min="13569" max="13569" width="6.6640625" style="1094" customWidth="1"/>
    <col min="13570" max="13570" width="66.6640625" style="1094" customWidth="1"/>
    <col min="13571" max="13571" width="7.6640625" style="1094" customWidth="1"/>
    <col min="13572" max="13572" width="7.88671875" style="1094" customWidth="1"/>
    <col min="13573" max="13573" width="14.44140625" style="1094" customWidth="1"/>
    <col min="13574" max="13574" width="21.5546875" style="1094" customWidth="1"/>
    <col min="13575" max="13575" width="10.109375" style="1094" bestFit="1" customWidth="1"/>
    <col min="13576" max="13576" width="7.109375" style="1094" customWidth="1"/>
    <col min="13577" max="13824" width="9.109375" style="1094"/>
    <col min="13825" max="13825" width="6.6640625" style="1094" customWidth="1"/>
    <col min="13826" max="13826" width="66.6640625" style="1094" customWidth="1"/>
    <col min="13827" max="13827" width="7.6640625" style="1094" customWidth="1"/>
    <col min="13828" max="13828" width="7.88671875" style="1094" customWidth="1"/>
    <col min="13829" max="13829" width="14.44140625" style="1094" customWidth="1"/>
    <col min="13830" max="13830" width="21.5546875" style="1094" customWidth="1"/>
    <col min="13831" max="13831" width="10.109375" style="1094" bestFit="1" customWidth="1"/>
    <col min="13832" max="13832" width="7.109375" style="1094" customWidth="1"/>
    <col min="13833" max="14080" width="9.109375" style="1094"/>
    <col min="14081" max="14081" width="6.6640625" style="1094" customWidth="1"/>
    <col min="14082" max="14082" width="66.6640625" style="1094" customWidth="1"/>
    <col min="14083" max="14083" width="7.6640625" style="1094" customWidth="1"/>
    <col min="14084" max="14084" width="7.88671875" style="1094" customWidth="1"/>
    <col min="14085" max="14085" width="14.44140625" style="1094" customWidth="1"/>
    <col min="14086" max="14086" width="21.5546875" style="1094" customWidth="1"/>
    <col min="14087" max="14087" width="10.109375" style="1094" bestFit="1" customWidth="1"/>
    <col min="14088" max="14088" width="7.109375" style="1094" customWidth="1"/>
    <col min="14089" max="14336" width="9.109375" style="1094"/>
    <col min="14337" max="14337" width="6.6640625" style="1094" customWidth="1"/>
    <col min="14338" max="14338" width="66.6640625" style="1094" customWidth="1"/>
    <col min="14339" max="14339" width="7.6640625" style="1094" customWidth="1"/>
    <col min="14340" max="14340" width="7.88671875" style="1094" customWidth="1"/>
    <col min="14341" max="14341" width="14.44140625" style="1094" customWidth="1"/>
    <col min="14342" max="14342" width="21.5546875" style="1094" customWidth="1"/>
    <col min="14343" max="14343" width="10.109375" style="1094" bestFit="1" customWidth="1"/>
    <col min="14344" max="14344" width="7.109375" style="1094" customWidth="1"/>
    <col min="14345" max="14592" width="9.109375" style="1094"/>
    <col min="14593" max="14593" width="6.6640625" style="1094" customWidth="1"/>
    <col min="14594" max="14594" width="66.6640625" style="1094" customWidth="1"/>
    <col min="14595" max="14595" width="7.6640625" style="1094" customWidth="1"/>
    <col min="14596" max="14596" width="7.88671875" style="1094" customWidth="1"/>
    <col min="14597" max="14597" width="14.44140625" style="1094" customWidth="1"/>
    <col min="14598" max="14598" width="21.5546875" style="1094" customWidth="1"/>
    <col min="14599" max="14599" width="10.109375" style="1094" bestFit="1" customWidth="1"/>
    <col min="14600" max="14600" width="7.109375" style="1094" customWidth="1"/>
    <col min="14601" max="14848" width="9.109375" style="1094"/>
    <col min="14849" max="14849" width="6.6640625" style="1094" customWidth="1"/>
    <col min="14850" max="14850" width="66.6640625" style="1094" customWidth="1"/>
    <col min="14851" max="14851" width="7.6640625" style="1094" customWidth="1"/>
    <col min="14852" max="14852" width="7.88671875" style="1094" customWidth="1"/>
    <col min="14853" max="14853" width="14.44140625" style="1094" customWidth="1"/>
    <col min="14854" max="14854" width="21.5546875" style="1094" customWidth="1"/>
    <col min="14855" max="14855" width="10.109375" style="1094" bestFit="1" customWidth="1"/>
    <col min="14856" max="14856" width="7.109375" style="1094" customWidth="1"/>
    <col min="14857" max="15104" width="9.109375" style="1094"/>
    <col min="15105" max="15105" width="6.6640625" style="1094" customWidth="1"/>
    <col min="15106" max="15106" width="66.6640625" style="1094" customWidth="1"/>
    <col min="15107" max="15107" width="7.6640625" style="1094" customWidth="1"/>
    <col min="15108" max="15108" width="7.88671875" style="1094" customWidth="1"/>
    <col min="15109" max="15109" width="14.44140625" style="1094" customWidth="1"/>
    <col min="15110" max="15110" width="21.5546875" style="1094" customWidth="1"/>
    <col min="15111" max="15111" width="10.109375" style="1094" bestFit="1" customWidth="1"/>
    <col min="15112" max="15112" width="7.109375" style="1094" customWidth="1"/>
    <col min="15113" max="15360" width="9.109375" style="1094"/>
    <col min="15361" max="15361" width="6.6640625" style="1094" customWidth="1"/>
    <col min="15362" max="15362" width="66.6640625" style="1094" customWidth="1"/>
    <col min="15363" max="15363" width="7.6640625" style="1094" customWidth="1"/>
    <col min="15364" max="15364" width="7.88671875" style="1094" customWidth="1"/>
    <col min="15365" max="15365" width="14.44140625" style="1094" customWidth="1"/>
    <col min="15366" max="15366" width="21.5546875" style="1094" customWidth="1"/>
    <col min="15367" max="15367" width="10.109375" style="1094" bestFit="1" customWidth="1"/>
    <col min="15368" max="15368" width="7.109375" style="1094" customWidth="1"/>
    <col min="15369" max="15616" width="9.109375" style="1094"/>
    <col min="15617" max="15617" width="6.6640625" style="1094" customWidth="1"/>
    <col min="15618" max="15618" width="66.6640625" style="1094" customWidth="1"/>
    <col min="15619" max="15619" width="7.6640625" style="1094" customWidth="1"/>
    <col min="15620" max="15620" width="7.88671875" style="1094" customWidth="1"/>
    <col min="15621" max="15621" width="14.44140625" style="1094" customWidth="1"/>
    <col min="15622" max="15622" width="21.5546875" style="1094" customWidth="1"/>
    <col min="15623" max="15623" width="10.109375" style="1094" bestFit="1" customWidth="1"/>
    <col min="15624" max="15624" width="7.109375" style="1094" customWidth="1"/>
    <col min="15625" max="15872" width="9.109375" style="1094"/>
    <col min="15873" max="15873" width="6.6640625" style="1094" customWidth="1"/>
    <col min="15874" max="15874" width="66.6640625" style="1094" customWidth="1"/>
    <col min="15875" max="15875" width="7.6640625" style="1094" customWidth="1"/>
    <col min="15876" max="15876" width="7.88671875" style="1094" customWidth="1"/>
    <col min="15877" max="15877" width="14.44140625" style="1094" customWidth="1"/>
    <col min="15878" max="15878" width="21.5546875" style="1094" customWidth="1"/>
    <col min="15879" max="15879" width="10.109375" style="1094" bestFit="1" customWidth="1"/>
    <col min="15880" max="15880" width="7.109375" style="1094" customWidth="1"/>
    <col min="15881" max="16128" width="9.109375" style="1094"/>
    <col min="16129" max="16129" width="6.6640625" style="1094" customWidth="1"/>
    <col min="16130" max="16130" width="66.6640625" style="1094" customWidth="1"/>
    <col min="16131" max="16131" width="7.6640625" style="1094" customWidth="1"/>
    <col min="16132" max="16132" width="7.88671875" style="1094" customWidth="1"/>
    <col min="16133" max="16133" width="14.44140625" style="1094" customWidth="1"/>
    <col min="16134" max="16134" width="21.5546875" style="1094" customWidth="1"/>
    <col min="16135" max="16135" width="10.109375" style="1094" bestFit="1" customWidth="1"/>
    <col min="16136" max="16136" width="7.109375" style="1094" customWidth="1"/>
    <col min="16137" max="16384" width="9.109375" style="1094"/>
  </cols>
  <sheetData>
    <row r="1" spans="1:7" ht="73.2" customHeight="1">
      <c r="A1" s="1637" t="s">
        <v>2319</v>
      </c>
      <c r="B1" s="1637"/>
      <c r="C1" s="1637"/>
      <c r="D1" s="1637"/>
      <c r="E1" s="1637"/>
      <c r="F1" s="1637"/>
    </row>
    <row r="2" spans="1:7" s="1100" customFormat="1" ht="18">
      <c r="A2" s="1095" t="s">
        <v>1545</v>
      </c>
      <c r="B2" s="1096" t="s">
        <v>2421</v>
      </c>
      <c r="C2" s="1097"/>
      <c r="D2" s="1098"/>
      <c r="E2" s="1099"/>
      <c r="F2" s="1098"/>
    </row>
    <row r="3" spans="1:7">
      <c r="A3" s="1101"/>
      <c r="B3" s="1102"/>
      <c r="C3" s="1103"/>
      <c r="D3" s="1104"/>
      <c r="F3" s="1104"/>
    </row>
    <row r="4" spans="1:7">
      <c r="A4" s="1101" t="s">
        <v>1995</v>
      </c>
      <c r="B4" s="1102" t="s">
        <v>1553</v>
      </c>
      <c r="C4" s="1103"/>
      <c r="D4" s="1104"/>
      <c r="F4" s="1104"/>
    </row>
    <row r="5" spans="1:7" ht="16.2" thickBot="1">
      <c r="A5" s="1101"/>
      <c r="B5" s="1102"/>
      <c r="C5" s="1103"/>
      <c r="D5" s="1104"/>
      <c r="F5" s="1104"/>
    </row>
    <row r="6" spans="1:7" ht="45" customHeight="1" thickBot="1">
      <c r="A6" s="1106" t="s">
        <v>2320</v>
      </c>
      <c r="B6" s="1107" t="s">
        <v>2321</v>
      </c>
      <c r="C6" s="1108" t="s">
        <v>2322</v>
      </c>
      <c r="D6" s="1109" t="s">
        <v>2323</v>
      </c>
      <c r="E6" s="1110" t="s">
        <v>2324</v>
      </c>
      <c r="F6" s="1193" t="s">
        <v>2325</v>
      </c>
      <c r="G6" s="1194" t="s">
        <v>2523</v>
      </c>
    </row>
    <row r="7" spans="1:7" ht="194.25" customHeight="1">
      <c r="A7" s="998">
        <v>1</v>
      </c>
      <c r="B7" s="1004" t="s">
        <v>2422</v>
      </c>
      <c r="C7" s="1000" t="s">
        <v>29</v>
      </c>
      <c r="D7" s="1000">
        <v>1</v>
      </c>
      <c r="E7" s="1508">
        <v>500</v>
      </c>
      <c r="F7" s="1111">
        <f>E7*D7</f>
        <v>500</v>
      </c>
    </row>
    <row r="8" spans="1:7" ht="31.5" customHeight="1">
      <c r="A8" s="998">
        <v>2</v>
      </c>
      <c r="B8" s="1050" t="s">
        <v>2423</v>
      </c>
      <c r="C8" s="1008" t="s">
        <v>29</v>
      </c>
      <c r="D8" s="1009">
        <v>1</v>
      </c>
      <c r="E8" s="1508">
        <v>100</v>
      </c>
      <c r="F8" s="1111">
        <f t="shared" ref="F8:F24" si="0">E8*D8</f>
        <v>100</v>
      </c>
    </row>
    <row r="9" spans="1:7" ht="351" customHeight="1">
      <c r="A9" s="998">
        <v>3</v>
      </c>
      <c r="B9" s="1005" t="s">
        <v>2424</v>
      </c>
      <c r="C9" s="1008" t="s">
        <v>29</v>
      </c>
      <c r="D9" s="1009">
        <v>1</v>
      </c>
      <c r="E9" s="1508">
        <v>488</v>
      </c>
      <c r="F9" s="1111">
        <f t="shared" si="0"/>
        <v>488</v>
      </c>
    </row>
    <row r="10" spans="1:7" ht="47.25" customHeight="1">
      <c r="A10" s="998">
        <v>4</v>
      </c>
      <c r="B10" s="999" t="s">
        <v>2425</v>
      </c>
      <c r="C10" s="1000" t="s">
        <v>29</v>
      </c>
      <c r="D10" s="1000">
        <v>1</v>
      </c>
      <c r="E10" s="1508">
        <v>540</v>
      </c>
      <c r="F10" s="1111">
        <f t="shared" si="0"/>
        <v>540</v>
      </c>
    </row>
    <row r="11" spans="1:7" ht="56.25" customHeight="1">
      <c r="A11" s="998">
        <v>5</v>
      </c>
      <c r="B11" s="999" t="s">
        <v>2327</v>
      </c>
      <c r="C11" s="1000" t="s">
        <v>29</v>
      </c>
      <c r="D11" s="1000">
        <v>2</v>
      </c>
      <c r="E11" s="1508">
        <v>54</v>
      </c>
      <c r="F11" s="1111">
        <f t="shared" si="0"/>
        <v>108</v>
      </c>
      <c r="G11" s="1112"/>
    </row>
    <row r="12" spans="1:7" ht="171.75" customHeight="1">
      <c r="A12" s="998">
        <v>6</v>
      </c>
      <c r="B12" s="1045" t="s">
        <v>2426</v>
      </c>
      <c r="C12" s="1000" t="s">
        <v>29</v>
      </c>
      <c r="D12" s="1000">
        <v>1</v>
      </c>
      <c r="E12" s="1508">
        <v>422</v>
      </c>
      <c r="F12" s="1111">
        <f t="shared" si="0"/>
        <v>422</v>
      </c>
    </row>
    <row r="13" spans="1:7" ht="252.75" customHeight="1">
      <c r="A13" s="998">
        <v>7</v>
      </c>
      <c r="B13" s="1113" t="s">
        <v>2427</v>
      </c>
      <c r="C13" s="1000" t="s">
        <v>29</v>
      </c>
      <c r="D13" s="1000">
        <v>1</v>
      </c>
      <c r="E13" s="1508">
        <v>383</v>
      </c>
      <c r="F13" s="1111">
        <f t="shared" si="0"/>
        <v>383</v>
      </c>
    </row>
    <row r="14" spans="1:7" ht="256.5" customHeight="1">
      <c r="A14" s="998">
        <v>8</v>
      </c>
      <c r="B14" s="1113" t="s">
        <v>2428</v>
      </c>
      <c r="C14" s="1000" t="s">
        <v>29</v>
      </c>
      <c r="D14" s="1000">
        <v>1</v>
      </c>
      <c r="E14" s="1508">
        <v>498</v>
      </c>
      <c r="F14" s="1111">
        <f t="shared" si="0"/>
        <v>498</v>
      </c>
    </row>
    <row r="15" spans="1:7" ht="63" customHeight="1">
      <c r="A15" s="998">
        <v>9</v>
      </c>
      <c r="B15" s="1114" t="s">
        <v>2429</v>
      </c>
      <c r="C15" s="1007" t="s">
        <v>29</v>
      </c>
      <c r="D15" s="1007">
        <v>2</v>
      </c>
      <c r="E15" s="1508">
        <v>10</v>
      </c>
      <c r="F15" s="1111">
        <f t="shared" si="0"/>
        <v>20</v>
      </c>
    </row>
    <row r="16" spans="1:7" ht="109.5" customHeight="1">
      <c r="A16" s="998">
        <v>10</v>
      </c>
      <c r="B16" s="1113" t="s">
        <v>2430</v>
      </c>
      <c r="C16" s="1007" t="s">
        <v>29</v>
      </c>
      <c r="D16" s="1007">
        <v>2</v>
      </c>
      <c r="E16" s="1508">
        <v>279</v>
      </c>
      <c r="F16" s="1111">
        <f t="shared" si="0"/>
        <v>558</v>
      </c>
    </row>
    <row r="17" spans="1:6" ht="171.75" customHeight="1">
      <c r="A17" s="998">
        <v>11</v>
      </c>
      <c r="B17" s="1114" t="s">
        <v>2431</v>
      </c>
      <c r="C17" s="1007" t="s">
        <v>29</v>
      </c>
      <c r="D17" s="1007">
        <v>5</v>
      </c>
      <c r="E17" s="1508">
        <v>149</v>
      </c>
      <c r="F17" s="1111">
        <f t="shared" si="0"/>
        <v>745</v>
      </c>
    </row>
    <row r="18" spans="1:6" ht="93.75" customHeight="1">
      <c r="A18" s="998">
        <v>12</v>
      </c>
      <c r="B18" s="1115" t="s">
        <v>2432</v>
      </c>
      <c r="C18" s="1068" t="s">
        <v>29</v>
      </c>
      <c r="D18" s="1068">
        <v>5</v>
      </c>
      <c r="E18" s="1508">
        <v>100</v>
      </c>
      <c r="F18" s="1111">
        <f t="shared" si="0"/>
        <v>500</v>
      </c>
    </row>
    <row r="19" spans="1:6" ht="77.25" customHeight="1">
      <c r="A19" s="998">
        <v>13</v>
      </c>
      <c r="B19" s="999" t="s">
        <v>2433</v>
      </c>
      <c r="C19" s="1000" t="s">
        <v>29</v>
      </c>
      <c r="D19" s="1000">
        <v>5</v>
      </c>
      <c r="E19" s="1508">
        <v>20</v>
      </c>
      <c r="F19" s="1111">
        <f t="shared" si="0"/>
        <v>100</v>
      </c>
    </row>
    <row r="20" spans="1:6" ht="75" customHeight="1">
      <c r="A20" s="998">
        <v>14</v>
      </c>
      <c r="B20" s="999" t="s">
        <v>2434</v>
      </c>
      <c r="C20" s="1068" t="s">
        <v>29</v>
      </c>
      <c r="D20" s="1068">
        <v>50</v>
      </c>
      <c r="E20" s="1508">
        <v>3</v>
      </c>
      <c r="F20" s="1111">
        <f t="shared" si="0"/>
        <v>150</v>
      </c>
    </row>
    <row r="21" spans="1:6" ht="239.25" customHeight="1">
      <c r="A21" s="998">
        <v>15</v>
      </c>
      <c r="B21" s="999" t="s">
        <v>2435</v>
      </c>
      <c r="C21" s="1000" t="s">
        <v>29</v>
      </c>
      <c r="D21" s="1000">
        <v>1</v>
      </c>
      <c r="E21" s="1509">
        <v>2360</v>
      </c>
      <c r="F21" s="1111">
        <f t="shared" si="0"/>
        <v>2360</v>
      </c>
    </row>
    <row r="22" spans="1:6" ht="76.5" customHeight="1">
      <c r="A22" s="998">
        <v>16</v>
      </c>
      <c r="B22" s="999" t="s">
        <v>2436</v>
      </c>
      <c r="C22" s="1000" t="s">
        <v>29</v>
      </c>
      <c r="D22" s="1000">
        <v>1</v>
      </c>
      <c r="E22" s="1509">
        <v>488</v>
      </c>
      <c r="F22" s="1111">
        <f t="shared" si="0"/>
        <v>488</v>
      </c>
    </row>
    <row r="23" spans="1:6" s="1112" customFormat="1" ht="47.25" customHeight="1">
      <c r="A23" s="998">
        <v>17</v>
      </c>
      <c r="B23" s="1004" t="s">
        <v>2402</v>
      </c>
      <c r="C23" s="1000" t="s">
        <v>29</v>
      </c>
      <c r="D23" s="1000">
        <v>4</v>
      </c>
      <c r="E23" s="1508">
        <v>50</v>
      </c>
      <c r="F23" s="1111">
        <f t="shared" si="0"/>
        <v>200</v>
      </c>
    </row>
    <row r="24" spans="1:6" s="1112" customFormat="1" ht="42.75" customHeight="1">
      <c r="A24" s="998">
        <v>18</v>
      </c>
      <c r="B24" s="1004" t="s">
        <v>2347</v>
      </c>
      <c r="C24" s="1000" t="s">
        <v>27</v>
      </c>
      <c r="D24" s="1000">
        <v>1</v>
      </c>
      <c r="E24" s="1508">
        <v>100</v>
      </c>
      <c r="F24" s="1111">
        <f t="shared" si="0"/>
        <v>100</v>
      </c>
    </row>
    <row r="25" spans="1:6" s="1112" customFormat="1" ht="30" customHeight="1">
      <c r="A25" s="1116"/>
      <c r="B25" s="1117" t="s">
        <v>1597</v>
      </c>
      <c r="C25" s="1118"/>
      <c r="D25" s="1119"/>
      <c r="E25" s="1120"/>
      <c r="F25" s="1121">
        <f>SUM(F7:F24)</f>
        <v>8260</v>
      </c>
    </row>
    <row r="26" spans="1:6" s="1112" customFormat="1" ht="30" customHeight="1">
      <c r="A26" s="1122"/>
      <c r="B26" s="1123"/>
      <c r="C26" s="1124"/>
      <c r="D26" s="1125"/>
      <c r="E26" s="1126"/>
      <c r="F26" s="1127"/>
    </row>
    <row r="27" spans="1:6" s="1112" customFormat="1" ht="30" customHeight="1">
      <c r="A27" s="1128" t="s">
        <v>2001</v>
      </c>
      <c r="B27" s="1129" t="s">
        <v>2348</v>
      </c>
      <c r="C27" s="1118"/>
      <c r="D27" s="1119"/>
      <c r="E27" s="1120"/>
      <c r="F27" s="1130"/>
    </row>
    <row r="28" spans="1:6" ht="21.75" customHeight="1">
      <c r="A28" s="1020">
        <v>1</v>
      </c>
      <c r="B28" s="1021" t="s">
        <v>2404</v>
      </c>
      <c r="C28" s="1000" t="s">
        <v>29</v>
      </c>
      <c r="D28" s="1000">
        <v>1</v>
      </c>
      <c r="E28" s="1508">
        <v>50</v>
      </c>
      <c r="F28" s="1111">
        <f t="shared" ref="F28:F44" si="1">E28*D28</f>
        <v>50</v>
      </c>
    </row>
    <row r="29" spans="1:6" ht="22.5" customHeight="1">
      <c r="A29" s="1020">
        <v>2</v>
      </c>
      <c r="B29" s="1021" t="s">
        <v>2405</v>
      </c>
      <c r="C29" s="1000" t="s">
        <v>29</v>
      </c>
      <c r="D29" s="1000">
        <v>1</v>
      </c>
      <c r="E29" s="1508">
        <v>50</v>
      </c>
      <c r="F29" s="1111">
        <f t="shared" si="1"/>
        <v>50</v>
      </c>
    </row>
    <row r="30" spans="1:6" ht="23.25" customHeight="1">
      <c r="A30" s="1020">
        <v>3</v>
      </c>
      <c r="B30" s="1021" t="s">
        <v>2413</v>
      </c>
      <c r="C30" s="1000" t="s">
        <v>29</v>
      </c>
      <c r="D30" s="1000">
        <v>1</v>
      </c>
      <c r="E30" s="1508">
        <v>50</v>
      </c>
      <c r="F30" s="1111">
        <f t="shared" si="1"/>
        <v>50</v>
      </c>
    </row>
    <row r="31" spans="1:6" ht="22.5" customHeight="1">
      <c r="A31" s="1020">
        <v>4</v>
      </c>
      <c r="B31" s="1021" t="s">
        <v>2437</v>
      </c>
      <c r="C31" s="1000" t="s">
        <v>29</v>
      </c>
      <c r="D31" s="1000">
        <v>1</v>
      </c>
      <c r="E31" s="1508">
        <v>50</v>
      </c>
      <c r="F31" s="1111">
        <f t="shared" si="1"/>
        <v>50</v>
      </c>
    </row>
    <row r="32" spans="1:6" ht="23.25" customHeight="1">
      <c r="A32" s="1020">
        <v>5</v>
      </c>
      <c r="B32" s="1021" t="s">
        <v>2438</v>
      </c>
      <c r="C32" s="1000" t="s">
        <v>29</v>
      </c>
      <c r="D32" s="1000">
        <v>5</v>
      </c>
      <c r="E32" s="1508">
        <v>50</v>
      </c>
      <c r="F32" s="1111">
        <f t="shared" si="1"/>
        <v>250</v>
      </c>
    </row>
    <row r="33" spans="1:6" ht="22.5" customHeight="1">
      <c r="A33" s="1020">
        <v>6</v>
      </c>
      <c r="B33" s="1021" t="s">
        <v>2439</v>
      </c>
      <c r="C33" s="1000" t="s">
        <v>29</v>
      </c>
      <c r="D33" s="1000">
        <v>2</v>
      </c>
      <c r="E33" s="1508">
        <v>50</v>
      </c>
      <c r="F33" s="1111">
        <f t="shared" si="1"/>
        <v>100</v>
      </c>
    </row>
    <row r="34" spans="1:6" ht="23.25" customHeight="1">
      <c r="A34" s="1020">
        <v>7</v>
      </c>
      <c r="B34" s="1021" t="s">
        <v>2440</v>
      </c>
      <c r="C34" s="1000" t="s">
        <v>29</v>
      </c>
      <c r="D34" s="1000">
        <v>5</v>
      </c>
      <c r="E34" s="1508">
        <v>50</v>
      </c>
      <c r="F34" s="1111">
        <f>E34*D34</f>
        <v>250</v>
      </c>
    </row>
    <row r="35" spans="1:6" ht="21.75" customHeight="1">
      <c r="A35" s="1020">
        <v>8</v>
      </c>
      <c r="B35" s="1021" t="s">
        <v>2441</v>
      </c>
      <c r="C35" s="1000" t="s">
        <v>29</v>
      </c>
      <c r="D35" s="1000">
        <v>5</v>
      </c>
      <c r="E35" s="1508">
        <v>50</v>
      </c>
      <c r="F35" s="1111">
        <f t="shared" si="1"/>
        <v>250</v>
      </c>
    </row>
    <row r="36" spans="1:6" s="1131" customFormat="1" ht="39.75" customHeight="1">
      <c r="A36" s="1020">
        <v>9</v>
      </c>
      <c r="B36" s="1021" t="s">
        <v>2442</v>
      </c>
      <c r="C36" s="1000" t="s">
        <v>29</v>
      </c>
      <c r="D36" s="1000">
        <v>5</v>
      </c>
      <c r="E36" s="1508">
        <v>500</v>
      </c>
      <c r="F36" s="1111">
        <f t="shared" si="1"/>
        <v>2500</v>
      </c>
    </row>
    <row r="37" spans="1:6" ht="21" customHeight="1">
      <c r="A37" s="1020">
        <v>10</v>
      </c>
      <c r="B37" s="1021" t="s">
        <v>2443</v>
      </c>
      <c r="C37" s="1000" t="s">
        <v>29</v>
      </c>
      <c r="D37" s="1000">
        <v>1</v>
      </c>
      <c r="E37" s="1508">
        <v>50</v>
      </c>
      <c r="F37" s="1111">
        <f t="shared" si="1"/>
        <v>50</v>
      </c>
    </row>
    <row r="38" spans="1:6" ht="20.25" customHeight="1">
      <c r="A38" s="1020">
        <v>11</v>
      </c>
      <c r="B38" s="1021" t="s">
        <v>2444</v>
      </c>
      <c r="C38" s="1000" t="s">
        <v>29</v>
      </c>
      <c r="D38" s="1000">
        <v>2</v>
      </c>
      <c r="E38" s="1508">
        <v>50</v>
      </c>
      <c r="F38" s="1111">
        <f t="shared" si="1"/>
        <v>100</v>
      </c>
    </row>
    <row r="39" spans="1:6" ht="21" customHeight="1">
      <c r="A39" s="1020">
        <v>12</v>
      </c>
      <c r="B39" s="1021" t="s">
        <v>2417</v>
      </c>
      <c r="C39" s="1000" t="s">
        <v>29</v>
      </c>
      <c r="D39" s="1000">
        <v>2</v>
      </c>
      <c r="E39" s="1508">
        <v>50</v>
      </c>
      <c r="F39" s="1111">
        <f t="shared" si="1"/>
        <v>100</v>
      </c>
    </row>
    <row r="40" spans="1:6" ht="21" customHeight="1">
      <c r="A40" s="1020">
        <v>13</v>
      </c>
      <c r="B40" s="1021" t="s">
        <v>2445</v>
      </c>
      <c r="C40" s="1000" t="s">
        <v>29</v>
      </c>
      <c r="D40" s="1000">
        <v>1</v>
      </c>
      <c r="E40" s="1508">
        <v>50</v>
      </c>
      <c r="F40" s="1111">
        <f t="shared" si="1"/>
        <v>50</v>
      </c>
    </row>
    <row r="41" spans="1:6" ht="21.75" customHeight="1">
      <c r="A41" s="1020">
        <v>14</v>
      </c>
      <c r="B41" s="1021" t="s">
        <v>2446</v>
      </c>
      <c r="C41" s="1000" t="s">
        <v>29</v>
      </c>
      <c r="D41" s="1000">
        <v>1</v>
      </c>
      <c r="E41" s="1508">
        <v>50</v>
      </c>
      <c r="F41" s="1111">
        <f t="shared" si="1"/>
        <v>50</v>
      </c>
    </row>
    <row r="42" spans="1:6" ht="21" customHeight="1">
      <c r="A42" s="1020">
        <v>15</v>
      </c>
      <c r="B42" s="1021" t="s">
        <v>2364</v>
      </c>
      <c r="C42" s="1000" t="s">
        <v>27</v>
      </c>
      <c r="D42" s="1000">
        <v>1</v>
      </c>
      <c r="E42" s="1508">
        <v>50</v>
      </c>
      <c r="F42" s="1111">
        <f t="shared" si="1"/>
        <v>50</v>
      </c>
    </row>
    <row r="43" spans="1:6" ht="46.8">
      <c r="A43" s="1020">
        <v>16</v>
      </c>
      <c r="B43" s="1021" t="s">
        <v>2365</v>
      </c>
      <c r="C43" s="1000" t="s">
        <v>27</v>
      </c>
      <c r="D43" s="1000">
        <v>1</v>
      </c>
      <c r="E43" s="1508">
        <v>100</v>
      </c>
      <c r="F43" s="1111">
        <f t="shared" si="1"/>
        <v>100</v>
      </c>
    </row>
    <row r="44" spans="1:6" ht="36" customHeight="1">
      <c r="A44" s="1020">
        <v>17</v>
      </c>
      <c r="B44" s="1021" t="s">
        <v>2447</v>
      </c>
      <c r="C44" s="1000" t="s">
        <v>29</v>
      </c>
      <c r="D44" s="1000">
        <v>1</v>
      </c>
      <c r="E44" s="1508">
        <v>200</v>
      </c>
      <c r="F44" s="1111">
        <f t="shared" si="1"/>
        <v>200</v>
      </c>
    </row>
    <row r="45" spans="1:6">
      <c r="A45" s="1116"/>
      <c r="B45" s="1117" t="s">
        <v>2367</v>
      </c>
      <c r="C45" s="1118"/>
      <c r="D45" s="1119"/>
      <c r="E45" s="1120"/>
      <c r="F45" s="1121">
        <f>SUM(F28:F44)</f>
        <v>4250</v>
      </c>
    </row>
    <row r="46" spans="1:6" ht="16.5" customHeight="1">
      <c r="A46" s="1122"/>
      <c r="B46" s="1123"/>
      <c r="C46" s="1124"/>
      <c r="D46" s="1125"/>
      <c r="E46" s="1507">
        <f>'[1]TZ KP '!E45</f>
        <v>0</v>
      </c>
      <c r="F46" s="1125"/>
    </row>
    <row r="47" spans="1:6">
      <c r="A47" s="1132"/>
      <c r="B47" s="1133"/>
      <c r="C47" s="1103"/>
      <c r="D47" s="1104"/>
      <c r="F47" s="1104"/>
    </row>
    <row r="48" spans="1:6" ht="18">
      <c r="A48" s="1643" t="s">
        <v>2448</v>
      </c>
      <c r="B48" s="1643"/>
      <c r="C48" s="1643"/>
      <c r="D48" s="1643"/>
      <c r="E48" s="1643"/>
      <c r="F48" s="1643"/>
    </row>
    <row r="49" spans="1:6">
      <c r="A49" s="1132"/>
      <c r="B49" s="1133"/>
      <c r="C49" s="1103"/>
      <c r="D49" s="1104"/>
      <c r="F49" s="1104"/>
    </row>
    <row r="50" spans="1:6">
      <c r="A50" s="1134" t="s">
        <v>1995</v>
      </c>
      <c r="B50" s="1135" t="s">
        <v>1553</v>
      </c>
      <c r="C50" s="1103"/>
      <c r="D50" s="1136"/>
      <c r="E50" s="1137"/>
      <c r="F50" s="1138">
        <f>F25</f>
        <v>8260</v>
      </c>
    </row>
    <row r="51" spans="1:6" ht="24" customHeight="1">
      <c r="A51" s="1134"/>
      <c r="B51" s="1135"/>
      <c r="C51" s="1103"/>
      <c r="D51" s="1104"/>
      <c r="F51" s="1139"/>
    </row>
    <row r="52" spans="1:6">
      <c r="A52" s="1134" t="s">
        <v>2001</v>
      </c>
      <c r="B52" s="1135" t="s">
        <v>2348</v>
      </c>
      <c r="C52" s="1103"/>
      <c r="D52" s="1136"/>
      <c r="E52" s="1137"/>
      <c r="F52" s="1140">
        <f>F45</f>
        <v>4250</v>
      </c>
    </row>
    <row r="53" spans="1:6">
      <c r="A53" s="1141"/>
      <c r="B53" s="1142"/>
      <c r="C53" s="1143"/>
      <c r="D53" s="1136"/>
      <c r="E53" s="1137"/>
      <c r="F53" s="1144"/>
    </row>
    <row r="54" spans="1:6" ht="18">
      <c r="A54" s="1132"/>
      <c r="B54" s="1644" t="s">
        <v>2449</v>
      </c>
      <c r="C54" s="1640"/>
      <c r="D54" s="1145"/>
      <c r="E54" s="1146"/>
      <c r="F54" s="1147">
        <f>F50+F52</f>
        <v>12510</v>
      </c>
    </row>
    <row r="55" spans="1:6">
      <c r="A55" s="1132"/>
      <c r="B55" s="1135"/>
      <c r="C55" s="1148"/>
      <c r="D55" s="1149"/>
      <c r="E55" s="1150"/>
      <c r="F55" s="1151"/>
    </row>
    <row r="56" spans="1:6">
      <c r="A56" s="1101"/>
      <c r="B56" s="1152"/>
    </row>
    <row r="58" spans="1:6">
      <c r="A58" s="1101"/>
      <c r="B58" s="1152"/>
      <c r="E58" s="1104"/>
      <c r="F58" s="1104"/>
    </row>
    <row r="59" spans="1:6">
      <c r="A59" s="1101"/>
      <c r="B59" s="1152"/>
    </row>
    <row r="61" spans="1:6">
      <c r="A61" s="1101"/>
      <c r="B61" s="1152"/>
    </row>
    <row r="62" spans="1:6">
      <c r="A62" s="1101"/>
      <c r="B62" s="1152"/>
    </row>
    <row r="64" spans="1:6">
      <c r="A64" s="1101"/>
      <c r="B64" s="1152"/>
    </row>
    <row r="65" spans="1:2">
      <c r="A65" s="1101"/>
      <c r="B65" s="1152"/>
    </row>
    <row r="67" spans="1:2">
      <c r="A67" s="1101"/>
      <c r="B67" s="1152"/>
    </row>
    <row r="68" spans="1:2">
      <c r="A68" s="1101"/>
      <c r="B68" s="1152"/>
    </row>
    <row r="69" spans="1:2">
      <c r="A69" s="1101"/>
      <c r="B69" s="1152"/>
    </row>
    <row r="70" spans="1:2">
      <c r="A70" s="1101"/>
      <c r="B70" s="1152"/>
    </row>
    <row r="71" spans="1:2">
      <c r="A71" s="1101"/>
      <c r="B71" s="1152"/>
    </row>
    <row r="72" spans="1:2">
      <c r="A72" s="1101"/>
      <c r="B72" s="1152"/>
    </row>
    <row r="73" spans="1:2">
      <c r="A73" s="1101"/>
      <c r="B73" s="1152"/>
    </row>
    <row r="74" spans="1:2">
      <c r="A74" s="1101"/>
      <c r="B74" s="1152"/>
    </row>
    <row r="75" spans="1:2">
      <c r="A75" s="1101"/>
      <c r="B75" s="1152"/>
    </row>
    <row r="76" spans="1:2">
      <c r="A76" s="1101"/>
      <c r="B76" s="1152"/>
    </row>
    <row r="77" spans="1:2">
      <c r="A77" s="1101"/>
      <c r="B77" s="1152"/>
    </row>
    <row r="78" spans="1:2">
      <c r="A78" s="1101"/>
      <c r="B78" s="1152"/>
    </row>
    <row r="79" spans="1:2">
      <c r="A79" s="1101"/>
      <c r="B79" s="1152"/>
    </row>
    <row r="80" spans="1:2">
      <c r="A80" s="1101"/>
      <c r="B80" s="1152"/>
    </row>
    <row r="81" spans="1:2">
      <c r="A81" s="1101"/>
      <c r="B81" s="1152"/>
    </row>
    <row r="82" spans="1:2">
      <c r="A82" s="1101"/>
      <c r="B82" s="1152"/>
    </row>
    <row r="83" spans="1:2">
      <c r="A83" s="1101"/>
      <c r="B83" s="1152"/>
    </row>
    <row r="84" spans="1:2">
      <c r="A84" s="1101"/>
      <c r="B84" s="1152"/>
    </row>
    <row r="85" spans="1:2">
      <c r="A85" s="1101"/>
      <c r="B85" s="1152"/>
    </row>
    <row r="86" spans="1:2">
      <c r="A86" s="1101"/>
      <c r="B86" s="1152"/>
    </row>
    <row r="87" spans="1:2">
      <c r="A87" s="1101"/>
      <c r="B87" s="1152"/>
    </row>
    <row r="88" spans="1:2">
      <c r="A88" s="1101"/>
      <c r="B88" s="1152"/>
    </row>
    <row r="89" spans="1:2">
      <c r="A89" s="1101"/>
      <c r="B89" s="1152"/>
    </row>
    <row r="90" spans="1:2">
      <c r="A90" s="1101"/>
      <c r="B90" s="1152"/>
    </row>
    <row r="91" spans="1:2">
      <c r="A91" s="1101"/>
      <c r="B91" s="1152"/>
    </row>
    <row r="92" spans="1:2">
      <c r="A92" s="1101"/>
      <c r="B92" s="1152"/>
    </row>
    <row r="93" spans="1:2">
      <c r="A93" s="1101"/>
      <c r="B93" s="1152"/>
    </row>
    <row r="94" spans="1:2">
      <c r="A94" s="1101"/>
      <c r="B94" s="1152"/>
    </row>
    <row r="95" spans="1:2">
      <c r="A95" s="1101"/>
      <c r="B95" s="1152"/>
    </row>
    <row r="96" spans="1:2">
      <c r="A96" s="1101"/>
      <c r="B96" s="1152"/>
    </row>
    <row r="97" spans="1:2">
      <c r="A97" s="1101"/>
      <c r="B97" s="1152"/>
    </row>
    <row r="98" spans="1:2">
      <c r="A98" s="1101"/>
      <c r="B98" s="1152"/>
    </row>
    <row r="99" spans="1:2">
      <c r="B99" s="1155"/>
    </row>
    <row r="100" spans="1:2">
      <c r="B100" s="1156"/>
    </row>
    <row r="101" spans="1:2">
      <c r="B101" s="1156"/>
    </row>
    <row r="102" spans="1:2">
      <c r="B102" s="1157"/>
    </row>
    <row r="103" spans="1:2">
      <c r="B103" s="1156"/>
    </row>
    <row r="104" spans="1:2">
      <c r="B104" s="1156"/>
    </row>
    <row r="105" spans="1:2">
      <c r="B105" s="1155"/>
    </row>
    <row r="106" spans="1:2">
      <c r="B106" s="1156"/>
    </row>
    <row r="107" spans="1:2">
      <c r="B107" s="1156"/>
    </row>
    <row r="108" spans="1:2">
      <c r="B108" s="1155"/>
    </row>
    <row r="109" spans="1:2">
      <c r="B109" s="1156"/>
    </row>
    <row r="110" spans="1:2">
      <c r="B110" s="1156"/>
    </row>
    <row r="111" spans="1:2">
      <c r="B111" s="1155"/>
    </row>
    <row r="112" spans="1:2">
      <c r="B112" s="1155"/>
    </row>
    <row r="113" spans="1:2">
      <c r="B113" s="1155"/>
    </row>
    <row r="114" spans="1:2">
      <c r="B114" s="1155"/>
    </row>
    <row r="115" spans="1:2">
      <c r="B115" s="1155"/>
    </row>
    <row r="116" spans="1:2">
      <c r="A116" s="1101"/>
      <c r="B116" s="1152"/>
    </row>
    <row r="117" spans="1:2">
      <c r="A117" s="1101"/>
      <c r="B117" s="1152"/>
    </row>
    <row r="118" spans="1:2">
      <c r="B118" s="1155"/>
    </row>
    <row r="119" spans="1:2">
      <c r="A119" s="1101"/>
      <c r="B119" s="1152"/>
    </row>
    <row r="120" spans="1:2">
      <c r="A120" s="1101"/>
      <c r="B120" s="1152"/>
    </row>
    <row r="121" spans="1:2">
      <c r="A121" s="1101"/>
      <c r="B121" s="1152"/>
    </row>
    <row r="122" spans="1:2">
      <c r="A122" s="1101"/>
      <c r="B122" s="1152"/>
    </row>
    <row r="123" spans="1:2">
      <c r="A123" s="1101"/>
      <c r="B123" s="1152"/>
    </row>
    <row r="124" spans="1:2">
      <c r="A124" s="1101"/>
      <c r="B124" s="1152"/>
    </row>
    <row r="125" spans="1:2">
      <c r="A125" s="1101"/>
      <c r="B125" s="1152"/>
    </row>
    <row r="126" spans="1:2">
      <c r="A126" s="1101"/>
      <c r="B126" s="1152"/>
    </row>
    <row r="127" spans="1:2">
      <c r="A127" s="1101"/>
      <c r="B127" s="1152"/>
    </row>
    <row r="128" spans="1:2">
      <c r="A128" s="1101"/>
      <c r="B128" s="1152"/>
    </row>
    <row r="129" spans="1:2">
      <c r="A129" s="1101"/>
      <c r="B129" s="1152"/>
    </row>
    <row r="130" spans="1:2">
      <c r="A130" s="1101"/>
      <c r="B130" s="1152"/>
    </row>
    <row r="131" spans="1:2">
      <c r="A131" s="1101"/>
      <c r="B131" s="1152"/>
    </row>
    <row r="132" spans="1:2">
      <c r="A132" s="1101"/>
      <c r="B132" s="1152"/>
    </row>
    <row r="133" spans="1:2">
      <c r="A133" s="1101"/>
      <c r="B133" s="1152"/>
    </row>
    <row r="134" spans="1:2">
      <c r="A134" s="1101"/>
      <c r="B134" s="1152"/>
    </row>
    <row r="135" spans="1:2">
      <c r="A135" s="1101"/>
      <c r="B135" s="1152"/>
    </row>
    <row r="136" spans="1:2">
      <c r="A136" s="1101"/>
      <c r="B136" s="1152"/>
    </row>
    <row r="137" spans="1:2">
      <c r="A137" s="1101"/>
      <c r="B137" s="1152"/>
    </row>
    <row r="138" spans="1:2">
      <c r="A138" s="1101"/>
      <c r="B138" s="1152"/>
    </row>
    <row r="139" spans="1:2">
      <c r="A139" s="1101"/>
      <c r="B139" s="1152"/>
    </row>
    <row r="140" spans="1:2">
      <c r="A140" s="1101"/>
      <c r="B140" s="1152"/>
    </row>
    <row r="141" spans="1:2">
      <c r="A141" s="1101"/>
      <c r="B141" s="1152"/>
    </row>
    <row r="142" spans="1:2">
      <c r="A142" s="1101"/>
      <c r="B142" s="1152"/>
    </row>
    <row r="143" spans="1:2">
      <c r="A143" s="1101"/>
      <c r="B143" s="1152"/>
    </row>
    <row r="144" spans="1:2">
      <c r="A144" s="1101"/>
      <c r="B144" s="1152"/>
    </row>
    <row r="145" spans="1:6">
      <c r="A145" s="1101"/>
      <c r="B145" s="1152"/>
    </row>
    <row r="146" spans="1:6">
      <c r="A146" s="1101"/>
      <c r="B146" s="1152"/>
    </row>
    <row r="147" spans="1:6">
      <c r="A147" s="1101"/>
      <c r="B147" s="1152"/>
    </row>
    <row r="148" spans="1:6">
      <c r="A148" s="1101"/>
      <c r="B148" s="1102"/>
    </row>
    <row r="149" spans="1:6">
      <c r="A149" s="1101"/>
      <c r="B149" s="1102"/>
    </row>
    <row r="150" spans="1:6">
      <c r="A150" s="1158"/>
      <c r="B150" s="1159"/>
    </row>
    <row r="153" spans="1:6">
      <c r="E153" s="1104"/>
      <c r="F153" s="1104"/>
    </row>
    <row r="194" spans="1:6">
      <c r="A194" s="1101"/>
      <c r="B194" s="1102"/>
    </row>
    <row r="203" spans="1:6">
      <c r="E203" s="1104"/>
      <c r="F203" s="1104"/>
    </row>
    <row r="207" spans="1:6">
      <c r="B207" s="1133"/>
      <c r="C207" s="1103"/>
      <c r="D207" s="1104"/>
    </row>
    <row r="208" spans="1:6">
      <c r="B208" s="1133"/>
      <c r="C208" s="1103"/>
      <c r="D208" s="1104"/>
    </row>
    <row r="209" spans="2:4">
      <c r="B209" s="1133"/>
      <c r="C209" s="1103"/>
      <c r="D209" s="1104"/>
    </row>
    <row r="210" spans="2:4">
      <c r="B210" s="1133"/>
      <c r="C210" s="1103"/>
      <c r="D210" s="1104"/>
    </row>
    <row r="211" spans="2:4">
      <c r="B211" s="1133"/>
      <c r="C211" s="1103"/>
      <c r="D211" s="1104"/>
    </row>
  </sheetData>
  <sheetProtection algorithmName="SHA-512" hashValue="UrZ0pjQ0PqqN7R+/6RIZ/f3/SHQeUfAJgYwAOlEh2Z4Q+vuuuUBh3kqYS+GgFj2hHRCdaeWZyxqGgaLbKtlK1g==" saltValue="N6hY/vOXrHEJCIGVy2pXEQ==" spinCount="100000" sheet="1" objects="1" scenarios="1"/>
  <mergeCells count="3">
    <mergeCell ref="A1:F1"/>
    <mergeCell ref="A48:F48"/>
    <mergeCell ref="B54:C54"/>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F181"/>
  <sheetViews>
    <sheetView zoomScale="70" zoomScaleNormal="70" workbookViewId="0">
      <selection activeCell="F18" sqref="F18"/>
    </sheetView>
  </sheetViews>
  <sheetFormatPr defaultRowHeight="15.6"/>
  <cols>
    <col min="1" max="1" width="6.6640625" style="981" customWidth="1"/>
    <col min="2" max="2" width="66.6640625" style="987" customWidth="1"/>
    <col min="3" max="3" width="7.6640625" style="983" customWidth="1"/>
    <col min="4" max="4" width="7.88671875" style="966" customWidth="1"/>
    <col min="5" max="5" width="14.44140625" style="966" customWidth="1"/>
    <col min="6" max="6" width="21.5546875" style="966" customWidth="1"/>
    <col min="7" max="7" width="10.109375" style="955" bestFit="1" customWidth="1"/>
    <col min="8" max="8" width="45.5546875" style="955" customWidth="1"/>
    <col min="9" max="9" width="9.109375" style="955"/>
    <col min="10" max="10" width="7.109375" style="955" customWidth="1"/>
    <col min="11" max="256" width="9.109375" style="955"/>
    <col min="257" max="257" width="6.6640625" style="955" customWidth="1"/>
    <col min="258" max="258" width="66.6640625" style="955" customWidth="1"/>
    <col min="259" max="259" width="7.6640625" style="955" customWidth="1"/>
    <col min="260" max="260" width="7.88671875" style="955" customWidth="1"/>
    <col min="261" max="261" width="14.44140625" style="955" customWidth="1"/>
    <col min="262" max="262" width="21.5546875" style="955" customWidth="1"/>
    <col min="263" max="263" width="10.109375" style="955" bestFit="1" customWidth="1"/>
    <col min="264" max="264" width="45.5546875" style="955" customWidth="1"/>
    <col min="265" max="265" width="9.109375" style="955"/>
    <col min="266" max="266" width="7.109375" style="955" customWidth="1"/>
    <col min="267" max="512" width="9.109375" style="955"/>
    <col min="513" max="513" width="6.6640625" style="955" customWidth="1"/>
    <col min="514" max="514" width="66.6640625" style="955" customWidth="1"/>
    <col min="515" max="515" width="7.6640625" style="955" customWidth="1"/>
    <col min="516" max="516" width="7.88671875" style="955" customWidth="1"/>
    <col min="517" max="517" width="14.44140625" style="955" customWidth="1"/>
    <col min="518" max="518" width="21.5546875" style="955" customWidth="1"/>
    <col min="519" max="519" width="10.109375" style="955" bestFit="1" customWidth="1"/>
    <col min="520" max="520" width="45.5546875" style="955" customWidth="1"/>
    <col min="521" max="521" width="9.109375" style="955"/>
    <col min="522" max="522" width="7.109375" style="955" customWidth="1"/>
    <col min="523" max="768" width="9.109375" style="955"/>
    <col min="769" max="769" width="6.6640625" style="955" customWidth="1"/>
    <col min="770" max="770" width="66.6640625" style="955" customWidth="1"/>
    <col min="771" max="771" width="7.6640625" style="955" customWidth="1"/>
    <col min="772" max="772" width="7.88671875" style="955" customWidth="1"/>
    <col min="773" max="773" width="14.44140625" style="955" customWidth="1"/>
    <col min="774" max="774" width="21.5546875" style="955" customWidth="1"/>
    <col min="775" max="775" width="10.109375" style="955" bestFit="1" customWidth="1"/>
    <col min="776" max="776" width="45.5546875" style="955" customWidth="1"/>
    <col min="777" max="777" width="9.109375" style="955"/>
    <col min="778" max="778" width="7.109375" style="955" customWidth="1"/>
    <col min="779" max="1024" width="9.109375" style="955"/>
    <col min="1025" max="1025" width="6.6640625" style="955" customWidth="1"/>
    <col min="1026" max="1026" width="66.6640625" style="955" customWidth="1"/>
    <col min="1027" max="1027" width="7.6640625" style="955" customWidth="1"/>
    <col min="1028" max="1028" width="7.88671875" style="955" customWidth="1"/>
    <col min="1029" max="1029" width="14.44140625" style="955" customWidth="1"/>
    <col min="1030" max="1030" width="21.5546875" style="955" customWidth="1"/>
    <col min="1031" max="1031" width="10.109375" style="955" bestFit="1" customWidth="1"/>
    <col min="1032" max="1032" width="45.5546875" style="955" customWidth="1"/>
    <col min="1033" max="1033" width="9.109375" style="955"/>
    <col min="1034" max="1034" width="7.109375" style="955" customWidth="1"/>
    <col min="1035" max="1280" width="9.109375" style="955"/>
    <col min="1281" max="1281" width="6.6640625" style="955" customWidth="1"/>
    <col min="1282" max="1282" width="66.6640625" style="955" customWidth="1"/>
    <col min="1283" max="1283" width="7.6640625" style="955" customWidth="1"/>
    <col min="1284" max="1284" width="7.88671875" style="955" customWidth="1"/>
    <col min="1285" max="1285" width="14.44140625" style="955" customWidth="1"/>
    <col min="1286" max="1286" width="21.5546875" style="955" customWidth="1"/>
    <col min="1287" max="1287" width="10.109375" style="955" bestFit="1" customWidth="1"/>
    <col min="1288" max="1288" width="45.5546875" style="955" customWidth="1"/>
    <col min="1289" max="1289" width="9.109375" style="955"/>
    <col min="1290" max="1290" width="7.109375" style="955" customWidth="1"/>
    <col min="1291" max="1536" width="9.109375" style="955"/>
    <col min="1537" max="1537" width="6.6640625" style="955" customWidth="1"/>
    <col min="1538" max="1538" width="66.6640625" style="955" customWidth="1"/>
    <col min="1539" max="1539" width="7.6640625" style="955" customWidth="1"/>
    <col min="1540" max="1540" width="7.88671875" style="955" customWidth="1"/>
    <col min="1541" max="1541" width="14.44140625" style="955" customWidth="1"/>
    <col min="1542" max="1542" width="21.5546875" style="955" customWidth="1"/>
    <col min="1543" max="1543" width="10.109375" style="955" bestFit="1" customWidth="1"/>
    <col min="1544" max="1544" width="45.5546875" style="955" customWidth="1"/>
    <col min="1545" max="1545" width="9.109375" style="955"/>
    <col min="1546" max="1546" width="7.109375" style="955" customWidth="1"/>
    <col min="1547" max="1792" width="9.109375" style="955"/>
    <col min="1793" max="1793" width="6.6640625" style="955" customWidth="1"/>
    <col min="1794" max="1794" width="66.6640625" style="955" customWidth="1"/>
    <col min="1795" max="1795" width="7.6640625" style="955" customWidth="1"/>
    <col min="1796" max="1796" width="7.88671875" style="955" customWidth="1"/>
    <col min="1797" max="1797" width="14.44140625" style="955" customWidth="1"/>
    <col min="1798" max="1798" width="21.5546875" style="955" customWidth="1"/>
    <col min="1799" max="1799" width="10.109375" style="955" bestFit="1" customWidth="1"/>
    <col min="1800" max="1800" width="45.5546875" style="955" customWidth="1"/>
    <col min="1801" max="1801" width="9.109375" style="955"/>
    <col min="1802" max="1802" width="7.109375" style="955" customWidth="1"/>
    <col min="1803" max="2048" width="9.109375" style="955"/>
    <col min="2049" max="2049" width="6.6640625" style="955" customWidth="1"/>
    <col min="2050" max="2050" width="66.6640625" style="955" customWidth="1"/>
    <col min="2051" max="2051" width="7.6640625" style="955" customWidth="1"/>
    <col min="2052" max="2052" width="7.88671875" style="955" customWidth="1"/>
    <col min="2053" max="2053" width="14.44140625" style="955" customWidth="1"/>
    <col min="2054" max="2054" width="21.5546875" style="955" customWidth="1"/>
    <col min="2055" max="2055" width="10.109375" style="955" bestFit="1" customWidth="1"/>
    <col min="2056" max="2056" width="45.5546875" style="955" customWidth="1"/>
    <col min="2057" max="2057" width="9.109375" style="955"/>
    <col min="2058" max="2058" width="7.109375" style="955" customWidth="1"/>
    <col min="2059" max="2304" width="9.109375" style="955"/>
    <col min="2305" max="2305" width="6.6640625" style="955" customWidth="1"/>
    <col min="2306" max="2306" width="66.6640625" style="955" customWidth="1"/>
    <col min="2307" max="2307" width="7.6640625" style="955" customWidth="1"/>
    <col min="2308" max="2308" width="7.88671875" style="955" customWidth="1"/>
    <col min="2309" max="2309" width="14.44140625" style="955" customWidth="1"/>
    <col min="2310" max="2310" width="21.5546875" style="955" customWidth="1"/>
    <col min="2311" max="2311" width="10.109375" style="955" bestFit="1" customWidth="1"/>
    <col min="2312" max="2312" width="45.5546875" style="955" customWidth="1"/>
    <col min="2313" max="2313" width="9.109375" style="955"/>
    <col min="2314" max="2314" width="7.109375" style="955" customWidth="1"/>
    <col min="2315" max="2560" width="9.109375" style="955"/>
    <col min="2561" max="2561" width="6.6640625" style="955" customWidth="1"/>
    <col min="2562" max="2562" width="66.6640625" style="955" customWidth="1"/>
    <col min="2563" max="2563" width="7.6640625" style="955" customWidth="1"/>
    <col min="2564" max="2564" width="7.88671875" style="955" customWidth="1"/>
    <col min="2565" max="2565" width="14.44140625" style="955" customWidth="1"/>
    <col min="2566" max="2566" width="21.5546875" style="955" customWidth="1"/>
    <col min="2567" max="2567" width="10.109375" style="955" bestFit="1" customWidth="1"/>
    <col min="2568" max="2568" width="45.5546875" style="955" customWidth="1"/>
    <col min="2569" max="2569" width="9.109375" style="955"/>
    <col min="2570" max="2570" width="7.109375" style="955" customWidth="1"/>
    <col min="2571" max="2816" width="9.109375" style="955"/>
    <col min="2817" max="2817" width="6.6640625" style="955" customWidth="1"/>
    <col min="2818" max="2818" width="66.6640625" style="955" customWidth="1"/>
    <col min="2819" max="2819" width="7.6640625" style="955" customWidth="1"/>
    <col min="2820" max="2820" width="7.88671875" style="955" customWidth="1"/>
    <col min="2821" max="2821" width="14.44140625" style="955" customWidth="1"/>
    <col min="2822" max="2822" width="21.5546875" style="955" customWidth="1"/>
    <col min="2823" max="2823" width="10.109375" style="955" bestFit="1" customWidth="1"/>
    <col min="2824" max="2824" width="45.5546875" style="955" customWidth="1"/>
    <col min="2825" max="2825" width="9.109375" style="955"/>
    <col min="2826" max="2826" width="7.109375" style="955" customWidth="1"/>
    <col min="2827" max="3072" width="9.109375" style="955"/>
    <col min="3073" max="3073" width="6.6640625" style="955" customWidth="1"/>
    <col min="3074" max="3074" width="66.6640625" style="955" customWidth="1"/>
    <col min="3075" max="3075" width="7.6640625" style="955" customWidth="1"/>
    <col min="3076" max="3076" width="7.88671875" style="955" customWidth="1"/>
    <col min="3077" max="3077" width="14.44140625" style="955" customWidth="1"/>
    <col min="3078" max="3078" width="21.5546875" style="955" customWidth="1"/>
    <col min="3079" max="3079" width="10.109375" style="955" bestFit="1" customWidth="1"/>
    <col min="3080" max="3080" width="45.5546875" style="955" customWidth="1"/>
    <col min="3081" max="3081" width="9.109375" style="955"/>
    <col min="3082" max="3082" width="7.109375" style="955" customWidth="1"/>
    <col min="3083" max="3328" width="9.109375" style="955"/>
    <col min="3329" max="3329" width="6.6640625" style="955" customWidth="1"/>
    <col min="3330" max="3330" width="66.6640625" style="955" customWidth="1"/>
    <col min="3331" max="3331" width="7.6640625" style="955" customWidth="1"/>
    <col min="3332" max="3332" width="7.88671875" style="955" customWidth="1"/>
    <col min="3333" max="3333" width="14.44140625" style="955" customWidth="1"/>
    <col min="3334" max="3334" width="21.5546875" style="955" customWidth="1"/>
    <col min="3335" max="3335" width="10.109375" style="955" bestFit="1" customWidth="1"/>
    <col min="3336" max="3336" width="45.5546875" style="955" customWidth="1"/>
    <col min="3337" max="3337" width="9.109375" style="955"/>
    <col min="3338" max="3338" width="7.109375" style="955" customWidth="1"/>
    <col min="3339" max="3584" width="9.109375" style="955"/>
    <col min="3585" max="3585" width="6.6640625" style="955" customWidth="1"/>
    <col min="3586" max="3586" width="66.6640625" style="955" customWidth="1"/>
    <col min="3587" max="3587" width="7.6640625" style="955" customWidth="1"/>
    <col min="3588" max="3588" width="7.88671875" style="955" customWidth="1"/>
    <col min="3589" max="3589" width="14.44140625" style="955" customWidth="1"/>
    <col min="3590" max="3590" width="21.5546875" style="955" customWidth="1"/>
    <col min="3591" max="3591" width="10.109375" style="955" bestFit="1" customWidth="1"/>
    <col min="3592" max="3592" width="45.5546875" style="955" customWidth="1"/>
    <col min="3593" max="3593" width="9.109375" style="955"/>
    <col min="3594" max="3594" width="7.109375" style="955" customWidth="1"/>
    <col min="3595" max="3840" width="9.109375" style="955"/>
    <col min="3841" max="3841" width="6.6640625" style="955" customWidth="1"/>
    <col min="3842" max="3842" width="66.6640625" style="955" customWidth="1"/>
    <col min="3843" max="3843" width="7.6640625" style="955" customWidth="1"/>
    <col min="3844" max="3844" width="7.88671875" style="955" customWidth="1"/>
    <col min="3845" max="3845" width="14.44140625" style="955" customWidth="1"/>
    <col min="3846" max="3846" width="21.5546875" style="955" customWidth="1"/>
    <col min="3847" max="3847" width="10.109375" style="955" bestFit="1" customWidth="1"/>
    <col min="3848" max="3848" width="45.5546875" style="955" customWidth="1"/>
    <col min="3849" max="3849" width="9.109375" style="955"/>
    <col min="3850" max="3850" width="7.109375" style="955" customWidth="1"/>
    <col min="3851" max="4096" width="9.109375" style="955"/>
    <col min="4097" max="4097" width="6.6640625" style="955" customWidth="1"/>
    <col min="4098" max="4098" width="66.6640625" style="955" customWidth="1"/>
    <col min="4099" max="4099" width="7.6640625" style="955" customWidth="1"/>
    <col min="4100" max="4100" width="7.88671875" style="955" customWidth="1"/>
    <col min="4101" max="4101" width="14.44140625" style="955" customWidth="1"/>
    <col min="4102" max="4102" width="21.5546875" style="955" customWidth="1"/>
    <col min="4103" max="4103" width="10.109375" style="955" bestFit="1" customWidth="1"/>
    <col min="4104" max="4104" width="45.5546875" style="955" customWidth="1"/>
    <col min="4105" max="4105" width="9.109375" style="955"/>
    <col min="4106" max="4106" width="7.109375" style="955" customWidth="1"/>
    <col min="4107" max="4352" width="9.109375" style="955"/>
    <col min="4353" max="4353" width="6.6640625" style="955" customWidth="1"/>
    <col min="4354" max="4354" width="66.6640625" style="955" customWidth="1"/>
    <col min="4355" max="4355" width="7.6640625" style="955" customWidth="1"/>
    <col min="4356" max="4356" width="7.88671875" style="955" customWidth="1"/>
    <col min="4357" max="4357" width="14.44140625" style="955" customWidth="1"/>
    <col min="4358" max="4358" width="21.5546875" style="955" customWidth="1"/>
    <col min="4359" max="4359" width="10.109375" style="955" bestFit="1" customWidth="1"/>
    <col min="4360" max="4360" width="45.5546875" style="955" customWidth="1"/>
    <col min="4361" max="4361" width="9.109375" style="955"/>
    <col min="4362" max="4362" width="7.109375" style="955" customWidth="1"/>
    <col min="4363" max="4608" width="9.109375" style="955"/>
    <col min="4609" max="4609" width="6.6640625" style="955" customWidth="1"/>
    <col min="4610" max="4610" width="66.6640625" style="955" customWidth="1"/>
    <col min="4611" max="4611" width="7.6640625" style="955" customWidth="1"/>
    <col min="4612" max="4612" width="7.88671875" style="955" customWidth="1"/>
    <col min="4613" max="4613" width="14.44140625" style="955" customWidth="1"/>
    <col min="4614" max="4614" width="21.5546875" style="955" customWidth="1"/>
    <col min="4615" max="4615" width="10.109375" style="955" bestFit="1" customWidth="1"/>
    <col min="4616" max="4616" width="45.5546875" style="955" customWidth="1"/>
    <col min="4617" max="4617" width="9.109375" style="955"/>
    <col min="4618" max="4618" width="7.109375" style="955" customWidth="1"/>
    <col min="4619" max="4864" width="9.109375" style="955"/>
    <col min="4865" max="4865" width="6.6640625" style="955" customWidth="1"/>
    <col min="4866" max="4866" width="66.6640625" style="955" customWidth="1"/>
    <col min="4867" max="4867" width="7.6640625" style="955" customWidth="1"/>
    <col min="4868" max="4868" width="7.88671875" style="955" customWidth="1"/>
    <col min="4869" max="4869" width="14.44140625" style="955" customWidth="1"/>
    <col min="4870" max="4870" width="21.5546875" style="955" customWidth="1"/>
    <col min="4871" max="4871" width="10.109375" style="955" bestFit="1" customWidth="1"/>
    <col min="4872" max="4872" width="45.5546875" style="955" customWidth="1"/>
    <col min="4873" max="4873" width="9.109375" style="955"/>
    <col min="4874" max="4874" width="7.109375" style="955" customWidth="1"/>
    <col min="4875" max="5120" width="9.109375" style="955"/>
    <col min="5121" max="5121" width="6.6640625" style="955" customWidth="1"/>
    <col min="5122" max="5122" width="66.6640625" style="955" customWidth="1"/>
    <col min="5123" max="5123" width="7.6640625" style="955" customWidth="1"/>
    <col min="5124" max="5124" width="7.88671875" style="955" customWidth="1"/>
    <col min="5125" max="5125" width="14.44140625" style="955" customWidth="1"/>
    <col min="5126" max="5126" width="21.5546875" style="955" customWidth="1"/>
    <col min="5127" max="5127" width="10.109375" style="955" bestFit="1" customWidth="1"/>
    <col min="5128" max="5128" width="45.5546875" style="955" customWidth="1"/>
    <col min="5129" max="5129" width="9.109375" style="955"/>
    <col min="5130" max="5130" width="7.109375" style="955" customWidth="1"/>
    <col min="5131" max="5376" width="9.109375" style="955"/>
    <col min="5377" max="5377" width="6.6640625" style="955" customWidth="1"/>
    <col min="5378" max="5378" width="66.6640625" style="955" customWidth="1"/>
    <col min="5379" max="5379" width="7.6640625" style="955" customWidth="1"/>
    <col min="5380" max="5380" width="7.88671875" style="955" customWidth="1"/>
    <col min="5381" max="5381" width="14.44140625" style="955" customWidth="1"/>
    <col min="5382" max="5382" width="21.5546875" style="955" customWidth="1"/>
    <col min="5383" max="5383" width="10.109375" style="955" bestFit="1" customWidth="1"/>
    <col min="5384" max="5384" width="45.5546875" style="955" customWidth="1"/>
    <col min="5385" max="5385" width="9.109375" style="955"/>
    <col min="5386" max="5386" width="7.109375" style="955" customWidth="1"/>
    <col min="5387" max="5632" width="9.109375" style="955"/>
    <col min="5633" max="5633" width="6.6640625" style="955" customWidth="1"/>
    <col min="5634" max="5634" width="66.6640625" style="955" customWidth="1"/>
    <col min="5635" max="5635" width="7.6640625" style="955" customWidth="1"/>
    <col min="5636" max="5636" width="7.88671875" style="955" customWidth="1"/>
    <col min="5637" max="5637" width="14.44140625" style="955" customWidth="1"/>
    <col min="5638" max="5638" width="21.5546875" style="955" customWidth="1"/>
    <col min="5639" max="5639" width="10.109375" style="955" bestFit="1" customWidth="1"/>
    <col min="5640" max="5640" width="45.5546875" style="955" customWidth="1"/>
    <col min="5641" max="5641" width="9.109375" style="955"/>
    <col min="5642" max="5642" width="7.109375" style="955" customWidth="1"/>
    <col min="5643" max="5888" width="9.109375" style="955"/>
    <col min="5889" max="5889" width="6.6640625" style="955" customWidth="1"/>
    <col min="5890" max="5890" width="66.6640625" style="955" customWidth="1"/>
    <col min="5891" max="5891" width="7.6640625" style="955" customWidth="1"/>
    <col min="5892" max="5892" width="7.88671875" style="955" customWidth="1"/>
    <col min="5893" max="5893" width="14.44140625" style="955" customWidth="1"/>
    <col min="5894" max="5894" width="21.5546875" style="955" customWidth="1"/>
    <col min="5895" max="5895" width="10.109375" style="955" bestFit="1" customWidth="1"/>
    <col min="5896" max="5896" width="45.5546875" style="955" customWidth="1"/>
    <col min="5897" max="5897" width="9.109375" style="955"/>
    <col min="5898" max="5898" width="7.109375" style="955" customWidth="1"/>
    <col min="5899" max="6144" width="9.109375" style="955"/>
    <col min="6145" max="6145" width="6.6640625" style="955" customWidth="1"/>
    <col min="6146" max="6146" width="66.6640625" style="955" customWidth="1"/>
    <col min="6147" max="6147" width="7.6640625" style="955" customWidth="1"/>
    <col min="6148" max="6148" width="7.88671875" style="955" customWidth="1"/>
    <col min="6149" max="6149" width="14.44140625" style="955" customWidth="1"/>
    <col min="6150" max="6150" width="21.5546875" style="955" customWidth="1"/>
    <col min="6151" max="6151" width="10.109375" style="955" bestFit="1" customWidth="1"/>
    <col min="6152" max="6152" width="45.5546875" style="955" customWidth="1"/>
    <col min="6153" max="6153" width="9.109375" style="955"/>
    <col min="6154" max="6154" width="7.109375" style="955" customWidth="1"/>
    <col min="6155" max="6400" width="9.109375" style="955"/>
    <col min="6401" max="6401" width="6.6640625" style="955" customWidth="1"/>
    <col min="6402" max="6402" width="66.6640625" style="955" customWidth="1"/>
    <col min="6403" max="6403" width="7.6640625" style="955" customWidth="1"/>
    <col min="6404" max="6404" width="7.88671875" style="955" customWidth="1"/>
    <col min="6405" max="6405" width="14.44140625" style="955" customWidth="1"/>
    <col min="6406" max="6406" width="21.5546875" style="955" customWidth="1"/>
    <col min="6407" max="6407" width="10.109375" style="955" bestFit="1" customWidth="1"/>
    <col min="6408" max="6408" width="45.5546875" style="955" customWidth="1"/>
    <col min="6409" max="6409" width="9.109375" style="955"/>
    <col min="6410" max="6410" width="7.109375" style="955" customWidth="1"/>
    <col min="6411" max="6656" width="9.109375" style="955"/>
    <col min="6657" max="6657" width="6.6640625" style="955" customWidth="1"/>
    <col min="6658" max="6658" width="66.6640625" style="955" customWidth="1"/>
    <col min="6659" max="6659" width="7.6640625" style="955" customWidth="1"/>
    <col min="6660" max="6660" width="7.88671875" style="955" customWidth="1"/>
    <col min="6661" max="6661" width="14.44140625" style="955" customWidth="1"/>
    <col min="6662" max="6662" width="21.5546875" style="955" customWidth="1"/>
    <col min="6663" max="6663" width="10.109375" style="955" bestFit="1" customWidth="1"/>
    <col min="6664" max="6664" width="45.5546875" style="955" customWidth="1"/>
    <col min="6665" max="6665" width="9.109375" style="955"/>
    <col min="6666" max="6666" width="7.109375" style="955" customWidth="1"/>
    <col min="6667" max="6912" width="9.109375" style="955"/>
    <col min="6913" max="6913" width="6.6640625" style="955" customWidth="1"/>
    <col min="6914" max="6914" width="66.6640625" style="955" customWidth="1"/>
    <col min="6915" max="6915" width="7.6640625" style="955" customWidth="1"/>
    <col min="6916" max="6916" width="7.88671875" style="955" customWidth="1"/>
    <col min="6917" max="6917" width="14.44140625" style="955" customWidth="1"/>
    <col min="6918" max="6918" width="21.5546875" style="955" customWidth="1"/>
    <col min="6919" max="6919" width="10.109375" style="955" bestFit="1" customWidth="1"/>
    <col min="6920" max="6920" width="45.5546875" style="955" customWidth="1"/>
    <col min="6921" max="6921" width="9.109375" style="955"/>
    <col min="6922" max="6922" width="7.109375" style="955" customWidth="1"/>
    <col min="6923" max="7168" width="9.109375" style="955"/>
    <col min="7169" max="7169" width="6.6640625" style="955" customWidth="1"/>
    <col min="7170" max="7170" width="66.6640625" style="955" customWidth="1"/>
    <col min="7171" max="7171" width="7.6640625" style="955" customWidth="1"/>
    <col min="7172" max="7172" width="7.88671875" style="955" customWidth="1"/>
    <col min="7173" max="7173" width="14.44140625" style="955" customWidth="1"/>
    <col min="7174" max="7174" width="21.5546875" style="955" customWidth="1"/>
    <col min="7175" max="7175" width="10.109375" style="955" bestFit="1" customWidth="1"/>
    <col min="7176" max="7176" width="45.5546875" style="955" customWidth="1"/>
    <col min="7177" max="7177" width="9.109375" style="955"/>
    <col min="7178" max="7178" width="7.109375" style="955" customWidth="1"/>
    <col min="7179" max="7424" width="9.109375" style="955"/>
    <col min="7425" max="7425" width="6.6640625" style="955" customWidth="1"/>
    <col min="7426" max="7426" width="66.6640625" style="955" customWidth="1"/>
    <col min="7427" max="7427" width="7.6640625" style="955" customWidth="1"/>
    <col min="7428" max="7428" width="7.88671875" style="955" customWidth="1"/>
    <col min="7429" max="7429" width="14.44140625" style="955" customWidth="1"/>
    <col min="7430" max="7430" width="21.5546875" style="955" customWidth="1"/>
    <col min="7431" max="7431" width="10.109375" style="955" bestFit="1" customWidth="1"/>
    <col min="7432" max="7432" width="45.5546875" style="955" customWidth="1"/>
    <col min="7433" max="7433" width="9.109375" style="955"/>
    <col min="7434" max="7434" width="7.109375" style="955" customWidth="1"/>
    <col min="7435" max="7680" width="9.109375" style="955"/>
    <col min="7681" max="7681" width="6.6640625" style="955" customWidth="1"/>
    <col min="7682" max="7682" width="66.6640625" style="955" customWidth="1"/>
    <col min="7683" max="7683" width="7.6640625" style="955" customWidth="1"/>
    <col min="7684" max="7684" width="7.88671875" style="955" customWidth="1"/>
    <col min="7685" max="7685" width="14.44140625" style="955" customWidth="1"/>
    <col min="7686" max="7686" width="21.5546875" style="955" customWidth="1"/>
    <col min="7687" max="7687" width="10.109375" style="955" bestFit="1" customWidth="1"/>
    <col min="7688" max="7688" width="45.5546875" style="955" customWidth="1"/>
    <col min="7689" max="7689" width="9.109375" style="955"/>
    <col min="7690" max="7690" width="7.109375" style="955" customWidth="1"/>
    <col min="7691" max="7936" width="9.109375" style="955"/>
    <col min="7937" max="7937" width="6.6640625" style="955" customWidth="1"/>
    <col min="7938" max="7938" width="66.6640625" style="955" customWidth="1"/>
    <col min="7939" max="7939" width="7.6640625" style="955" customWidth="1"/>
    <col min="7940" max="7940" width="7.88671875" style="955" customWidth="1"/>
    <col min="7941" max="7941" width="14.44140625" style="955" customWidth="1"/>
    <col min="7942" max="7942" width="21.5546875" style="955" customWidth="1"/>
    <col min="7943" max="7943" width="10.109375" style="955" bestFit="1" customWidth="1"/>
    <col min="7944" max="7944" width="45.5546875" style="955" customWidth="1"/>
    <col min="7945" max="7945" width="9.109375" style="955"/>
    <col min="7946" max="7946" width="7.109375" style="955" customWidth="1"/>
    <col min="7947" max="8192" width="9.109375" style="955"/>
    <col min="8193" max="8193" width="6.6640625" style="955" customWidth="1"/>
    <col min="8194" max="8194" width="66.6640625" style="955" customWidth="1"/>
    <col min="8195" max="8195" width="7.6640625" style="955" customWidth="1"/>
    <col min="8196" max="8196" width="7.88671875" style="955" customWidth="1"/>
    <col min="8197" max="8197" width="14.44140625" style="955" customWidth="1"/>
    <col min="8198" max="8198" width="21.5546875" style="955" customWidth="1"/>
    <col min="8199" max="8199" width="10.109375" style="955" bestFit="1" customWidth="1"/>
    <col min="8200" max="8200" width="45.5546875" style="955" customWidth="1"/>
    <col min="8201" max="8201" width="9.109375" style="955"/>
    <col min="8202" max="8202" width="7.109375" style="955" customWidth="1"/>
    <col min="8203" max="8448" width="9.109375" style="955"/>
    <col min="8449" max="8449" width="6.6640625" style="955" customWidth="1"/>
    <col min="8450" max="8450" width="66.6640625" style="955" customWidth="1"/>
    <col min="8451" max="8451" width="7.6640625" style="955" customWidth="1"/>
    <col min="8452" max="8452" width="7.88671875" style="955" customWidth="1"/>
    <col min="8453" max="8453" width="14.44140625" style="955" customWidth="1"/>
    <col min="8454" max="8454" width="21.5546875" style="955" customWidth="1"/>
    <col min="8455" max="8455" width="10.109375" style="955" bestFit="1" customWidth="1"/>
    <col min="8456" max="8456" width="45.5546875" style="955" customWidth="1"/>
    <col min="8457" max="8457" width="9.109375" style="955"/>
    <col min="8458" max="8458" width="7.109375" style="955" customWidth="1"/>
    <col min="8459" max="8704" width="9.109375" style="955"/>
    <col min="8705" max="8705" width="6.6640625" style="955" customWidth="1"/>
    <col min="8706" max="8706" width="66.6640625" style="955" customWidth="1"/>
    <col min="8707" max="8707" width="7.6640625" style="955" customWidth="1"/>
    <col min="8708" max="8708" width="7.88671875" style="955" customWidth="1"/>
    <col min="8709" max="8709" width="14.44140625" style="955" customWidth="1"/>
    <col min="8710" max="8710" width="21.5546875" style="955" customWidth="1"/>
    <col min="8711" max="8711" width="10.109375" style="955" bestFit="1" customWidth="1"/>
    <col min="8712" max="8712" width="45.5546875" style="955" customWidth="1"/>
    <col min="8713" max="8713" width="9.109375" style="955"/>
    <col min="8714" max="8714" width="7.109375" style="955" customWidth="1"/>
    <col min="8715" max="8960" width="9.109375" style="955"/>
    <col min="8961" max="8961" width="6.6640625" style="955" customWidth="1"/>
    <col min="8962" max="8962" width="66.6640625" style="955" customWidth="1"/>
    <col min="8963" max="8963" width="7.6640625" style="955" customWidth="1"/>
    <col min="8964" max="8964" width="7.88671875" style="955" customWidth="1"/>
    <col min="8965" max="8965" width="14.44140625" style="955" customWidth="1"/>
    <col min="8966" max="8966" width="21.5546875" style="955" customWidth="1"/>
    <col min="8967" max="8967" width="10.109375" style="955" bestFit="1" customWidth="1"/>
    <col min="8968" max="8968" width="45.5546875" style="955" customWidth="1"/>
    <col min="8969" max="8969" width="9.109375" style="955"/>
    <col min="8970" max="8970" width="7.109375" style="955" customWidth="1"/>
    <col min="8971" max="9216" width="9.109375" style="955"/>
    <col min="9217" max="9217" width="6.6640625" style="955" customWidth="1"/>
    <col min="9218" max="9218" width="66.6640625" style="955" customWidth="1"/>
    <col min="9219" max="9219" width="7.6640625" style="955" customWidth="1"/>
    <col min="9220" max="9220" width="7.88671875" style="955" customWidth="1"/>
    <col min="9221" max="9221" width="14.44140625" style="955" customWidth="1"/>
    <col min="9222" max="9222" width="21.5546875" style="955" customWidth="1"/>
    <col min="9223" max="9223" width="10.109375" style="955" bestFit="1" customWidth="1"/>
    <col min="9224" max="9224" width="45.5546875" style="955" customWidth="1"/>
    <col min="9225" max="9225" width="9.109375" style="955"/>
    <col min="9226" max="9226" width="7.109375" style="955" customWidth="1"/>
    <col min="9227" max="9472" width="9.109375" style="955"/>
    <col min="9473" max="9473" width="6.6640625" style="955" customWidth="1"/>
    <col min="9474" max="9474" width="66.6640625" style="955" customWidth="1"/>
    <col min="9475" max="9475" width="7.6640625" style="955" customWidth="1"/>
    <col min="9476" max="9476" width="7.88671875" style="955" customWidth="1"/>
    <col min="9477" max="9477" width="14.44140625" style="955" customWidth="1"/>
    <col min="9478" max="9478" width="21.5546875" style="955" customWidth="1"/>
    <col min="9479" max="9479" width="10.109375" style="955" bestFit="1" customWidth="1"/>
    <col min="9480" max="9480" width="45.5546875" style="955" customWidth="1"/>
    <col min="9481" max="9481" width="9.109375" style="955"/>
    <col min="9482" max="9482" width="7.109375" style="955" customWidth="1"/>
    <col min="9483" max="9728" width="9.109375" style="955"/>
    <col min="9729" max="9729" width="6.6640625" style="955" customWidth="1"/>
    <col min="9730" max="9730" width="66.6640625" style="955" customWidth="1"/>
    <col min="9731" max="9731" width="7.6640625" style="955" customWidth="1"/>
    <col min="9732" max="9732" width="7.88671875" style="955" customWidth="1"/>
    <col min="9733" max="9733" width="14.44140625" style="955" customWidth="1"/>
    <col min="9734" max="9734" width="21.5546875" style="955" customWidth="1"/>
    <col min="9735" max="9735" width="10.109375" style="955" bestFit="1" customWidth="1"/>
    <col min="9736" max="9736" width="45.5546875" style="955" customWidth="1"/>
    <col min="9737" max="9737" width="9.109375" style="955"/>
    <col min="9738" max="9738" width="7.109375" style="955" customWidth="1"/>
    <col min="9739" max="9984" width="9.109375" style="955"/>
    <col min="9985" max="9985" width="6.6640625" style="955" customWidth="1"/>
    <col min="9986" max="9986" width="66.6640625" style="955" customWidth="1"/>
    <col min="9987" max="9987" width="7.6640625" style="955" customWidth="1"/>
    <col min="9988" max="9988" width="7.88671875" style="955" customWidth="1"/>
    <col min="9989" max="9989" width="14.44140625" style="955" customWidth="1"/>
    <col min="9990" max="9990" width="21.5546875" style="955" customWidth="1"/>
    <col min="9991" max="9991" width="10.109375" style="955" bestFit="1" customWidth="1"/>
    <col min="9992" max="9992" width="45.5546875" style="955" customWidth="1"/>
    <col min="9993" max="9993" width="9.109375" style="955"/>
    <col min="9994" max="9994" width="7.109375" style="955" customWidth="1"/>
    <col min="9995" max="10240" width="9.109375" style="955"/>
    <col min="10241" max="10241" width="6.6640625" style="955" customWidth="1"/>
    <col min="10242" max="10242" width="66.6640625" style="955" customWidth="1"/>
    <col min="10243" max="10243" width="7.6640625" style="955" customWidth="1"/>
    <col min="10244" max="10244" width="7.88671875" style="955" customWidth="1"/>
    <col min="10245" max="10245" width="14.44140625" style="955" customWidth="1"/>
    <col min="10246" max="10246" width="21.5546875" style="955" customWidth="1"/>
    <col min="10247" max="10247" width="10.109375" style="955" bestFit="1" customWidth="1"/>
    <col min="10248" max="10248" width="45.5546875" style="955" customWidth="1"/>
    <col min="10249" max="10249" width="9.109375" style="955"/>
    <col min="10250" max="10250" width="7.109375" style="955" customWidth="1"/>
    <col min="10251" max="10496" width="9.109375" style="955"/>
    <col min="10497" max="10497" width="6.6640625" style="955" customWidth="1"/>
    <col min="10498" max="10498" width="66.6640625" style="955" customWidth="1"/>
    <col min="10499" max="10499" width="7.6640625" style="955" customWidth="1"/>
    <col min="10500" max="10500" width="7.88671875" style="955" customWidth="1"/>
    <col min="10501" max="10501" width="14.44140625" style="955" customWidth="1"/>
    <col min="10502" max="10502" width="21.5546875" style="955" customWidth="1"/>
    <col min="10503" max="10503" width="10.109375" style="955" bestFit="1" customWidth="1"/>
    <col min="10504" max="10504" width="45.5546875" style="955" customWidth="1"/>
    <col min="10505" max="10505" width="9.109375" style="955"/>
    <col min="10506" max="10506" width="7.109375" style="955" customWidth="1"/>
    <col min="10507" max="10752" width="9.109375" style="955"/>
    <col min="10753" max="10753" width="6.6640625" style="955" customWidth="1"/>
    <col min="10754" max="10754" width="66.6640625" style="955" customWidth="1"/>
    <col min="10755" max="10755" width="7.6640625" style="955" customWidth="1"/>
    <col min="10756" max="10756" width="7.88671875" style="955" customWidth="1"/>
    <col min="10757" max="10757" width="14.44140625" style="955" customWidth="1"/>
    <col min="10758" max="10758" width="21.5546875" style="955" customWidth="1"/>
    <col min="10759" max="10759" width="10.109375" style="955" bestFit="1" customWidth="1"/>
    <col min="10760" max="10760" width="45.5546875" style="955" customWidth="1"/>
    <col min="10761" max="10761" width="9.109375" style="955"/>
    <col min="10762" max="10762" width="7.109375" style="955" customWidth="1"/>
    <col min="10763" max="11008" width="9.109375" style="955"/>
    <col min="11009" max="11009" width="6.6640625" style="955" customWidth="1"/>
    <col min="11010" max="11010" width="66.6640625" style="955" customWidth="1"/>
    <col min="11011" max="11011" width="7.6640625" style="955" customWidth="1"/>
    <col min="11012" max="11012" width="7.88671875" style="955" customWidth="1"/>
    <col min="11013" max="11013" width="14.44140625" style="955" customWidth="1"/>
    <col min="11014" max="11014" width="21.5546875" style="955" customWidth="1"/>
    <col min="11015" max="11015" width="10.109375" style="955" bestFit="1" customWidth="1"/>
    <col min="11016" max="11016" width="45.5546875" style="955" customWidth="1"/>
    <col min="11017" max="11017" width="9.109375" style="955"/>
    <col min="11018" max="11018" width="7.109375" style="955" customWidth="1"/>
    <col min="11019" max="11264" width="9.109375" style="955"/>
    <col min="11265" max="11265" width="6.6640625" style="955" customWidth="1"/>
    <col min="11266" max="11266" width="66.6640625" style="955" customWidth="1"/>
    <col min="11267" max="11267" width="7.6640625" style="955" customWidth="1"/>
    <col min="11268" max="11268" width="7.88671875" style="955" customWidth="1"/>
    <col min="11269" max="11269" width="14.44140625" style="955" customWidth="1"/>
    <col min="11270" max="11270" width="21.5546875" style="955" customWidth="1"/>
    <col min="11271" max="11271" width="10.109375" style="955" bestFit="1" customWidth="1"/>
    <col min="11272" max="11272" width="45.5546875" style="955" customWidth="1"/>
    <col min="11273" max="11273" width="9.109375" style="955"/>
    <col min="11274" max="11274" width="7.109375" style="955" customWidth="1"/>
    <col min="11275" max="11520" width="9.109375" style="955"/>
    <col min="11521" max="11521" width="6.6640625" style="955" customWidth="1"/>
    <col min="11522" max="11522" width="66.6640625" style="955" customWidth="1"/>
    <col min="11523" max="11523" width="7.6640625" style="955" customWidth="1"/>
    <col min="11524" max="11524" width="7.88671875" style="955" customWidth="1"/>
    <col min="11525" max="11525" width="14.44140625" style="955" customWidth="1"/>
    <col min="11526" max="11526" width="21.5546875" style="955" customWidth="1"/>
    <col min="11527" max="11527" width="10.109375" style="955" bestFit="1" customWidth="1"/>
    <col min="11528" max="11528" width="45.5546875" style="955" customWidth="1"/>
    <col min="11529" max="11529" width="9.109375" style="955"/>
    <col min="11530" max="11530" width="7.109375" style="955" customWidth="1"/>
    <col min="11531" max="11776" width="9.109375" style="955"/>
    <col min="11777" max="11777" width="6.6640625" style="955" customWidth="1"/>
    <col min="11778" max="11778" width="66.6640625" style="955" customWidth="1"/>
    <col min="11779" max="11779" width="7.6640625" style="955" customWidth="1"/>
    <col min="11780" max="11780" width="7.88671875" style="955" customWidth="1"/>
    <col min="11781" max="11781" width="14.44140625" style="955" customWidth="1"/>
    <col min="11782" max="11782" width="21.5546875" style="955" customWidth="1"/>
    <col min="11783" max="11783" width="10.109375" style="955" bestFit="1" customWidth="1"/>
    <col min="11784" max="11784" width="45.5546875" style="955" customWidth="1"/>
    <col min="11785" max="11785" width="9.109375" style="955"/>
    <col min="11786" max="11786" width="7.109375" style="955" customWidth="1"/>
    <col min="11787" max="12032" width="9.109375" style="955"/>
    <col min="12033" max="12033" width="6.6640625" style="955" customWidth="1"/>
    <col min="12034" max="12034" width="66.6640625" style="955" customWidth="1"/>
    <col min="12035" max="12035" width="7.6640625" style="955" customWidth="1"/>
    <col min="12036" max="12036" width="7.88671875" style="955" customWidth="1"/>
    <col min="12037" max="12037" width="14.44140625" style="955" customWidth="1"/>
    <col min="12038" max="12038" width="21.5546875" style="955" customWidth="1"/>
    <col min="12039" max="12039" width="10.109375" style="955" bestFit="1" customWidth="1"/>
    <col min="12040" max="12040" width="45.5546875" style="955" customWidth="1"/>
    <col min="12041" max="12041" width="9.109375" style="955"/>
    <col min="12042" max="12042" width="7.109375" style="955" customWidth="1"/>
    <col min="12043" max="12288" width="9.109375" style="955"/>
    <col min="12289" max="12289" width="6.6640625" style="955" customWidth="1"/>
    <col min="12290" max="12290" width="66.6640625" style="955" customWidth="1"/>
    <col min="12291" max="12291" width="7.6640625" style="955" customWidth="1"/>
    <col min="12292" max="12292" width="7.88671875" style="955" customWidth="1"/>
    <col min="12293" max="12293" width="14.44140625" style="955" customWidth="1"/>
    <col min="12294" max="12294" width="21.5546875" style="955" customWidth="1"/>
    <col min="12295" max="12295" width="10.109375" style="955" bestFit="1" customWidth="1"/>
    <col min="12296" max="12296" width="45.5546875" style="955" customWidth="1"/>
    <col min="12297" max="12297" width="9.109375" style="955"/>
    <col min="12298" max="12298" width="7.109375" style="955" customWidth="1"/>
    <col min="12299" max="12544" width="9.109375" style="955"/>
    <col min="12545" max="12545" width="6.6640625" style="955" customWidth="1"/>
    <col min="12546" max="12546" width="66.6640625" style="955" customWidth="1"/>
    <col min="12547" max="12547" width="7.6640625" style="955" customWidth="1"/>
    <col min="12548" max="12548" width="7.88671875" style="955" customWidth="1"/>
    <col min="12549" max="12549" width="14.44140625" style="955" customWidth="1"/>
    <col min="12550" max="12550" width="21.5546875" style="955" customWidth="1"/>
    <col min="12551" max="12551" width="10.109375" style="955" bestFit="1" customWidth="1"/>
    <col min="12552" max="12552" width="45.5546875" style="955" customWidth="1"/>
    <col min="12553" max="12553" width="9.109375" style="955"/>
    <col min="12554" max="12554" width="7.109375" style="955" customWidth="1"/>
    <col min="12555" max="12800" width="9.109375" style="955"/>
    <col min="12801" max="12801" width="6.6640625" style="955" customWidth="1"/>
    <col min="12802" max="12802" width="66.6640625" style="955" customWidth="1"/>
    <col min="12803" max="12803" width="7.6640625" style="955" customWidth="1"/>
    <col min="12804" max="12804" width="7.88671875" style="955" customWidth="1"/>
    <col min="12805" max="12805" width="14.44140625" style="955" customWidth="1"/>
    <col min="12806" max="12806" width="21.5546875" style="955" customWidth="1"/>
    <col min="12807" max="12807" width="10.109375" style="955" bestFit="1" customWidth="1"/>
    <col min="12808" max="12808" width="45.5546875" style="955" customWidth="1"/>
    <col min="12809" max="12809" width="9.109375" style="955"/>
    <col min="12810" max="12810" width="7.109375" style="955" customWidth="1"/>
    <col min="12811" max="13056" width="9.109375" style="955"/>
    <col min="13057" max="13057" width="6.6640625" style="955" customWidth="1"/>
    <col min="13058" max="13058" width="66.6640625" style="955" customWidth="1"/>
    <col min="13059" max="13059" width="7.6640625" style="955" customWidth="1"/>
    <col min="13060" max="13060" width="7.88671875" style="955" customWidth="1"/>
    <col min="13061" max="13061" width="14.44140625" style="955" customWidth="1"/>
    <col min="13062" max="13062" width="21.5546875" style="955" customWidth="1"/>
    <col min="13063" max="13063" width="10.109375" style="955" bestFit="1" customWidth="1"/>
    <col min="13064" max="13064" width="45.5546875" style="955" customWidth="1"/>
    <col min="13065" max="13065" width="9.109375" style="955"/>
    <col min="13066" max="13066" width="7.109375" style="955" customWidth="1"/>
    <col min="13067" max="13312" width="9.109375" style="955"/>
    <col min="13313" max="13313" width="6.6640625" style="955" customWidth="1"/>
    <col min="13314" max="13314" width="66.6640625" style="955" customWidth="1"/>
    <col min="13315" max="13315" width="7.6640625" style="955" customWidth="1"/>
    <col min="13316" max="13316" width="7.88671875" style="955" customWidth="1"/>
    <col min="13317" max="13317" width="14.44140625" style="955" customWidth="1"/>
    <col min="13318" max="13318" width="21.5546875" style="955" customWidth="1"/>
    <col min="13319" max="13319" width="10.109375" style="955" bestFit="1" customWidth="1"/>
    <col min="13320" max="13320" width="45.5546875" style="955" customWidth="1"/>
    <col min="13321" max="13321" width="9.109375" style="955"/>
    <col min="13322" max="13322" width="7.109375" style="955" customWidth="1"/>
    <col min="13323" max="13568" width="9.109375" style="955"/>
    <col min="13569" max="13569" width="6.6640625" style="955" customWidth="1"/>
    <col min="13570" max="13570" width="66.6640625" style="955" customWidth="1"/>
    <col min="13571" max="13571" width="7.6640625" style="955" customWidth="1"/>
    <col min="13572" max="13572" width="7.88671875" style="955" customWidth="1"/>
    <col min="13573" max="13573" width="14.44140625" style="955" customWidth="1"/>
    <col min="13574" max="13574" width="21.5546875" style="955" customWidth="1"/>
    <col min="13575" max="13575" width="10.109375" style="955" bestFit="1" customWidth="1"/>
    <col min="13576" max="13576" width="45.5546875" style="955" customWidth="1"/>
    <col min="13577" max="13577" width="9.109375" style="955"/>
    <col min="13578" max="13578" width="7.109375" style="955" customWidth="1"/>
    <col min="13579" max="13824" width="9.109375" style="955"/>
    <col min="13825" max="13825" width="6.6640625" style="955" customWidth="1"/>
    <col min="13826" max="13826" width="66.6640625" style="955" customWidth="1"/>
    <col min="13827" max="13827" width="7.6640625" style="955" customWidth="1"/>
    <col min="13828" max="13828" width="7.88671875" style="955" customWidth="1"/>
    <col min="13829" max="13829" width="14.44140625" style="955" customWidth="1"/>
    <col min="13830" max="13830" width="21.5546875" style="955" customWidth="1"/>
    <col min="13831" max="13831" width="10.109375" style="955" bestFit="1" customWidth="1"/>
    <col min="13832" max="13832" width="45.5546875" style="955" customWidth="1"/>
    <col min="13833" max="13833" width="9.109375" style="955"/>
    <col min="13834" max="13834" width="7.109375" style="955" customWidth="1"/>
    <col min="13835" max="14080" width="9.109375" style="955"/>
    <col min="14081" max="14081" width="6.6640625" style="955" customWidth="1"/>
    <col min="14082" max="14082" width="66.6640625" style="955" customWidth="1"/>
    <col min="14083" max="14083" width="7.6640625" style="955" customWidth="1"/>
    <col min="14084" max="14084" width="7.88671875" style="955" customWidth="1"/>
    <col min="14085" max="14085" width="14.44140625" style="955" customWidth="1"/>
    <col min="14086" max="14086" width="21.5546875" style="955" customWidth="1"/>
    <col min="14087" max="14087" width="10.109375" style="955" bestFit="1" customWidth="1"/>
    <col min="14088" max="14088" width="45.5546875" style="955" customWidth="1"/>
    <col min="14089" max="14089" width="9.109375" style="955"/>
    <col min="14090" max="14090" width="7.109375" style="955" customWidth="1"/>
    <col min="14091" max="14336" width="9.109375" style="955"/>
    <col min="14337" max="14337" width="6.6640625" style="955" customWidth="1"/>
    <col min="14338" max="14338" width="66.6640625" style="955" customWidth="1"/>
    <col min="14339" max="14339" width="7.6640625" style="955" customWidth="1"/>
    <col min="14340" max="14340" width="7.88671875" style="955" customWidth="1"/>
    <col min="14341" max="14341" width="14.44140625" style="955" customWidth="1"/>
    <col min="14342" max="14342" width="21.5546875" style="955" customWidth="1"/>
    <col min="14343" max="14343" width="10.109375" style="955" bestFit="1" customWidth="1"/>
    <col min="14344" max="14344" width="45.5546875" style="955" customWidth="1"/>
    <col min="14345" max="14345" width="9.109375" style="955"/>
    <col min="14346" max="14346" width="7.109375" style="955" customWidth="1"/>
    <col min="14347" max="14592" width="9.109375" style="955"/>
    <col min="14593" max="14593" width="6.6640625" style="955" customWidth="1"/>
    <col min="14594" max="14594" width="66.6640625" style="955" customWidth="1"/>
    <col min="14595" max="14595" width="7.6640625" style="955" customWidth="1"/>
    <col min="14596" max="14596" width="7.88671875" style="955" customWidth="1"/>
    <col min="14597" max="14597" width="14.44140625" style="955" customWidth="1"/>
    <col min="14598" max="14598" width="21.5546875" style="955" customWidth="1"/>
    <col min="14599" max="14599" width="10.109375" style="955" bestFit="1" customWidth="1"/>
    <col min="14600" max="14600" width="45.5546875" style="955" customWidth="1"/>
    <col min="14601" max="14601" width="9.109375" style="955"/>
    <col min="14602" max="14602" width="7.109375" style="955" customWidth="1"/>
    <col min="14603" max="14848" width="9.109375" style="955"/>
    <col min="14849" max="14849" width="6.6640625" style="955" customWidth="1"/>
    <col min="14850" max="14850" width="66.6640625" style="955" customWidth="1"/>
    <col min="14851" max="14851" width="7.6640625" style="955" customWidth="1"/>
    <col min="14852" max="14852" width="7.88671875" style="955" customWidth="1"/>
    <col min="14853" max="14853" width="14.44140625" style="955" customWidth="1"/>
    <col min="14854" max="14854" width="21.5546875" style="955" customWidth="1"/>
    <col min="14855" max="14855" width="10.109375" style="955" bestFit="1" customWidth="1"/>
    <col min="14856" max="14856" width="45.5546875" style="955" customWidth="1"/>
    <col min="14857" max="14857" width="9.109375" style="955"/>
    <col min="14858" max="14858" width="7.109375" style="955" customWidth="1"/>
    <col min="14859" max="15104" width="9.109375" style="955"/>
    <col min="15105" max="15105" width="6.6640625" style="955" customWidth="1"/>
    <col min="15106" max="15106" width="66.6640625" style="955" customWidth="1"/>
    <col min="15107" max="15107" width="7.6640625" style="955" customWidth="1"/>
    <col min="15108" max="15108" width="7.88671875" style="955" customWidth="1"/>
    <col min="15109" max="15109" width="14.44140625" style="955" customWidth="1"/>
    <col min="15110" max="15110" width="21.5546875" style="955" customWidth="1"/>
    <col min="15111" max="15111" width="10.109375" style="955" bestFit="1" customWidth="1"/>
    <col min="15112" max="15112" width="45.5546875" style="955" customWidth="1"/>
    <col min="15113" max="15113" width="9.109375" style="955"/>
    <col min="15114" max="15114" width="7.109375" style="955" customWidth="1"/>
    <col min="15115" max="15360" width="9.109375" style="955"/>
    <col min="15361" max="15361" width="6.6640625" style="955" customWidth="1"/>
    <col min="15362" max="15362" width="66.6640625" style="955" customWidth="1"/>
    <col min="15363" max="15363" width="7.6640625" style="955" customWidth="1"/>
    <col min="15364" max="15364" width="7.88671875" style="955" customWidth="1"/>
    <col min="15365" max="15365" width="14.44140625" style="955" customWidth="1"/>
    <col min="15366" max="15366" width="21.5546875" style="955" customWidth="1"/>
    <col min="15367" max="15367" width="10.109375" style="955" bestFit="1" customWidth="1"/>
    <col min="15368" max="15368" width="45.5546875" style="955" customWidth="1"/>
    <col min="15369" max="15369" width="9.109375" style="955"/>
    <col min="15370" max="15370" width="7.109375" style="955" customWidth="1"/>
    <col min="15371" max="15616" width="9.109375" style="955"/>
    <col min="15617" max="15617" width="6.6640625" style="955" customWidth="1"/>
    <col min="15618" max="15618" width="66.6640625" style="955" customWidth="1"/>
    <col min="15619" max="15619" width="7.6640625" style="955" customWidth="1"/>
    <col min="15620" max="15620" width="7.88671875" style="955" customWidth="1"/>
    <col min="15621" max="15621" width="14.44140625" style="955" customWidth="1"/>
    <col min="15622" max="15622" width="21.5546875" style="955" customWidth="1"/>
    <col min="15623" max="15623" width="10.109375" style="955" bestFit="1" customWidth="1"/>
    <col min="15624" max="15624" width="45.5546875" style="955" customWidth="1"/>
    <col min="15625" max="15625" width="9.109375" style="955"/>
    <col min="15626" max="15626" width="7.109375" style="955" customWidth="1"/>
    <col min="15627" max="15872" width="9.109375" style="955"/>
    <col min="15873" max="15873" width="6.6640625" style="955" customWidth="1"/>
    <col min="15874" max="15874" width="66.6640625" style="955" customWidth="1"/>
    <col min="15875" max="15875" width="7.6640625" style="955" customWidth="1"/>
    <col min="15876" max="15876" width="7.88671875" style="955" customWidth="1"/>
    <col min="15877" max="15877" width="14.44140625" style="955" customWidth="1"/>
    <col min="15878" max="15878" width="21.5546875" style="955" customWidth="1"/>
    <col min="15879" max="15879" width="10.109375" style="955" bestFit="1" customWidth="1"/>
    <col min="15880" max="15880" width="45.5546875" style="955" customWidth="1"/>
    <col min="15881" max="15881" width="9.109375" style="955"/>
    <col min="15882" max="15882" width="7.109375" style="955" customWidth="1"/>
    <col min="15883" max="16128" width="9.109375" style="955"/>
    <col min="16129" max="16129" width="6.6640625" style="955" customWidth="1"/>
    <col min="16130" max="16130" width="66.6640625" style="955" customWidth="1"/>
    <col min="16131" max="16131" width="7.6640625" style="955" customWidth="1"/>
    <col min="16132" max="16132" width="7.88671875" style="955" customWidth="1"/>
    <col min="16133" max="16133" width="14.44140625" style="955" customWidth="1"/>
    <col min="16134" max="16134" width="21.5546875" style="955" customWidth="1"/>
    <col min="16135" max="16135" width="10.109375" style="955" bestFit="1" customWidth="1"/>
    <col min="16136" max="16136" width="45.5546875" style="955" customWidth="1"/>
    <col min="16137" max="16137" width="9.109375" style="955"/>
    <col min="16138" max="16138" width="7.109375" style="955" customWidth="1"/>
    <col min="16139" max="16384" width="9.109375" style="955"/>
  </cols>
  <sheetData>
    <row r="2" spans="1:6" ht="35.25" customHeight="1">
      <c r="A2" s="1637"/>
      <c r="B2" s="1637"/>
      <c r="C2" s="1637"/>
      <c r="D2" s="1637"/>
      <c r="E2" s="1637"/>
      <c r="F2" s="1637"/>
    </row>
    <row r="3" spans="1:6" s="961" customFormat="1" ht="18">
      <c r="A3" s="956"/>
      <c r="B3" s="957" t="s">
        <v>2313</v>
      </c>
      <c r="C3" s="958"/>
      <c r="D3" s="959"/>
      <c r="E3" s="960"/>
      <c r="F3" s="959"/>
    </row>
    <row r="4" spans="1:6">
      <c r="A4" s="962"/>
      <c r="B4" s="963"/>
      <c r="C4" s="964"/>
      <c r="D4" s="965"/>
      <c r="F4" s="965"/>
    </row>
    <row r="5" spans="1:6" ht="18">
      <c r="A5" s="1638" t="s">
        <v>2314</v>
      </c>
      <c r="B5" s="1638"/>
      <c r="C5" s="1638"/>
      <c r="D5" s="1638"/>
      <c r="E5" s="1638"/>
      <c r="F5" s="1638"/>
    </row>
    <row r="6" spans="1:6">
      <c r="A6" s="962"/>
      <c r="B6" s="963"/>
      <c r="C6" s="964"/>
      <c r="D6" s="965"/>
      <c r="F6" s="965"/>
    </row>
    <row r="7" spans="1:6">
      <c r="A7" s="967" t="s">
        <v>1514</v>
      </c>
      <c r="B7" s="968" t="s">
        <v>2315</v>
      </c>
      <c r="C7" s="964"/>
      <c r="D7" s="969"/>
      <c r="E7" s="970"/>
      <c r="F7" s="971">
        <f>'TZ PP '!F63</f>
        <v>16972</v>
      </c>
    </row>
    <row r="8" spans="1:6">
      <c r="A8" s="967"/>
      <c r="B8" s="968"/>
      <c r="C8" s="964"/>
      <c r="D8" s="965"/>
      <c r="F8" s="972"/>
    </row>
    <row r="9" spans="1:6">
      <c r="A9" s="967" t="s">
        <v>1529</v>
      </c>
      <c r="B9" s="968" t="s">
        <v>2316</v>
      </c>
      <c r="C9" s="964"/>
      <c r="D9" s="969"/>
      <c r="E9" s="970"/>
      <c r="F9" s="971">
        <f>'TZ VN'!F79</f>
        <v>31928</v>
      </c>
    </row>
    <row r="10" spans="1:6">
      <c r="A10" s="967"/>
      <c r="B10" s="968"/>
      <c r="C10" s="964"/>
      <c r="D10" s="965"/>
      <c r="F10" s="973"/>
    </row>
    <row r="11" spans="1:6">
      <c r="A11" s="967" t="s">
        <v>1545</v>
      </c>
      <c r="B11" s="968" t="s">
        <v>2317</v>
      </c>
      <c r="C11" s="964"/>
      <c r="D11" s="969"/>
      <c r="E11" s="970"/>
      <c r="F11" s="971">
        <f>'TZ KP '!F54</f>
        <v>12510</v>
      </c>
    </row>
    <row r="12" spans="1:6">
      <c r="A12" s="967"/>
      <c r="B12" s="968"/>
      <c r="C12" s="964"/>
      <c r="D12" s="965"/>
      <c r="F12" s="973"/>
    </row>
    <row r="13" spans="1:6">
      <c r="A13" s="967"/>
      <c r="B13" s="968"/>
      <c r="C13" s="964"/>
      <c r="D13" s="965"/>
      <c r="F13" s="973"/>
    </row>
    <row r="14" spans="1:6">
      <c r="A14" s="967"/>
      <c r="B14" s="968"/>
      <c r="C14" s="964"/>
      <c r="D14" s="965"/>
      <c r="F14" s="973"/>
    </row>
    <row r="15" spans="1:6">
      <c r="A15" s="967"/>
      <c r="B15" s="968"/>
      <c r="C15" s="964"/>
      <c r="D15" s="965"/>
      <c r="F15" s="973"/>
    </row>
    <row r="16" spans="1:6">
      <c r="A16" s="967"/>
      <c r="B16" s="968"/>
      <c r="C16" s="964"/>
      <c r="D16" s="965"/>
      <c r="F16" s="973"/>
    </row>
    <row r="17" spans="1:6">
      <c r="A17" s="967"/>
      <c r="B17" s="968"/>
      <c r="C17" s="964"/>
      <c r="D17" s="965"/>
      <c r="F17" s="972"/>
    </row>
    <row r="18" spans="1:6" ht="36.6" customHeight="1">
      <c r="A18" s="962"/>
      <c r="B18" s="1639" t="s">
        <v>2318</v>
      </c>
      <c r="C18" s="1639"/>
      <c r="D18" s="974"/>
      <c r="E18" s="975"/>
      <c r="F18" s="976">
        <f>SUM(F7:F17)</f>
        <v>61410</v>
      </c>
    </row>
    <row r="19" spans="1:6">
      <c r="A19" s="962"/>
      <c r="B19" s="968"/>
      <c r="C19" s="977"/>
      <c r="D19" s="978"/>
      <c r="E19" s="979"/>
      <c r="F19" s="980"/>
    </row>
    <row r="20" spans="1:6" ht="22.2" customHeight="1">
      <c r="A20" s="962"/>
      <c r="B20" s="963"/>
      <c r="C20" s="964"/>
      <c r="D20" s="965"/>
      <c r="F20" s="972"/>
    </row>
    <row r="21" spans="1:6">
      <c r="B21" s="982"/>
    </row>
    <row r="22" spans="1:6">
      <c r="B22" s="984"/>
    </row>
    <row r="23" spans="1:6">
      <c r="A23" s="985"/>
      <c r="B23" s="986"/>
    </row>
    <row r="24" spans="1:6">
      <c r="A24" s="985"/>
      <c r="B24" s="986"/>
    </row>
    <row r="25" spans="1:6">
      <c r="A25" s="985"/>
      <c r="B25" s="986"/>
    </row>
    <row r="26" spans="1:6">
      <c r="A26" s="985"/>
      <c r="B26" s="986"/>
    </row>
    <row r="28" spans="1:6">
      <c r="A28" s="985"/>
      <c r="B28" s="986"/>
      <c r="E28" s="965"/>
      <c r="F28" s="965"/>
    </row>
    <row r="29" spans="1:6">
      <c r="A29" s="985"/>
      <c r="B29" s="986"/>
    </row>
    <row r="31" spans="1:6">
      <c r="A31" s="985"/>
      <c r="B31" s="986"/>
    </row>
    <row r="32" spans="1:6">
      <c r="A32" s="985"/>
      <c r="B32" s="986"/>
    </row>
    <row r="34" spans="1:2">
      <c r="A34" s="985"/>
      <c r="B34" s="986"/>
    </row>
    <row r="35" spans="1:2">
      <c r="A35" s="985"/>
      <c r="B35" s="986"/>
    </row>
    <row r="37" spans="1:2">
      <c r="A37" s="985"/>
      <c r="B37" s="986"/>
    </row>
    <row r="38" spans="1:2">
      <c r="A38" s="985"/>
      <c r="B38" s="986"/>
    </row>
    <row r="39" spans="1:2">
      <c r="A39" s="985"/>
      <c r="B39" s="986"/>
    </row>
    <row r="40" spans="1:2">
      <c r="A40" s="985"/>
      <c r="B40" s="986"/>
    </row>
    <row r="41" spans="1:2">
      <c r="A41" s="985"/>
      <c r="B41" s="986"/>
    </row>
    <row r="42" spans="1:2">
      <c r="A42" s="985"/>
      <c r="B42" s="986"/>
    </row>
    <row r="43" spans="1:2">
      <c r="A43" s="985"/>
      <c r="B43" s="986"/>
    </row>
    <row r="44" spans="1:2">
      <c r="A44" s="985"/>
      <c r="B44" s="986"/>
    </row>
    <row r="45" spans="1:2">
      <c r="A45" s="985"/>
      <c r="B45" s="986"/>
    </row>
    <row r="46" spans="1:2">
      <c r="A46" s="985"/>
      <c r="B46" s="986"/>
    </row>
    <row r="47" spans="1:2">
      <c r="A47" s="985"/>
      <c r="B47" s="986"/>
    </row>
    <row r="48" spans="1:2">
      <c r="A48" s="985"/>
      <c r="B48" s="986"/>
    </row>
    <row r="49" spans="1:2">
      <c r="A49" s="985"/>
      <c r="B49" s="986"/>
    </row>
    <row r="50" spans="1:2">
      <c r="A50" s="985"/>
      <c r="B50" s="986"/>
    </row>
    <row r="51" spans="1:2">
      <c r="A51" s="985"/>
      <c r="B51" s="986"/>
    </row>
    <row r="52" spans="1:2">
      <c r="A52" s="985"/>
      <c r="B52" s="986"/>
    </row>
    <row r="53" spans="1:2">
      <c r="A53" s="985"/>
      <c r="B53" s="986"/>
    </row>
    <row r="54" spans="1:2">
      <c r="A54" s="985"/>
      <c r="B54" s="986"/>
    </row>
    <row r="55" spans="1:2">
      <c r="A55" s="985"/>
      <c r="B55" s="986"/>
    </row>
    <row r="56" spans="1:2">
      <c r="A56" s="985"/>
      <c r="B56" s="986"/>
    </row>
    <row r="57" spans="1:2">
      <c r="A57" s="985"/>
      <c r="B57" s="986"/>
    </row>
    <row r="58" spans="1:2">
      <c r="A58" s="985"/>
      <c r="B58" s="986"/>
    </row>
    <row r="59" spans="1:2">
      <c r="A59" s="985"/>
      <c r="B59" s="986"/>
    </row>
    <row r="60" spans="1:2">
      <c r="A60" s="985"/>
      <c r="B60" s="986"/>
    </row>
    <row r="61" spans="1:2">
      <c r="A61" s="985"/>
      <c r="B61" s="986"/>
    </row>
    <row r="62" spans="1:2">
      <c r="A62" s="985"/>
      <c r="B62" s="986"/>
    </row>
    <row r="63" spans="1:2">
      <c r="A63" s="985"/>
      <c r="B63" s="986"/>
    </row>
    <row r="64" spans="1:2">
      <c r="A64" s="985"/>
      <c r="B64" s="986"/>
    </row>
    <row r="65" spans="1:2">
      <c r="A65" s="985"/>
      <c r="B65" s="986"/>
    </row>
    <row r="66" spans="1:2">
      <c r="A66" s="985"/>
      <c r="B66" s="986"/>
    </row>
    <row r="67" spans="1:2">
      <c r="A67" s="985"/>
      <c r="B67" s="986"/>
    </row>
    <row r="68" spans="1:2">
      <c r="A68" s="985"/>
      <c r="B68" s="986"/>
    </row>
    <row r="69" spans="1:2">
      <c r="B69" s="988"/>
    </row>
    <row r="70" spans="1:2">
      <c r="B70" s="989"/>
    </row>
    <row r="71" spans="1:2">
      <c r="B71" s="989"/>
    </row>
    <row r="72" spans="1:2">
      <c r="B72" s="990"/>
    </row>
    <row r="73" spans="1:2">
      <c r="B73" s="989"/>
    </row>
    <row r="74" spans="1:2">
      <c r="B74" s="989"/>
    </row>
    <row r="75" spans="1:2">
      <c r="B75" s="988"/>
    </row>
    <row r="76" spans="1:2">
      <c r="B76" s="989"/>
    </row>
    <row r="77" spans="1:2">
      <c r="B77" s="989"/>
    </row>
    <row r="78" spans="1:2">
      <c r="B78" s="988"/>
    </row>
    <row r="79" spans="1:2">
      <c r="B79" s="989"/>
    </row>
    <row r="80" spans="1:2">
      <c r="B80" s="989"/>
    </row>
    <row r="81" spans="1:2">
      <c r="B81" s="988"/>
    </row>
    <row r="82" spans="1:2">
      <c r="B82" s="988"/>
    </row>
    <row r="83" spans="1:2">
      <c r="B83" s="988"/>
    </row>
    <row r="84" spans="1:2">
      <c r="B84" s="988"/>
    </row>
    <row r="85" spans="1:2">
      <c r="B85" s="988"/>
    </row>
    <row r="86" spans="1:2">
      <c r="A86" s="985"/>
      <c r="B86" s="986"/>
    </row>
    <row r="87" spans="1:2">
      <c r="A87" s="985"/>
      <c r="B87" s="986"/>
    </row>
    <row r="88" spans="1:2">
      <c r="B88" s="988"/>
    </row>
    <row r="89" spans="1:2">
      <c r="A89" s="985"/>
      <c r="B89" s="986"/>
    </row>
    <row r="90" spans="1:2">
      <c r="A90" s="985"/>
      <c r="B90" s="986"/>
    </row>
    <row r="91" spans="1:2">
      <c r="A91" s="985"/>
      <c r="B91" s="986"/>
    </row>
    <row r="92" spans="1:2">
      <c r="A92" s="985"/>
      <c r="B92" s="986"/>
    </row>
    <row r="93" spans="1:2">
      <c r="A93" s="985"/>
      <c r="B93" s="986"/>
    </row>
    <row r="94" spans="1:2">
      <c r="A94" s="985"/>
      <c r="B94" s="986"/>
    </row>
    <row r="95" spans="1:2">
      <c r="A95" s="985"/>
      <c r="B95" s="986"/>
    </row>
    <row r="96" spans="1:2">
      <c r="A96" s="985"/>
      <c r="B96" s="986"/>
    </row>
    <row r="97" spans="1:2">
      <c r="A97" s="985"/>
      <c r="B97" s="986"/>
    </row>
    <row r="98" spans="1:2">
      <c r="A98" s="985"/>
      <c r="B98" s="986"/>
    </row>
    <row r="99" spans="1:2">
      <c r="A99" s="985"/>
      <c r="B99" s="986"/>
    </row>
    <row r="100" spans="1:2">
      <c r="A100" s="985"/>
      <c r="B100" s="986"/>
    </row>
    <row r="101" spans="1:2">
      <c r="A101" s="985"/>
      <c r="B101" s="986"/>
    </row>
    <row r="102" spans="1:2">
      <c r="A102" s="985"/>
      <c r="B102" s="986"/>
    </row>
    <row r="103" spans="1:2">
      <c r="A103" s="985"/>
      <c r="B103" s="986"/>
    </row>
    <row r="104" spans="1:2">
      <c r="A104" s="985"/>
      <c r="B104" s="986"/>
    </row>
    <row r="105" spans="1:2">
      <c r="A105" s="985"/>
      <c r="B105" s="986"/>
    </row>
    <row r="106" spans="1:2">
      <c r="A106" s="985"/>
      <c r="B106" s="986"/>
    </row>
    <row r="107" spans="1:2">
      <c r="A107" s="985"/>
      <c r="B107" s="986"/>
    </row>
    <row r="108" spans="1:2">
      <c r="A108" s="985"/>
      <c r="B108" s="986"/>
    </row>
    <row r="109" spans="1:2">
      <c r="A109" s="985"/>
      <c r="B109" s="986"/>
    </row>
    <row r="110" spans="1:2">
      <c r="A110" s="985"/>
      <c r="B110" s="986"/>
    </row>
    <row r="111" spans="1:2">
      <c r="A111" s="985"/>
      <c r="B111" s="986"/>
    </row>
    <row r="112" spans="1:2">
      <c r="A112" s="985"/>
      <c r="B112" s="986"/>
    </row>
    <row r="113" spans="1:6">
      <c r="A113" s="985"/>
      <c r="B113" s="986"/>
    </row>
    <row r="114" spans="1:6">
      <c r="A114" s="985"/>
      <c r="B114" s="986"/>
    </row>
    <row r="115" spans="1:6">
      <c r="A115" s="985"/>
      <c r="B115" s="986"/>
    </row>
    <row r="116" spans="1:6">
      <c r="A116" s="985"/>
      <c r="B116" s="986"/>
    </row>
    <row r="117" spans="1:6">
      <c r="A117" s="985"/>
      <c r="B117" s="986"/>
    </row>
    <row r="118" spans="1:6">
      <c r="A118" s="985"/>
      <c r="B118" s="991"/>
    </row>
    <row r="119" spans="1:6">
      <c r="A119" s="985"/>
      <c r="B119" s="991"/>
    </row>
    <row r="120" spans="1:6">
      <c r="A120" s="992"/>
      <c r="B120" s="993"/>
    </row>
    <row r="123" spans="1:6">
      <c r="E123" s="965"/>
      <c r="F123" s="965"/>
    </row>
    <row r="164" spans="1:6">
      <c r="A164" s="985"/>
      <c r="B164" s="991"/>
    </row>
    <row r="173" spans="1:6">
      <c r="E173" s="965"/>
      <c r="F173" s="965"/>
    </row>
    <row r="177" spans="2:4">
      <c r="B177" s="963"/>
      <c r="C177" s="964"/>
      <c r="D177" s="965"/>
    </row>
    <row r="178" spans="2:4">
      <c r="B178" s="963"/>
      <c r="C178" s="964"/>
      <c r="D178" s="965"/>
    </row>
    <row r="179" spans="2:4">
      <c r="B179" s="963"/>
      <c r="C179" s="964"/>
      <c r="D179" s="965"/>
    </row>
    <row r="180" spans="2:4">
      <c r="B180" s="963"/>
      <c r="C180" s="964"/>
      <c r="D180" s="965"/>
    </row>
    <row r="181" spans="2:4">
      <c r="B181" s="963"/>
      <c r="C181" s="964"/>
      <c r="D181" s="965"/>
    </row>
  </sheetData>
  <sheetProtection algorithmName="SHA-512" hashValue="zynSPSKH3rr5/8JY8qc1mLFNYggu47lMKuu/eiYWXVVnaKlDnpll1tzgArJThSWFpP9k1wwzRdxRyQeep4tIDA==" saltValue="M0rp45Oxsd2zuTlhYE5w+A==" spinCount="100000" sheet="1" objects="1" scenarios="1"/>
  <mergeCells count="3">
    <mergeCell ref="A2:F2"/>
    <mergeCell ref="A5:F5"/>
    <mergeCell ref="B18:C18"/>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6" tint="0.39997558519241921"/>
  </sheetPr>
  <dimension ref="A1:G155"/>
  <sheetViews>
    <sheetView topLeftCell="A129" zoomScale="85" zoomScaleNormal="85" zoomScaleSheetLayoutView="118" zoomScalePageLayoutView="70" workbookViewId="0">
      <selection activeCell="D143" sqref="D143"/>
    </sheetView>
  </sheetViews>
  <sheetFormatPr defaultColWidth="8.6640625" defaultRowHeight="13.2"/>
  <cols>
    <col min="1" max="1" width="6.6640625" style="22" customWidth="1"/>
    <col min="2" max="2" width="57.6640625" style="10" customWidth="1"/>
    <col min="3" max="3" width="10.6640625" style="60" customWidth="1"/>
    <col min="4" max="4" width="10.6640625" style="14" customWidth="1"/>
    <col min="5" max="5" width="10.6640625" style="10" customWidth="1"/>
    <col min="6" max="6" width="11.6640625" style="10" customWidth="1"/>
    <col min="7" max="16384" width="8.6640625" style="10"/>
  </cols>
  <sheetData>
    <row r="1" spans="1:7" ht="13.8" thickBot="1">
      <c r="A1" s="875" t="s">
        <v>2451</v>
      </c>
      <c r="B1" s="868" t="s">
        <v>2452</v>
      </c>
      <c r="C1" s="882"/>
      <c r="D1" s="871"/>
      <c r="E1" s="872"/>
      <c r="F1" s="873"/>
    </row>
    <row r="2" spans="1:7" ht="13.8" thickBot="1"/>
    <row r="3" spans="1:7" s="20" customFormat="1" ht="14.25" customHeight="1">
      <c r="A3" s="1527" t="s">
        <v>145</v>
      </c>
      <c r="B3" s="1528" t="s">
        <v>146</v>
      </c>
      <c r="C3" s="1648" t="s">
        <v>147</v>
      </c>
      <c r="D3" s="1532" t="s">
        <v>148</v>
      </c>
      <c r="E3" s="1649" t="s">
        <v>149</v>
      </c>
      <c r="F3" s="1650"/>
      <c r="G3" s="1645" t="s">
        <v>2523</v>
      </c>
    </row>
    <row r="4" spans="1:7" s="20" customFormat="1">
      <c r="A4" s="1527"/>
      <c r="B4" s="1528"/>
      <c r="C4" s="1530"/>
      <c r="D4" s="1532"/>
      <c r="E4" s="1649"/>
      <c r="F4" s="1650"/>
      <c r="G4" s="1646"/>
    </row>
    <row r="5" spans="1:7" s="20" customFormat="1" ht="13.8" thickBot="1">
      <c r="A5" s="1527"/>
      <c r="B5" s="1528"/>
      <c r="C5" s="1531"/>
      <c r="D5" s="1532"/>
      <c r="E5" s="51" t="s">
        <v>150</v>
      </c>
      <c r="F5" s="1195" t="s">
        <v>151</v>
      </c>
      <c r="G5" s="1647"/>
    </row>
    <row r="6" spans="1:7" s="20" customFormat="1">
      <c r="A6" s="52"/>
      <c r="B6" s="53"/>
      <c r="C6" s="54"/>
      <c r="D6" s="55"/>
      <c r="E6" s="58"/>
      <c r="F6" s="59"/>
    </row>
    <row r="7" spans="1:7">
      <c r="A7" s="1161"/>
      <c r="B7" s="1162" t="s">
        <v>2453</v>
      </c>
      <c r="C7" s="1163"/>
      <c r="D7" s="1164"/>
      <c r="E7" s="1165"/>
      <c r="F7" s="1166"/>
    </row>
    <row r="8" spans="1:7">
      <c r="A8" s="11"/>
      <c r="B8" s="37"/>
      <c r="D8" s="68"/>
    </row>
    <row r="9" spans="1:7" ht="52.8">
      <c r="A9" s="22">
        <v>1</v>
      </c>
      <c r="B9" s="127" t="s">
        <v>2454</v>
      </c>
      <c r="C9" s="169"/>
      <c r="D9" s="61"/>
      <c r="E9" s="68"/>
      <c r="F9" s="85"/>
    </row>
    <row r="10" spans="1:7">
      <c r="A10" s="22" t="s">
        <v>2455</v>
      </c>
      <c r="B10" s="67" t="s">
        <v>2586</v>
      </c>
      <c r="C10" s="169" t="s">
        <v>9</v>
      </c>
      <c r="D10" s="61">
        <v>1</v>
      </c>
      <c r="E10" s="1323">
        <f>'[1]B_XV_ OPREMA PROSTORA'!E10</f>
        <v>1000</v>
      </c>
      <c r="F10" s="85">
        <f>D10*E10</f>
        <v>1000</v>
      </c>
    </row>
    <row r="11" spans="1:7">
      <c r="A11" s="22" t="s">
        <v>2456</v>
      </c>
      <c r="B11" s="67" t="s">
        <v>2587</v>
      </c>
      <c r="C11" s="169" t="s">
        <v>9</v>
      </c>
      <c r="D11" s="61">
        <v>2</v>
      </c>
      <c r="E11" s="1323">
        <f>'[1]B_XV_ OPREMA PROSTORA'!E11</f>
        <v>1000</v>
      </c>
      <c r="F11" s="85">
        <f t="shared" ref="F11:F69" si="0">D11*E11</f>
        <v>2000</v>
      </c>
    </row>
    <row r="12" spans="1:7">
      <c r="B12" s="105"/>
      <c r="C12" s="169"/>
      <c r="D12" s="61"/>
      <c r="E12" s="68"/>
      <c r="F12" s="85"/>
    </row>
    <row r="13" spans="1:7" ht="66">
      <c r="A13" s="22">
        <v>2</v>
      </c>
      <c r="B13" s="127" t="s">
        <v>2588</v>
      </c>
      <c r="C13" s="169" t="s">
        <v>9</v>
      </c>
      <c r="D13" s="61">
        <v>14</v>
      </c>
      <c r="E13" s="1323">
        <f>'[1]B_XV_ OPREMA PROSTORA'!E13</f>
        <v>500</v>
      </c>
      <c r="F13" s="85">
        <f t="shared" si="0"/>
        <v>7000</v>
      </c>
    </row>
    <row r="14" spans="1:7">
      <c r="F14" s="85"/>
    </row>
    <row r="15" spans="1:7" ht="92.4">
      <c r="A15" s="22">
        <v>3</v>
      </c>
      <c r="B15" s="127" t="s">
        <v>2457</v>
      </c>
      <c r="C15" s="169" t="s">
        <v>9</v>
      </c>
      <c r="D15" s="61">
        <v>3</v>
      </c>
      <c r="E15" s="1323">
        <f>'[1]B_XV_ OPREMA PROSTORA'!E15</f>
        <v>500</v>
      </c>
      <c r="F15" s="85">
        <f t="shared" si="0"/>
        <v>1500</v>
      </c>
    </row>
    <row r="16" spans="1:7">
      <c r="B16" s="105"/>
      <c r="C16" s="169"/>
      <c r="D16" s="61"/>
      <c r="E16" s="68"/>
      <c r="F16" s="85"/>
    </row>
    <row r="17" spans="1:6" ht="135.75" customHeight="1">
      <c r="A17" s="22">
        <v>4</v>
      </c>
      <c r="B17" s="127" t="s">
        <v>2589</v>
      </c>
      <c r="C17" s="169" t="s">
        <v>9</v>
      </c>
      <c r="D17" s="61">
        <v>2</v>
      </c>
      <c r="E17" s="1323">
        <f>'[1]B_XV_ OPREMA PROSTORA'!E17</f>
        <v>1200</v>
      </c>
      <c r="F17" s="85">
        <f t="shared" si="0"/>
        <v>2400</v>
      </c>
    </row>
    <row r="18" spans="1:6">
      <c r="B18" s="67"/>
      <c r="C18" s="10"/>
      <c r="D18" s="10"/>
      <c r="F18" s="85"/>
    </row>
    <row r="19" spans="1:6" ht="132">
      <c r="A19" s="22">
        <v>5</v>
      </c>
      <c r="B19" s="127" t="s">
        <v>2590</v>
      </c>
      <c r="C19" s="169" t="s">
        <v>9</v>
      </c>
      <c r="D19" s="61">
        <v>1</v>
      </c>
      <c r="E19" s="1323">
        <f>'[1]B_XV_ OPREMA PROSTORA'!E19</f>
        <v>800</v>
      </c>
      <c r="F19" s="85">
        <f t="shared" si="0"/>
        <v>800</v>
      </c>
    </row>
    <row r="20" spans="1:6" ht="118.8">
      <c r="A20" s="22">
        <v>6</v>
      </c>
      <c r="B20" s="127" t="s">
        <v>2458</v>
      </c>
      <c r="C20" s="169" t="s">
        <v>9</v>
      </c>
      <c r="D20" s="61">
        <v>2</v>
      </c>
      <c r="E20" s="1323">
        <f>'[1]B_XV_ OPREMA PROSTORA'!E20</f>
        <v>500</v>
      </c>
      <c r="F20" s="85">
        <f t="shared" si="0"/>
        <v>1000</v>
      </c>
    </row>
    <row r="21" spans="1:6">
      <c r="B21" s="67"/>
      <c r="C21" s="169"/>
      <c r="D21" s="170"/>
      <c r="F21" s="85"/>
    </row>
    <row r="22" spans="1:6" ht="118.8">
      <c r="A22" s="22">
        <v>7</v>
      </c>
      <c r="B22" s="67" t="s">
        <v>2524</v>
      </c>
      <c r="C22" s="169"/>
      <c r="D22" s="170"/>
      <c r="F22" s="85"/>
    </row>
    <row r="23" spans="1:6">
      <c r="A23" s="168"/>
      <c r="B23" s="167" t="s">
        <v>2459</v>
      </c>
      <c r="C23" s="169"/>
      <c r="D23" s="170"/>
      <c r="F23" s="85"/>
    </row>
    <row r="24" spans="1:6" ht="52.8">
      <c r="A24" s="168" t="s">
        <v>12</v>
      </c>
      <c r="B24" s="167" t="s">
        <v>2460</v>
      </c>
      <c r="C24" s="60" t="s">
        <v>173</v>
      </c>
      <c r="D24" s="61">
        <v>1.1000000000000001</v>
      </c>
      <c r="E24" s="1323">
        <f>'[1]B_XV_ OPREMA PROSTORA'!E24</f>
        <v>1000</v>
      </c>
      <c r="F24" s="85">
        <f t="shared" si="0"/>
        <v>1100</v>
      </c>
    </row>
    <row r="25" spans="1:6" ht="39.6">
      <c r="A25" s="168" t="s">
        <v>13</v>
      </c>
      <c r="B25" s="167" t="s">
        <v>2461</v>
      </c>
      <c r="C25" s="60" t="s">
        <v>173</v>
      </c>
      <c r="D25" s="61">
        <v>3</v>
      </c>
      <c r="E25" s="1323">
        <f>'[1]B_XV_ OPREMA PROSTORA'!E25</f>
        <v>500</v>
      </c>
      <c r="F25" s="85">
        <f t="shared" si="0"/>
        <v>1500</v>
      </c>
    </row>
    <row r="26" spans="1:6" ht="26.4">
      <c r="A26" s="168" t="s">
        <v>14</v>
      </c>
      <c r="B26" s="167" t="s">
        <v>2527</v>
      </c>
      <c r="C26" s="60" t="s">
        <v>173</v>
      </c>
      <c r="D26" s="61">
        <v>1.5</v>
      </c>
      <c r="E26" s="1323">
        <f>'[1]B_XV_ OPREMA PROSTORA'!E26</f>
        <v>300</v>
      </c>
      <c r="F26" s="85">
        <f t="shared" si="0"/>
        <v>450</v>
      </c>
    </row>
    <row r="27" spans="1:6" ht="52.8">
      <c r="A27" s="168" t="s">
        <v>15</v>
      </c>
      <c r="B27" s="167" t="s">
        <v>2525</v>
      </c>
      <c r="C27" s="60" t="s">
        <v>173</v>
      </c>
      <c r="D27" s="61">
        <v>1.5</v>
      </c>
      <c r="E27" s="1323">
        <f>'[1]B_XV_ OPREMA PROSTORA'!E27</f>
        <v>1000</v>
      </c>
      <c r="F27" s="85">
        <f t="shared" si="0"/>
        <v>1500</v>
      </c>
    </row>
    <row r="28" spans="1:6" ht="39.6">
      <c r="A28" s="168" t="s">
        <v>21</v>
      </c>
      <c r="B28" s="167" t="s">
        <v>2462</v>
      </c>
      <c r="C28" s="60" t="s">
        <v>173</v>
      </c>
      <c r="D28" s="61">
        <v>1</v>
      </c>
      <c r="E28" s="1323">
        <f>'[1]B_XV_ OPREMA PROSTORA'!E28</f>
        <v>500</v>
      </c>
      <c r="F28" s="85">
        <f t="shared" si="0"/>
        <v>500</v>
      </c>
    </row>
    <row r="29" spans="1:6" ht="39.6">
      <c r="A29" s="22" t="s">
        <v>89</v>
      </c>
      <c r="B29" s="167" t="s">
        <v>2463</v>
      </c>
      <c r="C29" s="60" t="s">
        <v>173</v>
      </c>
      <c r="D29" s="61">
        <v>2</v>
      </c>
      <c r="E29" s="1323">
        <f>'[1]B_XV_ OPREMA PROSTORA'!E29</f>
        <v>500</v>
      </c>
      <c r="F29" s="85">
        <f t="shared" si="0"/>
        <v>1000</v>
      </c>
    </row>
    <row r="30" spans="1:6" ht="26.4">
      <c r="A30" s="22" t="s">
        <v>1</v>
      </c>
      <c r="B30" s="167" t="s">
        <v>2464</v>
      </c>
      <c r="C30" s="60" t="s">
        <v>173</v>
      </c>
      <c r="D30" s="61">
        <v>0.5</v>
      </c>
      <c r="E30" s="1323">
        <f>'[1]B_XV_ OPREMA PROSTORA'!E30</f>
        <v>500</v>
      </c>
      <c r="F30" s="85">
        <f t="shared" si="0"/>
        <v>250</v>
      </c>
    </row>
    <row r="31" spans="1:6" ht="26.4">
      <c r="A31" s="22" t="s">
        <v>2</v>
      </c>
      <c r="B31" s="167" t="s">
        <v>2465</v>
      </c>
      <c r="C31" s="60" t="s">
        <v>173</v>
      </c>
      <c r="D31" s="61">
        <v>0.3</v>
      </c>
      <c r="E31" s="1323">
        <f>'[1]B_XV_ OPREMA PROSTORA'!E31</f>
        <v>200</v>
      </c>
      <c r="F31" s="85">
        <f t="shared" si="0"/>
        <v>60</v>
      </c>
    </row>
    <row r="32" spans="1:6">
      <c r="A32" s="22" t="s">
        <v>26</v>
      </c>
      <c r="B32" s="167" t="s">
        <v>2466</v>
      </c>
      <c r="C32" s="10"/>
      <c r="D32" s="10"/>
      <c r="E32" s="1510">
        <f>'[1]B_XV_ OPREMA PROSTORA'!E32</f>
        <v>0</v>
      </c>
      <c r="F32" s="85">
        <f t="shared" si="0"/>
        <v>0</v>
      </c>
    </row>
    <row r="33" spans="1:6">
      <c r="B33" s="167" t="s">
        <v>2467</v>
      </c>
      <c r="C33" s="169" t="s">
        <v>9</v>
      </c>
      <c r="D33" s="61">
        <v>1</v>
      </c>
      <c r="E33" s="1323">
        <f>'[1]B_XV_ OPREMA PROSTORA'!E33</f>
        <v>250</v>
      </c>
      <c r="F33" s="85">
        <f t="shared" si="0"/>
        <v>250</v>
      </c>
    </row>
    <row r="34" spans="1:6">
      <c r="B34" s="167" t="s">
        <v>2468</v>
      </c>
      <c r="C34" s="169" t="s">
        <v>9</v>
      </c>
      <c r="D34" s="61">
        <v>1</v>
      </c>
      <c r="E34" s="1323">
        <f>'[1]B_XV_ OPREMA PROSTORA'!E34</f>
        <v>800</v>
      </c>
      <c r="F34" s="85">
        <f t="shared" si="0"/>
        <v>800</v>
      </c>
    </row>
    <row r="35" spans="1:6">
      <c r="B35" s="167" t="s">
        <v>2469</v>
      </c>
      <c r="C35" s="169" t="s">
        <v>9</v>
      </c>
      <c r="D35" s="61">
        <v>1</v>
      </c>
      <c r="E35" s="1323">
        <f>'[1]B_XV_ OPREMA PROSTORA'!E35</f>
        <v>400</v>
      </c>
      <c r="F35" s="85">
        <f t="shared" si="0"/>
        <v>400</v>
      </c>
    </row>
    <row r="36" spans="1:6">
      <c r="B36" s="167"/>
      <c r="C36" s="169"/>
      <c r="D36" s="61"/>
      <c r="E36" s="68"/>
      <c r="F36" s="85"/>
    </row>
    <row r="37" spans="1:6" ht="66">
      <c r="A37" s="22">
        <v>8</v>
      </c>
      <c r="B37" s="1167" t="s">
        <v>2470</v>
      </c>
      <c r="C37" s="169" t="s">
        <v>9</v>
      </c>
      <c r="D37" s="61">
        <v>2</v>
      </c>
      <c r="E37" s="1323">
        <f>'[1]B_XV_ OPREMA PROSTORA'!E37</f>
        <v>1000</v>
      </c>
      <c r="F37" s="85">
        <f t="shared" si="0"/>
        <v>2000</v>
      </c>
    </row>
    <row r="38" spans="1:6">
      <c r="B38" s="1167"/>
      <c r="C38" s="169"/>
      <c r="D38" s="61"/>
      <c r="E38" s="68"/>
      <c r="F38" s="85"/>
    </row>
    <row r="39" spans="1:6" ht="79.2">
      <c r="A39" s="22">
        <v>9</v>
      </c>
      <c r="B39" s="127" t="s">
        <v>2591</v>
      </c>
      <c r="C39" s="169" t="s">
        <v>9</v>
      </c>
      <c r="D39" s="61">
        <v>8</v>
      </c>
      <c r="E39" s="1323">
        <f>'[1]B_XV_ OPREMA PROSTORA'!E39</f>
        <v>100</v>
      </c>
      <c r="F39" s="85">
        <f t="shared" si="0"/>
        <v>800</v>
      </c>
    </row>
    <row r="40" spans="1:6">
      <c r="B40" s="105"/>
      <c r="F40" s="85"/>
    </row>
    <row r="41" spans="1:6" ht="171.6">
      <c r="A41" s="22">
        <v>10</v>
      </c>
      <c r="B41" s="37" t="s">
        <v>2526</v>
      </c>
      <c r="C41" s="169"/>
      <c r="D41" s="61"/>
      <c r="E41" s="68"/>
      <c r="F41" s="85"/>
    </row>
    <row r="42" spans="1:6" ht="39.6">
      <c r="A42" s="168" t="s">
        <v>12</v>
      </c>
      <c r="B42" s="167" t="s">
        <v>2471</v>
      </c>
      <c r="C42" s="60" t="s">
        <v>173</v>
      </c>
      <c r="D42" s="61">
        <v>28</v>
      </c>
      <c r="E42" s="1323">
        <f>'[1]B_XV_ OPREMA PROSTORA'!E42</f>
        <v>200</v>
      </c>
      <c r="F42" s="85">
        <f t="shared" si="0"/>
        <v>5600</v>
      </c>
    </row>
    <row r="43" spans="1:6" ht="26.4">
      <c r="A43" s="22" t="s">
        <v>13</v>
      </c>
      <c r="B43" s="167" t="s">
        <v>2472</v>
      </c>
      <c r="C43" s="60" t="s">
        <v>173</v>
      </c>
      <c r="D43" s="61">
        <v>1</v>
      </c>
      <c r="E43" s="1323">
        <f>'[1]B_XV_ OPREMA PROSTORA'!E43</f>
        <v>200</v>
      </c>
      <c r="F43" s="85">
        <f t="shared" si="0"/>
        <v>200</v>
      </c>
    </row>
    <row r="44" spans="1:6" ht="26.4">
      <c r="A44" s="168" t="s">
        <v>14</v>
      </c>
      <c r="B44" s="167" t="s">
        <v>2528</v>
      </c>
      <c r="C44" s="60" t="s">
        <v>173</v>
      </c>
      <c r="D44" s="61">
        <v>12</v>
      </c>
      <c r="E44" s="1323">
        <f>'[1]B_XV_ OPREMA PROSTORA'!E44</f>
        <v>50</v>
      </c>
      <c r="F44" s="85">
        <f t="shared" si="0"/>
        <v>600</v>
      </c>
    </row>
    <row r="45" spans="1:6">
      <c r="B45" s="105"/>
      <c r="F45" s="85"/>
    </row>
    <row r="46" spans="1:6" ht="118.8">
      <c r="A46" s="22">
        <v>11</v>
      </c>
      <c r="B46" s="37" t="s">
        <v>2592</v>
      </c>
      <c r="D46" s="61"/>
      <c r="E46" s="68"/>
      <c r="F46" s="85"/>
    </row>
    <row r="47" spans="1:6">
      <c r="B47" s="37" t="s">
        <v>2473</v>
      </c>
      <c r="C47" s="60" t="s">
        <v>9</v>
      </c>
      <c r="D47" s="61">
        <v>1</v>
      </c>
      <c r="E47" s="1323">
        <f>'[1]B_XV_ OPREMA PROSTORA'!E47</f>
        <v>1000</v>
      </c>
      <c r="F47" s="85">
        <f t="shared" si="0"/>
        <v>1000</v>
      </c>
    </row>
    <row r="48" spans="1:6" ht="26.4">
      <c r="B48" s="105" t="s">
        <v>2474</v>
      </c>
      <c r="C48" s="169" t="s">
        <v>9</v>
      </c>
      <c r="D48" s="61">
        <v>2</v>
      </c>
      <c r="E48" s="1323">
        <f>'[1]B_XV_ OPREMA PROSTORA'!E48</f>
        <v>500</v>
      </c>
      <c r="F48" s="85">
        <f t="shared" si="0"/>
        <v>1000</v>
      </c>
    </row>
    <row r="49" spans="1:6">
      <c r="B49" s="105"/>
      <c r="F49" s="85"/>
    </row>
    <row r="50" spans="1:6">
      <c r="A50" s="1161"/>
      <c r="B50" s="1162" t="s">
        <v>2475</v>
      </c>
      <c r="C50" s="1163"/>
      <c r="D50" s="1164"/>
      <c r="E50" s="1165"/>
      <c r="F50" s="85"/>
    </row>
    <row r="51" spans="1:6">
      <c r="B51" s="105"/>
      <c r="F51" s="85"/>
    </row>
    <row r="52" spans="1:6" ht="145.19999999999999">
      <c r="A52" s="22">
        <v>12</v>
      </c>
      <c r="B52" s="127" t="s">
        <v>2476</v>
      </c>
      <c r="F52" s="85"/>
    </row>
    <row r="53" spans="1:6">
      <c r="A53" s="22" t="s">
        <v>2477</v>
      </c>
      <c r="B53" s="105" t="s">
        <v>2478</v>
      </c>
      <c r="C53" s="169" t="s">
        <v>9</v>
      </c>
      <c r="D53" s="61">
        <v>20</v>
      </c>
      <c r="E53" s="1323">
        <f>'[1]B_XV_ OPREMA PROSTORA'!E53</f>
        <v>400</v>
      </c>
      <c r="F53" s="85">
        <f t="shared" si="0"/>
        <v>8000</v>
      </c>
    </row>
    <row r="54" spans="1:6" ht="118.8">
      <c r="A54" s="22" t="s">
        <v>2479</v>
      </c>
      <c r="B54" s="105" t="s">
        <v>2529</v>
      </c>
      <c r="C54" s="169" t="s">
        <v>9</v>
      </c>
      <c r="D54" s="61">
        <v>20</v>
      </c>
      <c r="E54" s="1323">
        <f>'[1]B_XV_ OPREMA PROSTORA'!E54</f>
        <v>200</v>
      </c>
      <c r="F54" s="85">
        <f t="shared" si="0"/>
        <v>4000</v>
      </c>
    </row>
    <row r="55" spans="1:6" ht="66">
      <c r="A55" s="22" t="s">
        <v>2530</v>
      </c>
      <c r="B55" s="105" t="s">
        <v>2531</v>
      </c>
      <c r="C55" s="169" t="s">
        <v>9</v>
      </c>
      <c r="D55" s="61">
        <v>20</v>
      </c>
      <c r="E55" s="1323">
        <f>'[1]B_XV_ OPREMA PROSTORA'!E55</f>
        <v>100</v>
      </c>
      <c r="F55" s="85">
        <f t="shared" si="0"/>
        <v>2000</v>
      </c>
    </row>
    <row r="56" spans="1:6">
      <c r="B56" s="105"/>
      <c r="C56" s="169"/>
      <c r="D56" s="61"/>
      <c r="E56" s="68"/>
      <c r="F56" s="85"/>
    </row>
    <row r="57" spans="1:6" ht="145.19999999999999">
      <c r="A57" s="22">
        <v>13</v>
      </c>
      <c r="B57" s="127" t="s">
        <v>2480</v>
      </c>
      <c r="C57" s="169" t="s">
        <v>9</v>
      </c>
      <c r="D57" s="61">
        <v>14</v>
      </c>
      <c r="E57" s="1323">
        <f>'[1]B_XV_ OPREMA PROSTORA'!E57</f>
        <v>500</v>
      </c>
      <c r="F57" s="85">
        <f t="shared" si="0"/>
        <v>7000</v>
      </c>
    </row>
    <row r="58" spans="1:6">
      <c r="B58" s="105"/>
      <c r="F58" s="85"/>
    </row>
    <row r="59" spans="1:6" ht="145.19999999999999">
      <c r="A59" s="22" t="s">
        <v>2481</v>
      </c>
      <c r="B59" s="127" t="s">
        <v>2482</v>
      </c>
      <c r="C59" s="169" t="s">
        <v>9</v>
      </c>
      <c r="D59" s="61">
        <v>6</v>
      </c>
      <c r="E59" s="1323">
        <f>'[1]B_XV_ OPREMA PROSTORA'!E59</f>
        <v>500</v>
      </c>
      <c r="F59" s="85">
        <f t="shared" si="0"/>
        <v>3000</v>
      </c>
    </row>
    <row r="60" spans="1:6">
      <c r="B60" s="105"/>
      <c r="F60" s="85"/>
    </row>
    <row r="61" spans="1:6" ht="158.4">
      <c r="A61" s="22">
        <v>14</v>
      </c>
      <c r="B61" s="127" t="s">
        <v>2483</v>
      </c>
      <c r="C61" s="169" t="s">
        <v>9</v>
      </c>
      <c r="D61" s="61">
        <v>20</v>
      </c>
      <c r="E61" s="1323">
        <f>'[1]B_XV_ OPREMA PROSTORA'!E61</f>
        <v>120</v>
      </c>
      <c r="F61" s="85">
        <f t="shared" si="0"/>
        <v>2400</v>
      </c>
    </row>
    <row r="62" spans="1:6">
      <c r="B62" s="105"/>
      <c r="F62" s="85"/>
    </row>
    <row r="63" spans="1:6" ht="145.19999999999999">
      <c r="A63" s="22">
        <v>15</v>
      </c>
      <c r="B63" s="127" t="s">
        <v>2484</v>
      </c>
      <c r="C63" s="10"/>
      <c r="D63" s="10"/>
      <c r="F63" s="85">
        <f t="shared" si="0"/>
        <v>0</v>
      </c>
    </row>
    <row r="64" spans="1:6" ht="26.4">
      <c r="A64" s="22" t="s">
        <v>2485</v>
      </c>
      <c r="B64" s="67" t="s">
        <v>2595</v>
      </c>
      <c r="C64" s="169" t="s">
        <v>9</v>
      </c>
      <c r="D64" s="61">
        <v>12</v>
      </c>
      <c r="E64" s="1323">
        <f>'[1]B_XV_ OPREMA PROSTORA'!E64</f>
        <v>500</v>
      </c>
      <c r="F64" s="85">
        <f t="shared" si="0"/>
        <v>6000</v>
      </c>
    </row>
    <row r="65" spans="1:6" ht="52.8">
      <c r="A65" s="22" t="s">
        <v>2486</v>
      </c>
      <c r="B65" s="67" t="s">
        <v>2596</v>
      </c>
      <c r="C65" s="169" t="s">
        <v>9</v>
      </c>
      <c r="D65" s="61">
        <v>3</v>
      </c>
      <c r="E65" s="1323">
        <f>'[1]B_XV_ OPREMA PROSTORA'!E65</f>
        <v>1000</v>
      </c>
      <c r="F65" s="85">
        <f t="shared" si="0"/>
        <v>3000</v>
      </c>
    </row>
    <row r="66" spans="1:6">
      <c r="B66" s="67"/>
      <c r="C66" s="169"/>
      <c r="D66" s="61"/>
      <c r="E66" s="68"/>
      <c r="F66" s="85"/>
    </row>
    <row r="67" spans="1:6" ht="79.2">
      <c r="A67" s="22">
        <v>16</v>
      </c>
      <c r="B67" s="127" t="s">
        <v>2593</v>
      </c>
      <c r="C67" s="169" t="s">
        <v>9</v>
      </c>
      <c r="D67" s="61">
        <v>18</v>
      </c>
      <c r="E67" s="1323">
        <f>'[1]B_XV_ OPREMA PROSTORA'!E67</f>
        <v>100</v>
      </c>
      <c r="F67" s="85">
        <f t="shared" si="0"/>
        <v>1800</v>
      </c>
    </row>
    <row r="68" spans="1:6">
      <c r="B68" s="105"/>
      <c r="F68" s="85"/>
    </row>
    <row r="69" spans="1:6" ht="105.6">
      <c r="A69" s="22">
        <v>17</v>
      </c>
      <c r="B69" s="127" t="s">
        <v>2532</v>
      </c>
      <c r="C69" s="169" t="s">
        <v>9</v>
      </c>
      <c r="D69" s="61">
        <v>20</v>
      </c>
      <c r="E69" s="1323">
        <f>'[1]B_XV_ OPREMA PROSTORA'!E69</f>
        <v>100</v>
      </c>
      <c r="F69" s="85">
        <f t="shared" si="0"/>
        <v>2000</v>
      </c>
    </row>
    <row r="70" spans="1:6">
      <c r="B70" s="105"/>
      <c r="F70" s="85"/>
    </row>
    <row r="71" spans="1:6">
      <c r="A71" s="22">
        <v>18</v>
      </c>
      <c r="B71" s="105" t="s">
        <v>2487</v>
      </c>
      <c r="C71" s="169"/>
      <c r="D71" s="170"/>
      <c r="F71" s="85"/>
    </row>
    <row r="72" spans="1:6" ht="26.4">
      <c r="A72" s="168"/>
      <c r="B72" s="67" t="s">
        <v>2488</v>
      </c>
      <c r="C72" s="169"/>
      <c r="D72" s="170"/>
      <c r="F72" s="85"/>
    </row>
    <row r="73" spans="1:6">
      <c r="A73" s="168"/>
      <c r="B73" s="167" t="s">
        <v>2489</v>
      </c>
      <c r="C73" s="169"/>
      <c r="D73" s="170"/>
      <c r="F73" s="85"/>
    </row>
    <row r="74" spans="1:6" ht="39.6">
      <c r="A74" s="1168"/>
      <c r="B74" s="167" t="s">
        <v>2490</v>
      </c>
      <c r="D74" s="61"/>
      <c r="F74" s="85"/>
    </row>
    <row r="75" spans="1:6" ht="26.4">
      <c r="A75" s="168" t="s">
        <v>12</v>
      </c>
      <c r="B75" s="167" t="s">
        <v>2491</v>
      </c>
      <c r="C75" s="169" t="s">
        <v>9</v>
      </c>
      <c r="D75" s="61">
        <v>20</v>
      </c>
      <c r="E75" s="1323">
        <f>'[1]B_XV_ OPREMA PROSTORA'!E75</f>
        <v>200</v>
      </c>
      <c r="F75" s="85">
        <f t="shared" ref="F75:F134" si="1">D75*E75</f>
        <v>4000</v>
      </c>
    </row>
    <row r="76" spans="1:6" ht="26.4">
      <c r="A76" s="168" t="s">
        <v>13</v>
      </c>
      <c r="B76" s="167" t="s">
        <v>2492</v>
      </c>
      <c r="C76" s="169" t="s">
        <v>9</v>
      </c>
      <c r="D76" s="61">
        <v>20</v>
      </c>
      <c r="E76" s="1323">
        <f>'[1]B_XV_ OPREMA PROSTORA'!E76</f>
        <v>200</v>
      </c>
      <c r="F76" s="85">
        <f t="shared" si="1"/>
        <v>4000</v>
      </c>
    </row>
    <row r="77" spans="1:6">
      <c r="F77" s="85"/>
    </row>
    <row r="78" spans="1:6">
      <c r="A78" s="22">
        <v>19</v>
      </c>
      <c r="B78" s="105" t="s">
        <v>2493</v>
      </c>
      <c r="C78" s="169"/>
      <c r="D78" s="170"/>
      <c r="F78" s="85"/>
    </row>
    <row r="79" spans="1:6" ht="39.6">
      <c r="A79" s="168"/>
      <c r="B79" s="67" t="s">
        <v>2494</v>
      </c>
      <c r="C79" s="169"/>
      <c r="D79" s="170"/>
      <c r="F79" s="85"/>
    </row>
    <row r="80" spans="1:6" ht="26.4">
      <c r="A80" s="1168"/>
      <c r="B80" s="167" t="s">
        <v>2495</v>
      </c>
      <c r="C80" s="10"/>
      <c r="D80" s="10"/>
      <c r="F80" s="85"/>
    </row>
    <row r="81" spans="1:6">
      <c r="A81" s="1168"/>
      <c r="B81" s="167" t="s">
        <v>2496</v>
      </c>
      <c r="C81" s="169" t="s">
        <v>9</v>
      </c>
      <c r="D81" s="61">
        <v>1</v>
      </c>
      <c r="E81" s="1323">
        <f>'[1]B_XV_ OPREMA PROSTORA'!E81</f>
        <v>100</v>
      </c>
      <c r="F81" s="85">
        <f t="shared" si="1"/>
        <v>100</v>
      </c>
    </row>
    <row r="82" spans="1:6">
      <c r="A82" s="1168"/>
      <c r="B82" s="167" t="s">
        <v>2497</v>
      </c>
      <c r="C82" s="169" t="s">
        <v>9</v>
      </c>
      <c r="D82" s="61">
        <v>9</v>
      </c>
      <c r="E82" s="1323">
        <f>'[1]B_XV_ OPREMA PROSTORA'!E82</f>
        <v>120</v>
      </c>
      <c r="F82" s="85">
        <f t="shared" si="1"/>
        <v>1080</v>
      </c>
    </row>
    <row r="83" spans="1:6">
      <c r="A83" s="1168"/>
      <c r="B83" s="167"/>
      <c r="C83" s="169"/>
      <c r="D83" s="61"/>
      <c r="E83" s="68"/>
      <c r="F83" s="85"/>
    </row>
    <row r="84" spans="1:6" ht="118.8">
      <c r="A84" s="22">
        <v>20</v>
      </c>
      <c r="B84" s="127" t="s">
        <v>2580</v>
      </c>
      <c r="C84" s="10"/>
      <c r="D84" s="10"/>
      <c r="F84" s="85"/>
    </row>
    <row r="85" spans="1:6" ht="15">
      <c r="B85" s="37" t="s">
        <v>2498</v>
      </c>
      <c r="C85" s="12" t="s">
        <v>190</v>
      </c>
      <c r="D85" s="61">
        <v>4</v>
      </c>
      <c r="E85" s="1323">
        <f>'[1]B_XV_ OPREMA PROSTORA'!E85</f>
        <v>50</v>
      </c>
      <c r="F85" s="85">
        <f t="shared" si="1"/>
        <v>200</v>
      </c>
    </row>
    <row r="86" spans="1:6" ht="15">
      <c r="B86" s="37" t="s">
        <v>2499</v>
      </c>
      <c r="C86" s="12" t="s">
        <v>190</v>
      </c>
      <c r="D86" s="61">
        <v>4</v>
      </c>
      <c r="E86" s="1323">
        <f>'[1]B_XV_ OPREMA PROSTORA'!E86</f>
        <v>100</v>
      </c>
      <c r="F86" s="85">
        <f t="shared" si="1"/>
        <v>400</v>
      </c>
    </row>
    <row r="87" spans="1:6">
      <c r="B87" s="37" t="s">
        <v>2500</v>
      </c>
      <c r="C87" s="12" t="s">
        <v>9</v>
      </c>
      <c r="D87" s="61">
        <v>20</v>
      </c>
      <c r="E87" s="1323">
        <f>'[1]B_XV_ OPREMA PROSTORA'!E87</f>
        <v>50</v>
      </c>
      <c r="F87" s="85">
        <f t="shared" si="1"/>
        <v>1000</v>
      </c>
    </row>
    <row r="88" spans="1:6">
      <c r="B88" s="127"/>
      <c r="C88" s="10"/>
      <c r="D88" s="10"/>
      <c r="F88" s="85"/>
    </row>
    <row r="89" spans="1:6" ht="145.19999999999999">
      <c r="A89" s="22">
        <v>21</v>
      </c>
      <c r="B89" s="127" t="s">
        <v>2501</v>
      </c>
      <c r="C89" s="169" t="s">
        <v>9</v>
      </c>
      <c r="D89" s="61">
        <v>1</v>
      </c>
      <c r="E89" s="1323">
        <f>'[1]B_XV_ OPREMA PROSTORA'!E89</f>
        <v>1000</v>
      </c>
      <c r="F89" s="85">
        <f t="shared" si="1"/>
        <v>1000</v>
      </c>
    </row>
    <row r="90" spans="1:6">
      <c r="B90" s="127"/>
      <c r="C90" s="10"/>
      <c r="D90" s="10"/>
      <c r="F90" s="85"/>
    </row>
    <row r="91" spans="1:6" ht="216.75" customHeight="1">
      <c r="A91" s="22">
        <v>22</v>
      </c>
      <c r="B91" s="127" t="s">
        <v>2594</v>
      </c>
      <c r="C91" s="169" t="s">
        <v>9</v>
      </c>
      <c r="D91" s="61">
        <v>1</v>
      </c>
      <c r="E91" s="1323">
        <f>'[1]B_XV_ OPREMA PROSTORA'!E91</f>
        <v>500</v>
      </c>
      <c r="F91" s="85">
        <f t="shared" si="1"/>
        <v>500</v>
      </c>
    </row>
    <row r="92" spans="1:6">
      <c r="B92" s="127"/>
      <c r="C92" s="10"/>
      <c r="D92" s="10"/>
      <c r="F92" s="85"/>
    </row>
    <row r="93" spans="1:6" ht="92.4">
      <c r="A93" s="22">
        <v>23</v>
      </c>
      <c r="B93" s="127" t="s">
        <v>2581</v>
      </c>
      <c r="C93" s="169" t="s">
        <v>9</v>
      </c>
      <c r="D93" s="61">
        <v>2</v>
      </c>
      <c r="E93" s="1323">
        <f>'[1]B_XV_ OPREMA PROSTORA'!E93</f>
        <v>1500</v>
      </c>
      <c r="F93" s="85">
        <f t="shared" si="1"/>
        <v>3000</v>
      </c>
    </row>
    <row r="94" spans="1:6">
      <c r="B94" s="127"/>
      <c r="C94" s="10"/>
      <c r="D94" s="10"/>
      <c r="F94" s="85"/>
    </row>
    <row r="95" spans="1:6">
      <c r="A95" s="22">
        <v>24</v>
      </c>
      <c r="B95" s="105" t="s">
        <v>2502</v>
      </c>
      <c r="C95" s="169" t="s">
        <v>9</v>
      </c>
      <c r="D95" s="61">
        <v>14</v>
      </c>
      <c r="E95" s="1323">
        <f>'[1]B_XV_ OPREMA PROSTORA'!E95</f>
        <v>20</v>
      </c>
      <c r="F95" s="85">
        <f t="shared" si="1"/>
        <v>280</v>
      </c>
    </row>
    <row r="96" spans="1:6">
      <c r="A96" s="168"/>
      <c r="B96" s="67"/>
      <c r="F96" s="85"/>
    </row>
    <row r="97" spans="1:6" s="699" customFormat="1" ht="118.8">
      <c r="A97" s="1169">
        <v>25</v>
      </c>
      <c r="B97" s="302" t="s">
        <v>2533</v>
      </c>
      <c r="F97" s="85"/>
    </row>
    <row r="98" spans="1:6" s="699" customFormat="1">
      <c r="A98" s="1169"/>
      <c r="B98" s="305" t="s">
        <v>2503</v>
      </c>
      <c r="C98" s="1170" t="s">
        <v>9</v>
      </c>
      <c r="D98" s="1171">
        <v>25</v>
      </c>
      <c r="E98" s="1328">
        <f>'[1]B_XV_ OPREMA PROSTORA'!E98</f>
        <v>50</v>
      </c>
      <c r="F98" s="85">
        <f t="shared" si="1"/>
        <v>1250</v>
      </c>
    </row>
    <row r="99" spans="1:6" s="699" customFormat="1">
      <c r="A99" s="1169"/>
      <c r="B99" s="305" t="s">
        <v>2504</v>
      </c>
      <c r="C99" s="1170" t="s">
        <v>9</v>
      </c>
      <c r="D99" s="1171">
        <v>25</v>
      </c>
      <c r="E99" s="1328">
        <f>'[1]B_XV_ OPREMA PROSTORA'!E99</f>
        <v>40</v>
      </c>
      <c r="F99" s="85">
        <f t="shared" si="1"/>
        <v>1000</v>
      </c>
    </row>
    <row r="100" spans="1:6" s="699" customFormat="1">
      <c r="A100" s="1169"/>
      <c r="B100" s="305"/>
      <c r="C100" s="1170"/>
      <c r="D100" s="1171"/>
      <c r="E100" s="303"/>
      <c r="F100" s="85"/>
    </row>
    <row r="101" spans="1:6" s="699" customFormat="1" ht="92.4">
      <c r="A101" s="1169">
        <v>26</v>
      </c>
      <c r="B101" s="302" t="s">
        <v>2505</v>
      </c>
      <c r="C101" s="1170" t="s">
        <v>9</v>
      </c>
      <c r="D101" s="1171">
        <v>25</v>
      </c>
      <c r="E101" s="1328">
        <f>'[1]B_XV_ OPREMA PROSTORA'!E101</f>
        <v>120</v>
      </c>
      <c r="F101" s="85">
        <f t="shared" si="1"/>
        <v>3000</v>
      </c>
    </row>
    <row r="102" spans="1:6" s="699" customFormat="1">
      <c r="A102" s="1169"/>
      <c r="B102" s="304"/>
      <c r="C102" s="1170"/>
      <c r="D102" s="1171"/>
      <c r="E102" s="303"/>
      <c r="F102" s="85"/>
    </row>
    <row r="103" spans="1:6" s="699" customFormat="1" ht="79.2">
      <c r="A103" s="1169">
        <v>27</v>
      </c>
      <c r="B103" s="302" t="s">
        <v>2506</v>
      </c>
      <c r="C103" s="1170" t="s">
        <v>9</v>
      </c>
      <c r="D103" s="1171">
        <v>40</v>
      </c>
      <c r="E103" s="1328">
        <f>'[1]B_XV_ OPREMA PROSTORA'!E103</f>
        <v>100</v>
      </c>
      <c r="F103" s="85">
        <f t="shared" si="1"/>
        <v>4000</v>
      </c>
    </row>
    <row r="104" spans="1:6" s="699" customFormat="1">
      <c r="A104" s="1169"/>
      <c r="B104" s="304"/>
      <c r="C104" s="1170"/>
      <c r="D104" s="1171"/>
      <c r="E104" s="303"/>
      <c r="F104" s="85"/>
    </row>
    <row r="105" spans="1:6" s="699" customFormat="1" ht="39.6">
      <c r="A105" s="1169"/>
      <c r="B105" s="302" t="s">
        <v>2507</v>
      </c>
      <c r="C105" s="1170"/>
      <c r="D105" s="1171"/>
      <c r="E105" s="303"/>
      <c r="F105" s="85"/>
    </row>
    <row r="106" spans="1:6" s="699" customFormat="1">
      <c r="A106" s="1169"/>
      <c r="B106" s="305" t="s">
        <v>2534</v>
      </c>
      <c r="C106" s="1170" t="s">
        <v>9</v>
      </c>
      <c r="D106" s="1171">
        <v>40</v>
      </c>
      <c r="E106" s="1328">
        <f>'[1]B_XV_ OPREMA PROSTORA'!E106</f>
        <v>50</v>
      </c>
      <c r="F106" s="85">
        <f t="shared" si="1"/>
        <v>2000</v>
      </c>
    </row>
    <row r="107" spans="1:6" s="699" customFormat="1">
      <c r="A107" s="1169"/>
      <c r="B107" s="305" t="s">
        <v>2535</v>
      </c>
      <c r="C107" s="1170" t="s">
        <v>9</v>
      </c>
      <c r="D107" s="1171">
        <v>40</v>
      </c>
      <c r="E107" s="1328">
        <f>'[1]B_XV_ OPREMA PROSTORA'!E107</f>
        <v>40</v>
      </c>
      <c r="F107" s="85">
        <f t="shared" si="1"/>
        <v>1600</v>
      </c>
    </row>
    <row r="108" spans="1:6" s="699" customFormat="1">
      <c r="A108" s="1169"/>
      <c r="B108" s="304"/>
      <c r="C108" s="1170"/>
      <c r="D108" s="1171"/>
      <c r="E108" s="303"/>
      <c r="F108" s="85"/>
    </row>
    <row r="109" spans="1:6" ht="15" customHeight="1">
      <c r="A109" s="22">
        <v>28</v>
      </c>
      <c r="B109" s="105" t="s">
        <v>2508</v>
      </c>
      <c r="C109" s="169"/>
      <c r="D109" s="61"/>
      <c r="E109" s="68"/>
      <c r="F109" s="85"/>
    </row>
    <row r="110" spans="1:6" ht="147.75" customHeight="1">
      <c r="A110" s="15"/>
      <c r="B110" s="1314" t="s">
        <v>2597</v>
      </c>
      <c r="C110" s="169" t="s">
        <v>9</v>
      </c>
      <c r="D110" s="61">
        <v>1</v>
      </c>
      <c r="E110" s="1323">
        <f>'[1]B_XV_ OPREMA PROSTORA'!E110</f>
        <v>2500</v>
      </c>
      <c r="F110" s="85">
        <f t="shared" si="1"/>
        <v>2500</v>
      </c>
    </row>
    <row r="111" spans="1:6" ht="228.75" customHeight="1">
      <c r="A111" s="15"/>
      <c r="B111" s="1314" t="s">
        <v>2600</v>
      </c>
      <c r="C111" s="169" t="s">
        <v>9</v>
      </c>
      <c r="D111" s="61">
        <v>3</v>
      </c>
      <c r="E111" s="1323">
        <f>'[1]B_XV_ OPREMA PROSTORA'!E111</f>
        <v>2800</v>
      </c>
      <c r="F111" s="85">
        <f t="shared" si="1"/>
        <v>8400</v>
      </c>
    </row>
    <row r="112" spans="1:6">
      <c r="B112" s="105"/>
      <c r="C112" s="169"/>
      <c r="D112" s="61"/>
      <c r="E112" s="68"/>
      <c r="F112" s="85"/>
    </row>
    <row r="113" spans="1:6">
      <c r="A113" s="22">
        <v>29</v>
      </c>
      <c r="B113" s="105" t="s">
        <v>2509</v>
      </c>
      <c r="C113" s="10"/>
      <c r="D113" s="10"/>
      <c r="F113" s="85"/>
    </row>
    <row r="114" spans="1:6" ht="26.4">
      <c r="B114" s="114" t="s">
        <v>2510</v>
      </c>
      <c r="C114" s="169" t="s">
        <v>9</v>
      </c>
      <c r="D114" s="61">
        <v>2</v>
      </c>
      <c r="E114" s="1323">
        <f>'[1]B_XV_ OPREMA PROSTORA'!E114</f>
        <v>800</v>
      </c>
      <c r="F114" s="85">
        <f t="shared" si="1"/>
        <v>1600</v>
      </c>
    </row>
    <row r="115" spans="1:6" ht="26.4">
      <c r="B115" s="114" t="s">
        <v>2511</v>
      </c>
      <c r="C115" s="169" t="s">
        <v>9</v>
      </c>
      <c r="D115" s="61">
        <v>9</v>
      </c>
      <c r="E115" s="1323">
        <f>'[1]B_XV_ OPREMA PROSTORA'!E115</f>
        <v>700</v>
      </c>
      <c r="F115" s="85">
        <f t="shared" si="1"/>
        <v>6300</v>
      </c>
    </row>
    <row r="116" spans="1:6">
      <c r="B116" s="1172"/>
      <c r="C116" s="169"/>
      <c r="D116" s="61"/>
      <c r="E116" s="68"/>
      <c r="F116" s="85"/>
    </row>
    <row r="117" spans="1:6" s="20" customFormat="1">
      <c r="A117" s="1173">
        <v>30</v>
      </c>
      <c r="B117" s="1174" t="s">
        <v>2512</v>
      </c>
      <c r="C117" s="1175"/>
      <c r="D117" s="1176"/>
      <c r="E117" s="19"/>
      <c r="F117" s="85"/>
    </row>
    <row r="118" spans="1:6" s="20" customFormat="1" ht="26.4">
      <c r="A118" s="1173"/>
      <c r="B118" s="1177" t="s">
        <v>2513</v>
      </c>
      <c r="C118" s="1175"/>
      <c r="D118" s="1176"/>
      <c r="E118" s="19"/>
      <c r="F118" s="85"/>
    </row>
    <row r="119" spans="1:6" s="20" customFormat="1" ht="26.4">
      <c r="A119" s="1173"/>
      <c r="B119" s="1178" t="s">
        <v>2514</v>
      </c>
      <c r="C119" s="79"/>
      <c r="D119" s="61"/>
      <c r="E119" s="68"/>
      <c r="F119" s="85"/>
    </row>
    <row r="120" spans="1:6" s="20" customFormat="1">
      <c r="A120" s="1179">
        <v>30.1</v>
      </c>
      <c r="B120" s="1180" t="s">
        <v>2515</v>
      </c>
      <c r="C120" s="79"/>
      <c r="D120" s="61"/>
      <c r="E120" s="68"/>
      <c r="F120" s="85"/>
    </row>
    <row r="121" spans="1:6" s="20" customFormat="1" ht="15" customHeight="1">
      <c r="A121" s="15"/>
      <c r="B121" s="1201" t="s">
        <v>2516</v>
      </c>
      <c r="C121" s="79" t="s">
        <v>29</v>
      </c>
      <c r="D121" s="61">
        <v>1</v>
      </c>
      <c r="E121" s="1323">
        <f>'[1]B_XV_ OPREMA PROSTORA'!E121</f>
        <v>500</v>
      </c>
      <c r="F121" s="85">
        <f t="shared" si="1"/>
        <v>500</v>
      </c>
    </row>
    <row r="122" spans="1:6" s="20" customFormat="1" ht="15" customHeight="1">
      <c r="A122" s="15"/>
      <c r="B122" s="1201" t="s">
        <v>2517</v>
      </c>
      <c r="C122" s="79" t="s">
        <v>29</v>
      </c>
      <c r="D122" s="61">
        <v>1</v>
      </c>
      <c r="E122" s="1323">
        <f>'[1]B_XV_ OPREMA PROSTORA'!E122</f>
        <v>500</v>
      </c>
      <c r="F122" s="85">
        <f t="shared" si="1"/>
        <v>500</v>
      </c>
    </row>
    <row r="123" spans="1:6" s="20" customFormat="1" ht="15" customHeight="1">
      <c r="A123" s="15"/>
      <c r="B123" s="1201"/>
      <c r="C123" s="79"/>
      <c r="D123" s="61"/>
      <c r="E123" s="68"/>
      <c r="F123" s="85"/>
    </row>
    <row r="124" spans="1:6" s="20" customFormat="1" ht="26.4">
      <c r="A124" s="11">
        <v>30.2</v>
      </c>
      <c r="B124" s="1181" t="s">
        <v>2583</v>
      </c>
      <c r="C124" s="60" t="s">
        <v>29</v>
      </c>
      <c r="D124" s="61">
        <v>1</v>
      </c>
      <c r="E124" s="1323">
        <f>'[1]B_XV_ OPREMA PROSTORA'!E124</f>
        <v>2500</v>
      </c>
      <c r="F124" s="85">
        <f t="shared" si="1"/>
        <v>2500</v>
      </c>
    </row>
    <row r="125" spans="1:6" s="20" customFormat="1">
      <c r="A125" s="22"/>
      <c r="B125" s="1180"/>
      <c r="C125" s="60"/>
      <c r="F125" s="85"/>
    </row>
    <row r="126" spans="1:6" s="20" customFormat="1" ht="26.4">
      <c r="A126" s="11">
        <v>30.3</v>
      </c>
      <c r="B126" s="1181" t="s">
        <v>2582</v>
      </c>
      <c r="C126" s="60" t="s">
        <v>29</v>
      </c>
      <c r="D126" s="61">
        <v>1</v>
      </c>
      <c r="E126" s="1323">
        <f>'[1]B_XV_ OPREMA PROSTORA'!E126</f>
        <v>2500</v>
      </c>
      <c r="F126" s="85">
        <f t="shared" si="1"/>
        <v>2500</v>
      </c>
    </row>
    <row r="127" spans="1:6" s="20" customFormat="1">
      <c r="A127" s="82"/>
      <c r="B127" s="1180"/>
      <c r="C127" s="60"/>
      <c r="D127" s="61"/>
      <c r="E127" s="68"/>
      <c r="F127" s="85">
        <f t="shared" si="1"/>
        <v>0</v>
      </c>
    </row>
    <row r="128" spans="1:6" s="20" customFormat="1">
      <c r="A128" s="15">
        <v>30.4</v>
      </c>
      <c r="B128" s="1180" t="s">
        <v>2518</v>
      </c>
      <c r="C128" s="60" t="s">
        <v>29</v>
      </c>
      <c r="D128" s="61">
        <v>1</v>
      </c>
      <c r="E128" s="1323">
        <f>'[1]B_XV_ OPREMA PROSTORA'!E128</f>
        <v>1000</v>
      </c>
      <c r="F128" s="85">
        <f t="shared" si="1"/>
        <v>1000</v>
      </c>
    </row>
    <row r="129" spans="1:6" s="20" customFormat="1">
      <c r="A129" s="11"/>
      <c r="B129" s="1180" t="s">
        <v>2584</v>
      </c>
      <c r="F129" s="85"/>
    </row>
    <row r="130" spans="1:6" s="20" customFormat="1">
      <c r="A130" s="1179"/>
      <c r="B130" s="1180"/>
      <c r="C130" s="60"/>
      <c r="F130" s="85"/>
    </row>
    <row r="131" spans="1:6" s="20" customFormat="1" ht="26.4">
      <c r="A131" s="1182">
        <v>30.5</v>
      </c>
      <c r="B131" s="1181" t="s">
        <v>2519</v>
      </c>
      <c r="C131" s="60" t="s">
        <v>29</v>
      </c>
      <c r="D131" s="61">
        <v>1</v>
      </c>
      <c r="E131" s="1323">
        <f>'[1]B_XV_ OPREMA PROSTORA'!E131</f>
        <v>500</v>
      </c>
      <c r="F131" s="85">
        <f t="shared" si="1"/>
        <v>500</v>
      </c>
    </row>
    <row r="132" spans="1:6" s="20" customFormat="1">
      <c r="A132" s="15"/>
      <c r="B132" s="1180"/>
      <c r="C132" s="60"/>
      <c r="D132" s="61"/>
      <c r="E132" s="68"/>
      <c r="F132" s="85"/>
    </row>
    <row r="133" spans="1:6" s="20" customFormat="1" ht="26.4">
      <c r="A133" s="1173">
        <v>31</v>
      </c>
      <c r="B133" s="1174" t="s">
        <v>2520</v>
      </c>
      <c r="F133" s="85"/>
    </row>
    <row r="134" spans="1:6" s="20" customFormat="1" ht="26.4">
      <c r="A134" s="1173"/>
      <c r="B134" s="1177" t="s">
        <v>2585</v>
      </c>
      <c r="C134" s="60" t="s">
        <v>29</v>
      </c>
      <c r="D134" s="61">
        <v>1</v>
      </c>
      <c r="E134" s="1323">
        <f>'[1]B_XV_ OPREMA PROSTORA'!E134</f>
        <v>50</v>
      </c>
      <c r="F134" s="85">
        <f t="shared" si="1"/>
        <v>50</v>
      </c>
    </row>
    <row r="135" spans="1:6" s="20" customFormat="1">
      <c r="A135" s="1173"/>
      <c r="B135" s="1177"/>
      <c r="C135" s="1175"/>
      <c r="D135" s="1176"/>
      <c r="E135" s="19"/>
    </row>
    <row r="136" spans="1:6">
      <c r="A136" s="1183"/>
      <c r="B136" s="232" t="s">
        <v>2521</v>
      </c>
      <c r="C136" s="1184"/>
      <c r="D136" s="1185"/>
      <c r="E136" s="102" t="s">
        <v>159</v>
      </c>
      <c r="F136" s="1186">
        <f>SUM(F10:F134)</f>
        <v>128670</v>
      </c>
    </row>
    <row r="139" spans="1:6" ht="13.8" thickBot="1"/>
    <row r="140" spans="1:6" ht="13.8" thickBot="1">
      <c r="B140" s="1187"/>
      <c r="E140" s="1188"/>
    </row>
    <row r="143" spans="1:6">
      <c r="B143" s="1314"/>
    </row>
    <row r="144" spans="1:6" ht="15">
      <c r="B144" s="1313"/>
    </row>
    <row r="145" spans="2:2" ht="15">
      <c r="B145" s="1313"/>
    </row>
    <row r="146" spans="2:2">
      <c r="B146" s="1314"/>
    </row>
    <row r="147" spans="2:2" ht="15">
      <c r="B147" s="1313"/>
    </row>
    <row r="148" spans="2:2" ht="15">
      <c r="B148" s="1313"/>
    </row>
    <row r="149" spans="2:2" ht="15">
      <c r="B149" s="1313"/>
    </row>
    <row r="150" spans="2:2" ht="15">
      <c r="B150" s="1313"/>
    </row>
    <row r="151" spans="2:2" ht="15">
      <c r="B151" s="1313"/>
    </row>
    <row r="152" spans="2:2" ht="15">
      <c r="B152" s="1313"/>
    </row>
    <row r="153" spans="2:2" ht="15">
      <c r="B153" s="1313"/>
    </row>
    <row r="154" spans="2:2" ht="15">
      <c r="B154" s="1313"/>
    </row>
    <row r="155" spans="2:2" ht="15">
      <c r="B155" s="1313"/>
    </row>
  </sheetData>
  <sheetProtection algorithmName="SHA-512" hashValue="33NJ/SvQcUY921o2dVNtJVdDykoY/6UJjLye5cNjfwhRp2kvMo5icGNKgKXQ+j9jXBZ+hSne30ooQsBAP5gqpg==" saltValue="pFrdfw8lEpg6gAEUZogdIg==" spinCount="100000" sheet="1" objects="1" scenarios="1"/>
  <mergeCells count="6">
    <mergeCell ref="G3:G5"/>
    <mergeCell ref="A3:A5"/>
    <mergeCell ref="B3:B5"/>
    <mergeCell ref="C3:C5"/>
    <mergeCell ref="D3:D5"/>
    <mergeCell ref="E3:F4"/>
  </mergeCells>
  <pageMargins left="0.7583333333333333" right="0.39374999999999999" top="0.88958333333333328" bottom="0.59055118110236227" header="0" footer="0"/>
  <pageSetup paperSize="9" scale="70" firstPageNumber="0" orientation="portrait" horizontalDpi="300" verticalDpi="300"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rowBreaks count="2" manualBreakCount="2">
    <brk id="70" max="5" man="1"/>
    <brk id="96" max="5" man="1"/>
  </row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C00000"/>
  </sheetPr>
  <dimension ref="A2:D32"/>
  <sheetViews>
    <sheetView tabSelected="1" topLeftCell="A10" zoomScale="85" zoomScaleNormal="85" zoomScaleSheetLayoutView="130" workbookViewId="0">
      <selection activeCell="B32" sqref="B32:C32"/>
    </sheetView>
  </sheetViews>
  <sheetFormatPr defaultColWidth="9.109375" defaultRowHeight="15.6"/>
  <cols>
    <col min="1" max="1" width="9.109375" style="174"/>
    <col min="2" max="2" width="50.5546875" style="174" customWidth="1"/>
    <col min="3" max="3" width="36.33203125" style="174" customWidth="1"/>
    <col min="4" max="4" width="14.33203125" style="174" customWidth="1"/>
    <col min="5" max="16384" width="9.109375" style="174"/>
  </cols>
  <sheetData>
    <row r="2" spans="1:3">
      <c r="A2" s="245"/>
      <c r="B2" s="1651" t="s">
        <v>1639</v>
      </c>
      <c r="C2" s="1651"/>
    </row>
    <row r="3" spans="1:3">
      <c r="C3" s="175"/>
    </row>
    <row r="4" spans="1:3" s="20" customFormat="1" ht="14.25" customHeight="1">
      <c r="A4" s="178"/>
      <c r="B4" s="179" t="s">
        <v>228</v>
      </c>
      <c r="C4" s="239" t="s">
        <v>149</v>
      </c>
    </row>
    <row r="5" spans="1:3" s="20" customFormat="1" ht="13.8" thickBot="1">
      <c r="A5" s="52"/>
      <c r="B5" s="53"/>
      <c r="C5" s="240"/>
    </row>
    <row r="6" spans="1:3" ht="16.2" thickBot="1">
      <c r="A6" s="177"/>
      <c r="B6" s="180" t="s">
        <v>226</v>
      </c>
      <c r="C6" s="241">
        <f>'REKAPITULACIJA GRAĐ.OBRT.'!C47</f>
        <v>847367</v>
      </c>
    </row>
    <row r="7" spans="1:3" ht="16.2" thickBot="1">
      <c r="A7" s="173"/>
      <c r="B7" s="176"/>
      <c r="C7" s="242"/>
    </row>
    <row r="8" spans="1:3" ht="16.2" thickBot="1">
      <c r="A8" s="177"/>
      <c r="B8" s="180" t="s">
        <v>414</v>
      </c>
      <c r="C8" s="241">
        <f>'REKAPITULACIJA MANIPULATIVNE'!F19</f>
        <v>75360</v>
      </c>
    </row>
    <row r="9" spans="1:3" ht="16.2" thickBot="1">
      <c r="A9" s="177"/>
      <c r="B9" s="180"/>
      <c r="C9" s="274"/>
    </row>
    <row r="10" spans="1:3" ht="16.2" thickBot="1">
      <c r="A10" s="177"/>
      <c r="B10" s="180" t="s">
        <v>681</v>
      </c>
      <c r="C10" s="241">
        <f>'REKAPITULACIJA VIO I VATROZAŠT.'!G22</f>
        <v>133260</v>
      </c>
    </row>
    <row r="11" spans="1:3" ht="16.2" thickBot="1">
      <c r="A11" s="177"/>
      <c r="B11" s="180"/>
      <c r="C11" s="274"/>
    </row>
    <row r="12" spans="1:3" ht="16.2" thickBot="1">
      <c r="A12" s="177"/>
      <c r="B12" s="180" t="s">
        <v>2046</v>
      </c>
      <c r="C12" s="241">
        <f>'REKAPITULACIJA STROJ. INST.'!E24</f>
        <v>88080</v>
      </c>
    </row>
    <row r="13" spans="1:3" ht="16.2" thickBot="1">
      <c r="A13" s="177"/>
      <c r="B13" s="180"/>
      <c r="C13" s="274"/>
    </row>
    <row r="14" spans="1:3" ht="16.2" thickBot="1">
      <c r="A14" s="177"/>
      <c r="B14" s="180" t="s">
        <v>1496</v>
      </c>
      <c r="C14" s="241">
        <f>'REKAPITULACIJA ELEKTROTEHN. IN.'!F7</f>
        <v>334294.58</v>
      </c>
    </row>
    <row r="15" spans="1:3" ht="16.2" thickBot="1">
      <c r="A15" s="177"/>
      <c r="B15" s="180"/>
      <c r="C15" s="274"/>
    </row>
    <row r="16" spans="1:3" ht="16.2" thickBot="1">
      <c r="A16" s="177"/>
      <c r="B16" s="180" t="s">
        <v>1638</v>
      </c>
      <c r="C16" s="241">
        <f>KRAJOBRAZ!F318</f>
        <v>69841</v>
      </c>
    </row>
    <row r="17" spans="1:4" ht="16.2" thickBot="1">
      <c r="A17" s="953"/>
      <c r="B17" s="954"/>
      <c r="C17" s="287"/>
    </row>
    <row r="18" spans="1:4" ht="16.2" thickBot="1">
      <c r="A18" s="953"/>
      <c r="B18" s="954" t="s">
        <v>2450</v>
      </c>
      <c r="C18" s="287">
        <f>'REKAPITULACIJA Tehnička zastita'!F18</f>
        <v>61410</v>
      </c>
    </row>
    <row r="19" spans="1:4" ht="16.2" thickBot="1">
      <c r="A19" s="953"/>
      <c r="B19" s="954"/>
      <c r="C19" s="287"/>
    </row>
    <row r="20" spans="1:4" ht="16.2" thickBot="1">
      <c r="A20" s="953"/>
      <c r="B20" s="954" t="s">
        <v>2522</v>
      </c>
      <c r="C20" s="287">
        <f>'B_XV_ OPREMA PROSTORA'!F136</f>
        <v>128670</v>
      </c>
    </row>
    <row r="21" spans="1:4" ht="16.2" thickBot="1">
      <c r="A21" s="177"/>
      <c r="B21" s="180"/>
      <c r="C21" s="274"/>
    </row>
    <row r="22" spans="1:4" ht="16.2" thickBot="1">
      <c r="A22" s="246"/>
      <c r="B22" s="247" t="s">
        <v>227</v>
      </c>
      <c r="C22" s="248">
        <f>SUM(C6:C21)</f>
        <v>1738282.58</v>
      </c>
    </row>
    <row r="23" spans="1:4" ht="16.2" thickBot="1">
      <c r="A23" s="288"/>
      <c r="B23" s="289"/>
      <c r="C23" s="287"/>
    </row>
    <row r="24" spans="1:4" ht="16.2" thickBot="1">
      <c r="A24" s="237"/>
      <c r="B24" s="238" t="s">
        <v>121</v>
      </c>
      <c r="C24" s="243">
        <f>C22*0.25</f>
        <v>434570.64500000002</v>
      </c>
    </row>
    <row r="25" spans="1:4" ht="16.2" thickBot="1">
      <c r="C25" s="244"/>
    </row>
    <row r="26" spans="1:4" ht="16.2" thickBot="1">
      <c r="A26" s="246"/>
      <c r="B26" s="247" t="s">
        <v>227</v>
      </c>
      <c r="C26" s="248">
        <f>SUM(C22:C24)</f>
        <v>2172853.2250000001</v>
      </c>
    </row>
    <row r="28" spans="1:4" ht="16.2" thickBot="1"/>
    <row r="29" spans="1:4" ht="16.2" thickBot="1">
      <c r="B29" s="898"/>
      <c r="D29" s="1196"/>
    </row>
    <row r="32" spans="1:4" ht="184.5" customHeight="1">
      <c r="B32" s="1652" t="s">
        <v>2311</v>
      </c>
      <c r="C32" s="1653"/>
    </row>
  </sheetData>
  <sheetProtection algorithmName="SHA-512" hashValue="4QnacJf9StIrPBSdiYslv6M6X/Aa4VEoGJjgW77eo8JuA/cREwh+Jlfffj7VGDanF9xAoBwLsFW0wotFI2sPWw==" saltValue="2fu92TVo/Iqh/RScBCpfjQ==" spinCount="100000" sheet="1" objects="1" scenarios="1"/>
  <mergeCells count="2">
    <mergeCell ref="B2:C2"/>
    <mergeCell ref="B32:C32"/>
  </mergeCells>
  <pageMargins left="0.7583333333333333" right="0.39374999999999999" top="0.88958333333333328" bottom="0.59055118110236227" header="0" footer="0"/>
  <pageSetup paperSize="9" scale="70" orientation="portrait" r:id="rId1"/>
  <headerFooter alignWithMargins="0">
    <oddHeader xml:space="preserve">&amp;L
INVESTITOR:
HRVATSKE ŠUME d.o.o.
Branimirova 1, 10000 Zagreb&amp;C
UGOSTITELJSKO-TURISTIČKA GRAĐEVINA
PLANINARSKI DOM JELENIĆ KUĆA
k.č.br. 1952 k.o. Grabar
Jelenići 5, Golubići&amp;R
TROŠKOVNIK 
SVIH RADOVA
 Zajednička oznaka: 12.06/22-TR
</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44</vt:i4>
      </vt:variant>
      <vt:variant>
        <vt:lpstr>Imenovani rasponi</vt:lpstr>
      </vt:variant>
      <vt:variant>
        <vt:i4>30</vt:i4>
      </vt:variant>
    </vt:vector>
  </HeadingPairs>
  <TitlesOfParts>
    <vt:vector size="74" baseType="lpstr">
      <vt:lpstr>XXXXXX</vt:lpstr>
      <vt:lpstr>NASLOVNICA</vt:lpstr>
      <vt:lpstr>OPĆI UVJETI</vt:lpstr>
      <vt:lpstr>A_I_RUŠENJE I DEMONTAŽE</vt:lpstr>
      <vt:lpstr>A_II_ ZEMLJANI</vt:lpstr>
      <vt:lpstr>A_III_ BETONSKI I AB</vt:lpstr>
      <vt:lpstr>A_IV_ ZIDARSKI RADOVI</vt:lpstr>
      <vt:lpstr>A_V_ IZOLATERSKI RADOVI</vt:lpstr>
      <vt:lpstr>A_VI_METALNE KONSTRUKCIJE</vt:lpstr>
      <vt:lpstr>A_VII_TESARSKI RADOVI</vt:lpstr>
      <vt:lpstr>B_I_LIMARSKI RADOVI</vt:lpstr>
      <vt:lpstr>B_II_POKRIVAČKI RADOVI</vt:lpstr>
      <vt:lpstr>B_III_STOLARSKI RADOVI</vt:lpstr>
      <vt:lpstr>B_IV_BRAVARSKI RADOVI </vt:lpstr>
      <vt:lpstr>B_V_ ZAVRŠNI ZIDARSKI RADOVI</vt:lpstr>
      <vt:lpstr>B_VI_ GIPSARSKI RADOVI</vt:lpstr>
      <vt:lpstr>B_VII_RADOVI NA PROČELJU</vt:lpstr>
      <vt:lpstr>B.VII KAMENOREZAČKI RADOVI</vt:lpstr>
      <vt:lpstr>B_X_ KERAMIČARSKI RADOVI</vt:lpstr>
      <vt:lpstr>B_XI_ SOBOSLIKARSKI RADOVI</vt:lpstr>
      <vt:lpstr>B_XIII_ PODOPOLAGAČKI RADOVI</vt:lpstr>
      <vt:lpstr>B_XIV_KONZERVATORSKI RADOVI</vt:lpstr>
      <vt:lpstr>B_XVI_ ISPITIVANJE</vt:lpstr>
      <vt:lpstr>REKAPITULACIJA GRAĐ.OBRT.</vt:lpstr>
      <vt:lpstr>MANIPULATIVNE POVRŠINE</vt:lpstr>
      <vt:lpstr>REKAPITULACIJA MANIPULATIVNE</vt:lpstr>
      <vt:lpstr>VODOOPSKRBA, ODVODNJA I VATROZA</vt:lpstr>
      <vt:lpstr>REKAPITULACIJA VIO I VATROZAŠT.</vt:lpstr>
      <vt:lpstr>STROJARSKE INST. - VRV I DT</vt:lpstr>
      <vt:lpstr>STROJARSKE INST. - STROJARNICA</vt:lpstr>
      <vt:lpstr>STROJARSKE INST. - RADIJATORI</vt:lpstr>
      <vt:lpstr>STROJARSKE INST. - ODSIS</vt:lpstr>
      <vt:lpstr>STROJARSKE INST. - EL.PODNO</vt:lpstr>
      <vt:lpstr>REKAPITULACIJA STROJ. INST.</vt:lpstr>
      <vt:lpstr>ELEKTRO E.1</vt:lpstr>
      <vt:lpstr>ELEKTRO E.2</vt:lpstr>
      <vt:lpstr>REKAPITULACIJA ELEKTROTEHN. IN.</vt:lpstr>
      <vt:lpstr>KRAJOBRAZ</vt:lpstr>
      <vt:lpstr>TZ PP </vt:lpstr>
      <vt:lpstr>TZ VN</vt:lpstr>
      <vt:lpstr>TZ KP </vt:lpstr>
      <vt:lpstr>REKAPITULACIJA Tehnička zastita</vt:lpstr>
      <vt:lpstr>B_XV_ OPREMA PROSTORA</vt:lpstr>
      <vt:lpstr>REKAPITULACIJA</vt:lpstr>
      <vt:lpstr>'A_I_RUŠENJE I DEMONTAŽE'!Podrucje_ispisa</vt:lpstr>
      <vt:lpstr>'A_II_ ZEMLJANI'!Podrucje_ispisa</vt:lpstr>
      <vt:lpstr>'A_III_ BETONSKI I AB'!Podrucje_ispisa</vt:lpstr>
      <vt:lpstr>'A_V_ IZOLATERSKI RADOVI'!Podrucje_ispisa</vt:lpstr>
      <vt:lpstr>'A_VI_METALNE KONSTRUKCIJE'!Podrucje_ispisa</vt:lpstr>
      <vt:lpstr>'A_VII_TESARSKI RADOVI'!Podrucje_ispisa</vt:lpstr>
      <vt:lpstr>'B_I_LIMARSKI RADOVI'!Podrucje_ispisa</vt:lpstr>
      <vt:lpstr>'B_II_POKRIVAČKI RADOVI'!Podrucje_ispisa</vt:lpstr>
      <vt:lpstr>'B_III_STOLARSKI RADOVI'!Podrucje_ispisa</vt:lpstr>
      <vt:lpstr>'B_IV_BRAVARSKI RADOVI '!Podrucje_ispisa</vt:lpstr>
      <vt:lpstr>'B_V_ ZAVRŠNI ZIDARSKI RADOVI'!Podrucje_ispisa</vt:lpstr>
      <vt:lpstr>'B_VI_ GIPSARSKI RADOVI'!Podrucje_ispisa</vt:lpstr>
      <vt:lpstr>'B_VII_RADOVI NA PROČELJU'!Podrucje_ispisa</vt:lpstr>
      <vt:lpstr>'B_X_ KERAMIČARSKI RADOVI'!Podrucje_ispisa</vt:lpstr>
      <vt:lpstr>'B_XI_ SOBOSLIKARSKI RADOVI'!Podrucje_ispisa</vt:lpstr>
      <vt:lpstr>'B_XIII_ PODOPOLAGAČKI RADOVI'!Podrucje_ispisa</vt:lpstr>
      <vt:lpstr>'B_XV_ OPREMA PROSTORA'!Podrucje_ispisa</vt:lpstr>
      <vt:lpstr>'B_XVI_ ISPITIVANJE'!Podrucje_ispisa</vt:lpstr>
      <vt:lpstr>'ELEKTRO E.1'!Podrucje_ispisa</vt:lpstr>
      <vt:lpstr>'ELEKTRO E.2'!Podrucje_ispisa</vt:lpstr>
      <vt:lpstr>NASLOVNICA!Podrucje_ispisa</vt:lpstr>
      <vt:lpstr>'OPĆI UVJETI'!Podrucje_ispisa</vt:lpstr>
      <vt:lpstr>REKAPITULACIJA!Podrucje_ispisa</vt:lpstr>
      <vt:lpstr>'REKAPITULACIJA GRAĐ.OBRT.'!Podrucje_ispisa</vt:lpstr>
      <vt:lpstr>'REKAPITULACIJA STROJ. INST.'!Podrucje_ispisa</vt:lpstr>
      <vt:lpstr>'STROJARSKE INST. - EL.PODNO'!Podrucje_ispisa</vt:lpstr>
      <vt:lpstr>'STROJARSKE INST. - ODSIS'!Podrucje_ispisa</vt:lpstr>
      <vt:lpstr>'STROJARSKE INST. - RADIJATORI'!Podrucje_ispisa</vt:lpstr>
      <vt:lpstr>'STROJARSKE INST. - STROJARNICA'!Podrucje_ispisa</vt:lpstr>
      <vt:lpstr>'STROJARSKE INST. - VRV I DT'!Podrucje_ispisa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dc:creator>
  <cp:lastModifiedBy>ured</cp:lastModifiedBy>
  <cp:lastPrinted>2024-04-30T06:32:51Z</cp:lastPrinted>
  <dcterms:created xsi:type="dcterms:W3CDTF">2009-03-17T09:52:05Z</dcterms:created>
  <dcterms:modified xsi:type="dcterms:W3CDTF">2025-05-08T07:49:04Z</dcterms:modified>
</cp:coreProperties>
</file>